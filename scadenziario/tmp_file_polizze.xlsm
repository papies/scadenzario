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spreadsheetml.table+xml" PartName="/xl/tables/table7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10.xml"/>
  <Override ContentType="application/vnd.openxmlformats-officedocument.spreadsheetml.table+xml" PartName="/xl/tables/table11.xml"/>
  <Override ContentType="application/vnd.openxmlformats-officedocument.spreadsheetml.table+xml" PartName="/xl/tables/table12.xml"/>
  <Override ContentType="application/vnd.openxmlformats-officedocument.spreadsheetml.table+xml" PartName="/xl/tables/table13.xml"/>
  <Override ContentType="application/vnd.openxmlformats-officedocument.spreadsheetml.table+xml" PartName="/xl/tables/table14.xml"/>
  <Override ContentType="application/vnd.openxmlformats-officedocument.spreadsheetml.table+xml" PartName="/xl/tables/table15.xml"/>
  <Override ContentType="application/vnd.openxmlformats-officedocument.spreadsheetml.table+xml" PartName="/xl/tables/table16.xml"/>
  <Override ContentType="application/vnd.openxmlformats-officedocument.spreadsheetml.table+xml" PartName="/xl/tables/table17.xml"/>
  <Override ContentType="application/vnd.openxmlformats-officedocument.spreadsheetml.table+xml" PartName="/xl/tables/table18.xml"/>
  <Override ContentType="application/vnd.openxmlformats-officedocument.spreadsheetml.table+xml" PartName="/xl/tables/table19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Tools\"/>
    </mc:Choice>
  </mc:AlternateContent>
  <bookViews>
    <workbookView xWindow="0" yWindow="0" windowWidth="24000" windowHeight="6900"/>
  </bookViews>
  <sheets>
    <sheet name="Anagrafica clienti" sheetId="2" r:id="rId1"/>
    <sheet name="Polizze" sheetId="1" r:id="rId2"/>
    <sheet name="Preventivi" sheetId="6" r:id="rId3"/>
    <sheet name="Versamenti" sheetId="8" r:id="rId4"/>
    <sheet name="Foglio1" sheetId="9" r:id="rId5"/>
    <sheet name="Promemoria" sheetId="7" r:id="rId6"/>
    <sheet name="Report" sheetId="5" r:id="rId7"/>
    <sheet name="Configurazioni" sheetId="3" r:id="rId8"/>
  </sheets>
  <functionGroups builtInGroupCount="18"/>
  <externalReferences>
    <externalReference r:id="rId9"/>
  </externalReferences>
  <definedNames>
    <definedName name="ANAGRAFICA_CLIENTI_COMPLETA" localSheetId="2">Table1[[Nome/Ragione sociale]:[Checkbox selezionato]]</definedName>
    <definedName name="ANAGRAFICA_CLIENTI_COMPLETA" localSheetId="3">Table1[[Nome/Ragione sociale]:[Checkbox selezionato]]</definedName>
    <definedName name="ANAGRAFICA_CLIENTI_COMPLETA">Table1[[Nome/Ragione sociale]:[Checkbox selezionato]]</definedName>
    <definedName name="CHECKBOX_ANAGRAFICA_CLIENTI" localSheetId="2">Table1[Check]</definedName>
    <definedName name="CHECKBOX_ANAGRAFICA_CLIENTI" localSheetId="3">Table1[Check]</definedName>
    <definedName name="CHECKBOX_ANAGRAFICA_CLIENTI">Table1[Check]</definedName>
    <definedName name="CHECKBOX_POLIZZE">Polizze!#REF!</definedName>
    <definedName name="DURATA" localSheetId="3">#REF!</definedName>
    <definedName name="DURATA">Table410[Durata]</definedName>
    <definedName name="NOMI_AZIONI_POLIZZA" localSheetId="2">Table10[Azioni polizza]</definedName>
    <definedName name="NOMI_AZIONI_POLIZZA" localSheetId="3">Table10[Azioni polizza]</definedName>
    <definedName name="NOMI_AZIONI_POLIZZA">Table10[Azioni polizza]</definedName>
    <definedName name="NOMI_AZIONI_PREVENTIVO" localSheetId="3">Table1015[Azioni preventivo]</definedName>
    <definedName name="NOMI_AZIONI_PREVENTIVO">Table1015[Azioni preventivo]</definedName>
    <definedName name="NOMI_CLIENTI" localSheetId="2">Table1[Nome/Ragione sociale]</definedName>
    <definedName name="NOMI_CLIENTI" localSheetId="3">Table1[Nome/Ragione sociale]</definedName>
    <definedName name="NOMI_CLIENTI">Table1[Nome/Ragione sociale]</definedName>
    <definedName name="NOMI_COMPAGNIE" localSheetId="2">Table4[Tipologia polizza]</definedName>
    <definedName name="NOMI_COMPAGNIE" localSheetId="3">Table4[Tipologia polizza]</definedName>
    <definedName name="NOMI_COMPAGNIE">Table4[Tipologia polizza]</definedName>
    <definedName name="NOMI_RAMI_POLIZZA" localSheetId="2">Table5[Ramo polizza]</definedName>
    <definedName name="NOMI_RAMI_POLIZZA" localSheetId="3">Table5[Ramo polizza]</definedName>
    <definedName name="NOMI_RAMI_POLIZZA">Table5[Ramo polizza]</definedName>
    <definedName name="NOMI_STATI_POLIZZA" localSheetId="2">Table1113[Stato polizza]</definedName>
    <definedName name="NOMI_STATI_POLIZZA" localSheetId="3">Table1113[Stato polizza]</definedName>
    <definedName name="NOMI_STATI_POLIZZA">Table1113[Stato polizza]</definedName>
    <definedName name="NOMI_STATI_VERSAMENTO">Table102017[Stati versamento]</definedName>
    <definedName name="NOMI_STATO_PAGAMENTO_CLIENTE">Table10201718[Stati pagamento cliente]</definedName>
    <definedName name="NOMI_TIPI_RATEIZZAZIONI" localSheetId="2">Table3[Tipo rateizzazione]</definedName>
    <definedName name="NOMI_TIPI_RATEIZZAZIONI" localSheetId="3">Table3[Tipo rateizzazione]</definedName>
    <definedName name="NOMI_TIPI_RATEIZZAZIONI">Table3[Tipo rateizzazione]</definedName>
    <definedName name="NOMI_TIPOLOGIA_POLIZZA" localSheetId="2">Table6[Tipologia polizza]</definedName>
    <definedName name="NOMI_TIPOLOGIA_POLIZZA" localSheetId="3">Table6[Tipologia polizza]</definedName>
    <definedName name="NOMI_TIPOLOGIA_POLIZZA">Table6[Tipologia polizza]</definedName>
    <definedName name="NOMI_TIPOLOGIE_PAGAMENTO" localSheetId="2">Table68[Tipologia pagamento]</definedName>
    <definedName name="NOMI_TIPOLOGIE_PAGAMENTO" localSheetId="3">Table68[Tipologia pagamento]</definedName>
    <definedName name="NOMI_TIPOLOGIE_PAGAMENTO">Table68[Tipologia pagamento]</definedName>
    <definedName name="NOMI_TIPOLOGIE_PROMEMORIA" localSheetId="3">Table1020[Tipologie promemoria]</definedName>
    <definedName name="NOMI_TIPOLOGIE_PROMEMORIA">Table1020[Tipologie promemoria]</definedName>
    <definedName name="OI_ON" localSheetId="2">Table69[Tipologia polizza]</definedName>
    <definedName name="OI_ON" localSheetId="3">Table69[Tipologia polizza]</definedName>
    <definedName name="OI_ON">Table69[Tipologia polizza]</definedName>
    <definedName name="_xlnm.Print_Area" localSheetId="0">'Anagrafica clienti'!$A$6:$I$222</definedName>
    <definedName name="_xlnm.Print_Area" localSheetId="1">Polizze!$A$1:$T$1204</definedName>
    <definedName name="_xlnm.Print_Area" localSheetId="3">Versamenti!$A$1:$J$106</definedName>
    <definedName name="_xlnm.Print_Titles" localSheetId="1">Polizze!$1:$4</definedName>
    <definedName name="RAMI_POLIZZA" localSheetId="2">Table5[]</definedName>
    <definedName name="RAMI_POLIZZA" localSheetId="3">Table5[]</definedName>
    <definedName name="RAMI_POLIZZA">Table5[]</definedName>
    <definedName name="TIPI_RATEIZZAZIONI" localSheetId="2">Table3[]</definedName>
    <definedName name="TIPI_RATEIZZAZIONI" localSheetId="3">Table3[]</definedName>
    <definedName name="TIPI_RATEIZZAZIONI">Table3[]</definedName>
    <definedName name="VALORE_DURATA">Table410[]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0" i="8" l="1"/>
  <c r="L100" i="8"/>
  <c r="M100" i="8"/>
  <c r="N100" i="8"/>
  <c r="O100" i="8"/>
  <c r="P100" i="8"/>
  <c r="Q100" i="8"/>
  <c r="R100" i="8"/>
  <c r="S100" i="8"/>
  <c r="T100" i="8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6" i="1"/>
  <c r="E102" i="8" l="1"/>
  <c r="L1147" i="1"/>
  <c r="K1147" i="1"/>
  <c r="T6" i="8" l="1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A99" i="8" l="1"/>
  <c r="L99" i="8"/>
  <c r="M99" i="8"/>
  <c r="N99" i="8"/>
  <c r="O99" i="8"/>
  <c r="P99" i="8"/>
  <c r="Q99" i="8"/>
  <c r="R99" i="8"/>
  <c r="S99" i="8"/>
  <c r="A98" i="8"/>
  <c r="L98" i="8"/>
  <c r="M98" i="8"/>
  <c r="N98" i="8"/>
  <c r="O98" i="8"/>
  <c r="P98" i="8"/>
  <c r="Q98" i="8"/>
  <c r="R98" i="8"/>
  <c r="S98" i="8"/>
  <c r="A97" i="8"/>
  <c r="L97" i="8"/>
  <c r="M97" i="8"/>
  <c r="N97" i="8"/>
  <c r="O97" i="8"/>
  <c r="P97" i="8"/>
  <c r="Q97" i="8"/>
  <c r="R97" i="8"/>
  <c r="S97" i="8"/>
  <c r="A96" i="8" l="1"/>
  <c r="L96" i="8"/>
  <c r="M96" i="8"/>
  <c r="N96" i="8"/>
  <c r="O96" i="8"/>
  <c r="P96" i="8"/>
  <c r="Q96" i="8"/>
  <c r="R96" i="8"/>
  <c r="S96" i="8"/>
  <c r="A503" i="1"/>
  <c r="J503" i="1"/>
  <c r="Q503" i="1"/>
  <c r="R503" i="1"/>
  <c r="S503" i="1"/>
  <c r="T503" i="1"/>
  <c r="AC503" i="1" a="1"/>
  <c r="AC503" i="1" s="1"/>
  <c r="AB503" i="1" s="1"/>
  <c r="AE503" i="1"/>
  <c r="AG503" i="1"/>
  <c r="AI503" i="1"/>
  <c r="AJ503" i="1"/>
  <c r="AK503" i="1"/>
  <c r="AL503" i="1"/>
  <c r="AM503" i="1"/>
  <c r="AN503" i="1"/>
  <c r="AO503" i="1"/>
  <c r="AQ503" i="1"/>
  <c r="AR503" i="1"/>
  <c r="A95" i="8"/>
  <c r="L95" i="8"/>
  <c r="M95" i="8"/>
  <c r="N95" i="8"/>
  <c r="O95" i="8"/>
  <c r="P95" i="8"/>
  <c r="Q95" i="8"/>
  <c r="R95" i="8"/>
  <c r="S95" i="8"/>
  <c r="G503" i="1"/>
  <c r="AF503" i="1" l="1"/>
  <c r="A94" i="8"/>
  <c r="L94" i="8"/>
  <c r="M94" i="8"/>
  <c r="N94" i="8"/>
  <c r="O94" i="8"/>
  <c r="P94" i="8"/>
  <c r="Q94" i="8"/>
  <c r="R94" i="8"/>
  <c r="S94" i="8"/>
  <c r="A93" i="8" l="1"/>
  <c r="L93" i="8"/>
  <c r="M93" i="8"/>
  <c r="N93" i="8"/>
  <c r="O93" i="8"/>
  <c r="P93" i="8"/>
  <c r="Q93" i="8"/>
  <c r="R93" i="8"/>
  <c r="S93" i="8"/>
  <c r="A92" i="8"/>
  <c r="L92" i="8"/>
  <c r="M92" i="8"/>
  <c r="N92" i="8"/>
  <c r="O92" i="8"/>
  <c r="P92" i="8"/>
  <c r="Q92" i="8"/>
  <c r="R92" i="8"/>
  <c r="S92" i="8"/>
  <c r="A628" i="1"/>
  <c r="A526" i="1"/>
  <c r="J628" i="1"/>
  <c r="J526" i="1"/>
  <c r="Q628" i="1"/>
  <c r="Q526" i="1"/>
  <c r="R628" i="1"/>
  <c r="R526" i="1"/>
  <c r="S628" i="1"/>
  <c r="S526" i="1"/>
  <c r="T628" i="1"/>
  <c r="T526" i="1"/>
  <c r="AC628" i="1" a="1"/>
  <c r="AC628" i="1" s="1"/>
  <c r="AB628" i="1" s="1"/>
  <c r="AC526" i="1" a="1"/>
  <c r="AC526" i="1" s="1"/>
  <c r="AB526" i="1" s="1"/>
  <c r="AE628" i="1"/>
  <c r="AE526" i="1"/>
  <c r="AG628" i="1"/>
  <c r="AG526" i="1"/>
  <c r="AI628" i="1"/>
  <c r="AI526" i="1"/>
  <c r="AJ628" i="1"/>
  <c r="AJ526" i="1"/>
  <c r="AK628" i="1"/>
  <c r="AK526" i="1"/>
  <c r="AL628" i="1"/>
  <c r="AL526" i="1"/>
  <c r="AM628" i="1"/>
  <c r="AM526" i="1"/>
  <c r="AN628" i="1"/>
  <c r="AN526" i="1"/>
  <c r="AO628" i="1"/>
  <c r="AO526" i="1"/>
  <c r="AQ628" i="1"/>
  <c r="AQ526" i="1"/>
  <c r="AR628" i="1"/>
  <c r="AR526" i="1"/>
  <c r="K366" i="2"/>
  <c r="AP628" i="1" s="1"/>
  <c r="K318" i="2"/>
  <c r="AP526" i="1" s="1"/>
  <c r="N366" i="2"/>
  <c r="N318" i="2"/>
  <c r="A91" i="8"/>
  <c r="L91" i="8"/>
  <c r="M91" i="8"/>
  <c r="N91" i="8"/>
  <c r="O91" i="8"/>
  <c r="P91" i="8"/>
  <c r="Q91" i="8"/>
  <c r="R91" i="8"/>
  <c r="S91" i="8"/>
  <c r="A90" i="8"/>
  <c r="L90" i="8"/>
  <c r="M90" i="8"/>
  <c r="N90" i="8"/>
  <c r="O90" i="8"/>
  <c r="P90" i="8"/>
  <c r="Q90" i="8"/>
  <c r="R90" i="8"/>
  <c r="S90" i="8"/>
  <c r="A89" i="8"/>
  <c r="L89" i="8"/>
  <c r="M89" i="8"/>
  <c r="N89" i="8"/>
  <c r="O89" i="8"/>
  <c r="P89" i="8"/>
  <c r="Q89" i="8"/>
  <c r="R89" i="8"/>
  <c r="S89" i="8"/>
  <c r="A88" i="8"/>
  <c r="L88" i="8"/>
  <c r="M88" i="8"/>
  <c r="N88" i="8"/>
  <c r="O88" i="8"/>
  <c r="P88" i="8"/>
  <c r="Q88" i="8"/>
  <c r="R88" i="8"/>
  <c r="S88" i="8"/>
  <c r="A171" i="1"/>
  <c r="Q171" i="1"/>
  <c r="R171" i="1"/>
  <c r="S171" i="1"/>
  <c r="T171" i="1"/>
  <c r="AC171" i="1" a="1"/>
  <c r="AC171" i="1" s="1"/>
  <c r="AB171" i="1" s="1"/>
  <c r="AE171" i="1"/>
  <c r="AG171" i="1"/>
  <c r="AI171" i="1"/>
  <c r="AJ171" i="1"/>
  <c r="AK171" i="1"/>
  <c r="AL171" i="1"/>
  <c r="AM171" i="1"/>
  <c r="AN171" i="1"/>
  <c r="AO171" i="1"/>
  <c r="AQ171" i="1"/>
  <c r="AR171" i="1"/>
  <c r="A87" i="8"/>
  <c r="L87" i="8"/>
  <c r="M87" i="8"/>
  <c r="N87" i="8"/>
  <c r="O87" i="8"/>
  <c r="P87" i="8"/>
  <c r="Q87" i="8"/>
  <c r="R87" i="8"/>
  <c r="S87" i="8"/>
  <c r="A86" i="8"/>
  <c r="L86" i="8"/>
  <c r="M86" i="8"/>
  <c r="N86" i="8"/>
  <c r="O86" i="8"/>
  <c r="P86" i="8"/>
  <c r="Q86" i="8"/>
  <c r="R86" i="8"/>
  <c r="S86" i="8"/>
  <c r="A85" i="8"/>
  <c r="L85" i="8"/>
  <c r="M85" i="8"/>
  <c r="N85" i="8"/>
  <c r="O85" i="8"/>
  <c r="P85" i="8"/>
  <c r="Q85" i="8"/>
  <c r="R85" i="8"/>
  <c r="S85" i="8"/>
  <c r="G628" i="1"/>
  <c r="G526" i="1"/>
  <c r="G171" i="1"/>
  <c r="AF526" i="1" l="1"/>
  <c r="AF628" i="1"/>
  <c r="AF171" i="1"/>
  <c r="A84" i="8"/>
  <c r="L84" i="8"/>
  <c r="M84" i="8"/>
  <c r="N84" i="8"/>
  <c r="O84" i="8"/>
  <c r="P84" i="8"/>
  <c r="Q84" i="8"/>
  <c r="R84" i="8"/>
  <c r="S84" i="8"/>
  <c r="A83" i="8"/>
  <c r="L83" i="8"/>
  <c r="M83" i="8"/>
  <c r="N83" i="8"/>
  <c r="O83" i="8"/>
  <c r="P83" i="8"/>
  <c r="Q83" i="8"/>
  <c r="R83" i="8"/>
  <c r="S83" i="8"/>
  <c r="A748" i="1"/>
  <c r="J748" i="1"/>
  <c r="Q748" i="1"/>
  <c r="R748" i="1"/>
  <c r="S748" i="1"/>
  <c r="T748" i="1"/>
  <c r="AC748" i="1" a="1"/>
  <c r="AC748" i="1" s="1"/>
  <c r="AB748" i="1" s="1"/>
  <c r="AE748" i="1"/>
  <c r="AG748" i="1"/>
  <c r="AI748" i="1"/>
  <c r="AJ748" i="1"/>
  <c r="AK748" i="1"/>
  <c r="AL748" i="1"/>
  <c r="AM748" i="1"/>
  <c r="AN748" i="1"/>
  <c r="AO748" i="1"/>
  <c r="AQ748" i="1"/>
  <c r="AR748" i="1"/>
  <c r="A82" i="8"/>
  <c r="L82" i="8"/>
  <c r="M82" i="8"/>
  <c r="N82" i="8"/>
  <c r="O82" i="8"/>
  <c r="P82" i="8"/>
  <c r="Q82" i="8"/>
  <c r="R82" i="8"/>
  <c r="S82" i="8"/>
  <c r="A81" i="8"/>
  <c r="L81" i="8"/>
  <c r="M81" i="8"/>
  <c r="N81" i="8"/>
  <c r="O81" i="8"/>
  <c r="P81" i="8"/>
  <c r="Q81" i="8"/>
  <c r="R81" i="8"/>
  <c r="S81" i="8"/>
  <c r="K413" i="2"/>
  <c r="AP716" i="1" s="1"/>
  <c r="K430" i="2"/>
  <c r="AP748" i="1" s="1"/>
  <c r="K340" i="2"/>
  <c r="AP557" i="1" s="1"/>
  <c r="N413" i="2"/>
  <c r="N430" i="2"/>
  <c r="N340" i="2"/>
  <c r="A716" i="1"/>
  <c r="J716" i="1"/>
  <c r="Q716" i="1"/>
  <c r="R716" i="1"/>
  <c r="S716" i="1"/>
  <c r="T716" i="1"/>
  <c r="AC716" i="1" a="1"/>
  <c r="AC716" i="1" s="1"/>
  <c r="AB716" i="1" s="1"/>
  <c r="AE716" i="1"/>
  <c r="AG716" i="1"/>
  <c r="AI716" i="1"/>
  <c r="AJ716" i="1"/>
  <c r="AK716" i="1"/>
  <c r="AL716" i="1"/>
  <c r="AM716" i="1"/>
  <c r="AN716" i="1"/>
  <c r="AO716" i="1"/>
  <c r="AQ716" i="1"/>
  <c r="AR716" i="1"/>
  <c r="A557" i="1"/>
  <c r="J557" i="1"/>
  <c r="Q557" i="1"/>
  <c r="R557" i="1"/>
  <c r="S557" i="1"/>
  <c r="T557" i="1"/>
  <c r="AC557" i="1" a="1"/>
  <c r="AC557" i="1" s="1"/>
  <c r="AB557" i="1" s="1"/>
  <c r="AE557" i="1"/>
  <c r="AG557" i="1"/>
  <c r="AI557" i="1"/>
  <c r="AJ557" i="1"/>
  <c r="AK557" i="1"/>
  <c r="AL557" i="1"/>
  <c r="AM557" i="1"/>
  <c r="AN557" i="1"/>
  <c r="AO557" i="1"/>
  <c r="AQ557" i="1"/>
  <c r="AR557" i="1"/>
  <c r="A1145" i="1"/>
  <c r="J1145" i="1"/>
  <c r="Q1145" i="1"/>
  <c r="R1145" i="1"/>
  <c r="S1145" i="1"/>
  <c r="T1145" i="1"/>
  <c r="AC1145" i="1" a="1"/>
  <c r="AC1145" i="1" s="1"/>
  <c r="AB1145" i="1" s="1"/>
  <c r="AE1145" i="1"/>
  <c r="AG1145" i="1"/>
  <c r="AI1145" i="1"/>
  <c r="AJ1145" i="1"/>
  <c r="AK1145" i="1"/>
  <c r="AL1145" i="1"/>
  <c r="AM1145" i="1"/>
  <c r="AN1145" i="1"/>
  <c r="AO1145" i="1"/>
  <c r="AP1145" i="1"/>
  <c r="AQ1145" i="1"/>
  <c r="AR1145" i="1"/>
  <c r="G716" i="1"/>
  <c r="G748" i="1"/>
  <c r="G557" i="1"/>
  <c r="G1145" i="1"/>
  <c r="AF748" i="1" l="1"/>
  <c r="AF716" i="1"/>
  <c r="AF557" i="1"/>
  <c r="AF1145" i="1"/>
  <c r="A80" i="8"/>
  <c r="L80" i="8"/>
  <c r="M80" i="8"/>
  <c r="N80" i="8"/>
  <c r="O80" i="8"/>
  <c r="P80" i="8"/>
  <c r="Q80" i="8"/>
  <c r="R80" i="8"/>
  <c r="S80" i="8"/>
  <c r="A79" i="8"/>
  <c r="L79" i="8"/>
  <c r="M79" i="8"/>
  <c r="N79" i="8"/>
  <c r="O79" i="8"/>
  <c r="P79" i="8"/>
  <c r="Q79" i="8"/>
  <c r="R79" i="8"/>
  <c r="S79" i="8"/>
  <c r="A78" i="8"/>
  <c r="L78" i="8"/>
  <c r="M78" i="8"/>
  <c r="N78" i="8"/>
  <c r="O78" i="8"/>
  <c r="P78" i="8"/>
  <c r="Q78" i="8"/>
  <c r="R78" i="8"/>
  <c r="S78" i="8"/>
  <c r="A77" i="8"/>
  <c r="L77" i="8"/>
  <c r="M77" i="8"/>
  <c r="N77" i="8"/>
  <c r="O77" i="8"/>
  <c r="P77" i="8"/>
  <c r="Q77" i="8"/>
  <c r="R77" i="8"/>
  <c r="S77" i="8"/>
  <c r="A76" i="8"/>
  <c r="L76" i="8"/>
  <c r="M76" i="8"/>
  <c r="N76" i="8"/>
  <c r="O76" i="8"/>
  <c r="P76" i="8"/>
  <c r="Q76" i="8"/>
  <c r="R76" i="8"/>
  <c r="S76" i="8"/>
  <c r="A75" i="8"/>
  <c r="L75" i="8"/>
  <c r="M75" i="8"/>
  <c r="N75" i="8"/>
  <c r="O75" i="8"/>
  <c r="P75" i="8"/>
  <c r="Q75" i="8"/>
  <c r="R75" i="8"/>
  <c r="S75" i="8"/>
  <c r="A74" i="8"/>
  <c r="L74" i="8"/>
  <c r="M74" i="8"/>
  <c r="N74" i="8"/>
  <c r="O74" i="8"/>
  <c r="P74" i="8"/>
  <c r="Q74" i="8"/>
  <c r="R74" i="8"/>
  <c r="S74" i="8"/>
  <c r="A73" i="8"/>
  <c r="L73" i="8"/>
  <c r="M73" i="8"/>
  <c r="N73" i="8"/>
  <c r="O73" i="8"/>
  <c r="P73" i="8"/>
  <c r="Q73" i="8"/>
  <c r="R73" i="8"/>
  <c r="S73" i="8"/>
  <c r="A915" i="1"/>
  <c r="J915" i="1"/>
  <c r="Q915" i="1"/>
  <c r="R915" i="1"/>
  <c r="S915" i="1"/>
  <c r="T915" i="1"/>
  <c r="AC915" i="1" a="1"/>
  <c r="AC915" i="1" s="1"/>
  <c r="AB915" i="1" s="1"/>
  <c r="AE915" i="1"/>
  <c r="AG915" i="1"/>
  <c r="AI915" i="1"/>
  <c r="AJ915" i="1"/>
  <c r="AK915" i="1"/>
  <c r="AL915" i="1"/>
  <c r="AM915" i="1"/>
  <c r="AN915" i="1"/>
  <c r="AO915" i="1"/>
  <c r="AQ915" i="1"/>
  <c r="AR915" i="1"/>
  <c r="G915" i="1"/>
  <c r="AF915" i="1" l="1"/>
  <c r="A72" i="8"/>
  <c r="L72" i="8"/>
  <c r="M72" i="8"/>
  <c r="N72" i="8"/>
  <c r="O72" i="8"/>
  <c r="P72" i="8"/>
  <c r="Q72" i="8"/>
  <c r="R72" i="8"/>
  <c r="S72" i="8"/>
  <c r="A71" i="8" l="1"/>
  <c r="L71" i="8"/>
  <c r="M71" i="8"/>
  <c r="N71" i="8"/>
  <c r="O71" i="8"/>
  <c r="P71" i="8"/>
  <c r="Q71" i="8"/>
  <c r="R71" i="8"/>
  <c r="S71" i="8"/>
  <c r="A70" i="8"/>
  <c r="L70" i="8"/>
  <c r="M70" i="8"/>
  <c r="N70" i="8"/>
  <c r="O70" i="8"/>
  <c r="P70" i="8"/>
  <c r="Q70" i="8"/>
  <c r="R70" i="8"/>
  <c r="S70" i="8"/>
  <c r="A69" i="8"/>
  <c r="L69" i="8"/>
  <c r="M69" i="8"/>
  <c r="N69" i="8"/>
  <c r="O69" i="8"/>
  <c r="P69" i="8"/>
  <c r="Q69" i="8"/>
  <c r="R69" i="8"/>
  <c r="S69" i="8"/>
  <c r="A68" i="8"/>
  <c r="L68" i="8"/>
  <c r="M68" i="8"/>
  <c r="N68" i="8"/>
  <c r="O68" i="8"/>
  <c r="P68" i="8"/>
  <c r="Q68" i="8"/>
  <c r="R68" i="8"/>
  <c r="S68" i="8"/>
  <c r="A67" i="8"/>
  <c r="L67" i="8"/>
  <c r="M67" i="8"/>
  <c r="N67" i="8"/>
  <c r="O67" i="8"/>
  <c r="P67" i="8"/>
  <c r="Q67" i="8"/>
  <c r="R67" i="8"/>
  <c r="S67" i="8"/>
  <c r="A66" i="8" l="1"/>
  <c r="L66" i="8"/>
  <c r="M66" i="8"/>
  <c r="N66" i="8"/>
  <c r="O66" i="8"/>
  <c r="P66" i="8"/>
  <c r="Q66" i="8"/>
  <c r="R66" i="8"/>
  <c r="S66" i="8"/>
  <c r="A65" i="8"/>
  <c r="L65" i="8"/>
  <c r="M65" i="8"/>
  <c r="N65" i="8"/>
  <c r="O65" i="8"/>
  <c r="P65" i="8"/>
  <c r="Q65" i="8"/>
  <c r="R65" i="8"/>
  <c r="S65" i="8"/>
  <c r="A64" i="8" l="1"/>
  <c r="L64" i="8"/>
  <c r="M64" i="8"/>
  <c r="N64" i="8"/>
  <c r="O64" i="8"/>
  <c r="P64" i="8"/>
  <c r="Q64" i="8"/>
  <c r="R64" i="8"/>
  <c r="S64" i="8"/>
  <c r="A63" i="8"/>
  <c r="L63" i="8"/>
  <c r="M63" i="8"/>
  <c r="N63" i="8"/>
  <c r="O63" i="8"/>
  <c r="P63" i="8"/>
  <c r="Q63" i="8"/>
  <c r="R63" i="8"/>
  <c r="S63" i="8"/>
  <c r="A62" i="8" l="1"/>
  <c r="L62" i="8"/>
  <c r="M62" i="8"/>
  <c r="N62" i="8"/>
  <c r="O62" i="8"/>
  <c r="P62" i="8"/>
  <c r="Q62" i="8"/>
  <c r="R62" i="8"/>
  <c r="S62" i="8"/>
  <c r="A61" i="8"/>
  <c r="L61" i="8"/>
  <c r="M61" i="8"/>
  <c r="N61" i="8"/>
  <c r="O61" i="8"/>
  <c r="P61" i="8"/>
  <c r="Q61" i="8"/>
  <c r="R61" i="8"/>
  <c r="S61" i="8"/>
  <c r="A60" i="8"/>
  <c r="L60" i="8"/>
  <c r="M60" i="8"/>
  <c r="N60" i="8"/>
  <c r="O60" i="8"/>
  <c r="P60" i="8"/>
  <c r="Q60" i="8"/>
  <c r="R60" i="8"/>
  <c r="S60" i="8"/>
  <c r="A59" i="8"/>
  <c r="L59" i="8"/>
  <c r="M59" i="8"/>
  <c r="N59" i="8"/>
  <c r="O59" i="8"/>
  <c r="P59" i="8"/>
  <c r="Q59" i="8"/>
  <c r="R59" i="8"/>
  <c r="S59" i="8"/>
  <c r="A58" i="8"/>
  <c r="L58" i="8"/>
  <c r="M58" i="8"/>
  <c r="N58" i="8"/>
  <c r="O58" i="8"/>
  <c r="P58" i="8"/>
  <c r="Q58" i="8"/>
  <c r="R58" i="8"/>
  <c r="S58" i="8"/>
  <c r="A57" i="8"/>
  <c r="L57" i="8"/>
  <c r="M57" i="8"/>
  <c r="N57" i="8"/>
  <c r="O57" i="8"/>
  <c r="P57" i="8"/>
  <c r="Q57" i="8"/>
  <c r="R57" i="8"/>
  <c r="S57" i="8"/>
  <c r="A56" i="8"/>
  <c r="L56" i="8"/>
  <c r="M56" i="8"/>
  <c r="N56" i="8"/>
  <c r="O56" i="8"/>
  <c r="P56" i="8"/>
  <c r="Q56" i="8"/>
  <c r="R56" i="8"/>
  <c r="S56" i="8"/>
  <c r="A629" i="1"/>
  <c r="J629" i="1"/>
  <c r="Q629" i="1"/>
  <c r="R629" i="1"/>
  <c r="S629" i="1"/>
  <c r="T629" i="1"/>
  <c r="AC629" i="1" a="1"/>
  <c r="AC629" i="1" s="1"/>
  <c r="AB629" i="1" s="1"/>
  <c r="AE629" i="1"/>
  <c r="AG629" i="1"/>
  <c r="AI629" i="1"/>
  <c r="AJ629" i="1"/>
  <c r="AK629" i="1"/>
  <c r="AL629" i="1"/>
  <c r="AM629" i="1"/>
  <c r="AN629" i="1"/>
  <c r="AO629" i="1"/>
  <c r="AQ629" i="1"/>
  <c r="AR629" i="1"/>
  <c r="A55" i="8"/>
  <c r="L55" i="8"/>
  <c r="M55" i="8"/>
  <c r="N55" i="8"/>
  <c r="O55" i="8"/>
  <c r="P55" i="8"/>
  <c r="Q55" i="8"/>
  <c r="R55" i="8"/>
  <c r="S55" i="8"/>
  <c r="A630" i="1"/>
  <c r="J630" i="1"/>
  <c r="Q630" i="1"/>
  <c r="R630" i="1"/>
  <c r="S630" i="1"/>
  <c r="T630" i="1"/>
  <c r="AC630" i="1" a="1"/>
  <c r="AC630" i="1" s="1"/>
  <c r="AB630" i="1" s="1"/>
  <c r="AE630" i="1"/>
  <c r="AG630" i="1"/>
  <c r="AI630" i="1"/>
  <c r="AJ630" i="1"/>
  <c r="AK630" i="1"/>
  <c r="AL630" i="1"/>
  <c r="AM630" i="1"/>
  <c r="AN630" i="1"/>
  <c r="AO630" i="1"/>
  <c r="AQ630" i="1"/>
  <c r="AR630" i="1"/>
  <c r="K367" i="2"/>
  <c r="AP629" i="1" s="1"/>
  <c r="N367" i="2"/>
  <c r="G629" i="1"/>
  <c r="G630" i="1"/>
  <c r="AP630" i="1" l="1"/>
  <c r="AF629" i="1"/>
  <c r="AF630" i="1"/>
  <c r="A54" i="8"/>
  <c r="L54" i="8"/>
  <c r="M54" i="8"/>
  <c r="N54" i="8"/>
  <c r="O54" i="8"/>
  <c r="P54" i="8"/>
  <c r="Q54" i="8"/>
  <c r="R54" i="8"/>
  <c r="S54" i="8"/>
  <c r="A511" i="1"/>
  <c r="Q511" i="1"/>
  <c r="R511" i="1"/>
  <c r="S511" i="1"/>
  <c r="T511" i="1"/>
  <c r="AC511" i="1" a="1"/>
  <c r="AC511" i="1" s="1"/>
  <c r="AB511" i="1" s="1"/>
  <c r="AE511" i="1"/>
  <c r="AG511" i="1"/>
  <c r="AI511" i="1"/>
  <c r="AJ511" i="1"/>
  <c r="AK511" i="1"/>
  <c r="AL511" i="1"/>
  <c r="AM511" i="1"/>
  <c r="AN511" i="1"/>
  <c r="AO511" i="1"/>
  <c r="AQ511" i="1"/>
  <c r="AR511" i="1"/>
  <c r="K309" i="2"/>
  <c r="AP511" i="1" s="1"/>
  <c r="N309" i="2"/>
  <c r="G511" i="1"/>
  <c r="AF511" i="1" l="1"/>
  <c r="A53" i="8"/>
  <c r="L53" i="8"/>
  <c r="M53" i="8"/>
  <c r="N53" i="8"/>
  <c r="O53" i="8"/>
  <c r="P53" i="8"/>
  <c r="Q53" i="8"/>
  <c r="R53" i="8"/>
  <c r="S53" i="8"/>
  <c r="A52" i="8"/>
  <c r="L52" i="8"/>
  <c r="M52" i="8"/>
  <c r="N52" i="8"/>
  <c r="O52" i="8"/>
  <c r="P52" i="8"/>
  <c r="Q52" i="8"/>
  <c r="R52" i="8"/>
  <c r="S52" i="8"/>
  <c r="A51" i="8"/>
  <c r="L51" i="8"/>
  <c r="M51" i="8"/>
  <c r="N51" i="8"/>
  <c r="O51" i="8"/>
  <c r="P51" i="8"/>
  <c r="Q51" i="8"/>
  <c r="R51" i="8"/>
  <c r="S51" i="8"/>
  <c r="A393" i="1"/>
  <c r="J393" i="1"/>
  <c r="Q393" i="1"/>
  <c r="R393" i="1"/>
  <c r="S393" i="1"/>
  <c r="T393" i="1"/>
  <c r="AC393" i="1" a="1"/>
  <c r="AC393" i="1" s="1"/>
  <c r="AB393" i="1" s="1"/>
  <c r="AE393" i="1"/>
  <c r="AG393" i="1"/>
  <c r="AI393" i="1"/>
  <c r="AJ393" i="1"/>
  <c r="AK393" i="1"/>
  <c r="AL393" i="1"/>
  <c r="AM393" i="1"/>
  <c r="AN393" i="1"/>
  <c r="AO393" i="1"/>
  <c r="AQ393" i="1"/>
  <c r="AR393" i="1"/>
  <c r="K247" i="2"/>
  <c r="AP393" i="1" s="1"/>
  <c r="N247" i="2"/>
  <c r="G393" i="1"/>
  <c r="AF393" i="1" l="1"/>
  <c r="A50" i="8"/>
  <c r="L50" i="8"/>
  <c r="M50" i="8"/>
  <c r="N50" i="8"/>
  <c r="O50" i="8"/>
  <c r="P50" i="8"/>
  <c r="Q50" i="8"/>
  <c r="R50" i="8"/>
  <c r="S50" i="8"/>
  <c r="A49" i="8"/>
  <c r="L49" i="8"/>
  <c r="M49" i="8"/>
  <c r="N49" i="8"/>
  <c r="O49" i="8"/>
  <c r="P49" i="8"/>
  <c r="Q49" i="8"/>
  <c r="R49" i="8"/>
  <c r="S49" i="8"/>
  <c r="A48" i="8" l="1"/>
  <c r="L48" i="8"/>
  <c r="M48" i="8"/>
  <c r="N48" i="8"/>
  <c r="O48" i="8"/>
  <c r="P48" i="8"/>
  <c r="Q48" i="8"/>
  <c r="R48" i="8"/>
  <c r="S48" i="8"/>
  <c r="A47" i="8" l="1"/>
  <c r="L47" i="8"/>
  <c r="M47" i="8"/>
  <c r="N47" i="8"/>
  <c r="O47" i="8"/>
  <c r="P47" i="8"/>
  <c r="Q47" i="8"/>
  <c r="R47" i="8"/>
  <c r="S47" i="8"/>
  <c r="A46" i="8"/>
  <c r="L46" i="8"/>
  <c r="M46" i="8"/>
  <c r="N46" i="8"/>
  <c r="O46" i="8"/>
  <c r="P46" i="8"/>
  <c r="Q46" i="8"/>
  <c r="R46" i="8"/>
  <c r="S46" i="8"/>
  <c r="A45" i="8"/>
  <c r="L45" i="8"/>
  <c r="M45" i="8"/>
  <c r="N45" i="8"/>
  <c r="O45" i="8"/>
  <c r="P45" i="8"/>
  <c r="Q45" i="8"/>
  <c r="R45" i="8"/>
  <c r="S45" i="8"/>
  <c r="A416" i="1"/>
  <c r="J416" i="1"/>
  <c r="Q416" i="1"/>
  <c r="R416" i="1"/>
  <c r="S416" i="1"/>
  <c r="T416" i="1"/>
  <c r="AC416" i="1" a="1"/>
  <c r="AC416" i="1" s="1"/>
  <c r="AB416" i="1" s="1"/>
  <c r="AE416" i="1"/>
  <c r="AG416" i="1"/>
  <c r="AI416" i="1"/>
  <c r="AJ416" i="1"/>
  <c r="AK416" i="1"/>
  <c r="AL416" i="1"/>
  <c r="AM416" i="1"/>
  <c r="AN416" i="1"/>
  <c r="AO416" i="1"/>
  <c r="AQ416" i="1"/>
  <c r="AR416" i="1"/>
  <c r="K258" i="2"/>
  <c r="AP416" i="1" s="1"/>
  <c r="N258" i="2"/>
  <c r="A44" i="8"/>
  <c r="L44" i="8"/>
  <c r="M44" i="8"/>
  <c r="N44" i="8"/>
  <c r="O44" i="8"/>
  <c r="P44" i="8"/>
  <c r="Q44" i="8"/>
  <c r="R44" i="8"/>
  <c r="S44" i="8"/>
  <c r="A826" i="1"/>
  <c r="J826" i="1"/>
  <c r="Q826" i="1"/>
  <c r="R826" i="1"/>
  <c r="S826" i="1"/>
  <c r="T826" i="1"/>
  <c r="AC826" i="1" a="1"/>
  <c r="AC826" i="1" s="1"/>
  <c r="AB826" i="1" s="1"/>
  <c r="AE826" i="1"/>
  <c r="AG826" i="1"/>
  <c r="AI826" i="1"/>
  <c r="AJ826" i="1"/>
  <c r="AK826" i="1"/>
  <c r="AL826" i="1"/>
  <c r="AM826" i="1"/>
  <c r="AN826" i="1"/>
  <c r="AO826" i="1"/>
  <c r="AQ826" i="1"/>
  <c r="AR826" i="1"/>
  <c r="K473" i="2"/>
  <c r="AP826" i="1" s="1"/>
  <c r="N473" i="2"/>
  <c r="G416" i="1"/>
  <c r="G826" i="1"/>
  <c r="AF416" i="1" l="1"/>
  <c r="AF826" i="1"/>
  <c r="H9" i="5"/>
  <c r="H8" i="5"/>
  <c r="H7" i="5"/>
  <c r="H6" i="5"/>
  <c r="G9" i="5"/>
  <c r="G8" i="5"/>
  <c r="G7" i="5"/>
  <c r="G6" i="5"/>
  <c r="F3" i="5"/>
  <c r="A43" i="8" l="1"/>
  <c r="L43" i="8"/>
  <c r="M43" i="8"/>
  <c r="N43" i="8"/>
  <c r="O43" i="8"/>
  <c r="P43" i="8"/>
  <c r="Q43" i="8"/>
  <c r="R43" i="8"/>
  <c r="S43" i="8"/>
  <c r="A42" i="8"/>
  <c r="L42" i="8"/>
  <c r="M42" i="8"/>
  <c r="N42" i="8"/>
  <c r="O42" i="8"/>
  <c r="P42" i="8"/>
  <c r="Q42" i="8"/>
  <c r="R42" i="8"/>
  <c r="S42" i="8"/>
  <c r="A41" i="8"/>
  <c r="L41" i="8"/>
  <c r="M41" i="8"/>
  <c r="N41" i="8"/>
  <c r="O41" i="8"/>
  <c r="P41" i="8"/>
  <c r="Q41" i="8"/>
  <c r="R41" i="8"/>
  <c r="S41" i="8"/>
  <c r="A334" i="1"/>
  <c r="Q334" i="1"/>
  <c r="R334" i="1"/>
  <c r="S334" i="1"/>
  <c r="T334" i="1"/>
  <c r="AC334" i="1" a="1"/>
  <c r="AC334" i="1" s="1"/>
  <c r="AB334" i="1" s="1"/>
  <c r="AE334" i="1"/>
  <c r="AG334" i="1"/>
  <c r="AI334" i="1"/>
  <c r="AJ334" i="1"/>
  <c r="AK334" i="1"/>
  <c r="AL334" i="1"/>
  <c r="AM334" i="1"/>
  <c r="AN334" i="1"/>
  <c r="AO334" i="1"/>
  <c r="AQ334" i="1"/>
  <c r="AR334" i="1"/>
  <c r="K208" i="2"/>
  <c r="AP334" i="1" s="1"/>
  <c r="N208" i="2"/>
  <c r="G334" i="1"/>
  <c r="AF334" i="1" l="1"/>
  <c r="Q287" i="1"/>
  <c r="G287" i="1"/>
  <c r="A40" i="8" l="1"/>
  <c r="L40" i="8"/>
  <c r="M40" i="8"/>
  <c r="N40" i="8"/>
  <c r="O40" i="8"/>
  <c r="P40" i="8"/>
  <c r="Q40" i="8"/>
  <c r="R40" i="8"/>
  <c r="S40" i="8"/>
  <c r="A39" i="8"/>
  <c r="L39" i="8"/>
  <c r="M39" i="8"/>
  <c r="N39" i="8"/>
  <c r="O39" i="8"/>
  <c r="P39" i="8"/>
  <c r="Q39" i="8"/>
  <c r="R39" i="8"/>
  <c r="S39" i="8"/>
  <c r="A11" i="1" l="1"/>
  <c r="J11" i="1"/>
  <c r="Q11" i="1"/>
  <c r="R11" i="1"/>
  <c r="S11" i="1"/>
  <c r="T11" i="1"/>
  <c r="AC11" i="1" a="1"/>
  <c r="AC11" i="1" s="1"/>
  <c r="AB11" i="1" s="1"/>
  <c r="AE11" i="1"/>
  <c r="AG11" i="1"/>
  <c r="AI11" i="1"/>
  <c r="AJ11" i="1"/>
  <c r="AK11" i="1"/>
  <c r="AL11" i="1"/>
  <c r="AM11" i="1"/>
  <c r="AN11" i="1"/>
  <c r="AO11" i="1"/>
  <c r="AQ11" i="1"/>
  <c r="AR11" i="1"/>
  <c r="A10" i="1"/>
  <c r="J10" i="1"/>
  <c r="Q10" i="1"/>
  <c r="R10" i="1"/>
  <c r="S10" i="1"/>
  <c r="T10" i="1"/>
  <c r="AC10" i="1" a="1"/>
  <c r="AC10" i="1" s="1"/>
  <c r="AB10" i="1" s="1"/>
  <c r="AE10" i="1"/>
  <c r="AG10" i="1"/>
  <c r="AI10" i="1"/>
  <c r="AJ10" i="1"/>
  <c r="AK10" i="1"/>
  <c r="AL10" i="1"/>
  <c r="AM10" i="1"/>
  <c r="AN10" i="1"/>
  <c r="AO10" i="1"/>
  <c r="AQ10" i="1"/>
  <c r="AR10" i="1"/>
  <c r="A12" i="1"/>
  <c r="J12" i="1"/>
  <c r="Q12" i="1"/>
  <c r="R12" i="1"/>
  <c r="S12" i="1"/>
  <c r="T12" i="1"/>
  <c r="AC12" i="1" a="1"/>
  <c r="AC12" i="1" s="1"/>
  <c r="AB12" i="1" s="1"/>
  <c r="AE12" i="1"/>
  <c r="AG12" i="1"/>
  <c r="AI12" i="1"/>
  <c r="AJ12" i="1"/>
  <c r="AK12" i="1"/>
  <c r="AL12" i="1"/>
  <c r="AM12" i="1"/>
  <c r="AN12" i="1"/>
  <c r="AO12" i="1"/>
  <c r="AQ12" i="1"/>
  <c r="AR12" i="1"/>
  <c r="G12" i="1"/>
  <c r="G11" i="1"/>
  <c r="G10" i="1"/>
  <c r="AF11" i="1" l="1"/>
  <c r="AF10" i="1"/>
  <c r="AF12" i="1"/>
  <c r="L6" i="7" l="1"/>
  <c r="L7" i="7"/>
  <c r="L8" i="7"/>
  <c r="L9" i="7"/>
  <c r="L10" i="7"/>
  <c r="L11" i="7"/>
  <c r="L12" i="7"/>
  <c r="L13" i="7"/>
  <c r="L14" i="7"/>
  <c r="L15" i="7"/>
  <c r="L16" i="7"/>
  <c r="L17" i="7"/>
  <c r="K6" i="7"/>
  <c r="K7" i="7"/>
  <c r="K8" i="7"/>
  <c r="K9" i="7"/>
  <c r="K10" i="7"/>
  <c r="K11" i="7"/>
  <c r="K12" i="7"/>
  <c r="K13" i="7"/>
  <c r="K14" i="7"/>
  <c r="K15" i="7"/>
  <c r="K16" i="7"/>
  <c r="K17" i="7"/>
  <c r="J6" i="7"/>
  <c r="J7" i="7"/>
  <c r="J8" i="7"/>
  <c r="J9" i="7"/>
  <c r="J10" i="7"/>
  <c r="J11" i="7"/>
  <c r="J12" i="7"/>
  <c r="J13" i="7"/>
  <c r="J14" i="7"/>
  <c r="J15" i="7"/>
  <c r="J16" i="7"/>
  <c r="J17" i="7"/>
  <c r="U6" i="6"/>
  <c r="U7" i="6"/>
  <c r="U8" i="6"/>
  <c r="U9" i="6"/>
  <c r="U10" i="6"/>
  <c r="U11" i="6"/>
  <c r="U12" i="6"/>
  <c r="U13" i="6"/>
  <c r="U14" i="6"/>
  <c r="U15" i="6"/>
  <c r="T6" i="6"/>
  <c r="T7" i="6"/>
  <c r="T8" i="6"/>
  <c r="T9" i="6"/>
  <c r="T10" i="6"/>
  <c r="T11" i="6"/>
  <c r="T12" i="6"/>
  <c r="T13" i="6"/>
  <c r="T14" i="6"/>
  <c r="T15" i="6"/>
  <c r="S6" i="6"/>
  <c r="S7" i="6"/>
  <c r="S8" i="6"/>
  <c r="S9" i="6"/>
  <c r="S10" i="6"/>
  <c r="S11" i="6"/>
  <c r="S12" i="6"/>
  <c r="S13" i="6"/>
  <c r="S14" i="6"/>
  <c r="S15" i="6"/>
  <c r="AR6" i="1"/>
  <c r="AR7" i="1"/>
  <c r="AR8" i="1"/>
  <c r="AR9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4" i="1"/>
  <c r="AR505" i="1"/>
  <c r="AR506" i="1"/>
  <c r="AR507" i="1"/>
  <c r="AR508" i="1"/>
  <c r="AR509" i="1"/>
  <c r="AR510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Q6" i="1"/>
  <c r="AQ7" i="1"/>
  <c r="AQ8" i="1"/>
  <c r="AQ9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4" i="1"/>
  <c r="AQ505" i="1"/>
  <c r="AQ506" i="1"/>
  <c r="AQ507" i="1"/>
  <c r="AQ508" i="1"/>
  <c r="AQ509" i="1"/>
  <c r="AQ510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O6" i="1"/>
  <c r="AO7" i="1"/>
  <c r="AO8" i="1"/>
  <c r="AO9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4" i="1"/>
  <c r="AO505" i="1"/>
  <c r="AO506" i="1"/>
  <c r="AO507" i="1"/>
  <c r="AO508" i="1"/>
  <c r="AO509" i="1"/>
  <c r="AO510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N6" i="1"/>
  <c r="AN7" i="1"/>
  <c r="AN8" i="1"/>
  <c r="AN9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4" i="1"/>
  <c r="AN505" i="1"/>
  <c r="AN506" i="1"/>
  <c r="AN507" i="1"/>
  <c r="AN508" i="1"/>
  <c r="AN509" i="1"/>
  <c r="AN510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M6" i="1"/>
  <c r="AM7" i="1"/>
  <c r="AM8" i="1"/>
  <c r="AM9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4" i="1"/>
  <c r="AM505" i="1"/>
  <c r="AM506" i="1"/>
  <c r="AM507" i="1"/>
  <c r="AM508" i="1"/>
  <c r="AM509" i="1"/>
  <c r="AM510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E7" i="1" l="1"/>
  <c r="AE8" i="1"/>
  <c r="AE9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4" i="1"/>
  <c r="AE505" i="1"/>
  <c r="AE506" i="1"/>
  <c r="AE507" i="1"/>
  <c r="AE508" i="1"/>
  <c r="AE509" i="1"/>
  <c r="AE510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6" i="1"/>
  <c r="A38" i="8" l="1"/>
  <c r="L38" i="8"/>
  <c r="M38" i="8"/>
  <c r="N38" i="8"/>
  <c r="O38" i="8"/>
  <c r="P38" i="8"/>
  <c r="Q38" i="8"/>
  <c r="R38" i="8"/>
  <c r="S38" i="8"/>
  <c r="A37" i="8" l="1"/>
  <c r="L37" i="8"/>
  <c r="M37" i="8"/>
  <c r="N37" i="8"/>
  <c r="O37" i="8"/>
  <c r="P37" i="8"/>
  <c r="Q37" i="8"/>
  <c r="R37" i="8"/>
  <c r="S37" i="8"/>
  <c r="A36" i="8"/>
  <c r="L36" i="8"/>
  <c r="M36" i="8"/>
  <c r="N36" i="8"/>
  <c r="O36" i="8"/>
  <c r="P36" i="8"/>
  <c r="Q36" i="8"/>
  <c r="R36" i="8"/>
  <c r="S36" i="8"/>
  <c r="A35" i="8"/>
  <c r="L35" i="8"/>
  <c r="M35" i="8"/>
  <c r="N35" i="8"/>
  <c r="O35" i="8"/>
  <c r="P35" i="8"/>
  <c r="Q35" i="8"/>
  <c r="R35" i="8"/>
  <c r="S35" i="8"/>
  <c r="A34" i="8"/>
  <c r="L34" i="8"/>
  <c r="M34" i="8"/>
  <c r="N34" i="8"/>
  <c r="O34" i="8"/>
  <c r="P34" i="8"/>
  <c r="Q34" i="8"/>
  <c r="R34" i="8"/>
  <c r="S34" i="8"/>
  <c r="A33" i="8"/>
  <c r="L33" i="8"/>
  <c r="M33" i="8"/>
  <c r="N33" i="8"/>
  <c r="O33" i="8"/>
  <c r="P33" i="8"/>
  <c r="Q33" i="8"/>
  <c r="R33" i="8"/>
  <c r="S33" i="8"/>
  <c r="A32" i="8"/>
  <c r="L32" i="8"/>
  <c r="M32" i="8"/>
  <c r="N32" i="8"/>
  <c r="O32" i="8"/>
  <c r="P32" i="8"/>
  <c r="Q32" i="8"/>
  <c r="R32" i="8"/>
  <c r="S32" i="8"/>
  <c r="A31" i="8"/>
  <c r="L31" i="8"/>
  <c r="M31" i="8"/>
  <c r="N31" i="8"/>
  <c r="O31" i="8"/>
  <c r="P31" i="8"/>
  <c r="Q31" i="8"/>
  <c r="R31" i="8"/>
  <c r="S31" i="8"/>
  <c r="A30" i="8"/>
  <c r="L30" i="8"/>
  <c r="M30" i="8"/>
  <c r="N30" i="8"/>
  <c r="O30" i="8"/>
  <c r="P30" i="8"/>
  <c r="Q30" i="8"/>
  <c r="R30" i="8"/>
  <c r="S30" i="8"/>
  <c r="A29" i="8"/>
  <c r="L29" i="8"/>
  <c r="M29" i="8"/>
  <c r="N29" i="8"/>
  <c r="O29" i="8"/>
  <c r="P29" i="8"/>
  <c r="Q29" i="8"/>
  <c r="R29" i="8"/>
  <c r="S29" i="8"/>
  <c r="A945" i="1"/>
  <c r="AC945" i="1" a="1"/>
  <c r="AC945" i="1" s="1"/>
  <c r="R945" i="1"/>
  <c r="S945" i="1"/>
  <c r="T945" i="1"/>
  <c r="AG945" i="1"/>
  <c r="AI945" i="1"/>
  <c r="AJ945" i="1"/>
  <c r="AK945" i="1"/>
  <c r="AL945" i="1"/>
  <c r="A28" i="8"/>
  <c r="L28" i="8"/>
  <c r="M28" i="8"/>
  <c r="N28" i="8"/>
  <c r="O28" i="8"/>
  <c r="P28" i="8"/>
  <c r="Q28" i="8"/>
  <c r="R28" i="8"/>
  <c r="S28" i="8"/>
  <c r="A27" i="8"/>
  <c r="L27" i="8"/>
  <c r="M27" i="8"/>
  <c r="N27" i="8"/>
  <c r="O27" i="8"/>
  <c r="P27" i="8"/>
  <c r="Q27" i="8"/>
  <c r="R27" i="8"/>
  <c r="S27" i="8"/>
  <c r="A26" i="8"/>
  <c r="L26" i="8"/>
  <c r="M26" i="8"/>
  <c r="N26" i="8"/>
  <c r="O26" i="8"/>
  <c r="P26" i="8"/>
  <c r="Q26" i="8"/>
  <c r="R26" i="8"/>
  <c r="S26" i="8"/>
  <c r="A25" i="8"/>
  <c r="L25" i="8"/>
  <c r="M25" i="8"/>
  <c r="N25" i="8"/>
  <c r="O25" i="8"/>
  <c r="P25" i="8"/>
  <c r="Q25" i="8"/>
  <c r="R25" i="8"/>
  <c r="S25" i="8"/>
  <c r="A24" i="8"/>
  <c r="L24" i="8"/>
  <c r="M24" i="8"/>
  <c r="N24" i="8"/>
  <c r="O24" i="8"/>
  <c r="P24" i="8"/>
  <c r="Q24" i="8"/>
  <c r="R24" i="8"/>
  <c r="S24" i="8"/>
  <c r="A23" i="8"/>
  <c r="L23" i="8"/>
  <c r="M23" i="8"/>
  <c r="N23" i="8"/>
  <c r="O23" i="8"/>
  <c r="P23" i="8"/>
  <c r="Q23" i="8"/>
  <c r="R23" i="8"/>
  <c r="S23" i="8"/>
  <c r="A22" i="8"/>
  <c r="L22" i="8"/>
  <c r="M22" i="8"/>
  <c r="N22" i="8"/>
  <c r="O22" i="8"/>
  <c r="P22" i="8"/>
  <c r="Q22" i="8"/>
  <c r="R22" i="8"/>
  <c r="S22" i="8"/>
  <c r="G945" i="1"/>
  <c r="AF945" i="1" l="1"/>
  <c r="A21" i="8"/>
  <c r="L21" i="8"/>
  <c r="M21" i="8"/>
  <c r="N21" i="8"/>
  <c r="O21" i="8"/>
  <c r="P21" i="8"/>
  <c r="Q21" i="8"/>
  <c r="R21" i="8"/>
  <c r="S21" i="8"/>
  <c r="A20" i="8"/>
  <c r="L20" i="8"/>
  <c r="M20" i="8"/>
  <c r="N20" i="8"/>
  <c r="O20" i="8"/>
  <c r="P20" i="8"/>
  <c r="Q20" i="8"/>
  <c r="R20" i="8"/>
  <c r="S20" i="8"/>
  <c r="A19" i="8"/>
  <c r="L19" i="8"/>
  <c r="M19" i="8"/>
  <c r="N19" i="8"/>
  <c r="O19" i="8"/>
  <c r="P19" i="8"/>
  <c r="Q19" i="8"/>
  <c r="R19" i="8"/>
  <c r="S19" i="8"/>
  <c r="A496" i="1"/>
  <c r="J496" i="1"/>
  <c r="AC496" i="1" a="1"/>
  <c r="AC496" i="1" s="1"/>
  <c r="AB496" i="1" s="1"/>
  <c r="Q496" i="1"/>
  <c r="R496" i="1"/>
  <c r="S496" i="1"/>
  <c r="T496" i="1"/>
  <c r="AG496" i="1"/>
  <c r="AI496" i="1"/>
  <c r="AJ496" i="1"/>
  <c r="AK496" i="1"/>
  <c r="AL496" i="1"/>
  <c r="A497" i="1"/>
  <c r="J497" i="1"/>
  <c r="AC497" i="1" a="1"/>
  <c r="AC497" i="1" s="1"/>
  <c r="AB497" i="1" s="1"/>
  <c r="Q497" i="1"/>
  <c r="R497" i="1"/>
  <c r="S497" i="1"/>
  <c r="T497" i="1"/>
  <c r="AG497" i="1"/>
  <c r="AI497" i="1"/>
  <c r="AJ497" i="1"/>
  <c r="AK497" i="1"/>
  <c r="AL497" i="1"/>
  <c r="K299" i="2"/>
  <c r="N299" i="2"/>
  <c r="G497" i="1"/>
  <c r="G496" i="1"/>
  <c r="AP496" i="1" l="1"/>
  <c r="AP497" i="1"/>
  <c r="AF497" i="1"/>
  <c r="AF496" i="1"/>
  <c r="A18" i="8"/>
  <c r="L18" i="8"/>
  <c r="M18" i="8"/>
  <c r="N18" i="8"/>
  <c r="O18" i="8"/>
  <c r="P18" i="8"/>
  <c r="Q18" i="8"/>
  <c r="R18" i="8"/>
  <c r="S18" i="8"/>
  <c r="A498" i="1" l="1"/>
  <c r="A17" i="8"/>
  <c r="L17" i="8"/>
  <c r="M17" i="8"/>
  <c r="N17" i="8"/>
  <c r="O17" i="8"/>
  <c r="P17" i="8"/>
  <c r="Q17" i="8"/>
  <c r="R17" i="8"/>
  <c r="S17" i="8"/>
  <c r="A16" i="8"/>
  <c r="L16" i="8"/>
  <c r="M16" i="8"/>
  <c r="N16" i="8"/>
  <c r="O16" i="8"/>
  <c r="P16" i="8"/>
  <c r="Q16" i="8"/>
  <c r="R16" i="8"/>
  <c r="S16" i="8"/>
  <c r="A15" i="8"/>
  <c r="L15" i="8"/>
  <c r="M15" i="8"/>
  <c r="N15" i="8"/>
  <c r="O15" i="8"/>
  <c r="P15" i="8"/>
  <c r="Q15" i="8"/>
  <c r="R15" i="8"/>
  <c r="S15" i="8"/>
  <c r="A248" i="1"/>
  <c r="A499" i="1"/>
  <c r="J248" i="1"/>
  <c r="J498" i="1"/>
  <c r="J499" i="1"/>
  <c r="AC248" i="1" a="1"/>
  <c r="AC248" i="1" s="1"/>
  <c r="AB248" i="1" s="1"/>
  <c r="AC498" i="1" a="1"/>
  <c r="AC498" i="1" s="1"/>
  <c r="AB498" i="1" s="1"/>
  <c r="AC499" i="1" a="1"/>
  <c r="AC499" i="1" s="1"/>
  <c r="AB499" i="1" s="1"/>
  <c r="Q248" i="1"/>
  <c r="Q498" i="1"/>
  <c r="Q499" i="1"/>
  <c r="R248" i="1"/>
  <c r="R498" i="1"/>
  <c r="R499" i="1"/>
  <c r="S248" i="1"/>
  <c r="S498" i="1"/>
  <c r="S499" i="1"/>
  <c r="T248" i="1"/>
  <c r="T498" i="1"/>
  <c r="T499" i="1"/>
  <c r="AG248" i="1"/>
  <c r="AG498" i="1"/>
  <c r="AG499" i="1"/>
  <c r="AI248" i="1"/>
  <c r="AI498" i="1"/>
  <c r="AI499" i="1"/>
  <c r="AJ248" i="1"/>
  <c r="AJ498" i="1"/>
  <c r="AJ499" i="1"/>
  <c r="AK248" i="1"/>
  <c r="AK498" i="1"/>
  <c r="AK499" i="1"/>
  <c r="AL248" i="1"/>
  <c r="AL498" i="1"/>
  <c r="AL499" i="1"/>
  <c r="K300" i="2"/>
  <c r="K135" i="2"/>
  <c r="AP248" i="1" s="1"/>
  <c r="N300" i="2"/>
  <c r="N135" i="2"/>
  <c r="A14" i="8"/>
  <c r="L14" i="8"/>
  <c r="M14" i="8"/>
  <c r="N14" i="8"/>
  <c r="O14" i="8"/>
  <c r="P14" i="8"/>
  <c r="Q14" i="8"/>
  <c r="R14" i="8"/>
  <c r="S14" i="8"/>
  <c r="G498" i="1"/>
  <c r="G499" i="1"/>
  <c r="G248" i="1"/>
  <c r="AP498" i="1" l="1"/>
  <c r="AP499" i="1"/>
  <c r="AF248" i="1"/>
  <c r="AF498" i="1"/>
  <c r="AF499" i="1"/>
  <c r="A13" i="8"/>
  <c r="L13" i="8"/>
  <c r="M13" i="8"/>
  <c r="N13" i="8"/>
  <c r="O13" i="8"/>
  <c r="P13" i="8"/>
  <c r="Q13" i="8"/>
  <c r="R13" i="8"/>
  <c r="S13" i="8"/>
  <c r="A12" i="8"/>
  <c r="L12" i="8"/>
  <c r="M12" i="8"/>
  <c r="N12" i="8"/>
  <c r="O12" i="8"/>
  <c r="P12" i="8"/>
  <c r="Q12" i="8"/>
  <c r="R12" i="8"/>
  <c r="S12" i="8"/>
  <c r="A763" i="1"/>
  <c r="AC763" i="1" a="1"/>
  <c r="AC763" i="1" s="1"/>
  <c r="AB763" i="1" s="1"/>
  <c r="Q763" i="1"/>
  <c r="R763" i="1"/>
  <c r="S763" i="1"/>
  <c r="T763" i="1"/>
  <c r="AG763" i="1"/>
  <c r="AI763" i="1"/>
  <c r="AJ763" i="1"/>
  <c r="AK763" i="1"/>
  <c r="AL763" i="1"/>
  <c r="A11" i="8"/>
  <c r="L11" i="8"/>
  <c r="M11" i="8"/>
  <c r="N11" i="8"/>
  <c r="O11" i="8"/>
  <c r="P11" i="8"/>
  <c r="Q11" i="8"/>
  <c r="R11" i="8"/>
  <c r="S11" i="8"/>
  <c r="A10" i="8"/>
  <c r="L10" i="8"/>
  <c r="M10" i="8"/>
  <c r="N10" i="8"/>
  <c r="O10" i="8"/>
  <c r="P10" i="8"/>
  <c r="Q10" i="8"/>
  <c r="R10" i="8"/>
  <c r="S10" i="8"/>
  <c r="A9" i="8"/>
  <c r="L9" i="8"/>
  <c r="M9" i="8"/>
  <c r="N9" i="8"/>
  <c r="O9" i="8"/>
  <c r="P9" i="8"/>
  <c r="Q9" i="8"/>
  <c r="R9" i="8"/>
  <c r="S9" i="8"/>
  <c r="A8" i="8"/>
  <c r="L8" i="8"/>
  <c r="M8" i="8"/>
  <c r="N8" i="8"/>
  <c r="O8" i="8"/>
  <c r="P8" i="8"/>
  <c r="Q8" i="8"/>
  <c r="R8" i="8"/>
  <c r="S8" i="8"/>
  <c r="A762" i="1"/>
  <c r="J762" i="1"/>
  <c r="AC762" i="1" a="1"/>
  <c r="AC762" i="1" s="1"/>
  <c r="AB762" i="1" s="1"/>
  <c r="Q762" i="1"/>
  <c r="R762" i="1"/>
  <c r="S762" i="1"/>
  <c r="T762" i="1"/>
  <c r="AG762" i="1"/>
  <c r="AI762" i="1"/>
  <c r="AJ762" i="1"/>
  <c r="AK762" i="1"/>
  <c r="AL762" i="1"/>
  <c r="K439" i="2"/>
  <c r="AP762" i="1" s="1"/>
  <c r="N439" i="2"/>
  <c r="G763" i="1"/>
  <c r="G762" i="1"/>
  <c r="AF763" i="1" l="1"/>
  <c r="AF762" i="1"/>
  <c r="A7" i="8"/>
  <c r="L7" i="8"/>
  <c r="M7" i="8"/>
  <c r="N7" i="8"/>
  <c r="O7" i="8"/>
  <c r="P7" i="8"/>
  <c r="Q7" i="8"/>
  <c r="R7" i="8"/>
  <c r="S7" i="8"/>
  <c r="A504" i="1"/>
  <c r="J504" i="1"/>
  <c r="AC504" i="1" a="1"/>
  <c r="AC504" i="1" s="1"/>
  <c r="AB504" i="1" s="1"/>
  <c r="Q504" i="1"/>
  <c r="R504" i="1"/>
  <c r="S504" i="1"/>
  <c r="T504" i="1"/>
  <c r="AG504" i="1"/>
  <c r="AI504" i="1"/>
  <c r="AJ504" i="1"/>
  <c r="AK504" i="1"/>
  <c r="AL504" i="1"/>
  <c r="K303" i="2"/>
  <c r="N303" i="2"/>
  <c r="G504" i="1"/>
  <c r="AP504" i="1" l="1"/>
  <c r="AP503" i="1"/>
  <c r="AF504" i="1"/>
  <c r="K8" i="6"/>
  <c r="K9" i="6"/>
  <c r="K10" i="6"/>
  <c r="K11" i="6"/>
  <c r="K12" i="6"/>
  <c r="K13" i="6"/>
  <c r="K14" i="6"/>
  <c r="K15" i="6"/>
  <c r="K6" i="6"/>
  <c r="A7" i="6"/>
  <c r="A8" i="6"/>
  <c r="A9" i="6"/>
  <c r="A10" i="6"/>
  <c r="K7" i="6"/>
  <c r="O7" i="6"/>
  <c r="O8" i="6"/>
  <c r="O9" i="6"/>
  <c r="O10" i="6"/>
  <c r="P7" i="6"/>
  <c r="P8" i="6"/>
  <c r="P9" i="6"/>
  <c r="P10" i="6"/>
  <c r="Q7" i="6"/>
  <c r="Q8" i="6"/>
  <c r="Q9" i="6"/>
  <c r="Q10" i="6"/>
  <c r="R7" i="6"/>
  <c r="R8" i="6"/>
  <c r="R9" i="6"/>
  <c r="R10" i="6"/>
  <c r="A11" i="6"/>
  <c r="A12" i="6"/>
  <c r="A13" i="6"/>
  <c r="A14" i="6"/>
  <c r="O11" i="6"/>
  <c r="O12" i="6"/>
  <c r="O13" i="6"/>
  <c r="O14" i="6"/>
  <c r="P11" i="6"/>
  <c r="P12" i="6"/>
  <c r="P13" i="6"/>
  <c r="P14" i="6"/>
  <c r="Q11" i="6"/>
  <c r="Q12" i="6"/>
  <c r="Q13" i="6"/>
  <c r="Q14" i="6"/>
  <c r="R11" i="6"/>
  <c r="R12" i="6"/>
  <c r="R13" i="6"/>
  <c r="R14" i="6"/>
  <c r="A7" i="7"/>
  <c r="F7" i="7"/>
  <c r="G7" i="7"/>
  <c r="H7" i="7"/>
  <c r="I7" i="7"/>
  <c r="A8" i="7"/>
  <c r="A9" i="7"/>
  <c r="A10" i="7"/>
  <c r="A11" i="7"/>
  <c r="F8" i="7"/>
  <c r="F9" i="7"/>
  <c r="F10" i="7"/>
  <c r="F11" i="7"/>
  <c r="G8" i="7"/>
  <c r="G9" i="7"/>
  <c r="G10" i="7"/>
  <c r="G11" i="7"/>
  <c r="H8" i="7"/>
  <c r="H9" i="7"/>
  <c r="H10" i="7"/>
  <c r="H11" i="7"/>
  <c r="I8" i="7"/>
  <c r="I9" i="7"/>
  <c r="I10" i="7"/>
  <c r="I11" i="7"/>
  <c r="A12" i="7"/>
  <c r="A13" i="7"/>
  <c r="F12" i="7"/>
  <c r="F13" i="7"/>
  <c r="G12" i="7"/>
  <c r="G13" i="7"/>
  <c r="H12" i="7"/>
  <c r="H13" i="7"/>
  <c r="I12" i="7"/>
  <c r="I13" i="7"/>
  <c r="A14" i="7"/>
  <c r="A15" i="7"/>
  <c r="F14" i="7"/>
  <c r="F15" i="7"/>
  <c r="G14" i="7"/>
  <c r="G15" i="7"/>
  <c r="H14" i="7"/>
  <c r="H15" i="7"/>
  <c r="I14" i="7"/>
  <c r="I15" i="7"/>
  <c r="A16" i="7"/>
  <c r="F16" i="7"/>
  <c r="G16" i="7"/>
  <c r="H16" i="7"/>
  <c r="I16" i="7"/>
  <c r="A6" i="8" l="1"/>
  <c r="L6" i="8"/>
  <c r="M6" i="8"/>
  <c r="N6" i="8"/>
  <c r="O6" i="8"/>
  <c r="P6" i="8"/>
  <c r="Q6" i="8"/>
  <c r="R6" i="8"/>
  <c r="S6" i="8"/>
  <c r="J902" i="1"/>
  <c r="J1018" i="1" l="1"/>
  <c r="Q409" i="1" l="1"/>
  <c r="J1144" i="1" l="1"/>
  <c r="J1141" i="1"/>
  <c r="J1143" i="1"/>
  <c r="J1142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3" i="1"/>
  <c r="J1120" i="1"/>
  <c r="J1122" i="1"/>
  <c r="J1121" i="1"/>
  <c r="J1119" i="1"/>
  <c r="J1118" i="1"/>
  <c r="J1117" i="1"/>
  <c r="J1114" i="1"/>
  <c r="J1112" i="1"/>
  <c r="J1111" i="1"/>
  <c r="J1110" i="1"/>
  <c r="J1109" i="1"/>
  <c r="J1108" i="1"/>
  <c r="J1106" i="1"/>
  <c r="J1107" i="1"/>
  <c r="J1105" i="1"/>
  <c r="J1104" i="1"/>
  <c r="J1103" i="1"/>
  <c r="J1102" i="1"/>
  <c r="J1101" i="1"/>
  <c r="J1099" i="1"/>
  <c r="J1098" i="1"/>
  <c r="J1097" i="1"/>
  <c r="J1095" i="1"/>
  <c r="J1096" i="1"/>
  <c r="J1094" i="1"/>
  <c r="J1093" i="1"/>
  <c r="J1092" i="1"/>
  <c r="J1091" i="1"/>
  <c r="J1090" i="1"/>
  <c r="J1089" i="1"/>
  <c r="J1087" i="1"/>
  <c r="J1088" i="1"/>
  <c r="J1086" i="1"/>
  <c r="J1085" i="1"/>
  <c r="J1084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7" i="1"/>
  <c r="J1056" i="1"/>
  <c r="J1055" i="1"/>
  <c r="J1054" i="1"/>
  <c r="J1053" i="1"/>
  <c r="J1052" i="1"/>
  <c r="J1051" i="1"/>
  <c r="J1048" i="1"/>
  <c r="J1047" i="1"/>
  <c r="J1046" i="1"/>
  <c r="J1050" i="1"/>
  <c r="J1045" i="1"/>
  <c r="J1044" i="1"/>
  <c r="J1042" i="1"/>
  <c r="J1041" i="1"/>
  <c r="J1039" i="1"/>
  <c r="J1038" i="1"/>
  <c r="J1037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2" i="1"/>
  <c r="J1021" i="1"/>
  <c r="J1020" i="1"/>
  <c r="J1019" i="1"/>
  <c r="J1017" i="1"/>
  <c r="J1016" i="1"/>
  <c r="J1015" i="1"/>
  <c r="J1014" i="1"/>
  <c r="J1012" i="1"/>
  <c r="J1011" i="1"/>
  <c r="J1010" i="1"/>
  <c r="J1009" i="1"/>
  <c r="J1007" i="1"/>
  <c r="J1006" i="1"/>
  <c r="J1005" i="1"/>
  <c r="J1004" i="1"/>
  <c r="J1003" i="1"/>
  <c r="J1002" i="1"/>
  <c r="J1001" i="1"/>
  <c r="J1000" i="1"/>
  <c r="J999" i="1"/>
  <c r="J998" i="1"/>
  <c r="J996" i="1"/>
  <c r="J995" i="1"/>
  <c r="J994" i="1"/>
  <c r="J988" i="1"/>
  <c r="J992" i="1"/>
  <c r="J991" i="1"/>
  <c r="J990" i="1"/>
  <c r="J987" i="1"/>
  <c r="J985" i="1"/>
  <c r="J983" i="1"/>
  <c r="J982" i="1"/>
  <c r="J981" i="1"/>
  <c r="J980" i="1"/>
  <c r="J979" i="1"/>
  <c r="J978" i="1"/>
  <c r="J977" i="1"/>
  <c r="J970" i="1"/>
  <c r="J976" i="1"/>
  <c r="J974" i="1"/>
  <c r="J975" i="1"/>
  <c r="J973" i="1"/>
  <c r="J968" i="1"/>
  <c r="J969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4" i="1"/>
  <c r="J943" i="1"/>
  <c r="J942" i="1"/>
  <c r="J941" i="1"/>
  <c r="J940" i="1"/>
  <c r="J938" i="1"/>
  <c r="J937" i="1"/>
  <c r="J934" i="1"/>
  <c r="J931" i="1"/>
  <c r="J930" i="1"/>
  <c r="J928" i="1"/>
  <c r="J926" i="1"/>
  <c r="J925" i="1"/>
  <c r="J924" i="1"/>
  <c r="J923" i="1"/>
  <c r="J922" i="1"/>
  <c r="J921" i="1"/>
  <c r="J920" i="1"/>
  <c r="J919" i="1"/>
  <c r="J918" i="1"/>
  <c r="J917" i="1"/>
  <c r="J916" i="1"/>
  <c r="J911" i="1"/>
  <c r="J910" i="1"/>
  <c r="J909" i="1"/>
  <c r="J908" i="1"/>
  <c r="J907" i="1"/>
  <c r="J906" i="1"/>
  <c r="J905" i="1"/>
  <c r="J904" i="1"/>
  <c r="J903" i="1"/>
  <c r="J900" i="1"/>
  <c r="J899" i="1"/>
  <c r="J898" i="1"/>
  <c r="J897" i="1"/>
  <c r="J896" i="1"/>
  <c r="J894" i="1"/>
  <c r="J893" i="1"/>
  <c r="J892" i="1"/>
  <c r="J891" i="1"/>
  <c r="J890" i="1"/>
  <c r="J887" i="1"/>
  <c r="J889" i="1"/>
  <c r="J888" i="1"/>
  <c r="J886" i="1"/>
  <c r="J885" i="1"/>
  <c r="J884" i="1"/>
  <c r="J882" i="1"/>
  <c r="J881" i="1"/>
  <c r="J880" i="1"/>
  <c r="J879" i="1"/>
  <c r="J877" i="1"/>
  <c r="J876" i="1"/>
  <c r="J875" i="1"/>
  <c r="J874" i="1"/>
  <c r="J872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49" i="1"/>
  <c r="J848" i="1"/>
  <c r="J847" i="1"/>
  <c r="J846" i="1"/>
  <c r="J845" i="1"/>
  <c r="J844" i="1"/>
  <c r="J843" i="1"/>
  <c r="J842" i="1"/>
  <c r="J841" i="1"/>
  <c r="J840" i="1"/>
  <c r="J839" i="1"/>
  <c r="J837" i="1"/>
  <c r="J836" i="1"/>
  <c r="J833" i="1"/>
  <c r="J835" i="1"/>
  <c r="J834" i="1"/>
  <c r="J832" i="1"/>
  <c r="J831" i="1"/>
  <c r="J830" i="1"/>
  <c r="J829" i="1"/>
  <c r="J828" i="1"/>
  <c r="J827" i="1"/>
  <c r="J825" i="1"/>
  <c r="J824" i="1"/>
  <c r="J821" i="1"/>
  <c r="J823" i="1"/>
  <c r="J822" i="1"/>
  <c r="J820" i="1"/>
  <c r="J819" i="1"/>
  <c r="J818" i="1"/>
  <c r="J817" i="1"/>
  <c r="J816" i="1"/>
  <c r="J815" i="1"/>
  <c r="J814" i="1"/>
  <c r="J812" i="1"/>
  <c r="J813" i="1"/>
  <c r="J811" i="1"/>
  <c r="J810" i="1"/>
  <c r="J809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5" i="1"/>
  <c r="J786" i="1"/>
  <c r="J784" i="1"/>
  <c r="J783" i="1"/>
  <c r="J782" i="1"/>
  <c r="J780" i="1"/>
  <c r="J778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1" i="1"/>
  <c r="J758" i="1"/>
  <c r="J757" i="1"/>
  <c r="J754" i="1"/>
  <c r="J755" i="1"/>
  <c r="J753" i="1"/>
  <c r="J752" i="1"/>
  <c r="J751" i="1"/>
  <c r="J750" i="1"/>
  <c r="J749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4" i="1"/>
  <c r="J733" i="1"/>
  <c r="J732" i="1"/>
  <c r="J731" i="1"/>
  <c r="J730" i="1"/>
  <c r="J729" i="1"/>
  <c r="J727" i="1"/>
  <c r="J726" i="1"/>
  <c r="J723" i="1"/>
  <c r="J725" i="1"/>
  <c r="J722" i="1"/>
  <c r="J721" i="1"/>
  <c r="J720" i="1"/>
  <c r="J718" i="1"/>
  <c r="J715" i="1"/>
  <c r="J713" i="1"/>
  <c r="J714" i="1"/>
  <c r="J712" i="1"/>
  <c r="J711" i="1"/>
  <c r="J705" i="1"/>
  <c r="J710" i="1"/>
  <c r="J709" i="1"/>
  <c r="J708" i="1"/>
  <c r="J707" i="1"/>
  <c r="J706" i="1"/>
  <c r="J704" i="1"/>
  <c r="J703" i="1"/>
  <c r="J702" i="1"/>
  <c r="J701" i="1"/>
  <c r="J700" i="1"/>
  <c r="J697" i="1"/>
  <c r="J699" i="1"/>
  <c r="J698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2" i="1"/>
  <c r="J681" i="1"/>
  <c r="J679" i="1"/>
  <c r="J678" i="1"/>
  <c r="J680" i="1"/>
  <c r="J677" i="1"/>
  <c r="J676" i="1"/>
  <c r="J674" i="1"/>
  <c r="J671" i="1"/>
  <c r="J670" i="1"/>
  <c r="J669" i="1"/>
  <c r="J668" i="1"/>
  <c r="J663" i="1"/>
  <c r="J667" i="1"/>
  <c r="J664" i="1"/>
  <c r="J666" i="1"/>
  <c r="J665" i="1"/>
  <c r="J662" i="1"/>
  <c r="J661" i="1"/>
  <c r="J660" i="1"/>
  <c r="J659" i="1"/>
  <c r="J658" i="1"/>
  <c r="J657" i="1"/>
  <c r="J656" i="1"/>
  <c r="J655" i="1"/>
  <c r="J654" i="1"/>
  <c r="J652" i="1"/>
  <c r="J653" i="1"/>
  <c r="J651" i="1"/>
  <c r="J650" i="1"/>
  <c r="J649" i="1"/>
  <c r="J647" i="1"/>
  <c r="J646" i="1"/>
  <c r="J645" i="1"/>
  <c r="J644" i="1"/>
  <c r="J642" i="1"/>
  <c r="J641" i="1"/>
  <c r="J640" i="1"/>
  <c r="J639" i="1"/>
  <c r="J638" i="1"/>
  <c r="J637" i="1"/>
  <c r="J636" i="1"/>
  <c r="J635" i="1"/>
  <c r="J634" i="1"/>
  <c r="J631" i="1"/>
  <c r="J626" i="1"/>
  <c r="J625" i="1"/>
  <c r="J622" i="1"/>
  <c r="J624" i="1"/>
  <c r="J623" i="1"/>
  <c r="J621" i="1"/>
  <c r="J619" i="1"/>
  <c r="J618" i="1"/>
  <c r="J617" i="1"/>
  <c r="J616" i="1"/>
  <c r="J615" i="1"/>
  <c r="J614" i="1"/>
  <c r="J613" i="1"/>
  <c r="J612" i="1"/>
  <c r="J609" i="1"/>
  <c r="J611" i="1"/>
  <c r="J610" i="1"/>
  <c r="J607" i="1"/>
  <c r="J606" i="1"/>
  <c r="J608" i="1"/>
  <c r="J602" i="1"/>
  <c r="J601" i="1"/>
  <c r="J600" i="1"/>
  <c r="J599" i="1"/>
  <c r="J598" i="1"/>
  <c r="J597" i="1"/>
  <c r="J596" i="1"/>
  <c r="J595" i="1"/>
  <c r="J594" i="1"/>
  <c r="J593" i="1"/>
  <c r="J592" i="1"/>
  <c r="J590" i="1"/>
  <c r="J585" i="1"/>
  <c r="J584" i="1"/>
  <c r="J583" i="1"/>
  <c r="J582" i="1"/>
  <c r="J587" i="1"/>
  <c r="J581" i="1"/>
  <c r="J589" i="1"/>
  <c r="J588" i="1"/>
  <c r="J580" i="1"/>
  <c r="J579" i="1"/>
  <c r="J577" i="1"/>
  <c r="J576" i="1"/>
  <c r="J578" i="1"/>
  <c r="J575" i="1"/>
  <c r="J570" i="1"/>
  <c r="J569" i="1"/>
  <c r="J574" i="1"/>
  <c r="J568" i="1"/>
  <c r="J567" i="1"/>
  <c r="J566" i="1"/>
  <c r="J573" i="1"/>
  <c r="J565" i="1"/>
  <c r="J564" i="1"/>
  <c r="J563" i="1"/>
  <c r="J562" i="1"/>
  <c r="J561" i="1"/>
  <c r="J560" i="1"/>
  <c r="J559" i="1"/>
  <c r="J558" i="1"/>
  <c r="J556" i="1"/>
  <c r="J555" i="1"/>
  <c r="J553" i="1"/>
  <c r="J554" i="1"/>
  <c r="J552" i="1"/>
  <c r="J551" i="1"/>
  <c r="J550" i="1"/>
  <c r="J549" i="1"/>
  <c r="J547" i="1"/>
  <c r="J546" i="1"/>
  <c r="J545" i="1"/>
  <c r="J544" i="1"/>
  <c r="J543" i="1"/>
  <c r="J542" i="1"/>
  <c r="J541" i="1"/>
  <c r="J540" i="1"/>
  <c r="J538" i="1"/>
  <c r="J537" i="1"/>
  <c r="J536" i="1"/>
  <c r="J535" i="1"/>
  <c r="J532" i="1"/>
  <c r="J534" i="1"/>
  <c r="J533" i="1"/>
  <c r="J531" i="1"/>
  <c r="J530" i="1"/>
  <c r="J529" i="1"/>
  <c r="J528" i="1"/>
  <c r="J527" i="1"/>
  <c r="J525" i="1"/>
  <c r="J524" i="1"/>
  <c r="J523" i="1"/>
  <c r="J522" i="1"/>
  <c r="J516" i="1"/>
  <c r="J518" i="1"/>
  <c r="J519" i="1"/>
  <c r="J513" i="1"/>
  <c r="J512" i="1"/>
  <c r="J509" i="1"/>
  <c r="J508" i="1"/>
  <c r="J507" i="1"/>
  <c r="J506" i="1"/>
  <c r="J505" i="1"/>
  <c r="J502" i="1"/>
  <c r="J501" i="1"/>
  <c r="J500" i="1"/>
  <c r="J495" i="1"/>
  <c r="J494" i="1"/>
  <c r="J492" i="1"/>
  <c r="J491" i="1"/>
  <c r="J490" i="1"/>
  <c r="J486" i="1"/>
  <c r="J487" i="1"/>
  <c r="J488" i="1"/>
  <c r="J485" i="1"/>
  <c r="J484" i="1"/>
  <c r="J483" i="1"/>
  <c r="J482" i="1"/>
  <c r="J481" i="1"/>
  <c r="J479" i="1"/>
  <c r="J477" i="1"/>
  <c r="J475" i="1"/>
  <c r="J473" i="1"/>
  <c r="J470" i="1"/>
  <c r="J469" i="1"/>
  <c r="J468" i="1"/>
  <c r="J467" i="1"/>
  <c r="J466" i="1"/>
  <c r="J465" i="1"/>
  <c r="J464" i="1"/>
  <c r="J463" i="1"/>
  <c r="J462" i="1"/>
  <c r="J461" i="1"/>
  <c r="J460" i="1"/>
  <c r="J458" i="1"/>
  <c r="J459" i="1"/>
  <c r="J457" i="1"/>
  <c r="J456" i="1"/>
  <c r="J455" i="1"/>
  <c r="J454" i="1"/>
  <c r="J451" i="1"/>
  <c r="J453" i="1"/>
  <c r="J449" i="1"/>
  <c r="J446" i="1"/>
  <c r="J448" i="1"/>
  <c r="J447" i="1"/>
  <c r="J445" i="1"/>
  <c r="J444" i="1"/>
  <c r="J443" i="1"/>
  <c r="J442" i="1"/>
  <c r="J441" i="1"/>
  <c r="J440" i="1"/>
  <c r="J438" i="1"/>
  <c r="J437" i="1"/>
  <c r="J436" i="1"/>
  <c r="J435" i="1"/>
  <c r="J432" i="1"/>
  <c r="J434" i="1"/>
  <c r="J433" i="1"/>
  <c r="J431" i="1"/>
  <c r="J430" i="1"/>
  <c r="J429" i="1"/>
  <c r="J428" i="1"/>
  <c r="J427" i="1"/>
  <c r="J422" i="1"/>
  <c r="J421" i="1"/>
  <c r="J426" i="1"/>
  <c r="J420" i="1"/>
  <c r="J419" i="1"/>
  <c r="J418" i="1"/>
  <c r="J417" i="1"/>
  <c r="J415" i="1"/>
  <c r="J414" i="1"/>
  <c r="J413" i="1"/>
  <c r="J412" i="1"/>
  <c r="J411" i="1"/>
  <c r="J410" i="1"/>
  <c r="J409" i="1"/>
  <c r="J405" i="1"/>
  <c r="J407" i="1"/>
  <c r="J404" i="1"/>
  <c r="J406" i="1"/>
  <c r="J403" i="1"/>
  <c r="J402" i="1"/>
  <c r="J401" i="1"/>
  <c r="J400" i="1"/>
  <c r="J395" i="1"/>
  <c r="J394" i="1"/>
  <c r="J392" i="1"/>
  <c r="J391" i="1"/>
  <c r="J390" i="1"/>
  <c r="J389" i="1"/>
  <c r="J388" i="1"/>
  <c r="J387" i="1"/>
  <c r="J386" i="1"/>
  <c r="J385" i="1"/>
  <c r="J384" i="1"/>
  <c r="J382" i="1"/>
  <c r="J381" i="1"/>
  <c r="J383" i="1"/>
  <c r="J380" i="1"/>
  <c r="J379" i="1"/>
  <c r="J378" i="1"/>
  <c r="J377" i="1"/>
  <c r="J376" i="1"/>
  <c r="J374" i="1"/>
  <c r="J373" i="1"/>
  <c r="J371" i="1"/>
  <c r="J370" i="1"/>
  <c r="J369" i="1"/>
  <c r="J367" i="1"/>
  <c r="J366" i="1"/>
  <c r="J368" i="1"/>
  <c r="J365" i="1"/>
  <c r="J364" i="1"/>
  <c r="J363" i="1"/>
  <c r="J361" i="1"/>
  <c r="J360" i="1"/>
  <c r="J359" i="1"/>
  <c r="J357" i="1"/>
  <c r="J356" i="1"/>
  <c r="J355" i="1"/>
  <c r="J354" i="1"/>
  <c r="J353" i="1"/>
  <c r="J352" i="1"/>
  <c r="J351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79" i="1"/>
  <c r="J278" i="1"/>
  <c r="J277" i="1"/>
  <c r="J276" i="1"/>
  <c r="J275" i="1"/>
  <c r="J274" i="1"/>
  <c r="J273" i="1"/>
  <c r="J272" i="1"/>
  <c r="J271" i="1"/>
  <c r="J270" i="1"/>
  <c r="J269" i="1"/>
  <c r="J267" i="1"/>
  <c r="J266" i="1"/>
  <c r="J265" i="1"/>
  <c r="J264" i="1"/>
  <c r="J263" i="1"/>
  <c r="J261" i="1"/>
  <c r="J260" i="1"/>
  <c r="J259" i="1"/>
  <c r="J258" i="1"/>
  <c r="J257" i="1"/>
  <c r="J256" i="1"/>
  <c r="J254" i="1"/>
  <c r="J253" i="1"/>
  <c r="J252" i="1"/>
  <c r="J251" i="1"/>
  <c r="J250" i="1"/>
  <c r="J249" i="1"/>
  <c r="J246" i="1"/>
  <c r="J245" i="1"/>
  <c r="J244" i="1"/>
  <c r="J243" i="1"/>
  <c r="J242" i="1"/>
  <c r="J241" i="1"/>
  <c r="J240" i="1"/>
  <c r="J239" i="1"/>
  <c r="J238" i="1"/>
  <c r="J234" i="1"/>
  <c r="J235" i="1"/>
  <c r="J237" i="1"/>
  <c r="J236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8" i="1"/>
  <c r="J217" i="1"/>
  <c r="J216" i="1"/>
  <c r="J214" i="1"/>
  <c r="J213" i="1"/>
  <c r="J211" i="1"/>
  <c r="J209" i="1"/>
  <c r="J208" i="1"/>
  <c r="J210" i="1"/>
  <c r="J207" i="1"/>
  <c r="J206" i="1"/>
  <c r="J205" i="1"/>
  <c r="J204" i="1"/>
  <c r="J203" i="1"/>
  <c r="J202" i="1"/>
  <c r="J201" i="1"/>
  <c r="J200" i="1"/>
  <c r="J198" i="1"/>
  <c r="J199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5" i="1"/>
  <c r="J173" i="1"/>
  <c r="J170" i="1"/>
  <c r="J169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0" i="1"/>
  <c r="J139" i="1"/>
  <c r="J138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7" i="1"/>
  <c r="J115" i="1"/>
  <c r="J118" i="1"/>
  <c r="J114" i="1"/>
  <c r="J113" i="1"/>
  <c r="J111" i="1"/>
  <c r="J110" i="1"/>
  <c r="J109" i="1"/>
  <c r="J108" i="1"/>
  <c r="J107" i="1"/>
  <c r="J105" i="1"/>
  <c r="J104" i="1"/>
  <c r="J103" i="1"/>
  <c r="J102" i="1"/>
  <c r="J101" i="1"/>
  <c r="J100" i="1"/>
  <c r="J98" i="1"/>
  <c r="J97" i="1"/>
  <c r="J96" i="1"/>
  <c r="J94" i="1"/>
  <c r="J95" i="1"/>
  <c r="J93" i="1"/>
  <c r="J92" i="1"/>
  <c r="J89" i="1"/>
  <c r="J87" i="1"/>
  <c r="J84" i="1"/>
  <c r="J83" i="1"/>
  <c r="J82" i="1"/>
  <c r="J86" i="1"/>
  <c r="J85" i="1"/>
  <c r="J81" i="1"/>
  <c r="J80" i="1"/>
  <c r="J79" i="1"/>
  <c r="J78" i="1"/>
  <c r="J73" i="1"/>
  <c r="J75" i="1"/>
  <c r="J72" i="1"/>
  <c r="J76" i="1"/>
  <c r="J71" i="1"/>
  <c r="J70" i="1"/>
  <c r="J69" i="1"/>
  <c r="J68" i="1"/>
  <c r="J67" i="1"/>
  <c r="J63" i="1"/>
  <c r="J64" i="1"/>
  <c r="J62" i="1"/>
  <c r="J61" i="1"/>
  <c r="J60" i="1"/>
  <c r="J59" i="1"/>
  <c r="J58" i="1"/>
  <c r="J56" i="1"/>
  <c r="J57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6" i="1"/>
  <c r="J35" i="1"/>
  <c r="J34" i="1"/>
  <c r="J33" i="1"/>
  <c r="J32" i="1"/>
  <c r="J29" i="1"/>
  <c r="J31" i="1"/>
  <c r="J30" i="1"/>
  <c r="J28" i="1"/>
  <c r="J25" i="1"/>
  <c r="J27" i="1"/>
  <c r="J26" i="1"/>
  <c r="J24" i="1"/>
  <c r="J23" i="1"/>
  <c r="J20" i="1"/>
  <c r="J19" i="1"/>
  <c r="J18" i="1"/>
  <c r="J17" i="1"/>
  <c r="J16" i="1"/>
  <c r="J15" i="1"/>
  <c r="J14" i="1"/>
  <c r="J13" i="1"/>
  <c r="J9" i="1"/>
  <c r="J8" i="1"/>
  <c r="J7" i="1"/>
  <c r="A1135" i="1" l="1"/>
  <c r="A1136" i="1"/>
  <c r="A1137" i="1"/>
  <c r="A1138" i="1"/>
  <c r="A1139" i="1"/>
  <c r="A1140" i="1"/>
  <c r="A1142" i="1"/>
  <c r="A1143" i="1"/>
  <c r="A1141" i="1"/>
  <c r="A1144" i="1"/>
  <c r="AC1135" i="1" a="1"/>
  <c r="AC1135" i="1" s="1"/>
  <c r="AB1135" i="1" s="1"/>
  <c r="AC1136" i="1" a="1"/>
  <c r="AC1136" i="1" s="1"/>
  <c r="AB1136" i="1" s="1"/>
  <c r="AC1137" i="1" a="1"/>
  <c r="AC1137" i="1" s="1"/>
  <c r="AB1137" i="1" s="1"/>
  <c r="AC1138" i="1" a="1"/>
  <c r="AC1138" i="1" s="1"/>
  <c r="AB1138" i="1" s="1"/>
  <c r="AC1139" i="1" a="1"/>
  <c r="AC1139" i="1" s="1"/>
  <c r="AB1139" i="1" s="1"/>
  <c r="AC1140" i="1" a="1"/>
  <c r="AC1140" i="1" s="1"/>
  <c r="AB1140" i="1" s="1"/>
  <c r="AC1142" i="1" a="1"/>
  <c r="AC1142" i="1" s="1"/>
  <c r="AB1142" i="1" s="1"/>
  <c r="AC1143" i="1" a="1"/>
  <c r="AC1143" i="1" s="1"/>
  <c r="AB1143" i="1" s="1"/>
  <c r="AC1141" i="1" a="1"/>
  <c r="AC1141" i="1" s="1"/>
  <c r="AB1141" i="1" s="1"/>
  <c r="AC1144" i="1" a="1"/>
  <c r="AC1144" i="1" s="1"/>
  <c r="AB1144" i="1" s="1"/>
  <c r="Q1135" i="1"/>
  <c r="Q1136" i="1"/>
  <c r="Q1137" i="1"/>
  <c r="Q1138" i="1"/>
  <c r="Q1139" i="1"/>
  <c r="Q1140" i="1"/>
  <c r="Q1142" i="1"/>
  <c r="Q1143" i="1"/>
  <c r="Q1141" i="1"/>
  <c r="Q1144" i="1"/>
  <c r="R1135" i="1"/>
  <c r="R1136" i="1"/>
  <c r="R1137" i="1"/>
  <c r="R1138" i="1"/>
  <c r="R1139" i="1"/>
  <c r="R1140" i="1"/>
  <c r="R1142" i="1"/>
  <c r="R1143" i="1"/>
  <c r="R1141" i="1"/>
  <c r="R1144" i="1"/>
  <c r="S1135" i="1"/>
  <c r="S1136" i="1"/>
  <c r="S1137" i="1"/>
  <c r="S1138" i="1"/>
  <c r="S1139" i="1"/>
  <c r="S1140" i="1"/>
  <c r="S1142" i="1"/>
  <c r="S1143" i="1"/>
  <c r="S1141" i="1"/>
  <c r="S1144" i="1"/>
  <c r="T1135" i="1"/>
  <c r="T1136" i="1"/>
  <c r="T1137" i="1"/>
  <c r="T1138" i="1"/>
  <c r="T1139" i="1"/>
  <c r="T1140" i="1"/>
  <c r="T1142" i="1"/>
  <c r="T1143" i="1"/>
  <c r="T1141" i="1"/>
  <c r="T1144" i="1"/>
  <c r="AG1135" i="1"/>
  <c r="AG1136" i="1"/>
  <c r="AG1137" i="1"/>
  <c r="AG1138" i="1"/>
  <c r="AG1139" i="1"/>
  <c r="AG1140" i="1"/>
  <c r="AG1142" i="1"/>
  <c r="AG1143" i="1"/>
  <c r="AG1141" i="1"/>
  <c r="AG1144" i="1"/>
  <c r="AI1135" i="1"/>
  <c r="AI1136" i="1"/>
  <c r="AI1137" i="1"/>
  <c r="AI1138" i="1"/>
  <c r="AI1139" i="1"/>
  <c r="AI1140" i="1"/>
  <c r="AI1142" i="1"/>
  <c r="AI1143" i="1"/>
  <c r="AI1141" i="1"/>
  <c r="AI1144" i="1"/>
  <c r="AJ1135" i="1"/>
  <c r="AJ1136" i="1"/>
  <c r="AJ1137" i="1"/>
  <c r="AJ1138" i="1"/>
  <c r="AJ1139" i="1"/>
  <c r="AJ1140" i="1"/>
  <c r="AJ1142" i="1"/>
  <c r="AJ1143" i="1"/>
  <c r="AJ1141" i="1"/>
  <c r="AJ1144" i="1"/>
  <c r="AK1135" i="1"/>
  <c r="AK1136" i="1"/>
  <c r="AK1137" i="1"/>
  <c r="AK1138" i="1"/>
  <c r="AK1139" i="1"/>
  <c r="AK1140" i="1"/>
  <c r="AK1142" i="1"/>
  <c r="AK1143" i="1"/>
  <c r="AK1141" i="1"/>
  <c r="AK1144" i="1"/>
  <c r="AL1135" i="1"/>
  <c r="AL1136" i="1"/>
  <c r="AL1137" i="1"/>
  <c r="AL1138" i="1"/>
  <c r="AL1139" i="1"/>
  <c r="AL1140" i="1"/>
  <c r="AL1142" i="1"/>
  <c r="AL1143" i="1"/>
  <c r="AL1141" i="1"/>
  <c r="AL1144" i="1"/>
  <c r="F19" i="5"/>
  <c r="F18" i="5"/>
  <c r="F17" i="5"/>
  <c r="F16" i="5"/>
  <c r="F15" i="5"/>
  <c r="F14" i="5"/>
  <c r="G1143" i="1"/>
  <c r="G1141" i="1"/>
  <c r="G1137" i="1"/>
  <c r="G1140" i="1"/>
  <c r="G1144" i="1"/>
  <c r="G1139" i="1"/>
  <c r="G1136" i="1"/>
  <c r="G1142" i="1"/>
  <c r="G1135" i="1"/>
  <c r="G1138" i="1"/>
  <c r="AF1141" i="1" l="1"/>
  <c r="AF1138" i="1"/>
  <c r="AF1144" i="1"/>
  <c r="AF1137" i="1"/>
  <c r="AF1143" i="1"/>
  <c r="AF1139" i="1"/>
  <c r="AF1135" i="1"/>
  <c r="AF1142" i="1"/>
  <c r="AF1136" i="1"/>
  <c r="AF1140" i="1"/>
  <c r="A16" i="1"/>
  <c r="AG7" i="1"/>
  <c r="AG8" i="1"/>
  <c r="AG9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6" i="1"/>
  <c r="AG27" i="1"/>
  <c r="AG25" i="1"/>
  <c r="AG28" i="1"/>
  <c r="AG30" i="1"/>
  <c r="AG31" i="1"/>
  <c r="AG29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7" i="1"/>
  <c r="AG56" i="1"/>
  <c r="AG58" i="1"/>
  <c r="AG59" i="1"/>
  <c r="AG60" i="1"/>
  <c r="AG61" i="1"/>
  <c r="AG62" i="1"/>
  <c r="AG64" i="1"/>
  <c r="AG63" i="1"/>
  <c r="AG65" i="1"/>
  <c r="AG66" i="1"/>
  <c r="AG67" i="1"/>
  <c r="AG68" i="1"/>
  <c r="AG69" i="1"/>
  <c r="AG70" i="1"/>
  <c r="AG71" i="1"/>
  <c r="AG74" i="1"/>
  <c r="AG76" i="1"/>
  <c r="AG72" i="1"/>
  <c r="AG75" i="1"/>
  <c r="AG73" i="1"/>
  <c r="AG77" i="1"/>
  <c r="AG78" i="1"/>
  <c r="AG79" i="1"/>
  <c r="AG80" i="1"/>
  <c r="AG81" i="1"/>
  <c r="AG85" i="1"/>
  <c r="AG86" i="1"/>
  <c r="AG82" i="1"/>
  <c r="AG83" i="1"/>
  <c r="AG84" i="1"/>
  <c r="AG87" i="1"/>
  <c r="AG88" i="1"/>
  <c r="AG89" i="1"/>
  <c r="AG90" i="1"/>
  <c r="AG91" i="1"/>
  <c r="AG92" i="1"/>
  <c r="AG93" i="1"/>
  <c r="AG95" i="1"/>
  <c r="AG94" i="1"/>
  <c r="AG96" i="1"/>
  <c r="AG97" i="1"/>
  <c r="AG99" i="1"/>
  <c r="AG98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6" i="1"/>
  <c r="AG118" i="1"/>
  <c r="AG115" i="1"/>
  <c r="AG117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9" i="1"/>
  <c r="AG168" i="1"/>
  <c r="AG170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9" i="1"/>
  <c r="AG198" i="1"/>
  <c r="AG200" i="1"/>
  <c r="AG201" i="1"/>
  <c r="AG202" i="1"/>
  <c r="AG203" i="1"/>
  <c r="AG204" i="1"/>
  <c r="AG205" i="1"/>
  <c r="AG206" i="1"/>
  <c r="AG207" i="1"/>
  <c r="AG210" i="1"/>
  <c r="AG208" i="1"/>
  <c r="AG209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6" i="1"/>
  <c r="AG237" i="1"/>
  <c r="AG235" i="1"/>
  <c r="AG234" i="1"/>
  <c r="AG238" i="1"/>
  <c r="AG239" i="1"/>
  <c r="AG240" i="1"/>
  <c r="AG241" i="1"/>
  <c r="AG242" i="1"/>
  <c r="AG243" i="1"/>
  <c r="AG244" i="1"/>
  <c r="AG245" i="1"/>
  <c r="AG246" i="1"/>
  <c r="AG247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3" i="1"/>
  <c r="AG362" i="1"/>
  <c r="AG364" i="1"/>
  <c r="AG365" i="1"/>
  <c r="AG368" i="1"/>
  <c r="AG366" i="1"/>
  <c r="AG367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3" i="1"/>
  <c r="AG381" i="1"/>
  <c r="AG382" i="1"/>
  <c r="AG384" i="1"/>
  <c r="AG385" i="1"/>
  <c r="AG386" i="1"/>
  <c r="AG387" i="1"/>
  <c r="AG388" i="1"/>
  <c r="AG389" i="1"/>
  <c r="AG390" i="1"/>
  <c r="AG391" i="1"/>
  <c r="AG392" i="1"/>
  <c r="AG394" i="1"/>
  <c r="AG395" i="1"/>
  <c r="AG396" i="1"/>
  <c r="AG397" i="1"/>
  <c r="AG398" i="1"/>
  <c r="AG399" i="1"/>
  <c r="AG400" i="1"/>
  <c r="AG401" i="1"/>
  <c r="AG402" i="1"/>
  <c r="AG403" i="1"/>
  <c r="AG406" i="1"/>
  <c r="AG404" i="1"/>
  <c r="AG407" i="1"/>
  <c r="AG405" i="1"/>
  <c r="AG409" i="1"/>
  <c r="AG408" i="1"/>
  <c r="AG410" i="1"/>
  <c r="AG411" i="1"/>
  <c r="AG412" i="1"/>
  <c r="AG413" i="1"/>
  <c r="AG414" i="1"/>
  <c r="AG415" i="1"/>
  <c r="AG417" i="1"/>
  <c r="AG418" i="1"/>
  <c r="AG419" i="1"/>
  <c r="AG420" i="1"/>
  <c r="AG423" i="1"/>
  <c r="AG426" i="1"/>
  <c r="AG424" i="1"/>
  <c r="AG425" i="1"/>
  <c r="AG421" i="1"/>
  <c r="AG422" i="1"/>
  <c r="AG427" i="1"/>
  <c r="AG428" i="1"/>
  <c r="AG429" i="1"/>
  <c r="AG430" i="1"/>
  <c r="AG431" i="1"/>
  <c r="AG433" i="1"/>
  <c r="AG434" i="1"/>
  <c r="AG432" i="1"/>
  <c r="AG435" i="1"/>
  <c r="AG436" i="1"/>
  <c r="AG437" i="1"/>
  <c r="AG438" i="1"/>
  <c r="AG439" i="1"/>
  <c r="AG440" i="1"/>
  <c r="AG441" i="1"/>
  <c r="AG442" i="1"/>
  <c r="AG443" i="1"/>
  <c r="AG444" i="1"/>
  <c r="AG445" i="1"/>
  <c r="AG447" i="1"/>
  <c r="AG448" i="1"/>
  <c r="AG446" i="1"/>
  <c r="AG449" i="1"/>
  <c r="AG450" i="1"/>
  <c r="AG453" i="1"/>
  <c r="AG452" i="1"/>
  <c r="AG451" i="1"/>
  <c r="AG454" i="1"/>
  <c r="AG455" i="1"/>
  <c r="AG456" i="1"/>
  <c r="AG457" i="1"/>
  <c r="AG459" i="1"/>
  <c r="AG458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4" i="1"/>
  <c r="AG473" i="1"/>
  <c r="AG475" i="1"/>
  <c r="AG476" i="1"/>
  <c r="AG477" i="1"/>
  <c r="AG478" i="1"/>
  <c r="AG479" i="1"/>
  <c r="AG480" i="1"/>
  <c r="AG481" i="1"/>
  <c r="AG482" i="1"/>
  <c r="AG483" i="1"/>
  <c r="AG484" i="1"/>
  <c r="AG485" i="1"/>
  <c r="AG488" i="1"/>
  <c r="AG487" i="1"/>
  <c r="AG486" i="1"/>
  <c r="AG489" i="1"/>
  <c r="AG490" i="1"/>
  <c r="AG491" i="1"/>
  <c r="AG492" i="1"/>
  <c r="AG493" i="1"/>
  <c r="AG494" i="1"/>
  <c r="AG495" i="1"/>
  <c r="AG500" i="1"/>
  <c r="AG501" i="1"/>
  <c r="AG502" i="1"/>
  <c r="AG505" i="1"/>
  <c r="AG506" i="1"/>
  <c r="AG507" i="1"/>
  <c r="AG508" i="1"/>
  <c r="AG509" i="1"/>
  <c r="AG510" i="1"/>
  <c r="AG512" i="1"/>
  <c r="AG513" i="1"/>
  <c r="AG514" i="1"/>
  <c r="AG515" i="1"/>
  <c r="AG519" i="1"/>
  <c r="AG517" i="1"/>
  <c r="AG518" i="1"/>
  <c r="AG516" i="1"/>
  <c r="AG520" i="1"/>
  <c r="AG521" i="1"/>
  <c r="AG522" i="1"/>
  <c r="AG523" i="1"/>
  <c r="AG524" i="1"/>
  <c r="AG525" i="1"/>
  <c r="AG527" i="1"/>
  <c r="AG528" i="1"/>
  <c r="AG529" i="1"/>
  <c r="AG530" i="1"/>
  <c r="AG531" i="1"/>
  <c r="AG533" i="1"/>
  <c r="AG534" i="1"/>
  <c r="AG532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4" i="1"/>
  <c r="AG553" i="1"/>
  <c r="AG555" i="1"/>
  <c r="AG556" i="1"/>
  <c r="AG558" i="1"/>
  <c r="AG559" i="1"/>
  <c r="AG560" i="1"/>
  <c r="AG561" i="1"/>
  <c r="AG562" i="1"/>
  <c r="AG563" i="1"/>
  <c r="AG564" i="1"/>
  <c r="AG565" i="1"/>
  <c r="AG573" i="1"/>
  <c r="AG571" i="1"/>
  <c r="AG572" i="1"/>
  <c r="AG566" i="1"/>
  <c r="AG567" i="1"/>
  <c r="AG568" i="1"/>
  <c r="AG574" i="1"/>
  <c r="AG569" i="1"/>
  <c r="AG570" i="1"/>
  <c r="AG575" i="1"/>
  <c r="AG578" i="1"/>
  <c r="AG576" i="1"/>
  <c r="AG577" i="1"/>
  <c r="AG586" i="1"/>
  <c r="AG579" i="1"/>
  <c r="AG580" i="1"/>
  <c r="AG588" i="1"/>
  <c r="AG589" i="1"/>
  <c r="AG581" i="1"/>
  <c r="AG587" i="1"/>
  <c r="AG582" i="1"/>
  <c r="AG583" i="1"/>
  <c r="AG584" i="1"/>
  <c r="AG585" i="1"/>
  <c r="AG590" i="1"/>
  <c r="AG592" i="1"/>
  <c r="AG593" i="1"/>
  <c r="AG591" i="1"/>
  <c r="AG594" i="1"/>
  <c r="AG595" i="1"/>
  <c r="AG596" i="1"/>
  <c r="AG597" i="1"/>
  <c r="AG598" i="1"/>
  <c r="AG599" i="1"/>
  <c r="AG600" i="1"/>
  <c r="AG601" i="1"/>
  <c r="AG603" i="1"/>
  <c r="AG604" i="1"/>
  <c r="AG605" i="1"/>
  <c r="AG602" i="1"/>
  <c r="AG608" i="1"/>
  <c r="AG606" i="1"/>
  <c r="AG607" i="1"/>
  <c r="AG610" i="1"/>
  <c r="AG611" i="1"/>
  <c r="AG609" i="1"/>
  <c r="AG612" i="1"/>
  <c r="AG613" i="1"/>
  <c r="AG614" i="1"/>
  <c r="AG615" i="1"/>
  <c r="AG616" i="1"/>
  <c r="AG617" i="1"/>
  <c r="AG618" i="1"/>
  <c r="AG619" i="1"/>
  <c r="AG620" i="1"/>
  <c r="AG621" i="1"/>
  <c r="AG623" i="1"/>
  <c r="AG624" i="1"/>
  <c r="AG622" i="1"/>
  <c r="AG625" i="1"/>
  <c r="AG626" i="1"/>
  <c r="AG627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3" i="1"/>
  <c r="AG652" i="1"/>
  <c r="AG654" i="1"/>
  <c r="AG655" i="1"/>
  <c r="AG656" i="1"/>
  <c r="AG657" i="1"/>
  <c r="AG658" i="1"/>
  <c r="AG659" i="1"/>
  <c r="AG660" i="1"/>
  <c r="AG661" i="1"/>
  <c r="AG662" i="1"/>
  <c r="AG665" i="1"/>
  <c r="AG666" i="1"/>
  <c r="AG664" i="1"/>
  <c r="AG667" i="1"/>
  <c r="AG663" i="1"/>
  <c r="AG668" i="1"/>
  <c r="AG669" i="1"/>
  <c r="AG670" i="1"/>
  <c r="AG672" i="1"/>
  <c r="AG671" i="1"/>
  <c r="AG673" i="1"/>
  <c r="AG674" i="1"/>
  <c r="AG675" i="1"/>
  <c r="AG676" i="1"/>
  <c r="AG677" i="1"/>
  <c r="AG680" i="1"/>
  <c r="AG678" i="1"/>
  <c r="AG679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8" i="1"/>
  <c r="AG699" i="1"/>
  <c r="AG697" i="1"/>
  <c r="AG700" i="1"/>
  <c r="AG701" i="1"/>
  <c r="AG702" i="1"/>
  <c r="AG703" i="1"/>
  <c r="AG704" i="1"/>
  <c r="AG706" i="1"/>
  <c r="AG707" i="1"/>
  <c r="AG708" i="1"/>
  <c r="AG709" i="1"/>
  <c r="AG710" i="1"/>
  <c r="AG705" i="1"/>
  <c r="AG711" i="1"/>
  <c r="AG712" i="1"/>
  <c r="AG714" i="1"/>
  <c r="AG713" i="1"/>
  <c r="AG715" i="1"/>
  <c r="AG717" i="1"/>
  <c r="AG718" i="1"/>
  <c r="AG719" i="1"/>
  <c r="AG720" i="1"/>
  <c r="AG721" i="1"/>
  <c r="AG722" i="1"/>
  <c r="AG725" i="1"/>
  <c r="AG723" i="1"/>
  <c r="AG724" i="1"/>
  <c r="AG726" i="1"/>
  <c r="AG727" i="1"/>
  <c r="AG728" i="1"/>
  <c r="AG729" i="1"/>
  <c r="AG730" i="1"/>
  <c r="AG731" i="1"/>
  <c r="AG732" i="1"/>
  <c r="AG733" i="1"/>
  <c r="AG734" i="1"/>
  <c r="AG736" i="1"/>
  <c r="AG735" i="1"/>
  <c r="AG737" i="1"/>
  <c r="AG738" i="1"/>
  <c r="AG739" i="1"/>
  <c r="AG740" i="1"/>
  <c r="AG741" i="1"/>
  <c r="AG742" i="1"/>
  <c r="AG743" i="1"/>
  <c r="AG744" i="1"/>
  <c r="AG745" i="1"/>
  <c r="AG746" i="1"/>
  <c r="AG747" i="1"/>
  <c r="AG749" i="1"/>
  <c r="AG750" i="1"/>
  <c r="AG751" i="1"/>
  <c r="AG752" i="1"/>
  <c r="AG753" i="1"/>
  <c r="AG755" i="1"/>
  <c r="AG754" i="1"/>
  <c r="AG756" i="1"/>
  <c r="AG757" i="1"/>
  <c r="AG758" i="1"/>
  <c r="AG759" i="1"/>
  <c r="AG760" i="1"/>
  <c r="AG761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6" i="1"/>
  <c r="AG785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3" i="1"/>
  <c r="AG812" i="1"/>
  <c r="AG814" i="1"/>
  <c r="AG815" i="1"/>
  <c r="AG816" i="1"/>
  <c r="AG817" i="1"/>
  <c r="AG818" i="1"/>
  <c r="AG819" i="1"/>
  <c r="AG820" i="1"/>
  <c r="AG822" i="1"/>
  <c r="AG823" i="1"/>
  <c r="AG821" i="1"/>
  <c r="AG824" i="1"/>
  <c r="AG825" i="1"/>
  <c r="AG827" i="1"/>
  <c r="AG828" i="1"/>
  <c r="AG829" i="1"/>
  <c r="AG830" i="1"/>
  <c r="AG831" i="1"/>
  <c r="AG832" i="1"/>
  <c r="AG834" i="1"/>
  <c r="AG835" i="1"/>
  <c r="AG833" i="1"/>
  <c r="AG836" i="1"/>
  <c r="AG838" i="1"/>
  <c r="AG837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2" i="1"/>
  <c r="AG851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4" i="1"/>
  <c r="AG873" i="1"/>
  <c r="AG875" i="1"/>
  <c r="AG876" i="1"/>
  <c r="AG877" i="1"/>
  <c r="AG878" i="1"/>
  <c r="AG879" i="1"/>
  <c r="AG880" i="1"/>
  <c r="AG881" i="1"/>
  <c r="AG883" i="1"/>
  <c r="AG882" i="1"/>
  <c r="AG884" i="1"/>
  <c r="AG885" i="1"/>
  <c r="AG886" i="1"/>
  <c r="AG888" i="1"/>
  <c r="AG889" i="1"/>
  <c r="AG887" i="1"/>
  <c r="AG890" i="1"/>
  <c r="AG891" i="1"/>
  <c r="AG892" i="1"/>
  <c r="AG893" i="1"/>
  <c r="AG894" i="1"/>
  <c r="AG895" i="1"/>
  <c r="AG896" i="1"/>
  <c r="AG897" i="1"/>
  <c r="AG898" i="1"/>
  <c r="AG899" i="1"/>
  <c r="AG901" i="1"/>
  <c r="AG900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6" i="1"/>
  <c r="AG917" i="1"/>
  <c r="AG918" i="1"/>
  <c r="AG919" i="1"/>
  <c r="AG920" i="1"/>
  <c r="AG921" i="1"/>
  <c r="AG922" i="1"/>
  <c r="AG923" i="1"/>
  <c r="AG924" i="1"/>
  <c r="AG927" i="1"/>
  <c r="AG925" i="1"/>
  <c r="AG926" i="1"/>
  <c r="AG928" i="1"/>
  <c r="AG930" i="1"/>
  <c r="AG929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9" i="1"/>
  <c r="AG968" i="1"/>
  <c r="AG973" i="1"/>
  <c r="AG975" i="1"/>
  <c r="AG974" i="1"/>
  <c r="AG971" i="1"/>
  <c r="AG976" i="1"/>
  <c r="AG972" i="1"/>
  <c r="AG970" i="1"/>
  <c r="AG977" i="1"/>
  <c r="AG978" i="1"/>
  <c r="AG979" i="1"/>
  <c r="AG980" i="1"/>
  <c r="AG981" i="1"/>
  <c r="AG982" i="1"/>
  <c r="AG983" i="1"/>
  <c r="AG984" i="1"/>
  <c r="AG985" i="1"/>
  <c r="AG986" i="1"/>
  <c r="AG987" i="1"/>
  <c r="AG990" i="1"/>
  <c r="AG991" i="1"/>
  <c r="AG992" i="1"/>
  <c r="AG989" i="1"/>
  <c r="AG988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7" i="1"/>
  <c r="AG1038" i="1"/>
  <c r="AG1036" i="1"/>
  <c r="AG1039" i="1"/>
  <c r="AG1040" i="1"/>
  <c r="AG1041" i="1"/>
  <c r="AG1042" i="1"/>
  <c r="AG1043" i="1"/>
  <c r="AG1044" i="1"/>
  <c r="AG1045" i="1"/>
  <c r="AG1050" i="1"/>
  <c r="AG1046" i="1"/>
  <c r="AG1047" i="1"/>
  <c r="AG1049" i="1"/>
  <c r="AG1048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8" i="1"/>
  <c r="AG1087" i="1"/>
  <c r="AG1089" i="1"/>
  <c r="AG1090" i="1"/>
  <c r="AG1091" i="1"/>
  <c r="AG1092" i="1"/>
  <c r="AG1093" i="1"/>
  <c r="AG1094" i="1"/>
  <c r="AG1096" i="1"/>
  <c r="AG1095" i="1"/>
  <c r="AG1097" i="1"/>
  <c r="AG1098" i="1"/>
  <c r="AG1099" i="1"/>
  <c r="AG1100" i="1"/>
  <c r="AG1101" i="1"/>
  <c r="AG1102" i="1"/>
  <c r="AG1103" i="1"/>
  <c r="AG1104" i="1"/>
  <c r="AG1105" i="1"/>
  <c r="AG1107" i="1"/>
  <c r="AG1106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1" i="1"/>
  <c r="AG1122" i="1"/>
  <c r="AG1120" i="1"/>
  <c r="AG1123" i="1"/>
  <c r="AG1125" i="1"/>
  <c r="AG1124" i="1"/>
  <c r="AG1126" i="1"/>
  <c r="AG1127" i="1"/>
  <c r="AG1128" i="1"/>
  <c r="AG1129" i="1"/>
  <c r="AG1130" i="1"/>
  <c r="AG1131" i="1"/>
  <c r="AG1132" i="1"/>
  <c r="AG1133" i="1"/>
  <c r="AG1134" i="1"/>
  <c r="A7" i="1"/>
  <c r="AC7" i="1" a="1"/>
  <c r="AC7" i="1" s="1"/>
  <c r="AB7" i="1" s="1"/>
  <c r="Q7" i="1"/>
  <c r="R7" i="1"/>
  <c r="S7" i="1"/>
  <c r="T7" i="1"/>
  <c r="AI7" i="1"/>
  <c r="AJ7" i="1"/>
  <c r="AK7" i="1"/>
  <c r="AL7" i="1"/>
  <c r="G7" i="1"/>
  <c r="AF7" i="1" l="1"/>
  <c r="J6" i="1"/>
  <c r="J1147" i="1" s="1"/>
  <c r="A8" i="1"/>
  <c r="A9" i="1"/>
  <c r="A13" i="1"/>
  <c r="A14" i="1"/>
  <c r="A15" i="1"/>
  <c r="A17" i="1"/>
  <c r="A18" i="1"/>
  <c r="A19" i="1"/>
  <c r="A20" i="1"/>
  <c r="A21" i="1"/>
  <c r="A22" i="1"/>
  <c r="A23" i="1"/>
  <c r="A24" i="1"/>
  <c r="A26" i="1"/>
  <c r="A25" i="1"/>
  <c r="A28" i="1"/>
  <c r="A27" i="1"/>
  <c r="A30" i="1"/>
  <c r="A29" i="1"/>
  <c r="A32" i="1"/>
  <c r="A31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7" i="1"/>
  <c r="A58" i="1"/>
  <c r="A56" i="1"/>
  <c r="A59" i="1"/>
  <c r="A60" i="1"/>
  <c r="A61" i="1"/>
  <c r="A62" i="1"/>
  <c r="A64" i="1"/>
  <c r="A65" i="1"/>
  <c r="A63" i="1"/>
  <c r="A66" i="1"/>
  <c r="A67" i="1"/>
  <c r="A68" i="1"/>
  <c r="A69" i="1"/>
  <c r="A70" i="1"/>
  <c r="A71" i="1"/>
  <c r="A74" i="1"/>
  <c r="A75" i="1"/>
  <c r="A77" i="1"/>
  <c r="A76" i="1"/>
  <c r="A73" i="1"/>
  <c r="A72" i="1"/>
  <c r="A78" i="1"/>
  <c r="A79" i="1"/>
  <c r="A80" i="1"/>
  <c r="A81" i="1"/>
  <c r="A85" i="1"/>
  <c r="A84" i="1"/>
  <c r="A87" i="1"/>
  <c r="A86" i="1"/>
  <c r="A82" i="1"/>
  <c r="A83" i="1"/>
  <c r="A88" i="1"/>
  <c r="A89" i="1"/>
  <c r="A90" i="1"/>
  <c r="A91" i="1"/>
  <c r="A92" i="1"/>
  <c r="A93" i="1"/>
  <c r="A95" i="1"/>
  <c r="A96" i="1"/>
  <c r="A94" i="1"/>
  <c r="A97" i="1"/>
  <c r="A99" i="1"/>
  <c r="A100" i="1"/>
  <c r="A98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6" i="1"/>
  <c r="A115" i="1"/>
  <c r="A119" i="1"/>
  <c r="A118" i="1"/>
  <c r="A117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9" i="1"/>
  <c r="A170" i="1"/>
  <c r="A168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9" i="1"/>
  <c r="A200" i="1"/>
  <c r="A198" i="1"/>
  <c r="A201" i="1"/>
  <c r="A202" i="1"/>
  <c r="A203" i="1"/>
  <c r="A204" i="1"/>
  <c r="A205" i="1"/>
  <c r="A206" i="1"/>
  <c r="A207" i="1"/>
  <c r="A210" i="1"/>
  <c r="A208" i="1"/>
  <c r="A212" i="1"/>
  <c r="A209" i="1"/>
  <c r="A211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6" i="1"/>
  <c r="A237" i="1"/>
  <c r="A238" i="1"/>
  <c r="A239" i="1"/>
  <c r="A234" i="1"/>
  <c r="A235" i="1"/>
  <c r="A240" i="1"/>
  <c r="A241" i="1"/>
  <c r="A242" i="1"/>
  <c r="A243" i="1"/>
  <c r="A244" i="1"/>
  <c r="A245" i="1"/>
  <c r="A246" i="1"/>
  <c r="A247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3" i="1"/>
  <c r="A361" i="1"/>
  <c r="A362" i="1"/>
  <c r="A364" i="1"/>
  <c r="A366" i="1"/>
  <c r="A365" i="1"/>
  <c r="A368" i="1"/>
  <c r="A367" i="1"/>
  <c r="A369" i="1"/>
  <c r="A370" i="1"/>
  <c r="A371" i="1"/>
  <c r="A372" i="1"/>
  <c r="A373" i="1"/>
  <c r="A374" i="1"/>
  <c r="A375" i="1"/>
  <c r="A376" i="1"/>
  <c r="A377" i="1"/>
  <c r="A378" i="1"/>
  <c r="A379" i="1"/>
  <c r="A381" i="1"/>
  <c r="A380" i="1"/>
  <c r="A383" i="1"/>
  <c r="A382" i="1"/>
  <c r="A384" i="1"/>
  <c r="A385" i="1"/>
  <c r="A386" i="1"/>
  <c r="A387" i="1"/>
  <c r="A388" i="1"/>
  <c r="A389" i="1"/>
  <c r="A390" i="1"/>
  <c r="A391" i="1"/>
  <c r="A392" i="1"/>
  <c r="A394" i="1"/>
  <c r="A395" i="1"/>
  <c r="A396" i="1"/>
  <c r="A397" i="1"/>
  <c r="A398" i="1"/>
  <c r="A399" i="1"/>
  <c r="A400" i="1"/>
  <c r="A403" i="1"/>
  <c r="A401" i="1"/>
  <c r="A406" i="1"/>
  <c r="A402" i="1"/>
  <c r="A404" i="1"/>
  <c r="A407" i="1"/>
  <c r="A405" i="1"/>
  <c r="A409" i="1"/>
  <c r="A408" i="1"/>
  <c r="A410" i="1"/>
  <c r="A411" i="1"/>
  <c r="A412" i="1"/>
  <c r="A413" i="1"/>
  <c r="A414" i="1"/>
  <c r="A415" i="1"/>
  <c r="A419" i="1"/>
  <c r="A426" i="1"/>
  <c r="A420" i="1"/>
  <c r="A423" i="1"/>
  <c r="A417" i="1"/>
  <c r="A418" i="1"/>
  <c r="A424" i="1"/>
  <c r="A425" i="1"/>
  <c r="A421" i="1"/>
  <c r="A422" i="1"/>
  <c r="A427" i="1"/>
  <c r="A429" i="1"/>
  <c r="A430" i="1"/>
  <c r="A428" i="1"/>
  <c r="A431" i="1"/>
  <c r="A433" i="1"/>
  <c r="A434" i="1"/>
  <c r="A432" i="1"/>
  <c r="A435" i="1"/>
  <c r="A436" i="1"/>
  <c r="A437" i="1"/>
  <c r="A438" i="1"/>
  <c r="A439" i="1"/>
  <c r="A440" i="1"/>
  <c r="A441" i="1"/>
  <c r="A443" i="1"/>
  <c r="A444" i="1"/>
  <c r="A442" i="1"/>
  <c r="A445" i="1"/>
  <c r="A447" i="1"/>
  <c r="A449" i="1"/>
  <c r="A446" i="1"/>
  <c r="A448" i="1"/>
  <c r="A450" i="1"/>
  <c r="A453" i="1"/>
  <c r="A452" i="1"/>
  <c r="A451" i="1"/>
  <c r="A455" i="1"/>
  <c r="A454" i="1"/>
  <c r="A456" i="1"/>
  <c r="A457" i="1"/>
  <c r="A459" i="1"/>
  <c r="A458" i="1"/>
  <c r="A460" i="1"/>
  <c r="A461" i="1"/>
  <c r="A462" i="1"/>
  <c r="A463" i="1"/>
  <c r="A464" i="1"/>
  <c r="A465" i="1"/>
  <c r="A466" i="1"/>
  <c r="A467" i="1"/>
  <c r="A468" i="1"/>
  <c r="A470" i="1"/>
  <c r="A469" i="1"/>
  <c r="A471" i="1"/>
  <c r="A472" i="1"/>
  <c r="A474" i="1"/>
  <c r="A473" i="1"/>
  <c r="A475" i="1"/>
  <c r="A476" i="1"/>
  <c r="A477" i="1"/>
  <c r="A478" i="1"/>
  <c r="A479" i="1"/>
  <c r="A480" i="1"/>
  <c r="A481" i="1"/>
  <c r="A484" i="1"/>
  <c r="A483" i="1"/>
  <c r="A482" i="1"/>
  <c r="A485" i="1"/>
  <c r="A488" i="1"/>
  <c r="A487" i="1"/>
  <c r="A486" i="1"/>
  <c r="A489" i="1"/>
  <c r="A490" i="1"/>
  <c r="A491" i="1"/>
  <c r="A492" i="1"/>
  <c r="A493" i="1"/>
  <c r="A494" i="1"/>
  <c r="A495" i="1"/>
  <c r="A500" i="1"/>
  <c r="A501" i="1"/>
  <c r="A502" i="1"/>
  <c r="A505" i="1"/>
  <c r="A506" i="1"/>
  <c r="A507" i="1"/>
  <c r="A508" i="1"/>
  <c r="A513" i="1"/>
  <c r="A510" i="1"/>
  <c r="A512" i="1"/>
  <c r="A509" i="1"/>
  <c r="A514" i="1"/>
  <c r="A515" i="1"/>
  <c r="A519" i="1"/>
  <c r="A517" i="1"/>
  <c r="A518" i="1"/>
  <c r="A516" i="1"/>
  <c r="A520" i="1"/>
  <c r="A521" i="1"/>
  <c r="A522" i="1"/>
  <c r="A523" i="1"/>
  <c r="A524" i="1"/>
  <c r="A527" i="1"/>
  <c r="A528" i="1"/>
  <c r="A525" i="1"/>
  <c r="A529" i="1"/>
  <c r="A530" i="1"/>
  <c r="A531" i="1"/>
  <c r="A533" i="1"/>
  <c r="A534" i="1"/>
  <c r="A532" i="1"/>
  <c r="A535" i="1"/>
  <c r="A536" i="1"/>
  <c r="A537" i="1"/>
  <c r="A538" i="1"/>
  <c r="A539" i="1"/>
  <c r="A540" i="1"/>
  <c r="A541" i="1"/>
  <c r="A542" i="1"/>
  <c r="A543" i="1"/>
  <c r="A544" i="1"/>
  <c r="A545" i="1"/>
  <c r="A547" i="1"/>
  <c r="A546" i="1"/>
  <c r="A548" i="1"/>
  <c r="A549" i="1"/>
  <c r="A550" i="1"/>
  <c r="A551" i="1"/>
  <c r="A552" i="1"/>
  <c r="A554" i="1"/>
  <c r="A553" i="1"/>
  <c r="A555" i="1"/>
  <c r="A556" i="1"/>
  <c r="A558" i="1"/>
  <c r="A573" i="1"/>
  <c r="A564" i="1"/>
  <c r="A565" i="1"/>
  <c r="A559" i="1"/>
  <c r="A560" i="1"/>
  <c r="A561" i="1"/>
  <c r="A571" i="1"/>
  <c r="A562" i="1"/>
  <c r="A563" i="1"/>
  <c r="A572" i="1"/>
  <c r="A568" i="1"/>
  <c r="A566" i="1"/>
  <c r="A567" i="1"/>
  <c r="A586" i="1"/>
  <c r="A574" i="1"/>
  <c r="A569" i="1"/>
  <c r="A580" i="1"/>
  <c r="A588" i="1"/>
  <c r="A570" i="1"/>
  <c r="A579" i="1"/>
  <c r="A575" i="1"/>
  <c r="A578" i="1"/>
  <c r="A576" i="1"/>
  <c r="A577" i="1"/>
  <c r="A589" i="1"/>
  <c r="A587" i="1"/>
  <c r="A582" i="1"/>
  <c r="A581" i="1"/>
  <c r="A583" i="1"/>
  <c r="A584" i="1"/>
  <c r="A585" i="1"/>
  <c r="A590" i="1"/>
  <c r="A592" i="1"/>
  <c r="A593" i="1"/>
  <c r="A591" i="1"/>
  <c r="A594" i="1"/>
  <c r="A596" i="1"/>
  <c r="A597" i="1"/>
  <c r="A598" i="1"/>
  <c r="A595" i="1"/>
  <c r="A601" i="1"/>
  <c r="A599" i="1"/>
  <c r="A600" i="1"/>
  <c r="A604" i="1"/>
  <c r="A605" i="1"/>
  <c r="A603" i="1"/>
  <c r="A602" i="1"/>
  <c r="A608" i="1"/>
  <c r="A606" i="1"/>
  <c r="A607" i="1"/>
  <c r="A610" i="1"/>
  <c r="A611" i="1"/>
  <c r="A609" i="1"/>
  <c r="A612" i="1"/>
  <c r="A613" i="1"/>
  <c r="A614" i="1"/>
  <c r="A616" i="1"/>
  <c r="A617" i="1"/>
  <c r="A615" i="1"/>
  <c r="A618" i="1"/>
  <c r="A619" i="1"/>
  <c r="A620" i="1"/>
  <c r="A621" i="1"/>
  <c r="A623" i="1"/>
  <c r="A624" i="1"/>
  <c r="A622" i="1"/>
  <c r="A625" i="1"/>
  <c r="A626" i="1"/>
  <c r="A627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6" i="1"/>
  <c r="A645" i="1"/>
  <c r="A647" i="1"/>
  <c r="A648" i="1"/>
  <c r="A649" i="1"/>
  <c r="A650" i="1"/>
  <c r="A651" i="1"/>
  <c r="A653" i="1"/>
  <c r="A652" i="1"/>
  <c r="A654" i="1"/>
  <c r="A655" i="1"/>
  <c r="A658" i="1"/>
  <c r="A659" i="1"/>
  <c r="A657" i="1"/>
  <c r="A660" i="1"/>
  <c r="A656" i="1"/>
  <c r="A661" i="1"/>
  <c r="A662" i="1"/>
  <c r="A665" i="1"/>
  <c r="A664" i="1"/>
  <c r="A666" i="1"/>
  <c r="A667" i="1"/>
  <c r="A663" i="1"/>
  <c r="A668" i="1"/>
  <c r="A669" i="1"/>
  <c r="A670" i="1"/>
  <c r="A673" i="1"/>
  <c r="A672" i="1"/>
  <c r="A671" i="1"/>
  <c r="A674" i="1"/>
  <c r="A675" i="1"/>
  <c r="A676" i="1"/>
  <c r="A677" i="1"/>
  <c r="A680" i="1"/>
  <c r="A678" i="1"/>
  <c r="A679" i="1"/>
  <c r="A681" i="1"/>
  <c r="A682" i="1"/>
  <c r="A683" i="1"/>
  <c r="A684" i="1"/>
  <c r="A685" i="1"/>
  <c r="A686" i="1"/>
  <c r="A687" i="1"/>
  <c r="A688" i="1"/>
  <c r="A689" i="1"/>
  <c r="A691" i="1"/>
  <c r="A692" i="1"/>
  <c r="A690" i="1"/>
  <c r="A693" i="1"/>
  <c r="A694" i="1"/>
  <c r="A695" i="1"/>
  <c r="A696" i="1"/>
  <c r="A698" i="1"/>
  <c r="A697" i="1"/>
  <c r="A700" i="1"/>
  <c r="A701" i="1"/>
  <c r="A702" i="1"/>
  <c r="A703" i="1"/>
  <c r="A699" i="1"/>
  <c r="A704" i="1"/>
  <c r="A706" i="1"/>
  <c r="A708" i="1"/>
  <c r="A707" i="1"/>
  <c r="A709" i="1"/>
  <c r="A710" i="1"/>
  <c r="A705" i="1"/>
  <c r="A711" i="1"/>
  <c r="A712" i="1"/>
  <c r="A714" i="1"/>
  <c r="A713" i="1"/>
  <c r="A718" i="1"/>
  <c r="A715" i="1"/>
  <c r="A717" i="1"/>
  <c r="A719" i="1"/>
  <c r="A720" i="1"/>
  <c r="A721" i="1"/>
  <c r="A722" i="1"/>
  <c r="A725" i="1"/>
  <c r="A723" i="1"/>
  <c r="A724" i="1"/>
  <c r="A726" i="1"/>
  <c r="A727" i="1"/>
  <c r="A729" i="1"/>
  <c r="A728" i="1"/>
  <c r="A730" i="1"/>
  <c r="A731" i="1"/>
  <c r="A732" i="1"/>
  <c r="A733" i="1"/>
  <c r="A734" i="1"/>
  <c r="A736" i="1"/>
  <c r="A735" i="1"/>
  <c r="A737" i="1"/>
  <c r="A738" i="1"/>
  <c r="A739" i="1"/>
  <c r="A740" i="1"/>
  <c r="A741" i="1"/>
  <c r="A742" i="1"/>
  <c r="A743" i="1"/>
  <c r="A744" i="1"/>
  <c r="A745" i="1"/>
  <c r="A747" i="1"/>
  <c r="A746" i="1"/>
  <c r="A749" i="1"/>
  <c r="A750" i="1"/>
  <c r="A751" i="1"/>
  <c r="A752" i="1"/>
  <c r="A753" i="1"/>
  <c r="A755" i="1"/>
  <c r="A754" i="1"/>
  <c r="A756" i="1"/>
  <c r="A757" i="1"/>
  <c r="A758" i="1"/>
  <c r="A759" i="1"/>
  <c r="A760" i="1"/>
  <c r="A761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8" i="1"/>
  <c r="A777" i="1"/>
  <c r="A779" i="1"/>
  <c r="A780" i="1"/>
  <c r="A781" i="1"/>
  <c r="A782" i="1"/>
  <c r="A783" i="1"/>
  <c r="A784" i="1"/>
  <c r="A786" i="1"/>
  <c r="A785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5" i="1"/>
  <c r="A804" i="1"/>
  <c r="A806" i="1"/>
  <c r="A807" i="1"/>
  <c r="A808" i="1"/>
  <c r="A809" i="1"/>
  <c r="A810" i="1"/>
  <c r="A811" i="1"/>
  <c r="A812" i="1"/>
  <c r="A814" i="1"/>
  <c r="A813" i="1"/>
  <c r="A815" i="1"/>
  <c r="A816" i="1"/>
  <c r="A817" i="1"/>
  <c r="A818" i="1"/>
  <c r="A819" i="1"/>
  <c r="A820" i="1"/>
  <c r="A822" i="1"/>
  <c r="A821" i="1"/>
  <c r="A824" i="1"/>
  <c r="A823" i="1"/>
  <c r="A825" i="1"/>
  <c r="A828" i="1"/>
  <c r="A827" i="1"/>
  <c r="A829" i="1"/>
  <c r="A830" i="1"/>
  <c r="A831" i="1"/>
  <c r="A832" i="1"/>
  <c r="A834" i="1"/>
  <c r="A835" i="1"/>
  <c r="A833" i="1"/>
  <c r="A836" i="1"/>
  <c r="A838" i="1"/>
  <c r="A837" i="1"/>
  <c r="A839" i="1"/>
  <c r="A840" i="1"/>
  <c r="A842" i="1"/>
  <c r="A841" i="1"/>
  <c r="A843" i="1"/>
  <c r="A844" i="1"/>
  <c r="A845" i="1"/>
  <c r="A846" i="1"/>
  <c r="A847" i="1"/>
  <c r="A848" i="1"/>
  <c r="A849" i="1"/>
  <c r="A850" i="1"/>
  <c r="A852" i="1"/>
  <c r="A851" i="1"/>
  <c r="A853" i="1"/>
  <c r="A854" i="1"/>
  <c r="A855" i="1"/>
  <c r="A856" i="1"/>
  <c r="A857" i="1"/>
  <c r="A858" i="1"/>
  <c r="A859" i="1"/>
  <c r="A860" i="1"/>
  <c r="A861" i="1"/>
  <c r="A862" i="1"/>
  <c r="A864" i="1"/>
  <c r="A863" i="1"/>
  <c r="A865" i="1"/>
  <c r="A866" i="1"/>
  <c r="A867" i="1"/>
  <c r="A868" i="1"/>
  <c r="A869" i="1"/>
  <c r="A870" i="1"/>
  <c r="A871" i="1"/>
  <c r="A874" i="1"/>
  <c r="A872" i="1"/>
  <c r="A873" i="1"/>
  <c r="A875" i="1"/>
  <c r="A876" i="1"/>
  <c r="A878" i="1"/>
  <c r="A879" i="1"/>
  <c r="A877" i="1"/>
  <c r="A880" i="1"/>
  <c r="A881" i="1"/>
  <c r="A883" i="1"/>
  <c r="A882" i="1"/>
  <c r="A884" i="1"/>
  <c r="A885" i="1"/>
  <c r="A886" i="1"/>
  <c r="A888" i="1"/>
  <c r="A889" i="1"/>
  <c r="A887" i="1"/>
  <c r="A891" i="1"/>
  <c r="A890" i="1"/>
  <c r="A892" i="1"/>
  <c r="A893" i="1"/>
  <c r="A894" i="1"/>
  <c r="A895" i="1"/>
  <c r="A896" i="1"/>
  <c r="A897" i="1"/>
  <c r="A898" i="1"/>
  <c r="A899" i="1"/>
  <c r="A901" i="1"/>
  <c r="A900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7" i="1"/>
  <c r="A914" i="1"/>
  <c r="A916" i="1"/>
  <c r="A918" i="1"/>
  <c r="A920" i="1"/>
  <c r="A919" i="1"/>
  <c r="A921" i="1"/>
  <c r="A922" i="1"/>
  <c r="A923" i="1"/>
  <c r="A924" i="1"/>
  <c r="A927" i="1"/>
  <c r="A925" i="1"/>
  <c r="A926" i="1"/>
  <c r="A928" i="1"/>
  <c r="A930" i="1"/>
  <c r="A929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9" i="1"/>
  <c r="A958" i="1"/>
  <c r="A963" i="1"/>
  <c r="A965" i="1"/>
  <c r="A964" i="1"/>
  <c r="A961" i="1"/>
  <c r="A966" i="1"/>
  <c r="A962" i="1"/>
  <c r="A960" i="1"/>
  <c r="A967" i="1"/>
  <c r="A969" i="1"/>
  <c r="A968" i="1"/>
  <c r="A973" i="1"/>
  <c r="A975" i="1"/>
  <c r="A974" i="1"/>
  <c r="A971" i="1"/>
  <c r="A976" i="1"/>
  <c r="A972" i="1"/>
  <c r="A970" i="1"/>
  <c r="A977" i="1"/>
  <c r="A980" i="1"/>
  <c r="A981" i="1"/>
  <c r="A982" i="1"/>
  <c r="A979" i="1"/>
  <c r="A978" i="1"/>
  <c r="A983" i="1"/>
  <c r="A984" i="1"/>
  <c r="A985" i="1"/>
  <c r="A986" i="1"/>
  <c r="A987" i="1"/>
  <c r="A990" i="1"/>
  <c r="A991" i="1"/>
  <c r="A992" i="1"/>
  <c r="A989" i="1"/>
  <c r="A988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7" i="1"/>
  <c r="A1028" i="1"/>
  <c r="A1026" i="1"/>
  <c r="A1029" i="1"/>
  <c r="A1030" i="1"/>
  <c r="A1031" i="1"/>
  <c r="A1032" i="1"/>
  <c r="A1033" i="1"/>
  <c r="A1034" i="1"/>
  <c r="A1035" i="1"/>
  <c r="A1040" i="1"/>
  <c r="A1037" i="1"/>
  <c r="A1038" i="1"/>
  <c r="A1039" i="1"/>
  <c r="A1036" i="1"/>
  <c r="A1041" i="1"/>
  <c r="A1042" i="1"/>
  <c r="A1043" i="1"/>
  <c r="A1044" i="1"/>
  <c r="A1045" i="1"/>
  <c r="A1050" i="1"/>
  <c r="A1046" i="1"/>
  <c r="A1047" i="1"/>
  <c r="A1049" i="1"/>
  <c r="A1048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8" i="1"/>
  <c r="A1077" i="1"/>
  <c r="A1079" i="1"/>
  <c r="A1080" i="1"/>
  <c r="A1081" i="1"/>
  <c r="A1082" i="1"/>
  <c r="A1083" i="1"/>
  <c r="A1084" i="1"/>
  <c r="A1086" i="1"/>
  <c r="A1085" i="1"/>
  <c r="A1088" i="1"/>
  <c r="A1087" i="1"/>
  <c r="A1089" i="1"/>
  <c r="A1090" i="1"/>
  <c r="A1091" i="1"/>
  <c r="A1092" i="1"/>
  <c r="A1093" i="1"/>
  <c r="A1094" i="1"/>
  <c r="A1096" i="1"/>
  <c r="A1097" i="1"/>
  <c r="A1095" i="1"/>
  <c r="A1098" i="1"/>
  <c r="A1099" i="1"/>
  <c r="A1100" i="1"/>
  <c r="A1101" i="1"/>
  <c r="A1102" i="1"/>
  <c r="A1103" i="1"/>
  <c r="A1104" i="1"/>
  <c r="A1105" i="1"/>
  <c r="A1107" i="1"/>
  <c r="A1106" i="1"/>
  <c r="A1108" i="1"/>
  <c r="A1109" i="1"/>
  <c r="A1111" i="1"/>
  <c r="A1112" i="1"/>
  <c r="A1110" i="1"/>
  <c r="A1113" i="1"/>
  <c r="A1115" i="1"/>
  <c r="A1114" i="1"/>
  <c r="A1116" i="1"/>
  <c r="A1117" i="1"/>
  <c r="A1118" i="1"/>
  <c r="A1119" i="1"/>
  <c r="A1121" i="1"/>
  <c r="A1122" i="1"/>
  <c r="A1120" i="1"/>
  <c r="A1123" i="1"/>
  <c r="A1125" i="1"/>
  <c r="A1124" i="1"/>
  <c r="A1126" i="1"/>
  <c r="A1127" i="1"/>
  <c r="A1128" i="1"/>
  <c r="A1129" i="1"/>
  <c r="A1130" i="1"/>
  <c r="A1132" i="1"/>
  <c r="A1133" i="1"/>
  <c r="A1131" i="1"/>
  <c r="A1134" i="1"/>
  <c r="AC8" i="1" a="1"/>
  <c r="AC8" i="1" s="1"/>
  <c r="AB8" i="1" s="1"/>
  <c r="AC9" i="1" a="1"/>
  <c r="AC9" i="1" s="1"/>
  <c r="AB9" i="1" s="1"/>
  <c r="AC13" i="1" a="1"/>
  <c r="AC13" i="1" s="1"/>
  <c r="AB13" i="1" s="1"/>
  <c r="AC14" i="1" a="1"/>
  <c r="AC14" i="1" s="1"/>
  <c r="AB14" i="1" s="1"/>
  <c r="AC15" i="1" a="1"/>
  <c r="AC15" i="1" s="1"/>
  <c r="AB15" i="1" s="1"/>
  <c r="AC16" i="1" a="1"/>
  <c r="AC16" i="1" s="1"/>
  <c r="AB16" i="1" s="1"/>
  <c r="AC17" i="1" a="1"/>
  <c r="AC17" i="1" s="1"/>
  <c r="AB17" i="1" s="1"/>
  <c r="AC18" i="1" a="1"/>
  <c r="AC18" i="1" s="1"/>
  <c r="AB18" i="1" s="1"/>
  <c r="AC19" i="1" a="1"/>
  <c r="AC19" i="1" s="1"/>
  <c r="AB19" i="1" s="1"/>
  <c r="AC20" i="1" a="1"/>
  <c r="AC20" i="1" s="1"/>
  <c r="AB20" i="1" s="1"/>
  <c r="AC21" i="1" a="1"/>
  <c r="AC21" i="1" s="1"/>
  <c r="AB21" i="1" s="1"/>
  <c r="AC22" i="1" a="1"/>
  <c r="AC22" i="1" s="1"/>
  <c r="AB22" i="1" s="1"/>
  <c r="AC23" i="1" a="1"/>
  <c r="AC23" i="1" s="1"/>
  <c r="AB23" i="1" s="1"/>
  <c r="AC24" i="1" a="1"/>
  <c r="AC24" i="1" s="1"/>
  <c r="AB24" i="1" s="1"/>
  <c r="AC26" i="1" a="1"/>
  <c r="AC26" i="1" s="1"/>
  <c r="AB26" i="1" s="1"/>
  <c r="AC25" i="1" a="1"/>
  <c r="AC25" i="1" s="1"/>
  <c r="AB25" i="1" s="1"/>
  <c r="AC28" i="1" a="1"/>
  <c r="AC28" i="1" s="1"/>
  <c r="AB28" i="1" s="1"/>
  <c r="AC27" i="1" a="1"/>
  <c r="AC27" i="1" s="1"/>
  <c r="AB27" i="1" s="1"/>
  <c r="AC30" i="1" a="1"/>
  <c r="AC30" i="1" s="1"/>
  <c r="AB30" i="1" s="1"/>
  <c r="AC29" i="1" a="1"/>
  <c r="AC29" i="1" s="1"/>
  <c r="AB29" i="1" s="1"/>
  <c r="AC32" i="1" a="1"/>
  <c r="AC32" i="1" s="1"/>
  <c r="AB32" i="1" s="1"/>
  <c r="AC31" i="1" a="1"/>
  <c r="AC31" i="1" s="1"/>
  <c r="AB31" i="1" s="1"/>
  <c r="AC33" i="1" a="1"/>
  <c r="AC33" i="1" s="1"/>
  <c r="AB33" i="1" s="1"/>
  <c r="AC34" i="1" a="1"/>
  <c r="AC34" i="1" s="1"/>
  <c r="AB34" i="1" s="1"/>
  <c r="AC35" i="1" a="1"/>
  <c r="AC35" i="1" s="1"/>
  <c r="AB35" i="1" s="1"/>
  <c r="AC36" i="1" a="1"/>
  <c r="AC36" i="1" s="1"/>
  <c r="AB36" i="1" s="1"/>
  <c r="AC37" i="1" a="1"/>
  <c r="AC37" i="1" s="1"/>
  <c r="AB37" i="1" s="1"/>
  <c r="AC38" i="1" a="1"/>
  <c r="AC38" i="1" s="1"/>
  <c r="AB38" i="1" s="1"/>
  <c r="AC39" i="1" a="1"/>
  <c r="AC39" i="1" s="1"/>
  <c r="AB39" i="1" s="1"/>
  <c r="AC40" i="1" a="1"/>
  <c r="AC40" i="1" s="1"/>
  <c r="AB40" i="1" s="1"/>
  <c r="AC41" i="1" a="1"/>
  <c r="AC41" i="1" s="1"/>
  <c r="AB41" i="1" s="1"/>
  <c r="AC42" i="1" a="1"/>
  <c r="AC42" i="1" s="1"/>
  <c r="AB42" i="1" s="1"/>
  <c r="AC43" i="1" a="1"/>
  <c r="AC43" i="1" s="1"/>
  <c r="AB43" i="1" s="1"/>
  <c r="AC44" i="1" a="1"/>
  <c r="AC44" i="1" s="1"/>
  <c r="AB44" i="1" s="1"/>
  <c r="AC45" i="1" a="1"/>
  <c r="AC45" i="1" s="1"/>
  <c r="AB45" i="1" s="1"/>
  <c r="AC46" i="1" a="1"/>
  <c r="AC46" i="1" s="1"/>
  <c r="AB46" i="1" s="1"/>
  <c r="AC47" i="1" a="1"/>
  <c r="AC47" i="1" s="1"/>
  <c r="AB47" i="1" s="1"/>
  <c r="AC48" i="1" a="1"/>
  <c r="AC48" i="1" s="1"/>
  <c r="AB48" i="1" s="1"/>
  <c r="AC49" i="1" a="1"/>
  <c r="AC49" i="1" s="1"/>
  <c r="AB49" i="1" s="1"/>
  <c r="AC50" i="1" a="1"/>
  <c r="AC50" i="1" s="1"/>
  <c r="AB50" i="1" s="1"/>
  <c r="AC51" i="1" a="1"/>
  <c r="AC51" i="1" s="1"/>
  <c r="AB51" i="1" s="1"/>
  <c r="AC52" i="1" a="1"/>
  <c r="AC52" i="1" s="1"/>
  <c r="AB52" i="1" s="1"/>
  <c r="AC53" i="1" a="1"/>
  <c r="AC53" i="1" s="1"/>
  <c r="AB53" i="1" s="1"/>
  <c r="AC54" i="1" a="1"/>
  <c r="AC54" i="1" s="1"/>
  <c r="AB54" i="1" s="1"/>
  <c r="AC55" i="1" a="1"/>
  <c r="AC55" i="1" s="1"/>
  <c r="AB55" i="1" s="1"/>
  <c r="AC57" i="1" a="1"/>
  <c r="AC57" i="1" s="1"/>
  <c r="AB57" i="1" s="1"/>
  <c r="AC58" i="1" a="1"/>
  <c r="AC58" i="1" s="1"/>
  <c r="AB58" i="1" s="1"/>
  <c r="AC56" i="1" a="1"/>
  <c r="AC56" i="1" s="1"/>
  <c r="AB56" i="1" s="1"/>
  <c r="AC59" i="1" a="1"/>
  <c r="AC59" i="1" s="1"/>
  <c r="AB59" i="1" s="1"/>
  <c r="AC60" i="1" a="1"/>
  <c r="AC60" i="1" s="1"/>
  <c r="AB60" i="1" s="1"/>
  <c r="AC61" i="1" a="1"/>
  <c r="AC61" i="1" s="1"/>
  <c r="AB61" i="1" s="1"/>
  <c r="AC62" i="1" a="1"/>
  <c r="AC62" i="1" s="1"/>
  <c r="AB62" i="1" s="1"/>
  <c r="AC64" i="1" a="1"/>
  <c r="AC64" i="1" s="1"/>
  <c r="AB64" i="1" s="1"/>
  <c r="AC65" i="1" a="1"/>
  <c r="AC65" i="1" s="1"/>
  <c r="AB65" i="1" s="1"/>
  <c r="AC63" i="1" a="1"/>
  <c r="AC63" i="1" s="1"/>
  <c r="AB63" i="1" s="1"/>
  <c r="AC66" i="1" a="1"/>
  <c r="AC66" i="1" s="1"/>
  <c r="AB66" i="1" s="1"/>
  <c r="AC67" i="1" a="1"/>
  <c r="AC67" i="1" s="1"/>
  <c r="AB67" i="1" s="1"/>
  <c r="AC68" i="1" a="1"/>
  <c r="AC68" i="1" s="1"/>
  <c r="AB68" i="1" s="1"/>
  <c r="AC69" i="1" a="1"/>
  <c r="AC69" i="1" s="1"/>
  <c r="AB69" i="1" s="1"/>
  <c r="AC70" i="1" a="1"/>
  <c r="AC70" i="1" s="1"/>
  <c r="AB70" i="1" s="1"/>
  <c r="AC71" i="1" a="1"/>
  <c r="AC71" i="1" s="1"/>
  <c r="AB71" i="1" s="1"/>
  <c r="AC74" i="1" a="1"/>
  <c r="AC74" i="1" s="1"/>
  <c r="AB74" i="1" s="1"/>
  <c r="AC75" i="1" a="1"/>
  <c r="AC75" i="1" s="1"/>
  <c r="AB75" i="1" s="1"/>
  <c r="AC77" i="1" a="1"/>
  <c r="AC77" i="1" s="1"/>
  <c r="AB77" i="1" s="1"/>
  <c r="AC76" i="1" a="1"/>
  <c r="AC76" i="1" s="1"/>
  <c r="AB76" i="1" s="1"/>
  <c r="AC73" i="1" a="1"/>
  <c r="AC73" i="1" s="1"/>
  <c r="AB73" i="1" s="1"/>
  <c r="AC72" i="1" a="1"/>
  <c r="AC72" i="1" s="1"/>
  <c r="AB72" i="1" s="1"/>
  <c r="AC78" i="1" a="1"/>
  <c r="AC78" i="1" s="1"/>
  <c r="AB78" i="1" s="1"/>
  <c r="AC79" i="1" a="1"/>
  <c r="AC79" i="1" s="1"/>
  <c r="AB79" i="1" s="1"/>
  <c r="AC80" i="1" a="1"/>
  <c r="AC80" i="1" s="1"/>
  <c r="AB80" i="1" s="1"/>
  <c r="AC81" i="1" a="1"/>
  <c r="AC81" i="1" s="1"/>
  <c r="AB81" i="1" s="1"/>
  <c r="AC85" i="1" a="1"/>
  <c r="AC85" i="1" s="1"/>
  <c r="AB85" i="1" s="1"/>
  <c r="AC84" i="1" a="1"/>
  <c r="AC84" i="1" s="1"/>
  <c r="AB84" i="1" s="1"/>
  <c r="AC87" i="1" a="1"/>
  <c r="AC87" i="1" s="1"/>
  <c r="AB87" i="1" s="1"/>
  <c r="AC86" i="1" a="1"/>
  <c r="AC86" i="1" s="1"/>
  <c r="AB86" i="1" s="1"/>
  <c r="AC82" i="1" a="1"/>
  <c r="AC82" i="1" s="1"/>
  <c r="AB82" i="1" s="1"/>
  <c r="AC83" i="1" a="1"/>
  <c r="AC83" i="1" s="1"/>
  <c r="AB83" i="1" s="1"/>
  <c r="AC88" i="1" a="1"/>
  <c r="AC88" i="1" s="1"/>
  <c r="AB88" i="1" s="1"/>
  <c r="AC89" i="1" a="1"/>
  <c r="AC89" i="1" s="1"/>
  <c r="AB89" i="1" s="1"/>
  <c r="AC90" i="1" a="1"/>
  <c r="AC90" i="1" s="1"/>
  <c r="AB90" i="1" s="1"/>
  <c r="AC91" i="1" a="1"/>
  <c r="AC91" i="1" s="1"/>
  <c r="AB91" i="1" s="1"/>
  <c r="AC92" i="1" a="1"/>
  <c r="AC92" i="1" s="1"/>
  <c r="AB92" i="1" s="1"/>
  <c r="AC93" i="1" a="1"/>
  <c r="AC93" i="1" s="1"/>
  <c r="AB93" i="1" s="1"/>
  <c r="AC95" i="1" a="1"/>
  <c r="AC95" i="1" s="1"/>
  <c r="AB95" i="1" s="1"/>
  <c r="AC96" i="1" a="1"/>
  <c r="AC96" i="1" s="1"/>
  <c r="AB96" i="1" s="1"/>
  <c r="AC94" i="1" a="1"/>
  <c r="AC94" i="1" s="1"/>
  <c r="AB94" i="1" s="1"/>
  <c r="AC97" i="1" a="1"/>
  <c r="AC97" i="1" s="1"/>
  <c r="AB97" i="1" s="1"/>
  <c r="AC99" i="1" a="1"/>
  <c r="AC99" i="1" s="1"/>
  <c r="AB99" i="1" s="1"/>
  <c r="AC100" i="1" a="1"/>
  <c r="AC100" i="1" s="1"/>
  <c r="AB100" i="1" s="1"/>
  <c r="AC98" i="1" a="1"/>
  <c r="AC98" i="1" s="1"/>
  <c r="AB98" i="1" s="1"/>
  <c r="AC101" i="1" a="1"/>
  <c r="AC101" i="1" s="1"/>
  <c r="AB101" i="1" s="1"/>
  <c r="AC102" i="1" a="1"/>
  <c r="AC102" i="1" s="1"/>
  <c r="AB102" i="1" s="1"/>
  <c r="AC103" i="1" a="1"/>
  <c r="AC103" i="1" s="1"/>
  <c r="AB103" i="1" s="1"/>
  <c r="AC104" i="1" a="1"/>
  <c r="AC104" i="1" s="1"/>
  <c r="AB104" i="1" s="1"/>
  <c r="AC105" i="1" a="1"/>
  <c r="AC105" i="1" s="1"/>
  <c r="AB105" i="1" s="1"/>
  <c r="AC106" i="1" a="1"/>
  <c r="AC106" i="1" s="1"/>
  <c r="AB106" i="1" s="1"/>
  <c r="AC107" i="1" a="1"/>
  <c r="AC107" i="1" s="1"/>
  <c r="AB107" i="1" s="1"/>
  <c r="AC108" i="1" a="1"/>
  <c r="AC108" i="1" s="1"/>
  <c r="AB108" i="1" s="1"/>
  <c r="AC109" i="1" a="1"/>
  <c r="AC109" i="1" s="1"/>
  <c r="AB109" i="1" s="1"/>
  <c r="AC110" i="1" a="1"/>
  <c r="AC110" i="1" s="1"/>
  <c r="AB110" i="1" s="1"/>
  <c r="AC111" i="1" a="1"/>
  <c r="AC111" i="1" s="1"/>
  <c r="AB111" i="1" s="1"/>
  <c r="AC112" i="1" a="1"/>
  <c r="AC112" i="1" s="1"/>
  <c r="AB112" i="1" s="1"/>
  <c r="AC113" i="1" a="1"/>
  <c r="AC113" i="1" s="1"/>
  <c r="AB113" i="1" s="1"/>
  <c r="AC114" i="1" a="1"/>
  <c r="AC114" i="1" s="1"/>
  <c r="AB114" i="1" s="1"/>
  <c r="AC116" i="1" a="1"/>
  <c r="AC116" i="1" s="1"/>
  <c r="AB116" i="1" s="1"/>
  <c r="AC115" i="1" a="1"/>
  <c r="AC115" i="1" s="1"/>
  <c r="AB115" i="1" s="1"/>
  <c r="AC119" i="1" a="1"/>
  <c r="AC119" i="1" s="1"/>
  <c r="AB119" i="1" s="1"/>
  <c r="AC118" i="1" a="1"/>
  <c r="AC118" i="1" s="1"/>
  <c r="AB118" i="1" s="1"/>
  <c r="AC117" i="1" a="1"/>
  <c r="AC117" i="1" s="1"/>
  <c r="AB117" i="1" s="1"/>
  <c r="AC120" i="1" a="1"/>
  <c r="AC120" i="1" s="1"/>
  <c r="AB120" i="1" s="1"/>
  <c r="AC121" i="1" a="1"/>
  <c r="AC121" i="1" s="1"/>
  <c r="AB121" i="1" s="1"/>
  <c r="AC122" i="1" a="1"/>
  <c r="AC122" i="1" s="1"/>
  <c r="AB122" i="1" s="1"/>
  <c r="AC123" i="1" a="1"/>
  <c r="AC123" i="1" s="1"/>
  <c r="AB123" i="1" s="1"/>
  <c r="AC124" i="1" a="1"/>
  <c r="AC124" i="1" s="1"/>
  <c r="AB124" i="1" s="1"/>
  <c r="AC125" i="1" a="1"/>
  <c r="AC125" i="1" s="1"/>
  <c r="AB125" i="1" s="1"/>
  <c r="AC126" i="1" a="1"/>
  <c r="AC126" i="1" s="1"/>
  <c r="AB126" i="1" s="1"/>
  <c r="AC127" i="1" a="1"/>
  <c r="AC127" i="1" s="1"/>
  <c r="AB127" i="1" s="1"/>
  <c r="AC128" i="1" a="1"/>
  <c r="AC128" i="1" s="1"/>
  <c r="AB128" i="1" s="1"/>
  <c r="AC129" i="1" a="1"/>
  <c r="AC129" i="1" s="1"/>
  <c r="AB129" i="1" s="1"/>
  <c r="AC130" i="1" a="1"/>
  <c r="AC130" i="1" s="1"/>
  <c r="AB130" i="1" s="1"/>
  <c r="AC131" i="1" a="1"/>
  <c r="AC131" i="1" s="1"/>
  <c r="AB131" i="1" s="1"/>
  <c r="AC132" i="1" a="1"/>
  <c r="AC132" i="1" s="1"/>
  <c r="AB132" i="1" s="1"/>
  <c r="AC133" i="1" a="1"/>
  <c r="AC133" i="1" s="1"/>
  <c r="AB133" i="1" s="1"/>
  <c r="AC134" i="1" a="1"/>
  <c r="AC134" i="1" s="1"/>
  <c r="AB134" i="1" s="1"/>
  <c r="AC135" i="1" a="1"/>
  <c r="AC135" i="1" s="1"/>
  <c r="AB135" i="1" s="1"/>
  <c r="AC136" i="1" a="1"/>
  <c r="AC136" i="1" s="1"/>
  <c r="AB136" i="1" s="1"/>
  <c r="AC137" i="1" a="1"/>
  <c r="AC137" i="1" s="1"/>
  <c r="AB137" i="1" s="1"/>
  <c r="AC138" i="1" a="1"/>
  <c r="AC138" i="1" s="1"/>
  <c r="AB138" i="1" s="1"/>
  <c r="AC139" i="1" a="1"/>
  <c r="AC139" i="1" s="1"/>
  <c r="AB139" i="1" s="1"/>
  <c r="AC140" i="1" a="1"/>
  <c r="AC140" i="1" s="1"/>
  <c r="AB140" i="1" s="1"/>
  <c r="AC141" i="1" a="1"/>
  <c r="AC141" i="1" s="1"/>
  <c r="AB141" i="1" s="1"/>
  <c r="AC142" i="1" a="1"/>
  <c r="AC142" i="1" s="1"/>
  <c r="AB142" i="1" s="1"/>
  <c r="AC143" i="1" a="1"/>
  <c r="AC143" i="1" s="1"/>
  <c r="AB143" i="1" s="1"/>
  <c r="AC144" i="1" a="1"/>
  <c r="AC144" i="1" s="1"/>
  <c r="AB144" i="1" s="1"/>
  <c r="AC145" i="1" a="1"/>
  <c r="AC145" i="1" s="1"/>
  <c r="AB145" i="1" s="1"/>
  <c r="AC146" i="1" a="1"/>
  <c r="AC146" i="1" s="1"/>
  <c r="AB146" i="1" s="1"/>
  <c r="AC147" i="1" a="1"/>
  <c r="AC147" i="1" s="1"/>
  <c r="AB147" i="1" s="1"/>
  <c r="AC148" i="1" a="1"/>
  <c r="AC148" i="1" s="1"/>
  <c r="AB148" i="1" s="1"/>
  <c r="AC149" i="1" a="1"/>
  <c r="AC149" i="1" s="1"/>
  <c r="AB149" i="1" s="1"/>
  <c r="AC150" i="1" a="1"/>
  <c r="AC150" i="1" s="1"/>
  <c r="AB150" i="1" s="1"/>
  <c r="AC151" i="1" a="1"/>
  <c r="AC151" i="1" s="1"/>
  <c r="AB151" i="1" s="1"/>
  <c r="AC152" i="1" a="1"/>
  <c r="AC152" i="1" s="1"/>
  <c r="AB152" i="1" s="1"/>
  <c r="AC153" i="1" a="1"/>
  <c r="AC153" i="1" s="1"/>
  <c r="AB153" i="1" s="1"/>
  <c r="AC154" i="1" a="1"/>
  <c r="AC154" i="1" s="1"/>
  <c r="AB154" i="1" s="1"/>
  <c r="AC155" i="1" a="1"/>
  <c r="AC155" i="1" s="1"/>
  <c r="AB155" i="1" s="1"/>
  <c r="AC156" i="1" a="1"/>
  <c r="AC156" i="1" s="1"/>
  <c r="AB156" i="1" s="1"/>
  <c r="AC157" i="1" a="1"/>
  <c r="AC157" i="1" s="1"/>
  <c r="AB157" i="1" s="1"/>
  <c r="AC158" i="1" a="1"/>
  <c r="AC158" i="1" s="1"/>
  <c r="AB158" i="1" s="1"/>
  <c r="AC159" i="1" a="1"/>
  <c r="AC159" i="1" s="1"/>
  <c r="AB159" i="1" s="1"/>
  <c r="AC160" i="1" a="1"/>
  <c r="AC160" i="1" s="1"/>
  <c r="AB160" i="1" s="1"/>
  <c r="AC161" i="1" a="1"/>
  <c r="AC161" i="1" s="1"/>
  <c r="AB161" i="1" s="1"/>
  <c r="AC162" i="1" a="1"/>
  <c r="AC162" i="1" s="1"/>
  <c r="AB162" i="1" s="1"/>
  <c r="AC163" i="1" a="1"/>
  <c r="AC163" i="1" s="1"/>
  <c r="AB163" i="1" s="1"/>
  <c r="AC164" i="1" a="1"/>
  <c r="AC164" i="1" s="1"/>
  <c r="AB164" i="1" s="1"/>
  <c r="AC165" i="1" a="1"/>
  <c r="AC165" i="1" s="1"/>
  <c r="AB165" i="1" s="1"/>
  <c r="AC166" i="1" a="1"/>
  <c r="AC166" i="1" s="1"/>
  <c r="AB166" i="1" s="1"/>
  <c r="AC167" i="1" a="1"/>
  <c r="AC167" i="1" s="1"/>
  <c r="AB167" i="1" s="1"/>
  <c r="AC169" i="1" a="1"/>
  <c r="AC169" i="1" s="1"/>
  <c r="AB169" i="1" s="1"/>
  <c r="AC170" i="1" a="1"/>
  <c r="AC170" i="1" s="1"/>
  <c r="AB170" i="1" s="1"/>
  <c r="AC168" i="1" a="1"/>
  <c r="AC168" i="1" s="1"/>
  <c r="AB168" i="1" s="1"/>
  <c r="AC172" i="1" a="1"/>
  <c r="AC172" i="1" s="1"/>
  <c r="AB172" i="1" s="1"/>
  <c r="AC173" i="1" a="1"/>
  <c r="AC173" i="1" s="1"/>
  <c r="AB173" i="1" s="1"/>
  <c r="AC174" i="1" a="1"/>
  <c r="AC174" i="1" s="1"/>
  <c r="AB174" i="1" s="1"/>
  <c r="AC175" i="1" a="1"/>
  <c r="AC175" i="1" s="1"/>
  <c r="AB175" i="1" s="1"/>
  <c r="AC176" i="1" a="1"/>
  <c r="AC176" i="1" s="1"/>
  <c r="AB176" i="1" s="1"/>
  <c r="AC177" i="1" a="1"/>
  <c r="AC177" i="1" s="1"/>
  <c r="AB177" i="1" s="1"/>
  <c r="AC178" i="1" a="1"/>
  <c r="AC178" i="1" s="1"/>
  <c r="AB178" i="1" s="1"/>
  <c r="AC179" i="1" a="1"/>
  <c r="AC179" i="1" s="1"/>
  <c r="AB179" i="1" s="1"/>
  <c r="AC180" i="1" a="1"/>
  <c r="AC180" i="1" s="1"/>
  <c r="AB180" i="1" s="1"/>
  <c r="AC181" i="1" a="1"/>
  <c r="AC181" i="1" s="1"/>
  <c r="AB181" i="1" s="1"/>
  <c r="AC182" i="1" a="1"/>
  <c r="AC182" i="1" s="1"/>
  <c r="AB182" i="1" s="1"/>
  <c r="AC183" i="1" a="1"/>
  <c r="AC183" i="1" s="1"/>
  <c r="AB183" i="1" s="1"/>
  <c r="AC184" i="1" a="1"/>
  <c r="AC184" i="1" s="1"/>
  <c r="AB184" i="1" s="1"/>
  <c r="AC185" i="1" a="1"/>
  <c r="AC185" i="1" s="1"/>
  <c r="AB185" i="1" s="1"/>
  <c r="AC186" i="1" a="1"/>
  <c r="AC186" i="1" s="1"/>
  <c r="AB186" i="1" s="1"/>
  <c r="AC187" i="1" a="1"/>
  <c r="AC187" i="1" s="1"/>
  <c r="AB187" i="1" s="1"/>
  <c r="AC188" i="1" a="1"/>
  <c r="AC188" i="1" s="1"/>
  <c r="AB188" i="1" s="1"/>
  <c r="AC189" i="1" a="1"/>
  <c r="AC189" i="1" s="1"/>
  <c r="AB189" i="1" s="1"/>
  <c r="AC190" i="1" a="1"/>
  <c r="AC190" i="1" s="1"/>
  <c r="AB190" i="1" s="1"/>
  <c r="AC191" i="1" a="1"/>
  <c r="AC191" i="1" s="1"/>
  <c r="AB191" i="1" s="1"/>
  <c r="AC192" i="1" a="1"/>
  <c r="AC192" i="1" s="1"/>
  <c r="AB192" i="1" s="1"/>
  <c r="AC193" i="1" a="1"/>
  <c r="AC193" i="1" s="1"/>
  <c r="AB193" i="1" s="1"/>
  <c r="AC194" i="1" a="1"/>
  <c r="AC194" i="1" s="1"/>
  <c r="AB194" i="1" s="1"/>
  <c r="AC195" i="1" a="1"/>
  <c r="AC195" i="1" s="1"/>
  <c r="AB195" i="1" s="1"/>
  <c r="AC196" i="1" a="1"/>
  <c r="AC196" i="1" s="1"/>
  <c r="AB196" i="1" s="1"/>
  <c r="AC197" i="1" a="1"/>
  <c r="AC197" i="1" s="1"/>
  <c r="AB197" i="1" s="1"/>
  <c r="AC199" i="1" a="1"/>
  <c r="AC199" i="1" s="1"/>
  <c r="AB199" i="1" s="1"/>
  <c r="AC200" i="1" a="1"/>
  <c r="AC200" i="1" s="1"/>
  <c r="AB200" i="1" s="1"/>
  <c r="AC198" i="1" a="1"/>
  <c r="AC198" i="1" s="1"/>
  <c r="AB198" i="1" s="1"/>
  <c r="AC201" i="1" a="1"/>
  <c r="AC201" i="1" s="1"/>
  <c r="AB201" i="1" s="1"/>
  <c r="AC202" i="1" a="1"/>
  <c r="AC202" i="1" s="1"/>
  <c r="AB202" i="1" s="1"/>
  <c r="AC203" i="1" a="1"/>
  <c r="AC203" i="1" s="1"/>
  <c r="AB203" i="1" s="1"/>
  <c r="AC204" i="1" a="1"/>
  <c r="AC204" i="1" s="1"/>
  <c r="AB204" i="1" s="1"/>
  <c r="AC205" i="1" a="1"/>
  <c r="AC205" i="1" s="1"/>
  <c r="AB205" i="1" s="1"/>
  <c r="AC206" i="1" a="1"/>
  <c r="AC206" i="1" s="1"/>
  <c r="AB206" i="1" s="1"/>
  <c r="AC207" i="1" a="1"/>
  <c r="AC207" i="1" s="1"/>
  <c r="AB207" i="1" s="1"/>
  <c r="AC210" i="1" a="1"/>
  <c r="AC210" i="1" s="1"/>
  <c r="AB210" i="1" s="1"/>
  <c r="AC208" i="1" a="1"/>
  <c r="AC208" i="1" s="1"/>
  <c r="AB208" i="1" s="1"/>
  <c r="AC212" i="1" a="1"/>
  <c r="AC212" i="1" s="1"/>
  <c r="AB212" i="1" s="1"/>
  <c r="AC209" i="1" a="1"/>
  <c r="AC209" i="1" s="1"/>
  <c r="AB209" i="1" s="1"/>
  <c r="AC211" i="1" a="1"/>
  <c r="AC211" i="1" s="1"/>
  <c r="AB211" i="1" s="1"/>
  <c r="AC213" i="1" a="1"/>
  <c r="AC213" i="1" s="1"/>
  <c r="AB213" i="1" s="1"/>
  <c r="AC214" i="1" a="1"/>
  <c r="AC214" i="1" s="1"/>
  <c r="AB214" i="1" s="1"/>
  <c r="AC215" i="1" a="1"/>
  <c r="AC215" i="1" s="1"/>
  <c r="AB215" i="1" s="1"/>
  <c r="AC216" i="1" a="1"/>
  <c r="AC216" i="1" s="1"/>
  <c r="AB216" i="1" s="1"/>
  <c r="AC217" i="1" a="1"/>
  <c r="AC217" i="1" s="1"/>
  <c r="AB217" i="1" s="1"/>
  <c r="AC218" i="1" a="1"/>
  <c r="AC218" i="1" s="1"/>
  <c r="AB218" i="1" s="1"/>
  <c r="AC219" i="1" a="1"/>
  <c r="AC219" i="1" s="1"/>
  <c r="AB219" i="1" s="1"/>
  <c r="AC220" i="1" a="1"/>
  <c r="AC220" i="1" s="1"/>
  <c r="AB220" i="1" s="1"/>
  <c r="AC221" i="1" a="1"/>
  <c r="AC221" i="1" s="1"/>
  <c r="AB221" i="1" s="1"/>
  <c r="AC222" i="1" a="1"/>
  <c r="AC222" i="1" s="1"/>
  <c r="AB222" i="1" s="1"/>
  <c r="AC223" i="1" a="1"/>
  <c r="AC223" i="1" s="1"/>
  <c r="AB223" i="1" s="1"/>
  <c r="AC224" i="1" a="1"/>
  <c r="AC224" i="1" s="1"/>
  <c r="AB224" i="1" s="1"/>
  <c r="AC225" i="1" a="1"/>
  <c r="AC225" i="1" s="1"/>
  <c r="AB225" i="1" s="1"/>
  <c r="AC226" i="1" a="1"/>
  <c r="AC226" i="1" s="1"/>
  <c r="AB226" i="1" s="1"/>
  <c r="AC227" i="1" a="1"/>
  <c r="AC227" i="1" s="1"/>
  <c r="AB227" i="1" s="1"/>
  <c r="AC228" i="1" a="1"/>
  <c r="AC228" i="1" s="1"/>
  <c r="AB228" i="1" s="1"/>
  <c r="AC229" i="1" a="1"/>
  <c r="AC229" i="1" s="1"/>
  <c r="AB229" i="1" s="1"/>
  <c r="AC230" i="1" a="1"/>
  <c r="AC230" i="1" s="1"/>
  <c r="AB230" i="1" s="1"/>
  <c r="AC231" i="1" a="1"/>
  <c r="AC231" i="1" s="1"/>
  <c r="AB231" i="1" s="1"/>
  <c r="AC232" i="1" a="1"/>
  <c r="AC232" i="1" s="1"/>
  <c r="AB232" i="1" s="1"/>
  <c r="AC233" i="1" a="1"/>
  <c r="AC233" i="1" s="1"/>
  <c r="AB233" i="1" s="1"/>
  <c r="AC236" i="1" a="1"/>
  <c r="AC236" i="1" s="1"/>
  <c r="AB236" i="1" s="1"/>
  <c r="AC237" i="1" a="1"/>
  <c r="AC237" i="1" s="1"/>
  <c r="AB237" i="1" s="1"/>
  <c r="AC238" i="1" a="1"/>
  <c r="AC238" i="1" s="1"/>
  <c r="AB238" i="1" s="1"/>
  <c r="AC239" i="1" a="1"/>
  <c r="AC239" i="1" s="1"/>
  <c r="AB239" i="1" s="1"/>
  <c r="AC234" i="1" a="1"/>
  <c r="AC234" i="1" s="1"/>
  <c r="AB234" i="1" s="1"/>
  <c r="AC235" i="1" a="1"/>
  <c r="AC235" i="1" s="1"/>
  <c r="AB235" i="1" s="1"/>
  <c r="AC240" i="1" a="1"/>
  <c r="AC240" i="1" s="1"/>
  <c r="AB240" i="1" s="1"/>
  <c r="AC241" i="1" a="1"/>
  <c r="AC241" i="1" s="1"/>
  <c r="AB241" i="1" s="1"/>
  <c r="AC242" i="1" a="1"/>
  <c r="AC242" i="1" s="1"/>
  <c r="AB242" i="1" s="1"/>
  <c r="AC243" i="1" a="1"/>
  <c r="AC243" i="1" s="1"/>
  <c r="AB243" i="1" s="1"/>
  <c r="AC244" i="1" a="1"/>
  <c r="AC244" i="1" s="1"/>
  <c r="AB244" i="1" s="1"/>
  <c r="AC245" i="1" a="1"/>
  <c r="AC245" i="1" s="1"/>
  <c r="AB245" i="1" s="1"/>
  <c r="AC246" i="1" a="1"/>
  <c r="AC246" i="1" s="1"/>
  <c r="AB246" i="1" s="1"/>
  <c r="AC247" i="1" a="1"/>
  <c r="AC247" i="1" s="1"/>
  <c r="AB247" i="1" s="1"/>
  <c r="AC249" i="1" a="1"/>
  <c r="AC249" i="1" s="1"/>
  <c r="AB249" i="1" s="1"/>
  <c r="AC250" i="1" a="1"/>
  <c r="AC250" i="1" s="1"/>
  <c r="AB250" i="1" s="1"/>
  <c r="AC251" i="1" a="1"/>
  <c r="AC251" i="1" s="1"/>
  <c r="AB251" i="1" s="1"/>
  <c r="AC252" i="1" a="1"/>
  <c r="AC252" i="1" s="1"/>
  <c r="AB252" i="1" s="1"/>
  <c r="AC253" i="1" a="1"/>
  <c r="AC253" i="1" s="1"/>
  <c r="AB253" i="1" s="1"/>
  <c r="AC254" i="1" a="1"/>
  <c r="AC254" i="1" s="1"/>
  <c r="AB254" i="1" s="1"/>
  <c r="AC255" i="1" a="1"/>
  <c r="AC255" i="1" s="1"/>
  <c r="AB255" i="1" s="1"/>
  <c r="AC256" i="1" a="1"/>
  <c r="AC256" i="1" s="1"/>
  <c r="AB256" i="1" s="1"/>
  <c r="AC257" i="1" a="1"/>
  <c r="AC257" i="1" s="1"/>
  <c r="AB257" i="1" s="1"/>
  <c r="AC258" i="1" a="1"/>
  <c r="AC258" i="1" s="1"/>
  <c r="AB258" i="1" s="1"/>
  <c r="AC259" i="1" a="1"/>
  <c r="AC259" i="1" s="1"/>
  <c r="AB259" i="1" s="1"/>
  <c r="AC260" i="1" a="1"/>
  <c r="AC260" i="1" s="1"/>
  <c r="AB260" i="1" s="1"/>
  <c r="AC261" i="1" a="1"/>
  <c r="AC261" i="1" s="1"/>
  <c r="AB261" i="1" s="1"/>
  <c r="AC262" i="1" a="1"/>
  <c r="AC262" i="1" s="1"/>
  <c r="AB262" i="1" s="1"/>
  <c r="AC263" i="1" a="1"/>
  <c r="AC263" i="1" s="1"/>
  <c r="AB263" i="1" s="1"/>
  <c r="AC264" i="1" a="1"/>
  <c r="AC264" i="1" s="1"/>
  <c r="AB264" i="1" s="1"/>
  <c r="AC265" i="1" a="1"/>
  <c r="AC265" i="1" s="1"/>
  <c r="AB265" i="1" s="1"/>
  <c r="AC266" i="1" a="1"/>
  <c r="AC266" i="1" s="1"/>
  <c r="AB266" i="1" s="1"/>
  <c r="AC267" i="1" a="1"/>
  <c r="AC267" i="1" s="1"/>
  <c r="AB267" i="1" s="1"/>
  <c r="AC268" i="1" a="1"/>
  <c r="AC268" i="1" s="1"/>
  <c r="AB268" i="1" s="1"/>
  <c r="AC269" i="1" a="1"/>
  <c r="AC269" i="1" s="1"/>
  <c r="AB269" i="1" s="1"/>
  <c r="AC270" i="1" a="1"/>
  <c r="AC270" i="1" s="1"/>
  <c r="AB270" i="1" s="1"/>
  <c r="AC271" i="1" a="1"/>
  <c r="AC271" i="1" s="1"/>
  <c r="AB271" i="1" s="1"/>
  <c r="AC272" i="1" a="1"/>
  <c r="AC272" i="1" s="1"/>
  <c r="AB272" i="1" s="1"/>
  <c r="AC273" i="1" a="1"/>
  <c r="AC273" i="1" s="1"/>
  <c r="AB273" i="1" s="1"/>
  <c r="AC274" i="1" a="1"/>
  <c r="AC274" i="1" s="1"/>
  <c r="AB274" i="1" s="1"/>
  <c r="AC275" i="1" a="1"/>
  <c r="AC275" i="1" s="1"/>
  <c r="AB275" i="1" s="1"/>
  <c r="AC276" i="1" a="1"/>
  <c r="AC276" i="1" s="1"/>
  <c r="AB276" i="1" s="1"/>
  <c r="AC277" i="1" a="1"/>
  <c r="AC277" i="1" s="1"/>
  <c r="AB277" i="1" s="1"/>
  <c r="AC278" i="1" a="1"/>
  <c r="AC278" i="1" s="1"/>
  <c r="AB278" i="1" s="1"/>
  <c r="AC279" i="1" a="1"/>
  <c r="AC279" i="1" s="1"/>
  <c r="AB279" i="1" s="1"/>
  <c r="AC280" i="1" a="1"/>
  <c r="AC280" i="1" s="1"/>
  <c r="AB280" i="1" s="1"/>
  <c r="AC281" i="1" a="1"/>
  <c r="AC281" i="1" s="1"/>
  <c r="AB281" i="1" s="1"/>
  <c r="AC282" i="1" a="1"/>
  <c r="AC282" i="1" s="1"/>
  <c r="AB282" i="1" s="1"/>
  <c r="AC283" i="1" a="1"/>
  <c r="AC283" i="1" s="1"/>
  <c r="AB283" i="1" s="1"/>
  <c r="AC284" i="1" a="1"/>
  <c r="AC284" i="1" s="1"/>
  <c r="AB284" i="1" s="1"/>
  <c r="AC285" i="1" a="1"/>
  <c r="AC285" i="1" s="1"/>
  <c r="AB285" i="1" s="1"/>
  <c r="AC286" i="1" a="1"/>
  <c r="AC286" i="1" s="1"/>
  <c r="AB286" i="1" s="1"/>
  <c r="AC287" i="1" a="1"/>
  <c r="AC287" i="1" s="1"/>
  <c r="AB287" i="1" s="1"/>
  <c r="AC288" i="1" a="1"/>
  <c r="AC288" i="1" s="1"/>
  <c r="AB288" i="1" s="1"/>
  <c r="AC289" i="1" a="1"/>
  <c r="AC289" i="1" s="1"/>
  <c r="AB289" i="1" s="1"/>
  <c r="AC290" i="1" a="1"/>
  <c r="AC290" i="1" s="1"/>
  <c r="AB290" i="1" s="1"/>
  <c r="AC291" i="1" a="1"/>
  <c r="AC291" i="1" s="1"/>
  <c r="AB291" i="1" s="1"/>
  <c r="AC292" i="1" a="1"/>
  <c r="AC292" i="1" s="1"/>
  <c r="AB292" i="1" s="1"/>
  <c r="AC293" i="1" a="1"/>
  <c r="AC293" i="1" s="1"/>
  <c r="AB293" i="1" s="1"/>
  <c r="AC294" i="1" a="1"/>
  <c r="AC294" i="1" s="1"/>
  <c r="AB294" i="1" s="1"/>
  <c r="AC295" i="1" a="1"/>
  <c r="AC295" i="1" s="1"/>
  <c r="AB295" i="1" s="1"/>
  <c r="AC296" i="1" a="1"/>
  <c r="AC296" i="1" s="1"/>
  <c r="AB296" i="1" s="1"/>
  <c r="AC297" i="1" a="1"/>
  <c r="AC297" i="1" s="1"/>
  <c r="AB297" i="1" s="1"/>
  <c r="AC298" i="1" a="1"/>
  <c r="AC298" i="1" s="1"/>
  <c r="AB298" i="1" s="1"/>
  <c r="AC299" i="1" a="1"/>
  <c r="AC299" i="1" s="1"/>
  <c r="AB299" i="1" s="1"/>
  <c r="AC300" i="1" a="1"/>
  <c r="AC300" i="1" s="1"/>
  <c r="AB300" i="1" s="1"/>
  <c r="AC301" i="1" a="1"/>
  <c r="AC301" i="1" s="1"/>
  <c r="AB301" i="1" s="1"/>
  <c r="AC302" i="1" a="1"/>
  <c r="AC302" i="1" s="1"/>
  <c r="AB302" i="1" s="1"/>
  <c r="AC303" i="1" a="1"/>
  <c r="AC303" i="1" s="1"/>
  <c r="AB303" i="1" s="1"/>
  <c r="AC304" i="1" a="1"/>
  <c r="AC304" i="1" s="1"/>
  <c r="AB304" i="1" s="1"/>
  <c r="AC305" i="1" a="1"/>
  <c r="AC305" i="1" s="1"/>
  <c r="AB305" i="1" s="1"/>
  <c r="AC306" i="1" a="1"/>
  <c r="AC306" i="1" s="1"/>
  <c r="AB306" i="1" s="1"/>
  <c r="AC307" i="1" a="1"/>
  <c r="AC307" i="1" s="1"/>
  <c r="AB307" i="1" s="1"/>
  <c r="AC308" i="1" a="1"/>
  <c r="AC308" i="1" s="1"/>
  <c r="AB308" i="1" s="1"/>
  <c r="AC309" i="1" a="1"/>
  <c r="AC309" i="1" s="1"/>
  <c r="AB309" i="1" s="1"/>
  <c r="AC310" i="1" a="1"/>
  <c r="AC310" i="1" s="1"/>
  <c r="AB310" i="1" s="1"/>
  <c r="AC311" i="1" a="1"/>
  <c r="AC311" i="1" s="1"/>
  <c r="AB311" i="1" s="1"/>
  <c r="AC312" i="1" a="1"/>
  <c r="AC312" i="1" s="1"/>
  <c r="AB312" i="1" s="1"/>
  <c r="AC313" i="1" a="1"/>
  <c r="AC313" i="1" s="1"/>
  <c r="AB313" i="1" s="1"/>
  <c r="AC314" i="1" a="1"/>
  <c r="AC314" i="1" s="1"/>
  <c r="AB314" i="1" s="1"/>
  <c r="AC315" i="1" a="1"/>
  <c r="AC315" i="1" s="1"/>
  <c r="AB315" i="1" s="1"/>
  <c r="AC316" i="1" a="1"/>
  <c r="AC316" i="1" s="1"/>
  <c r="AB316" i="1" s="1"/>
  <c r="AC317" i="1" a="1"/>
  <c r="AC317" i="1" s="1"/>
  <c r="AB317" i="1" s="1"/>
  <c r="AC318" i="1" a="1"/>
  <c r="AC318" i="1" s="1"/>
  <c r="AB318" i="1" s="1"/>
  <c r="AC319" i="1" a="1"/>
  <c r="AC319" i="1" s="1"/>
  <c r="AB319" i="1" s="1"/>
  <c r="AC320" i="1" a="1"/>
  <c r="AC320" i="1" s="1"/>
  <c r="AB320" i="1" s="1"/>
  <c r="AC321" i="1" a="1"/>
  <c r="AC321" i="1" s="1"/>
  <c r="AB321" i="1" s="1"/>
  <c r="AC322" i="1" a="1"/>
  <c r="AC322" i="1" s="1"/>
  <c r="AB322" i="1" s="1"/>
  <c r="AC323" i="1" a="1"/>
  <c r="AC323" i="1" s="1"/>
  <c r="AB323" i="1" s="1"/>
  <c r="AC324" i="1" a="1"/>
  <c r="AC324" i="1" s="1"/>
  <c r="AB324" i="1" s="1"/>
  <c r="AC325" i="1" a="1"/>
  <c r="AC325" i="1" s="1"/>
  <c r="AB325" i="1" s="1"/>
  <c r="AC326" i="1" a="1"/>
  <c r="AC326" i="1" s="1"/>
  <c r="AB326" i="1" s="1"/>
  <c r="AC327" i="1" a="1"/>
  <c r="AC327" i="1" s="1"/>
  <c r="AB327" i="1" s="1"/>
  <c r="AC328" i="1" a="1"/>
  <c r="AC328" i="1" s="1"/>
  <c r="AB328" i="1" s="1"/>
  <c r="AC329" i="1" a="1"/>
  <c r="AC329" i="1" s="1"/>
  <c r="AB329" i="1" s="1"/>
  <c r="AC330" i="1" a="1"/>
  <c r="AC330" i="1" s="1"/>
  <c r="AB330" i="1" s="1"/>
  <c r="AC331" i="1" a="1"/>
  <c r="AC331" i="1" s="1"/>
  <c r="AB331" i="1" s="1"/>
  <c r="AC332" i="1" a="1"/>
  <c r="AC332" i="1" s="1"/>
  <c r="AB332" i="1" s="1"/>
  <c r="AC333" i="1" a="1"/>
  <c r="AC333" i="1" s="1"/>
  <c r="AB333" i="1" s="1"/>
  <c r="AC335" i="1" a="1"/>
  <c r="AC335" i="1" s="1"/>
  <c r="AB335" i="1" s="1"/>
  <c r="AC336" i="1" a="1"/>
  <c r="AC336" i="1" s="1"/>
  <c r="AB336" i="1" s="1"/>
  <c r="AC337" i="1" a="1"/>
  <c r="AC337" i="1" s="1"/>
  <c r="AB337" i="1" s="1"/>
  <c r="AC338" i="1" a="1"/>
  <c r="AC338" i="1" s="1"/>
  <c r="AB338" i="1" s="1"/>
  <c r="AC339" i="1" a="1"/>
  <c r="AC339" i="1" s="1"/>
  <c r="AB339" i="1" s="1"/>
  <c r="AC340" i="1" a="1"/>
  <c r="AC340" i="1" s="1"/>
  <c r="AB340" i="1" s="1"/>
  <c r="AC341" i="1" a="1"/>
  <c r="AC341" i="1" s="1"/>
  <c r="AB341" i="1" s="1"/>
  <c r="AC342" i="1" a="1"/>
  <c r="AC342" i="1" s="1"/>
  <c r="AB342" i="1" s="1"/>
  <c r="AC343" i="1" a="1"/>
  <c r="AC343" i="1" s="1"/>
  <c r="AB343" i="1" s="1"/>
  <c r="AC344" i="1" a="1"/>
  <c r="AC344" i="1" s="1"/>
  <c r="AB344" i="1" s="1"/>
  <c r="AC345" i="1" a="1"/>
  <c r="AC345" i="1" s="1"/>
  <c r="AB345" i="1" s="1"/>
  <c r="AC346" i="1" a="1"/>
  <c r="AC346" i="1" s="1"/>
  <c r="AB346" i="1" s="1"/>
  <c r="AC347" i="1" a="1"/>
  <c r="AC347" i="1" s="1"/>
  <c r="AB347" i="1" s="1"/>
  <c r="AC348" i="1" a="1"/>
  <c r="AC348" i="1" s="1"/>
  <c r="AB348" i="1" s="1"/>
  <c r="AC349" i="1" a="1"/>
  <c r="AC349" i="1" s="1"/>
  <c r="AB349" i="1" s="1"/>
  <c r="AC350" i="1" a="1"/>
  <c r="AC350" i="1" s="1"/>
  <c r="AB350" i="1" s="1"/>
  <c r="AC351" i="1" a="1"/>
  <c r="AC351" i="1" s="1"/>
  <c r="AB351" i="1" s="1"/>
  <c r="AC352" i="1" a="1"/>
  <c r="AC352" i="1" s="1"/>
  <c r="AB352" i="1" s="1"/>
  <c r="AC353" i="1" a="1"/>
  <c r="AC353" i="1" s="1"/>
  <c r="AB353" i="1" s="1"/>
  <c r="AC354" i="1" a="1"/>
  <c r="AC354" i="1" s="1"/>
  <c r="AB354" i="1" s="1"/>
  <c r="AC355" i="1" a="1"/>
  <c r="AC355" i="1" s="1"/>
  <c r="AB355" i="1" s="1"/>
  <c r="AC356" i="1" a="1"/>
  <c r="AC356" i="1" s="1"/>
  <c r="AB356" i="1" s="1"/>
  <c r="AC357" i="1" a="1"/>
  <c r="AC357" i="1" s="1"/>
  <c r="AB357" i="1" s="1"/>
  <c r="AC358" i="1" a="1"/>
  <c r="AC358" i="1" s="1"/>
  <c r="AB358" i="1" s="1"/>
  <c r="AC359" i="1" a="1"/>
  <c r="AC359" i="1" s="1"/>
  <c r="AB359" i="1" s="1"/>
  <c r="AC360" i="1" a="1"/>
  <c r="AC360" i="1" s="1"/>
  <c r="AB360" i="1" s="1"/>
  <c r="AC363" i="1" a="1"/>
  <c r="AC363" i="1" s="1"/>
  <c r="AB363" i="1" s="1"/>
  <c r="AC361" i="1" a="1"/>
  <c r="AC361" i="1" s="1"/>
  <c r="AB361" i="1" s="1"/>
  <c r="AC362" i="1" a="1"/>
  <c r="AC362" i="1" s="1"/>
  <c r="AB362" i="1" s="1"/>
  <c r="AC364" i="1" a="1"/>
  <c r="AC364" i="1" s="1"/>
  <c r="AB364" i="1" s="1"/>
  <c r="AC366" i="1" a="1"/>
  <c r="AC366" i="1" s="1"/>
  <c r="AB366" i="1" s="1"/>
  <c r="AC365" i="1" a="1"/>
  <c r="AC365" i="1" s="1"/>
  <c r="AB365" i="1" s="1"/>
  <c r="AC368" i="1" a="1"/>
  <c r="AC368" i="1" s="1"/>
  <c r="AB368" i="1" s="1"/>
  <c r="AC367" i="1" a="1"/>
  <c r="AC367" i="1" s="1"/>
  <c r="AB367" i="1" s="1"/>
  <c r="AC369" i="1" a="1"/>
  <c r="AC369" i="1" s="1"/>
  <c r="AB369" i="1" s="1"/>
  <c r="AC370" i="1" a="1"/>
  <c r="AC370" i="1" s="1"/>
  <c r="AB370" i="1" s="1"/>
  <c r="AC371" i="1" a="1"/>
  <c r="AC371" i="1" s="1"/>
  <c r="AB371" i="1" s="1"/>
  <c r="AC372" i="1" a="1"/>
  <c r="AC372" i="1" s="1"/>
  <c r="AB372" i="1" s="1"/>
  <c r="AC373" i="1" a="1"/>
  <c r="AC373" i="1" s="1"/>
  <c r="AB373" i="1" s="1"/>
  <c r="AC374" i="1" a="1"/>
  <c r="AC374" i="1" s="1"/>
  <c r="AB374" i="1" s="1"/>
  <c r="AC375" i="1" a="1"/>
  <c r="AC375" i="1" s="1"/>
  <c r="AB375" i="1" s="1"/>
  <c r="AC376" i="1" a="1"/>
  <c r="AC376" i="1" s="1"/>
  <c r="AB376" i="1" s="1"/>
  <c r="AC377" i="1" a="1"/>
  <c r="AC377" i="1" s="1"/>
  <c r="AB377" i="1" s="1"/>
  <c r="AC378" i="1" a="1"/>
  <c r="AC378" i="1" s="1"/>
  <c r="AB378" i="1" s="1"/>
  <c r="AC379" i="1" a="1"/>
  <c r="AC379" i="1" s="1"/>
  <c r="AB379" i="1" s="1"/>
  <c r="AC381" i="1" a="1"/>
  <c r="AC381" i="1" s="1"/>
  <c r="AB381" i="1" s="1"/>
  <c r="AC380" i="1" a="1"/>
  <c r="AC380" i="1" s="1"/>
  <c r="AB380" i="1" s="1"/>
  <c r="AC383" i="1" a="1"/>
  <c r="AC383" i="1" s="1"/>
  <c r="AB383" i="1" s="1"/>
  <c r="AC382" i="1" a="1"/>
  <c r="AC382" i="1" s="1"/>
  <c r="AB382" i="1" s="1"/>
  <c r="AC384" i="1" a="1"/>
  <c r="AC384" i="1" s="1"/>
  <c r="AB384" i="1" s="1"/>
  <c r="AC385" i="1" a="1"/>
  <c r="AC385" i="1" s="1"/>
  <c r="AB385" i="1" s="1"/>
  <c r="AC386" i="1" a="1"/>
  <c r="AC386" i="1" s="1"/>
  <c r="AB386" i="1" s="1"/>
  <c r="AC387" i="1" a="1"/>
  <c r="AC387" i="1" s="1"/>
  <c r="AB387" i="1" s="1"/>
  <c r="AC388" i="1" a="1"/>
  <c r="AC388" i="1" s="1"/>
  <c r="AB388" i="1" s="1"/>
  <c r="AC389" i="1" a="1"/>
  <c r="AC389" i="1" s="1"/>
  <c r="AB389" i="1" s="1"/>
  <c r="AC390" i="1" a="1"/>
  <c r="AC390" i="1" s="1"/>
  <c r="AB390" i="1" s="1"/>
  <c r="AC391" i="1" a="1"/>
  <c r="AC391" i="1" s="1"/>
  <c r="AB391" i="1" s="1"/>
  <c r="AC392" i="1" a="1"/>
  <c r="AC392" i="1" s="1"/>
  <c r="AB392" i="1" s="1"/>
  <c r="AC394" i="1" a="1"/>
  <c r="AC394" i="1" s="1"/>
  <c r="AB394" i="1" s="1"/>
  <c r="AC395" i="1" a="1"/>
  <c r="AC395" i="1" s="1"/>
  <c r="AB395" i="1" s="1"/>
  <c r="AC396" i="1" a="1"/>
  <c r="AC396" i="1" s="1"/>
  <c r="AB396" i="1" s="1"/>
  <c r="AC397" i="1" a="1"/>
  <c r="AC397" i="1" s="1"/>
  <c r="AB397" i="1" s="1"/>
  <c r="AC398" i="1" a="1"/>
  <c r="AC398" i="1" s="1"/>
  <c r="AB398" i="1" s="1"/>
  <c r="AC399" i="1" a="1"/>
  <c r="AC399" i="1" s="1"/>
  <c r="AB399" i="1" s="1"/>
  <c r="AC400" i="1" a="1"/>
  <c r="AC400" i="1" s="1"/>
  <c r="AB400" i="1" s="1"/>
  <c r="AC403" i="1" a="1"/>
  <c r="AC403" i="1" s="1"/>
  <c r="AB403" i="1" s="1"/>
  <c r="AC401" i="1" a="1"/>
  <c r="AC401" i="1" s="1"/>
  <c r="AB401" i="1" s="1"/>
  <c r="AC406" i="1" a="1"/>
  <c r="AC406" i="1" s="1"/>
  <c r="AB406" i="1" s="1"/>
  <c r="AC402" i="1" a="1"/>
  <c r="AC402" i="1" s="1"/>
  <c r="AB402" i="1" s="1"/>
  <c r="AC404" i="1" a="1"/>
  <c r="AC404" i="1" s="1"/>
  <c r="AB404" i="1" s="1"/>
  <c r="AC407" i="1" a="1"/>
  <c r="AC407" i="1" s="1"/>
  <c r="AB407" i="1" s="1"/>
  <c r="AC405" i="1" a="1"/>
  <c r="AC405" i="1" s="1"/>
  <c r="AB405" i="1" s="1"/>
  <c r="AC409" i="1" a="1"/>
  <c r="AC409" i="1" s="1"/>
  <c r="AB409" i="1" s="1"/>
  <c r="AC408" i="1" a="1"/>
  <c r="AC408" i="1" s="1"/>
  <c r="AB408" i="1" s="1"/>
  <c r="AC410" i="1" a="1"/>
  <c r="AC410" i="1" s="1"/>
  <c r="AB410" i="1" s="1"/>
  <c r="AC411" i="1" a="1"/>
  <c r="AC411" i="1" s="1"/>
  <c r="AB411" i="1" s="1"/>
  <c r="AC412" i="1" a="1"/>
  <c r="AC412" i="1" s="1"/>
  <c r="AB412" i="1" s="1"/>
  <c r="AC413" i="1" a="1"/>
  <c r="AC413" i="1" s="1"/>
  <c r="AB413" i="1" s="1"/>
  <c r="AC414" i="1" a="1"/>
  <c r="AC414" i="1" s="1"/>
  <c r="AB414" i="1" s="1"/>
  <c r="AC415" i="1" a="1"/>
  <c r="AC415" i="1" s="1"/>
  <c r="AB415" i="1" s="1"/>
  <c r="AC419" i="1" a="1"/>
  <c r="AC419" i="1" s="1"/>
  <c r="AB419" i="1" s="1"/>
  <c r="AC426" i="1" a="1"/>
  <c r="AC426" i="1" s="1"/>
  <c r="AB426" i="1" s="1"/>
  <c r="AC420" i="1" a="1"/>
  <c r="AC420" i="1" s="1"/>
  <c r="AB420" i="1" s="1"/>
  <c r="AC423" i="1" a="1"/>
  <c r="AC423" i="1" s="1"/>
  <c r="AB423" i="1" s="1"/>
  <c r="AC417" i="1" a="1"/>
  <c r="AC417" i="1" s="1"/>
  <c r="AB417" i="1" s="1"/>
  <c r="AC418" i="1" a="1"/>
  <c r="AC418" i="1" s="1"/>
  <c r="AB418" i="1" s="1"/>
  <c r="AC424" i="1" a="1"/>
  <c r="AC424" i="1" s="1"/>
  <c r="AB424" i="1" s="1"/>
  <c r="AC425" i="1" a="1"/>
  <c r="AC425" i="1" s="1"/>
  <c r="AB425" i="1" s="1"/>
  <c r="AC421" i="1" a="1"/>
  <c r="AC421" i="1" s="1"/>
  <c r="AB421" i="1" s="1"/>
  <c r="AC422" i="1" a="1"/>
  <c r="AC422" i="1" s="1"/>
  <c r="AB422" i="1" s="1"/>
  <c r="AC427" i="1" a="1"/>
  <c r="AC427" i="1" s="1"/>
  <c r="AB427" i="1" s="1"/>
  <c r="AC429" i="1" a="1"/>
  <c r="AC429" i="1" s="1"/>
  <c r="AB429" i="1" s="1"/>
  <c r="AC430" i="1" a="1"/>
  <c r="AC430" i="1" s="1"/>
  <c r="AB430" i="1" s="1"/>
  <c r="AC428" i="1" a="1"/>
  <c r="AC428" i="1" s="1"/>
  <c r="AB428" i="1" s="1"/>
  <c r="AC431" i="1" a="1"/>
  <c r="AC431" i="1" s="1"/>
  <c r="AB431" i="1" s="1"/>
  <c r="AC433" i="1" a="1"/>
  <c r="AC433" i="1" s="1"/>
  <c r="AB433" i="1" s="1"/>
  <c r="AC434" i="1" a="1"/>
  <c r="AC434" i="1" s="1"/>
  <c r="AB434" i="1" s="1"/>
  <c r="AC432" i="1" a="1"/>
  <c r="AC432" i="1" s="1"/>
  <c r="AB432" i="1" s="1"/>
  <c r="AC435" i="1" a="1"/>
  <c r="AC435" i="1" s="1"/>
  <c r="AB435" i="1" s="1"/>
  <c r="AC436" i="1" a="1"/>
  <c r="AC436" i="1" s="1"/>
  <c r="AB436" i="1" s="1"/>
  <c r="AC437" i="1" a="1"/>
  <c r="AC437" i="1" s="1"/>
  <c r="AB437" i="1" s="1"/>
  <c r="AC438" i="1" a="1"/>
  <c r="AC438" i="1" s="1"/>
  <c r="AB438" i="1" s="1"/>
  <c r="AC439" i="1" a="1"/>
  <c r="AC439" i="1" s="1"/>
  <c r="AB439" i="1" s="1"/>
  <c r="AC440" i="1" a="1"/>
  <c r="AC440" i="1" s="1"/>
  <c r="AB440" i="1" s="1"/>
  <c r="AC441" i="1" a="1"/>
  <c r="AC441" i="1" s="1"/>
  <c r="AB441" i="1" s="1"/>
  <c r="AC443" i="1" a="1"/>
  <c r="AC443" i="1" s="1"/>
  <c r="AB443" i="1" s="1"/>
  <c r="AC444" i="1" a="1"/>
  <c r="AC444" i="1" s="1"/>
  <c r="AB444" i="1" s="1"/>
  <c r="AC442" i="1" a="1"/>
  <c r="AC442" i="1" s="1"/>
  <c r="AB442" i="1" s="1"/>
  <c r="AC445" i="1" a="1"/>
  <c r="AC445" i="1" s="1"/>
  <c r="AB445" i="1" s="1"/>
  <c r="AC447" i="1" a="1"/>
  <c r="AC447" i="1" s="1"/>
  <c r="AB447" i="1" s="1"/>
  <c r="AC449" i="1" a="1"/>
  <c r="AC449" i="1" s="1"/>
  <c r="AB449" i="1" s="1"/>
  <c r="AC446" i="1" a="1"/>
  <c r="AC446" i="1" s="1"/>
  <c r="AB446" i="1" s="1"/>
  <c r="AC448" i="1" a="1"/>
  <c r="AC448" i="1" s="1"/>
  <c r="AB448" i="1" s="1"/>
  <c r="AC450" i="1" a="1"/>
  <c r="AC450" i="1" s="1"/>
  <c r="AB450" i="1" s="1"/>
  <c r="AC453" i="1" a="1"/>
  <c r="AC453" i="1" s="1"/>
  <c r="AB453" i="1" s="1"/>
  <c r="AC452" i="1" a="1"/>
  <c r="AC452" i="1" s="1"/>
  <c r="AB452" i="1" s="1"/>
  <c r="AC451" i="1" a="1"/>
  <c r="AC451" i="1" s="1"/>
  <c r="AB451" i="1" s="1"/>
  <c r="AC455" i="1" a="1"/>
  <c r="AC455" i="1" s="1"/>
  <c r="AB455" i="1" s="1"/>
  <c r="AC454" i="1" a="1"/>
  <c r="AC454" i="1" s="1"/>
  <c r="AB454" i="1" s="1"/>
  <c r="AC456" i="1" a="1"/>
  <c r="AC456" i="1" s="1"/>
  <c r="AB456" i="1" s="1"/>
  <c r="AC457" i="1" a="1"/>
  <c r="AC457" i="1" s="1"/>
  <c r="AB457" i="1" s="1"/>
  <c r="AC459" i="1" a="1"/>
  <c r="AC459" i="1" s="1"/>
  <c r="AB459" i="1" s="1"/>
  <c r="AC458" i="1" a="1"/>
  <c r="AC458" i="1" s="1"/>
  <c r="AB458" i="1" s="1"/>
  <c r="AC460" i="1" a="1"/>
  <c r="AC460" i="1" s="1"/>
  <c r="AB460" i="1" s="1"/>
  <c r="AC461" i="1" a="1"/>
  <c r="AC461" i="1" s="1"/>
  <c r="AB461" i="1" s="1"/>
  <c r="AC462" i="1" a="1"/>
  <c r="AC462" i="1" s="1"/>
  <c r="AB462" i="1" s="1"/>
  <c r="AC463" i="1" a="1"/>
  <c r="AC463" i="1" s="1"/>
  <c r="AB463" i="1" s="1"/>
  <c r="AC464" i="1" a="1"/>
  <c r="AC464" i="1" s="1"/>
  <c r="AB464" i="1" s="1"/>
  <c r="AC465" i="1" a="1"/>
  <c r="AC465" i="1" s="1"/>
  <c r="AB465" i="1" s="1"/>
  <c r="AC466" i="1" a="1"/>
  <c r="AC466" i="1" s="1"/>
  <c r="AB466" i="1" s="1"/>
  <c r="AC467" i="1" a="1"/>
  <c r="AC467" i="1" s="1"/>
  <c r="AB467" i="1" s="1"/>
  <c r="AC468" i="1" a="1"/>
  <c r="AC468" i="1" s="1"/>
  <c r="AB468" i="1" s="1"/>
  <c r="AC470" i="1" a="1"/>
  <c r="AC470" i="1" s="1"/>
  <c r="AB470" i="1" s="1"/>
  <c r="AC469" i="1" a="1"/>
  <c r="AC469" i="1" s="1"/>
  <c r="AB469" i="1" s="1"/>
  <c r="AC471" i="1" a="1"/>
  <c r="AC471" i="1" s="1"/>
  <c r="AB471" i="1" s="1"/>
  <c r="AC472" i="1" a="1"/>
  <c r="AC472" i="1" s="1"/>
  <c r="AB472" i="1" s="1"/>
  <c r="AC474" i="1" a="1"/>
  <c r="AC474" i="1" s="1"/>
  <c r="AB474" i="1" s="1"/>
  <c r="AC473" i="1" a="1"/>
  <c r="AC473" i="1" s="1"/>
  <c r="AB473" i="1" s="1"/>
  <c r="AC475" i="1" a="1"/>
  <c r="AC475" i="1" s="1"/>
  <c r="AB475" i="1" s="1"/>
  <c r="AC476" i="1" a="1"/>
  <c r="AC476" i="1" s="1"/>
  <c r="AB476" i="1" s="1"/>
  <c r="AC477" i="1" a="1"/>
  <c r="AC477" i="1" s="1"/>
  <c r="AB477" i="1" s="1"/>
  <c r="AC478" i="1" a="1"/>
  <c r="AC478" i="1" s="1"/>
  <c r="AB478" i="1" s="1"/>
  <c r="AC479" i="1" a="1"/>
  <c r="AC479" i="1" s="1"/>
  <c r="AB479" i="1" s="1"/>
  <c r="AC480" i="1" a="1"/>
  <c r="AC480" i="1" s="1"/>
  <c r="AB480" i="1" s="1"/>
  <c r="AC481" i="1" a="1"/>
  <c r="AC481" i="1" s="1"/>
  <c r="AB481" i="1" s="1"/>
  <c r="AC484" i="1" a="1"/>
  <c r="AC484" i="1" s="1"/>
  <c r="AB484" i="1" s="1"/>
  <c r="AC483" i="1" a="1"/>
  <c r="AC483" i="1" s="1"/>
  <c r="AB483" i="1" s="1"/>
  <c r="AC482" i="1" a="1"/>
  <c r="AC482" i="1" s="1"/>
  <c r="AB482" i="1" s="1"/>
  <c r="AC485" i="1" a="1"/>
  <c r="AC485" i="1" s="1"/>
  <c r="AB485" i="1" s="1"/>
  <c r="AC488" i="1" a="1"/>
  <c r="AC488" i="1" s="1"/>
  <c r="AB488" i="1" s="1"/>
  <c r="AC487" i="1" a="1"/>
  <c r="AC487" i="1" s="1"/>
  <c r="AB487" i="1" s="1"/>
  <c r="AC486" i="1" a="1"/>
  <c r="AC486" i="1" s="1"/>
  <c r="AB486" i="1" s="1"/>
  <c r="AC489" i="1" a="1"/>
  <c r="AC489" i="1" s="1"/>
  <c r="AB489" i="1" s="1"/>
  <c r="AC490" i="1" a="1"/>
  <c r="AC490" i="1" s="1"/>
  <c r="AB490" i="1" s="1"/>
  <c r="AC491" i="1" a="1"/>
  <c r="AC491" i="1" s="1"/>
  <c r="AB491" i="1" s="1"/>
  <c r="AC492" i="1" a="1"/>
  <c r="AC492" i="1" s="1"/>
  <c r="AB492" i="1" s="1"/>
  <c r="AC493" i="1" a="1"/>
  <c r="AC493" i="1" s="1"/>
  <c r="AB493" i="1" s="1"/>
  <c r="AC494" i="1" a="1"/>
  <c r="AC494" i="1" s="1"/>
  <c r="AB494" i="1" s="1"/>
  <c r="AC495" i="1" a="1"/>
  <c r="AC495" i="1" s="1"/>
  <c r="AB495" i="1" s="1"/>
  <c r="AC500" i="1" a="1"/>
  <c r="AC500" i="1" s="1"/>
  <c r="AB500" i="1" s="1"/>
  <c r="AC501" i="1" a="1"/>
  <c r="AC501" i="1" s="1"/>
  <c r="AB501" i="1" s="1"/>
  <c r="AC502" i="1" a="1"/>
  <c r="AC502" i="1" s="1"/>
  <c r="AB502" i="1" s="1"/>
  <c r="AC505" i="1" a="1"/>
  <c r="AC505" i="1" s="1"/>
  <c r="AB505" i="1" s="1"/>
  <c r="AC506" i="1" a="1"/>
  <c r="AC506" i="1" s="1"/>
  <c r="AB506" i="1" s="1"/>
  <c r="AC507" i="1" a="1"/>
  <c r="AC507" i="1" s="1"/>
  <c r="AB507" i="1" s="1"/>
  <c r="AC508" i="1" a="1"/>
  <c r="AC508" i="1" s="1"/>
  <c r="AB508" i="1" s="1"/>
  <c r="AC513" i="1" a="1"/>
  <c r="AC513" i="1" s="1"/>
  <c r="AB513" i="1" s="1"/>
  <c r="AC510" i="1" a="1"/>
  <c r="AC510" i="1" s="1"/>
  <c r="AB510" i="1" s="1"/>
  <c r="AC512" i="1" a="1"/>
  <c r="AC512" i="1" s="1"/>
  <c r="AB512" i="1" s="1"/>
  <c r="AC509" i="1" a="1"/>
  <c r="AC509" i="1" s="1"/>
  <c r="AB509" i="1" s="1"/>
  <c r="AC514" i="1" a="1"/>
  <c r="AC514" i="1" s="1"/>
  <c r="AB514" i="1" s="1"/>
  <c r="AC515" i="1" a="1"/>
  <c r="AC515" i="1" s="1"/>
  <c r="AB515" i="1" s="1"/>
  <c r="AC519" i="1" a="1"/>
  <c r="AC519" i="1" s="1"/>
  <c r="AB519" i="1" s="1"/>
  <c r="AC517" i="1" a="1"/>
  <c r="AC517" i="1" s="1"/>
  <c r="AB517" i="1" s="1"/>
  <c r="AC518" i="1" a="1"/>
  <c r="AC518" i="1" s="1"/>
  <c r="AB518" i="1" s="1"/>
  <c r="AC516" i="1" a="1"/>
  <c r="AC516" i="1" s="1"/>
  <c r="AB516" i="1" s="1"/>
  <c r="AC520" i="1" a="1"/>
  <c r="AC520" i="1" s="1"/>
  <c r="AB520" i="1" s="1"/>
  <c r="AC521" i="1" a="1"/>
  <c r="AC521" i="1" s="1"/>
  <c r="AB521" i="1" s="1"/>
  <c r="AC522" i="1" a="1"/>
  <c r="AC522" i="1" s="1"/>
  <c r="AB522" i="1" s="1"/>
  <c r="AC523" i="1" a="1"/>
  <c r="AC523" i="1" s="1"/>
  <c r="AB523" i="1" s="1"/>
  <c r="AC524" i="1" a="1"/>
  <c r="AC524" i="1" s="1"/>
  <c r="AB524" i="1" s="1"/>
  <c r="AC527" i="1" a="1"/>
  <c r="AC527" i="1" s="1"/>
  <c r="AB527" i="1" s="1"/>
  <c r="AC528" i="1" a="1"/>
  <c r="AC528" i="1" s="1"/>
  <c r="AB528" i="1" s="1"/>
  <c r="AC525" i="1" a="1"/>
  <c r="AC525" i="1" s="1"/>
  <c r="AB525" i="1" s="1"/>
  <c r="AC529" i="1" a="1"/>
  <c r="AC529" i="1" s="1"/>
  <c r="AB529" i="1" s="1"/>
  <c r="AC530" i="1" a="1"/>
  <c r="AC530" i="1" s="1"/>
  <c r="AB530" i="1" s="1"/>
  <c r="AC531" i="1" a="1"/>
  <c r="AC531" i="1" s="1"/>
  <c r="AB531" i="1" s="1"/>
  <c r="AC533" i="1" a="1"/>
  <c r="AC533" i="1" s="1"/>
  <c r="AB533" i="1" s="1"/>
  <c r="AC534" i="1" a="1"/>
  <c r="AC534" i="1" s="1"/>
  <c r="AB534" i="1" s="1"/>
  <c r="AC532" i="1" a="1"/>
  <c r="AC532" i="1" s="1"/>
  <c r="AB532" i="1" s="1"/>
  <c r="AC535" i="1" a="1"/>
  <c r="AC535" i="1" s="1"/>
  <c r="AB535" i="1" s="1"/>
  <c r="AC536" i="1" a="1"/>
  <c r="AC536" i="1" s="1"/>
  <c r="AB536" i="1" s="1"/>
  <c r="AC537" i="1" a="1"/>
  <c r="AC537" i="1" s="1"/>
  <c r="AB537" i="1" s="1"/>
  <c r="AC538" i="1" a="1"/>
  <c r="AC538" i="1" s="1"/>
  <c r="AB538" i="1" s="1"/>
  <c r="AC539" i="1" a="1"/>
  <c r="AC539" i="1" s="1"/>
  <c r="AB539" i="1" s="1"/>
  <c r="AC540" i="1" a="1"/>
  <c r="AC540" i="1" s="1"/>
  <c r="AB540" i="1" s="1"/>
  <c r="AC541" i="1" a="1"/>
  <c r="AC541" i="1" s="1"/>
  <c r="AB541" i="1" s="1"/>
  <c r="AC542" i="1" a="1"/>
  <c r="AC542" i="1" s="1"/>
  <c r="AB542" i="1" s="1"/>
  <c r="AC543" i="1" a="1"/>
  <c r="AC543" i="1" s="1"/>
  <c r="AB543" i="1" s="1"/>
  <c r="AC544" i="1" a="1"/>
  <c r="AC544" i="1" s="1"/>
  <c r="AB544" i="1" s="1"/>
  <c r="AC545" i="1" a="1"/>
  <c r="AC545" i="1" s="1"/>
  <c r="AB545" i="1" s="1"/>
  <c r="AC547" i="1" a="1"/>
  <c r="AC547" i="1" s="1"/>
  <c r="AB547" i="1" s="1"/>
  <c r="AC546" i="1" a="1"/>
  <c r="AC546" i="1" s="1"/>
  <c r="AB546" i="1" s="1"/>
  <c r="AC548" i="1" a="1"/>
  <c r="AC548" i="1" s="1"/>
  <c r="AB548" i="1" s="1"/>
  <c r="AC549" i="1" a="1"/>
  <c r="AC549" i="1" s="1"/>
  <c r="AB549" i="1" s="1"/>
  <c r="AC550" i="1" a="1"/>
  <c r="AC550" i="1" s="1"/>
  <c r="AB550" i="1" s="1"/>
  <c r="AC551" i="1" a="1"/>
  <c r="AC551" i="1" s="1"/>
  <c r="AB551" i="1" s="1"/>
  <c r="AC552" i="1" a="1"/>
  <c r="AC552" i="1" s="1"/>
  <c r="AB552" i="1" s="1"/>
  <c r="AC554" i="1" a="1"/>
  <c r="AC554" i="1" s="1"/>
  <c r="AB554" i="1" s="1"/>
  <c r="AC553" i="1" a="1"/>
  <c r="AC553" i="1" s="1"/>
  <c r="AB553" i="1" s="1"/>
  <c r="AC555" i="1" a="1"/>
  <c r="AC555" i="1" s="1"/>
  <c r="AB555" i="1" s="1"/>
  <c r="AC556" i="1" a="1"/>
  <c r="AC556" i="1" s="1"/>
  <c r="AB556" i="1" s="1"/>
  <c r="AC558" i="1" a="1"/>
  <c r="AC558" i="1" s="1"/>
  <c r="AB558" i="1" s="1"/>
  <c r="AC573" i="1" a="1"/>
  <c r="AC573" i="1" s="1"/>
  <c r="AB573" i="1" s="1"/>
  <c r="AC564" i="1" a="1"/>
  <c r="AC564" i="1" s="1"/>
  <c r="AB564" i="1" s="1"/>
  <c r="AC565" i="1" a="1"/>
  <c r="AC565" i="1" s="1"/>
  <c r="AB565" i="1" s="1"/>
  <c r="AC559" i="1" a="1"/>
  <c r="AC559" i="1" s="1"/>
  <c r="AB559" i="1" s="1"/>
  <c r="AC560" i="1" a="1"/>
  <c r="AC560" i="1" s="1"/>
  <c r="AB560" i="1" s="1"/>
  <c r="AC561" i="1" a="1"/>
  <c r="AC561" i="1" s="1"/>
  <c r="AB561" i="1" s="1"/>
  <c r="AC571" i="1" a="1"/>
  <c r="AC571" i="1" s="1"/>
  <c r="AB571" i="1" s="1"/>
  <c r="AC562" i="1" a="1"/>
  <c r="AC562" i="1" s="1"/>
  <c r="AB562" i="1" s="1"/>
  <c r="AC563" i="1" a="1"/>
  <c r="AC563" i="1" s="1"/>
  <c r="AB563" i="1" s="1"/>
  <c r="AC572" i="1" a="1"/>
  <c r="AC572" i="1" s="1"/>
  <c r="AB572" i="1" s="1"/>
  <c r="AC568" i="1" a="1"/>
  <c r="AC568" i="1" s="1"/>
  <c r="AB568" i="1" s="1"/>
  <c r="AC566" i="1" a="1"/>
  <c r="AC566" i="1" s="1"/>
  <c r="AB566" i="1" s="1"/>
  <c r="AC567" i="1" a="1"/>
  <c r="AC567" i="1" s="1"/>
  <c r="AB567" i="1" s="1"/>
  <c r="AC586" i="1" a="1"/>
  <c r="AC586" i="1" s="1"/>
  <c r="AB586" i="1" s="1"/>
  <c r="AC574" i="1" a="1"/>
  <c r="AC574" i="1" s="1"/>
  <c r="AB574" i="1" s="1"/>
  <c r="AC569" i="1" a="1"/>
  <c r="AC569" i="1" s="1"/>
  <c r="AB569" i="1" s="1"/>
  <c r="AC580" i="1" a="1"/>
  <c r="AC580" i="1" s="1"/>
  <c r="AB580" i="1" s="1"/>
  <c r="AC588" i="1" a="1"/>
  <c r="AC588" i="1" s="1"/>
  <c r="AB588" i="1" s="1"/>
  <c r="AC570" i="1" a="1"/>
  <c r="AC570" i="1" s="1"/>
  <c r="AB570" i="1" s="1"/>
  <c r="AC579" i="1" a="1"/>
  <c r="AC579" i="1" s="1"/>
  <c r="AB579" i="1" s="1"/>
  <c r="AC575" i="1" a="1"/>
  <c r="AC575" i="1" s="1"/>
  <c r="AB575" i="1" s="1"/>
  <c r="AC578" i="1" a="1"/>
  <c r="AC578" i="1" s="1"/>
  <c r="AB578" i="1" s="1"/>
  <c r="AC576" i="1" a="1"/>
  <c r="AC576" i="1" s="1"/>
  <c r="AB576" i="1" s="1"/>
  <c r="AC577" i="1" a="1"/>
  <c r="AC577" i="1" s="1"/>
  <c r="AB577" i="1" s="1"/>
  <c r="AC589" i="1" a="1"/>
  <c r="AC589" i="1" s="1"/>
  <c r="AB589" i="1" s="1"/>
  <c r="AC587" i="1" a="1"/>
  <c r="AC587" i="1" s="1"/>
  <c r="AB587" i="1" s="1"/>
  <c r="AC582" i="1" a="1"/>
  <c r="AC582" i="1" s="1"/>
  <c r="AB582" i="1" s="1"/>
  <c r="AC581" i="1" a="1"/>
  <c r="AC581" i="1" s="1"/>
  <c r="AB581" i="1" s="1"/>
  <c r="AC583" i="1" a="1"/>
  <c r="AC583" i="1" s="1"/>
  <c r="AB583" i="1" s="1"/>
  <c r="AC584" i="1" a="1"/>
  <c r="AC584" i="1" s="1"/>
  <c r="AB584" i="1" s="1"/>
  <c r="AC585" i="1" a="1"/>
  <c r="AC585" i="1" s="1"/>
  <c r="AB585" i="1" s="1"/>
  <c r="AC590" i="1" a="1"/>
  <c r="AC590" i="1" s="1"/>
  <c r="AB590" i="1" s="1"/>
  <c r="AC592" i="1" a="1"/>
  <c r="AC592" i="1" s="1"/>
  <c r="AB592" i="1" s="1"/>
  <c r="AC593" i="1" a="1"/>
  <c r="AC593" i="1" s="1"/>
  <c r="AB593" i="1" s="1"/>
  <c r="AC591" i="1" a="1"/>
  <c r="AC591" i="1" s="1"/>
  <c r="AB591" i="1" s="1"/>
  <c r="AC594" i="1" a="1"/>
  <c r="AC594" i="1" s="1"/>
  <c r="AB594" i="1" s="1"/>
  <c r="AC596" i="1" a="1"/>
  <c r="AC596" i="1" s="1"/>
  <c r="AB596" i="1" s="1"/>
  <c r="AC597" i="1" a="1"/>
  <c r="AC597" i="1" s="1"/>
  <c r="AB597" i="1" s="1"/>
  <c r="AC598" i="1" a="1"/>
  <c r="AC598" i="1" s="1"/>
  <c r="AB598" i="1" s="1"/>
  <c r="AC595" i="1" a="1"/>
  <c r="AC595" i="1" s="1"/>
  <c r="AB595" i="1" s="1"/>
  <c r="AC601" i="1" a="1"/>
  <c r="AC601" i="1" s="1"/>
  <c r="AB601" i="1" s="1"/>
  <c r="AC599" i="1" a="1"/>
  <c r="AC599" i="1" s="1"/>
  <c r="AB599" i="1" s="1"/>
  <c r="AC600" i="1" a="1"/>
  <c r="AC600" i="1" s="1"/>
  <c r="AB600" i="1" s="1"/>
  <c r="AC604" i="1" a="1"/>
  <c r="AC604" i="1" s="1"/>
  <c r="AB604" i="1" s="1"/>
  <c r="AC605" i="1" a="1"/>
  <c r="AC605" i="1" s="1"/>
  <c r="AB605" i="1" s="1"/>
  <c r="AC603" i="1" a="1"/>
  <c r="AC603" i="1" s="1"/>
  <c r="AB603" i="1" s="1"/>
  <c r="AC602" i="1" a="1"/>
  <c r="AC602" i="1" s="1"/>
  <c r="AB602" i="1" s="1"/>
  <c r="AC608" i="1" a="1"/>
  <c r="AC608" i="1" s="1"/>
  <c r="AB608" i="1" s="1"/>
  <c r="AC606" i="1" a="1"/>
  <c r="AC606" i="1" s="1"/>
  <c r="AB606" i="1" s="1"/>
  <c r="AC607" i="1" a="1"/>
  <c r="AC607" i="1" s="1"/>
  <c r="AB607" i="1" s="1"/>
  <c r="AC610" i="1" a="1"/>
  <c r="AC610" i="1" s="1"/>
  <c r="AB610" i="1" s="1"/>
  <c r="AC611" i="1" a="1"/>
  <c r="AC611" i="1" s="1"/>
  <c r="AB611" i="1" s="1"/>
  <c r="AC609" i="1" a="1"/>
  <c r="AC609" i="1" s="1"/>
  <c r="AB609" i="1" s="1"/>
  <c r="AC612" i="1" a="1"/>
  <c r="AC612" i="1" s="1"/>
  <c r="AB612" i="1" s="1"/>
  <c r="AC613" i="1" a="1"/>
  <c r="AC613" i="1" s="1"/>
  <c r="AB613" i="1" s="1"/>
  <c r="AC614" i="1" a="1"/>
  <c r="AC614" i="1" s="1"/>
  <c r="AB614" i="1" s="1"/>
  <c r="AC616" i="1" a="1"/>
  <c r="AC616" i="1" s="1"/>
  <c r="AB616" i="1" s="1"/>
  <c r="AC617" i="1" a="1"/>
  <c r="AC617" i="1" s="1"/>
  <c r="AB617" i="1" s="1"/>
  <c r="AC615" i="1" a="1"/>
  <c r="AC615" i="1" s="1"/>
  <c r="AB615" i="1" s="1"/>
  <c r="AC618" i="1" a="1"/>
  <c r="AC618" i="1" s="1"/>
  <c r="AB618" i="1" s="1"/>
  <c r="AC619" i="1" a="1"/>
  <c r="AC619" i="1" s="1"/>
  <c r="AB619" i="1" s="1"/>
  <c r="AC620" i="1" a="1"/>
  <c r="AC620" i="1" s="1"/>
  <c r="AB620" i="1" s="1"/>
  <c r="AC621" i="1" a="1"/>
  <c r="AC621" i="1" s="1"/>
  <c r="AB621" i="1" s="1"/>
  <c r="AC623" i="1" a="1"/>
  <c r="AC623" i="1" s="1"/>
  <c r="AB623" i="1" s="1"/>
  <c r="AC624" i="1" a="1"/>
  <c r="AC624" i="1" s="1"/>
  <c r="AB624" i="1" s="1"/>
  <c r="AC622" i="1" a="1"/>
  <c r="AC622" i="1" s="1"/>
  <c r="AB622" i="1" s="1"/>
  <c r="AC625" i="1" a="1"/>
  <c r="AC625" i="1" s="1"/>
  <c r="AB625" i="1" s="1"/>
  <c r="AC626" i="1" a="1"/>
  <c r="AC626" i="1" s="1"/>
  <c r="AB626" i="1" s="1"/>
  <c r="AC627" i="1" a="1"/>
  <c r="AC627" i="1" s="1"/>
  <c r="AB627" i="1" s="1"/>
  <c r="AC631" i="1" a="1"/>
  <c r="AC631" i="1" s="1"/>
  <c r="AB631" i="1" s="1"/>
  <c r="AC632" i="1" a="1"/>
  <c r="AC632" i="1" s="1"/>
  <c r="AB632" i="1" s="1"/>
  <c r="AC633" i="1" a="1"/>
  <c r="AC633" i="1" s="1"/>
  <c r="AB633" i="1" s="1"/>
  <c r="AC634" i="1" a="1"/>
  <c r="AC634" i="1" s="1"/>
  <c r="AB634" i="1" s="1"/>
  <c r="AC635" i="1" a="1"/>
  <c r="AC635" i="1" s="1"/>
  <c r="AB635" i="1" s="1"/>
  <c r="AC636" i="1" a="1"/>
  <c r="AC636" i="1" s="1"/>
  <c r="AB636" i="1" s="1"/>
  <c r="AC637" i="1" a="1"/>
  <c r="AC637" i="1" s="1"/>
  <c r="AB637" i="1" s="1"/>
  <c r="AC638" i="1" a="1"/>
  <c r="AC638" i="1" s="1"/>
  <c r="AB638" i="1" s="1"/>
  <c r="AC639" i="1" a="1"/>
  <c r="AC639" i="1" s="1"/>
  <c r="AB639" i="1" s="1"/>
  <c r="AC640" i="1" a="1"/>
  <c r="AC640" i="1" s="1"/>
  <c r="AB640" i="1" s="1"/>
  <c r="AC641" i="1" a="1"/>
  <c r="AC641" i="1" s="1"/>
  <c r="AB641" i="1" s="1"/>
  <c r="AC642" i="1" a="1"/>
  <c r="AC642" i="1" s="1"/>
  <c r="AB642" i="1" s="1"/>
  <c r="AC643" i="1" a="1"/>
  <c r="AC643" i="1" s="1"/>
  <c r="AB643" i="1" s="1"/>
  <c r="AC644" i="1" a="1"/>
  <c r="AC644" i="1" s="1"/>
  <c r="AB644" i="1" s="1"/>
  <c r="AC646" i="1" a="1"/>
  <c r="AC646" i="1" s="1"/>
  <c r="AB646" i="1" s="1"/>
  <c r="AC645" i="1" a="1"/>
  <c r="AC645" i="1" s="1"/>
  <c r="AB645" i="1" s="1"/>
  <c r="AC647" i="1" a="1"/>
  <c r="AC647" i="1" s="1"/>
  <c r="AB647" i="1" s="1"/>
  <c r="AC648" i="1" a="1"/>
  <c r="AC648" i="1" s="1"/>
  <c r="AB648" i="1" s="1"/>
  <c r="AC649" i="1" a="1"/>
  <c r="AC649" i="1" s="1"/>
  <c r="AB649" i="1" s="1"/>
  <c r="AC650" i="1" a="1"/>
  <c r="AC650" i="1" s="1"/>
  <c r="AB650" i="1" s="1"/>
  <c r="AC651" i="1" a="1"/>
  <c r="AC651" i="1" s="1"/>
  <c r="AB651" i="1" s="1"/>
  <c r="AC653" i="1" a="1"/>
  <c r="AC653" i="1" s="1"/>
  <c r="AB653" i="1" s="1"/>
  <c r="AC652" i="1" a="1"/>
  <c r="AC652" i="1" s="1"/>
  <c r="AB652" i="1" s="1"/>
  <c r="AC654" i="1" a="1"/>
  <c r="AC654" i="1" s="1"/>
  <c r="AB654" i="1" s="1"/>
  <c r="AC655" i="1" a="1"/>
  <c r="AC655" i="1" s="1"/>
  <c r="AB655" i="1" s="1"/>
  <c r="AC658" i="1" a="1"/>
  <c r="AC658" i="1" s="1"/>
  <c r="AB658" i="1" s="1"/>
  <c r="AC659" i="1" a="1"/>
  <c r="AC659" i="1" s="1"/>
  <c r="AB659" i="1" s="1"/>
  <c r="AC657" i="1" a="1"/>
  <c r="AC657" i="1" s="1"/>
  <c r="AB657" i="1" s="1"/>
  <c r="AC660" i="1" a="1"/>
  <c r="AC660" i="1" s="1"/>
  <c r="AB660" i="1" s="1"/>
  <c r="AC656" i="1" a="1"/>
  <c r="AC656" i="1" s="1"/>
  <c r="AB656" i="1" s="1"/>
  <c r="AC661" i="1" a="1"/>
  <c r="AC661" i="1" s="1"/>
  <c r="AB661" i="1" s="1"/>
  <c r="AC662" i="1" a="1"/>
  <c r="AC662" i="1" s="1"/>
  <c r="AB662" i="1" s="1"/>
  <c r="AC665" i="1" a="1"/>
  <c r="AC665" i="1" s="1"/>
  <c r="AB665" i="1" s="1"/>
  <c r="AC664" i="1" a="1"/>
  <c r="AC664" i="1" s="1"/>
  <c r="AB664" i="1" s="1"/>
  <c r="AC666" i="1" a="1"/>
  <c r="AC666" i="1" s="1"/>
  <c r="AB666" i="1" s="1"/>
  <c r="AC667" i="1" a="1"/>
  <c r="AC667" i="1" s="1"/>
  <c r="AB667" i="1" s="1"/>
  <c r="AC663" i="1" a="1"/>
  <c r="AC663" i="1" s="1"/>
  <c r="AB663" i="1" s="1"/>
  <c r="AC668" i="1" a="1"/>
  <c r="AC668" i="1" s="1"/>
  <c r="AB668" i="1" s="1"/>
  <c r="AC669" i="1" a="1"/>
  <c r="AC669" i="1" s="1"/>
  <c r="AB669" i="1" s="1"/>
  <c r="AC670" i="1" a="1"/>
  <c r="AC670" i="1" s="1"/>
  <c r="AB670" i="1" s="1"/>
  <c r="AC673" i="1" a="1"/>
  <c r="AC673" i="1" s="1"/>
  <c r="AB673" i="1" s="1"/>
  <c r="AC672" i="1" a="1"/>
  <c r="AC672" i="1" s="1"/>
  <c r="AB672" i="1" s="1"/>
  <c r="AC671" i="1" a="1"/>
  <c r="AC671" i="1" s="1"/>
  <c r="AB671" i="1" s="1"/>
  <c r="AC674" i="1" a="1"/>
  <c r="AC674" i="1" s="1"/>
  <c r="AB674" i="1" s="1"/>
  <c r="AC675" i="1" a="1"/>
  <c r="AC675" i="1" s="1"/>
  <c r="AB675" i="1" s="1"/>
  <c r="AC676" i="1" a="1"/>
  <c r="AC676" i="1" s="1"/>
  <c r="AB676" i="1" s="1"/>
  <c r="AC677" i="1" a="1"/>
  <c r="AC677" i="1" s="1"/>
  <c r="AB677" i="1" s="1"/>
  <c r="AC680" i="1" a="1"/>
  <c r="AC680" i="1" s="1"/>
  <c r="AB680" i="1" s="1"/>
  <c r="AC678" i="1" a="1"/>
  <c r="AC678" i="1" s="1"/>
  <c r="AB678" i="1" s="1"/>
  <c r="AC679" i="1" a="1"/>
  <c r="AC679" i="1" s="1"/>
  <c r="AB679" i="1" s="1"/>
  <c r="AC681" i="1" a="1"/>
  <c r="AC681" i="1" s="1"/>
  <c r="AB681" i="1" s="1"/>
  <c r="AC682" i="1" a="1"/>
  <c r="AC682" i="1" s="1"/>
  <c r="AB682" i="1" s="1"/>
  <c r="AC683" i="1" a="1"/>
  <c r="AC683" i="1" s="1"/>
  <c r="AB683" i="1" s="1"/>
  <c r="AC684" i="1" a="1"/>
  <c r="AC684" i="1" s="1"/>
  <c r="AB684" i="1" s="1"/>
  <c r="AC685" i="1" a="1"/>
  <c r="AC685" i="1" s="1"/>
  <c r="AB685" i="1" s="1"/>
  <c r="AC686" i="1" a="1"/>
  <c r="AC686" i="1" s="1"/>
  <c r="AB686" i="1" s="1"/>
  <c r="AC687" i="1" a="1"/>
  <c r="AC687" i="1" s="1"/>
  <c r="AB687" i="1" s="1"/>
  <c r="AC688" i="1" a="1"/>
  <c r="AC688" i="1" s="1"/>
  <c r="AB688" i="1" s="1"/>
  <c r="AC689" i="1" a="1"/>
  <c r="AC689" i="1" s="1"/>
  <c r="AB689" i="1" s="1"/>
  <c r="AC691" i="1" a="1"/>
  <c r="AC691" i="1" s="1"/>
  <c r="AB691" i="1" s="1"/>
  <c r="AC692" i="1" a="1"/>
  <c r="AC692" i="1" s="1"/>
  <c r="AB692" i="1" s="1"/>
  <c r="AC690" i="1" a="1"/>
  <c r="AC690" i="1" s="1"/>
  <c r="AB690" i="1" s="1"/>
  <c r="AC693" i="1" a="1"/>
  <c r="AC693" i="1" s="1"/>
  <c r="AB693" i="1" s="1"/>
  <c r="AC694" i="1" a="1"/>
  <c r="AC694" i="1" s="1"/>
  <c r="AB694" i="1" s="1"/>
  <c r="AC695" i="1" a="1"/>
  <c r="AC695" i="1" s="1"/>
  <c r="AB695" i="1" s="1"/>
  <c r="AC696" i="1" a="1"/>
  <c r="AC696" i="1" s="1"/>
  <c r="AB696" i="1" s="1"/>
  <c r="AC698" i="1" a="1"/>
  <c r="AC698" i="1" s="1"/>
  <c r="AB698" i="1" s="1"/>
  <c r="AC697" i="1" a="1"/>
  <c r="AC697" i="1" s="1"/>
  <c r="AB697" i="1" s="1"/>
  <c r="AC700" i="1" a="1"/>
  <c r="AC700" i="1" s="1"/>
  <c r="AB700" i="1" s="1"/>
  <c r="AC701" i="1" a="1"/>
  <c r="AC701" i="1" s="1"/>
  <c r="AB701" i="1" s="1"/>
  <c r="AC702" i="1" a="1"/>
  <c r="AC702" i="1" s="1"/>
  <c r="AB702" i="1" s="1"/>
  <c r="AC703" i="1" a="1"/>
  <c r="AC703" i="1" s="1"/>
  <c r="AB703" i="1" s="1"/>
  <c r="AC699" i="1" a="1"/>
  <c r="AC699" i="1" s="1"/>
  <c r="AB699" i="1" s="1"/>
  <c r="AC704" i="1" a="1"/>
  <c r="AC704" i="1" s="1"/>
  <c r="AB704" i="1" s="1"/>
  <c r="AC706" i="1" a="1"/>
  <c r="AC706" i="1" s="1"/>
  <c r="AB706" i="1" s="1"/>
  <c r="AC708" i="1" a="1"/>
  <c r="AC708" i="1" s="1"/>
  <c r="AB708" i="1" s="1"/>
  <c r="AC707" i="1" a="1"/>
  <c r="AC707" i="1" s="1"/>
  <c r="AB707" i="1" s="1"/>
  <c r="AC709" i="1" a="1"/>
  <c r="AC709" i="1" s="1"/>
  <c r="AB709" i="1" s="1"/>
  <c r="AC710" i="1" a="1"/>
  <c r="AC710" i="1" s="1"/>
  <c r="AB710" i="1" s="1"/>
  <c r="AC705" i="1" a="1"/>
  <c r="AC705" i="1" s="1"/>
  <c r="AB705" i="1" s="1"/>
  <c r="AC711" i="1" a="1"/>
  <c r="AC711" i="1" s="1"/>
  <c r="AB711" i="1" s="1"/>
  <c r="AC712" i="1" a="1"/>
  <c r="AC712" i="1" s="1"/>
  <c r="AB712" i="1" s="1"/>
  <c r="AC714" i="1" a="1"/>
  <c r="AC714" i="1" s="1"/>
  <c r="AB714" i="1" s="1"/>
  <c r="AC713" i="1" a="1"/>
  <c r="AC713" i="1" s="1"/>
  <c r="AB713" i="1" s="1"/>
  <c r="AC718" i="1" a="1"/>
  <c r="AC718" i="1" s="1"/>
  <c r="AB718" i="1" s="1"/>
  <c r="AC715" i="1" a="1"/>
  <c r="AC715" i="1" s="1"/>
  <c r="AB715" i="1" s="1"/>
  <c r="AC717" i="1" a="1"/>
  <c r="AC717" i="1" s="1"/>
  <c r="AB717" i="1" s="1"/>
  <c r="AC719" i="1" a="1"/>
  <c r="AC719" i="1" s="1"/>
  <c r="AB719" i="1" s="1"/>
  <c r="AC720" i="1" a="1"/>
  <c r="AC720" i="1" s="1"/>
  <c r="AB720" i="1" s="1"/>
  <c r="AC721" i="1" a="1"/>
  <c r="AC721" i="1" s="1"/>
  <c r="AB721" i="1" s="1"/>
  <c r="AC722" i="1" a="1"/>
  <c r="AC722" i="1" s="1"/>
  <c r="AB722" i="1" s="1"/>
  <c r="AC725" i="1" a="1"/>
  <c r="AC725" i="1" s="1"/>
  <c r="AB725" i="1" s="1"/>
  <c r="AC723" i="1" a="1"/>
  <c r="AC723" i="1" s="1"/>
  <c r="AB723" i="1" s="1"/>
  <c r="AC724" i="1" a="1"/>
  <c r="AC724" i="1" s="1"/>
  <c r="AB724" i="1" s="1"/>
  <c r="AC726" i="1" a="1"/>
  <c r="AC726" i="1" s="1"/>
  <c r="AB726" i="1" s="1"/>
  <c r="AC727" i="1" a="1"/>
  <c r="AC727" i="1" s="1"/>
  <c r="AB727" i="1" s="1"/>
  <c r="AC729" i="1" a="1"/>
  <c r="AC729" i="1" s="1"/>
  <c r="AB729" i="1" s="1"/>
  <c r="AC728" i="1" a="1"/>
  <c r="AC728" i="1" s="1"/>
  <c r="AB728" i="1" s="1"/>
  <c r="AC730" i="1" a="1"/>
  <c r="AC730" i="1" s="1"/>
  <c r="AB730" i="1" s="1"/>
  <c r="AC731" i="1" a="1"/>
  <c r="AC731" i="1" s="1"/>
  <c r="AB731" i="1" s="1"/>
  <c r="AC732" i="1" a="1"/>
  <c r="AC732" i="1" s="1"/>
  <c r="AB732" i="1" s="1"/>
  <c r="AC733" i="1" a="1"/>
  <c r="AC733" i="1" s="1"/>
  <c r="AB733" i="1" s="1"/>
  <c r="AC734" i="1" a="1"/>
  <c r="AC734" i="1" s="1"/>
  <c r="AB734" i="1" s="1"/>
  <c r="AC736" i="1" a="1"/>
  <c r="AC736" i="1" s="1"/>
  <c r="AB736" i="1" s="1"/>
  <c r="AC735" i="1" a="1"/>
  <c r="AC735" i="1" s="1"/>
  <c r="AB735" i="1" s="1"/>
  <c r="AC737" i="1" a="1"/>
  <c r="AC737" i="1" s="1"/>
  <c r="AB737" i="1" s="1"/>
  <c r="AC738" i="1" a="1"/>
  <c r="AC738" i="1" s="1"/>
  <c r="AB738" i="1" s="1"/>
  <c r="AC739" i="1" a="1"/>
  <c r="AC739" i="1" s="1"/>
  <c r="AB739" i="1" s="1"/>
  <c r="AC740" i="1" a="1"/>
  <c r="AC740" i="1" s="1"/>
  <c r="AB740" i="1" s="1"/>
  <c r="AC741" i="1" a="1"/>
  <c r="AC741" i="1" s="1"/>
  <c r="AB741" i="1" s="1"/>
  <c r="AC742" i="1" a="1"/>
  <c r="AC742" i="1" s="1"/>
  <c r="AB742" i="1" s="1"/>
  <c r="AC743" i="1" a="1"/>
  <c r="AC743" i="1" s="1"/>
  <c r="AB743" i="1" s="1"/>
  <c r="AC744" i="1" a="1"/>
  <c r="AC744" i="1" s="1"/>
  <c r="AB744" i="1" s="1"/>
  <c r="AC745" i="1" a="1"/>
  <c r="AC745" i="1" s="1"/>
  <c r="AB745" i="1" s="1"/>
  <c r="AC747" i="1" a="1"/>
  <c r="AC747" i="1" s="1"/>
  <c r="AB747" i="1" s="1"/>
  <c r="AC746" i="1" a="1"/>
  <c r="AC746" i="1" s="1"/>
  <c r="AB746" i="1" s="1"/>
  <c r="AC749" i="1" a="1"/>
  <c r="AC749" i="1" s="1"/>
  <c r="AB749" i="1" s="1"/>
  <c r="AC750" i="1" a="1"/>
  <c r="AC750" i="1" s="1"/>
  <c r="AB750" i="1" s="1"/>
  <c r="AC751" i="1" a="1"/>
  <c r="AC751" i="1" s="1"/>
  <c r="AB751" i="1" s="1"/>
  <c r="AC752" i="1" a="1"/>
  <c r="AC752" i="1" s="1"/>
  <c r="AB752" i="1" s="1"/>
  <c r="AC753" i="1" a="1"/>
  <c r="AC753" i="1" s="1"/>
  <c r="AB753" i="1" s="1"/>
  <c r="AC755" i="1" a="1"/>
  <c r="AC755" i="1" s="1"/>
  <c r="AB755" i="1" s="1"/>
  <c r="AC754" i="1" a="1"/>
  <c r="AC754" i="1" s="1"/>
  <c r="AB754" i="1" s="1"/>
  <c r="AC756" i="1" a="1"/>
  <c r="AC756" i="1" s="1"/>
  <c r="AB756" i="1" s="1"/>
  <c r="AC757" i="1" a="1"/>
  <c r="AC757" i="1" s="1"/>
  <c r="AB757" i="1" s="1"/>
  <c r="AC758" i="1" a="1"/>
  <c r="AC758" i="1" s="1"/>
  <c r="AB758" i="1" s="1"/>
  <c r="AC759" i="1" a="1"/>
  <c r="AC759" i="1" s="1"/>
  <c r="AB759" i="1" s="1"/>
  <c r="AC760" i="1" a="1"/>
  <c r="AC760" i="1" s="1"/>
  <c r="AB760" i="1" s="1"/>
  <c r="AC761" i="1" a="1"/>
  <c r="AC761" i="1" s="1"/>
  <c r="AB761" i="1" s="1"/>
  <c r="AC764" i="1" a="1"/>
  <c r="AC764" i="1" s="1"/>
  <c r="AB764" i="1" s="1"/>
  <c r="AC765" i="1" a="1"/>
  <c r="AC765" i="1" s="1"/>
  <c r="AB765" i="1" s="1"/>
  <c r="AC766" i="1" a="1"/>
  <c r="AC766" i="1" s="1"/>
  <c r="AB766" i="1" s="1"/>
  <c r="AC767" i="1" a="1"/>
  <c r="AC767" i="1" s="1"/>
  <c r="AB767" i="1" s="1"/>
  <c r="AC768" i="1" a="1"/>
  <c r="AC768" i="1" s="1"/>
  <c r="AB768" i="1" s="1"/>
  <c r="AC769" i="1" a="1"/>
  <c r="AC769" i="1" s="1"/>
  <c r="AB769" i="1" s="1"/>
  <c r="AC770" i="1" a="1"/>
  <c r="AC770" i="1" s="1"/>
  <c r="AB770" i="1" s="1"/>
  <c r="AC771" i="1" a="1"/>
  <c r="AC771" i="1" s="1"/>
  <c r="AB771" i="1" s="1"/>
  <c r="AC772" i="1" a="1"/>
  <c r="AC772" i="1" s="1"/>
  <c r="AB772" i="1" s="1"/>
  <c r="AC773" i="1" a="1"/>
  <c r="AC773" i="1" s="1"/>
  <c r="AB773" i="1" s="1"/>
  <c r="AC774" i="1" a="1"/>
  <c r="AC774" i="1" s="1"/>
  <c r="AB774" i="1" s="1"/>
  <c r="AC775" i="1" a="1"/>
  <c r="AC775" i="1" s="1"/>
  <c r="AB775" i="1" s="1"/>
  <c r="AC776" i="1" a="1"/>
  <c r="AC776" i="1" s="1"/>
  <c r="AB776" i="1" s="1"/>
  <c r="AC778" i="1" a="1"/>
  <c r="AC778" i="1" s="1"/>
  <c r="AB778" i="1" s="1"/>
  <c r="AC777" i="1" a="1"/>
  <c r="AC777" i="1" s="1"/>
  <c r="AB777" i="1" s="1"/>
  <c r="AC779" i="1" a="1"/>
  <c r="AC779" i="1" s="1"/>
  <c r="AB779" i="1" s="1"/>
  <c r="AC780" i="1" a="1"/>
  <c r="AC780" i="1" s="1"/>
  <c r="AB780" i="1" s="1"/>
  <c r="AC781" i="1" a="1"/>
  <c r="AC781" i="1" s="1"/>
  <c r="AB781" i="1" s="1"/>
  <c r="AC782" i="1" a="1"/>
  <c r="AC782" i="1" s="1"/>
  <c r="AB782" i="1" s="1"/>
  <c r="AC783" i="1" a="1"/>
  <c r="AC783" i="1" s="1"/>
  <c r="AB783" i="1" s="1"/>
  <c r="AC784" i="1" a="1"/>
  <c r="AC784" i="1" s="1"/>
  <c r="AB784" i="1" s="1"/>
  <c r="AC786" i="1" a="1"/>
  <c r="AC786" i="1" s="1"/>
  <c r="AB786" i="1" s="1"/>
  <c r="AC785" i="1" a="1"/>
  <c r="AC785" i="1" s="1"/>
  <c r="AB785" i="1" s="1"/>
  <c r="AC787" i="1" a="1"/>
  <c r="AC787" i="1" s="1"/>
  <c r="AB787" i="1" s="1"/>
  <c r="AC788" i="1" a="1"/>
  <c r="AC788" i="1" s="1"/>
  <c r="AB788" i="1" s="1"/>
  <c r="AC789" i="1" a="1"/>
  <c r="AC789" i="1" s="1"/>
  <c r="AB789" i="1" s="1"/>
  <c r="AC790" i="1" a="1"/>
  <c r="AC790" i="1" s="1"/>
  <c r="AB790" i="1" s="1"/>
  <c r="AC791" i="1" a="1"/>
  <c r="AC791" i="1" s="1"/>
  <c r="AB791" i="1" s="1"/>
  <c r="AC792" i="1" a="1"/>
  <c r="AC792" i="1" s="1"/>
  <c r="AB792" i="1" s="1"/>
  <c r="AC793" i="1" a="1"/>
  <c r="AC793" i="1" s="1"/>
  <c r="AB793" i="1" s="1"/>
  <c r="AC794" i="1" a="1"/>
  <c r="AC794" i="1" s="1"/>
  <c r="AB794" i="1" s="1"/>
  <c r="AC795" i="1" a="1"/>
  <c r="AC795" i="1" s="1"/>
  <c r="AB795" i="1" s="1"/>
  <c r="AC796" i="1" a="1"/>
  <c r="AC796" i="1" s="1"/>
  <c r="AB796" i="1" s="1"/>
  <c r="AC797" i="1" a="1"/>
  <c r="AC797" i="1" s="1"/>
  <c r="AB797" i="1" s="1"/>
  <c r="AC798" i="1" a="1"/>
  <c r="AC798" i="1" s="1"/>
  <c r="AB798" i="1" s="1"/>
  <c r="AC799" i="1" a="1"/>
  <c r="AC799" i="1" s="1"/>
  <c r="AB799" i="1" s="1"/>
  <c r="AC800" i="1" a="1"/>
  <c r="AC800" i="1" s="1"/>
  <c r="AB800" i="1" s="1"/>
  <c r="AC801" i="1" a="1"/>
  <c r="AC801" i="1" s="1"/>
  <c r="AB801" i="1" s="1"/>
  <c r="AC802" i="1" a="1"/>
  <c r="AC802" i="1" s="1"/>
  <c r="AB802" i="1" s="1"/>
  <c r="AC803" i="1" a="1"/>
  <c r="AC803" i="1" s="1"/>
  <c r="AB803" i="1" s="1"/>
  <c r="AC805" i="1" a="1"/>
  <c r="AC805" i="1" s="1"/>
  <c r="AB805" i="1" s="1"/>
  <c r="AC804" i="1" a="1"/>
  <c r="AC804" i="1" s="1"/>
  <c r="AB804" i="1" s="1"/>
  <c r="AC806" i="1" a="1"/>
  <c r="AC806" i="1" s="1"/>
  <c r="AB806" i="1" s="1"/>
  <c r="AC807" i="1" a="1"/>
  <c r="AC807" i="1" s="1"/>
  <c r="AB807" i="1" s="1"/>
  <c r="AC808" i="1" a="1"/>
  <c r="AC808" i="1" s="1"/>
  <c r="AB808" i="1" s="1"/>
  <c r="AC809" i="1" a="1"/>
  <c r="AC809" i="1" s="1"/>
  <c r="AB809" i="1" s="1"/>
  <c r="AC810" i="1" a="1"/>
  <c r="AC810" i="1" s="1"/>
  <c r="AB810" i="1" s="1"/>
  <c r="AC811" i="1" a="1"/>
  <c r="AC811" i="1" s="1"/>
  <c r="AB811" i="1" s="1"/>
  <c r="AC812" i="1" a="1"/>
  <c r="AC812" i="1" s="1"/>
  <c r="AB812" i="1" s="1"/>
  <c r="AC814" i="1" a="1"/>
  <c r="AC814" i="1" s="1"/>
  <c r="AB814" i="1" s="1"/>
  <c r="AC813" i="1" a="1"/>
  <c r="AC813" i="1" s="1"/>
  <c r="AB813" i="1" s="1"/>
  <c r="AC815" i="1" a="1"/>
  <c r="AC815" i="1" s="1"/>
  <c r="AB815" i="1" s="1"/>
  <c r="AC816" i="1" a="1"/>
  <c r="AC816" i="1" s="1"/>
  <c r="AB816" i="1" s="1"/>
  <c r="AC817" i="1" a="1"/>
  <c r="AC817" i="1" s="1"/>
  <c r="AB817" i="1" s="1"/>
  <c r="AC818" i="1" a="1"/>
  <c r="AC818" i="1" s="1"/>
  <c r="AB818" i="1" s="1"/>
  <c r="AC819" i="1" a="1"/>
  <c r="AC819" i="1" s="1"/>
  <c r="AB819" i="1" s="1"/>
  <c r="AC820" i="1" a="1"/>
  <c r="AC820" i="1" s="1"/>
  <c r="AB820" i="1" s="1"/>
  <c r="AC822" i="1" a="1"/>
  <c r="AC822" i="1" s="1"/>
  <c r="AB822" i="1" s="1"/>
  <c r="AC821" i="1" a="1"/>
  <c r="AC821" i="1" s="1"/>
  <c r="AB821" i="1" s="1"/>
  <c r="AC824" i="1" a="1"/>
  <c r="AC824" i="1" s="1"/>
  <c r="AB824" i="1" s="1"/>
  <c r="AC823" i="1" a="1"/>
  <c r="AC823" i="1" s="1"/>
  <c r="AB823" i="1" s="1"/>
  <c r="AC825" i="1" a="1"/>
  <c r="AC825" i="1" s="1"/>
  <c r="AB825" i="1" s="1"/>
  <c r="AC828" i="1" a="1"/>
  <c r="AC828" i="1" s="1"/>
  <c r="AB828" i="1" s="1"/>
  <c r="AC827" i="1" a="1"/>
  <c r="AC827" i="1" s="1"/>
  <c r="AB827" i="1" s="1"/>
  <c r="AC829" i="1" a="1"/>
  <c r="AC829" i="1" s="1"/>
  <c r="AB829" i="1" s="1"/>
  <c r="AC830" i="1" a="1"/>
  <c r="AC830" i="1" s="1"/>
  <c r="AB830" i="1" s="1"/>
  <c r="AC831" i="1" a="1"/>
  <c r="AC831" i="1" s="1"/>
  <c r="AB831" i="1" s="1"/>
  <c r="AC832" i="1" a="1"/>
  <c r="AC832" i="1" s="1"/>
  <c r="AB832" i="1" s="1"/>
  <c r="AC834" i="1" a="1"/>
  <c r="AC834" i="1" s="1"/>
  <c r="AB834" i="1" s="1"/>
  <c r="AC835" i="1" a="1"/>
  <c r="AC835" i="1" s="1"/>
  <c r="AB835" i="1" s="1"/>
  <c r="AC833" i="1" a="1"/>
  <c r="AC833" i="1" s="1"/>
  <c r="AB833" i="1" s="1"/>
  <c r="AC836" i="1" a="1"/>
  <c r="AC836" i="1" s="1"/>
  <c r="AB836" i="1" s="1"/>
  <c r="AC838" i="1" a="1"/>
  <c r="AC838" i="1" s="1"/>
  <c r="AB838" i="1" s="1"/>
  <c r="AC837" i="1" a="1"/>
  <c r="AC837" i="1" s="1"/>
  <c r="AB837" i="1" s="1"/>
  <c r="AC839" i="1" a="1"/>
  <c r="AC839" i="1" s="1"/>
  <c r="AB839" i="1" s="1"/>
  <c r="AC840" i="1" a="1"/>
  <c r="AC840" i="1" s="1"/>
  <c r="AB840" i="1" s="1"/>
  <c r="AC842" i="1" a="1"/>
  <c r="AC842" i="1" s="1"/>
  <c r="AB842" i="1" s="1"/>
  <c r="AC841" i="1" a="1"/>
  <c r="AC841" i="1" s="1"/>
  <c r="AB841" i="1" s="1"/>
  <c r="AC843" i="1" a="1"/>
  <c r="AC843" i="1" s="1"/>
  <c r="AB843" i="1" s="1"/>
  <c r="AC844" i="1" a="1"/>
  <c r="AC844" i="1" s="1"/>
  <c r="AB844" i="1" s="1"/>
  <c r="AC845" i="1" a="1"/>
  <c r="AC845" i="1" s="1"/>
  <c r="AB845" i="1" s="1"/>
  <c r="AC846" i="1" a="1"/>
  <c r="AC846" i="1" s="1"/>
  <c r="AB846" i="1" s="1"/>
  <c r="AC847" i="1" a="1"/>
  <c r="AC847" i="1" s="1"/>
  <c r="AB847" i="1" s="1"/>
  <c r="AC848" i="1" a="1"/>
  <c r="AC848" i="1" s="1"/>
  <c r="AB848" i="1" s="1"/>
  <c r="AC849" i="1" a="1"/>
  <c r="AC849" i="1" s="1"/>
  <c r="AB849" i="1" s="1"/>
  <c r="AC850" i="1" a="1"/>
  <c r="AC850" i="1" s="1"/>
  <c r="AB850" i="1" s="1"/>
  <c r="AC852" i="1" a="1"/>
  <c r="AC852" i="1" s="1"/>
  <c r="AB852" i="1" s="1"/>
  <c r="AC851" i="1" a="1"/>
  <c r="AC851" i="1" s="1"/>
  <c r="AB851" i="1" s="1"/>
  <c r="AC853" i="1" a="1"/>
  <c r="AC853" i="1" s="1"/>
  <c r="AB853" i="1" s="1"/>
  <c r="AC854" i="1" a="1"/>
  <c r="AC854" i="1" s="1"/>
  <c r="AB854" i="1" s="1"/>
  <c r="AC855" i="1" a="1"/>
  <c r="AC855" i="1" s="1"/>
  <c r="AB855" i="1" s="1"/>
  <c r="AC856" i="1" a="1"/>
  <c r="AC856" i="1" s="1"/>
  <c r="AB856" i="1" s="1"/>
  <c r="AC857" i="1" a="1"/>
  <c r="AC857" i="1" s="1"/>
  <c r="AB857" i="1" s="1"/>
  <c r="AC858" i="1" a="1"/>
  <c r="AC858" i="1" s="1"/>
  <c r="AB858" i="1" s="1"/>
  <c r="AC859" i="1" a="1"/>
  <c r="AC859" i="1" s="1"/>
  <c r="AB859" i="1" s="1"/>
  <c r="AC860" i="1" a="1"/>
  <c r="AC860" i="1" s="1"/>
  <c r="AB860" i="1" s="1"/>
  <c r="AC861" i="1" a="1"/>
  <c r="AC861" i="1" s="1"/>
  <c r="AB861" i="1" s="1"/>
  <c r="AC862" i="1" a="1"/>
  <c r="AC862" i="1" s="1"/>
  <c r="AB862" i="1" s="1"/>
  <c r="AC864" i="1" a="1"/>
  <c r="AC864" i="1" s="1"/>
  <c r="AB864" i="1" s="1"/>
  <c r="AC863" i="1" a="1"/>
  <c r="AC863" i="1" s="1"/>
  <c r="AB863" i="1" s="1"/>
  <c r="AC865" i="1" a="1"/>
  <c r="AC865" i="1" s="1"/>
  <c r="AB865" i="1" s="1"/>
  <c r="AC866" i="1" a="1"/>
  <c r="AC866" i="1" s="1"/>
  <c r="AB866" i="1" s="1"/>
  <c r="AC867" i="1" a="1"/>
  <c r="AC867" i="1" s="1"/>
  <c r="AB867" i="1" s="1"/>
  <c r="AC868" i="1" a="1"/>
  <c r="AC868" i="1" s="1"/>
  <c r="AB868" i="1" s="1"/>
  <c r="AC869" i="1" a="1"/>
  <c r="AC869" i="1" s="1"/>
  <c r="AB869" i="1" s="1"/>
  <c r="AC870" i="1" a="1"/>
  <c r="AC870" i="1" s="1"/>
  <c r="AB870" i="1" s="1"/>
  <c r="AC871" i="1" a="1"/>
  <c r="AC871" i="1" s="1"/>
  <c r="AB871" i="1" s="1"/>
  <c r="AC874" i="1" a="1"/>
  <c r="AC874" i="1" s="1"/>
  <c r="AB874" i="1" s="1"/>
  <c r="AC872" i="1" a="1"/>
  <c r="AC872" i="1" s="1"/>
  <c r="AB872" i="1" s="1"/>
  <c r="AC873" i="1" a="1"/>
  <c r="AC873" i="1" s="1"/>
  <c r="AB873" i="1" s="1"/>
  <c r="AC875" i="1" a="1"/>
  <c r="AC875" i="1" s="1"/>
  <c r="AB875" i="1" s="1"/>
  <c r="AC876" i="1" a="1"/>
  <c r="AC876" i="1" s="1"/>
  <c r="AB876" i="1" s="1"/>
  <c r="AB878" i="1"/>
  <c r="AC879" i="1" a="1"/>
  <c r="AC879" i="1" s="1"/>
  <c r="AB879" i="1" s="1"/>
  <c r="AC877" i="1" a="1"/>
  <c r="AC877" i="1" s="1"/>
  <c r="AB877" i="1" s="1"/>
  <c r="AC880" i="1" a="1"/>
  <c r="AC880" i="1" s="1"/>
  <c r="AB880" i="1" s="1"/>
  <c r="AC881" i="1" a="1"/>
  <c r="AC881" i="1" s="1"/>
  <c r="AB881" i="1" s="1"/>
  <c r="AC883" i="1" a="1"/>
  <c r="AC883" i="1" s="1"/>
  <c r="AB883" i="1" s="1"/>
  <c r="AC882" i="1" a="1"/>
  <c r="AC882" i="1" s="1"/>
  <c r="AB882" i="1" s="1"/>
  <c r="AC884" i="1" a="1"/>
  <c r="AC884" i="1" s="1"/>
  <c r="AB884" i="1" s="1"/>
  <c r="AC885" i="1" a="1"/>
  <c r="AC885" i="1" s="1"/>
  <c r="AB885" i="1" s="1"/>
  <c r="AC886" i="1" a="1"/>
  <c r="AC886" i="1" s="1"/>
  <c r="AB886" i="1" s="1"/>
  <c r="AC888" i="1" a="1"/>
  <c r="AC888" i="1" s="1"/>
  <c r="AB888" i="1" s="1"/>
  <c r="AC889" i="1" a="1"/>
  <c r="AC889" i="1" s="1"/>
  <c r="AB889" i="1" s="1"/>
  <c r="AC887" i="1" a="1"/>
  <c r="AC887" i="1" s="1"/>
  <c r="AB887" i="1" s="1"/>
  <c r="AC891" i="1" a="1"/>
  <c r="AC891" i="1" s="1"/>
  <c r="AB891" i="1" s="1"/>
  <c r="AC890" i="1" a="1"/>
  <c r="AC890" i="1" s="1"/>
  <c r="AB890" i="1" s="1"/>
  <c r="AC892" i="1" a="1"/>
  <c r="AC892" i="1" s="1"/>
  <c r="AB892" i="1" s="1"/>
  <c r="AC893" i="1" a="1"/>
  <c r="AC893" i="1" s="1"/>
  <c r="AB893" i="1" s="1"/>
  <c r="AC894" i="1" a="1"/>
  <c r="AC894" i="1" s="1"/>
  <c r="AB894" i="1" s="1"/>
  <c r="AC895" i="1" a="1"/>
  <c r="AC895" i="1" s="1"/>
  <c r="AB895" i="1" s="1"/>
  <c r="AC896" i="1" a="1"/>
  <c r="AC896" i="1" s="1"/>
  <c r="AB896" i="1" s="1"/>
  <c r="AC897" i="1" a="1"/>
  <c r="AC897" i="1" s="1"/>
  <c r="AB897" i="1" s="1"/>
  <c r="AC898" i="1" a="1"/>
  <c r="AC898" i="1" s="1"/>
  <c r="AB898" i="1" s="1"/>
  <c r="AC899" i="1" a="1"/>
  <c r="AC899" i="1" s="1"/>
  <c r="AB899" i="1" s="1"/>
  <c r="AC901" i="1" a="1"/>
  <c r="AC901" i="1" s="1"/>
  <c r="AB901" i="1" s="1"/>
  <c r="AC900" i="1" a="1"/>
  <c r="AC900" i="1" s="1"/>
  <c r="AB900" i="1" s="1"/>
  <c r="AC902" i="1" a="1"/>
  <c r="AC902" i="1" s="1"/>
  <c r="AB902" i="1" s="1"/>
  <c r="AC903" i="1" a="1"/>
  <c r="AC903" i="1" s="1"/>
  <c r="AB903" i="1" s="1"/>
  <c r="AC904" i="1" a="1"/>
  <c r="AC904" i="1" s="1"/>
  <c r="AB904" i="1" s="1"/>
  <c r="AC905" i="1" a="1"/>
  <c r="AC905" i="1" s="1"/>
  <c r="AB905" i="1" s="1"/>
  <c r="AC906" i="1" a="1"/>
  <c r="AC906" i="1" s="1"/>
  <c r="AB906" i="1" s="1"/>
  <c r="AC907" i="1" a="1"/>
  <c r="AC907" i="1" s="1"/>
  <c r="AB907" i="1" s="1"/>
  <c r="AC908" i="1" a="1"/>
  <c r="AC908" i="1" s="1"/>
  <c r="AB908" i="1" s="1"/>
  <c r="AC909" i="1" a="1"/>
  <c r="AC909" i="1" s="1"/>
  <c r="AB909" i="1" s="1"/>
  <c r="AC910" i="1" a="1"/>
  <c r="AC910" i="1" s="1"/>
  <c r="AB910" i="1" s="1"/>
  <c r="AC911" i="1" a="1"/>
  <c r="AC911" i="1" s="1"/>
  <c r="AB911" i="1" s="1"/>
  <c r="AC912" i="1" a="1"/>
  <c r="AC912" i="1" s="1"/>
  <c r="AB912" i="1" s="1"/>
  <c r="AC913" i="1" a="1"/>
  <c r="AC913" i="1" s="1"/>
  <c r="AB913" i="1" s="1"/>
  <c r="AC917" i="1" a="1"/>
  <c r="AC917" i="1" s="1"/>
  <c r="AB917" i="1" s="1"/>
  <c r="AC914" i="1" a="1"/>
  <c r="AC914" i="1" s="1"/>
  <c r="AB914" i="1" s="1"/>
  <c r="AC916" i="1" a="1"/>
  <c r="AC916" i="1" s="1"/>
  <c r="AB916" i="1" s="1"/>
  <c r="AC918" i="1" a="1"/>
  <c r="AC918" i="1" s="1"/>
  <c r="AB918" i="1" s="1"/>
  <c r="AC920" i="1" a="1"/>
  <c r="AC920" i="1" s="1"/>
  <c r="AB920" i="1" s="1"/>
  <c r="AC919" i="1" a="1"/>
  <c r="AC919" i="1" s="1"/>
  <c r="AB919" i="1" s="1"/>
  <c r="AC921" i="1" a="1"/>
  <c r="AC921" i="1" s="1"/>
  <c r="AB921" i="1" s="1"/>
  <c r="AC922" i="1" a="1"/>
  <c r="AC922" i="1" s="1"/>
  <c r="AB922" i="1" s="1"/>
  <c r="AC923" i="1" a="1"/>
  <c r="AC923" i="1" s="1"/>
  <c r="AB923" i="1" s="1"/>
  <c r="AC924" i="1" a="1"/>
  <c r="AC924" i="1" s="1"/>
  <c r="AB924" i="1" s="1"/>
  <c r="AC927" i="1" a="1"/>
  <c r="AC927" i="1" s="1"/>
  <c r="AB927" i="1" s="1"/>
  <c r="AC925" i="1" a="1"/>
  <c r="AC925" i="1" s="1"/>
  <c r="AB925" i="1" s="1"/>
  <c r="AC926" i="1" a="1"/>
  <c r="AC926" i="1" s="1"/>
  <c r="AB926" i="1" s="1"/>
  <c r="AC928" i="1" a="1"/>
  <c r="AC928" i="1" s="1"/>
  <c r="AB928" i="1" s="1"/>
  <c r="AC930" i="1" a="1"/>
  <c r="AC930" i="1" s="1"/>
  <c r="AB930" i="1" s="1"/>
  <c r="AC929" i="1" a="1"/>
  <c r="AC929" i="1" s="1"/>
  <c r="AB929" i="1" s="1"/>
  <c r="AC931" i="1" a="1"/>
  <c r="AC931" i="1" s="1"/>
  <c r="AB931" i="1" s="1"/>
  <c r="AC932" i="1" a="1"/>
  <c r="AC932" i="1" s="1"/>
  <c r="AB932" i="1" s="1"/>
  <c r="AC933" i="1" a="1"/>
  <c r="AC933" i="1" s="1"/>
  <c r="AB933" i="1" s="1"/>
  <c r="AC934" i="1" a="1"/>
  <c r="AC934" i="1" s="1"/>
  <c r="AB934" i="1" s="1"/>
  <c r="AC935" i="1" a="1"/>
  <c r="AC935" i="1" s="1"/>
  <c r="AB935" i="1" s="1"/>
  <c r="AC936" i="1" a="1"/>
  <c r="AC936" i="1" s="1"/>
  <c r="AB936" i="1" s="1"/>
  <c r="AC937" i="1" a="1"/>
  <c r="AC937" i="1" s="1"/>
  <c r="AB937" i="1" s="1"/>
  <c r="AC938" i="1" a="1"/>
  <c r="AC938" i="1" s="1"/>
  <c r="AB938" i="1" s="1"/>
  <c r="AC939" i="1" a="1"/>
  <c r="AC939" i="1" s="1"/>
  <c r="AB939" i="1" s="1"/>
  <c r="AC940" i="1" a="1"/>
  <c r="AC940" i="1" s="1"/>
  <c r="AB940" i="1" s="1"/>
  <c r="AC941" i="1" a="1"/>
  <c r="AC941" i="1" s="1"/>
  <c r="AB941" i="1" s="1"/>
  <c r="AC942" i="1" a="1"/>
  <c r="AC942" i="1" s="1"/>
  <c r="AB942" i="1" s="1"/>
  <c r="AC943" i="1" a="1"/>
  <c r="AC943" i="1" s="1"/>
  <c r="AB943" i="1" s="1"/>
  <c r="AC944" i="1" a="1"/>
  <c r="AC944" i="1" s="1"/>
  <c r="AB944" i="1" s="1"/>
  <c r="AC946" i="1" a="1"/>
  <c r="AC946" i="1" s="1"/>
  <c r="AB946" i="1" s="1"/>
  <c r="AC947" i="1" a="1"/>
  <c r="AC947" i="1" s="1"/>
  <c r="AB947" i="1" s="1"/>
  <c r="AC948" i="1" a="1"/>
  <c r="AC948" i="1" s="1"/>
  <c r="AB948" i="1" s="1"/>
  <c r="AC949" i="1" a="1"/>
  <c r="AC949" i="1" s="1"/>
  <c r="AB949" i="1" s="1"/>
  <c r="AC950" i="1" a="1"/>
  <c r="AC950" i="1" s="1"/>
  <c r="AB950" i="1" s="1"/>
  <c r="AC951" i="1" a="1"/>
  <c r="AC951" i="1" s="1"/>
  <c r="AB951" i="1" s="1"/>
  <c r="AC952" i="1" a="1"/>
  <c r="AC952" i="1" s="1"/>
  <c r="AB952" i="1" s="1"/>
  <c r="AC953" i="1" a="1"/>
  <c r="AC953" i="1" s="1"/>
  <c r="AB953" i="1" s="1"/>
  <c r="AC954" i="1" a="1"/>
  <c r="AC954" i="1" s="1"/>
  <c r="AB954" i="1" s="1"/>
  <c r="AC955" i="1" a="1"/>
  <c r="AC955" i="1" s="1"/>
  <c r="AB955" i="1" s="1"/>
  <c r="AC956" i="1" a="1"/>
  <c r="AC956" i="1" s="1"/>
  <c r="AB956" i="1" s="1"/>
  <c r="AC957" i="1" a="1"/>
  <c r="AC957" i="1" s="1"/>
  <c r="AB957" i="1" s="1"/>
  <c r="AC959" i="1" a="1"/>
  <c r="AC959" i="1" s="1"/>
  <c r="AB959" i="1" s="1"/>
  <c r="AC958" i="1" a="1"/>
  <c r="AC958" i="1" s="1"/>
  <c r="AB958" i="1" s="1"/>
  <c r="AC963" i="1" a="1"/>
  <c r="AC963" i="1" s="1"/>
  <c r="AB963" i="1" s="1"/>
  <c r="AC965" i="1" a="1"/>
  <c r="AC965" i="1" s="1"/>
  <c r="AB965" i="1" s="1"/>
  <c r="AC964" i="1" a="1"/>
  <c r="AC964" i="1" s="1"/>
  <c r="AB964" i="1" s="1"/>
  <c r="AC961" i="1" a="1"/>
  <c r="AC961" i="1" s="1"/>
  <c r="AB961" i="1" s="1"/>
  <c r="AC966" i="1" a="1"/>
  <c r="AC966" i="1" s="1"/>
  <c r="AB966" i="1" s="1"/>
  <c r="AC962" i="1" a="1"/>
  <c r="AC962" i="1" s="1"/>
  <c r="AB962" i="1" s="1"/>
  <c r="AC960" i="1" a="1"/>
  <c r="AC960" i="1" s="1"/>
  <c r="AB960" i="1" s="1"/>
  <c r="AC967" i="1" a="1"/>
  <c r="AC967" i="1" s="1"/>
  <c r="AB967" i="1" s="1"/>
  <c r="AC969" i="1" a="1"/>
  <c r="AC969" i="1" s="1"/>
  <c r="AB969" i="1" s="1"/>
  <c r="AC968" i="1" a="1"/>
  <c r="AC968" i="1" s="1"/>
  <c r="AB968" i="1" s="1"/>
  <c r="AC973" i="1" a="1"/>
  <c r="AC973" i="1" s="1"/>
  <c r="AB973" i="1" s="1"/>
  <c r="AC975" i="1" a="1"/>
  <c r="AC975" i="1" s="1"/>
  <c r="AB975" i="1" s="1"/>
  <c r="AC974" i="1" a="1"/>
  <c r="AC974" i="1" s="1"/>
  <c r="AB974" i="1" s="1"/>
  <c r="AC971" i="1" a="1"/>
  <c r="AC971" i="1" s="1"/>
  <c r="AB971" i="1" s="1"/>
  <c r="AC976" i="1" a="1"/>
  <c r="AC976" i="1" s="1"/>
  <c r="AB976" i="1" s="1"/>
  <c r="AC972" i="1" a="1"/>
  <c r="AC972" i="1" s="1"/>
  <c r="AB972" i="1" s="1"/>
  <c r="AC970" i="1" a="1"/>
  <c r="AC970" i="1" s="1"/>
  <c r="AB970" i="1" s="1"/>
  <c r="AC977" i="1" a="1"/>
  <c r="AC977" i="1" s="1"/>
  <c r="AB977" i="1" s="1"/>
  <c r="AC980" i="1" a="1"/>
  <c r="AC980" i="1" s="1"/>
  <c r="AB980" i="1" s="1"/>
  <c r="AC981" i="1" a="1"/>
  <c r="AC981" i="1" s="1"/>
  <c r="AB981" i="1" s="1"/>
  <c r="AC982" i="1" a="1"/>
  <c r="AC982" i="1" s="1"/>
  <c r="AB982" i="1" s="1"/>
  <c r="AC979" i="1" a="1"/>
  <c r="AC979" i="1" s="1"/>
  <c r="AB979" i="1" s="1"/>
  <c r="AC978" i="1" a="1"/>
  <c r="AC978" i="1" s="1"/>
  <c r="AB978" i="1" s="1"/>
  <c r="AC983" i="1" a="1"/>
  <c r="AC983" i="1" s="1"/>
  <c r="AB983" i="1" s="1"/>
  <c r="AC984" i="1" a="1"/>
  <c r="AC984" i="1" s="1"/>
  <c r="AB984" i="1" s="1"/>
  <c r="AC985" i="1" a="1"/>
  <c r="AC985" i="1" s="1"/>
  <c r="AB985" i="1" s="1"/>
  <c r="AC986" i="1" a="1"/>
  <c r="AC986" i="1" s="1"/>
  <c r="AB986" i="1" s="1"/>
  <c r="AC987" i="1" a="1"/>
  <c r="AC987" i="1" s="1"/>
  <c r="AB987" i="1" s="1"/>
  <c r="AC990" i="1" a="1"/>
  <c r="AC990" i="1" s="1"/>
  <c r="AB990" i="1" s="1"/>
  <c r="AC991" i="1" a="1"/>
  <c r="AC991" i="1" s="1"/>
  <c r="AB991" i="1" s="1"/>
  <c r="AC992" i="1" a="1"/>
  <c r="AC992" i="1" s="1"/>
  <c r="AB992" i="1" s="1"/>
  <c r="AC989" i="1" a="1"/>
  <c r="AC989" i="1" s="1"/>
  <c r="AB989" i="1" s="1"/>
  <c r="AC988" i="1" a="1"/>
  <c r="AC988" i="1" s="1"/>
  <c r="AB988" i="1" s="1"/>
  <c r="AC993" i="1" a="1"/>
  <c r="AC993" i="1" s="1"/>
  <c r="AB993" i="1" s="1"/>
  <c r="AC994" i="1" a="1"/>
  <c r="AC994" i="1" s="1"/>
  <c r="AB994" i="1" s="1"/>
  <c r="AC995" i="1" a="1"/>
  <c r="AC995" i="1" s="1"/>
  <c r="AB995" i="1" s="1"/>
  <c r="AC996" i="1" a="1"/>
  <c r="AC996" i="1" s="1"/>
  <c r="AB996" i="1" s="1"/>
  <c r="AC997" i="1" a="1"/>
  <c r="AC997" i="1" s="1"/>
  <c r="AB997" i="1" s="1"/>
  <c r="AC998" i="1" a="1"/>
  <c r="AC998" i="1" s="1"/>
  <c r="AB998" i="1" s="1"/>
  <c r="AC999" i="1" a="1"/>
  <c r="AC999" i="1" s="1"/>
  <c r="AB999" i="1" s="1"/>
  <c r="AC1000" i="1" a="1"/>
  <c r="AC1000" i="1" s="1"/>
  <c r="AB1000" i="1" s="1"/>
  <c r="AC1001" i="1" a="1"/>
  <c r="AC1001" i="1" s="1"/>
  <c r="AB1001" i="1" s="1"/>
  <c r="AC1002" i="1" a="1"/>
  <c r="AC1002" i="1" s="1"/>
  <c r="AB1002" i="1" s="1"/>
  <c r="AC1003" i="1" a="1"/>
  <c r="AC1003" i="1" s="1"/>
  <c r="AB1003" i="1" s="1"/>
  <c r="AC1004" i="1" a="1"/>
  <c r="AC1004" i="1" s="1"/>
  <c r="AB1004" i="1" s="1"/>
  <c r="AC1005" i="1" a="1"/>
  <c r="AC1005" i="1" s="1"/>
  <c r="AB1005" i="1" s="1"/>
  <c r="AC1006" i="1" a="1"/>
  <c r="AC1006" i="1" s="1"/>
  <c r="AB1006" i="1" s="1"/>
  <c r="AC1007" i="1" a="1"/>
  <c r="AC1007" i="1" s="1"/>
  <c r="AB1007" i="1" s="1"/>
  <c r="AC1008" i="1" a="1"/>
  <c r="AC1008" i="1" s="1"/>
  <c r="AB1008" i="1" s="1"/>
  <c r="AC1009" i="1" a="1"/>
  <c r="AC1009" i="1" s="1"/>
  <c r="AB1009" i="1" s="1"/>
  <c r="AC1010" i="1" a="1"/>
  <c r="AC1010" i="1" s="1"/>
  <c r="AB1010" i="1" s="1"/>
  <c r="AC1011" i="1" a="1"/>
  <c r="AC1011" i="1" s="1"/>
  <c r="AB1011" i="1" s="1"/>
  <c r="AC1012" i="1" a="1"/>
  <c r="AC1012" i="1" s="1"/>
  <c r="AB1012" i="1" s="1"/>
  <c r="AC1013" i="1" a="1"/>
  <c r="AC1013" i="1" s="1"/>
  <c r="AB1013" i="1" s="1"/>
  <c r="AC1014" i="1" a="1"/>
  <c r="AC1014" i="1" s="1"/>
  <c r="AB1014" i="1" s="1"/>
  <c r="AC1015" i="1" a="1"/>
  <c r="AC1015" i="1" s="1"/>
  <c r="AB1015" i="1" s="1"/>
  <c r="AC1016" i="1" a="1"/>
  <c r="AC1016" i="1" s="1"/>
  <c r="AB1016" i="1" s="1"/>
  <c r="AC1017" i="1" a="1"/>
  <c r="AC1017" i="1" s="1"/>
  <c r="AB1017" i="1" s="1"/>
  <c r="AC1018" i="1" a="1"/>
  <c r="AC1018" i="1" s="1"/>
  <c r="AB1018" i="1" s="1"/>
  <c r="AC1019" i="1" a="1"/>
  <c r="AC1019" i="1" s="1"/>
  <c r="AB1019" i="1" s="1"/>
  <c r="AC1020" i="1" a="1"/>
  <c r="AC1020" i="1" s="1"/>
  <c r="AB1020" i="1" s="1"/>
  <c r="AC1021" i="1" a="1"/>
  <c r="AC1021" i="1" s="1"/>
  <c r="AB1021" i="1" s="1"/>
  <c r="AC1022" i="1" a="1"/>
  <c r="AC1022" i="1" s="1"/>
  <c r="AB1022" i="1" s="1"/>
  <c r="AC1023" i="1" a="1"/>
  <c r="AC1023" i="1" s="1"/>
  <c r="AB1023" i="1" s="1"/>
  <c r="AC1024" i="1" a="1"/>
  <c r="AC1024" i="1" s="1"/>
  <c r="AB1024" i="1" s="1"/>
  <c r="AC1025" i="1" a="1"/>
  <c r="AC1025" i="1" s="1"/>
  <c r="AB1025" i="1" s="1"/>
  <c r="AC1027" i="1" a="1"/>
  <c r="AC1027" i="1" s="1"/>
  <c r="AB1027" i="1" s="1"/>
  <c r="AC1028" i="1" a="1"/>
  <c r="AC1028" i="1" s="1"/>
  <c r="AB1028" i="1" s="1"/>
  <c r="AC1026" i="1" a="1"/>
  <c r="AC1026" i="1" s="1"/>
  <c r="AB1026" i="1" s="1"/>
  <c r="AC1029" i="1" a="1"/>
  <c r="AC1029" i="1" s="1"/>
  <c r="AB1029" i="1" s="1"/>
  <c r="AC1030" i="1" a="1"/>
  <c r="AC1030" i="1" s="1"/>
  <c r="AB1030" i="1" s="1"/>
  <c r="AC1031" i="1" a="1"/>
  <c r="AC1031" i="1" s="1"/>
  <c r="AB1031" i="1" s="1"/>
  <c r="AC1032" i="1" a="1"/>
  <c r="AC1032" i="1" s="1"/>
  <c r="AB1032" i="1" s="1"/>
  <c r="AC1033" i="1" a="1"/>
  <c r="AC1033" i="1" s="1"/>
  <c r="AB1033" i="1" s="1"/>
  <c r="AC1034" i="1" a="1"/>
  <c r="AC1034" i="1" s="1"/>
  <c r="AB1034" i="1" s="1"/>
  <c r="AC1035" i="1" a="1"/>
  <c r="AC1035" i="1" s="1"/>
  <c r="AB1035" i="1" s="1"/>
  <c r="AC1040" i="1" a="1"/>
  <c r="AC1040" i="1" s="1"/>
  <c r="AB1040" i="1" s="1"/>
  <c r="AC1037" i="1" a="1"/>
  <c r="AC1037" i="1" s="1"/>
  <c r="AB1037" i="1" s="1"/>
  <c r="AC1038" i="1" a="1"/>
  <c r="AC1038" i="1" s="1"/>
  <c r="AB1038" i="1" s="1"/>
  <c r="AC1039" i="1" a="1"/>
  <c r="AC1039" i="1" s="1"/>
  <c r="AB1039" i="1" s="1"/>
  <c r="AC1036" i="1" a="1"/>
  <c r="AC1036" i="1" s="1"/>
  <c r="AB1036" i="1" s="1"/>
  <c r="AC1041" i="1" a="1"/>
  <c r="AC1041" i="1" s="1"/>
  <c r="AB1041" i="1" s="1"/>
  <c r="AC1042" i="1" a="1"/>
  <c r="AC1042" i="1" s="1"/>
  <c r="AB1042" i="1" s="1"/>
  <c r="AC1043" i="1" a="1"/>
  <c r="AC1043" i="1" s="1"/>
  <c r="AB1043" i="1" s="1"/>
  <c r="AC1044" i="1" a="1"/>
  <c r="AC1044" i="1" s="1"/>
  <c r="AB1044" i="1" s="1"/>
  <c r="AC1045" i="1" a="1"/>
  <c r="AC1045" i="1" s="1"/>
  <c r="AB1045" i="1" s="1"/>
  <c r="AC1050" i="1" a="1"/>
  <c r="AC1050" i="1" s="1"/>
  <c r="AB1050" i="1" s="1"/>
  <c r="AC1046" i="1" a="1"/>
  <c r="AC1046" i="1" s="1"/>
  <c r="AB1046" i="1" s="1"/>
  <c r="AC1047" i="1" a="1"/>
  <c r="AC1047" i="1" s="1"/>
  <c r="AB1047" i="1" s="1"/>
  <c r="AC1049" i="1" a="1"/>
  <c r="AC1049" i="1" s="1"/>
  <c r="AB1049" i="1" s="1"/>
  <c r="AC1048" i="1" a="1"/>
  <c r="AC1048" i="1" s="1"/>
  <c r="AB1048" i="1" s="1"/>
  <c r="AC1051" i="1" a="1"/>
  <c r="AC1051" i="1" s="1"/>
  <c r="AB1051" i="1" s="1"/>
  <c r="AC1052" i="1" a="1"/>
  <c r="AC1052" i="1" s="1"/>
  <c r="AB1052" i="1" s="1"/>
  <c r="AC1053" i="1" a="1"/>
  <c r="AC1053" i="1" s="1"/>
  <c r="AB1053" i="1" s="1"/>
  <c r="AC1054" i="1" a="1"/>
  <c r="AC1054" i="1" s="1"/>
  <c r="AB1054" i="1" s="1"/>
  <c r="AC1055" i="1" a="1"/>
  <c r="AC1055" i="1" s="1"/>
  <c r="AB1055" i="1" s="1"/>
  <c r="AC1056" i="1" a="1"/>
  <c r="AC1056" i="1" s="1"/>
  <c r="AB1056" i="1" s="1"/>
  <c r="AC1057" i="1" a="1"/>
  <c r="AC1057" i="1" s="1"/>
  <c r="AB1057" i="1" s="1"/>
  <c r="AC1058" i="1" a="1"/>
  <c r="AC1058" i="1" s="1"/>
  <c r="AB1058" i="1" s="1"/>
  <c r="AC1059" i="1" a="1"/>
  <c r="AC1059" i="1" s="1"/>
  <c r="AB1059" i="1" s="1"/>
  <c r="AC1060" i="1" a="1"/>
  <c r="AC1060" i="1" s="1"/>
  <c r="AB1060" i="1" s="1"/>
  <c r="AC1061" i="1" a="1"/>
  <c r="AC1061" i="1" s="1"/>
  <c r="AB1061" i="1" s="1"/>
  <c r="AC1062" i="1" a="1"/>
  <c r="AC1062" i="1" s="1"/>
  <c r="AB1062" i="1" s="1"/>
  <c r="AC1063" i="1" a="1"/>
  <c r="AC1063" i="1" s="1"/>
  <c r="AB1063" i="1" s="1"/>
  <c r="AC1064" i="1" a="1"/>
  <c r="AC1064" i="1" s="1"/>
  <c r="AB1064" i="1" s="1"/>
  <c r="AC1065" i="1" a="1"/>
  <c r="AC1065" i="1" s="1"/>
  <c r="AB1065" i="1" s="1"/>
  <c r="AC1066" i="1" a="1"/>
  <c r="AC1066" i="1" s="1"/>
  <c r="AB1066" i="1" s="1"/>
  <c r="AC1067" i="1" a="1"/>
  <c r="AC1067" i="1" s="1"/>
  <c r="AB1067" i="1" s="1"/>
  <c r="AC1068" i="1" a="1"/>
  <c r="AC1068" i="1" s="1"/>
  <c r="AB1068" i="1" s="1"/>
  <c r="AC1069" i="1" a="1"/>
  <c r="AC1069" i="1" s="1"/>
  <c r="AB1069" i="1" s="1"/>
  <c r="AC1070" i="1" a="1"/>
  <c r="AC1070" i="1" s="1"/>
  <c r="AB1070" i="1" s="1"/>
  <c r="AC1071" i="1" a="1"/>
  <c r="AC1071" i="1" s="1"/>
  <c r="AB1071" i="1" s="1"/>
  <c r="AC1072" i="1" a="1"/>
  <c r="AC1072" i="1" s="1"/>
  <c r="AB1072" i="1" s="1"/>
  <c r="AC1073" i="1" a="1"/>
  <c r="AC1073" i="1" s="1"/>
  <c r="AB1073" i="1" s="1"/>
  <c r="AC1074" i="1" a="1"/>
  <c r="AC1074" i="1" s="1"/>
  <c r="AB1074" i="1" s="1"/>
  <c r="AC1075" i="1" a="1"/>
  <c r="AC1075" i="1" s="1"/>
  <c r="AB1075" i="1" s="1"/>
  <c r="AC1076" i="1" a="1"/>
  <c r="AC1076" i="1" s="1"/>
  <c r="AB1076" i="1" s="1"/>
  <c r="AC1078" i="1" a="1"/>
  <c r="AC1078" i="1" s="1"/>
  <c r="AB1078" i="1" s="1"/>
  <c r="AC1077" i="1" a="1"/>
  <c r="AC1077" i="1" s="1"/>
  <c r="AB1077" i="1" s="1"/>
  <c r="AC1079" i="1" a="1"/>
  <c r="AC1079" i="1" s="1"/>
  <c r="AB1079" i="1" s="1"/>
  <c r="AC1080" i="1" a="1"/>
  <c r="AC1080" i="1" s="1"/>
  <c r="AB1080" i="1" s="1"/>
  <c r="AC1081" i="1" a="1"/>
  <c r="AC1081" i="1" s="1"/>
  <c r="AB1081" i="1" s="1"/>
  <c r="AC1082" i="1" a="1"/>
  <c r="AC1082" i="1" s="1"/>
  <c r="AB1082" i="1" s="1"/>
  <c r="AC1083" i="1" a="1"/>
  <c r="AC1083" i="1" s="1"/>
  <c r="AB1083" i="1" s="1"/>
  <c r="AC1084" i="1" a="1"/>
  <c r="AC1084" i="1" s="1"/>
  <c r="AB1084" i="1" s="1"/>
  <c r="AC1086" i="1" a="1"/>
  <c r="AC1086" i="1" s="1"/>
  <c r="AB1086" i="1" s="1"/>
  <c r="AC1085" i="1" a="1"/>
  <c r="AC1085" i="1" s="1"/>
  <c r="AB1085" i="1" s="1"/>
  <c r="AC1088" i="1" a="1"/>
  <c r="AC1088" i="1" s="1"/>
  <c r="AB1088" i="1" s="1"/>
  <c r="AC1087" i="1" a="1"/>
  <c r="AC1087" i="1" s="1"/>
  <c r="AB1087" i="1" s="1"/>
  <c r="AC1089" i="1" a="1"/>
  <c r="AC1089" i="1" s="1"/>
  <c r="AB1089" i="1" s="1"/>
  <c r="AC1090" i="1" a="1"/>
  <c r="AC1090" i="1" s="1"/>
  <c r="AB1090" i="1" s="1"/>
  <c r="AC1091" i="1" a="1"/>
  <c r="AC1091" i="1" s="1"/>
  <c r="AB1091" i="1" s="1"/>
  <c r="AC1092" i="1" a="1"/>
  <c r="AC1092" i="1" s="1"/>
  <c r="AB1092" i="1" s="1"/>
  <c r="AC1093" i="1" a="1"/>
  <c r="AC1093" i="1" s="1"/>
  <c r="AB1093" i="1" s="1"/>
  <c r="AC1094" i="1" a="1"/>
  <c r="AC1094" i="1" s="1"/>
  <c r="AB1094" i="1" s="1"/>
  <c r="AC1096" i="1" a="1"/>
  <c r="AC1096" i="1" s="1"/>
  <c r="AB1096" i="1" s="1"/>
  <c r="AC1097" i="1" a="1"/>
  <c r="AC1097" i="1" s="1"/>
  <c r="AB1097" i="1" s="1"/>
  <c r="AC1095" i="1" a="1"/>
  <c r="AC1095" i="1" s="1"/>
  <c r="AB1095" i="1" s="1"/>
  <c r="AC1098" i="1" a="1"/>
  <c r="AC1098" i="1" s="1"/>
  <c r="AB1098" i="1" s="1"/>
  <c r="AC1099" i="1" a="1"/>
  <c r="AC1099" i="1" s="1"/>
  <c r="AB1099" i="1" s="1"/>
  <c r="AC1100" i="1" a="1"/>
  <c r="AC1100" i="1" s="1"/>
  <c r="AB1100" i="1" s="1"/>
  <c r="AC1101" i="1" a="1"/>
  <c r="AC1101" i="1" s="1"/>
  <c r="AB1101" i="1" s="1"/>
  <c r="AC1102" i="1" a="1"/>
  <c r="AC1102" i="1" s="1"/>
  <c r="AB1102" i="1" s="1"/>
  <c r="AC1103" i="1" a="1"/>
  <c r="AC1103" i="1" s="1"/>
  <c r="AB1103" i="1" s="1"/>
  <c r="AC1104" i="1" a="1"/>
  <c r="AC1104" i="1" s="1"/>
  <c r="AB1104" i="1" s="1"/>
  <c r="AC1105" i="1" a="1"/>
  <c r="AC1105" i="1" s="1"/>
  <c r="AB1105" i="1" s="1"/>
  <c r="AC1107" i="1" a="1"/>
  <c r="AC1107" i="1" s="1"/>
  <c r="AB1107" i="1" s="1"/>
  <c r="AC1106" i="1" a="1"/>
  <c r="AC1106" i="1" s="1"/>
  <c r="AB1106" i="1" s="1"/>
  <c r="AC1108" i="1" a="1"/>
  <c r="AC1108" i="1" s="1"/>
  <c r="AB1108" i="1" s="1"/>
  <c r="AC1109" i="1" a="1"/>
  <c r="AC1109" i="1" s="1"/>
  <c r="AB1109" i="1" s="1"/>
  <c r="AC1111" i="1" a="1"/>
  <c r="AC1111" i="1" s="1"/>
  <c r="AB1111" i="1" s="1"/>
  <c r="AC1112" i="1" a="1"/>
  <c r="AC1112" i="1" s="1"/>
  <c r="AB1112" i="1" s="1"/>
  <c r="AC1110" i="1" a="1"/>
  <c r="AC1110" i="1" s="1"/>
  <c r="AB1110" i="1" s="1"/>
  <c r="AC1113" i="1" a="1"/>
  <c r="AC1113" i="1" s="1"/>
  <c r="AB1113" i="1" s="1"/>
  <c r="AC1115" i="1" a="1"/>
  <c r="AC1115" i="1" s="1"/>
  <c r="AB1115" i="1" s="1"/>
  <c r="AC1114" i="1" a="1"/>
  <c r="AC1114" i="1" s="1"/>
  <c r="AB1114" i="1" s="1"/>
  <c r="AC1116" i="1" a="1"/>
  <c r="AC1116" i="1" s="1"/>
  <c r="AB1116" i="1" s="1"/>
  <c r="AC1117" i="1" a="1"/>
  <c r="AC1117" i="1" s="1"/>
  <c r="AB1117" i="1" s="1"/>
  <c r="AC1118" i="1" a="1"/>
  <c r="AC1118" i="1" s="1"/>
  <c r="AB1118" i="1" s="1"/>
  <c r="AC1119" i="1" a="1"/>
  <c r="AC1119" i="1" s="1"/>
  <c r="AB1119" i="1" s="1"/>
  <c r="AC1121" i="1" a="1"/>
  <c r="AC1121" i="1" s="1"/>
  <c r="AB1121" i="1" s="1"/>
  <c r="AC1122" i="1" a="1"/>
  <c r="AC1122" i="1" s="1"/>
  <c r="AB1122" i="1" s="1"/>
  <c r="AC1120" i="1" a="1"/>
  <c r="AC1120" i="1" s="1"/>
  <c r="AB1120" i="1" s="1"/>
  <c r="AC1123" i="1" a="1"/>
  <c r="AC1123" i="1" s="1"/>
  <c r="AB1123" i="1" s="1"/>
  <c r="AC1125" i="1" a="1"/>
  <c r="AC1125" i="1" s="1"/>
  <c r="AB1125" i="1" s="1"/>
  <c r="AC1124" i="1" a="1"/>
  <c r="AC1124" i="1" s="1"/>
  <c r="AB1124" i="1" s="1"/>
  <c r="AC1126" i="1" a="1"/>
  <c r="AC1126" i="1" s="1"/>
  <c r="AB1126" i="1" s="1"/>
  <c r="AC1127" i="1" a="1"/>
  <c r="AC1127" i="1" s="1"/>
  <c r="AB1127" i="1" s="1"/>
  <c r="AC1128" i="1" a="1"/>
  <c r="AC1128" i="1" s="1"/>
  <c r="AB1128" i="1" s="1"/>
  <c r="AC1129" i="1" a="1"/>
  <c r="AC1129" i="1" s="1"/>
  <c r="AB1129" i="1" s="1"/>
  <c r="AC1130" i="1" a="1"/>
  <c r="AC1130" i="1" s="1"/>
  <c r="AB1130" i="1" s="1"/>
  <c r="AC1132" i="1" a="1"/>
  <c r="AC1132" i="1" s="1"/>
  <c r="AB1132" i="1" s="1"/>
  <c r="AC1133" i="1" a="1"/>
  <c r="AC1133" i="1" s="1"/>
  <c r="AB1133" i="1" s="1"/>
  <c r="AC1131" i="1" a="1"/>
  <c r="AC1131" i="1" s="1"/>
  <c r="AB1131" i="1" s="1"/>
  <c r="AC1134" i="1" a="1"/>
  <c r="AC1134" i="1" s="1"/>
  <c r="AB1134" i="1" s="1"/>
  <c r="Q8" i="1"/>
  <c r="Q9" i="1"/>
  <c r="Q13" i="1"/>
  <c r="Q14" i="1"/>
  <c r="Q15" i="1"/>
  <c r="Q16" i="1"/>
  <c r="Q17" i="1"/>
  <c r="Q18" i="1"/>
  <c r="Q19" i="1"/>
  <c r="Q20" i="1"/>
  <c r="Q21" i="1"/>
  <c r="Q22" i="1"/>
  <c r="Q23" i="1"/>
  <c r="Q24" i="1"/>
  <c r="Q26" i="1"/>
  <c r="Q25" i="1"/>
  <c r="Q28" i="1"/>
  <c r="Q27" i="1"/>
  <c r="Q30" i="1"/>
  <c r="Q29" i="1"/>
  <c r="Q32" i="1"/>
  <c r="Q31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7" i="1"/>
  <c r="Q58" i="1"/>
  <c r="Q56" i="1"/>
  <c r="Q59" i="1"/>
  <c r="Q60" i="1"/>
  <c r="Q61" i="1"/>
  <c r="Q62" i="1"/>
  <c r="Q64" i="1"/>
  <c r="Q65" i="1"/>
  <c r="Q63" i="1"/>
  <c r="Q66" i="1"/>
  <c r="Q67" i="1"/>
  <c r="Q68" i="1"/>
  <c r="Q69" i="1"/>
  <c r="Q70" i="1"/>
  <c r="Q71" i="1"/>
  <c r="Q74" i="1"/>
  <c r="Q75" i="1"/>
  <c r="Q77" i="1"/>
  <c r="Q76" i="1"/>
  <c r="Q73" i="1"/>
  <c r="Q72" i="1"/>
  <c r="Q78" i="1"/>
  <c r="Q79" i="1"/>
  <c r="Q80" i="1"/>
  <c r="Q81" i="1"/>
  <c r="Q85" i="1"/>
  <c r="Q84" i="1"/>
  <c r="Q87" i="1"/>
  <c r="Q86" i="1"/>
  <c r="Q82" i="1"/>
  <c r="Q83" i="1"/>
  <c r="Q88" i="1"/>
  <c r="Q89" i="1"/>
  <c r="Q90" i="1"/>
  <c r="Q91" i="1"/>
  <c r="Q92" i="1"/>
  <c r="Q93" i="1"/>
  <c r="Q95" i="1"/>
  <c r="Q96" i="1"/>
  <c r="Q94" i="1"/>
  <c r="Q97" i="1"/>
  <c r="Q99" i="1"/>
  <c r="Q100" i="1"/>
  <c r="Q98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6" i="1"/>
  <c r="Q115" i="1"/>
  <c r="Q119" i="1"/>
  <c r="Q118" i="1"/>
  <c r="Q117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68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9" i="1"/>
  <c r="Q200" i="1"/>
  <c r="Q198" i="1"/>
  <c r="Q201" i="1"/>
  <c r="Q202" i="1"/>
  <c r="Q203" i="1"/>
  <c r="Q204" i="1"/>
  <c r="Q205" i="1"/>
  <c r="Q206" i="1"/>
  <c r="Q207" i="1"/>
  <c r="Q210" i="1"/>
  <c r="Q208" i="1"/>
  <c r="Q212" i="1"/>
  <c r="Q209" i="1"/>
  <c r="Q211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6" i="1"/>
  <c r="Q237" i="1"/>
  <c r="Q238" i="1"/>
  <c r="Q239" i="1"/>
  <c r="Q234" i="1"/>
  <c r="Q235" i="1"/>
  <c r="Q240" i="1"/>
  <c r="Q241" i="1"/>
  <c r="Q242" i="1"/>
  <c r="Q243" i="1"/>
  <c r="Q244" i="1"/>
  <c r="Q245" i="1"/>
  <c r="Q246" i="1"/>
  <c r="Q247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3" i="1"/>
  <c r="Q361" i="1"/>
  <c r="Q362" i="1"/>
  <c r="Q364" i="1"/>
  <c r="Q366" i="1"/>
  <c r="Q365" i="1"/>
  <c r="Q368" i="1"/>
  <c r="Q367" i="1"/>
  <c r="Q369" i="1"/>
  <c r="Q370" i="1"/>
  <c r="Q371" i="1"/>
  <c r="Q372" i="1"/>
  <c r="Q373" i="1"/>
  <c r="Q374" i="1"/>
  <c r="Q375" i="1"/>
  <c r="Q376" i="1"/>
  <c r="Q377" i="1"/>
  <c r="Q378" i="1"/>
  <c r="Q379" i="1"/>
  <c r="Q381" i="1"/>
  <c r="Q380" i="1"/>
  <c r="Q383" i="1"/>
  <c r="Q382" i="1"/>
  <c r="Q384" i="1"/>
  <c r="Q385" i="1"/>
  <c r="Q386" i="1"/>
  <c r="Q387" i="1"/>
  <c r="Q388" i="1"/>
  <c r="Q389" i="1"/>
  <c r="Q390" i="1"/>
  <c r="Q391" i="1"/>
  <c r="Q392" i="1"/>
  <c r="Q394" i="1"/>
  <c r="Q395" i="1"/>
  <c r="Q396" i="1"/>
  <c r="Q397" i="1"/>
  <c r="Q398" i="1"/>
  <c r="Q399" i="1"/>
  <c r="Q400" i="1"/>
  <c r="Q403" i="1"/>
  <c r="Q401" i="1"/>
  <c r="Q406" i="1"/>
  <c r="Q402" i="1"/>
  <c r="Q404" i="1"/>
  <c r="Q407" i="1"/>
  <c r="Q405" i="1"/>
  <c r="Q408" i="1"/>
  <c r="Q410" i="1"/>
  <c r="Q411" i="1"/>
  <c r="Q412" i="1"/>
  <c r="Q413" i="1"/>
  <c r="Q414" i="1"/>
  <c r="Q415" i="1"/>
  <c r="Q419" i="1"/>
  <c r="Q426" i="1"/>
  <c r="Q420" i="1"/>
  <c r="Q423" i="1"/>
  <c r="Q417" i="1"/>
  <c r="Q418" i="1"/>
  <c r="Q424" i="1"/>
  <c r="Q425" i="1"/>
  <c r="Q421" i="1"/>
  <c r="Q422" i="1"/>
  <c r="Q427" i="1"/>
  <c r="Q429" i="1"/>
  <c r="Q430" i="1"/>
  <c r="Q428" i="1"/>
  <c r="Q431" i="1"/>
  <c r="Q433" i="1"/>
  <c r="Q434" i="1"/>
  <c r="Q432" i="1"/>
  <c r="Q435" i="1"/>
  <c r="Q436" i="1"/>
  <c r="Q437" i="1"/>
  <c r="Q438" i="1"/>
  <c r="Q439" i="1"/>
  <c r="Q440" i="1"/>
  <c r="Q441" i="1"/>
  <c r="Q443" i="1"/>
  <c r="Q444" i="1"/>
  <c r="Q442" i="1"/>
  <c r="Q445" i="1"/>
  <c r="Q447" i="1"/>
  <c r="Q449" i="1"/>
  <c r="Q446" i="1"/>
  <c r="Q448" i="1"/>
  <c r="Q450" i="1"/>
  <c r="Q453" i="1"/>
  <c r="Q452" i="1"/>
  <c r="Q451" i="1"/>
  <c r="Q455" i="1"/>
  <c r="Q454" i="1"/>
  <c r="Q456" i="1"/>
  <c r="Q457" i="1"/>
  <c r="Q459" i="1"/>
  <c r="Q458" i="1"/>
  <c r="Q460" i="1"/>
  <c r="Q461" i="1"/>
  <c r="Q462" i="1"/>
  <c r="Q463" i="1"/>
  <c r="Q464" i="1"/>
  <c r="Q465" i="1"/>
  <c r="Q466" i="1"/>
  <c r="Q467" i="1"/>
  <c r="Q468" i="1"/>
  <c r="Q470" i="1"/>
  <c r="Q469" i="1"/>
  <c r="Q471" i="1"/>
  <c r="Q472" i="1"/>
  <c r="Q474" i="1"/>
  <c r="Q473" i="1"/>
  <c r="Q475" i="1"/>
  <c r="Q476" i="1"/>
  <c r="Q477" i="1"/>
  <c r="Q478" i="1"/>
  <c r="Q479" i="1"/>
  <c r="Q480" i="1"/>
  <c r="Q481" i="1"/>
  <c r="Q484" i="1"/>
  <c r="Q483" i="1"/>
  <c r="Q482" i="1"/>
  <c r="Q485" i="1"/>
  <c r="Q488" i="1"/>
  <c r="Q487" i="1"/>
  <c r="Q486" i="1"/>
  <c r="Q489" i="1"/>
  <c r="Q490" i="1"/>
  <c r="Q491" i="1"/>
  <c r="Q492" i="1"/>
  <c r="Q493" i="1"/>
  <c r="Q494" i="1"/>
  <c r="Q495" i="1"/>
  <c r="Q500" i="1"/>
  <c r="Q501" i="1"/>
  <c r="Q502" i="1"/>
  <c r="Q505" i="1"/>
  <c r="Q506" i="1"/>
  <c r="Q507" i="1"/>
  <c r="Q508" i="1"/>
  <c r="Q513" i="1"/>
  <c r="Q510" i="1"/>
  <c r="Q512" i="1"/>
  <c r="Q509" i="1"/>
  <c r="Q514" i="1"/>
  <c r="Q515" i="1"/>
  <c r="Q519" i="1"/>
  <c r="Q517" i="1"/>
  <c r="Q518" i="1"/>
  <c r="Q516" i="1"/>
  <c r="Q520" i="1"/>
  <c r="Q521" i="1"/>
  <c r="Q522" i="1"/>
  <c r="Q523" i="1"/>
  <c r="Q524" i="1"/>
  <c r="Q527" i="1"/>
  <c r="Q528" i="1"/>
  <c r="Q525" i="1"/>
  <c r="Q529" i="1"/>
  <c r="Q530" i="1"/>
  <c r="Q531" i="1"/>
  <c r="Q533" i="1"/>
  <c r="Q534" i="1"/>
  <c r="Q532" i="1"/>
  <c r="Q535" i="1"/>
  <c r="Q536" i="1"/>
  <c r="Q537" i="1"/>
  <c r="Q538" i="1"/>
  <c r="Q539" i="1"/>
  <c r="Q540" i="1"/>
  <c r="Q541" i="1"/>
  <c r="Q542" i="1"/>
  <c r="Q543" i="1"/>
  <c r="Q544" i="1"/>
  <c r="Q545" i="1"/>
  <c r="Q547" i="1"/>
  <c r="Q546" i="1"/>
  <c r="Q548" i="1"/>
  <c r="Q549" i="1"/>
  <c r="Q550" i="1"/>
  <c r="Q551" i="1"/>
  <c r="Q552" i="1"/>
  <c r="Q554" i="1"/>
  <c r="Q553" i="1"/>
  <c r="Q555" i="1"/>
  <c r="Q556" i="1"/>
  <c r="Q558" i="1"/>
  <c r="Q573" i="1"/>
  <c r="Q564" i="1"/>
  <c r="Q565" i="1"/>
  <c r="Q559" i="1"/>
  <c r="Q560" i="1"/>
  <c r="Q561" i="1"/>
  <c r="Q571" i="1"/>
  <c r="Q562" i="1"/>
  <c r="Q563" i="1"/>
  <c r="Q572" i="1"/>
  <c r="Q568" i="1"/>
  <c r="Q566" i="1"/>
  <c r="Q567" i="1"/>
  <c r="Q586" i="1"/>
  <c r="Q574" i="1"/>
  <c r="Q569" i="1"/>
  <c r="Q580" i="1"/>
  <c r="Q588" i="1"/>
  <c r="Q570" i="1"/>
  <c r="Q579" i="1"/>
  <c r="Q575" i="1"/>
  <c r="Q578" i="1"/>
  <c r="Q576" i="1"/>
  <c r="Q577" i="1"/>
  <c r="Q589" i="1"/>
  <c r="Q587" i="1"/>
  <c r="Q582" i="1"/>
  <c r="Q581" i="1"/>
  <c r="Q583" i="1"/>
  <c r="Q584" i="1"/>
  <c r="Q585" i="1"/>
  <c r="Q590" i="1"/>
  <c r="Q592" i="1"/>
  <c r="Q593" i="1"/>
  <c r="Q591" i="1"/>
  <c r="Q594" i="1"/>
  <c r="Q596" i="1"/>
  <c r="Q597" i="1"/>
  <c r="Q598" i="1"/>
  <c r="Q595" i="1"/>
  <c r="Q601" i="1"/>
  <c r="Q599" i="1"/>
  <c r="Q600" i="1"/>
  <c r="Q604" i="1"/>
  <c r="Q605" i="1"/>
  <c r="Q603" i="1"/>
  <c r="Q602" i="1"/>
  <c r="Q608" i="1"/>
  <c r="Q606" i="1"/>
  <c r="Q607" i="1"/>
  <c r="Q610" i="1"/>
  <c r="Q611" i="1"/>
  <c r="Q609" i="1"/>
  <c r="Q612" i="1"/>
  <c r="Q613" i="1"/>
  <c r="Q614" i="1"/>
  <c r="Q616" i="1"/>
  <c r="Q617" i="1"/>
  <c r="Q615" i="1"/>
  <c r="Q618" i="1"/>
  <c r="Q619" i="1"/>
  <c r="Q620" i="1"/>
  <c r="Q621" i="1"/>
  <c r="Q623" i="1"/>
  <c r="Q624" i="1"/>
  <c r="Q622" i="1"/>
  <c r="Q625" i="1"/>
  <c r="Q626" i="1"/>
  <c r="Q627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6" i="1"/>
  <c r="Q645" i="1"/>
  <c r="Q647" i="1"/>
  <c r="Q648" i="1"/>
  <c r="Q649" i="1"/>
  <c r="Q650" i="1"/>
  <c r="Q651" i="1"/>
  <c r="Q653" i="1"/>
  <c r="Q652" i="1"/>
  <c r="Q654" i="1"/>
  <c r="Q655" i="1"/>
  <c r="Q658" i="1"/>
  <c r="Q659" i="1"/>
  <c r="Q657" i="1"/>
  <c r="Q660" i="1"/>
  <c r="Q656" i="1"/>
  <c r="Q661" i="1"/>
  <c r="Q662" i="1"/>
  <c r="Q665" i="1"/>
  <c r="Q664" i="1"/>
  <c r="Q666" i="1"/>
  <c r="Q667" i="1"/>
  <c r="Q663" i="1"/>
  <c r="Q668" i="1"/>
  <c r="Q669" i="1"/>
  <c r="Q670" i="1"/>
  <c r="Q673" i="1"/>
  <c r="Q672" i="1"/>
  <c r="Q671" i="1"/>
  <c r="Q674" i="1"/>
  <c r="Q675" i="1"/>
  <c r="Q676" i="1"/>
  <c r="Q677" i="1"/>
  <c r="Q680" i="1"/>
  <c r="Q678" i="1"/>
  <c r="Q679" i="1"/>
  <c r="Q681" i="1"/>
  <c r="Q682" i="1"/>
  <c r="Q683" i="1"/>
  <c r="Q684" i="1"/>
  <c r="Q685" i="1"/>
  <c r="Q686" i="1"/>
  <c r="Q687" i="1"/>
  <c r="Q688" i="1"/>
  <c r="Q689" i="1"/>
  <c r="Q691" i="1"/>
  <c r="Q692" i="1"/>
  <c r="Q690" i="1"/>
  <c r="Q693" i="1"/>
  <c r="Q694" i="1"/>
  <c r="Q695" i="1"/>
  <c r="Q696" i="1"/>
  <c r="Q698" i="1"/>
  <c r="Q697" i="1"/>
  <c r="Q700" i="1"/>
  <c r="Q701" i="1"/>
  <c r="Q702" i="1"/>
  <c r="Q703" i="1"/>
  <c r="Q699" i="1"/>
  <c r="Q704" i="1"/>
  <c r="Q706" i="1"/>
  <c r="Q708" i="1"/>
  <c r="Q707" i="1"/>
  <c r="Q709" i="1"/>
  <c r="Q710" i="1"/>
  <c r="Q705" i="1"/>
  <c r="Q711" i="1"/>
  <c r="Q712" i="1"/>
  <c r="Q714" i="1"/>
  <c r="Q713" i="1"/>
  <c r="Q718" i="1"/>
  <c r="Q715" i="1"/>
  <c r="Q717" i="1"/>
  <c r="Q719" i="1"/>
  <c r="Q720" i="1"/>
  <c r="Q721" i="1"/>
  <c r="Q722" i="1"/>
  <c r="Q725" i="1"/>
  <c r="Q723" i="1"/>
  <c r="Q726" i="1"/>
  <c r="Q727" i="1"/>
  <c r="Q729" i="1"/>
  <c r="Q728" i="1"/>
  <c r="Q730" i="1"/>
  <c r="Q731" i="1"/>
  <c r="Q732" i="1"/>
  <c r="Q733" i="1"/>
  <c r="Q734" i="1"/>
  <c r="Q736" i="1"/>
  <c r="Q735" i="1"/>
  <c r="Q737" i="1"/>
  <c r="Q738" i="1"/>
  <c r="Q739" i="1"/>
  <c r="Q740" i="1"/>
  <c r="Q741" i="1"/>
  <c r="Q742" i="1"/>
  <c r="Q743" i="1"/>
  <c r="Q744" i="1"/>
  <c r="Q745" i="1"/>
  <c r="Q747" i="1"/>
  <c r="Q746" i="1"/>
  <c r="Q749" i="1"/>
  <c r="Q750" i="1"/>
  <c r="Q751" i="1"/>
  <c r="Q752" i="1"/>
  <c r="Q753" i="1"/>
  <c r="Q755" i="1"/>
  <c r="Q754" i="1"/>
  <c r="Q756" i="1"/>
  <c r="Q757" i="1"/>
  <c r="Q758" i="1"/>
  <c r="Q759" i="1"/>
  <c r="Q760" i="1"/>
  <c r="Q761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8" i="1"/>
  <c r="Q777" i="1"/>
  <c r="Q779" i="1"/>
  <c r="Q780" i="1"/>
  <c r="Q781" i="1"/>
  <c r="Q782" i="1"/>
  <c r="Q783" i="1"/>
  <c r="Q784" i="1"/>
  <c r="Q786" i="1"/>
  <c r="Q785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5" i="1"/>
  <c r="Q804" i="1"/>
  <c r="Q806" i="1"/>
  <c r="Q807" i="1"/>
  <c r="Q808" i="1"/>
  <c r="Q809" i="1"/>
  <c r="Q810" i="1"/>
  <c r="Q811" i="1"/>
  <c r="Q812" i="1"/>
  <c r="Q814" i="1"/>
  <c r="Q813" i="1"/>
  <c r="Q815" i="1"/>
  <c r="Q816" i="1"/>
  <c r="Q817" i="1"/>
  <c r="Q818" i="1"/>
  <c r="Q819" i="1"/>
  <c r="Q820" i="1"/>
  <c r="Q822" i="1"/>
  <c r="Q821" i="1"/>
  <c r="Q824" i="1"/>
  <c r="Q823" i="1"/>
  <c r="Q825" i="1"/>
  <c r="Q828" i="1"/>
  <c r="Q827" i="1"/>
  <c r="Q829" i="1"/>
  <c r="Q830" i="1"/>
  <c r="Q831" i="1"/>
  <c r="Q832" i="1"/>
  <c r="Q834" i="1"/>
  <c r="Q835" i="1"/>
  <c r="Q833" i="1"/>
  <c r="Q836" i="1"/>
  <c r="Q838" i="1"/>
  <c r="Q837" i="1"/>
  <c r="Q839" i="1"/>
  <c r="Q840" i="1"/>
  <c r="Q842" i="1"/>
  <c r="Q841" i="1"/>
  <c r="Q843" i="1"/>
  <c r="Q844" i="1"/>
  <c r="Q845" i="1"/>
  <c r="Q846" i="1"/>
  <c r="Q847" i="1"/>
  <c r="Q848" i="1"/>
  <c r="Q849" i="1"/>
  <c r="Q850" i="1"/>
  <c r="Q852" i="1"/>
  <c r="Q851" i="1"/>
  <c r="Q853" i="1"/>
  <c r="Q854" i="1"/>
  <c r="Q855" i="1"/>
  <c r="Q856" i="1"/>
  <c r="Q857" i="1"/>
  <c r="Q858" i="1"/>
  <c r="Q859" i="1"/>
  <c r="Q860" i="1"/>
  <c r="Q861" i="1"/>
  <c r="Q862" i="1"/>
  <c r="Q864" i="1"/>
  <c r="Q863" i="1"/>
  <c r="Q865" i="1"/>
  <c r="Q866" i="1"/>
  <c r="Q867" i="1"/>
  <c r="Q868" i="1"/>
  <c r="Q869" i="1"/>
  <c r="Q870" i="1"/>
  <c r="Q871" i="1"/>
  <c r="Q874" i="1"/>
  <c r="Q872" i="1"/>
  <c r="Q873" i="1"/>
  <c r="Q875" i="1"/>
  <c r="Q876" i="1"/>
  <c r="Q878" i="1"/>
  <c r="Q879" i="1"/>
  <c r="Q877" i="1"/>
  <c r="Q880" i="1"/>
  <c r="Q881" i="1"/>
  <c r="Q883" i="1"/>
  <c r="Q882" i="1"/>
  <c r="Q884" i="1"/>
  <c r="Q885" i="1"/>
  <c r="Q886" i="1"/>
  <c r="Q888" i="1"/>
  <c r="Q889" i="1"/>
  <c r="Q887" i="1"/>
  <c r="Q891" i="1"/>
  <c r="Q890" i="1"/>
  <c r="Q892" i="1"/>
  <c r="Q893" i="1"/>
  <c r="Q894" i="1"/>
  <c r="Q895" i="1"/>
  <c r="Q896" i="1"/>
  <c r="Q897" i="1"/>
  <c r="Q898" i="1"/>
  <c r="Q899" i="1"/>
  <c r="Q901" i="1"/>
  <c r="Q900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7" i="1"/>
  <c r="Q914" i="1"/>
  <c r="Q916" i="1"/>
  <c r="Q918" i="1"/>
  <c r="Q920" i="1"/>
  <c r="Q919" i="1"/>
  <c r="Q921" i="1"/>
  <c r="Q922" i="1"/>
  <c r="Q923" i="1"/>
  <c r="Q924" i="1"/>
  <c r="Q927" i="1"/>
  <c r="Q925" i="1"/>
  <c r="Q926" i="1"/>
  <c r="Q928" i="1"/>
  <c r="Q930" i="1"/>
  <c r="Q929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9" i="1"/>
  <c r="Q958" i="1"/>
  <c r="Q963" i="1"/>
  <c r="Q965" i="1"/>
  <c r="Q964" i="1"/>
  <c r="Q961" i="1"/>
  <c r="Q966" i="1"/>
  <c r="Q962" i="1"/>
  <c r="Q960" i="1"/>
  <c r="Q967" i="1"/>
  <c r="Q969" i="1"/>
  <c r="Q968" i="1"/>
  <c r="Q973" i="1"/>
  <c r="Q975" i="1"/>
  <c r="Q974" i="1"/>
  <c r="Q971" i="1"/>
  <c r="Q976" i="1"/>
  <c r="Q972" i="1"/>
  <c r="Q970" i="1"/>
  <c r="Q977" i="1"/>
  <c r="Q980" i="1"/>
  <c r="Q981" i="1"/>
  <c r="Q982" i="1"/>
  <c r="Q979" i="1"/>
  <c r="Q978" i="1"/>
  <c r="Q983" i="1"/>
  <c r="Q984" i="1"/>
  <c r="Q985" i="1"/>
  <c r="Q986" i="1"/>
  <c r="Q987" i="1"/>
  <c r="Q990" i="1"/>
  <c r="Q991" i="1"/>
  <c r="Q992" i="1"/>
  <c r="Q989" i="1"/>
  <c r="Q988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7" i="1"/>
  <c r="Q1028" i="1"/>
  <c r="Q1026" i="1"/>
  <c r="Q1029" i="1"/>
  <c r="Q1030" i="1"/>
  <c r="Q1031" i="1"/>
  <c r="Q1032" i="1"/>
  <c r="Q1033" i="1"/>
  <c r="Q1034" i="1"/>
  <c r="Q1035" i="1"/>
  <c r="Q1040" i="1"/>
  <c r="Q1037" i="1"/>
  <c r="Q1038" i="1"/>
  <c r="Q1039" i="1"/>
  <c r="Q1036" i="1"/>
  <c r="Q1041" i="1"/>
  <c r="Q1042" i="1"/>
  <c r="Q1043" i="1"/>
  <c r="Q1044" i="1"/>
  <c r="Q1045" i="1"/>
  <c r="Q1050" i="1"/>
  <c r="Q1046" i="1"/>
  <c r="Q1047" i="1"/>
  <c r="Q1049" i="1"/>
  <c r="Q1048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8" i="1"/>
  <c r="Q1077" i="1"/>
  <c r="Q1079" i="1"/>
  <c r="Q1080" i="1"/>
  <c r="Q1081" i="1"/>
  <c r="Q1082" i="1"/>
  <c r="Q1083" i="1"/>
  <c r="Q1084" i="1"/>
  <c r="Q1086" i="1"/>
  <c r="Q1085" i="1"/>
  <c r="Q1088" i="1"/>
  <c r="Q1087" i="1"/>
  <c r="Q1089" i="1"/>
  <c r="Q1090" i="1"/>
  <c r="Q1091" i="1"/>
  <c r="Q1092" i="1"/>
  <c r="Q1093" i="1"/>
  <c r="Q1094" i="1"/>
  <c r="Q1096" i="1"/>
  <c r="Q1097" i="1"/>
  <c r="Q1095" i="1"/>
  <c r="Q1098" i="1"/>
  <c r="Q1099" i="1"/>
  <c r="Q1100" i="1"/>
  <c r="Q1101" i="1"/>
  <c r="Q1102" i="1"/>
  <c r="Q1103" i="1"/>
  <c r="Q1104" i="1"/>
  <c r="Q1105" i="1"/>
  <c r="Q1107" i="1"/>
  <c r="Q1106" i="1"/>
  <c r="Q1108" i="1"/>
  <c r="Q1109" i="1"/>
  <c r="Q1111" i="1"/>
  <c r="Q1112" i="1"/>
  <c r="Q1110" i="1"/>
  <c r="Q1113" i="1"/>
  <c r="Q1115" i="1"/>
  <c r="Q1114" i="1"/>
  <c r="Q1116" i="1"/>
  <c r="Q1117" i="1"/>
  <c r="Q1118" i="1"/>
  <c r="Q1119" i="1"/>
  <c r="Q1121" i="1"/>
  <c r="Q1122" i="1"/>
  <c r="Q1120" i="1"/>
  <c r="Q1123" i="1"/>
  <c r="Q1125" i="1"/>
  <c r="Q1124" i="1"/>
  <c r="Q1126" i="1"/>
  <c r="Q1127" i="1"/>
  <c r="Q1128" i="1"/>
  <c r="Q1129" i="1"/>
  <c r="Q1130" i="1"/>
  <c r="Q1132" i="1"/>
  <c r="Q1133" i="1"/>
  <c r="Q1131" i="1"/>
  <c r="Q1134" i="1"/>
  <c r="R8" i="1"/>
  <c r="R9" i="1"/>
  <c r="R13" i="1"/>
  <c r="R14" i="1"/>
  <c r="R15" i="1"/>
  <c r="R16" i="1"/>
  <c r="R17" i="1"/>
  <c r="R18" i="1"/>
  <c r="R19" i="1"/>
  <c r="R20" i="1"/>
  <c r="R21" i="1"/>
  <c r="R22" i="1"/>
  <c r="R23" i="1"/>
  <c r="R24" i="1"/>
  <c r="R26" i="1"/>
  <c r="R25" i="1"/>
  <c r="R28" i="1"/>
  <c r="R27" i="1"/>
  <c r="R30" i="1"/>
  <c r="R29" i="1"/>
  <c r="R32" i="1"/>
  <c r="R31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7" i="1"/>
  <c r="R58" i="1"/>
  <c r="R56" i="1"/>
  <c r="R59" i="1"/>
  <c r="R60" i="1"/>
  <c r="R61" i="1"/>
  <c r="R62" i="1"/>
  <c r="R64" i="1"/>
  <c r="R65" i="1"/>
  <c r="R63" i="1"/>
  <c r="R66" i="1"/>
  <c r="R67" i="1"/>
  <c r="R68" i="1"/>
  <c r="R69" i="1"/>
  <c r="R70" i="1"/>
  <c r="R71" i="1"/>
  <c r="R74" i="1"/>
  <c r="R75" i="1"/>
  <c r="R77" i="1"/>
  <c r="R76" i="1"/>
  <c r="R73" i="1"/>
  <c r="R72" i="1"/>
  <c r="R78" i="1"/>
  <c r="R79" i="1"/>
  <c r="R80" i="1"/>
  <c r="R81" i="1"/>
  <c r="R85" i="1"/>
  <c r="R84" i="1"/>
  <c r="R87" i="1"/>
  <c r="R86" i="1"/>
  <c r="R82" i="1"/>
  <c r="R83" i="1"/>
  <c r="R88" i="1"/>
  <c r="R89" i="1"/>
  <c r="R90" i="1"/>
  <c r="R91" i="1"/>
  <c r="R92" i="1"/>
  <c r="R93" i="1"/>
  <c r="R95" i="1"/>
  <c r="R96" i="1"/>
  <c r="R94" i="1"/>
  <c r="R97" i="1"/>
  <c r="R99" i="1"/>
  <c r="R100" i="1"/>
  <c r="R98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6" i="1"/>
  <c r="R115" i="1"/>
  <c r="R119" i="1"/>
  <c r="R118" i="1"/>
  <c r="R117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68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9" i="1"/>
  <c r="R200" i="1"/>
  <c r="R198" i="1"/>
  <c r="R201" i="1"/>
  <c r="R202" i="1"/>
  <c r="R203" i="1"/>
  <c r="R204" i="1"/>
  <c r="R205" i="1"/>
  <c r="R206" i="1"/>
  <c r="R207" i="1"/>
  <c r="R210" i="1"/>
  <c r="R208" i="1"/>
  <c r="R212" i="1"/>
  <c r="R209" i="1"/>
  <c r="R211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6" i="1"/>
  <c r="R237" i="1"/>
  <c r="R238" i="1"/>
  <c r="R239" i="1"/>
  <c r="R234" i="1"/>
  <c r="R235" i="1"/>
  <c r="R240" i="1"/>
  <c r="R241" i="1"/>
  <c r="R242" i="1"/>
  <c r="R243" i="1"/>
  <c r="R244" i="1"/>
  <c r="R245" i="1"/>
  <c r="R246" i="1"/>
  <c r="R247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3" i="1"/>
  <c r="R361" i="1"/>
  <c r="R362" i="1"/>
  <c r="R364" i="1"/>
  <c r="R366" i="1"/>
  <c r="R365" i="1"/>
  <c r="R368" i="1"/>
  <c r="R367" i="1"/>
  <c r="R369" i="1"/>
  <c r="R370" i="1"/>
  <c r="R371" i="1"/>
  <c r="R372" i="1"/>
  <c r="R373" i="1"/>
  <c r="R374" i="1"/>
  <c r="R375" i="1"/>
  <c r="R376" i="1"/>
  <c r="R377" i="1"/>
  <c r="R378" i="1"/>
  <c r="R379" i="1"/>
  <c r="R381" i="1"/>
  <c r="R380" i="1"/>
  <c r="R383" i="1"/>
  <c r="R382" i="1"/>
  <c r="R384" i="1"/>
  <c r="R385" i="1"/>
  <c r="R386" i="1"/>
  <c r="R387" i="1"/>
  <c r="R388" i="1"/>
  <c r="R389" i="1"/>
  <c r="R390" i="1"/>
  <c r="R391" i="1"/>
  <c r="R392" i="1"/>
  <c r="R394" i="1"/>
  <c r="R395" i="1"/>
  <c r="R396" i="1"/>
  <c r="R397" i="1"/>
  <c r="R398" i="1"/>
  <c r="R399" i="1"/>
  <c r="R400" i="1"/>
  <c r="R403" i="1"/>
  <c r="R401" i="1"/>
  <c r="R406" i="1"/>
  <c r="R402" i="1"/>
  <c r="R404" i="1"/>
  <c r="R407" i="1"/>
  <c r="R405" i="1"/>
  <c r="R409" i="1"/>
  <c r="R408" i="1"/>
  <c r="R410" i="1"/>
  <c r="R411" i="1"/>
  <c r="R412" i="1"/>
  <c r="R413" i="1"/>
  <c r="R414" i="1"/>
  <c r="R415" i="1"/>
  <c r="R419" i="1"/>
  <c r="R426" i="1"/>
  <c r="R420" i="1"/>
  <c r="R423" i="1"/>
  <c r="R417" i="1"/>
  <c r="R418" i="1"/>
  <c r="R424" i="1"/>
  <c r="R425" i="1"/>
  <c r="R421" i="1"/>
  <c r="R422" i="1"/>
  <c r="R427" i="1"/>
  <c r="R429" i="1"/>
  <c r="R430" i="1"/>
  <c r="R428" i="1"/>
  <c r="R431" i="1"/>
  <c r="R433" i="1"/>
  <c r="R434" i="1"/>
  <c r="R432" i="1"/>
  <c r="R435" i="1"/>
  <c r="R436" i="1"/>
  <c r="R437" i="1"/>
  <c r="R438" i="1"/>
  <c r="R439" i="1"/>
  <c r="R440" i="1"/>
  <c r="R441" i="1"/>
  <c r="R443" i="1"/>
  <c r="R444" i="1"/>
  <c r="R442" i="1"/>
  <c r="R445" i="1"/>
  <c r="R447" i="1"/>
  <c r="R449" i="1"/>
  <c r="R446" i="1"/>
  <c r="R448" i="1"/>
  <c r="R450" i="1"/>
  <c r="R453" i="1"/>
  <c r="R452" i="1"/>
  <c r="R451" i="1"/>
  <c r="R455" i="1"/>
  <c r="R454" i="1"/>
  <c r="R456" i="1"/>
  <c r="R457" i="1"/>
  <c r="R459" i="1"/>
  <c r="R458" i="1"/>
  <c r="R460" i="1"/>
  <c r="R461" i="1"/>
  <c r="R462" i="1"/>
  <c r="R463" i="1"/>
  <c r="R464" i="1"/>
  <c r="R465" i="1"/>
  <c r="R466" i="1"/>
  <c r="R467" i="1"/>
  <c r="R468" i="1"/>
  <c r="R470" i="1"/>
  <c r="R469" i="1"/>
  <c r="R471" i="1"/>
  <c r="R472" i="1"/>
  <c r="R474" i="1"/>
  <c r="R473" i="1"/>
  <c r="R475" i="1"/>
  <c r="R476" i="1"/>
  <c r="R477" i="1"/>
  <c r="R478" i="1"/>
  <c r="R479" i="1"/>
  <c r="R480" i="1"/>
  <c r="R481" i="1"/>
  <c r="R484" i="1"/>
  <c r="R483" i="1"/>
  <c r="R482" i="1"/>
  <c r="R485" i="1"/>
  <c r="R488" i="1"/>
  <c r="R487" i="1"/>
  <c r="R486" i="1"/>
  <c r="R489" i="1"/>
  <c r="R490" i="1"/>
  <c r="R491" i="1"/>
  <c r="R492" i="1"/>
  <c r="R493" i="1"/>
  <c r="R494" i="1"/>
  <c r="R495" i="1"/>
  <c r="R500" i="1"/>
  <c r="R501" i="1"/>
  <c r="R502" i="1"/>
  <c r="R505" i="1"/>
  <c r="R506" i="1"/>
  <c r="R507" i="1"/>
  <c r="R508" i="1"/>
  <c r="R513" i="1"/>
  <c r="R510" i="1"/>
  <c r="R512" i="1"/>
  <c r="R509" i="1"/>
  <c r="R514" i="1"/>
  <c r="R515" i="1"/>
  <c r="R519" i="1"/>
  <c r="R517" i="1"/>
  <c r="R518" i="1"/>
  <c r="R516" i="1"/>
  <c r="R520" i="1"/>
  <c r="R521" i="1"/>
  <c r="R522" i="1"/>
  <c r="R523" i="1"/>
  <c r="R524" i="1"/>
  <c r="R527" i="1"/>
  <c r="R528" i="1"/>
  <c r="R525" i="1"/>
  <c r="R529" i="1"/>
  <c r="R530" i="1"/>
  <c r="R531" i="1"/>
  <c r="R533" i="1"/>
  <c r="R534" i="1"/>
  <c r="R532" i="1"/>
  <c r="R535" i="1"/>
  <c r="R536" i="1"/>
  <c r="R537" i="1"/>
  <c r="R538" i="1"/>
  <c r="R539" i="1"/>
  <c r="R540" i="1"/>
  <c r="R541" i="1"/>
  <c r="R542" i="1"/>
  <c r="R543" i="1"/>
  <c r="R544" i="1"/>
  <c r="R545" i="1"/>
  <c r="R547" i="1"/>
  <c r="R546" i="1"/>
  <c r="R548" i="1"/>
  <c r="R549" i="1"/>
  <c r="R550" i="1"/>
  <c r="R551" i="1"/>
  <c r="R552" i="1"/>
  <c r="R554" i="1"/>
  <c r="R553" i="1"/>
  <c r="R555" i="1"/>
  <c r="R556" i="1"/>
  <c r="R558" i="1"/>
  <c r="R573" i="1"/>
  <c r="R564" i="1"/>
  <c r="R565" i="1"/>
  <c r="R559" i="1"/>
  <c r="R560" i="1"/>
  <c r="R561" i="1"/>
  <c r="R571" i="1"/>
  <c r="R562" i="1"/>
  <c r="R563" i="1"/>
  <c r="R572" i="1"/>
  <c r="R568" i="1"/>
  <c r="R566" i="1"/>
  <c r="R567" i="1"/>
  <c r="R586" i="1"/>
  <c r="R574" i="1"/>
  <c r="R569" i="1"/>
  <c r="R580" i="1"/>
  <c r="R588" i="1"/>
  <c r="R570" i="1"/>
  <c r="R579" i="1"/>
  <c r="R575" i="1"/>
  <c r="R578" i="1"/>
  <c r="R576" i="1"/>
  <c r="R577" i="1"/>
  <c r="R589" i="1"/>
  <c r="R587" i="1"/>
  <c r="R582" i="1"/>
  <c r="R581" i="1"/>
  <c r="R583" i="1"/>
  <c r="R584" i="1"/>
  <c r="R585" i="1"/>
  <c r="R590" i="1"/>
  <c r="R592" i="1"/>
  <c r="R593" i="1"/>
  <c r="R591" i="1"/>
  <c r="R594" i="1"/>
  <c r="R596" i="1"/>
  <c r="R597" i="1"/>
  <c r="R598" i="1"/>
  <c r="R595" i="1"/>
  <c r="R601" i="1"/>
  <c r="R599" i="1"/>
  <c r="R600" i="1"/>
  <c r="R604" i="1"/>
  <c r="R605" i="1"/>
  <c r="R603" i="1"/>
  <c r="R602" i="1"/>
  <c r="R608" i="1"/>
  <c r="R606" i="1"/>
  <c r="R607" i="1"/>
  <c r="R610" i="1"/>
  <c r="R611" i="1"/>
  <c r="R609" i="1"/>
  <c r="R612" i="1"/>
  <c r="R613" i="1"/>
  <c r="R614" i="1"/>
  <c r="R616" i="1"/>
  <c r="R617" i="1"/>
  <c r="R615" i="1"/>
  <c r="R618" i="1"/>
  <c r="R619" i="1"/>
  <c r="R620" i="1"/>
  <c r="R621" i="1"/>
  <c r="R623" i="1"/>
  <c r="R624" i="1"/>
  <c r="R622" i="1"/>
  <c r="R625" i="1"/>
  <c r="R626" i="1"/>
  <c r="R627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6" i="1"/>
  <c r="R645" i="1"/>
  <c r="R647" i="1"/>
  <c r="R648" i="1"/>
  <c r="R649" i="1"/>
  <c r="R650" i="1"/>
  <c r="R651" i="1"/>
  <c r="R653" i="1"/>
  <c r="R652" i="1"/>
  <c r="R654" i="1"/>
  <c r="R655" i="1"/>
  <c r="R658" i="1"/>
  <c r="R659" i="1"/>
  <c r="R657" i="1"/>
  <c r="R660" i="1"/>
  <c r="R656" i="1"/>
  <c r="R661" i="1"/>
  <c r="R662" i="1"/>
  <c r="R665" i="1"/>
  <c r="R664" i="1"/>
  <c r="R666" i="1"/>
  <c r="R667" i="1"/>
  <c r="R663" i="1"/>
  <c r="R668" i="1"/>
  <c r="R669" i="1"/>
  <c r="R670" i="1"/>
  <c r="R673" i="1"/>
  <c r="R672" i="1"/>
  <c r="R671" i="1"/>
  <c r="R674" i="1"/>
  <c r="R675" i="1"/>
  <c r="R676" i="1"/>
  <c r="R677" i="1"/>
  <c r="R680" i="1"/>
  <c r="R678" i="1"/>
  <c r="R679" i="1"/>
  <c r="R681" i="1"/>
  <c r="R682" i="1"/>
  <c r="R683" i="1"/>
  <c r="R684" i="1"/>
  <c r="R685" i="1"/>
  <c r="R686" i="1"/>
  <c r="R687" i="1"/>
  <c r="R688" i="1"/>
  <c r="R689" i="1"/>
  <c r="R691" i="1"/>
  <c r="R692" i="1"/>
  <c r="R690" i="1"/>
  <c r="R693" i="1"/>
  <c r="R694" i="1"/>
  <c r="R695" i="1"/>
  <c r="R696" i="1"/>
  <c r="R698" i="1"/>
  <c r="R697" i="1"/>
  <c r="R700" i="1"/>
  <c r="R701" i="1"/>
  <c r="R702" i="1"/>
  <c r="R703" i="1"/>
  <c r="R699" i="1"/>
  <c r="R704" i="1"/>
  <c r="R706" i="1"/>
  <c r="R708" i="1"/>
  <c r="R707" i="1"/>
  <c r="R709" i="1"/>
  <c r="R710" i="1"/>
  <c r="R705" i="1"/>
  <c r="R711" i="1"/>
  <c r="R712" i="1"/>
  <c r="R714" i="1"/>
  <c r="R713" i="1"/>
  <c r="R718" i="1"/>
  <c r="R715" i="1"/>
  <c r="R717" i="1"/>
  <c r="R719" i="1"/>
  <c r="R720" i="1"/>
  <c r="R721" i="1"/>
  <c r="R722" i="1"/>
  <c r="R725" i="1"/>
  <c r="R723" i="1"/>
  <c r="R726" i="1"/>
  <c r="R727" i="1"/>
  <c r="R729" i="1"/>
  <c r="R728" i="1"/>
  <c r="R730" i="1"/>
  <c r="R731" i="1"/>
  <c r="R732" i="1"/>
  <c r="R733" i="1"/>
  <c r="R734" i="1"/>
  <c r="R736" i="1"/>
  <c r="R735" i="1"/>
  <c r="R737" i="1"/>
  <c r="R738" i="1"/>
  <c r="R739" i="1"/>
  <c r="R740" i="1"/>
  <c r="R741" i="1"/>
  <c r="R742" i="1"/>
  <c r="R743" i="1"/>
  <c r="R744" i="1"/>
  <c r="R745" i="1"/>
  <c r="R747" i="1"/>
  <c r="R746" i="1"/>
  <c r="R749" i="1"/>
  <c r="R750" i="1"/>
  <c r="R751" i="1"/>
  <c r="R752" i="1"/>
  <c r="R753" i="1"/>
  <c r="R755" i="1"/>
  <c r="R754" i="1"/>
  <c r="R756" i="1"/>
  <c r="R757" i="1"/>
  <c r="R758" i="1"/>
  <c r="R759" i="1"/>
  <c r="R760" i="1"/>
  <c r="R761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8" i="1"/>
  <c r="R777" i="1"/>
  <c r="R779" i="1"/>
  <c r="R780" i="1"/>
  <c r="R781" i="1"/>
  <c r="R782" i="1"/>
  <c r="R783" i="1"/>
  <c r="R784" i="1"/>
  <c r="R786" i="1"/>
  <c r="R785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5" i="1"/>
  <c r="R804" i="1"/>
  <c r="R806" i="1"/>
  <c r="R807" i="1"/>
  <c r="R808" i="1"/>
  <c r="R809" i="1"/>
  <c r="R810" i="1"/>
  <c r="R811" i="1"/>
  <c r="R812" i="1"/>
  <c r="R814" i="1"/>
  <c r="R813" i="1"/>
  <c r="R815" i="1"/>
  <c r="R816" i="1"/>
  <c r="R817" i="1"/>
  <c r="R818" i="1"/>
  <c r="R819" i="1"/>
  <c r="R820" i="1"/>
  <c r="R822" i="1"/>
  <c r="R821" i="1"/>
  <c r="R824" i="1"/>
  <c r="R823" i="1"/>
  <c r="R825" i="1"/>
  <c r="R828" i="1"/>
  <c r="R827" i="1"/>
  <c r="R829" i="1"/>
  <c r="R830" i="1"/>
  <c r="R831" i="1"/>
  <c r="R832" i="1"/>
  <c r="R834" i="1"/>
  <c r="R835" i="1"/>
  <c r="R833" i="1"/>
  <c r="R836" i="1"/>
  <c r="R838" i="1"/>
  <c r="R837" i="1"/>
  <c r="R839" i="1"/>
  <c r="R840" i="1"/>
  <c r="R842" i="1"/>
  <c r="R841" i="1"/>
  <c r="R843" i="1"/>
  <c r="R844" i="1"/>
  <c r="R845" i="1"/>
  <c r="R846" i="1"/>
  <c r="R847" i="1"/>
  <c r="R848" i="1"/>
  <c r="R849" i="1"/>
  <c r="R850" i="1"/>
  <c r="R852" i="1"/>
  <c r="R851" i="1"/>
  <c r="R853" i="1"/>
  <c r="R854" i="1"/>
  <c r="R855" i="1"/>
  <c r="R856" i="1"/>
  <c r="R857" i="1"/>
  <c r="R858" i="1"/>
  <c r="R859" i="1"/>
  <c r="R860" i="1"/>
  <c r="R861" i="1"/>
  <c r="R862" i="1"/>
  <c r="R864" i="1"/>
  <c r="R863" i="1"/>
  <c r="R865" i="1"/>
  <c r="R866" i="1"/>
  <c r="R867" i="1"/>
  <c r="R868" i="1"/>
  <c r="R869" i="1"/>
  <c r="R870" i="1"/>
  <c r="R871" i="1"/>
  <c r="R874" i="1"/>
  <c r="R872" i="1"/>
  <c r="R873" i="1"/>
  <c r="R875" i="1"/>
  <c r="R876" i="1"/>
  <c r="R878" i="1"/>
  <c r="R879" i="1"/>
  <c r="R877" i="1"/>
  <c r="R880" i="1"/>
  <c r="R881" i="1"/>
  <c r="R883" i="1"/>
  <c r="R882" i="1"/>
  <c r="R884" i="1"/>
  <c r="R885" i="1"/>
  <c r="R886" i="1"/>
  <c r="R888" i="1"/>
  <c r="R889" i="1"/>
  <c r="R887" i="1"/>
  <c r="R891" i="1"/>
  <c r="R890" i="1"/>
  <c r="R892" i="1"/>
  <c r="R893" i="1"/>
  <c r="R894" i="1"/>
  <c r="R895" i="1"/>
  <c r="R896" i="1"/>
  <c r="R897" i="1"/>
  <c r="R898" i="1"/>
  <c r="R899" i="1"/>
  <c r="R901" i="1"/>
  <c r="R900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7" i="1"/>
  <c r="R914" i="1"/>
  <c r="R916" i="1"/>
  <c r="R918" i="1"/>
  <c r="R920" i="1"/>
  <c r="R919" i="1"/>
  <c r="R921" i="1"/>
  <c r="R922" i="1"/>
  <c r="R923" i="1"/>
  <c r="R924" i="1"/>
  <c r="R927" i="1"/>
  <c r="R925" i="1"/>
  <c r="R926" i="1"/>
  <c r="R928" i="1"/>
  <c r="R930" i="1"/>
  <c r="R929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9" i="1"/>
  <c r="R958" i="1"/>
  <c r="R963" i="1"/>
  <c r="R965" i="1"/>
  <c r="R964" i="1"/>
  <c r="R961" i="1"/>
  <c r="R966" i="1"/>
  <c r="R962" i="1"/>
  <c r="R960" i="1"/>
  <c r="R967" i="1"/>
  <c r="R969" i="1"/>
  <c r="R968" i="1"/>
  <c r="R973" i="1"/>
  <c r="R975" i="1"/>
  <c r="R974" i="1"/>
  <c r="R971" i="1"/>
  <c r="R976" i="1"/>
  <c r="R972" i="1"/>
  <c r="R970" i="1"/>
  <c r="R977" i="1"/>
  <c r="R980" i="1"/>
  <c r="R981" i="1"/>
  <c r="R982" i="1"/>
  <c r="R979" i="1"/>
  <c r="R978" i="1"/>
  <c r="R983" i="1"/>
  <c r="R984" i="1"/>
  <c r="R985" i="1"/>
  <c r="R986" i="1"/>
  <c r="R987" i="1"/>
  <c r="R990" i="1"/>
  <c r="R991" i="1"/>
  <c r="R992" i="1"/>
  <c r="R989" i="1"/>
  <c r="R988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7" i="1"/>
  <c r="R1028" i="1"/>
  <c r="R1026" i="1"/>
  <c r="R1029" i="1"/>
  <c r="R1030" i="1"/>
  <c r="R1031" i="1"/>
  <c r="R1032" i="1"/>
  <c r="R1033" i="1"/>
  <c r="R1034" i="1"/>
  <c r="R1035" i="1"/>
  <c r="R1040" i="1"/>
  <c r="R1037" i="1"/>
  <c r="R1038" i="1"/>
  <c r="R1039" i="1"/>
  <c r="R1036" i="1"/>
  <c r="R1041" i="1"/>
  <c r="R1042" i="1"/>
  <c r="R1043" i="1"/>
  <c r="R1044" i="1"/>
  <c r="R1045" i="1"/>
  <c r="R1050" i="1"/>
  <c r="R1046" i="1"/>
  <c r="R1047" i="1"/>
  <c r="R1049" i="1"/>
  <c r="R1048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8" i="1"/>
  <c r="R1077" i="1"/>
  <c r="R1079" i="1"/>
  <c r="R1080" i="1"/>
  <c r="R1081" i="1"/>
  <c r="R1082" i="1"/>
  <c r="R1083" i="1"/>
  <c r="R1084" i="1"/>
  <c r="R1086" i="1"/>
  <c r="R1085" i="1"/>
  <c r="R1088" i="1"/>
  <c r="R1087" i="1"/>
  <c r="R1089" i="1"/>
  <c r="R1090" i="1"/>
  <c r="R1091" i="1"/>
  <c r="R1092" i="1"/>
  <c r="R1093" i="1"/>
  <c r="R1094" i="1"/>
  <c r="R1096" i="1"/>
  <c r="R1097" i="1"/>
  <c r="R1095" i="1"/>
  <c r="R1098" i="1"/>
  <c r="R1099" i="1"/>
  <c r="R1100" i="1"/>
  <c r="R1101" i="1"/>
  <c r="R1102" i="1"/>
  <c r="R1103" i="1"/>
  <c r="R1104" i="1"/>
  <c r="R1105" i="1"/>
  <c r="R1107" i="1"/>
  <c r="R1106" i="1"/>
  <c r="R1108" i="1"/>
  <c r="R1109" i="1"/>
  <c r="R1111" i="1"/>
  <c r="R1112" i="1"/>
  <c r="R1110" i="1"/>
  <c r="R1113" i="1"/>
  <c r="R1115" i="1"/>
  <c r="R1114" i="1"/>
  <c r="R1116" i="1"/>
  <c r="R1117" i="1"/>
  <c r="R1118" i="1"/>
  <c r="R1119" i="1"/>
  <c r="R1121" i="1"/>
  <c r="R1122" i="1"/>
  <c r="R1120" i="1"/>
  <c r="R1123" i="1"/>
  <c r="R1125" i="1"/>
  <c r="R1124" i="1"/>
  <c r="R1126" i="1"/>
  <c r="R1127" i="1"/>
  <c r="R1128" i="1"/>
  <c r="R1129" i="1"/>
  <c r="R1130" i="1"/>
  <c r="R1132" i="1"/>
  <c r="R1133" i="1"/>
  <c r="R1131" i="1"/>
  <c r="R1134" i="1"/>
  <c r="S8" i="1"/>
  <c r="S9" i="1"/>
  <c r="S13" i="1"/>
  <c r="S14" i="1"/>
  <c r="S15" i="1"/>
  <c r="S16" i="1"/>
  <c r="S17" i="1"/>
  <c r="S18" i="1"/>
  <c r="S19" i="1"/>
  <c r="S20" i="1"/>
  <c r="S21" i="1"/>
  <c r="S22" i="1"/>
  <c r="S23" i="1"/>
  <c r="S24" i="1"/>
  <c r="S26" i="1"/>
  <c r="S25" i="1"/>
  <c r="S28" i="1"/>
  <c r="S27" i="1"/>
  <c r="S30" i="1"/>
  <c r="S29" i="1"/>
  <c r="S32" i="1"/>
  <c r="S31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7" i="1"/>
  <c r="S58" i="1"/>
  <c r="S56" i="1"/>
  <c r="S59" i="1"/>
  <c r="S60" i="1"/>
  <c r="S61" i="1"/>
  <c r="S62" i="1"/>
  <c r="S64" i="1"/>
  <c r="S65" i="1"/>
  <c r="S63" i="1"/>
  <c r="S66" i="1"/>
  <c r="S67" i="1"/>
  <c r="S68" i="1"/>
  <c r="S69" i="1"/>
  <c r="S70" i="1"/>
  <c r="S71" i="1"/>
  <c r="S74" i="1"/>
  <c r="S75" i="1"/>
  <c r="S77" i="1"/>
  <c r="S76" i="1"/>
  <c r="S73" i="1"/>
  <c r="S72" i="1"/>
  <c r="S78" i="1"/>
  <c r="S79" i="1"/>
  <c r="S80" i="1"/>
  <c r="S81" i="1"/>
  <c r="S85" i="1"/>
  <c r="S84" i="1"/>
  <c r="S87" i="1"/>
  <c r="S86" i="1"/>
  <c r="S82" i="1"/>
  <c r="S83" i="1"/>
  <c r="S88" i="1"/>
  <c r="S89" i="1"/>
  <c r="S90" i="1"/>
  <c r="S91" i="1"/>
  <c r="S92" i="1"/>
  <c r="S93" i="1"/>
  <c r="S95" i="1"/>
  <c r="S96" i="1"/>
  <c r="S94" i="1"/>
  <c r="S97" i="1"/>
  <c r="S99" i="1"/>
  <c r="S100" i="1"/>
  <c r="S98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6" i="1"/>
  <c r="S115" i="1"/>
  <c r="S119" i="1"/>
  <c r="S118" i="1"/>
  <c r="S117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68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9" i="1"/>
  <c r="S200" i="1"/>
  <c r="S198" i="1"/>
  <c r="S201" i="1"/>
  <c r="S202" i="1"/>
  <c r="S203" i="1"/>
  <c r="S204" i="1"/>
  <c r="S205" i="1"/>
  <c r="S206" i="1"/>
  <c r="S207" i="1"/>
  <c r="S210" i="1"/>
  <c r="S208" i="1"/>
  <c r="S212" i="1"/>
  <c r="S209" i="1"/>
  <c r="S211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6" i="1"/>
  <c r="S237" i="1"/>
  <c r="S238" i="1"/>
  <c r="S239" i="1"/>
  <c r="S234" i="1"/>
  <c r="S235" i="1"/>
  <c r="S240" i="1"/>
  <c r="S241" i="1"/>
  <c r="S242" i="1"/>
  <c r="S243" i="1"/>
  <c r="S244" i="1"/>
  <c r="S245" i="1"/>
  <c r="S246" i="1"/>
  <c r="S247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3" i="1"/>
  <c r="S361" i="1"/>
  <c r="S362" i="1"/>
  <c r="S364" i="1"/>
  <c r="S366" i="1"/>
  <c r="S365" i="1"/>
  <c r="S368" i="1"/>
  <c r="S367" i="1"/>
  <c r="S369" i="1"/>
  <c r="S370" i="1"/>
  <c r="S371" i="1"/>
  <c r="S372" i="1"/>
  <c r="S373" i="1"/>
  <c r="S374" i="1"/>
  <c r="S375" i="1"/>
  <c r="S376" i="1"/>
  <c r="S377" i="1"/>
  <c r="S378" i="1"/>
  <c r="S379" i="1"/>
  <c r="S381" i="1"/>
  <c r="S380" i="1"/>
  <c r="S383" i="1"/>
  <c r="S382" i="1"/>
  <c r="S384" i="1"/>
  <c r="S385" i="1"/>
  <c r="S386" i="1"/>
  <c r="S387" i="1"/>
  <c r="S388" i="1"/>
  <c r="S389" i="1"/>
  <c r="S390" i="1"/>
  <c r="S391" i="1"/>
  <c r="S392" i="1"/>
  <c r="S394" i="1"/>
  <c r="S395" i="1"/>
  <c r="S396" i="1"/>
  <c r="S397" i="1"/>
  <c r="S398" i="1"/>
  <c r="S399" i="1"/>
  <c r="S400" i="1"/>
  <c r="S403" i="1"/>
  <c r="S401" i="1"/>
  <c r="S406" i="1"/>
  <c r="S402" i="1"/>
  <c r="S404" i="1"/>
  <c r="S407" i="1"/>
  <c r="S405" i="1"/>
  <c r="S409" i="1"/>
  <c r="S408" i="1"/>
  <c r="S410" i="1"/>
  <c r="S411" i="1"/>
  <c r="S412" i="1"/>
  <c r="S413" i="1"/>
  <c r="S414" i="1"/>
  <c r="S415" i="1"/>
  <c r="S419" i="1"/>
  <c r="S426" i="1"/>
  <c r="S420" i="1"/>
  <c r="S423" i="1"/>
  <c r="S417" i="1"/>
  <c r="S418" i="1"/>
  <c r="S424" i="1"/>
  <c r="S425" i="1"/>
  <c r="S421" i="1"/>
  <c r="S422" i="1"/>
  <c r="S427" i="1"/>
  <c r="S429" i="1"/>
  <c r="S430" i="1"/>
  <c r="S428" i="1"/>
  <c r="S431" i="1"/>
  <c r="S433" i="1"/>
  <c r="S434" i="1"/>
  <c r="S432" i="1"/>
  <c r="S435" i="1"/>
  <c r="S436" i="1"/>
  <c r="S437" i="1"/>
  <c r="S438" i="1"/>
  <c r="S439" i="1"/>
  <c r="S440" i="1"/>
  <c r="S441" i="1"/>
  <c r="S443" i="1"/>
  <c r="S444" i="1"/>
  <c r="S442" i="1"/>
  <c r="S445" i="1"/>
  <c r="S447" i="1"/>
  <c r="S449" i="1"/>
  <c r="S446" i="1"/>
  <c r="S448" i="1"/>
  <c r="S450" i="1"/>
  <c r="S453" i="1"/>
  <c r="S452" i="1"/>
  <c r="S451" i="1"/>
  <c r="S455" i="1"/>
  <c r="S454" i="1"/>
  <c r="S456" i="1"/>
  <c r="S457" i="1"/>
  <c r="S459" i="1"/>
  <c r="S458" i="1"/>
  <c r="S460" i="1"/>
  <c r="S461" i="1"/>
  <c r="S462" i="1"/>
  <c r="S463" i="1"/>
  <c r="S464" i="1"/>
  <c r="S465" i="1"/>
  <c r="S466" i="1"/>
  <c r="S467" i="1"/>
  <c r="S468" i="1"/>
  <c r="S470" i="1"/>
  <c r="S469" i="1"/>
  <c r="S471" i="1"/>
  <c r="S472" i="1"/>
  <c r="S474" i="1"/>
  <c r="S473" i="1"/>
  <c r="S475" i="1"/>
  <c r="S476" i="1"/>
  <c r="S477" i="1"/>
  <c r="S478" i="1"/>
  <c r="S479" i="1"/>
  <c r="S480" i="1"/>
  <c r="S481" i="1"/>
  <c r="S484" i="1"/>
  <c r="S483" i="1"/>
  <c r="S482" i="1"/>
  <c r="S485" i="1"/>
  <c r="S488" i="1"/>
  <c r="S487" i="1"/>
  <c r="S486" i="1"/>
  <c r="S489" i="1"/>
  <c r="S490" i="1"/>
  <c r="S491" i="1"/>
  <c r="S492" i="1"/>
  <c r="S493" i="1"/>
  <c r="S494" i="1"/>
  <c r="S495" i="1"/>
  <c r="S500" i="1"/>
  <c r="S501" i="1"/>
  <c r="S502" i="1"/>
  <c r="S505" i="1"/>
  <c r="S506" i="1"/>
  <c r="S507" i="1"/>
  <c r="S508" i="1"/>
  <c r="S513" i="1"/>
  <c r="S510" i="1"/>
  <c r="S512" i="1"/>
  <c r="S509" i="1"/>
  <c r="S514" i="1"/>
  <c r="S515" i="1"/>
  <c r="S519" i="1"/>
  <c r="S517" i="1"/>
  <c r="S518" i="1"/>
  <c r="S516" i="1"/>
  <c r="S520" i="1"/>
  <c r="S521" i="1"/>
  <c r="S522" i="1"/>
  <c r="S523" i="1"/>
  <c r="S524" i="1"/>
  <c r="S527" i="1"/>
  <c r="S528" i="1"/>
  <c r="S525" i="1"/>
  <c r="S529" i="1"/>
  <c r="S530" i="1"/>
  <c r="S531" i="1"/>
  <c r="S533" i="1"/>
  <c r="S534" i="1"/>
  <c r="S532" i="1"/>
  <c r="S535" i="1"/>
  <c r="S536" i="1"/>
  <c r="S537" i="1"/>
  <c r="S538" i="1"/>
  <c r="S539" i="1"/>
  <c r="S540" i="1"/>
  <c r="S541" i="1"/>
  <c r="S542" i="1"/>
  <c r="S543" i="1"/>
  <c r="S544" i="1"/>
  <c r="S545" i="1"/>
  <c r="S547" i="1"/>
  <c r="S546" i="1"/>
  <c r="S548" i="1"/>
  <c r="S549" i="1"/>
  <c r="S550" i="1"/>
  <c r="S551" i="1"/>
  <c r="S552" i="1"/>
  <c r="S554" i="1"/>
  <c r="S553" i="1"/>
  <c r="S555" i="1"/>
  <c r="S556" i="1"/>
  <c r="S558" i="1"/>
  <c r="S573" i="1"/>
  <c r="S564" i="1"/>
  <c r="S565" i="1"/>
  <c r="S559" i="1"/>
  <c r="S560" i="1"/>
  <c r="S561" i="1"/>
  <c r="S571" i="1"/>
  <c r="S562" i="1"/>
  <c r="S563" i="1"/>
  <c r="S572" i="1"/>
  <c r="S568" i="1"/>
  <c r="S566" i="1"/>
  <c r="S567" i="1"/>
  <c r="S586" i="1"/>
  <c r="S574" i="1"/>
  <c r="S569" i="1"/>
  <c r="S580" i="1"/>
  <c r="S588" i="1"/>
  <c r="S570" i="1"/>
  <c r="S579" i="1"/>
  <c r="S575" i="1"/>
  <c r="S578" i="1"/>
  <c r="S576" i="1"/>
  <c r="S577" i="1"/>
  <c r="S589" i="1"/>
  <c r="S587" i="1"/>
  <c r="S582" i="1"/>
  <c r="S581" i="1"/>
  <c r="S583" i="1"/>
  <c r="S584" i="1"/>
  <c r="S585" i="1"/>
  <c r="S590" i="1"/>
  <c r="S592" i="1"/>
  <c r="S593" i="1"/>
  <c r="S591" i="1"/>
  <c r="S594" i="1"/>
  <c r="S596" i="1"/>
  <c r="S597" i="1"/>
  <c r="S598" i="1"/>
  <c r="S595" i="1"/>
  <c r="S601" i="1"/>
  <c r="S599" i="1"/>
  <c r="S600" i="1"/>
  <c r="S604" i="1"/>
  <c r="S605" i="1"/>
  <c r="S603" i="1"/>
  <c r="S602" i="1"/>
  <c r="S608" i="1"/>
  <c r="S606" i="1"/>
  <c r="S607" i="1"/>
  <c r="S610" i="1"/>
  <c r="S611" i="1"/>
  <c r="S609" i="1"/>
  <c r="S612" i="1"/>
  <c r="S613" i="1"/>
  <c r="S614" i="1"/>
  <c r="S616" i="1"/>
  <c r="S617" i="1"/>
  <c r="S615" i="1"/>
  <c r="S618" i="1"/>
  <c r="S619" i="1"/>
  <c r="S620" i="1"/>
  <c r="S621" i="1"/>
  <c r="S623" i="1"/>
  <c r="S624" i="1"/>
  <c r="S622" i="1"/>
  <c r="S625" i="1"/>
  <c r="S626" i="1"/>
  <c r="S627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6" i="1"/>
  <c r="S645" i="1"/>
  <c r="S647" i="1"/>
  <c r="S648" i="1"/>
  <c r="S649" i="1"/>
  <c r="S650" i="1"/>
  <c r="S651" i="1"/>
  <c r="S653" i="1"/>
  <c r="S652" i="1"/>
  <c r="S654" i="1"/>
  <c r="S655" i="1"/>
  <c r="S658" i="1"/>
  <c r="S659" i="1"/>
  <c r="S657" i="1"/>
  <c r="S660" i="1"/>
  <c r="S656" i="1"/>
  <c r="S661" i="1"/>
  <c r="S662" i="1"/>
  <c r="S665" i="1"/>
  <c r="S664" i="1"/>
  <c r="S666" i="1"/>
  <c r="S667" i="1"/>
  <c r="S663" i="1"/>
  <c r="S668" i="1"/>
  <c r="S669" i="1"/>
  <c r="S670" i="1"/>
  <c r="S673" i="1"/>
  <c r="S672" i="1"/>
  <c r="S671" i="1"/>
  <c r="S674" i="1"/>
  <c r="S675" i="1"/>
  <c r="S676" i="1"/>
  <c r="S677" i="1"/>
  <c r="S680" i="1"/>
  <c r="S678" i="1"/>
  <c r="S679" i="1"/>
  <c r="S681" i="1"/>
  <c r="S682" i="1"/>
  <c r="S683" i="1"/>
  <c r="S684" i="1"/>
  <c r="S685" i="1"/>
  <c r="S686" i="1"/>
  <c r="S687" i="1"/>
  <c r="S688" i="1"/>
  <c r="S689" i="1"/>
  <c r="S691" i="1"/>
  <c r="S692" i="1"/>
  <c r="S690" i="1"/>
  <c r="S693" i="1"/>
  <c r="S694" i="1"/>
  <c r="S695" i="1"/>
  <c r="S696" i="1"/>
  <c r="S698" i="1"/>
  <c r="S697" i="1"/>
  <c r="S700" i="1"/>
  <c r="S701" i="1"/>
  <c r="S702" i="1"/>
  <c r="S703" i="1"/>
  <c r="S699" i="1"/>
  <c r="S704" i="1"/>
  <c r="S706" i="1"/>
  <c r="S708" i="1"/>
  <c r="S707" i="1"/>
  <c r="S709" i="1"/>
  <c r="S710" i="1"/>
  <c r="S705" i="1"/>
  <c r="S711" i="1"/>
  <c r="S712" i="1"/>
  <c r="S714" i="1"/>
  <c r="S713" i="1"/>
  <c r="S718" i="1"/>
  <c r="S715" i="1"/>
  <c r="S717" i="1"/>
  <c r="S719" i="1"/>
  <c r="S720" i="1"/>
  <c r="S721" i="1"/>
  <c r="S722" i="1"/>
  <c r="S725" i="1"/>
  <c r="S723" i="1"/>
  <c r="S726" i="1"/>
  <c r="S727" i="1"/>
  <c r="S729" i="1"/>
  <c r="S728" i="1"/>
  <c r="S730" i="1"/>
  <c r="S731" i="1"/>
  <c r="S732" i="1"/>
  <c r="S733" i="1"/>
  <c r="S734" i="1"/>
  <c r="S736" i="1"/>
  <c r="S735" i="1"/>
  <c r="S737" i="1"/>
  <c r="S738" i="1"/>
  <c r="S739" i="1"/>
  <c r="S740" i="1"/>
  <c r="S741" i="1"/>
  <c r="S742" i="1"/>
  <c r="S743" i="1"/>
  <c r="S744" i="1"/>
  <c r="S745" i="1"/>
  <c r="S747" i="1"/>
  <c r="S746" i="1"/>
  <c r="S749" i="1"/>
  <c r="S750" i="1"/>
  <c r="S751" i="1"/>
  <c r="S752" i="1"/>
  <c r="S753" i="1"/>
  <c r="S755" i="1"/>
  <c r="S754" i="1"/>
  <c r="S756" i="1"/>
  <c r="S757" i="1"/>
  <c r="S758" i="1"/>
  <c r="S759" i="1"/>
  <c r="S760" i="1"/>
  <c r="S761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8" i="1"/>
  <c r="S777" i="1"/>
  <c r="S779" i="1"/>
  <c r="S780" i="1"/>
  <c r="S781" i="1"/>
  <c r="S782" i="1"/>
  <c r="S783" i="1"/>
  <c r="S784" i="1"/>
  <c r="S786" i="1"/>
  <c r="S785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5" i="1"/>
  <c r="S804" i="1"/>
  <c r="S806" i="1"/>
  <c r="S807" i="1"/>
  <c r="S808" i="1"/>
  <c r="S809" i="1"/>
  <c r="S810" i="1"/>
  <c r="S811" i="1"/>
  <c r="S812" i="1"/>
  <c r="S814" i="1"/>
  <c r="S813" i="1"/>
  <c r="S815" i="1"/>
  <c r="S816" i="1"/>
  <c r="S817" i="1"/>
  <c r="S818" i="1"/>
  <c r="S819" i="1"/>
  <c r="S820" i="1"/>
  <c r="S822" i="1"/>
  <c r="S821" i="1"/>
  <c r="S824" i="1"/>
  <c r="S823" i="1"/>
  <c r="S825" i="1"/>
  <c r="S828" i="1"/>
  <c r="S827" i="1"/>
  <c r="S829" i="1"/>
  <c r="S830" i="1"/>
  <c r="S831" i="1"/>
  <c r="S832" i="1"/>
  <c r="S834" i="1"/>
  <c r="S835" i="1"/>
  <c r="S833" i="1"/>
  <c r="S836" i="1"/>
  <c r="S838" i="1"/>
  <c r="S837" i="1"/>
  <c r="S839" i="1"/>
  <c r="S840" i="1"/>
  <c r="S842" i="1"/>
  <c r="S841" i="1"/>
  <c r="S843" i="1"/>
  <c r="S844" i="1"/>
  <c r="S845" i="1"/>
  <c r="S846" i="1"/>
  <c r="S847" i="1"/>
  <c r="S848" i="1"/>
  <c r="S849" i="1"/>
  <c r="S850" i="1"/>
  <c r="S852" i="1"/>
  <c r="S851" i="1"/>
  <c r="S853" i="1"/>
  <c r="S854" i="1"/>
  <c r="S855" i="1"/>
  <c r="S856" i="1"/>
  <c r="S857" i="1"/>
  <c r="S858" i="1"/>
  <c r="S859" i="1"/>
  <c r="S860" i="1"/>
  <c r="S861" i="1"/>
  <c r="S862" i="1"/>
  <c r="S864" i="1"/>
  <c r="S863" i="1"/>
  <c r="S865" i="1"/>
  <c r="S866" i="1"/>
  <c r="S867" i="1"/>
  <c r="S868" i="1"/>
  <c r="S869" i="1"/>
  <c r="S870" i="1"/>
  <c r="S871" i="1"/>
  <c r="S874" i="1"/>
  <c r="S872" i="1"/>
  <c r="S873" i="1"/>
  <c r="S875" i="1"/>
  <c r="S876" i="1"/>
  <c r="S878" i="1"/>
  <c r="S879" i="1"/>
  <c r="S877" i="1"/>
  <c r="S880" i="1"/>
  <c r="S881" i="1"/>
  <c r="S883" i="1"/>
  <c r="S882" i="1"/>
  <c r="S884" i="1"/>
  <c r="S885" i="1"/>
  <c r="S886" i="1"/>
  <c r="S888" i="1"/>
  <c r="S889" i="1"/>
  <c r="S887" i="1"/>
  <c r="S891" i="1"/>
  <c r="S890" i="1"/>
  <c r="S892" i="1"/>
  <c r="S893" i="1"/>
  <c r="S894" i="1"/>
  <c r="S895" i="1"/>
  <c r="S896" i="1"/>
  <c r="S897" i="1"/>
  <c r="S898" i="1"/>
  <c r="S899" i="1"/>
  <c r="S901" i="1"/>
  <c r="S900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7" i="1"/>
  <c r="S914" i="1"/>
  <c r="S916" i="1"/>
  <c r="S918" i="1"/>
  <c r="S920" i="1"/>
  <c r="S919" i="1"/>
  <c r="S921" i="1"/>
  <c r="S922" i="1"/>
  <c r="S923" i="1"/>
  <c r="S924" i="1"/>
  <c r="S927" i="1"/>
  <c r="S925" i="1"/>
  <c r="S926" i="1"/>
  <c r="S928" i="1"/>
  <c r="S930" i="1"/>
  <c r="S929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9" i="1"/>
  <c r="S958" i="1"/>
  <c r="S963" i="1"/>
  <c r="S965" i="1"/>
  <c r="S964" i="1"/>
  <c r="S961" i="1"/>
  <c r="S966" i="1"/>
  <c r="S962" i="1"/>
  <c r="S960" i="1"/>
  <c r="S967" i="1"/>
  <c r="S969" i="1"/>
  <c r="S968" i="1"/>
  <c r="S973" i="1"/>
  <c r="S975" i="1"/>
  <c r="S974" i="1"/>
  <c r="S971" i="1"/>
  <c r="S976" i="1"/>
  <c r="S972" i="1"/>
  <c r="S970" i="1"/>
  <c r="S977" i="1"/>
  <c r="S980" i="1"/>
  <c r="S981" i="1"/>
  <c r="S982" i="1"/>
  <c r="S979" i="1"/>
  <c r="S978" i="1"/>
  <c r="S983" i="1"/>
  <c r="S984" i="1"/>
  <c r="S985" i="1"/>
  <c r="S986" i="1"/>
  <c r="S987" i="1"/>
  <c r="S990" i="1"/>
  <c r="S991" i="1"/>
  <c r="S992" i="1"/>
  <c r="S989" i="1"/>
  <c r="S988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7" i="1"/>
  <c r="S1028" i="1"/>
  <c r="S1026" i="1"/>
  <c r="S1029" i="1"/>
  <c r="S1030" i="1"/>
  <c r="S1031" i="1"/>
  <c r="S1032" i="1"/>
  <c r="S1033" i="1"/>
  <c r="S1034" i="1"/>
  <c r="S1035" i="1"/>
  <c r="S1040" i="1"/>
  <c r="S1037" i="1"/>
  <c r="S1038" i="1"/>
  <c r="S1039" i="1"/>
  <c r="S1036" i="1"/>
  <c r="S1041" i="1"/>
  <c r="S1042" i="1"/>
  <c r="S1043" i="1"/>
  <c r="S1044" i="1"/>
  <c r="S1045" i="1"/>
  <c r="S1050" i="1"/>
  <c r="S1046" i="1"/>
  <c r="S1047" i="1"/>
  <c r="S1049" i="1"/>
  <c r="S1048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8" i="1"/>
  <c r="S1077" i="1"/>
  <c r="S1079" i="1"/>
  <c r="S1080" i="1"/>
  <c r="S1081" i="1"/>
  <c r="S1082" i="1"/>
  <c r="S1083" i="1"/>
  <c r="S1084" i="1"/>
  <c r="S1086" i="1"/>
  <c r="S1085" i="1"/>
  <c r="S1088" i="1"/>
  <c r="S1087" i="1"/>
  <c r="S1089" i="1"/>
  <c r="S1090" i="1"/>
  <c r="S1091" i="1"/>
  <c r="S1092" i="1"/>
  <c r="S1093" i="1"/>
  <c r="S1094" i="1"/>
  <c r="S1096" i="1"/>
  <c r="S1097" i="1"/>
  <c r="S1095" i="1"/>
  <c r="S1098" i="1"/>
  <c r="S1099" i="1"/>
  <c r="S1100" i="1"/>
  <c r="S1101" i="1"/>
  <c r="S1102" i="1"/>
  <c r="S1103" i="1"/>
  <c r="S1104" i="1"/>
  <c r="S1105" i="1"/>
  <c r="S1107" i="1"/>
  <c r="S1106" i="1"/>
  <c r="S1108" i="1"/>
  <c r="S1109" i="1"/>
  <c r="S1111" i="1"/>
  <c r="S1112" i="1"/>
  <c r="S1110" i="1"/>
  <c r="S1113" i="1"/>
  <c r="S1115" i="1"/>
  <c r="S1114" i="1"/>
  <c r="S1116" i="1"/>
  <c r="S1117" i="1"/>
  <c r="S1118" i="1"/>
  <c r="S1119" i="1"/>
  <c r="S1121" i="1"/>
  <c r="S1122" i="1"/>
  <c r="S1120" i="1"/>
  <c r="S1123" i="1"/>
  <c r="S1125" i="1"/>
  <c r="S1124" i="1"/>
  <c r="S1126" i="1"/>
  <c r="S1127" i="1"/>
  <c r="S1128" i="1"/>
  <c r="S1129" i="1"/>
  <c r="S1130" i="1"/>
  <c r="S1132" i="1"/>
  <c r="S1133" i="1"/>
  <c r="S1131" i="1"/>
  <c r="S1134" i="1"/>
  <c r="T8" i="1"/>
  <c r="T9" i="1"/>
  <c r="T13" i="1"/>
  <c r="T14" i="1"/>
  <c r="T15" i="1"/>
  <c r="T16" i="1"/>
  <c r="T17" i="1"/>
  <c r="T18" i="1"/>
  <c r="T19" i="1"/>
  <c r="T20" i="1"/>
  <c r="T21" i="1"/>
  <c r="T22" i="1"/>
  <c r="T23" i="1"/>
  <c r="T24" i="1"/>
  <c r="T26" i="1"/>
  <c r="T25" i="1"/>
  <c r="T28" i="1"/>
  <c r="T27" i="1"/>
  <c r="T30" i="1"/>
  <c r="T29" i="1"/>
  <c r="T32" i="1"/>
  <c r="T31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7" i="1"/>
  <c r="T58" i="1"/>
  <c r="T56" i="1"/>
  <c r="T59" i="1"/>
  <c r="T60" i="1"/>
  <c r="T61" i="1"/>
  <c r="T62" i="1"/>
  <c r="T64" i="1"/>
  <c r="T65" i="1"/>
  <c r="T63" i="1"/>
  <c r="T66" i="1"/>
  <c r="T67" i="1"/>
  <c r="T68" i="1"/>
  <c r="T69" i="1"/>
  <c r="T70" i="1"/>
  <c r="T71" i="1"/>
  <c r="T74" i="1"/>
  <c r="T75" i="1"/>
  <c r="T77" i="1"/>
  <c r="T76" i="1"/>
  <c r="T73" i="1"/>
  <c r="T72" i="1"/>
  <c r="T78" i="1"/>
  <c r="T79" i="1"/>
  <c r="T80" i="1"/>
  <c r="T81" i="1"/>
  <c r="T85" i="1"/>
  <c r="T84" i="1"/>
  <c r="T87" i="1"/>
  <c r="T86" i="1"/>
  <c r="T82" i="1"/>
  <c r="T83" i="1"/>
  <c r="T88" i="1"/>
  <c r="T89" i="1"/>
  <c r="T90" i="1"/>
  <c r="T91" i="1"/>
  <c r="T92" i="1"/>
  <c r="T93" i="1"/>
  <c r="T95" i="1"/>
  <c r="T96" i="1"/>
  <c r="T94" i="1"/>
  <c r="T97" i="1"/>
  <c r="T99" i="1"/>
  <c r="T100" i="1"/>
  <c r="T98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6" i="1"/>
  <c r="T115" i="1"/>
  <c r="T119" i="1"/>
  <c r="T118" i="1"/>
  <c r="T117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9" i="1"/>
  <c r="T170" i="1"/>
  <c r="T168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9" i="1"/>
  <c r="T200" i="1"/>
  <c r="T198" i="1"/>
  <c r="T201" i="1"/>
  <c r="T202" i="1"/>
  <c r="T203" i="1"/>
  <c r="T204" i="1"/>
  <c r="T205" i="1"/>
  <c r="T206" i="1"/>
  <c r="T207" i="1"/>
  <c r="T210" i="1"/>
  <c r="T208" i="1"/>
  <c r="T212" i="1"/>
  <c r="T209" i="1"/>
  <c r="T211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6" i="1"/>
  <c r="T237" i="1"/>
  <c r="T238" i="1"/>
  <c r="T239" i="1"/>
  <c r="T234" i="1"/>
  <c r="T235" i="1"/>
  <c r="T240" i="1"/>
  <c r="T241" i="1"/>
  <c r="T242" i="1"/>
  <c r="T243" i="1"/>
  <c r="T244" i="1"/>
  <c r="T245" i="1"/>
  <c r="T246" i="1"/>
  <c r="T247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3" i="1"/>
  <c r="T361" i="1"/>
  <c r="T362" i="1"/>
  <c r="T364" i="1"/>
  <c r="T366" i="1"/>
  <c r="T365" i="1"/>
  <c r="T368" i="1"/>
  <c r="T367" i="1"/>
  <c r="T369" i="1"/>
  <c r="T370" i="1"/>
  <c r="T371" i="1"/>
  <c r="T372" i="1"/>
  <c r="T373" i="1"/>
  <c r="T374" i="1"/>
  <c r="T375" i="1"/>
  <c r="T376" i="1"/>
  <c r="T377" i="1"/>
  <c r="T378" i="1"/>
  <c r="T379" i="1"/>
  <c r="T381" i="1"/>
  <c r="T380" i="1"/>
  <c r="T383" i="1"/>
  <c r="T382" i="1"/>
  <c r="T384" i="1"/>
  <c r="T385" i="1"/>
  <c r="T386" i="1"/>
  <c r="T387" i="1"/>
  <c r="T388" i="1"/>
  <c r="T389" i="1"/>
  <c r="T390" i="1"/>
  <c r="T391" i="1"/>
  <c r="T392" i="1"/>
  <c r="T394" i="1"/>
  <c r="T395" i="1"/>
  <c r="T396" i="1"/>
  <c r="T397" i="1"/>
  <c r="T398" i="1"/>
  <c r="T399" i="1"/>
  <c r="T400" i="1"/>
  <c r="T403" i="1"/>
  <c r="T401" i="1"/>
  <c r="T406" i="1"/>
  <c r="T402" i="1"/>
  <c r="T404" i="1"/>
  <c r="T407" i="1"/>
  <c r="T405" i="1"/>
  <c r="T409" i="1"/>
  <c r="T408" i="1"/>
  <c r="T410" i="1"/>
  <c r="T411" i="1"/>
  <c r="T412" i="1"/>
  <c r="T413" i="1"/>
  <c r="T414" i="1"/>
  <c r="T415" i="1"/>
  <c r="T419" i="1"/>
  <c r="T426" i="1"/>
  <c r="T420" i="1"/>
  <c r="T423" i="1"/>
  <c r="T417" i="1"/>
  <c r="T418" i="1"/>
  <c r="T424" i="1"/>
  <c r="T425" i="1"/>
  <c r="T421" i="1"/>
  <c r="T422" i="1"/>
  <c r="T427" i="1"/>
  <c r="T429" i="1"/>
  <c r="T430" i="1"/>
  <c r="T428" i="1"/>
  <c r="T431" i="1"/>
  <c r="T433" i="1"/>
  <c r="T434" i="1"/>
  <c r="T432" i="1"/>
  <c r="T435" i="1"/>
  <c r="T436" i="1"/>
  <c r="T437" i="1"/>
  <c r="T438" i="1"/>
  <c r="T439" i="1"/>
  <c r="T440" i="1"/>
  <c r="T441" i="1"/>
  <c r="T443" i="1"/>
  <c r="T444" i="1"/>
  <c r="T442" i="1"/>
  <c r="T445" i="1"/>
  <c r="T447" i="1"/>
  <c r="T449" i="1"/>
  <c r="T446" i="1"/>
  <c r="T448" i="1"/>
  <c r="T450" i="1"/>
  <c r="T453" i="1"/>
  <c r="T452" i="1"/>
  <c r="T451" i="1"/>
  <c r="T455" i="1"/>
  <c r="T454" i="1"/>
  <c r="T456" i="1"/>
  <c r="T457" i="1"/>
  <c r="T459" i="1"/>
  <c r="T458" i="1"/>
  <c r="T460" i="1"/>
  <c r="T461" i="1"/>
  <c r="T462" i="1"/>
  <c r="T463" i="1"/>
  <c r="T464" i="1"/>
  <c r="T465" i="1"/>
  <c r="T466" i="1"/>
  <c r="T467" i="1"/>
  <c r="T468" i="1"/>
  <c r="T470" i="1"/>
  <c r="T469" i="1"/>
  <c r="T471" i="1"/>
  <c r="T472" i="1"/>
  <c r="T474" i="1"/>
  <c r="T473" i="1"/>
  <c r="T475" i="1"/>
  <c r="T476" i="1"/>
  <c r="T477" i="1"/>
  <c r="T478" i="1"/>
  <c r="T479" i="1"/>
  <c r="T480" i="1"/>
  <c r="T481" i="1"/>
  <c r="T484" i="1"/>
  <c r="T483" i="1"/>
  <c r="T482" i="1"/>
  <c r="T485" i="1"/>
  <c r="T488" i="1"/>
  <c r="T487" i="1"/>
  <c r="T486" i="1"/>
  <c r="T489" i="1"/>
  <c r="T490" i="1"/>
  <c r="T491" i="1"/>
  <c r="T492" i="1"/>
  <c r="T493" i="1"/>
  <c r="T494" i="1"/>
  <c r="T495" i="1"/>
  <c r="T500" i="1"/>
  <c r="T501" i="1"/>
  <c r="T502" i="1"/>
  <c r="T505" i="1"/>
  <c r="T506" i="1"/>
  <c r="T507" i="1"/>
  <c r="T508" i="1"/>
  <c r="T513" i="1"/>
  <c r="T510" i="1"/>
  <c r="T512" i="1"/>
  <c r="T509" i="1"/>
  <c r="T514" i="1"/>
  <c r="T515" i="1"/>
  <c r="T519" i="1"/>
  <c r="T517" i="1"/>
  <c r="T518" i="1"/>
  <c r="T516" i="1"/>
  <c r="T520" i="1"/>
  <c r="T521" i="1"/>
  <c r="T522" i="1"/>
  <c r="T523" i="1"/>
  <c r="T524" i="1"/>
  <c r="T527" i="1"/>
  <c r="T528" i="1"/>
  <c r="T525" i="1"/>
  <c r="T529" i="1"/>
  <c r="T530" i="1"/>
  <c r="T531" i="1"/>
  <c r="T533" i="1"/>
  <c r="T534" i="1"/>
  <c r="T532" i="1"/>
  <c r="T535" i="1"/>
  <c r="T536" i="1"/>
  <c r="T537" i="1"/>
  <c r="T538" i="1"/>
  <c r="T539" i="1"/>
  <c r="T540" i="1"/>
  <c r="T541" i="1"/>
  <c r="T542" i="1"/>
  <c r="T543" i="1"/>
  <c r="T544" i="1"/>
  <c r="T545" i="1"/>
  <c r="T547" i="1"/>
  <c r="T546" i="1"/>
  <c r="T548" i="1"/>
  <c r="T549" i="1"/>
  <c r="T550" i="1"/>
  <c r="T551" i="1"/>
  <c r="T552" i="1"/>
  <c r="T554" i="1"/>
  <c r="T553" i="1"/>
  <c r="T555" i="1"/>
  <c r="T556" i="1"/>
  <c r="T558" i="1"/>
  <c r="T573" i="1"/>
  <c r="T564" i="1"/>
  <c r="T565" i="1"/>
  <c r="T559" i="1"/>
  <c r="T560" i="1"/>
  <c r="T561" i="1"/>
  <c r="T571" i="1"/>
  <c r="T562" i="1"/>
  <c r="T563" i="1"/>
  <c r="T572" i="1"/>
  <c r="T568" i="1"/>
  <c r="T566" i="1"/>
  <c r="T567" i="1"/>
  <c r="T586" i="1"/>
  <c r="T574" i="1"/>
  <c r="T569" i="1"/>
  <c r="T580" i="1"/>
  <c r="T588" i="1"/>
  <c r="T570" i="1"/>
  <c r="T579" i="1"/>
  <c r="T575" i="1"/>
  <c r="T578" i="1"/>
  <c r="T576" i="1"/>
  <c r="T577" i="1"/>
  <c r="T589" i="1"/>
  <c r="T587" i="1"/>
  <c r="T582" i="1"/>
  <c r="T581" i="1"/>
  <c r="T583" i="1"/>
  <c r="T584" i="1"/>
  <c r="T585" i="1"/>
  <c r="T590" i="1"/>
  <c r="T592" i="1"/>
  <c r="T593" i="1"/>
  <c r="T591" i="1"/>
  <c r="T594" i="1"/>
  <c r="T596" i="1"/>
  <c r="T597" i="1"/>
  <c r="T598" i="1"/>
  <c r="T595" i="1"/>
  <c r="T601" i="1"/>
  <c r="T599" i="1"/>
  <c r="T600" i="1"/>
  <c r="T604" i="1"/>
  <c r="T605" i="1"/>
  <c r="T603" i="1"/>
  <c r="T602" i="1"/>
  <c r="T608" i="1"/>
  <c r="T606" i="1"/>
  <c r="T607" i="1"/>
  <c r="T610" i="1"/>
  <c r="T611" i="1"/>
  <c r="T609" i="1"/>
  <c r="T612" i="1"/>
  <c r="T613" i="1"/>
  <c r="T614" i="1"/>
  <c r="T616" i="1"/>
  <c r="T617" i="1"/>
  <c r="T615" i="1"/>
  <c r="T618" i="1"/>
  <c r="T619" i="1"/>
  <c r="T620" i="1"/>
  <c r="T621" i="1"/>
  <c r="T623" i="1"/>
  <c r="T624" i="1"/>
  <c r="T622" i="1"/>
  <c r="T625" i="1"/>
  <c r="T626" i="1"/>
  <c r="T627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6" i="1"/>
  <c r="T645" i="1"/>
  <c r="T647" i="1"/>
  <c r="T648" i="1"/>
  <c r="T649" i="1"/>
  <c r="T650" i="1"/>
  <c r="T651" i="1"/>
  <c r="T653" i="1"/>
  <c r="T652" i="1"/>
  <c r="T654" i="1"/>
  <c r="T655" i="1"/>
  <c r="T658" i="1"/>
  <c r="T659" i="1"/>
  <c r="T657" i="1"/>
  <c r="T660" i="1"/>
  <c r="T656" i="1"/>
  <c r="T661" i="1"/>
  <c r="T662" i="1"/>
  <c r="T665" i="1"/>
  <c r="T664" i="1"/>
  <c r="T666" i="1"/>
  <c r="T667" i="1"/>
  <c r="T663" i="1"/>
  <c r="T668" i="1"/>
  <c r="T669" i="1"/>
  <c r="T670" i="1"/>
  <c r="T673" i="1"/>
  <c r="T672" i="1"/>
  <c r="T671" i="1"/>
  <c r="T674" i="1"/>
  <c r="T675" i="1"/>
  <c r="T676" i="1"/>
  <c r="T677" i="1"/>
  <c r="T680" i="1"/>
  <c r="T678" i="1"/>
  <c r="T679" i="1"/>
  <c r="T681" i="1"/>
  <c r="T682" i="1"/>
  <c r="T683" i="1"/>
  <c r="T684" i="1"/>
  <c r="T685" i="1"/>
  <c r="T686" i="1"/>
  <c r="T687" i="1"/>
  <c r="T688" i="1"/>
  <c r="T689" i="1"/>
  <c r="T691" i="1"/>
  <c r="T692" i="1"/>
  <c r="T690" i="1"/>
  <c r="T693" i="1"/>
  <c r="T694" i="1"/>
  <c r="T695" i="1"/>
  <c r="T696" i="1"/>
  <c r="T698" i="1"/>
  <c r="T697" i="1"/>
  <c r="T700" i="1"/>
  <c r="T701" i="1"/>
  <c r="T702" i="1"/>
  <c r="T703" i="1"/>
  <c r="T699" i="1"/>
  <c r="T704" i="1"/>
  <c r="T706" i="1"/>
  <c r="T708" i="1"/>
  <c r="T707" i="1"/>
  <c r="T709" i="1"/>
  <c r="T710" i="1"/>
  <c r="T705" i="1"/>
  <c r="T711" i="1"/>
  <c r="T712" i="1"/>
  <c r="T714" i="1"/>
  <c r="T713" i="1"/>
  <c r="T718" i="1"/>
  <c r="T715" i="1"/>
  <c r="T717" i="1"/>
  <c r="T719" i="1"/>
  <c r="T720" i="1"/>
  <c r="T721" i="1"/>
  <c r="T722" i="1"/>
  <c r="T725" i="1"/>
  <c r="T723" i="1"/>
  <c r="T724" i="1"/>
  <c r="T726" i="1"/>
  <c r="T727" i="1"/>
  <c r="T729" i="1"/>
  <c r="T728" i="1"/>
  <c r="T730" i="1"/>
  <c r="T731" i="1"/>
  <c r="T732" i="1"/>
  <c r="T733" i="1"/>
  <c r="T734" i="1"/>
  <c r="T736" i="1"/>
  <c r="T735" i="1"/>
  <c r="T737" i="1"/>
  <c r="T738" i="1"/>
  <c r="T739" i="1"/>
  <c r="T740" i="1"/>
  <c r="T741" i="1"/>
  <c r="T742" i="1"/>
  <c r="T743" i="1"/>
  <c r="T744" i="1"/>
  <c r="T745" i="1"/>
  <c r="T747" i="1"/>
  <c r="T746" i="1"/>
  <c r="T749" i="1"/>
  <c r="T750" i="1"/>
  <c r="T751" i="1"/>
  <c r="T752" i="1"/>
  <c r="T753" i="1"/>
  <c r="T755" i="1"/>
  <c r="T754" i="1"/>
  <c r="T756" i="1"/>
  <c r="T757" i="1"/>
  <c r="T758" i="1"/>
  <c r="T759" i="1"/>
  <c r="T760" i="1"/>
  <c r="T761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8" i="1"/>
  <c r="T777" i="1"/>
  <c r="T779" i="1"/>
  <c r="T780" i="1"/>
  <c r="T781" i="1"/>
  <c r="T782" i="1"/>
  <c r="T783" i="1"/>
  <c r="T784" i="1"/>
  <c r="T786" i="1"/>
  <c r="T785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5" i="1"/>
  <c r="T804" i="1"/>
  <c r="T806" i="1"/>
  <c r="T807" i="1"/>
  <c r="T808" i="1"/>
  <c r="T809" i="1"/>
  <c r="T810" i="1"/>
  <c r="T811" i="1"/>
  <c r="T812" i="1"/>
  <c r="T814" i="1"/>
  <c r="T813" i="1"/>
  <c r="T815" i="1"/>
  <c r="T816" i="1"/>
  <c r="T817" i="1"/>
  <c r="T818" i="1"/>
  <c r="T819" i="1"/>
  <c r="T820" i="1"/>
  <c r="T822" i="1"/>
  <c r="T821" i="1"/>
  <c r="T824" i="1"/>
  <c r="T823" i="1"/>
  <c r="T825" i="1"/>
  <c r="T828" i="1"/>
  <c r="T827" i="1"/>
  <c r="T829" i="1"/>
  <c r="T830" i="1"/>
  <c r="T831" i="1"/>
  <c r="T832" i="1"/>
  <c r="T834" i="1"/>
  <c r="T835" i="1"/>
  <c r="T833" i="1"/>
  <c r="T836" i="1"/>
  <c r="T838" i="1"/>
  <c r="T837" i="1"/>
  <c r="T839" i="1"/>
  <c r="T840" i="1"/>
  <c r="T842" i="1"/>
  <c r="T841" i="1"/>
  <c r="T843" i="1"/>
  <c r="T844" i="1"/>
  <c r="T845" i="1"/>
  <c r="T846" i="1"/>
  <c r="T847" i="1"/>
  <c r="T848" i="1"/>
  <c r="T849" i="1"/>
  <c r="T850" i="1"/>
  <c r="T852" i="1"/>
  <c r="T851" i="1"/>
  <c r="T853" i="1"/>
  <c r="T854" i="1"/>
  <c r="T855" i="1"/>
  <c r="T856" i="1"/>
  <c r="T857" i="1"/>
  <c r="T858" i="1"/>
  <c r="T859" i="1"/>
  <c r="T860" i="1"/>
  <c r="T861" i="1"/>
  <c r="T862" i="1"/>
  <c r="T864" i="1"/>
  <c r="T863" i="1"/>
  <c r="T865" i="1"/>
  <c r="T866" i="1"/>
  <c r="T867" i="1"/>
  <c r="T868" i="1"/>
  <c r="T869" i="1"/>
  <c r="T870" i="1"/>
  <c r="T871" i="1"/>
  <c r="T874" i="1"/>
  <c r="T872" i="1"/>
  <c r="T873" i="1"/>
  <c r="T875" i="1"/>
  <c r="T876" i="1"/>
  <c r="T878" i="1"/>
  <c r="T879" i="1"/>
  <c r="T877" i="1"/>
  <c r="T880" i="1"/>
  <c r="T881" i="1"/>
  <c r="T883" i="1"/>
  <c r="T882" i="1"/>
  <c r="T884" i="1"/>
  <c r="T885" i="1"/>
  <c r="T886" i="1"/>
  <c r="T888" i="1"/>
  <c r="T889" i="1"/>
  <c r="T887" i="1"/>
  <c r="T891" i="1"/>
  <c r="T890" i="1"/>
  <c r="T892" i="1"/>
  <c r="T893" i="1"/>
  <c r="T894" i="1"/>
  <c r="T895" i="1"/>
  <c r="T896" i="1"/>
  <c r="T897" i="1"/>
  <c r="T898" i="1"/>
  <c r="T899" i="1"/>
  <c r="T901" i="1"/>
  <c r="T900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7" i="1"/>
  <c r="T914" i="1"/>
  <c r="T916" i="1"/>
  <c r="T918" i="1"/>
  <c r="T920" i="1"/>
  <c r="T919" i="1"/>
  <c r="T921" i="1"/>
  <c r="T922" i="1"/>
  <c r="T923" i="1"/>
  <c r="T924" i="1"/>
  <c r="T927" i="1"/>
  <c r="T925" i="1"/>
  <c r="T926" i="1"/>
  <c r="T928" i="1"/>
  <c r="T930" i="1"/>
  <c r="T929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9" i="1"/>
  <c r="T958" i="1"/>
  <c r="T963" i="1"/>
  <c r="T965" i="1"/>
  <c r="T964" i="1"/>
  <c r="T961" i="1"/>
  <c r="T966" i="1"/>
  <c r="T962" i="1"/>
  <c r="T960" i="1"/>
  <c r="T967" i="1"/>
  <c r="T969" i="1"/>
  <c r="T968" i="1"/>
  <c r="T973" i="1"/>
  <c r="T975" i="1"/>
  <c r="T974" i="1"/>
  <c r="T971" i="1"/>
  <c r="T976" i="1"/>
  <c r="T972" i="1"/>
  <c r="T970" i="1"/>
  <c r="T977" i="1"/>
  <c r="T980" i="1"/>
  <c r="T981" i="1"/>
  <c r="T982" i="1"/>
  <c r="T979" i="1"/>
  <c r="T978" i="1"/>
  <c r="T983" i="1"/>
  <c r="T984" i="1"/>
  <c r="T985" i="1"/>
  <c r="T986" i="1"/>
  <c r="T987" i="1"/>
  <c r="T990" i="1"/>
  <c r="T991" i="1"/>
  <c r="T992" i="1"/>
  <c r="T989" i="1"/>
  <c r="T988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7" i="1"/>
  <c r="T1028" i="1"/>
  <c r="T1026" i="1"/>
  <c r="T1029" i="1"/>
  <c r="T1030" i="1"/>
  <c r="T1031" i="1"/>
  <c r="T1032" i="1"/>
  <c r="T1033" i="1"/>
  <c r="T1034" i="1"/>
  <c r="T1035" i="1"/>
  <c r="T1040" i="1"/>
  <c r="T1037" i="1"/>
  <c r="T1038" i="1"/>
  <c r="T1039" i="1"/>
  <c r="T1036" i="1"/>
  <c r="T1041" i="1"/>
  <c r="T1042" i="1"/>
  <c r="T1043" i="1"/>
  <c r="T1044" i="1"/>
  <c r="T1045" i="1"/>
  <c r="T1050" i="1"/>
  <c r="T1046" i="1"/>
  <c r="T1047" i="1"/>
  <c r="T1049" i="1"/>
  <c r="T1048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8" i="1"/>
  <c r="T1077" i="1"/>
  <c r="T1079" i="1"/>
  <c r="T1080" i="1"/>
  <c r="T1081" i="1"/>
  <c r="T1082" i="1"/>
  <c r="T1083" i="1"/>
  <c r="T1084" i="1"/>
  <c r="T1086" i="1"/>
  <c r="T1085" i="1"/>
  <c r="T1088" i="1"/>
  <c r="T1087" i="1"/>
  <c r="T1089" i="1"/>
  <c r="T1090" i="1"/>
  <c r="T1091" i="1"/>
  <c r="T1092" i="1"/>
  <c r="T1093" i="1"/>
  <c r="T1094" i="1"/>
  <c r="T1096" i="1"/>
  <c r="T1097" i="1"/>
  <c r="T1095" i="1"/>
  <c r="T1098" i="1"/>
  <c r="T1099" i="1"/>
  <c r="T1100" i="1"/>
  <c r="T1101" i="1"/>
  <c r="T1102" i="1"/>
  <c r="T1103" i="1"/>
  <c r="T1104" i="1"/>
  <c r="T1105" i="1"/>
  <c r="T1107" i="1"/>
  <c r="T1106" i="1"/>
  <c r="T1108" i="1"/>
  <c r="T1109" i="1"/>
  <c r="T1111" i="1"/>
  <c r="T1112" i="1"/>
  <c r="T1110" i="1"/>
  <c r="T1113" i="1"/>
  <c r="T1115" i="1"/>
  <c r="T1114" i="1"/>
  <c r="T1116" i="1"/>
  <c r="T1117" i="1"/>
  <c r="T1118" i="1"/>
  <c r="T1119" i="1"/>
  <c r="T1121" i="1"/>
  <c r="T1122" i="1"/>
  <c r="T1120" i="1"/>
  <c r="T1123" i="1"/>
  <c r="T1125" i="1"/>
  <c r="T1124" i="1"/>
  <c r="T1126" i="1"/>
  <c r="T1127" i="1"/>
  <c r="T1128" i="1"/>
  <c r="T1129" i="1"/>
  <c r="T1130" i="1"/>
  <c r="T1132" i="1"/>
  <c r="T1133" i="1"/>
  <c r="T1131" i="1"/>
  <c r="T1134" i="1"/>
  <c r="AI8" i="1"/>
  <c r="AI9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6" i="1"/>
  <c r="AI25" i="1"/>
  <c r="AI28" i="1"/>
  <c r="AI27" i="1"/>
  <c r="AI30" i="1"/>
  <c r="AI29" i="1"/>
  <c r="AI32" i="1"/>
  <c r="AI31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7" i="1"/>
  <c r="AI58" i="1"/>
  <c r="AI56" i="1"/>
  <c r="AI59" i="1"/>
  <c r="AI60" i="1"/>
  <c r="AI61" i="1"/>
  <c r="AI62" i="1"/>
  <c r="AI64" i="1"/>
  <c r="AI65" i="1"/>
  <c r="AI63" i="1"/>
  <c r="AI66" i="1"/>
  <c r="AI67" i="1"/>
  <c r="AI68" i="1"/>
  <c r="AI69" i="1"/>
  <c r="AI70" i="1"/>
  <c r="AI71" i="1"/>
  <c r="AI74" i="1"/>
  <c r="AI75" i="1"/>
  <c r="AI77" i="1"/>
  <c r="AI76" i="1"/>
  <c r="AI73" i="1"/>
  <c r="AI72" i="1"/>
  <c r="AI78" i="1"/>
  <c r="AI79" i="1"/>
  <c r="AI80" i="1"/>
  <c r="AI81" i="1"/>
  <c r="AI85" i="1"/>
  <c r="AI84" i="1"/>
  <c r="AI87" i="1"/>
  <c r="AI86" i="1"/>
  <c r="AI82" i="1"/>
  <c r="AI83" i="1"/>
  <c r="AI88" i="1"/>
  <c r="AI89" i="1"/>
  <c r="AI90" i="1"/>
  <c r="AI91" i="1"/>
  <c r="AI92" i="1"/>
  <c r="AI93" i="1"/>
  <c r="AI95" i="1"/>
  <c r="AI96" i="1"/>
  <c r="AI94" i="1"/>
  <c r="AI97" i="1"/>
  <c r="AI99" i="1"/>
  <c r="AI100" i="1"/>
  <c r="AI98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6" i="1"/>
  <c r="AI115" i="1"/>
  <c r="AI119" i="1"/>
  <c r="AI118" i="1"/>
  <c r="AI117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9" i="1"/>
  <c r="AI170" i="1"/>
  <c r="AI168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9" i="1"/>
  <c r="AI200" i="1"/>
  <c r="AI198" i="1"/>
  <c r="AI201" i="1"/>
  <c r="AI202" i="1"/>
  <c r="AI203" i="1"/>
  <c r="AI204" i="1"/>
  <c r="AI205" i="1"/>
  <c r="AI206" i="1"/>
  <c r="AI207" i="1"/>
  <c r="AI210" i="1"/>
  <c r="AI208" i="1"/>
  <c r="AI212" i="1"/>
  <c r="AI209" i="1"/>
  <c r="AI211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6" i="1"/>
  <c r="AI237" i="1"/>
  <c r="AI238" i="1"/>
  <c r="AI239" i="1"/>
  <c r="AI234" i="1"/>
  <c r="AI235" i="1"/>
  <c r="AI240" i="1"/>
  <c r="AI241" i="1"/>
  <c r="AI242" i="1"/>
  <c r="AI243" i="1"/>
  <c r="AI244" i="1"/>
  <c r="AI245" i="1"/>
  <c r="AI246" i="1"/>
  <c r="AI247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3" i="1"/>
  <c r="AI361" i="1"/>
  <c r="AI362" i="1"/>
  <c r="AI364" i="1"/>
  <c r="AI366" i="1"/>
  <c r="AI365" i="1"/>
  <c r="AI368" i="1"/>
  <c r="AI367" i="1"/>
  <c r="AI369" i="1"/>
  <c r="AI370" i="1"/>
  <c r="AI371" i="1"/>
  <c r="AI372" i="1"/>
  <c r="AI373" i="1"/>
  <c r="AI374" i="1"/>
  <c r="AI375" i="1"/>
  <c r="AI376" i="1"/>
  <c r="AI377" i="1"/>
  <c r="AI378" i="1"/>
  <c r="AI379" i="1"/>
  <c r="AI381" i="1"/>
  <c r="AI380" i="1"/>
  <c r="AI383" i="1"/>
  <c r="AI382" i="1"/>
  <c r="AI384" i="1"/>
  <c r="AI385" i="1"/>
  <c r="AI386" i="1"/>
  <c r="AI387" i="1"/>
  <c r="AI388" i="1"/>
  <c r="AI389" i="1"/>
  <c r="AI390" i="1"/>
  <c r="AI391" i="1"/>
  <c r="AI392" i="1"/>
  <c r="AI394" i="1"/>
  <c r="AI395" i="1"/>
  <c r="AI396" i="1"/>
  <c r="AI397" i="1"/>
  <c r="AI398" i="1"/>
  <c r="AI399" i="1"/>
  <c r="AI400" i="1"/>
  <c r="AI403" i="1"/>
  <c r="AI401" i="1"/>
  <c r="AI406" i="1"/>
  <c r="AI402" i="1"/>
  <c r="AI404" i="1"/>
  <c r="AI407" i="1"/>
  <c r="AI405" i="1"/>
  <c r="AI409" i="1"/>
  <c r="AI408" i="1"/>
  <c r="AI410" i="1"/>
  <c r="AI411" i="1"/>
  <c r="AI412" i="1"/>
  <c r="AI413" i="1"/>
  <c r="AI414" i="1"/>
  <c r="AI415" i="1"/>
  <c r="AI419" i="1"/>
  <c r="AI426" i="1"/>
  <c r="AI420" i="1"/>
  <c r="AI423" i="1"/>
  <c r="AI417" i="1"/>
  <c r="AI418" i="1"/>
  <c r="AI424" i="1"/>
  <c r="AI425" i="1"/>
  <c r="AI421" i="1"/>
  <c r="AI422" i="1"/>
  <c r="AI427" i="1"/>
  <c r="AI429" i="1"/>
  <c r="AI430" i="1"/>
  <c r="AI428" i="1"/>
  <c r="AI431" i="1"/>
  <c r="AI433" i="1"/>
  <c r="AI434" i="1"/>
  <c r="AI432" i="1"/>
  <c r="AI435" i="1"/>
  <c r="AI436" i="1"/>
  <c r="AI437" i="1"/>
  <c r="AI438" i="1"/>
  <c r="AI439" i="1"/>
  <c r="AI440" i="1"/>
  <c r="AI441" i="1"/>
  <c r="AI443" i="1"/>
  <c r="AI444" i="1"/>
  <c r="AI442" i="1"/>
  <c r="AI445" i="1"/>
  <c r="AI447" i="1"/>
  <c r="AI449" i="1"/>
  <c r="AI446" i="1"/>
  <c r="AI448" i="1"/>
  <c r="AI450" i="1"/>
  <c r="AI453" i="1"/>
  <c r="AI452" i="1"/>
  <c r="AI451" i="1"/>
  <c r="AI455" i="1"/>
  <c r="AI454" i="1"/>
  <c r="AI456" i="1"/>
  <c r="AI457" i="1"/>
  <c r="AI459" i="1"/>
  <c r="AI458" i="1"/>
  <c r="AI460" i="1"/>
  <c r="AI461" i="1"/>
  <c r="AI462" i="1"/>
  <c r="AI463" i="1"/>
  <c r="AI464" i="1"/>
  <c r="AI465" i="1"/>
  <c r="AI466" i="1"/>
  <c r="AI467" i="1"/>
  <c r="AI468" i="1"/>
  <c r="AI470" i="1"/>
  <c r="AI469" i="1"/>
  <c r="AI471" i="1"/>
  <c r="AI472" i="1"/>
  <c r="AI474" i="1"/>
  <c r="AI473" i="1"/>
  <c r="AI475" i="1"/>
  <c r="AI476" i="1"/>
  <c r="AI477" i="1"/>
  <c r="AI478" i="1"/>
  <c r="AI479" i="1"/>
  <c r="AI480" i="1"/>
  <c r="AI481" i="1"/>
  <c r="AI484" i="1"/>
  <c r="AI483" i="1"/>
  <c r="AI482" i="1"/>
  <c r="AI485" i="1"/>
  <c r="AI488" i="1"/>
  <c r="AI487" i="1"/>
  <c r="AI486" i="1"/>
  <c r="AI489" i="1"/>
  <c r="AI490" i="1"/>
  <c r="AI491" i="1"/>
  <c r="AI492" i="1"/>
  <c r="AI493" i="1"/>
  <c r="AI494" i="1"/>
  <c r="AI495" i="1"/>
  <c r="AI500" i="1"/>
  <c r="AI501" i="1"/>
  <c r="AI502" i="1"/>
  <c r="AI505" i="1"/>
  <c r="AI506" i="1"/>
  <c r="AI507" i="1"/>
  <c r="AI508" i="1"/>
  <c r="AI513" i="1"/>
  <c r="AI510" i="1"/>
  <c r="AI512" i="1"/>
  <c r="AI509" i="1"/>
  <c r="AI514" i="1"/>
  <c r="AI515" i="1"/>
  <c r="AI519" i="1"/>
  <c r="AI517" i="1"/>
  <c r="AI518" i="1"/>
  <c r="AI516" i="1"/>
  <c r="AI520" i="1"/>
  <c r="AI521" i="1"/>
  <c r="AI522" i="1"/>
  <c r="AI523" i="1"/>
  <c r="AI524" i="1"/>
  <c r="AI527" i="1"/>
  <c r="AI528" i="1"/>
  <c r="AI525" i="1"/>
  <c r="AI529" i="1"/>
  <c r="AI530" i="1"/>
  <c r="AI531" i="1"/>
  <c r="AI533" i="1"/>
  <c r="AI534" i="1"/>
  <c r="AI532" i="1"/>
  <c r="AI535" i="1"/>
  <c r="AI536" i="1"/>
  <c r="AI537" i="1"/>
  <c r="AI538" i="1"/>
  <c r="AI539" i="1"/>
  <c r="AI540" i="1"/>
  <c r="AI541" i="1"/>
  <c r="AI542" i="1"/>
  <c r="AI543" i="1"/>
  <c r="AI544" i="1"/>
  <c r="AI545" i="1"/>
  <c r="AI547" i="1"/>
  <c r="AI546" i="1"/>
  <c r="AI548" i="1"/>
  <c r="AI549" i="1"/>
  <c r="AI550" i="1"/>
  <c r="AI551" i="1"/>
  <c r="AI552" i="1"/>
  <c r="AI554" i="1"/>
  <c r="AI553" i="1"/>
  <c r="AI555" i="1"/>
  <c r="AI556" i="1"/>
  <c r="AI558" i="1"/>
  <c r="AI573" i="1"/>
  <c r="AI564" i="1"/>
  <c r="AI565" i="1"/>
  <c r="AI559" i="1"/>
  <c r="AI560" i="1"/>
  <c r="AI561" i="1"/>
  <c r="AI571" i="1"/>
  <c r="AI562" i="1"/>
  <c r="AI563" i="1"/>
  <c r="AI572" i="1"/>
  <c r="AI568" i="1"/>
  <c r="AI566" i="1"/>
  <c r="AI567" i="1"/>
  <c r="AI586" i="1"/>
  <c r="AI574" i="1"/>
  <c r="AI569" i="1"/>
  <c r="AI580" i="1"/>
  <c r="AI588" i="1"/>
  <c r="AI570" i="1"/>
  <c r="AI579" i="1"/>
  <c r="AI575" i="1"/>
  <c r="AI578" i="1"/>
  <c r="AI576" i="1"/>
  <c r="AI577" i="1"/>
  <c r="AI589" i="1"/>
  <c r="AI587" i="1"/>
  <c r="AI582" i="1"/>
  <c r="AI581" i="1"/>
  <c r="AI583" i="1"/>
  <c r="AI584" i="1"/>
  <c r="AI585" i="1"/>
  <c r="AI590" i="1"/>
  <c r="AI592" i="1"/>
  <c r="AI593" i="1"/>
  <c r="AI591" i="1"/>
  <c r="AI594" i="1"/>
  <c r="AI596" i="1"/>
  <c r="AI597" i="1"/>
  <c r="AI598" i="1"/>
  <c r="AI595" i="1"/>
  <c r="AI601" i="1"/>
  <c r="AI599" i="1"/>
  <c r="AI600" i="1"/>
  <c r="AI604" i="1"/>
  <c r="AI605" i="1"/>
  <c r="AI603" i="1"/>
  <c r="AI602" i="1"/>
  <c r="AI608" i="1"/>
  <c r="AI606" i="1"/>
  <c r="AI607" i="1"/>
  <c r="AI610" i="1"/>
  <c r="AI611" i="1"/>
  <c r="AI609" i="1"/>
  <c r="AI612" i="1"/>
  <c r="AI613" i="1"/>
  <c r="AI614" i="1"/>
  <c r="AI616" i="1"/>
  <c r="AI617" i="1"/>
  <c r="AI615" i="1"/>
  <c r="AI618" i="1"/>
  <c r="AI619" i="1"/>
  <c r="AI620" i="1"/>
  <c r="AI621" i="1"/>
  <c r="AI623" i="1"/>
  <c r="AI624" i="1"/>
  <c r="AI622" i="1"/>
  <c r="AI625" i="1"/>
  <c r="AI626" i="1"/>
  <c r="AI627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6" i="1"/>
  <c r="AI645" i="1"/>
  <c r="AI647" i="1"/>
  <c r="AI648" i="1"/>
  <c r="AI649" i="1"/>
  <c r="AI650" i="1"/>
  <c r="AI651" i="1"/>
  <c r="AI653" i="1"/>
  <c r="AI652" i="1"/>
  <c r="AI654" i="1"/>
  <c r="AI655" i="1"/>
  <c r="AI658" i="1"/>
  <c r="AI659" i="1"/>
  <c r="AI657" i="1"/>
  <c r="AI660" i="1"/>
  <c r="AI656" i="1"/>
  <c r="AI661" i="1"/>
  <c r="AI662" i="1"/>
  <c r="AI665" i="1"/>
  <c r="AI664" i="1"/>
  <c r="AI666" i="1"/>
  <c r="AI667" i="1"/>
  <c r="AI663" i="1"/>
  <c r="AI668" i="1"/>
  <c r="AI669" i="1"/>
  <c r="AI670" i="1"/>
  <c r="AI673" i="1"/>
  <c r="AI672" i="1"/>
  <c r="AI671" i="1"/>
  <c r="AI674" i="1"/>
  <c r="AI675" i="1"/>
  <c r="AI676" i="1"/>
  <c r="AI677" i="1"/>
  <c r="AI680" i="1"/>
  <c r="AI678" i="1"/>
  <c r="AI679" i="1"/>
  <c r="AI681" i="1"/>
  <c r="AI682" i="1"/>
  <c r="AI683" i="1"/>
  <c r="AI684" i="1"/>
  <c r="AI685" i="1"/>
  <c r="AI686" i="1"/>
  <c r="AI687" i="1"/>
  <c r="AI688" i="1"/>
  <c r="AI689" i="1"/>
  <c r="AI691" i="1"/>
  <c r="AI692" i="1"/>
  <c r="AI690" i="1"/>
  <c r="AI693" i="1"/>
  <c r="AI694" i="1"/>
  <c r="AI695" i="1"/>
  <c r="AI696" i="1"/>
  <c r="AI698" i="1"/>
  <c r="AI697" i="1"/>
  <c r="AI700" i="1"/>
  <c r="AI701" i="1"/>
  <c r="AI702" i="1"/>
  <c r="AI703" i="1"/>
  <c r="AI699" i="1"/>
  <c r="AI704" i="1"/>
  <c r="AI706" i="1"/>
  <c r="AI708" i="1"/>
  <c r="AI707" i="1"/>
  <c r="AI709" i="1"/>
  <c r="AI710" i="1"/>
  <c r="AI705" i="1"/>
  <c r="AI711" i="1"/>
  <c r="AI712" i="1"/>
  <c r="AI714" i="1"/>
  <c r="AI713" i="1"/>
  <c r="AI718" i="1"/>
  <c r="AI715" i="1"/>
  <c r="AI717" i="1"/>
  <c r="AI719" i="1"/>
  <c r="AI720" i="1"/>
  <c r="AI721" i="1"/>
  <c r="AI722" i="1"/>
  <c r="AI725" i="1"/>
  <c r="AI723" i="1"/>
  <c r="AI724" i="1"/>
  <c r="AI726" i="1"/>
  <c r="AI727" i="1"/>
  <c r="AI729" i="1"/>
  <c r="AI728" i="1"/>
  <c r="AI730" i="1"/>
  <c r="AI731" i="1"/>
  <c r="AI732" i="1"/>
  <c r="AI733" i="1"/>
  <c r="AI734" i="1"/>
  <c r="AI736" i="1"/>
  <c r="AI735" i="1"/>
  <c r="AI737" i="1"/>
  <c r="AI738" i="1"/>
  <c r="AI739" i="1"/>
  <c r="AI740" i="1"/>
  <c r="AI741" i="1"/>
  <c r="AI742" i="1"/>
  <c r="AI743" i="1"/>
  <c r="AI744" i="1"/>
  <c r="AI745" i="1"/>
  <c r="AI747" i="1"/>
  <c r="AI746" i="1"/>
  <c r="AI749" i="1"/>
  <c r="AI750" i="1"/>
  <c r="AI751" i="1"/>
  <c r="AI752" i="1"/>
  <c r="AI753" i="1"/>
  <c r="AI755" i="1"/>
  <c r="AI754" i="1"/>
  <c r="AI756" i="1"/>
  <c r="AI757" i="1"/>
  <c r="AI758" i="1"/>
  <c r="AI759" i="1"/>
  <c r="AI760" i="1"/>
  <c r="AI761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8" i="1"/>
  <c r="AI777" i="1"/>
  <c r="AI779" i="1"/>
  <c r="AI780" i="1"/>
  <c r="AI781" i="1"/>
  <c r="AI782" i="1"/>
  <c r="AI783" i="1"/>
  <c r="AI784" i="1"/>
  <c r="AI786" i="1"/>
  <c r="AI785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5" i="1"/>
  <c r="AI804" i="1"/>
  <c r="AI806" i="1"/>
  <c r="AI807" i="1"/>
  <c r="AI808" i="1"/>
  <c r="AI809" i="1"/>
  <c r="AI810" i="1"/>
  <c r="AI811" i="1"/>
  <c r="AI812" i="1"/>
  <c r="AI814" i="1"/>
  <c r="AI813" i="1"/>
  <c r="AI815" i="1"/>
  <c r="AI816" i="1"/>
  <c r="AI817" i="1"/>
  <c r="AI818" i="1"/>
  <c r="AI819" i="1"/>
  <c r="AI820" i="1"/>
  <c r="AI822" i="1"/>
  <c r="AI821" i="1"/>
  <c r="AI824" i="1"/>
  <c r="AI823" i="1"/>
  <c r="AI825" i="1"/>
  <c r="AI828" i="1"/>
  <c r="AI827" i="1"/>
  <c r="AI829" i="1"/>
  <c r="AI830" i="1"/>
  <c r="AI831" i="1"/>
  <c r="AI832" i="1"/>
  <c r="AI834" i="1"/>
  <c r="AI835" i="1"/>
  <c r="AI833" i="1"/>
  <c r="AI836" i="1"/>
  <c r="AI838" i="1"/>
  <c r="AI837" i="1"/>
  <c r="AI839" i="1"/>
  <c r="AI840" i="1"/>
  <c r="AI842" i="1"/>
  <c r="AI841" i="1"/>
  <c r="AI843" i="1"/>
  <c r="AI844" i="1"/>
  <c r="AI845" i="1"/>
  <c r="AI846" i="1"/>
  <c r="AI847" i="1"/>
  <c r="AI848" i="1"/>
  <c r="AI849" i="1"/>
  <c r="AI850" i="1"/>
  <c r="AI852" i="1"/>
  <c r="AI851" i="1"/>
  <c r="AI853" i="1"/>
  <c r="AI854" i="1"/>
  <c r="AI855" i="1"/>
  <c r="AI856" i="1"/>
  <c r="AI857" i="1"/>
  <c r="AI858" i="1"/>
  <c r="AI859" i="1"/>
  <c r="AI860" i="1"/>
  <c r="AI861" i="1"/>
  <c r="AI862" i="1"/>
  <c r="AI864" i="1"/>
  <c r="AI863" i="1"/>
  <c r="AI865" i="1"/>
  <c r="AI866" i="1"/>
  <c r="AI867" i="1"/>
  <c r="AI868" i="1"/>
  <c r="AI869" i="1"/>
  <c r="AI870" i="1"/>
  <c r="AI871" i="1"/>
  <c r="AI874" i="1"/>
  <c r="AI872" i="1"/>
  <c r="AI873" i="1"/>
  <c r="AI875" i="1"/>
  <c r="AI876" i="1"/>
  <c r="AI878" i="1"/>
  <c r="AI879" i="1"/>
  <c r="AI877" i="1"/>
  <c r="AI880" i="1"/>
  <c r="AI881" i="1"/>
  <c r="AI883" i="1"/>
  <c r="AI882" i="1"/>
  <c r="AI884" i="1"/>
  <c r="AI885" i="1"/>
  <c r="AI886" i="1"/>
  <c r="AI888" i="1"/>
  <c r="AI889" i="1"/>
  <c r="AI887" i="1"/>
  <c r="AI891" i="1"/>
  <c r="AI890" i="1"/>
  <c r="AI892" i="1"/>
  <c r="AI893" i="1"/>
  <c r="AI894" i="1"/>
  <c r="AI895" i="1"/>
  <c r="AI896" i="1"/>
  <c r="AI897" i="1"/>
  <c r="AI898" i="1"/>
  <c r="AI899" i="1"/>
  <c r="AI901" i="1"/>
  <c r="AI900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7" i="1"/>
  <c r="AI914" i="1"/>
  <c r="AI916" i="1"/>
  <c r="AI918" i="1"/>
  <c r="AI920" i="1"/>
  <c r="AI919" i="1"/>
  <c r="AI921" i="1"/>
  <c r="AI922" i="1"/>
  <c r="AI923" i="1"/>
  <c r="AI924" i="1"/>
  <c r="AI927" i="1"/>
  <c r="AI925" i="1"/>
  <c r="AI926" i="1"/>
  <c r="AI928" i="1"/>
  <c r="AI930" i="1"/>
  <c r="AI929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9" i="1"/>
  <c r="AI958" i="1"/>
  <c r="AI963" i="1"/>
  <c r="AI965" i="1"/>
  <c r="AI964" i="1"/>
  <c r="AI961" i="1"/>
  <c r="AI966" i="1"/>
  <c r="AI962" i="1"/>
  <c r="AI960" i="1"/>
  <c r="AI967" i="1"/>
  <c r="AI969" i="1"/>
  <c r="AI968" i="1"/>
  <c r="AI973" i="1"/>
  <c r="AI975" i="1"/>
  <c r="AI974" i="1"/>
  <c r="AI971" i="1"/>
  <c r="AI976" i="1"/>
  <c r="AI972" i="1"/>
  <c r="AI970" i="1"/>
  <c r="AI977" i="1"/>
  <c r="AI980" i="1"/>
  <c r="AI981" i="1"/>
  <c r="AI982" i="1"/>
  <c r="AI979" i="1"/>
  <c r="AI978" i="1"/>
  <c r="AI983" i="1"/>
  <c r="AI984" i="1"/>
  <c r="AI985" i="1"/>
  <c r="AI986" i="1"/>
  <c r="AI987" i="1"/>
  <c r="AI990" i="1"/>
  <c r="AI991" i="1"/>
  <c r="AI992" i="1"/>
  <c r="AI989" i="1"/>
  <c r="AI988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7" i="1"/>
  <c r="AI1028" i="1"/>
  <c r="AI1026" i="1"/>
  <c r="AI1029" i="1"/>
  <c r="AI1030" i="1"/>
  <c r="AI1031" i="1"/>
  <c r="AI1032" i="1"/>
  <c r="AI1033" i="1"/>
  <c r="AI1034" i="1"/>
  <c r="AI1035" i="1"/>
  <c r="AI1040" i="1"/>
  <c r="AI1037" i="1"/>
  <c r="AI1038" i="1"/>
  <c r="AI1039" i="1"/>
  <c r="AI1036" i="1"/>
  <c r="AI1041" i="1"/>
  <c r="AI1042" i="1"/>
  <c r="AI1043" i="1"/>
  <c r="AI1044" i="1"/>
  <c r="AI1045" i="1"/>
  <c r="AI1050" i="1"/>
  <c r="AI1046" i="1"/>
  <c r="AI1047" i="1"/>
  <c r="AI1049" i="1"/>
  <c r="AI1048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8" i="1"/>
  <c r="AI1077" i="1"/>
  <c r="AI1079" i="1"/>
  <c r="AI1080" i="1"/>
  <c r="AI1081" i="1"/>
  <c r="AI1082" i="1"/>
  <c r="AI1083" i="1"/>
  <c r="AI1084" i="1"/>
  <c r="AI1086" i="1"/>
  <c r="AI1085" i="1"/>
  <c r="AI1088" i="1"/>
  <c r="AI1087" i="1"/>
  <c r="AI1089" i="1"/>
  <c r="AI1090" i="1"/>
  <c r="AI1091" i="1"/>
  <c r="AI1092" i="1"/>
  <c r="AI1093" i="1"/>
  <c r="AI1094" i="1"/>
  <c r="AI1096" i="1"/>
  <c r="AI1097" i="1"/>
  <c r="AI1095" i="1"/>
  <c r="AI1098" i="1"/>
  <c r="AI1099" i="1"/>
  <c r="AI1100" i="1"/>
  <c r="AI1101" i="1"/>
  <c r="AI1102" i="1"/>
  <c r="AI1103" i="1"/>
  <c r="AI1104" i="1"/>
  <c r="AI1105" i="1"/>
  <c r="AI1107" i="1"/>
  <c r="AI1106" i="1"/>
  <c r="AI1108" i="1"/>
  <c r="AI1109" i="1"/>
  <c r="AI1111" i="1"/>
  <c r="AI1112" i="1"/>
  <c r="AI1110" i="1"/>
  <c r="AI1113" i="1"/>
  <c r="AI1115" i="1"/>
  <c r="AI1114" i="1"/>
  <c r="AI1116" i="1"/>
  <c r="AI1117" i="1"/>
  <c r="AI1118" i="1"/>
  <c r="AI1119" i="1"/>
  <c r="AI1121" i="1"/>
  <c r="AI1122" i="1"/>
  <c r="AI1120" i="1"/>
  <c r="AI1123" i="1"/>
  <c r="AI1125" i="1"/>
  <c r="AI1124" i="1"/>
  <c r="AI1126" i="1"/>
  <c r="AI1127" i="1"/>
  <c r="AI1128" i="1"/>
  <c r="AI1129" i="1"/>
  <c r="AI1130" i="1"/>
  <c r="AI1132" i="1"/>
  <c r="AI1133" i="1"/>
  <c r="AI1131" i="1"/>
  <c r="AI1134" i="1"/>
  <c r="AJ8" i="1"/>
  <c r="AJ9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6" i="1"/>
  <c r="AJ25" i="1"/>
  <c r="AJ28" i="1"/>
  <c r="AJ27" i="1"/>
  <c r="AJ30" i="1"/>
  <c r="AJ29" i="1"/>
  <c r="AJ32" i="1"/>
  <c r="AJ31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7" i="1"/>
  <c r="AJ58" i="1"/>
  <c r="AJ56" i="1"/>
  <c r="AJ59" i="1"/>
  <c r="AJ60" i="1"/>
  <c r="AJ61" i="1"/>
  <c r="AJ62" i="1"/>
  <c r="AJ64" i="1"/>
  <c r="AJ65" i="1"/>
  <c r="AJ63" i="1"/>
  <c r="AJ66" i="1"/>
  <c r="AJ67" i="1"/>
  <c r="AJ68" i="1"/>
  <c r="AJ69" i="1"/>
  <c r="AJ70" i="1"/>
  <c r="AJ71" i="1"/>
  <c r="AJ74" i="1"/>
  <c r="AJ75" i="1"/>
  <c r="AJ77" i="1"/>
  <c r="AJ76" i="1"/>
  <c r="AJ73" i="1"/>
  <c r="AJ72" i="1"/>
  <c r="AJ78" i="1"/>
  <c r="AJ79" i="1"/>
  <c r="AJ80" i="1"/>
  <c r="AJ81" i="1"/>
  <c r="AJ85" i="1"/>
  <c r="AJ84" i="1"/>
  <c r="AJ87" i="1"/>
  <c r="AJ86" i="1"/>
  <c r="AJ82" i="1"/>
  <c r="AJ83" i="1"/>
  <c r="AJ88" i="1"/>
  <c r="AJ89" i="1"/>
  <c r="AJ90" i="1"/>
  <c r="AJ91" i="1"/>
  <c r="AJ92" i="1"/>
  <c r="AJ93" i="1"/>
  <c r="AJ95" i="1"/>
  <c r="AJ96" i="1"/>
  <c r="AJ94" i="1"/>
  <c r="AJ97" i="1"/>
  <c r="AJ99" i="1"/>
  <c r="AJ100" i="1"/>
  <c r="AJ98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6" i="1"/>
  <c r="AJ115" i="1"/>
  <c r="AJ119" i="1"/>
  <c r="AJ118" i="1"/>
  <c r="AJ117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9" i="1"/>
  <c r="AJ170" i="1"/>
  <c r="AJ168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9" i="1"/>
  <c r="AJ200" i="1"/>
  <c r="AJ198" i="1"/>
  <c r="AJ201" i="1"/>
  <c r="AJ202" i="1"/>
  <c r="AJ203" i="1"/>
  <c r="AJ204" i="1"/>
  <c r="AJ205" i="1"/>
  <c r="AJ206" i="1"/>
  <c r="AJ207" i="1"/>
  <c r="AJ210" i="1"/>
  <c r="AJ208" i="1"/>
  <c r="AJ212" i="1"/>
  <c r="AJ209" i="1"/>
  <c r="AJ211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6" i="1"/>
  <c r="AJ237" i="1"/>
  <c r="AJ238" i="1"/>
  <c r="AJ239" i="1"/>
  <c r="AJ234" i="1"/>
  <c r="AJ235" i="1"/>
  <c r="AJ240" i="1"/>
  <c r="AJ241" i="1"/>
  <c r="AJ242" i="1"/>
  <c r="AJ243" i="1"/>
  <c r="AJ244" i="1"/>
  <c r="AJ245" i="1"/>
  <c r="AJ246" i="1"/>
  <c r="AJ247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3" i="1"/>
  <c r="AJ361" i="1"/>
  <c r="AJ362" i="1"/>
  <c r="AJ364" i="1"/>
  <c r="AJ366" i="1"/>
  <c r="AJ365" i="1"/>
  <c r="AJ368" i="1"/>
  <c r="AJ367" i="1"/>
  <c r="AJ369" i="1"/>
  <c r="AJ370" i="1"/>
  <c r="AJ371" i="1"/>
  <c r="AJ372" i="1"/>
  <c r="AJ373" i="1"/>
  <c r="AJ374" i="1"/>
  <c r="AJ375" i="1"/>
  <c r="AJ376" i="1"/>
  <c r="AJ377" i="1"/>
  <c r="AJ378" i="1"/>
  <c r="AJ379" i="1"/>
  <c r="AJ381" i="1"/>
  <c r="AJ380" i="1"/>
  <c r="AJ383" i="1"/>
  <c r="AJ382" i="1"/>
  <c r="AJ384" i="1"/>
  <c r="AJ385" i="1"/>
  <c r="AJ386" i="1"/>
  <c r="AJ387" i="1"/>
  <c r="AJ388" i="1"/>
  <c r="AJ389" i="1"/>
  <c r="AJ390" i="1"/>
  <c r="AJ391" i="1"/>
  <c r="AJ392" i="1"/>
  <c r="AJ394" i="1"/>
  <c r="AJ395" i="1"/>
  <c r="AJ396" i="1"/>
  <c r="AJ397" i="1"/>
  <c r="AJ398" i="1"/>
  <c r="AJ399" i="1"/>
  <c r="AJ400" i="1"/>
  <c r="AJ403" i="1"/>
  <c r="AJ401" i="1"/>
  <c r="AJ406" i="1"/>
  <c r="AJ402" i="1"/>
  <c r="AJ404" i="1"/>
  <c r="AJ407" i="1"/>
  <c r="AJ405" i="1"/>
  <c r="AJ409" i="1"/>
  <c r="AJ408" i="1"/>
  <c r="AJ410" i="1"/>
  <c r="AJ411" i="1"/>
  <c r="AJ412" i="1"/>
  <c r="AJ413" i="1"/>
  <c r="AJ414" i="1"/>
  <c r="AJ415" i="1"/>
  <c r="AJ419" i="1"/>
  <c r="AJ426" i="1"/>
  <c r="AJ420" i="1"/>
  <c r="AJ423" i="1"/>
  <c r="AJ417" i="1"/>
  <c r="AJ418" i="1"/>
  <c r="AJ424" i="1"/>
  <c r="AJ425" i="1"/>
  <c r="AJ421" i="1"/>
  <c r="AJ422" i="1"/>
  <c r="AJ427" i="1"/>
  <c r="AJ429" i="1"/>
  <c r="AJ430" i="1"/>
  <c r="AJ428" i="1"/>
  <c r="AJ431" i="1"/>
  <c r="AJ433" i="1"/>
  <c r="AJ434" i="1"/>
  <c r="AJ432" i="1"/>
  <c r="AJ435" i="1"/>
  <c r="AJ436" i="1"/>
  <c r="AJ437" i="1"/>
  <c r="AJ438" i="1"/>
  <c r="AJ439" i="1"/>
  <c r="AJ440" i="1"/>
  <c r="AJ441" i="1"/>
  <c r="AJ443" i="1"/>
  <c r="AJ444" i="1"/>
  <c r="AJ442" i="1"/>
  <c r="AJ445" i="1"/>
  <c r="AJ447" i="1"/>
  <c r="AJ449" i="1"/>
  <c r="AJ446" i="1"/>
  <c r="AJ448" i="1"/>
  <c r="AJ450" i="1"/>
  <c r="AJ453" i="1"/>
  <c r="AJ452" i="1"/>
  <c r="AJ451" i="1"/>
  <c r="AJ455" i="1"/>
  <c r="AJ454" i="1"/>
  <c r="AJ456" i="1"/>
  <c r="AJ457" i="1"/>
  <c r="AJ459" i="1"/>
  <c r="AJ458" i="1"/>
  <c r="AJ460" i="1"/>
  <c r="AJ461" i="1"/>
  <c r="AJ462" i="1"/>
  <c r="AJ463" i="1"/>
  <c r="AJ464" i="1"/>
  <c r="AJ465" i="1"/>
  <c r="AJ466" i="1"/>
  <c r="AJ467" i="1"/>
  <c r="AJ468" i="1"/>
  <c r="AJ470" i="1"/>
  <c r="AJ469" i="1"/>
  <c r="AJ471" i="1"/>
  <c r="AJ472" i="1"/>
  <c r="AJ474" i="1"/>
  <c r="AJ473" i="1"/>
  <c r="AJ475" i="1"/>
  <c r="AJ476" i="1"/>
  <c r="AJ477" i="1"/>
  <c r="AJ478" i="1"/>
  <c r="AJ479" i="1"/>
  <c r="AJ480" i="1"/>
  <c r="AJ481" i="1"/>
  <c r="AJ484" i="1"/>
  <c r="AJ483" i="1"/>
  <c r="AJ482" i="1"/>
  <c r="AJ485" i="1"/>
  <c r="AJ488" i="1"/>
  <c r="AJ487" i="1"/>
  <c r="AJ486" i="1"/>
  <c r="AJ489" i="1"/>
  <c r="AJ490" i="1"/>
  <c r="AJ491" i="1"/>
  <c r="AJ492" i="1"/>
  <c r="AJ493" i="1"/>
  <c r="AJ494" i="1"/>
  <c r="AJ495" i="1"/>
  <c r="AJ500" i="1"/>
  <c r="AJ501" i="1"/>
  <c r="AJ502" i="1"/>
  <c r="AJ505" i="1"/>
  <c r="AJ506" i="1"/>
  <c r="AJ507" i="1"/>
  <c r="AJ508" i="1"/>
  <c r="AJ513" i="1"/>
  <c r="AJ510" i="1"/>
  <c r="AJ512" i="1"/>
  <c r="AJ509" i="1"/>
  <c r="AJ514" i="1"/>
  <c r="AJ515" i="1"/>
  <c r="AJ519" i="1"/>
  <c r="AJ517" i="1"/>
  <c r="AJ518" i="1"/>
  <c r="AJ516" i="1"/>
  <c r="AJ520" i="1"/>
  <c r="AJ521" i="1"/>
  <c r="AJ522" i="1"/>
  <c r="AJ523" i="1"/>
  <c r="AJ524" i="1"/>
  <c r="AJ527" i="1"/>
  <c r="AJ528" i="1"/>
  <c r="AJ525" i="1"/>
  <c r="AJ529" i="1"/>
  <c r="AJ530" i="1"/>
  <c r="AJ531" i="1"/>
  <c r="AJ533" i="1"/>
  <c r="AJ534" i="1"/>
  <c r="AJ532" i="1"/>
  <c r="AJ535" i="1"/>
  <c r="AJ536" i="1"/>
  <c r="AJ537" i="1"/>
  <c r="AJ538" i="1"/>
  <c r="AJ539" i="1"/>
  <c r="AJ540" i="1"/>
  <c r="AJ541" i="1"/>
  <c r="AJ542" i="1"/>
  <c r="AJ543" i="1"/>
  <c r="AJ544" i="1"/>
  <c r="AJ545" i="1"/>
  <c r="AJ547" i="1"/>
  <c r="AJ546" i="1"/>
  <c r="AJ548" i="1"/>
  <c r="AJ549" i="1"/>
  <c r="AJ550" i="1"/>
  <c r="AJ551" i="1"/>
  <c r="AJ552" i="1"/>
  <c r="AJ554" i="1"/>
  <c r="AJ553" i="1"/>
  <c r="AJ555" i="1"/>
  <c r="AJ556" i="1"/>
  <c r="AJ558" i="1"/>
  <c r="AJ573" i="1"/>
  <c r="AJ564" i="1"/>
  <c r="AJ565" i="1"/>
  <c r="AJ559" i="1"/>
  <c r="AJ560" i="1"/>
  <c r="AJ561" i="1"/>
  <c r="AJ571" i="1"/>
  <c r="AJ562" i="1"/>
  <c r="AJ563" i="1"/>
  <c r="AJ572" i="1"/>
  <c r="AJ568" i="1"/>
  <c r="AJ566" i="1"/>
  <c r="AJ567" i="1"/>
  <c r="AJ586" i="1"/>
  <c r="AJ574" i="1"/>
  <c r="AJ569" i="1"/>
  <c r="AJ580" i="1"/>
  <c r="AJ588" i="1"/>
  <c r="AJ570" i="1"/>
  <c r="AJ579" i="1"/>
  <c r="AJ575" i="1"/>
  <c r="AJ578" i="1"/>
  <c r="AJ576" i="1"/>
  <c r="AJ577" i="1"/>
  <c r="AJ589" i="1"/>
  <c r="AJ587" i="1"/>
  <c r="AJ582" i="1"/>
  <c r="AJ581" i="1"/>
  <c r="AJ583" i="1"/>
  <c r="AJ584" i="1"/>
  <c r="AJ585" i="1"/>
  <c r="AJ590" i="1"/>
  <c r="AJ592" i="1"/>
  <c r="AJ593" i="1"/>
  <c r="AJ591" i="1"/>
  <c r="AJ594" i="1"/>
  <c r="AJ596" i="1"/>
  <c r="AJ597" i="1"/>
  <c r="AJ598" i="1"/>
  <c r="AJ595" i="1"/>
  <c r="AJ601" i="1"/>
  <c r="AJ599" i="1"/>
  <c r="AJ600" i="1"/>
  <c r="AJ604" i="1"/>
  <c r="AJ605" i="1"/>
  <c r="AJ603" i="1"/>
  <c r="AJ602" i="1"/>
  <c r="AJ608" i="1"/>
  <c r="AJ606" i="1"/>
  <c r="AJ607" i="1"/>
  <c r="AJ610" i="1"/>
  <c r="AJ611" i="1"/>
  <c r="AJ609" i="1"/>
  <c r="AJ612" i="1"/>
  <c r="AJ613" i="1"/>
  <c r="AJ614" i="1"/>
  <c r="AJ616" i="1"/>
  <c r="AJ617" i="1"/>
  <c r="AJ615" i="1"/>
  <c r="AJ618" i="1"/>
  <c r="AJ619" i="1"/>
  <c r="AJ620" i="1"/>
  <c r="AJ621" i="1"/>
  <c r="AJ623" i="1"/>
  <c r="AJ624" i="1"/>
  <c r="AJ622" i="1"/>
  <c r="AJ625" i="1"/>
  <c r="AJ626" i="1"/>
  <c r="AJ627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6" i="1"/>
  <c r="AJ645" i="1"/>
  <c r="AJ647" i="1"/>
  <c r="AJ648" i="1"/>
  <c r="AJ649" i="1"/>
  <c r="AJ650" i="1"/>
  <c r="AJ651" i="1"/>
  <c r="AJ653" i="1"/>
  <c r="AJ652" i="1"/>
  <c r="AJ654" i="1"/>
  <c r="AJ655" i="1"/>
  <c r="AJ658" i="1"/>
  <c r="AJ659" i="1"/>
  <c r="AJ657" i="1"/>
  <c r="AJ660" i="1"/>
  <c r="AJ656" i="1"/>
  <c r="AJ661" i="1"/>
  <c r="AJ662" i="1"/>
  <c r="AJ665" i="1"/>
  <c r="AJ664" i="1"/>
  <c r="AJ666" i="1"/>
  <c r="AJ667" i="1"/>
  <c r="AJ663" i="1"/>
  <c r="AJ668" i="1"/>
  <c r="AJ669" i="1"/>
  <c r="AJ670" i="1"/>
  <c r="AJ673" i="1"/>
  <c r="AJ672" i="1"/>
  <c r="AJ671" i="1"/>
  <c r="AJ674" i="1"/>
  <c r="AJ675" i="1"/>
  <c r="AJ676" i="1"/>
  <c r="AJ677" i="1"/>
  <c r="AJ680" i="1"/>
  <c r="AJ678" i="1"/>
  <c r="AJ679" i="1"/>
  <c r="AJ681" i="1"/>
  <c r="AJ682" i="1"/>
  <c r="AJ683" i="1"/>
  <c r="AJ684" i="1"/>
  <c r="AJ685" i="1"/>
  <c r="AJ686" i="1"/>
  <c r="AJ687" i="1"/>
  <c r="AJ688" i="1"/>
  <c r="AJ689" i="1"/>
  <c r="AJ691" i="1"/>
  <c r="AJ692" i="1"/>
  <c r="AJ690" i="1"/>
  <c r="AJ693" i="1"/>
  <c r="AJ694" i="1"/>
  <c r="AJ695" i="1"/>
  <c r="AJ696" i="1"/>
  <c r="AJ698" i="1"/>
  <c r="AJ697" i="1"/>
  <c r="AJ700" i="1"/>
  <c r="AJ701" i="1"/>
  <c r="AJ702" i="1"/>
  <c r="AJ703" i="1"/>
  <c r="AJ699" i="1"/>
  <c r="AJ704" i="1"/>
  <c r="AJ706" i="1"/>
  <c r="AJ708" i="1"/>
  <c r="AJ707" i="1"/>
  <c r="AJ709" i="1"/>
  <c r="AJ710" i="1"/>
  <c r="AJ705" i="1"/>
  <c r="AJ711" i="1"/>
  <c r="AJ712" i="1"/>
  <c r="AJ714" i="1"/>
  <c r="AJ713" i="1"/>
  <c r="AJ718" i="1"/>
  <c r="AJ715" i="1"/>
  <c r="AJ717" i="1"/>
  <c r="AJ719" i="1"/>
  <c r="AJ720" i="1"/>
  <c r="AJ721" i="1"/>
  <c r="AJ722" i="1"/>
  <c r="AJ725" i="1"/>
  <c r="AJ723" i="1"/>
  <c r="AJ724" i="1"/>
  <c r="AJ726" i="1"/>
  <c r="AJ727" i="1"/>
  <c r="AJ729" i="1"/>
  <c r="AJ728" i="1"/>
  <c r="AJ730" i="1"/>
  <c r="AJ731" i="1"/>
  <c r="AJ732" i="1"/>
  <c r="AJ733" i="1"/>
  <c r="AJ734" i="1"/>
  <c r="AJ736" i="1"/>
  <c r="AJ735" i="1"/>
  <c r="AJ737" i="1"/>
  <c r="AJ738" i="1"/>
  <c r="AJ739" i="1"/>
  <c r="AJ740" i="1"/>
  <c r="AJ741" i="1"/>
  <c r="AJ742" i="1"/>
  <c r="AJ743" i="1"/>
  <c r="AJ744" i="1"/>
  <c r="AJ745" i="1"/>
  <c r="AJ747" i="1"/>
  <c r="AJ746" i="1"/>
  <c r="AJ749" i="1"/>
  <c r="AJ750" i="1"/>
  <c r="AJ751" i="1"/>
  <c r="AJ752" i="1"/>
  <c r="AJ753" i="1"/>
  <c r="AJ755" i="1"/>
  <c r="AJ754" i="1"/>
  <c r="AJ756" i="1"/>
  <c r="AJ757" i="1"/>
  <c r="AJ758" i="1"/>
  <c r="AJ759" i="1"/>
  <c r="AJ760" i="1"/>
  <c r="AJ761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8" i="1"/>
  <c r="AJ777" i="1"/>
  <c r="AJ779" i="1"/>
  <c r="AJ780" i="1"/>
  <c r="AJ781" i="1"/>
  <c r="AJ782" i="1"/>
  <c r="AJ783" i="1"/>
  <c r="AJ784" i="1"/>
  <c r="AJ786" i="1"/>
  <c r="AJ785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5" i="1"/>
  <c r="AJ804" i="1"/>
  <c r="AJ806" i="1"/>
  <c r="AJ807" i="1"/>
  <c r="AJ808" i="1"/>
  <c r="AJ809" i="1"/>
  <c r="AJ810" i="1"/>
  <c r="AJ811" i="1"/>
  <c r="AJ812" i="1"/>
  <c r="AJ814" i="1"/>
  <c r="AJ813" i="1"/>
  <c r="AJ815" i="1"/>
  <c r="AJ816" i="1"/>
  <c r="AJ817" i="1"/>
  <c r="AJ818" i="1"/>
  <c r="AJ819" i="1"/>
  <c r="AJ820" i="1"/>
  <c r="AJ822" i="1"/>
  <c r="AJ821" i="1"/>
  <c r="AJ824" i="1"/>
  <c r="AJ823" i="1"/>
  <c r="AJ825" i="1"/>
  <c r="AJ828" i="1"/>
  <c r="AJ827" i="1"/>
  <c r="AJ829" i="1"/>
  <c r="AJ830" i="1"/>
  <c r="AJ831" i="1"/>
  <c r="AJ832" i="1"/>
  <c r="AJ834" i="1"/>
  <c r="AJ835" i="1"/>
  <c r="AJ833" i="1"/>
  <c r="AJ836" i="1"/>
  <c r="AJ838" i="1"/>
  <c r="AJ837" i="1"/>
  <c r="AJ839" i="1"/>
  <c r="AJ840" i="1"/>
  <c r="AJ842" i="1"/>
  <c r="AJ841" i="1"/>
  <c r="AJ843" i="1"/>
  <c r="AJ844" i="1"/>
  <c r="AJ845" i="1"/>
  <c r="AJ846" i="1"/>
  <c r="AJ847" i="1"/>
  <c r="AJ848" i="1"/>
  <c r="AJ849" i="1"/>
  <c r="AJ850" i="1"/>
  <c r="AJ852" i="1"/>
  <c r="AJ851" i="1"/>
  <c r="AJ853" i="1"/>
  <c r="AJ854" i="1"/>
  <c r="AJ855" i="1"/>
  <c r="AJ856" i="1"/>
  <c r="AJ857" i="1"/>
  <c r="AJ858" i="1"/>
  <c r="AJ859" i="1"/>
  <c r="AJ860" i="1"/>
  <c r="AJ861" i="1"/>
  <c r="AJ862" i="1"/>
  <c r="AJ864" i="1"/>
  <c r="AJ863" i="1"/>
  <c r="AJ865" i="1"/>
  <c r="AJ866" i="1"/>
  <c r="AJ867" i="1"/>
  <c r="AJ868" i="1"/>
  <c r="AJ869" i="1"/>
  <c r="AJ870" i="1"/>
  <c r="AJ871" i="1"/>
  <c r="AJ874" i="1"/>
  <c r="AJ872" i="1"/>
  <c r="AJ873" i="1"/>
  <c r="AJ875" i="1"/>
  <c r="AJ876" i="1"/>
  <c r="AJ878" i="1"/>
  <c r="AJ879" i="1"/>
  <c r="AJ877" i="1"/>
  <c r="AJ880" i="1"/>
  <c r="AJ881" i="1"/>
  <c r="AJ883" i="1"/>
  <c r="AJ882" i="1"/>
  <c r="AJ884" i="1"/>
  <c r="AJ885" i="1"/>
  <c r="AJ886" i="1"/>
  <c r="AJ888" i="1"/>
  <c r="AJ889" i="1"/>
  <c r="AJ887" i="1"/>
  <c r="AJ891" i="1"/>
  <c r="AJ890" i="1"/>
  <c r="AJ892" i="1"/>
  <c r="AJ893" i="1"/>
  <c r="AJ894" i="1"/>
  <c r="AJ895" i="1"/>
  <c r="AJ896" i="1"/>
  <c r="AJ897" i="1"/>
  <c r="AJ898" i="1"/>
  <c r="AJ899" i="1"/>
  <c r="AJ901" i="1"/>
  <c r="AJ900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7" i="1"/>
  <c r="AJ914" i="1"/>
  <c r="AJ916" i="1"/>
  <c r="AJ918" i="1"/>
  <c r="AJ920" i="1"/>
  <c r="AJ919" i="1"/>
  <c r="AJ921" i="1"/>
  <c r="AJ922" i="1"/>
  <c r="AJ923" i="1"/>
  <c r="AJ924" i="1"/>
  <c r="AJ927" i="1"/>
  <c r="AJ925" i="1"/>
  <c r="AJ926" i="1"/>
  <c r="AJ928" i="1"/>
  <c r="AJ930" i="1"/>
  <c r="AJ929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9" i="1"/>
  <c r="AJ958" i="1"/>
  <c r="AJ963" i="1"/>
  <c r="AJ965" i="1"/>
  <c r="AJ964" i="1"/>
  <c r="AJ961" i="1"/>
  <c r="AJ966" i="1"/>
  <c r="AJ962" i="1"/>
  <c r="AJ960" i="1"/>
  <c r="AJ967" i="1"/>
  <c r="AJ969" i="1"/>
  <c r="AJ968" i="1"/>
  <c r="AJ973" i="1"/>
  <c r="AJ975" i="1"/>
  <c r="AJ974" i="1"/>
  <c r="AJ971" i="1"/>
  <c r="AJ976" i="1"/>
  <c r="AJ972" i="1"/>
  <c r="AJ970" i="1"/>
  <c r="AJ977" i="1"/>
  <c r="AJ980" i="1"/>
  <c r="AJ981" i="1"/>
  <c r="AJ982" i="1"/>
  <c r="AJ979" i="1"/>
  <c r="AJ978" i="1"/>
  <c r="AJ983" i="1"/>
  <c r="AJ984" i="1"/>
  <c r="AJ985" i="1"/>
  <c r="AJ986" i="1"/>
  <c r="AJ987" i="1"/>
  <c r="AJ990" i="1"/>
  <c r="AJ991" i="1"/>
  <c r="AJ992" i="1"/>
  <c r="AJ989" i="1"/>
  <c r="AJ988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7" i="1"/>
  <c r="AJ1028" i="1"/>
  <c r="AJ1026" i="1"/>
  <c r="AJ1029" i="1"/>
  <c r="AJ1030" i="1"/>
  <c r="AJ1031" i="1"/>
  <c r="AJ1032" i="1"/>
  <c r="AJ1033" i="1"/>
  <c r="AJ1034" i="1"/>
  <c r="AJ1035" i="1"/>
  <c r="AJ1040" i="1"/>
  <c r="AJ1037" i="1"/>
  <c r="AJ1038" i="1"/>
  <c r="AJ1039" i="1"/>
  <c r="AJ1036" i="1"/>
  <c r="AJ1041" i="1"/>
  <c r="AJ1042" i="1"/>
  <c r="AJ1043" i="1"/>
  <c r="AJ1044" i="1"/>
  <c r="AJ1045" i="1"/>
  <c r="AJ1050" i="1"/>
  <c r="AJ1046" i="1"/>
  <c r="AJ1047" i="1"/>
  <c r="AJ1049" i="1"/>
  <c r="AJ1048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8" i="1"/>
  <c r="AJ1077" i="1"/>
  <c r="AJ1079" i="1"/>
  <c r="AJ1080" i="1"/>
  <c r="AJ1081" i="1"/>
  <c r="AJ1082" i="1"/>
  <c r="AJ1083" i="1"/>
  <c r="AJ1084" i="1"/>
  <c r="AJ1086" i="1"/>
  <c r="AJ1085" i="1"/>
  <c r="AJ1088" i="1"/>
  <c r="AJ1087" i="1"/>
  <c r="AJ1089" i="1"/>
  <c r="AJ1090" i="1"/>
  <c r="AJ1091" i="1"/>
  <c r="AJ1092" i="1"/>
  <c r="AJ1093" i="1"/>
  <c r="AJ1094" i="1"/>
  <c r="AJ1096" i="1"/>
  <c r="AJ1097" i="1"/>
  <c r="AJ1095" i="1"/>
  <c r="AJ1098" i="1"/>
  <c r="AJ1099" i="1"/>
  <c r="AJ1100" i="1"/>
  <c r="AJ1101" i="1"/>
  <c r="AJ1102" i="1"/>
  <c r="AJ1103" i="1"/>
  <c r="AJ1104" i="1"/>
  <c r="AJ1105" i="1"/>
  <c r="AJ1107" i="1"/>
  <c r="AJ1106" i="1"/>
  <c r="AJ1108" i="1"/>
  <c r="AJ1109" i="1"/>
  <c r="AJ1111" i="1"/>
  <c r="AJ1112" i="1"/>
  <c r="AJ1110" i="1"/>
  <c r="AJ1113" i="1"/>
  <c r="AJ1115" i="1"/>
  <c r="AJ1114" i="1"/>
  <c r="AJ1116" i="1"/>
  <c r="AJ1117" i="1"/>
  <c r="AJ1118" i="1"/>
  <c r="AJ1119" i="1"/>
  <c r="AJ1121" i="1"/>
  <c r="AJ1122" i="1"/>
  <c r="AJ1120" i="1"/>
  <c r="AJ1123" i="1"/>
  <c r="AJ1125" i="1"/>
  <c r="AJ1124" i="1"/>
  <c r="AJ1126" i="1"/>
  <c r="AJ1127" i="1"/>
  <c r="AJ1128" i="1"/>
  <c r="AJ1129" i="1"/>
  <c r="AJ1130" i="1"/>
  <c r="AJ1132" i="1"/>
  <c r="AJ1133" i="1"/>
  <c r="AJ1131" i="1"/>
  <c r="AJ1134" i="1"/>
  <c r="AK8" i="1"/>
  <c r="AK9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6" i="1"/>
  <c r="AK25" i="1"/>
  <c r="AK28" i="1"/>
  <c r="AK27" i="1"/>
  <c r="AK30" i="1"/>
  <c r="AK29" i="1"/>
  <c r="AK32" i="1"/>
  <c r="AK31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7" i="1"/>
  <c r="AK58" i="1"/>
  <c r="AK56" i="1"/>
  <c r="AK59" i="1"/>
  <c r="AK60" i="1"/>
  <c r="AK61" i="1"/>
  <c r="AK62" i="1"/>
  <c r="AK64" i="1"/>
  <c r="AK65" i="1"/>
  <c r="AK63" i="1"/>
  <c r="AK66" i="1"/>
  <c r="AK67" i="1"/>
  <c r="AK68" i="1"/>
  <c r="AK69" i="1"/>
  <c r="AK70" i="1"/>
  <c r="AK71" i="1"/>
  <c r="AK74" i="1"/>
  <c r="AK75" i="1"/>
  <c r="AK77" i="1"/>
  <c r="AK76" i="1"/>
  <c r="AK73" i="1"/>
  <c r="AK72" i="1"/>
  <c r="AK78" i="1"/>
  <c r="AK79" i="1"/>
  <c r="AK80" i="1"/>
  <c r="AK81" i="1"/>
  <c r="AK85" i="1"/>
  <c r="AK84" i="1"/>
  <c r="AK87" i="1"/>
  <c r="AK86" i="1"/>
  <c r="AK82" i="1"/>
  <c r="AK83" i="1"/>
  <c r="AK88" i="1"/>
  <c r="AK89" i="1"/>
  <c r="AK90" i="1"/>
  <c r="AK91" i="1"/>
  <c r="AK92" i="1"/>
  <c r="AK93" i="1"/>
  <c r="AK95" i="1"/>
  <c r="AK96" i="1"/>
  <c r="AK94" i="1"/>
  <c r="AK97" i="1"/>
  <c r="AK99" i="1"/>
  <c r="AK100" i="1"/>
  <c r="AK98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6" i="1"/>
  <c r="AK115" i="1"/>
  <c r="AK119" i="1"/>
  <c r="AK118" i="1"/>
  <c r="AK117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9" i="1"/>
  <c r="AK170" i="1"/>
  <c r="AK168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9" i="1"/>
  <c r="AK200" i="1"/>
  <c r="AK198" i="1"/>
  <c r="AK201" i="1"/>
  <c r="AK202" i="1"/>
  <c r="AK203" i="1"/>
  <c r="AK204" i="1"/>
  <c r="AK205" i="1"/>
  <c r="AK206" i="1"/>
  <c r="AK207" i="1"/>
  <c r="AK210" i="1"/>
  <c r="AK208" i="1"/>
  <c r="AK212" i="1"/>
  <c r="AK209" i="1"/>
  <c r="AK211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6" i="1"/>
  <c r="AK237" i="1"/>
  <c r="AK238" i="1"/>
  <c r="AK239" i="1"/>
  <c r="AK234" i="1"/>
  <c r="AK235" i="1"/>
  <c r="AK240" i="1"/>
  <c r="AK241" i="1"/>
  <c r="AK242" i="1"/>
  <c r="AK243" i="1"/>
  <c r="AK244" i="1"/>
  <c r="AK245" i="1"/>
  <c r="AK246" i="1"/>
  <c r="AK247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3" i="1"/>
  <c r="AK361" i="1"/>
  <c r="AK362" i="1"/>
  <c r="AK364" i="1"/>
  <c r="AK366" i="1"/>
  <c r="AK365" i="1"/>
  <c r="AK368" i="1"/>
  <c r="AK367" i="1"/>
  <c r="AK369" i="1"/>
  <c r="AK370" i="1"/>
  <c r="AK371" i="1"/>
  <c r="AK372" i="1"/>
  <c r="AK373" i="1"/>
  <c r="AK374" i="1"/>
  <c r="AK375" i="1"/>
  <c r="AK376" i="1"/>
  <c r="AK377" i="1"/>
  <c r="AK378" i="1"/>
  <c r="AK379" i="1"/>
  <c r="AK381" i="1"/>
  <c r="AK380" i="1"/>
  <c r="AK383" i="1"/>
  <c r="AK382" i="1"/>
  <c r="AK384" i="1"/>
  <c r="AK385" i="1"/>
  <c r="AK386" i="1"/>
  <c r="AK387" i="1"/>
  <c r="AK388" i="1"/>
  <c r="AK389" i="1"/>
  <c r="AK390" i="1"/>
  <c r="AK391" i="1"/>
  <c r="AK392" i="1"/>
  <c r="AK394" i="1"/>
  <c r="AK395" i="1"/>
  <c r="AK396" i="1"/>
  <c r="AK397" i="1"/>
  <c r="AK398" i="1"/>
  <c r="AK399" i="1"/>
  <c r="AK400" i="1"/>
  <c r="AK403" i="1"/>
  <c r="AK401" i="1"/>
  <c r="AK406" i="1"/>
  <c r="AK402" i="1"/>
  <c r="AK404" i="1"/>
  <c r="AK407" i="1"/>
  <c r="AK405" i="1"/>
  <c r="AK409" i="1"/>
  <c r="AK408" i="1"/>
  <c r="AK410" i="1"/>
  <c r="AK411" i="1"/>
  <c r="AK412" i="1"/>
  <c r="AK413" i="1"/>
  <c r="AK414" i="1"/>
  <c r="AK415" i="1"/>
  <c r="AK419" i="1"/>
  <c r="AK426" i="1"/>
  <c r="AK420" i="1"/>
  <c r="AK423" i="1"/>
  <c r="AK417" i="1"/>
  <c r="AK418" i="1"/>
  <c r="AK424" i="1"/>
  <c r="AK425" i="1"/>
  <c r="AK421" i="1"/>
  <c r="AK422" i="1"/>
  <c r="AK427" i="1"/>
  <c r="AK429" i="1"/>
  <c r="AK430" i="1"/>
  <c r="AK428" i="1"/>
  <c r="AK431" i="1"/>
  <c r="AK433" i="1"/>
  <c r="AK434" i="1"/>
  <c r="AK432" i="1"/>
  <c r="AK435" i="1"/>
  <c r="AK436" i="1"/>
  <c r="AK437" i="1"/>
  <c r="AK438" i="1"/>
  <c r="AK439" i="1"/>
  <c r="AK440" i="1"/>
  <c r="AK441" i="1"/>
  <c r="AK443" i="1"/>
  <c r="AK444" i="1"/>
  <c r="AK442" i="1"/>
  <c r="AK445" i="1"/>
  <c r="AK447" i="1"/>
  <c r="AK449" i="1"/>
  <c r="AK446" i="1"/>
  <c r="AK448" i="1"/>
  <c r="AK450" i="1"/>
  <c r="AK453" i="1"/>
  <c r="AK452" i="1"/>
  <c r="AK451" i="1"/>
  <c r="AK455" i="1"/>
  <c r="AK454" i="1"/>
  <c r="AK456" i="1"/>
  <c r="AK457" i="1"/>
  <c r="AK459" i="1"/>
  <c r="AK458" i="1"/>
  <c r="AK460" i="1"/>
  <c r="AK461" i="1"/>
  <c r="AK462" i="1"/>
  <c r="AK463" i="1"/>
  <c r="AK464" i="1"/>
  <c r="AK465" i="1"/>
  <c r="AK466" i="1"/>
  <c r="AK467" i="1"/>
  <c r="AK468" i="1"/>
  <c r="AK470" i="1"/>
  <c r="AK469" i="1"/>
  <c r="AK471" i="1"/>
  <c r="AK472" i="1"/>
  <c r="AK474" i="1"/>
  <c r="AK473" i="1"/>
  <c r="AK475" i="1"/>
  <c r="AK476" i="1"/>
  <c r="AK477" i="1"/>
  <c r="AK478" i="1"/>
  <c r="AK479" i="1"/>
  <c r="AK480" i="1"/>
  <c r="AK481" i="1"/>
  <c r="AK484" i="1"/>
  <c r="AK483" i="1"/>
  <c r="AK482" i="1"/>
  <c r="AK485" i="1"/>
  <c r="AK488" i="1"/>
  <c r="AK487" i="1"/>
  <c r="AK486" i="1"/>
  <c r="AK489" i="1"/>
  <c r="AK490" i="1"/>
  <c r="AK491" i="1"/>
  <c r="AK492" i="1"/>
  <c r="AK493" i="1"/>
  <c r="AK494" i="1"/>
  <c r="AK495" i="1"/>
  <c r="AK500" i="1"/>
  <c r="AK501" i="1"/>
  <c r="AK502" i="1"/>
  <c r="AK505" i="1"/>
  <c r="AK506" i="1"/>
  <c r="AK507" i="1"/>
  <c r="AK508" i="1"/>
  <c r="AK513" i="1"/>
  <c r="AK510" i="1"/>
  <c r="AK512" i="1"/>
  <c r="AK509" i="1"/>
  <c r="AK514" i="1"/>
  <c r="AK515" i="1"/>
  <c r="AK519" i="1"/>
  <c r="AK517" i="1"/>
  <c r="AK518" i="1"/>
  <c r="AK516" i="1"/>
  <c r="AK520" i="1"/>
  <c r="AK521" i="1"/>
  <c r="AK522" i="1"/>
  <c r="AK523" i="1"/>
  <c r="AK524" i="1"/>
  <c r="AK527" i="1"/>
  <c r="AK528" i="1"/>
  <c r="AK525" i="1"/>
  <c r="AK529" i="1"/>
  <c r="AK530" i="1"/>
  <c r="AK531" i="1"/>
  <c r="AK533" i="1"/>
  <c r="AK534" i="1"/>
  <c r="AK532" i="1"/>
  <c r="AK535" i="1"/>
  <c r="AK536" i="1"/>
  <c r="AK537" i="1"/>
  <c r="AK538" i="1"/>
  <c r="AK539" i="1"/>
  <c r="AK540" i="1"/>
  <c r="AK541" i="1"/>
  <c r="AK542" i="1"/>
  <c r="AK543" i="1"/>
  <c r="AK544" i="1"/>
  <c r="AK545" i="1"/>
  <c r="AK547" i="1"/>
  <c r="AK546" i="1"/>
  <c r="AK548" i="1"/>
  <c r="AK549" i="1"/>
  <c r="AK550" i="1"/>
  <c r="AK551" i="1"/>
  <c r="AK552" i="1"/>
  <c r="AK554" i="1"/>
  <c r="AK553" i="1"/>
  <c r="AK555" i="1"/>
  <c r="AK556" i="1"/>
  <c r="AK558" i="1"/>
  <c r="AK573" i="1"/>
  <c r="AK564" i="1"/>
  <c r="AK565" i="1"/>
  <c r="AK559" i="1"/>
  <c r="AK560" i="1"/>
  <c r="AK561" i="1"/>
  <c r="AK571" i="1"/>
  <c r="AK562" i="1"/>
  <c r="AK563" i="1"/>
  <c r="AK572" i="1"/>
  <c r="AK568" i="1"/>
  <c r="AK566" i="1"/>
  <c r="AK567" i="1"/>
  <c r="AK586" i="1"/>
  <c r="AK574" i="1"/>
  <c r="AK569" i="1"/>
  <c r="AK580" i="1"/>
  <c r="AK588" i="1"/>
  <c r="AK570" i="1"/>
  <c r="AK579" i="1"/>
  <c r="AK575" i="1"/>
  <c r="AK578" i="1"/>
  <c r="AK576" i="1"/>
  <c r="AK577" i="1"/>
  <c r="AK589" i="1"/>
  <c r="AK587" i="1"/>
  <c r="AK582" i="1"/>
  <c r="AK581" i="1"/>
  <c r="AK583" i="1"/>
  <c r="AK584" i="1"/>
  <c r="AK585" i="1"/>
  <c r="AK590" i="1"/>
  <c r="AK592" i="1"/>
  <c r="AK593" i="1"/>
  <c r="AK591" i="1"/>
  <c r="AK594" i="1"/>
  <c r="AK596" i="1"/>
  <c r="AK597" i="1"/>
  <c r="AK598" i="1"/>
  <c r="AK595" i="1"/>
  <c r="AK601" i="1"/>
  <c r="AK599" i="1"/>
  <c r="AK600" i="1"/>
  <c r="AK604" i="1"/>
  <c r="AK605" i="1"/>
  <c r="AK603" i="1"/>
  <c r="AK602" i="1"/>
  <c r="AK608" i="1"/>
  <c r="AK606" i="1"/>
  <c r="AK607" i="1"/>
  <c r="AK610" i="1"/>
  <c r="AK611" i="1"/>
  <c r="AK609" i="1"/>
  <c r="AK612" i="1"/>
  <c r="AK613" i="1"/>
  <c r="AK614" i="1"/>
  <c r="AK616" i="1"/>
  <c r="AK617" i="1"/>
  <c r="AK615" i="1"/>
  <c r="AK618" i="1"/>
  <c r="AK619" i="1"/>
  <c r="AK620" i="1"/>
  <c r="AK621" i="1"/>
  <c r="AK623" i="1"/>
  <c r="AK624" i="1"/>
  <c r="AK622" i="1"/>
  <c r="AK625" i="1"/>
  <c r="AK626" i="1"/>
  <c r="AK627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6" i="1"/>
  <c r="AK645" i="1"/>
  <c r="AK647" i="1"/>
  <c r="AK648" i="1"/>
  <c r="AK649" i="1"/>
  <c r="AK650" i="1"/>
  <c r="AK651" i="1"/>
  <c r="AK653" i="1"/>
  <c r="AK652" i="1"/>
  <c r="AK654" i="1"/>
  <c r="AK655" i="1"/>
  <c r="AK658" i="1"/>
  <c r="AK659" i="1"/>
  <c r="AK657" i="1"/>
  <c r="AK660" i="1"/>
  <c r="AK656" i="1"/>
  <c r="AK661" i="1"/>
  <c r="AK662" i="1"/>
  <c r="AK665" i="1"/>
  <c r="AK664" i="1"/>
  <c r="AK666" i="1"/>
  <c r="AK667" i="1"/>
  <c r="AK663" i="1"/>
  <c r="AK668" i="1"/>
  <c r="AK669" i="1"/>
  <c r="AK670" i="1"/>
  <c r="AK673" i="1"/>
  <c r="AK672" i="1"/>
  <c r="AK671" i="1"/>
  <c r="AK674" i="1"/>
  <c r="AK675" i="1"/>
  <c r="AK676" i="1"/>
  <c r="AK677" i="1"/>
  <c r="AK680" i="1"/>
  <c r="AK678" i="1"/>
  <c r="AK679" i="1"/>
  <c r="AK681" i="1"/>
  <c r="AK682" i="1"/>
  <c r="AK683" i="1"/>
  <c r="AK684" i="1"/>
  <c r="AK685" i="1"/>
  <c r="AK686" i="1"/>
  <c r="AK687" i="1"/>
  <c r="AK688" i="1"/>
  <c r="AK689" i="1"/>
  <c r="AK691" i="1"/>
  <c r="AK692" i="1"/>
  <c r="AK690" i="1"/>
  <c r="AK693" i="1"/>
  <c r="AK694" i="1"/>
  <c r="AK695" i="1"/>
  <c r="AK696" i="1"/>
  <c r="AK698" i="1"/>
  <c r="AK697" i="1"/>
  <c r="AK700" i="1"/>
  <c r="AK701" i="1"/>
  <c r="AK702" i="1"/>
  <c r="AK703" i="1"/>
  <c r="AK699" i="1"/>
  <c r="AK704" i="1"/>
  <c r="AK706" i="1"/>
  <c r="AK708" i="1"/>
  <c r="AK707" i="1"/>
  <c r="AK709" i="1"/>
  <c r="AK710" i="1"/>
  <c r="AK705" i="1"/>
  <c r="AK711" i="1"/>
  <c r="AK712" i="1"/>
  <c r="AK714" i="1"/>
  <c r="AK713" i="1"/>
  <c r="AK718" i="1"/>
  <c r="AK715" i="1"/>
  <c r="AK717" i="1"/>
  <c r="AK719" i="1"/>
  <c r="AK720" i="1"/>
  <c r="AK721" i="1"/>
  <c r="AK722" i="1"/>
  <c r="AK725" i="1"/>
  <c r="AK723" i="1"/>
  <c r="AK724" i="1"/>
  <c r="AK726" i="1"/>
  <c r="AK727" i="1"/>
  <c r="AK729" i="1"/>
  <c r="AK728" i="1"/>
  <c r="AK730" i="1"/>
  <c r="AK731" i="1"/>
  <c r="AK732" i="1"/>
  <c r="AK733" i="1"/>
  <c r="AK734" i="1"/>
  <c r="AK736" i="1"/>
  <c r="AK735" i="1"/>
  <c r="AK737" i="1"/>
  <c r="AK738" i="1"/>
  <c r="AK739" i="1"/>
  <c r="AK740" i="1"/>
  <c r="AK741" i="1"/>
  <c r="AK742" i="1"/>
  <c r="AK743" i="1"/>
  <c r="AK744" i="1"/>
  <c r="AK745" i="1"/>
  <c r="AK747" i="1"/>
  <c r="AK746" i="1"/>
  <c r="AK749" i="1"/>
  <c r="AK750" i="1"/>
  <c r="AK751" i="1"/>
  <c r="AK752" i="1"/>
  <c r="AK753" i="1"/>
  <c r="AK755" i="1"/>
  <c r="AK754" i="1"/>
  <c r="AK756" i="1"/>
  <c r="AK757" i="1"/>
  <c r="AK758" i="1"/>
  <c r="AK759" i="1"/>
  <c r="AK760" i="1"/>
  <c r="AK761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8" i="1"/>
  <c r="AK777" i="1"/>
  <c r="AK779" i="1"/>
  <c r="AK780" i="1"/>
  <c r="AK781" i="1"/>
  <c r="AK782" i="1"/>
  <c r="AK783" i="1"/>
  <c r="AK784" i="1"/>
  <c r="AK786" i="1"/>
  <c r="AK785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5" i="1"/>
  <c r="AK804" i="1"/>
  <c r="AK806" i="1"/>
  <c r="AK807" i="1"/>
  <c r="AK808" i="1"/>
  <c r="AK809" i="1"/>
  <c r="AK810" i="1"/>
  <c r="AK811" i="1"/>
  <c r="AK812" i="1"/>
  <c r="AK814" i="1"/>
  <c r="AK813" i="1"/>
  <c r="AK815" i="1"/>
  <c r="AK816" i="1"/>
  <c r="AK817" i="1"/>
  <c r="AK818" i="1"/>
  <c r="AK819" i="1"/>
  <c r="AK820" i="1"/>
  <c r="AK822" i="1"/>
  <c r="AK821" i="1"/>
  <c r="AK824" i="1"/>
  <c r="AK823" i="1"/>
  <c r="AK825" i="1"/>
  <c r="AK828" i="1"/>
  <c r="AK827" i="1"/>
  <c r="AK829" i="1"/>
  <c r="AK830" i="1"/>
  <c r="AK831" i="1"/>
  <c r="AK832" i="1"/>
  <c r="AK834" i="1"/>
  <c r="AK835" i="1"/>
  <c r="AK833" i="1"/>
  <c r="AK836" i="1"/>
  <c r="AK838" i="1"/>
  <c r="AK837" i="1"/>
  <c r="AK839" i="1"/>
  <c r="AK840" i="1"/>
  <c r="AK842" i="1"/>
  <c r="AK841" i="1"/>
  <c r="AK843" i="1"/>
  <c r="AK844" i="1"/>
  <c r="AK845" i="1"/>
  <c r="AK846" i="1"/>
  <c r="AK847" i="1"/>
  <c r="AK848" i="1"/>
  <c r="AK849" i="1"/>
  <c r="AK850" i="1"/>
  <c r="AK852" i="1"/>
  <c r="AK851" i="1"/>
  <c r="AK853" i="1"/>
  <c r="AK854" i="1"/>
  <c r="AK855" i="1"/>
  <c r="AK856" i="1"/>
  <c r="AK857" i="1"/>
  <c r="AK858" i="1"/>
  <c r="AK859" i="1"/>
  <c r="AK860" i="1"/>
  <c r="AK861" i="1"/>
  <c r="AK862" i="1"/>
  <c r="AK864" i="1"/>
  <c r="AK863" i="1"/>
  <c r="AK865" i="1"/>
  <c r="AK866" i="1"/>
  <c r="AK867" i="1"/>
  <c r="AK868" i="1"/>
  <c r="AK869" i="1"/>
  <c r="AK870" i="1"/>
  <c r="AK871" i="1"/>
  <c r="AK874" i="1"/>
  <c r="AK872" i="1"/>
  <c r="AK873" i="1"/>
  <c r="AK875" i="1"/>
  <c r="AK876" i="1"/>
  <c r="AK878" i="1"/>
  <c r="AK879" i="1"/>
  <c r="AK877" i="1"/>
  <c r="AK880" i="1"/>
  <c r="AK881" i="1"/>
  <c r="AK883" i="1"/>
  <c r="AK882" i="1"/>
  <c r="AK884" i="1"/>
  <c r="AK885" i="1"/>
  <c r="AK886" i="1"/>
  <c r="AK888" i="1"/>
  <c r="AK889" i="1"/>
  <c r="AK887" i="1"/>
  <c r="AK891" i="1"/>
  <c r="AK890" i="1"/>
  <c r="AK892" i="1"/>
  <c r="AK893" i="1"/>
  <c r="AK894" i="1"/>
  <c r="AK895" i="1"/>
  <c r="AK896" i="1"/>
  <c r="AK897" i="1"/>
  <c r="AK898" i="1"/>
  <c r="AK899" i="1"/>
  <c r="AK901" i="1"/>
  <c r="AK900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7" i="1"/>
  <c r="AK914" i="1"/>
  <c r="AK916" i="1"/>
  <c r="AK918" i="1"/>
  <c r="AK920" i="1"/>
  <c r="AK919" i="1"/>
  <c r="AK921" i="1"/>
  <c r="AK922" i="1"/>
  <c r="AK923" i="1"/>
  <c r="AK924" i="1"/>
  <c r="AK927" i="1"/>
  <c r="AK925" i="1"/>
  <c r="AK926" i="1"/>
  <c r="AK928" i="1"/>
  <c r="AK930" i="1"/>
  <c r="AK929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9" i="1"/>
  <c r="AK958" i="1"/>
  <c r="AK963" i="1"/>
  <c r="AK965" i="1"/>
  <c r="AK964" i="1"/>
  <c r="AK961" i="1"/>
  <c r="AK966" i="1"/>
  <c r="AK962" i="1"/>
  <c r="AK960" i="1"/>
  <c r="AK967" i="1"/>
  <c r="AK969" i="1"/>
  <c r="AK968" i="1"/>
  <c r="AK973" i="1"/>
  <c r="AK975" i="1"/>
  <c r="AK974" i="1"/>
  <c r="AK971" i="1"/>
  <c r="AK976" i="1"/>
  <c r="AK972" i="1"/>
  <c r="AK970" i="1"/>
  <c r="AK977" i="1"/>
  <c r="AK980" i="1"/>
  <c r="AK981" i="1"/>
  <c r="AK982" i="1"/>
  <c r="AK979" i="1"/>
  <c r="AK978" i="1"/>
  <c r="AK983" i="1"/>
  <c r="AK984" i="1"/>
  <c r="AK985" i="1"/>
  <c r="AK986" i="1"/>
  <c r="AK987" i="1"/>
  <c r="AK990" i="1"/>
  <c r="AK991" i="1"/>
  <c r="AK992" i="1"/>
  <c r="AK989" i="1"/>
  <c r="AK988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7" i="1"/>
  <c r="AK1028" i="1"/>
  <c r="AK1026" i="1"/>
  <c r="AK1029" i="1"/>
  <c r="AK1030" i="1"/>
  <c r="AK1031" i="1"/>
  <c r="AK1032" i="1"/>
  <c r="AK1033" i="1"/>
  <c r="AK1034" i="1"/>
  <c r="AK1035" i="1"/>
  <c r="AK1040" i="1"/>
  <c r="AK1037" i="1"/>
  <c r="AK1038" i="1"/>
  <c r="AK1039" i="1"/>
  <c r="AK1036" i="1"/>
  <c r="AK1041" i="1"/>
  <c r="AK1042" i="1"/>
  <c r="AK1043" i="1"/>
  <c r="AK1044" i="1"/>
  <c r="AK1045" i="1"/>
  <c r="AK1050" i="1"/>
  <c r="AK1046" i="1"/>
  <c r="AK1047" i="1"/>
  <c r="AK1049" i="1"/>
  <c r="AK1048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8" i="1"/>
  <c r="AK1077" i="1"/>
  <c r="AK1079" i="1"/>
  <c r="AK1080" i="1"/>
  <c r="AK1081" i="1"/>
  <c r="AK1082" i="1"/>
  <c r="AK1083" i="1"/>
  <c r="AK1084" i="1"/>
  <c r="AK1086" i="1"/>
  <c r="AK1085" i="1"/>
  <c r="AK1088" i="1"/>
  <c r="AK1087" i="1"/>
  <c r="AK1089" i="1"/>
  <c r="AK1090" i="1"/>
  <c r="AK1091" i="1"/>
  <c r="AK1092" i="1"/>
  <c r="AK1093" i="1"/>
  <c r="AK1094" i="1"/>
  <c r="AK1096" i="1"/>
  <c r="AK1097" i="1"/>
  <c r="AK1095" i="1"/>
  <c r="AK1098" i="1"/>
  <c r="AK1099" i="1"/>
  <c r="AK1100" i="1"/>
  <c r="AK1101" i="1"/>
  <c r="AK1102" i="1"/>
  <c r="AK1103" i="1"/>
  <c r="AK1104" i="1"/>
  <c r="AK1105" i="1"/>
  <c r="AK1107" i="1"/>
  <c r="AK1106" i="1"/>
  <c r="AK1108" i="1"/>
  <c r="AK1109" i="1"/>
  <c r="AK1111" i="1"/>
  <c r="AK1112" i="1"/>
  <c r="AK1110" i="1"/>
  <c r="AK1113" i="1"/>
  <c r="AK1115" i="1"/>
  <c r="AK1114" i="1"/>
  <c r="AK1116" i="1"/>
  <c r="AK1117" i="1"/>
  <c r="AK1118" i="1"/>
  <c r="AK1119" i="1"/>
  <c r="AK1121" i="1"/>
  <c r="AK1122" i="1"/>
  <c r="AK1120" i="1"/>
  <c r="AK1123" i="1"/>
  <c r="AK1125" i="1"/>
  <c r="AK1124" i="1"/>
  <c r="AK1126" i="1"/>
  <c r="AK1127" i="1"/>
  <c r="AK1128" i="1"/>
  <c r="AK1129" i="1"/>
  <c r="AK1130" i="1"/>
  <c r="AK1132" i="1"/>
  <c r="AK1133" i="1"/>
  <c r="AK1131" i="1"/>
  <c r="AK1134" i="1"/>
  <c r="AL8" i="1"/>
  <c r="AL9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6" i="1"/>
  <c r="AL25" i="1"/>
  <c r="AL28" i="1"/>
  <c r="AL27" i="1"/>
  <c r="AL30" i="1"/>
  <c r="AL29" i="1"/>
  <c r="AL32" i="1"/>
  <c r="AL31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7" i="1"/>
  <c r="AL58" i="1"/>
  <c r="AL56" i="1"/>
  <c r="AL59" i="1"/>
  <c r="AL60" i="1"/>
  <c r="AL61" i="1"/>
  <c r="AL62" i="1"/>
  <c r="AL64" i="1"/>
  <c r="AL65" i="1"/>
  <c r="AL63" i="1"/>
  <c r="AL66" i="1"/>
  <c r="AL67" i="1"/>
  <c r="AL68" i="1"/>
  <c r="AL69" i="1"/>
  <c r="AL70" i="1"/>
  <c r="AL71" i="1"/>
  <c r="AL74" i="1"/>
  <c r="AL75" i="1"/>
  <c r="AL77" i="1"/>
  <c r="AL76" i="1"/>
  <c r="AL73" i="1"/>
  <c r="AL72" i="1"/>
  <c r="AL78" i="1"/>
  <c r="AL79" i="1"/>
  <c r="AL80" i="1"/>
  <c r="AL81" i="1"/>
  <c r="AL85" i="1"/>
  <c r="AL84" i="1"/>
  <c r="AL87" i="1"/>
  <c r="AL86" i="1"/>
  <c r="AL82" i="1"/>
  <c r="AL83" i="1"/>
  <c r="AL88" i="1"/>
  <c r="AL89" i="1"/>
  <c r="AL90" i="1"/>
  <c r="AL91" i="1"/>
  <c r="AL92" i="1"/>
  <c r="AL93" i="1"/>
  <c r="AL95" i="1"/>
  <c r="AL96" i="1"/>
  <c r="AL94" i="1"/>
  <c r="AL97" i="1"/>
  <c r="AL99" i="1"/>
  <c r="AL100" i="1"/>
  <c r="AL98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6" i="1"/>
  <c r="AL115" i="1"/>
  <c r="AL119" i="1"/>
  <c r="AL118" i="1"/>
  <c r="AL117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9" i="1"/>
  <c r="AL170" i="1"/>
  <c r="AL168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9" i="1"/>
  <c r="AL200" i="1"/>
  <c r="AL198" i="1"/>
  <c r="AL201" i="1"/>
  <c r="AL202" i="1"/>
  <c r="AL203" i="1"/>
  <c r="AL204" i="1"/>
  <c r="AL205" i="1"/>
  <c r="AL206" i="1"/>
  <c r="AL207" i="1"/>
  <c r="AL210" i="1"/>
  <c r="AL208" i="1"/>
  <c r="AL212" i="1"/>
  <c r="AL209" i="1"/>
  <c r="AL211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6" i="1"/>
  <c r="AL237" i="1"/>
  <c r="AL238" i="1"/>
  <c r="AL239" i="1"/>
  <c r="AL234" i="1"/>
  <c r="AL235" i="1"/>
  <c r="AL240" i="1"/>
  <c r="AL241" i="1"/>
  <c r="AL242" i="1"/>
  <c r="AL243" i="1"/>
  <c r="AL244" i="1"/>
  <c r="AL245" i="1"/>
  <c r="AL246" i="1"/>
  <c r="AL247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3" i="1"/>
  <c r="AL361" i="1"/>
  <c r="AL362" i="1"/>
  <c r="AL364" i="1"/>
  <c r="AL366" i="1"/>
  <c r="AL365" i="1"/>
  <c r="AL368" i="1"/>
  <c r="AL367" i="1"/>
  <c r="AL369" i="1"/>
  <c r="AL370" i="1"/>
  <c r="AL371" i="1"/>
  <c r="AL372" i="1"/>
  <c r="AL373" i="1"/>
  <c r="AL374" i="1"/>
  <c r="AL375" i="1"/>
  <c r="AL376" i="1"/>
  <c r="AL377" i="1"/>
  <c r="AL378" i="1"/>
  <c r="AL379" i="1"/>
  <c r="AL381" i="1"/>
  <c r="AL380" i="1"/>
  <c r="AL383" i="1"/>
  <c r="AL382" i="1"/>
  <c r="AL384" i="1"/>
  <c r="AL385" i="1"/>
  <c r="AL386" i="1"/>
  <c r="AL387" i="1"/>
  <c r="AL388" i="1"/>
  <c r="AL389" i="1"/>
  <c r="AL390" i="1"/>
  <c r="AL391" i="1"/>
  <c r="AL392" i="1"/>
  <c r="AL394" i="1"/>
  <c r="AL395" i="1"/>
  <c r="AL396" i="1"/>
  <c r="AL397" i="1"/>
  <c r="AL398" i="1"/>
  <c r="AL399" i="1"/>
  <c r="AL400" i="1"/>
  <c r="AL403" i="1"/>
  <c r="AL401" i="1"/>
  <c r="AL406" i="1"/>
  <c r="AL402" i="1"/>
  <c r="AL404" i="1"/>
  <c r="AL407" i="1"/>
  <c r="AL405" i="1"/>
  <c r="AL409" i="1"/>
  <c r="AL408" i="1"/>
  <c r="AL410" i="1"/>
  <c r="AL411" i="1"/>
  <c r="AL412" i="1"/>
  <c r="AL413" i="1"/>
  <c r="AL414" i="1"/>
  <c r="AL415" i="1"/>
  <c r="AL419" i="1"/>
  <c r="AL426" i="1"/>
  <c r="AL420" i="1"/>
  <c r="AL423" i="1"/>
  <c r="AL417" i="1"/>
  <c r="AL418" i="1"/>
  <c r="AL424" i="1"/>
  <c r="AL425" i="1"/>
  <c r="AL421" i="1"/>
  <c r="AL422" i="1"/>
  <c r="AL427" i="1"/>
  <c r="AL429" i="1"/>
  <c r="AL430" i="1"/>
  <c r="AL428" i="1"/>
  <c r="AL431" i="1"/>
  <c r="AL433" i="1"/>
  <c r="AL434" i="1"/>
  <c r="AL432" i="1"/>
  <c r="AL435" i="1"/>
  <c r="AL436" i="1"/>
  <c r="AL437" i="1"/>
  <c r="AL438" i="1"/>
  <c r="AL439" i="1"/>
  <c r="AL440" i="1"/>
  <c r="AL441" i="1"/>
  <c r="AL443" i="1"/>
  <c r="AL444" i="1"/>
  <c r="AL442" i="1"/>
  <c r="AL445" i="1"/>
  <c r="AL447" i="1"/>
  <c r="AL449" i="1"/>
  <c r="AL446" i="1"/>
  <c r="AL448" i="1"/>
  <c r="AL450" i="1"/>
  <c r="AL453" i="1"/>
  <c r="AL452" i="1"/>
  <c r="AL451" i="1"/>
  <c r="AL455" i="1"/>
  <c r="AL454" i="1"/>
  <c r="AL456" i="1"/>
  <c r="AL457" i="1"/>
  <c r="AL459" i="1"/>
  <c r="AL458" i="1"/>
  <c r="AL460" i="1"/>
  <c r="AL461" i="1"/>
  <c r="AL462" i="1"/>
  <c r="AL463" i="1"/>
  <c r="AL464" i="1"/>
  <c r="AL465" i="1"/>
  <c r="AL466" i="1"/>
  <c r="AL467" i="1"/>
  <c r="AL468" i="1"/>
  <c r="AL470" i="1"/>
  <c r="AL469" i="1"/>
  <c r="AL471" i="1"/>
  <c r="AL472" i="1"/>
  <c r="AL474" i="1"/>
  <c r="AL473" i="1"/>
  <c r="AL475" i="1"/>
  <c r="AL476" i="1"/>
  <c r="AL477" i="1"/>
  <c r="AL478" i="1"/>
  <c r="AL479" i="1"/>
  <c r="AL480" i="1"/>
  <c r="AL481" i="1"/>
  <c r="AL484" i="1"/>
  <c r="AL483" i="1"/>
  <c r="AL482" i="1"/>
  <c r="AL485" i="1"/>
  <c r="AL488" i="1"/>
  <c r="AL487" i="1"/>
  <c r="AL486" i="1"/>
  <c r="AL489" i="1"/>
  <c r="AL490" i="1"/>
  <c r="AL491" i="1"/>
  <c r="AL492" i="1"/>
  <c r="AL493" i="1"/>
  <c r="AL494" i="1"/>
  <c r="AL495" i="1"/>
  <c r="AL500" i="1"/>
  <c r="AL501" i="1"/>
  <c r="AL502" i="1"/>
  <c r="AL505" i="1"/>
  <c r="AL506" i="1"/>
  <c r="AL507" i="1"/>
  <c r="AL508" i="1"/>
  <c r="AL513" i="1"/>
  <c r="AL510" i="1"/>
  <c r="AL512" i="1"/>
  <c r="AL509" i="1"/>
  <c r="AL514" i="1"/>
  <c r="AL515" i="1"/>
  <c r="AL519" i="1"/>
  <c r="AL517" i="1"/>
  <c r="AL518" i="1"/>
  <c r="AL516" i="1"/>
  <c r="AL520" i="1"/>
  <c r="AL521" i="1"/>
  <c r="AL522" i="1"/>
  <c r="AL523" i="1"/>
  <c r="AL524" i="1"/>
  <c r="AL527" i="1"/>
  <c r="AL528" i="1"/>
  <c r="AL525" i="1"/>
  <c r="AL529" i="1"/>
  <c r="AL530" i="1"/>
  <c r="AL531" i="1"/>
  <c r="AL533" i="1"/>
  <c r="AL534" i="1"/>
  <c r="AL532" i="1"/>
  <c r="AL535" i="1"/>
  <c r="AL536" i="1"/>
  <c r="AL537" i="1"/>
  <c r="AL538" i="1"/>
  <c r="AL539" i="1"/>
  <c r="AL540" i="1"/>
  <c r="AL541" i="1"/>
  <c r="AL542" i="1"/>
  <c r="AL543" i="1"/>
  <c r="AL544" i="1"/>
  <c r="AL545" i="1"/>
  <c r="AL547" i="1"/>
  <c r="AL546" i="1"/>
  <c r="AL548" i="1"/>
  <c r="AL549" i="1"/>
  <c r="AL550" i="1"/>
  <c r="AL551" i="1"/>
  <c r="AL552" i="1"/>
  <c r="AL554" i="1"/>
  <c r="AL553" i="1"/>
  <c r="AL555" i="1"/>
  <c r="AL556" i="1"/>
  <c r="AL558" i="1"/>
  <c r="AL573" i="1"/>
  <c r="AL564" i="1"/>
  <c r="AL565" i="1"/>
  <c r="AL559" i="1"/>
  <c r="AL560" i="1"/>
  <c r="AL561" i="1"/>
  <c r="AL571" i="1"/>
  <c r="AL562" i="1"/>
  <c r="AL563" i="1"/>
  <c r="AL572" i="1"/>
  <c r="AL568" i="1"/>
  <c r="AL566" i="1"/>
  <c r="AL567" i="1"/>
  <c r="AL586" i="1"/>
  <c r="AL574" i="1"/>
  <c r="AL569" i="1"/>
  <c r="AL580" i="1"/>
  <c r="AL588" i="1"/>
  <c r="AL570" i="1"/>
  <c r="AL579" i="1"/>
  <c r="AL575" i="1"/>
  <c r="AL578" i="1"/>
  <c r="AL576" i="1"/>
  <c r="AL577" i="1"/>
  <c r="AL589" i="1"/>
  <c r="AL587" i="1"/>
  <c r="AL582" i="1"/>
  <c r="AL581" i="1"/>
  <c r="AL583" i="1"/>
  <c r="AL584" i="1"/>
  <c r="AL585" i="1"/>
  <c r="AL590" i="1"/>
  <c r="AL592" i="1"/>
  <c r="AL593" i="1"/>
  <c r="AL591" i="1"/>
  <c r="AL594" i="1"/>
  <c r="AL596" i="1"/>
  <c r="AL597" i="1"/>
  <c r="AL598" i="1"/>
  <c r="AL595" i="1"/>
  <c r="AL601" i="1"/>
  <c r="AL599" i="1"/>
  <c r="AL600" i="1"/>
  <c r="AL604" i="1"/>
  <c r="AL605" i="1"/>
  <c r="AL603" i="1"/>
  <c r="AL602" i="1"/>
  <c r="AL608" i="1"/>
  <c r="AL606" i="1"/>
  <c r="AL607" i="1"/>
  <c r="AL610" i="1"/>
  <c r="AL611" i="1"/>
  <c r="AL609" i="1"/>
  <c r="AL612" i="1"/>
  <c r="AL613" i="1"/>
  <c r="AL614" i="1"/>
  <c r="AL616" i="1"/>
  <c r="AL617" i="1"/>
  <c r="AL615" i="1"/>
  <c r="AL618" i="1"/>
  <c r="AL619" i="1"/>
  <c r="AL620" i="1"/>
  <c r="AL621" i="1"/>
  <c r="AL623" i="1"/>
  <c r="AL624" i="1"/>
  <c r="AL622" i="1"/>
  <c r="AL625" i="1"/>
  <c r="AL626" i="1"/>
  <c r="AL627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6" i="1"/>
  <c r="AL645" i="1"/>
  <c r="AL647" i="1"/>
  <c r="AL648" i="1"/>
  <c r="AL649" i="1"/>
  <c r="AL650" i="1"/>
  <c r="AL651" i="1"/>
  <c r="AL653" i="1"/>
  <c r="AL652" i="1"/>
  <c r="AL654" i="1"/>
  <c r="AL655" i="1"/>
  <c r="AL658" i="1"/>
  <c r="AL659" i="1"/>
  <c r="AL657" i="1"/>
  <c r="AL660" i="1"/>
  <c r="AL656" i="1"/>
  <c r="AL661" i="1"/>
  <c r="AL662" i="1"/>
  <c r="AL665" i="1"/>
  <c r="AL664" i="1"/>
  <c r="AL666" i="1"/>
  <c r="AL667" i="1"/>
  <c r="AL663" i="1"/>
  <c r="AL668" i="1"/>
  <c r="AL669" i="1"/>
  <c r="AL670" i="1"/>
  <c r="AL673" i="1"/>
  <c r="AL672" i="1"/>
  <c r="AL671" i="1"/>
  <c r="AL674" i="1"/>
  <c r="AL675" i="1"/>
  <c r="AL676" i="1"/>
  <c r="AL677" i="1"/>
  <c r="AL680" i="1"/>
  <c r="AL678" i="1"/>
  <c r="AL679" i="1"/>
  <c r="AL681" i="1"/>
  <c r="AL682" i="1"/>
  <c r="AL683" i="1"/>
  <c r="AL684" i="1"/>
  <c r="AL685" i="1"/>
  <c r="AL686" i="1"/>
  <c r="AL687" i="1"/>
  <c r="AL688" i="1"/>
  <c r="AL689" i="1"/>
  <c r="AL691" i="1"/>
  <c r="AL692" i="1"/>
  <c r="AL690" i="1"/>
  <c r="AL693" i="1"/>
  <c r="AL694" i="1"/>
  <c r="AL695" i="1"/>
  <c r="AL696" i="1"/>
  <c r="AL698" i="1"/>
  <c r="AL697" i="1"/>
  <c r="AL700" i="1"/>
  <c r="AL701" i="1"/>
  <c r="AL702" i="1"/>
  <c r="AL703" i="1"/>
  <c r="AL699" i="1"/>
  <c r="AL704" i="1"/>
  <c r="AL706" i="1"/>
  <c r="AL708" i="1"/>
  <c r="AL707" i="1"/>
  <c r="AL709" i="1"/>
  <c r="AL710" i="1"/>
  <c r="AL705" i="1"/>
  <c r="AL711" i="1"/>
  <c r="AL712" i="1"/>
  <c r="AL714" i="1"/>
  <c r="AL713" i="1"/>
  <c r="AL718" i="1"/>
  <c r="AL715" i="1"/>
  <c r="AL717" i="1"/>
  <c r="AL719" i="1"/>
  <c r="AL720" i="1"/>
  <c r="AL721" i="1"/>
  <c r="AL722" i="1"/>
  <c r="AL725" i="1"/>
  <c r="AL723" i="1"/>
  <c r="AL724" i="1"/>
  <c r="AL726" i="1"/>
  <c r="AL727" i="1"/>
  <c r="AL729" i="1"/>
  <c r="AL728" i="1"/>
  <c r="AL730" i="1"/>
  <c r="AL731" i="1"/>
  <c r="AL732" i="1"/>
  <c r="AL733" i="1"/>
  <c r="AL734" i="1"/>
  <c r="AL736" i="1"/>
  <c r="AL735" i="1"/>
  <c r="AL737" i="1"/>
  <c r="AL738" i="1"/>
  <c r="AL739" i="1"/>
  <c r="AL740" i="1"/>
  <c r="AL741" i="1"/>
  <c r="AL742" i="1"/>
  <c r="AL743" i="1"/>
  <c r="AL744" i="1"/>
  <c r="AL745" i="1"/>
  <c r="AL747" i="1"/>
  <c r="AL746" i="1"/>
  <c r="AL749" i="1"/>
  <c r="AL750" i="1"/>
  <c r="AL751" i="1"/>
  <c r="AL752" i="1"/>
  <c r="AL753" i="1"/>
  <c r="AL755" i="1"/>
  <c r="AL754" i="1"/>
  <c r="AL756" i="1"/>
  <c r="AL757" i="1"/>
  <c r="AL758" i="1"/>
  <c r="AL759" i="1"/>
  <c r="AL760" i="1"/>
  <c r="AL761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8" i="1"/>
  <c r="AL777" i="1"/>
  <c r="AL779" i="1"/>
  <c r="AL780" i="1"/>
  <c r="AL781" i="1"/>
  <c r="AL782" i="1"/>
  <c r="AL783" i="1"/>
  <c r="AL784" i="1"/>
  <c r="AL786" i="1"/>
  <c r="AL785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5" i="1"/>
  <c r="AL804" i="1"/>
  <c r="AL806" i="1"/>
  <c r="AL807" i="1"/>
  <c r="AL808" i="1"/>
  <c r="AL809" i="1"/>
  <c r="AL810" i="1"/>
  <c r="AL811" i="1"/>
  <c r="AL812" i="1"/>
  <c r="AL814" i="1"/>
  <c r="AL813" i="1"/>
  <c r="AL815" i="1"/>
  <c r="AL816" i="1"/>
  <c r="AL817" i="1"/>
  <c r="AL818" i="1"/>
  <c r="AL819" i="1"/>
  <c r="AL820" i="1"/>
  <c r="AL822" i="1"/>
  <c r="AL821" i="1"/>
  <c r="AL824" i="1"/>
  <c r="AL823" i="1"/>
  <c r="AL825" i="1"/>
  <c r="AL828" i="1"/>
  <c r="AL827" i="1"/>
  <c r="AL829" i="1"/>
  <c r="AL830" i="1"/>
  <c r="AL831" i="1"/>
  <c r="AL832" i="1"/>
  <c r="AL834" i="1"/>
  <c r="AL835" i="1"/>
  <c r="AL833" i="1"/>
  <c r="AL836" i="1"/>
  <c r="AL838" i="1"/>
  <c r="AL837" i="1"/>
  <c r="AL839" i="1"/>
  <c r="AL840" i="1"/>
  <c r="AL842" i="1"/>
  <c r="AL841" i="1"/>
  <c r="AL843" i="1"/>
  <c r="AL844" i="1"/>
  <c r="AL845" i="1"/>
  <c r="AL846" i="1"/>
  <c r="AL847" i="1"/>
  <c r="AL848" i="1"/>
  <c r="AL849" i="1"/>
  <c r="AL850" i="1"/>
  <c r="AL852" i="1"/>
  <c r="AL851" i="1"/>
  <c r="AL853" i="1"/>
  <c r="AL854" i="1"/>
  <c r="AL855" i="1"/>
  <c r="AL856" i="1"/>
  <c r="AL857" i="1"/>
  <c r="AL858" i="1"/>
  <c r="AL859" i="1"/>
  <c r="AL860" i="1"/>
  <c r="AL861" i="1"/>
  <c r="AL862" i="1"/>
  <c r="AL864" i="1"/>
  <c r="AL863" i="1"/>
  <c r="AL865" i="1"/>
  <c r="AL866" i="1"/>
  <c r="AL867" i="1"/>
  <c r="AL868" i="1"/>
  <c r="AL869" i="1"/>
  <c r="AL870" i="1"/>
  <c r="AL871" i="1"/>
  <c r="AL874" i="1"/>
  <c r="AL872" i="1"/>
  <c r="AL873" i="1"/>
  <c r="AL875" i="1"/>
  <c r="AL876" i="1"/>
  <c r="AL878" i="1"/>
  <c r="AL879" i="1"/>
  <c r="AL877" i="1"/>
  <c r="AL880" i="1"/>
  <c r="AL881" i="1"/>
  <c r="AL883" i="1"/>
  <c r="AL882" i="1"/>
  <c r="AL884" i="1"/>
  <c r="AL885" i="1"/>
  <c r="AL886" i="1"/>
  <c r="AL888" i="1"/>
  <c r="AL889" i="1"/>
  <c r="AL887" i="1"/>
  <c r="AL891" i="1"/>
  <c r="AL890" i="1"/>
  <c r="AL892" i="1"/>
  <c r="AL893" i="1"/>
  <c r="AL894" i="1"/>
  <c r="AL895" i="1"/>
  <c r="AL896" i="1"/>
  <c r="AL897" i="1"/>
  <c r="AL898" i="1"/>
  <c r="AL899" i="1"/>
  <c r="AL901" i="1"/>
  <c r="AL900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7" i="1"/>
  <c r="AL914" i="1"/>
  <c r="AL916" i="1"/>
  <c r="AL918" i="1"/>
  <c r="AL920" i="1"/>
  <c r="AL919" i="1"/>
  <c r="AL921" i="1"/>
  <c r="AL922" i="1"/>
  <c r="AL923" i="1"/>
  <c r="AL924" i="1"/>
  <c r="AL927" i="1"/>
  <c r="AL925" i="1"/>
  <c r="AL926" i="1"/>
  <c r="AL928" i="1"/>
  <c r="AL930" i="1"/>
  <c r="AL929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9" i="1"/>
  <c r="AL958" i="1"/>
  <c r="AL963" i="1"/>
  <c r="AL965" i="1"/>
  <c r="AL964" i="1"/>
  <c r="AL961" i="1"/>
  <c r="AL966" i="1"/>
  <c r="AL962" i="1"/>
  <c r="AL960" i="1"/>
  <c r="AL967" i="1"/>
  <c r="AL969" i="1"/>
  <c r="AL968" i="1"/>
  <c r="AL973" i="1"/>
  <c r="AL975" i="1"/>
  <c r="AL974" i="1"/>
  <c r="AL971" i="1"/>
  <c r="AL976" i="1"/>
  <c r="AL972" i="1"/>
  <c r="AL970" i="1"/>
  <c r="AL977" i="1"/>
  <c r="AL980" i="1"/>
  <c r="AL981" i="1"/>
  <c r="AL982" i="1"/>
  <c r="AL979" i="1"/>
  <c r="AL978" i="1"/>
  <c r="AL983" i="1"/>
  <c r="AL984" i="1"/>
  <c r="AL985" i="1"/>
  <c r="AL986" i="1"/>
  <c r="AL987" i="1"/>
  <c r="AL990" i="1"/>
  <c r="AL991" i="1"/>
  <c r="AL992" i="1"/>
  <c r="AL989" i="1"/>
  <c r="AL988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7" i="1"/>
  <c r="AL1028" i="1"/>
  <c r="AL1026" i="1"/>
  <c r="AL1029" i="1"/>
  <c r="AL1030" i="1"/>
  <c r="AL1031" i="1"/>
  <c r="AL1032" i="1"/>
  <c r="AL1033" i="1"/>
  <c r="AL1034" i="1"/>
  <c r="AL1035" i="1"/>
  <c r="AL1040" i="1"/>
  <c r="AL1037" i="1"/>
  <c r="AL1038" i="1"/>
  <c r="AL1039" i="1"/>
  <c r="AL1036" i="1"/>
  <c r="AL1041" i="1"/>
  <c r="AL1042" i="1"/>
  <c r="AL1043" i="1"/>
  <c r="AL1044" i="1"/>
  <c r="AL1045" i="1"/>
  <c r="AL1050" i="1"/>
  <c r="AL1046" i="1"/>
  <c r="AL1047" i="1"/>
  <c r="AL1049" i="1"/>
  <c r="AL1048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8" i="1"/>
  <c r="AL1077" i="1"/>
  <c r="AL1079" i="1"/>
  <c r="AL1080" i="1"/>
  <c r="AL1081" i="1"/>
  <c r="AL1082" i="1"/>
  <c r="AL1083" i="1"/>
  <c r="AL1084" i="1"/>
  <c r="AL1086" i="1"/>
  <c r="AL1085" i="1"/>
  <c r="AL1088" i="1"/>
  <c r="AL1087" i="1"/>
  <c r="AL1089" i="1"/>
  <c r="AL1090" i="1"/>
  <c r="AL1091" i="1"/>
  <c r="AL1092" i="1"/>
  <c r="AL1093" i="1"/>
  <c r="AL1094" i="1"/>
  <c r="AL1096" i="1"/>
  <c r="AL1097" i="1"/>
  <c r="AL1095" i="1"/>
  <c r="AL1098" i="1"/>
  <c r="AL1099" i="1"/>
  <c r="AL1100" i="1"/>
  <c r="AL1101" i="1"/>
  <c r="AL1102" i="1"/>
  <c r="AL1103" i="1"/>
  <c r="AL1104" i="1"/>
  <c r="AL1105" i="1"/>
  <c r="AL1107" i="1"/>
  <c r="AL1106" i="1"/>
  <c r="AL1108" i="1"/>
  <c r="AL1109" i="1"/>
  <c r="AL1111" i="1"/>
  <c r="AL1112" i="1"/>
  <c r="AL1110" i="1"/>
  <c r="AL1113" i="1"/>
  <c r="AL1115" i="1"/>
  <c r="AL1114" i="1"/>
  <c r="AL1116" i="1"/>
  <c r="AL1117" i="1"/>
  <c r="AL1118" i="1"/>
  <c r="AL1119" i="1"/>
  <c r="AL1121" i="1"/>
  <c r="AL1122" i="1"/>
  <c r="AL1120" i="1"/>
  <c r="AL1123" i="1"/>
  <c r="AL1125" i="1"/>
  <c r="AL1124" i="1"/>
  <c r="AL1126" i="1"/>
  <c r="AL1127" i="1"/>
  <c r="AL1128" i="1"/>
  <c r="AL1129" i="1"/>
  <c r="AL1130" i="1"/>
  <c r="AL1132" i="1"/>
  <c r="AL1133" i="1"/>
  <c r="AL1131" i="1"/>
  <c r="AL1134" i="1"/>
  <c r="K622" i="2"/>
  <c r="K623" i="2"/>
  <c r="K624" i="2"/>
  <c r="K625" i="2"/>
  <c r="AP1108" i="1" s="1"/>
  <c r="K626" i="2"/>
  <c r="AP1109" i="1" s="1"/>
  <c r="K627" i="2"/>
  <c r="K628" i="2"/>
  <c r="AP1113" i="1" s="1"/>
  <c r="K629" i="2"/>
  <c r="AP1114" i="1" s="1"/>
  <c r="K630" i="2"/>
  <c r="K631" i="2"/>
  <c r="AP1117" i="1" s="1"/>
  <c r="K632" i="2"/>
  <c r="AP1118" i="1" s="1"/>
  <c r="K633" i="2"/>
  <c r="K634" i="2"/>
  <c r="AP1123" i="1" s="1"/>
  <c r="K635" i="2"/>
  <c r="K636" i="2"/>
  <c r="K637" i="2"/>
  <c r="AP1129" i="1" s="1"/>
  <c r="K638" i="2"/>
  <c r="K639" i="2"/>
  <c r="K640" i="2"/>
  <c r="AP1137" i="1" s="1"/>
  <c r="K641" i="2"/>
  <c r="AP1138" i="1" s="1"/>
  <c r="K642" i="2"/>
  <c r="K643" i="2"/>
  <c r="K644" i="2"/>
  <c r="AP1144" i="1" s="1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AP1135" i="1" l="1"/>
  <c r="AP1132" i="1"/>
  <c r="AP1136" i="1"/>
  <c r="AP1133" i="1"/>
  <c r="AP1134" i="1"/>
  <c r="AP1124" i="1"/>
  <c r="AP1125" i="1"/>
  <c r="AP1126" i="1"/>
  <c r="AP1111" i="1"/>
  <c r="AP1112" i="1"/>
  <c r="AP1110" i="1"/>
  <c r="AP1102" i="1"/>
  <c r="AP1103" i="1"/>
  <c r="AP1100" i="1"/>
  <c r="AP1104" i="1"/>
  <c r="AP1101" i="1"/>
  <c r="AP1105" i="1"/>
  <c r="AP1119" i="1"/>
  <c r="AP1120" i="1"/>
  <c r="AP1121" i="1"/>
  <c r="AP1122" i="1"/>
  <c r="AP1127" i="1"/>
  <c r="AP1128" i="1"/>
  <c r="AP1106" i="1"/>
  <c r="AP1107" i="1"/>
  <c r="AP1143" i="1"/>
  <c r="AP1141" i="1"/>
  <c r="AP1142" i="1"/>
  <c r="AP1139" i="1"/>
  <c r="AP1140" i="1"/>
  <c r="AP1131" i="1"/>
  <c r="AP1130" i="1"/>
  <c r="AP1115" i="1"/>
  <c r="AP1116" i="1"/>
  <c r="AP1098" i="1"/>
  <c r="AP1099" i="1"/>
  <c r="R6" i="6"/>
  <c r="R15" i="6"/>
  <c r="Q6" i="6"/>
  <c r="Q15" i="6"/>
  <c r="P6" i="6"/>
  <c r="P15" i="6"/>
  <c r="O6" i="6"/>
  <c r="O15" i="6"/>
  <c r="I17" i="7"/>
  <c r="H17" i="7"/>
  <c r="G17" i="7"/>
  <c r="F17" i="7"/>
  <c r="I6" i="7"/>
  <c r="H6" i="7"/>
  <c r="G6" i="7"/>
  <c r="F6" i="7"/>
  <c r="K6" i="2" l="1"/>
  <c r="K7" i="2"/>
  <c r="K8" i="2"/>
  <c r="AP12" i="1" s="1"/>
  <c r="K9" i="2"/>
  <c r="AP14" i="1" s="1"/>
  <c r="K10" i="2"/>
  <c r="AP15" i="1" s="1"/>
  <c r="K11" i="2"/>
  <c r="K12" i="2"/>
  <c r="AP18" i="1" s="1"/>
  <c r="K13" i="2"/>
  <c r="AP19" i="1" s="1"/>
  <c r="K14" i="2"/>
  <c r="AP20" i="1" s="1"/>
  <c r="K15" i="2"/>
  <c r="K16" i="2"/>
  <c r="K17" i="2"/>
  <c r="K18" i="2"/>
  <c r="AP28" i="1" s="1"/>
  <c r="K19" i="2"/>
  <c r="K20" i="2"/>
  <c r="K21" i="2"/>
  <c r="AP34" i="1" s="1"/>
  <c r="K22" i="2"/>
  <c r="AP35" i="1" s="1"/>
  <c r="K23" i="2"/>
  <c r="AP36" i="1" s="1"/>
  <c r="K24" i="2"/>
  <c r="AP37" i="1" s="1"/>
  <c r="K25" i="2"/>
  <c r="K26" i="2"/>
  <c r="K27" i="2"/>
  <c r="AP43" i="1" s="1"/>
  <c r="K28" i="2"/>
  <c r="K29" i="2"/>
  <c r="AP47" i="1" s="1"/>
  <c r="K30" i="2"/>
  <c r="AP48" i="1" s="1"/>
  <c r="K31" i="2"/>
  <c r="K32" i="2"/>
  <c r="AP51" i="1" s="1"/>
  <c r="K33" i="2"/>
  <c r="K34" i="2"/>
  <c r="K35" i="2"/>
  <c r="K36" i="2"/>
  <c r="AP58" i="1" s="1"/>
  <c r="K37" i="2"/>
  <c r="K38" i="2"/>
  <c r="K39" i="2"/>
  <c r="K40" i="2"/>
  <c r="K41" i="2"/>
  <c r="AP67" i="1" s="1"/>
  <c r="K42" i="2"/>
  <c r="K43" i="2"/>
  <c r="AP70" i="1" s="1"/>
  <c r="K44" i="2"/>
  <c r="AP71" i="1" s="1"/>
  <c r="K45" i="2"/>
  <c r="K46" i="2"/>
  <c r="AP77" i="1" s="1"/>
  <c r="K47" i="2"/>
  <c r="K48" i="2"/>
  <c r="AP80" i="1" s="1"/>
  <c r="K49" i="2"/>
  <c r="AP81" i="1" s="1"/>
  <c r="K50" i="2"/>
  <c r="K51" i="2"/>
  <c r="AP87" i="1" s="1"/>
  <c r="K52" i="2"/>
  <c r="K53" i="2"/>
  <c r="K54" i="2"/>
  <c r="K55" i="2"/>
  <c r="K56" i="2"/>
  <c r="K57" i="2"/>
  <c r="K58" i="2"/>
  <c r="AP102" i="1" s="1"/>
  <c r="K59" i="2"/>
  <c r="K60" i="2"/>
  <c r="AP106" i="1" s="1"/>
  <c r="K61" i="2"/>
  <c r="K62" i="2"/>
  <c r="AP109" i="1" s="1"/>
  <c r="K63" i="2"/>
  <c r="AP110" i="1" s="1"/>
  <c r="K64" i="2"/>
  <c r="K65" i="2"/>
  <c r="AP113" i="1" s="1"/>
  <c r="K66" i="2"/>
  <c r="AP114" i="1" s="1"/>
  <c r="K67" i="2"/>
  <c r="K68" i="2"/>
  <c r="K69" i="2"/>
  <c r="K70" i="2"/>
  <c r="AP123" i="1" s="1"/>
  <c r="K71" i="2"/>
  <c r="AP124" i="1" s="1"/>
  <c r="K72" i="2"/>
  <c r="AP125" i="1" s="1"/>
  <c r="K73" i="2"/>
  <c r="K74" i="2"/>
  <c r="K75" i="2"/>
  <c r="AP132" i="1" s="1"/>
  <c r="K76" i="2"/>
  <c r="K77" i="2"/>
  <c r="K78" i="2"/>
  <c r="AP137" i="1" s="1"/>
  <c r="K79" i="2"/>
  <c r="AP138" i="1" s="1"/>
  <c r="K80" i="2"/>
  <c r="K81" i="2"/>
  <c r="AP141" i="1" s="1"/>
  <c r="K82" i="2"/>
  <c r="AP142" i="1" s="1"/>
  <c r="K83" i="2"/>
  <c r="AP143" i="1" s="1"/>
  <c r="K84" i="2"/>
  <c r="K85" i="2"/>
  <c r="K86" i="2"/>
  <c r="K87" i="2"/>
  <c r="K88" i="2"/>
  <c r="K89" i="2"/>
  <c r="K90" i="2"/>
  <c r="K91" i="2"/>
  <c r="K92" i="2"/>
  <c r="K93" i="2"/>
  <c r="AP170" i="1" s="1"/>
  <c r="K94" i="2"/>
  <c r="K95" i="2"/>
  <c r="AP173" i="1" s="1"/>
  <c r="K96" i="2"/>
  <c r="AP174" i="1" s="1"/>
  <c r="K97" i="2"/>
  <c r="AP175" i="1" s="1"/>
  <c r="K98" i="2"/>
  <c r="AP176" i="1" s="1"/>
  <c r="K99" i="2"/>
  <c r="K100" i="2"/>
  <c r="AP180" i="1" s="1"/>
  <c r="K101" i="2"/>
  <c r="K102" i="2"/>
  <c r="K103" i="2"/>
  <c r="K104" i="2"/>
  <c r="AP194" i="1" s="1"/>
  <c r="K105" i="2"/>
  <c r="K106" i="2"/>
  <c r="K107" i="2"/>
  <c r="K108" i="2"/>
  <c r="AP202" i="1" s="1"/>
  <c r="K109" i="2"/>
  <c r="K110" i="2"/>
  <c r="AP207" i="1" s="1"/>
  <c r="K111" i="2"/>
  <c r="K112" i="2"/>
  <c r="AP212" i="1" s="1"/>
  <c r="K113" i="2"/>
  <c r="AP213" i="1" s="1"/>
  <c r="K114" i="2"/>
  <c r="AP214" i="1" s="1"/>
  <c r="K115" i="2"/>
  <c r="AP215" i="1" s="1"/>
  <c r="K116" i="2"/>
  <c r="AP216" i="1" s="1"/>
  <c r="K117" i="2"/>
  <c r="AP217" i="1" s="1"/>
  <c r="K118" i="2"/>
  <c r="AP218" i="1" s="1"/>
  <c r="K119" i="2"/>
  <c r="AP219" i="1" s="1"/>
  <c r="K120" i="2"/>
  <c r="K121" i="2"/>
  <c r="AP222" i="1" s="1"/>
  <c r="K122" i="2"/>
  <c r="K123" i="2"/>
  <c r="K124" i="2"/>
  <c r="K125" i="2"/>
  <c r="K126" i="2"/>
  <c r="AP232" i="1" s="1"/>
  <c r="K127" i="2"/>
  <c r="K128" i="2"/>
  <c r="AP238" i="1" s="1"/>
  <c r="K129" i="2"/>
  <c r="AP239" i="1" s="1"/>
  <c r="K130" i="2"/>
  <c r="AP240" i="1" s="1"/>
  <c r="K131" i="2"/>
  <c r="AP241" i="1" s="1"/>
  <c r="K132" i="2"/>
  <c r="K133" i="2"/>
  <c r="AP244" i="1" s="1"/>
  <c r="K134" i="2"/>
  <c r="K136" i="2"/>
  <c r="AP249" i="1" s="1"/>
  <c r="K137" i="2"/>
  <c r="K138" i="2"/>
  <c r="K139" i="2"/>
  <c r="AP255" i="1" s="1"/>
  <c r="K140" i="2"/>
  <c r="AP256" i="1" s="1"/>
  <c r="K141" i="2"/>
  <c r="AP257" i="1" s="1"/>
  <c r="K142" i="2"/>
  <c r="AP258" i="1" s="1"/>
  <c r="K143" i="2"/>
  <c r="AP259" i="1" s="1"/>
  <c r="K144" i="2"/>
  <c r="K145" i="2"/>
  <c r="AP262" i="1" s="1"/>
  <c r="K146" i="2"/>
  <c r="AP263" i="1" s="1"/>
  <c r="K147" i="2"/>
  <c r="AP264" i="1" s="1"/>
  <c r="K148" i="2"/>
  <c r="K149" i="2"/>
  <c r="AP267" i="1" s="1"/>
  <c r="K150" i="2"/>
  <c r="K151" i="2"/>
  <c r="AP271" i="1" s="1"/>
  <c r="K152" i="2"/>
  <c r="K153" i="2"/>
  <c r="AP276" i="1" s="1"/>
  <c r="K154" i="2"/>
  <c r="K155" i="2"/>
  <c r="AP279" i="1" s="1"/>
  <c r="K156" i="2"/>
  <c r="AP280" i="1" s="1"/>
  <c r="K157" i="2"/>
  <c r="AP281" i="1" s="1"/>
  <c r="K158" i="2"/>
  <c r="AP282" i="1" s="1"/>
  <c r="K159" i="2"/>
  <c r="AP283" i="1" s="1"/>
  <c r="K160" i="2"/>
  <c r="AP284" i="1" s="1"/>
  <c r="K161" i="2"/>
  <c r="AP285" i="1" s="1"/>
  <c r="K162" i="2"/>
  <c r="AP286" i="1" s="1"/>
  <c r="K163" i="2"/>
  <c r="AP287" i="1" s="1"/>
  <c r="K164" i="2"/>
  <c r="AP288" i="1" s="1"/>
  <c r="K165" i="2"/>
  <c r="AP289" i="1" s="1"/>
  <c r="K166" i="2"/>
  <c r="AP290" i="1" s="1"/>
  <c r="K167" i="2"/>
  <c r="AP291" i="1" s="1"/>
  <c r="K168" i="2"/>
  <c r="AP292" i="1" s="1"/>
  <c r="K169" i="2"/>
  <c r="AP293" i="1" s="1"/>
  <c r="K170" i="2"/>
  <c r="AP294" i="1" s="1"/>
  <c r="K171" i="2"/>
  <c r="AP295" i="1" s="1"/>
  <c r="K172" i="2"/>
  <c r="AP296" i="1" s="1"/>
  <c r="K173" i="2"/>
  <c r="AP297" i="1" s="1"/>
  <c r="K174" i="2"/>
  <c r="AP298" i="1" s="1"/>
  <c r="K175" i="2"/>
  <c r="AP299" i="1" s="1"/>
  <c r="K176" i="2"/>
  <c r="AP300" i="1" s="1"/>
  <c r="K177" i="2"/>
  <c r="AP301" i="1" s="1"/>
  <c r="K178" i="2"/>
  <c r="AP302" i="1" s="1"/>
  <c r="K179" i="2"/>
  <c r="AP303" i="1" s="1"/>
  <c r="K180" i="2"/>
  <c r="AP304" i="1" s="1"/>
  <c r="K181" i="2"/>
  <c r="AP305" i="1" s="1"/>
  <c r="K182" i="2"/>
  <c r="AP306" i="1" s="1"/>
  <c r="K183" i="2"/>
  <c r="K184" i="2"/>
  <c r="AP309" i="1" s="1"/>
  <c r="K185" i="2"/>
  <c r="AP310" i="1" s="1"/>
  <c r="K186" i="2"/>
  <c r="AP311" i="1" s="1"/>
  <c r="K187" i="2"/>
  <c r="AP312" i="1" s="1"/>
  <c r="K188" i="2"/>
  <c r="AP313" i="1" s="1"/>
  <c r="K189" i="2"/>
  <c r="AP314" i="1" s="1"/>
  <c r="K190" i="2"/>
  <c r="AP315" i="1" s="1"/>
  <c r="K191" i="2"/>
  <c r="AP316" i="1" s="1"/>
  <c r="K192" i="2"/>
  <c r="AP317" i="1" s="1"/>
  <c r="K193" i="2"/>
  <c r="AP318" i="1" s="1"/>
  <c r="K194" i="2"/>
  <c r="AP319" i="1" s="1"/>
  <c r="K195" i="2"/>
  <c r="AP320" i="1" s="1"/>
  <c r="K196" i="2"/>
  <c r="AP321" i="1" s="1"/>
  <c r="K197" i="2"/>
  <c r="AP322" i="1" s="1"/>
  <c r="K198" i="2"/>
  <c r="AP323" i="1" s="1"/>
  <c r="K199" i="2"/>
  <c r="K200" i="2"/>
  <c r="AP326" i="1" s="1"/>
  <c r="K201" i="2"/>
  <c r="AP327" i="1" s="1"/>
  <c r="K202" i="2"/>
  <c r="AP328" i="1" s="1"/>
  <c r="K203" i="2"/>
  <c r="AP329" i="1" s="1"/>
  <c r="K204" i="2"/>
  <c r="AP330" i="1" s="1"/>
  <c r="K205" i="2"/>
  <c r="AP331" i="1" s="1"/>
  <c r="K206" i="2"/>
  <c r="AP332" i="1" s="1"/>
  <c r="K207" i="2"/>
  <c r="AP333" i="1" s="1"/>
  <c r="K209" i="2"/>
  <c r="AP335" i="1" s="1"/>
  <c r="K210" i="2"/>
  <c r="AP336" i="1" s="1"/>
  <c r="K211" i="2"/>
  <c r="AP337" i="1" s="1"/>
  <c r="K212" i="2"/>
  <c r="AP338" i="1" s="1"/>
  <c r="K213" i="2"/>
  <c r="AP339" i="1" s="1"/>
  <c r="K214" i="2"/>
  <c r="AP340" i="1" s="1"/>
  <c r="K215" i="2"/>
  <c r="AP341" i="1" s="1"/>
  <c r="K216" i="2"/>
  <c r="AP342" i="1" s="1"/>
  <c r="K217" i="2"/>
  <c r="AP343" i="1" s="1"/>
  <c r="K218" i="2"/>
  <c r="AP344" i="1" s="1"/>
  <c r="K219" i="2"/>
  <c r="AP345" i="1" s="1"/>
  <c r="K220" i="2"/>
  <c r="AP346" i="1" s="1"/>
  <c r="K221" i="2"/>
  <c r="AP347" i="1" s="1"/>
  <c r="K222" i="2"/>
  <c r="K223" i="2"/>
  <c r="AP350" i="1" s="1"/>
  <c r="K224" i="2"/>
  <c r="K225" i="2"/>
  <c r="K226" i="2"/>
  <c r="K227" i="2"/>
  <c r="AP357" i="1" s="1"/>
  <c r="K228" i="2"/>
  <c r="AP358" i="1" s="1"/>
  <c r="K229" i="2"/>
  <c r="K230" i="2"/>
  <c r="K231" i="2"/>
  <c r="AP364" i="1" s="1"/>
  <c r="K232" i="2"/>
  <c r="AP365" i="1" s="1"/>
  <c r="K233" i="2"/>
  <c r="K234" i="2"/>
  <c r="AP370" i="1" s="1"/>
  <c r="K235" i="2"/>
  <c r="AP371" i="1" s="1"/>
  <c r="K236" i="2"/>
  <c r="AP372" i="1" s="1"/>
  <c r="K237" i="2"/>
  <c r="AP373" i="1" s="1"/>
  <c r="K238" i="2"/>
  <c r="AP374" i="1" s="1"/>
  <c r="K239" i="2"/>
  <c r="K240" i="2"/>
  <c r="AP378" i="1" s="1"/>
  <c r="K241" i="2"/>
  <c r="K242" i="2"/>
  <c r="K243" i="2"/>
  <c r="K244" i="2"/>
  <c r="K245" i="2"/>
  <c r="K246" i="2"/>
  <c r="AP392" i="1" s="1"/>
  <c r="K248" i="2"/>
  <c r="K249" i="2"/>
  <c r="K250" i="2"/>
  <c r="K251" i="2"/>
  <c r="K252" i="2"/>
  <c r="AP402" i="1" s="1"/>
  <c r="K253" i="2"/>
  <c r="K254" i="2"/>
  <c r="K255" i="2"/>
  <c r="AP412" i="1" s="1"/>
  <c r="K256" i="2"/>
  <c r="AP413" i="1" s="1"/>
  <c r="K257" i="2"/>
  <c r="K259" i="2"/>
  <c r="K260" i="2"/>
  <c r="AP420" i="1" s="1"/>
  <c r="K261" i="2"/>
  <c r="K262" i="2"/>
  <c r="AP427" i="1" s="1"/>
  <c r="K263" i="2"/>
  <c r="AP428" i="1" s="1"/>
  <c r="K264" i="2"/>
  <c r="K265" i="2"/>
  <c r="K266" i="2"/>
  <c r="K267" i="2"/>
  <c r="AP439" i="1" s="1"/>
  <c r="K268" i="2"/>
  <c r="K269" i="2"/>
  <c r="AP442" i="1" s="1"/>
  <c r="K270" i="2"/>
  <c r="K271" i="2"/>
  <c r="K272" i="2"/>
  <c r="AP449" i="1" s="1"/>
  <c r="K273" i="2"/>
  <c r="AP450" i="1" s="1"/>
  <c r="K274" i="2"/>
  <c r="K275" i="2"/>
  <c r="K276" i="2"/>
  <c r="K277" i="2"/>
  <c r="AP460" i="1" s="1"/>
  <c r="K278" i="2"/>
  <c r="K279" i="2"/>
  <c r="K280" i="2"/>
  <c r="AP468" i="1" s="1"/>
  <c r="K281" i="2"/>
  <c r="K282" i="2"/>
  <c r="AP471" i="1" s="1"/>
  <c r="K283" i="2"/>
  <c r="AP472" i="1" s="1"/>
  <c r="K284" i="2"/>
  <c r="K285" i="2"/>
  <c r="AP475" i="1" s="1"/>
  <c r="K286" i="2"/>
  <c r="AP476" i="1" s="1"/>
  <c r="K287" i="2"/>
  <c r="AP477" i="1" s="1"/>
  <c r="K288" i="2"/>
  <c r="K289" i="2"/>
  <c r="K290" i="2"/>
  <c r="AP482" i="1" s="1"/>
  <c r="K291" i="2"/>
  <c r="K292" i="2"/>
  <c r="AP485" i="1" s="1"/>
  <c r="K293" i="2"/>
  <c r="K294" i="2"/>
  <c r="AP489" i="1" s="1"/>
  <c r="K295" i="2"/>
  <c r="K296" i="2"/>
  <c r="AP492" i="1" s="1"/>
  <c r="K297" i="2"/>
  <c r="AP493" i="1" s="1"/>
  <c r="K298" i="2"/>
  <c r="K301" i="2"/>
  <c r="K302" i="2"/>
  <c r="AP502" i="1" s="1"/>
  <c r="K304" i="2"/>
  <c r="K305" i="2"/>
  <c r="AP507" i="1" s="1"/>
  <c r="K306" i="2"/>
  <c r="AP508" i="1" s="1"/>
  <c r="K307" i="2"/>
  <c r="AP509" i="1" s="1"/>
  <c r="K308" i="2"/>
  <c r="AP510" i="1" s="1"/>
  <c r="K310" i="2"/>
  <c r="K311" i="2"/>
  <c r="AP514" i="1" s="1"/>
  <c r="K312" i="2"/>
  <c r="AP515" i="1" s="1"/>
  <c r="K313" i="2"/>
  <c r="K314" i="2"/>
  <c r="K315" i="2"/>
  <c r="AP522" i="1" s="1"/>
  <c r="K316" i="2"/>
  <c r="K317" i="2"/>
  <c r="AP525" i="1" s="1"/>
  <c r="K319" i="2"/>
  <c r="AP527" i="1" s="1"/>
  <c r="K320" i="2"/>
  <c r="AP528" i="1" s="1"/>
  <c r="K321" i="2"/>
  <c r="AP529" i="1" s="1"/>
  <c r="K322" i="2"/>
  <c r="AP530" i="1" s="1"/>
  <c r="K323" i="2"/>
  <c r="AP531" i="1" s="1"/>
  <c r="K324" i="2"/>
  <c r="K325" i="2"/>
  <c r="K326" i="2"/>
  <c r="K327" i="2"/>
  <c r="K328" i="2"/>
  <c r="AP541" i="1" s="1"/>
  <c r="K329" i="2"/>
  <c r="AP542" i="1" s="1"/>
  <c r="K330" i="2"/>
  <c r="AP543" i="1" s="1"/>
  <c r="K331" i="2"/>
  <c r="AP544" i="1" s="1"/>
  <c r="K332" i="2"/>
  <c r="K333" i="2"/>
  <c r="AP547" i="1" s="1"/>
  <c r="K334" i="2"/>
  <c r="AP548" i="1" s="1"/>
  <c r="K335" i="2"/>
  <c r="AP549" i="1" s="1"/>
  <c r="K336" i="2"/>
  <c r="AP550" i="1" s="1"/>
  <c r="K337" i="2"/>
  <c r="AP551" i="1" s="1"/>
  <c r="K338" i="2"/>
  <c r="AP552" i="1" s="1"/>
  <c r="K339" i="2"/>
  <c r="K341" i="2"/>
  <c r="K342" i="2"/>
  <c r="AP561" i="1" s="1"/>
  <c r="K343" i="2"/>
  <c r="AP562" i="1" s="1"/>
  <c r="K344" i="2"/>
  <c r="AP563" i="1" s="1"/>
  <c r="K345" i="2"/>
  <c r="K346" i="2"/>
  <c r="K347" i="2"/>
  <c r="K348" i="2"/>
  <c r="AP590" i="1" s="1"/>
  <c r="K349" i="2"/>
  <c r="K350" i="2"/>
  <c r="K351" i="2"/>
  <c r="AP596" i="1" s="1"/>
  <c r="K352" i="2"/>
  <c r="AP597" i="1" s="1"/>
  <c r="K353" i="2"/>
  <c r="AP598" i="1" s="1"/>
  <c r="K354" i="2"/>
  <c r="AP599" i="1" s="1"/>
  <c r="K355" i="2"/>
  <c r="K356" i="2"/>
  <c r="K357" i="2"/>
  <c r="K358" i="2"/>
  <c r="K359" i="2"/>
  <c r="AP614" i="1" s="1"/>
  <c r="K360" i="2"/>
  <c r="K361" i="2"/>
  <c r="AP620" i="1" s="1"/>
  <c r="K362" i="2"/>
  <c r="AP621" i="1" s="1"/>
  <c r="K363" i="2"/>
  <c r="K364" i="2"/>
  <c r="K365" i="2"/>
  <c r="AP627" i="1" s="1"/>
  <c r="K368" i="2"/>
  <c r="AP631" i="1" s="1"/>
  <c r="K369" i="2"/>
  <c r="AP632" i="1" s="1"/>
  <c r="K370" i="2"/>
  <c r="K371" i="2"/>
  <c r="AP635" i="1" s="1"/>
  <c r="K372" i="2"/>
  <c r="K373" i="2"/>
  <c r="AP638" i="1" s="1"/>
  <c r="K374" i="2"/>
  <c r="AP639" i="1" s="1"/>
  <c r="K375" i="2"/>
  <c r="AP640" i="1" s="1"/>
  <c r="K376" i="2"/>
  <c r="AP641" i="1" s="1"/>
  <c r="K377" i="2"/>
  <c r="AP642" i="1" s="1"/>
  <c r="K378" i="2"/>
  <c r="AP643" i="1" s="1"/>
  <c r="K379" i="2"/>
  <c r="AP644" i="1" s="1"/>
  <c r="K380" i="2"/>
  <c r="AP645" i="1" s="1"/>
  <c r="K381" i="2"/>
  <c r="AP646" i="1" s="1"/>
  <c r="K382" i="2"/>
  <c r="AP647" i="1" s="1"/>
  <c r="K383" i="2"/>
  <c r="AP648" i="1" s="1"/>
  <c r="K384" i="2"/>
  <c r="K385" i="2"/>
  <c r="K386" i="2"/>
  <c r="AP654" i="1" s="1"/>
  <c r="K387" i="2"/>
  <c r="AP655" i="1" s="1"/>
  <c r="K388" i="2"/>
  <c r="AP656" i="1" s="1"/>
  <c r="K389" i="2"/>
  <c r="K390" i="2"/>
  <c r="K391" i="2"/>
  <c r="AP662" i="1" s="1"/>
  <c r="K392" i="2"/>
  <c r="K393" i="2"/>
  <c r="AP669" i="1" s="1"/>
  <c r="K394" i="2"/>
  <c r="K395" i="2"/>
  <c r="AP674" i="1" s="1"/>
  <c r="K396" i="2"/>
  <c r="K397" i="2"/>
  <c r="AP677" i="1" s="1"/>
  <c r="K398" i="2"/>
  <c r="K399" i="2"/>
  <c r="AP681" i="1" s="1"/>
  <c r="K400" i="2"/>
  <c r="AP682" i="1" s="1"/>
  <c r="K401" i="2"/>
  <c r="AP683" i="1" s="1"/>
  <c r="K402" i="2"/>
  <c r="K403" i="2"/>
  <c r="K404" i="2"/>
  <c r="K405" i="2"/>
  <c r="AP696" i="1" s="1"/>
  <c r="K406" i="2"/>
  <c r="K407" i="2"/>
  <c r="K408" i="2"/>
  <c r="AP704" i="1" s="1"/>
  <c r="K409" i="2"/>
  <c r="K410" i="2"/>
  <c r="K411" i="2"/>
  <c r="K412" i="2"/>
  <c r="AP715" i="1" s="1"/>
  <c r="K414" i="2"/>
  <c r="AP717" i="1" s="1"/>
  <c r="K415" i="2"/>
  <c r="AP718" i="1" s="1"/>
  <c r="K416" i="2"/>
  <c r="AP719" i="1" s="1"/>
  <c r="K417" i="2"/>
  <c r="AP720" i="1" s="1"/>
  <c r="K418" i="2"/>
  <c r="K419" i="2"/>
  <c r="K420" i="2"/>
  <c r="K421" i="2"/>
  <c r="K422" i="2"/>
  <c r="AP730" i="1" s="1"/>
  <c r="K423" i="2"/>
  <c r="K424" i="2"/>
  <c r="K425" i="2"/>
  <c r="K426" i="2"/>
  <c r="AP743" i="1" s="1"/>
  <c r="K427" i="2"/>
  <c r="K428" i="2"/>
  <c r="AP746" i="1" s="1"/>
  <c r="K429" i="2"/>
  <c r="AP747" i="1" s="1"/>
  <c r="K431" i="2"/>
  <c r="AP749" i="1" s="1"/>
  <c r="K432" i="2"/>
  <c r="K433" i="2"/>
  <c r="AP753" i="1" s="1"/>
  <c r="K434" i="2"/>
  <c r="K435" i="2"/>
  <c r="AP756" i="1" s="1"/>
  <c r="K436" i="2"/>
  <c r="K437" i="2"/>
  <c r="K438" i="2"/>
  <c r="AP761" i="1" s="1"/>
  <c r="K440" i="2"/>
  <c r="K441" i="2"/>
  <c r="AP765" i="1" s="1"/>
  <c r="K442" i="2"/>
  <c r="K443" i="2"/>
  <c r="AP769" i="1" s="1"/>
  <c r="K444" i="2"/>
  <c r="K445" i="2"/>
  <c r="AP772" i="1" s="1"/>
  <c r="K446" i="2"/>
  <c r="AP773" i="1" s="1"/>
  <c r="K447" i="2"/>
  <c r="AP774" i="1" s="1"/>
  <c r="K448" i="2"/>
  <c r="K449" i="2"/>
  <c r="AP777" i="1" s="1"/>
  <c r="K450" i="2"/>
  <c r="AP778" i="1" s="1"/>
  <c r="K451" i="2"/>
  <c r="K452" i="2"/>
  <c r="AP781" i="1" s="1"/>
  <c r="K453" i="2"/>
  <c r="AP782" i="1" s="1"/>
  <c r="K454" i="2"/>
  <c r="AP783" i="1" s="1"/>
  <c r="K455" i="2"/>
  <c r="AP784" i="1" s="1"/>
  <c r="K456" i="2"/>
  <c r="K457" i="2"/>
  <c r="AP788" i="1" s="1"/>
  <c r="K458" i="2"/>
  <c r="K459" i="2"/>
  <c r="K460" i="2"/>
  <c r="AP793" i="1" s="1"/>
  <c r="K461" i="2"/>
  <c r="K462" i="2"/>
  <c r="K463" i="2"/>
  <c r="K464" i="2"/>
  <c r="K465" i="2"/>
  <c r="K466" i="2"/>
  <c r="K467" i="2"/>
  <c r="K468" i="2"/>
  <c r="AP818" i="1" s="1"/>
  <c r="K469" i="2"/>
  <c r="AP819" i="1" s="1"/>
  <c r="K470" i="2"/>
  <c r="AP820" i="1" s="1"/>
  <c r="K471" i="2"/>
  <c r="K472" i="2"/>
  <c r="K474" i="2"/>
  <c r="AP827" i="1" s="1"/>
  <c r="K475" i="2"/>
  <c r="AP828" i="1" s="1"/>
  <c r="K476" i="2"/>
  <c r="AP829" i="1" s="1"/>
  <c r="K477" i="2"/>
  <c r="K478" i="2"/>
  <c r="K479" i="2"/>
  <c r="K480" i="2"/>
  <c r="K481" i="2"/>
  <c r="K482" i="2"/>
  <c r="AP847" i="1" s="1"/>
  <c r="K483" i="2"/>
  <c r="AP848" i="1" s="1"/>
  <c r="K484" i="2"/>
  <c r="AP849" i="1" s="1"/>
  <c r="K485" i="2"/>
  <c r="AP850" i="1" s="1"/>
  <c r="K486" i="2"/>
  <c r="K487" i="2"/>
  <c r="K488" i="2"/>
  <c r="AP861" i="1" s="1"/>
  <c r="K489" i="2"/>
  <c r="AP862" i="1" s="1"/>
  <c r="K490" i="2"/>
  <c r="AP863" i="1" s="1"/>
  <c r="K491" i="2"/>
  <c r="AP864" i="1" s="1"/>
  <c r="K492" i="2"/>
  <c r="AP865" i="1" s="1"/>
  <c r="K493" i="2"/>
  <c r="AP866" i="1" s="1"/>
  <c r="K494" i="2"/>
  <c r="K495" i="2"/>
  <c r="AP870" i="1" s="1"/>
  <c r="K496" i="2"/>
  <c r="K497" i="2"/>
  <c r="K498" i="2"/>
  <c r="AP876" i="1" s="1"/>
  <c r="K499" i="2"/>
  <c r="AP877" i="1" s="1"/>
  <c r="K500" i="2"/>
  <c r="K501" i="2"/>
  <c r="AP880" i="1" s="1"/>
  <c r="K502" i="2"/>
  <c r="AP881" i="1" s="1"/>
  <c r="K503" i="2"/>
  <c r="K504" i="2"/>
  <c r="K505" i="2"/>
  <c r="AP886" i="1" s="1"/>
  <c r="K506" i="2"/>
  <c r="K507" i="2"/>
  <c r="K508" i="2"/>
  <c r="K509" i="2"/>
  <c r="AP896" i="1" s="1"/>
  <c r="K510" i="2"/>
  <c r="K511" i="2"/>
  <c r="AP902" i="1" s="1"/>
  <c r="K512" i="2"/>
  <c r="K513" i="2"/>
  <c r="K514" i="2"/>
  <c r="K515" i="2"/>
  <c r="AP911" i="1" s="1"/>
  <c r="K516" i="2"/>
  <c r="AP912" i="1" s="1"/>
  <c r="K517" i="2"/>
  <c r="AP915" i="1" s="1"/>
  <c r="K518" i="2"/>
  <c r="AP916" i="1" s="1"/>
  <c r="K519" i="2"/>
  <c r="AP917" i="1" s="1"/>
  <c r="K520" i="2"/>
  <c r="K521" i="2"/>
  <c r="AP920" i="1" s="1"/>
  <c r="K522" i="2"/>
  <c r="K523" i="2"/>
  <c r="K524" i="2"/>
  <c r="K525" i="2"/>
  <c r="K526" i="2"/>
  <c r="K527" i="2"/>
  <c r="AP934" i="1" s="1"/>
  <c r="K528" i="2"/>
  <c r="K529" i="2"/>
  <c r="AP939" i="1" s="1"/>
  <c r="K530" i="2"/>
  <c r="AP940" i="1" s="1"/>
  <c r="K531" i="2"/>
  <c r="K532" i="2"/>
  <c r="AP943" i="1" s="1"/>
  <c r="K533" i="2"/>
  <c r="AP944" i="1" s="1"/>
  <c r="K534" i="2"/>
  <c r="K535" i="2"/>
  <c r="K536" i="2"/>
  <c r="AP954" i="1" s="1"/>
  <c r="K537" i="2"/>
  <c r="K538" i="2"/>
  <c r="AP957" i="1" s="1"/>
  <c r="K539" i="2"/>
  <c r="AP958" i="1" s="1"/>
  <c r="K540" i="2"/>
  <c r="AP959" i="1" s="1"/>
  <c r="K541" i="2"/>
  <c r="K542" i="2"/>
  <c r="AP962" i="1" s="1"/>
  <c r="K543" i="2"/>
  <c r="AP963" i="1" s="1"/>
  <c r="K544" i="2"/>
  <c r="AP964" i="1" s="1"/>
  <c r="K545" i="2"/>
  <c r="K546" i="2"/>
  <c r="AP967" i="1" s="1"/>
  <c r="K547" i="2"/>
  <c r="K548" i="2"/>
  <c r="K549" i="2"/>
  <c r="K550" i="2"/>
  <c r="AP979" i="1" s="1"/>
  <c r="K551" i="2"/>
  <c r="K552" i="2"/>
  <c r="AP982" i="1" s="1"/>
  <c r="K553" i="2"/>
  <c r="AP983" i="1" s="1"/>
  <c r="K554" i="2"/>
  <c r="AP984" i="1" s="1"/>
  <c r="K555" i="2"/>
  <c r="AP985" i="1" s="1"/>
  <c r="K556" i="2"/>
  <c r="K557" i="2"/>
  <c r="K558" i="2"/>
  <c r="AP993" i="1" s="1"/>
  <c r="K559" i="2"/>
  <c r="AP994" i="1" s="1"/>
  <c r="K560" i="2"/>
  <c r="AP995" i="1" s="1"/>
  <c r="K561" i="2"/>
  <c r="AP996" i="1" s="1"/>
  <c r="K562" i="2"/>
  <c r="K563" i="2"/>
  <c r="AP999" i="1" s="1"/>
  <c r="K564" i="2"/>
  <c r="K565" i="2"/>
  <c r="AP1002" i="1" s="1"/>
  <c r="K566" i="2"/>
  <c r="K567" i="2"/>
  <c r="AP1005" i="1" s="1"/>
  <c r="K568" i="2"/>
  <c r="K569" i="2"/>
  <c r="AP1008" i="1" s="1"/>
  <c r="K570" i="2"/>
  <c r="AP1009" i="1" s="1"/>
  <c r="K571" i="2"/>
  <c r="K572" i="2"/>
  <c r="AP1012" i="1" s="1"/>
  <c r="K573" i="2"/>
  <c r="AP1013" i="1" s="1"/>
  <c r="K574" i="2"/>
  <c r="AP1014" i="1" s="1"/>
  <c r="K575" i="2"/>
  <c r="K576" i="2"/>
  <c r="AP1018" i="1" s="1"/>
  <c r="K577" i="2"/>
  <c r="K578" i="2"/>
  <c r="AP1021" i="1" s="1"/>
  <c r="K579" i="2"/>
  <c r="AP1022" i="1" s="1"/>
  <c r="K580" i="2"/>
  <c r="K581" i="2"/>
  <c r="AP1025" i="1" s="1"/>
  <c r="K582" i="2"/>
  <c r="AP1026" i="1" s="1"/>
  <c r="K583" i="2"/>
  <c r="K584" i="2"/>
  <c r="K585" i="2"/>
  <c r="AP1031" i="1" s="1"/>
  <c r="K586" i="2"/>
  <c r="AP1032" i="1" s="1"/>
  <c r="K587" i="2"/>
  <c r="K588" i="2"/>
  <c r="AP1035" i="1" s="1"/>
  <c r="K589" i="2"/>
  <c r="K590" i="2"/>
  <c r="K591" i="2"/>
  <c r="AP1042" i="1" s="1"/>
  <c r="K592" i="2"/>
  <c r="AP1043" i="1" s="1"/>
  <c r="K593" i="2"/>
  <c r="AP1044" i="1" s="1"/>
  <c r="K594" i="2"/>
  <c r="K595" i="2"/>
  <c r="AP1051" i="1" s="1"/>
  <c r="K596" i="2"/>
  <c r="K597" i="2"/>
  <c r="AP1055" i="1" s="1"/>
  <c r="K598" i="2"/>
  <c r="AP1056" i="1" s="1"/>
  <c r="K599" i="2"/>
  <c r="K600" i="2"/>
  <c r="AP1059" i="1" s="1"/>
  <c r="K601" i="2"/>
  <c r="K602" i="2"/>
  <c r="K603" i="2"/>
  <c r="AP1069" i="1" s="1"/>
  <c r="K604" i="2"/>
  <c r="AP1070" i="1" s="1"/>
  <c r="K605" i="2"/>
  <c r="K606" i="2"/>
  <c r="K607" i="2"/>
  <c r="K608" i="2"/>
  <c r="AP1077" i="1" s="1"/>
  <c r="K609" i="2"/>
  <c r="AP1078" i="1" s="1"/>
  <c r="K610" i="2"/>
  <c r="AP1079" i="1" s="1"/>
  <c r="K611" i="2"/>
  <c r="AP1080" i="1" s="1"/>
  <c r="K612" i="2"/>
  <c r="K613" i="2"/>
  <c r="AP1083" i="1" s="1"/>
  <c r="K614" i="2"/>
  <c r="K615" i="2"/>
  <c r="AP1086" i="1" s="1"/>
  <c r="K616" i="2"/>
  <c r="K617" i="2"/>
  <c r="K618" i="2"/>
  <c r="K619" i="2"/>
  <c r="AP1094" i="1" s="1"/>
  <c r="K620" i="2"/>
  <c r="K621" i="2"/>
  <c r="AP1097" i="1" s="1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8" i="2"/>
  <c r="N249" i="2"/>
  <c r="N250" i="2"/>
  <c r="N251" i="2"/>
  <c r="N252" i="2"/>
  <c r="N253" i="2"/>
  <c r="N254" i="2"/>
  <c r="N255" i="2"/>
  <c r="N256" i="2"/>
  <c r="N257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301" i="2"/>
  <c r="N302" i="2"/>
  <c r="N304" i="2"/>
  <c r="N305" i="2"/>
  <c r="N306" i="2"/>
  <c r="N307" i="2"/>
  <c r="N308" i="2"/>
  <c r="N310" i="2"/>
  <c r="N311" i="2"/>
  <c r="N312" i="2"/>
  <c r="N313" i="2"/>
  <c r="N314" i="2"/>
  <c r="N315" i="2"/>
  <c r="N316" i="2"/>
  <c r="N317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1" i="2"/>
  <c r="N432" i="2"/>
  <c r="N433" i="2"/>
  <c r="N434" i="2"/>
  <c r="N435" i="2"/>
  <c r="N436" i="2"/>
  <c r="N437" i="2"/>
  <c r="N438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AP172" i="1" l="1"/>
  <c r="AP171" i="1"/>
  <c r="AP11" i="1"/>
  <c r="AP10" i="1"/>
  <c r="AP1090" i="1"/>
  <c r="AP1089" i="1"/>
  <c r="AP1071" i="1"/>
  <c r="AP1072" i="1"/>
  <c r="AP1060" i="1"/>
  <c r="AP1061" i="1"/>
  <c r="AP1038" i="1"/>
  <c r="AP1036" i="1"/>
  <c r="AP1037" i="1"/>
  <c r="AP1019" i="1"/>
  <c r="AP1020" i="1"/>
  <c r="AP990" i="1"/>
  <c r="AP991" i="1"/>
  <c r="AP988" i="1"/>
  <c r="AP992" i="1"/>
  <c r="AP989" i="1"/>
  <c r="AP978" i="1"/>
  <c r="AP977" i="1"/>
  <c r="AP966" i="1"/>
  <c r="AP965" i="1"/>
  <c r="AP960" i="1"/>
  <c r="AP961" i="1"/>
  <c r="AP955" i="1"/>
  <c r="AP956" i="1"/>
  <c r="AP930" i="1"/>
  <c r="AP928" i="1"/>
  <c r="AP929" i="1"/>
  <c r="AP913" i="1"/>
  <c r="AP914" i="1"/>
  <c r="AP906" i="1"/>
  <c r="AP907" i="1"/>
  <c r="AP908" i="1"/>
  <c r="AP873" i="1"/>
  <c r="AP874" i="1"/>
  <c r="AP875" i="1"/>
  <c r="AP845" i="1"/>
  <c r="AP846" i="1"/>
  <c r="AP830" i="1"/>
  <c r="AP831" i="1"/>
  <c r="AP832" i="1"/>
  <c r="AP824" i="1"/>
  <c r="AP825" i="1"/>
  <c r="AP806" i="1"/>
  <c r="AP807" i="1"/>
  <c r="AP785" i="1"/>
  <c r="AP786" i="1"/>
  <c r="AP787" i="1"/>
  <c r="AP775" i="1"/>
  <c r="AP776" i="1"/>
  <c r="AP770" i="1"/>
  <c r="AP771" i="1"/>
  <c r="AP763" i="1"/>
  <c r="AP764" i="1"/>
  <c r="AP721" i="1"/>
  <c r="AP722" i="1"/>
  <c r="AP707" i="1"/>
  <c r="AP708" i="1"/>
  <c r="AP705" i="1"/>
  <c r="AP709" i="1"/>
  <c r="AP706" i="1"/>
  <c r="AP710" i="1"/>
  <c r="AP659" i="1"/>
  <c r="AP657" i="1"/>
  <c r="AP658" i="1"/>
  <c r="AP652" i="1"/>
  <c r="AP653" i="1"/>
  <c r="AP624" i="1"/>
  <c r="AP622" i="1"/>
  <c r="AP623" i="1"/>
  <c r="AP600" i="1"/>
  <c r="AP604" i="1"/>
  <c r="AP601" i="1"/>
  <c r="AP605" i="1"/>
  <c r="AP602" i="1"/>
  <c r="AP603" i="1"/>
  <c r="AP580" i="1"/>
  <c r="AP584" i="1"/>
  <c r="AP588" i="1"/>
  <c r="AP581" i="1"/>
  <c r="AP585" i="1"/>
  <c r="AP589" i="1"/>
  <c r="AP582" i="1"/>
  <c r="AP586" i="1"/>
  <c r="AP579" i="1"/>
  <c r="AP583" i="1"/>
  <c r="AP587" i="1"/>
  <c r="AP537" i="1"/>
  <c r="AP538" i="1"/>
  <c r="AP518" i="1"/>
  <c r="AP519" i="1"/>
  <c r="AP516" i="1"/>
  <c r="AP517" i="1"/>
  <c r="AP505" i="1"/>
  <c r="AP506" i="1"/>
  <c r="AP488" i="1"/>
  <c r="AP486" i="1"/>
  <c r="AP487" i="1"/>
  <c r="AP480" i="1"/>
  <c r="AP481" i="1"/>
  <c r="AP469" i="1"/>
  <c r="AP470" i="1"/>
  <c r="AP432" i="1"/>
  <c r="AP433" i="1"/>
  <c r="AP434" i="1"/>
  <c r="AP435" i="1"/>
  <c r="AP424" i="1"/>
  <c r="AP421" i="1"/>
  <c r="AP425" i="1"/>
  <c r="AP422" i="1"/>
  <c r="AP426" i="1"/>
  <c r="AP423" i="1"/>
  <c r="AP395" i="1"/>
  <c r="AP394" i="1"/>
  <c r="AP386" i="1"/>
  <c r="AP385" i="1"/>
  <c r="AP375" i="1"/>
  <c r="AP376" i="1"/>
  <c r="AP377" i="1"/>
  <c r="AP277" i="1"/>
  <c r="AP278" i="1"/>
  <c r="AP269" i="1"/>
  <c r="AP268" i="1"/>
  <c r="AP270" i="1"/>
  <c r="AP253" i="1"/>
  <c r="AP252" i="1"/>
  <c r="AP254" i="1"/>
  <c r="AP231" i="1"/>
  <c r="AP230" i="1"/>
  <c r="AP205" i="1"/>
  <c r="AP203" i="1"/>
  <c r="AP204" i="1"/>
  <c r="AP206" i="1"/>
  <c r="AP197" i="1"/>
  <c r="AP195" i="1"/>
  <c r="AP196" i="1"/>
  <c r="AP181" i="1"/>
  <c r="AP182" i="1"/>
  <c r="AP160" i="1"/>
  <c r="AP158" i="1"/>
  <c r="AP162" i="1"/>
  <c r="AP159" i="1"/>
  <c r="AP161" i="1"/>
  <c r="AP146" i="1"/>
  <c r="AP147" i="1"/>
  <c r="AP136" i="1"/>
  <c r="AP135" i="1"/>
  <c r="AP128" i="1"/>
  <c r="AP126" i="1"/>
  <c r="AP127" i="1"/>
  <c r="AP129" i="1"/>
  <c r="AP122" i="1"/>
  <c r="AP121" i="1"/>
  <c r="AP108" i="1"/>
  <c r="AP107" i="1"/>
  <c r="AP100" i="1"/>
  <c r="AP101" i="1"/>
  <c r="AP90" i="1"/>
  <c r="AP91" i="1"/>
  <c r="AP72" i="1"/>
  <c r="AP76" i="1"/>
  <c r="AP74" i="1"/>
  <c r="AP75" i="1"/>
  <c r="AP73" i="1"/>
  <c r="AP60" i="1"/>
  <c r="AP59" i="1"/>
  <c r="AP52" i="1"/>
  <c r="AP53" i="1"/>
  <c r="AP38" i="1"/>
  <c r="AP39" i="1"/>
  <c r="AP26" i="1"/>
  <c r="AP27" i="1"/>
  <c r="AP25" i="1"/>
  <c r="AP1095" i="1"/>
  <c r="AP1096" i="1"/>
  <c r="AP1087" i="1"/>
  <c r="AP1088" i="1"/>
  <c r="AP1082" i="1"/>
  <c r="AP1081" i="1"/>
  <c r="AP1054" i="1"/>
  <c r="AP1052" i="1"/>
  <c r="AP1053" i="1"/>
  <c r="AP1030" i="1"/>
  <c r="AP1029" i="1"/>
  <c r="AP1023" i="1"/>
  <c r="AP1024" i="1"/>
  <c r="AP1006" i="1"/>
  <c r="AP1007" i="1"/>
  <c r="AP1000" i="1"/>
  <c r="AP1001" i="1"/>
  <c r="AP986" i="1"/>
  <c r="AP987" i="1"/>
  <c r="AP970" i="1"/>
  <c r="AP974" i="1"/>
  <c r="AP971" i="1"/>
  <c r="AP975" i="1"/>
  <c r="AP972" i="1"/>
  <c r="AP976" i="1"/>
  <c r="AP973" i="1"/>
  <c r="AP938" i="1"/>
  <c r="AP935" i="1"/>
  <c r="AP936" i="1"/>
  <c r="AP937" i="1"/>
  <c r="AP926" i="1"/>
  <c r="AP927" i="1"/>
  <c r="AP925" i="1"/>
  <c r="AP918" i="1"/>
  <c r="AP919" i="1"/>
  <c r="AP905" i="1"/>
  <c r="AP903" i="1"/>
  <c r="AP904" i="1"/>
  <c r="AP893" i="1"/>
  <c r="AP894" i="1"/>
  <c r="AP895" i="1"/>
  <c r="AP885" i="1"/>
  <c r="AP884" i="1"/>
  <c r="AP878" i="1"/>
  <c r="AP879" i="1"/>
  <c r="AP871" i="1"/>
  <c r="AP872" i="1"/>
  <c r="AP841" i="1"/>
  <c r="AP842" i="1"/>
  <c r="AP839" i="1"/>
  <c r="AP843" i="1"/>
  <c r="AP840" i="1"/>
  <c r="AP844" i="1"/>
  <c r="AP821" i="1"/>
  <c r="AP822" i="1"/>
  <c r="AP823" i="1"/>
  <c r="AP816" i="1"/>
  <c r="AP817" i="1"/>
  <c r="AP804" i="1"/>
  <c r="AP805" i="1"/>
  <c r="AP803" i="1"/>
  <c r="AP792" i="1"/>
  <c r="AP791" i="1"/>
  <c r="AP779" i="1"/>
  <c r="AP780" i="1"/>
  <c r="AP754" i="1"/>
  <c r="AP755" i="1"/>
  <c r="AP741" i="1"/>
  <c r="AP742" i="1"/>
  <c r="AP728" i="1"/>
  <c r="AP729" i="1"/>
  <c r="AP695" i="1"/>
  <c r="AP692" i="1"/>
  <c r="AP693" i="1"/>
  <c r="AP694" i="1"/>
  <c r="AP675" i="1"/>
  <c r="AP676" i="1"/>
  <c r="AP663" i="1"/>
  <c r="AP667" i="1"/>
  <c r="AP664" i="1"/>
  <c r="AP668" i="1"/>
  <c r="AP665" i="1"/>
  <c r="AP666" i="1"/>
  <c r="AP651" i="1"/>
  <c r="AP649" i="1"/>
  <c r="AP650" i="1"/>
  <c r="AP636" i="1"/>
  <c r="AP637" i="1"/>
  <c r="AP612" i="1"/>
  <c r="AP613" i="1"/>
  <c r="AP594" i="1"/>
  <c r="AP595" i="1"/>
  <c r="AP576" i="1"/>
  <c r="AP577" i="1"/>
  <c r="AP578" i="1"/>
  <c r="AP535" i="1"/>
  <c r="AP536" i="1"/>
  <c r="AP523" i="1"/>
  <c r="AP524" i="1"/>
  <c r="AP478" i="1"/>
  <c r="AP479" i="1"/>
  <c r="AP473" i="1"/>
  <c r="AP474" i="1"/>
  <c r="AP458" i="1"/>
  <c r="AP459" i="1"/>
  <c r="AP440" i="1"/>
  <c r="AP441" i="1"/>
  <c r="AP429" i="1"/>
  <c r="AP430" i="1"/>
  <c r="AP431" i="1"/>
  <c r="AP400" i="1"/>
  <c r="AP401" i="1"/>
  <c r="AP382" i="1"/>
  <c r="AP383" i="1"/>
  <c r="AP384" i="1"/>
  <c r="AP381" i="1"/>
  <c r="AP362" i="1"/>
  <c r="AP363" i="1"/>
  <c r="AP355" i="1"/>
  <c r="AP356" i="1"/>
  <c r="AP348" i="1"/>
  <c r="AP349" i="1"/>
  <c r="AP251" i="1"/>
  <c r="AP250" i="1"/>
  <c r="AP243" i="1"/>
  <c r="AP242" i="1"/>
  <c r="AP229" i="1"/>
  <c r="AP228" i="1"/>
  <c r="AP221" i="1"/>
  <c r="AP220" i="1"/>
  <c r="AP168" i="1"/>
  <c r="AP169" i="1"/>
  <c r="AP156" i="1"/>
  <c r="AP155" i="1"/>
  <c r="AP157" i="1"/>
  <c r="AP144" i="1"/>
  <c r="AP145" i="1"/>
  <c r="AP140" i="1"/>
  <c r="AP139" i="1"/>
  <c r="AP134" i="1"/>
  <c r="AP133" i="1"/>
  <c r="AP120" i="1"/>
  <c r="AP119" i="1"/>
  <c r="AP112" i="1"/>
  <c r="AP111" i="1"/>
  <c r="AP98" i="1"/>
  <c r="AP99" i="1"/>
  <c r="AP97" i="1"/>
  <c r="AP88" i="1"/>
  <c r="AP89" i="1"/>
  <c r="AP66" i="1"/>
  <c r="AP65" i="1"/>
  <c r="AP44" i="1"/>
  <c r="AP46" i="1"/>
  <c r="AP45" i="1"/>
  <c r="AP32" i="1"/>
  <c r="AP33" i="1"/>
  <c r="AP24" i="1"/>
  <c r="AP23" i="1"/>
  <c r="AP13" i="1"/>
  <c r="AP1075" i="1"/>
  <c r="AP1076" i="1"/>
  <c r="AP1058" i="1"/>
  <c r="AP1057" i="1"/>
  <c r="AP1034" i="1"/>
  <c r="AP1033" i="1"/>
  <c r="AP1027" i="1"/>
  <c r="AP1028" i="1"/>
  <c r="AP1015" i="1"/>
  <c r="AP1016" i="1"/>
  <c r="AP1017" i="1"/>
  <c r="AP1010" i="1"/>
  <c r="AP1011" i="1"/>
  <c r="AP980" i="1"/>
  <c r="AP981" i="1"/>
  <c r="AP968" i="1"/>
  <c r="AP969" i="1"/>
  <c r="AP951" i="1"/>
  <c r="AP952" i="1"/>
  <c r="AP953" i="1"/>
  <c r="AP942" i="1"/>
  <c r="AP941" i="1"/>
  <c r="AP923" i="1"/>
  <c r="AP924" i="1"/>
  <c r="AP890" i="1"/>
  <c r="AP891" i="1"/>
  <c r="AP892" i="1"/>
  <c r="AP882" i="1"/>
  <c r="AP883" i="1"/>
  <c r="AP857" i="1"/>
  <c r="AP854" i="1"/>
  <c r="AP858" i="1"/>
  <c r="AP855" i="1"/>
  <c r="AP859" i="1"/>
  <c r="AP856" i="1"/>
  <c r="AP860" i="1"/>
  <c r="AP837" i="1"/>
  <c r="AP838" i="1"/>
  <c r="AP836" i="1"/>
  <c r="AP812" i="1"/>
  <c r="AP813" i="1"/>
  <c r="AP810" i="1"/>
  <c r="AP814" i="1"/>
  <c r="AP811" i="1"/>
  <c r="AP815" i="1"/>
  <c r="AP800" i="1"/>
  <c r="AP801" i="1"/>
  <c r="AP798" i="1"/>
  <c r="AP802" i="1"/>
  <c r="AP799" i="1"/>
  <c r="AP789" i="1"/>
  <c r="AP790" i="1"/>
  <c r="AP766" i="1"/>
  <c r="AP767" i="1"/>
  <c r="AP768" i="1"/>
  <c r="AP759" i="1"/>
  <c r="AP760" i="1"/>
  <c r="AP736" i="1"/>
  <c r="AP740" i="1"/>
  <c r="AP733" i="1"/>
  <c r="AP737" i="1"/>
  <c r="AP734" i="1"/>
  <c r="AP738" i="1"/>
  <c r="AP739" i="1"/>
  <c r="AP735" i="1"/>
  <c r="AP726" i="1"/>
  <c r="AP727" i="1"/>
  <c r="AP713" i="1"/>
  <c r="AP714" i="1"/>
  <c r="AP703" i="1"/>
  <c r="AP700" i="1"/>
  <c r="AP701" i="1"/>
  <c r="AP702" i="1"/>
  <c r="AP687" i="1"/>
  <c r="AP691" i="1"/>
  <c r="AP688" i="1"/>
  <c r="AP689" i="1"/>
  <c r="AP686" i="1"/>
  <c r="AP690" i="1"/>
  <c r="AP609" i="1"/>
  <c r="AP610" i="1"/>
  <c r="AP611" i="1"/>
  <c r="AP592" i="1"/>
  <c r="AP593" i="1"/>
  <c r="AP591" i="1"/>
  <c r="AP564" i="1"/>
  <c r="AP568" i="1"/>
  <c r="AP572" i="1"/>
  <c r="AP565" i="1"/>
  <c r="AP569" i="1"/>
  <c r="AP573" i="1"/>
  <c r="AP566" i="1"/>
  <c r="AP570" i="1"/>
  <c r="AP574" i="1"/>
  <c r="AP567" i="1"/>
  <c r="AP571" i="1"/>
  <c r="AP575" i="1"/>
  <c r="AP560" i="1"/>
  <c r="AP558" i="1"/>
  <c r="AP559" i="1"/>
  <c r="AP545" i="1"/>
  <c r="AP546" i="1"/>
  <c r="AP532" i="1"/>
  <c r="AP533" i="1"/>
  <c r="AP534" i="1"/>
  <c r="AP500" i="1"/>
  <c r="AP501" i="1"/>
  <c r="AP490" i="1"/>
  <c r="AP491" i="1"/>
  <c r="AP484" i="1"/>
  <c r="AP483" i="1"/>
  <c r="AP464" i="1"/>
  <c r="AP465" i="1"/>
  <c r="AP466" i="1"/>
  <c r="AP463" i="1"/>
  <c r="AP467" i="1"/>
  <c r="AP456" i="1"/>
  <c r="AP457" i="1"/>
  <c r="AP448" i="1"/>
  <c r="AP446" i="1"/>
  <c r="AP447" i="1"/>
  <c r="AP417" i="1"/>
  <c r="AP418" i="1"/>
  <c r="AP419" i="1"/>
  <c r="AP411" i="1"/>
  <c r="AP408" i="1"/>
  <c r="AP409" i="1"/>
  <c r="AP410" i="1"/>
  <c r="AP399" i="1"/>
  <c r="AP398" i="1"/>
  <c r="AP390" i="1"/>
  <c r="AP391" i="1"/>
  <c r="AP379" i="1"/>
  <c r="AP380" i="1"/>
  <c r="AP366" i="1"/>
  <c r="AP367" i="1"/>
  <c r="AP368" i="1"/>
  <c r="AP369" i="1"/>
  <c r="AP359" i="1"/>
  <c r="AP360" i="1"/>
  <c r="AP361" i="1"/>
  <c r="AP354" i="1"/>
  <c r="AP353" i="1"/>
  <c r="AP273" i="1"/>
  <c r="AP275" i="1"/>
  <c r="AP272" i="1"/>
  <c r="AP274" i="1"/>
  <c r="AP265" i="1"/>
  <c r="AP266" i="1"/>
  <c r="AP261" i="1"/>
  <c r="AP260" i="1"/>
  <c r="AP233" i="1"/>
  <c r="AP237" i="1"/>
  <c r="AP235" i="1"/>
  <c r="AP236" i="1"/>
  <c r="AP234" i="1"/>
  <c r="AP225" i="1"/>
  <c r="AP227" i="1"/>
  <c r="AP226" i="1"/>
  <c r="AP209" i="1"/>
  <c r="AP211" i="1"/>
  <c r="AP208" i="1"/>
  <c r="AP210" i="1"/>
  <c r="AP201" i="1"/>
  <c r="AP200" i="1"/>
  <c r="AP189" i="1"/>
  <c r="AP193" i="1"/>
  <c r="AP191" i="1"/>
  <c r="AP188" i="1"/>
  <c r="AP190" i="1"/>
  <c r="AP192" i="1"/>
  <c r="AP177" i="1"/>
  <c r="AP179" i="1"/>
  <c r="AP178" i="1"/>
  <c r="AP166" i="1"/>
  <c r="AP165" i="1"/>
  <c r="AP167" i="1"/>
  <c r="AP152" i="1"/>
  <c r="AP154" i="1"/>
  <c r="AP153" i="1"/>
  <c r="AP116" i="1"/>
  <c r="AP118" i="1"/>
  <c r="AP115" i="1"/>
  <c r="AP117" i="1"/>
  <c r="AP104" i="1"/>
  <c r="AP103" i="1"/>
  <c r="AP105" i="1"/>
  <c r="AP96" i="1"/>
  <c r="AP94" i="1"/>
  <c r="AP95" i="1"/>
  <c r="AP78" i="1"/>
  <c r="AP79" i="1"/>
  <c r="AP64" i="1"/>
  <c r="AP63" i="1"/>
  <c r="AP56" i="1"/>
  <c r="AP57" i="1"/>
  <c r="AP50" i="1"/>
  <c r="AP49" i="1"/>
  <c r="AP30" i="1"/>
  <c r="AP29" i="1"/>
  <c r="AP31" i="1"/>
  <c r="AP22" i="1"/>
  <c r="AP21" i="1"/>
  <c r="AP16" i="1"/>
  <c r="AP17" i="1"/>
  <c r="AP9" i="1"/>
  <c r="AP1091" i="1"/>
  <c r="AP1092" i="1"/>
  <c r="AP1093" i="1"/>
  <c r="AP1084" i="1"/>
  <c r="AP1085" i="1"/>
  <c r="AP1074" i="1"/>
  <c r="AP1073" i="1"/>
  <c r="AP1062" i="1"/>
  <c r="AP1066" i="1"/>
  <c r="AP1063" i="1"/>
  <c r="AP1067" i="1"/>
  <c r="AP1064" i="1"/>
  <c r="AP1068" i="1"/>
  <c r="AP1065" i="1"/>
  <c r="AP1046" i="1"/>
  <c r="AP1050" i="1"/>
  <c r="AP1047" i="1"/>
  <c r="AP1048" i="1"/>
  <c r="AP1045" i="1"/>
  <c r="AP1049" i="1"/>
  <c r="AP1039" i="1"/>
  <c r="AP1040" i="1"/>
  <c r="AP1041" i="1"/>
  <c r="AP1003" i="1"/>
  <c r="AP1004" i="1"/>
  <c r="AP998" i="1"/>
  <c r="AP997" i="1"/>
  <c r="AP946" i="1"/>
  <c r="AP950" i="1"/>
  <c r="AP947" i="1"/>
  <c r="AP948" i="1"/>
  <c r="AP945" i="1"/>
  <c r="AP949" i="1"/>
  <c r="AP931" i="1"/>
  <c r="AP932" i="1"/>
  <c r="AP933" i="1"/>
  <c r="AP922" i="1"/>
  <c r="AP921" i="1"/>
  <c r="AP909" i="1"/>
  <c r="AP910" i="1"/>
  <c r="AP897" i="1"/>
  <c r="AP901" i="1"/>
  <c r="AP898" i="1"/>
  <c r="AP899" i="1"/>
  <c r="AP900" i="1"/>
  <c r="AP889" i="1"/>
  <c r="AP887" i="1"/>
  <c r="AP888" i="1"/>
  <c r="AP869" i="1"/>
  <c r="AP867" i="1"/>
  <c r="AP868" i="1"/>
  <c r="AP853" i="1"/>
  <c r="AP851" i="1"/>
  <c r="AP852" i="1"/>
  <c r="AP833" i="1"/>
  <c r="AP834" i="1"/>
  <c r="AP835" i="1"/>
  <c r="AP808" i="1"/>
  <c r="AP809" i="1"/>
  <c r="AP796" i="1"/>
  <c r="AP797" i="1"/>
  <c r="AP794" i="1"/>
  <c r="AP795" i="1"/>
  <c r="AP757" i="1"/>
  <c r="AP758" i="1"/>
  <c r="AP750" i="1"/>
  <c r="AP751" i="1"/>
  <c r="AP752" i="1"/>
  <c r="AP744" i="1"/>
  <c r="AP745" i="1"/>
  <c r="AP732" i="1"/>
  <c r="AP731" i="1"/>
  <c r="AP724" i="1"/>
  <c r="AP725" i="1"/>
  <c r="AP723" i="1"/>
  <c r="AP711" i="1"/>
  <c r="AP712" i="1"/>
  <c r="AP699" i="1"/>
  <c r="AP697" i="1"/>
  <c r="AP698" i="1"/>
  <c r="AP684" i="1"/>
  <c r="AP685" i="1"/>
  <c r="AP679" i="1"/>
  <c r="AP680" i="1"/>
  <c r="AP678" i="1"/>
  <c r="AP671" i="1"/>
  <c r="AP672" i="1"/>
  <c r="AP673" i="1"/>
  <c r="AP670" i="1"/>
  <c r="AP660" i="1"/>
  <c r="AP661" i="1"/>
  <c r="AP633" i="1"/>
  <c r="AP634" i="1"/>
  <c r="AP625" i="1"/>
  <c r="AP626" i="1"/>
  <c r="AP616" i="1"/>
  <c r="AP617" i="1"/>
  <c r="AP618" i="1"/>
  <c r="AP615" i="1"/>
  <c r="AP619" i="1"/>
  <c r="AP608" i="1"/>
  <c r="AP606" i="1"/>
  <c r="AP607" i="1"/>
  <c r="AP555" i="1"/>
  <c r="AP556" i="1"/>
  <c r="AP553" i="1"/>
  <c r="AP554" i="1"/>
  <c r="AP539" i="1"/>
  <c r="AP540" i="1"/>
  <c r="AP521" i="1"/>
  <c r="AP520" i="1"/>
  <c r="AP512" i="1"/>
  <c r="AP513" i="1"/>
  <c r="AP494" i="1"/>
  <c r="AP495" i="1"/>
  <c r="AP461" i="1"/>
  <c r="AP462" i="1"/>
  <c r="AP452" i="1"/>
  <c r="AP453" i="1"/>
  <c r="AP454" i="1"/>
  <c r="AP451" i="1"/>
  <c r="AP455" i="1"/>
  <c r="AP444" i="1"/>
  <c r="AP445" i="1"/>
  <c r="AP443" i="1"/>
  <c r="AP436" i="1"/>
  <c r="AP437" i="1"/>
  <c r="AP438" i="1"/>
  <c r="AP415" i="1"/>
  <c r="AP414" i="1"/>
  <c r="AP403" i="1"/>
  <c r="AP407" i="1"/>
  <c r="AP404" i="1"/>
  <c r="AP405" i="1"/>
  <c r="AP406" i="1"/>
  <c r="AP396" i="1"/>
  <c r="AP397" i="1"/>
  <c r="AP387" i="1"/>
  <c r="AP388" i="1"/>
  <c r="AP389" i="1"/>
  <c r="AP351" i="1"/>
  <c r="AP352" i="1"/>
  <c r="AP325" i="1"/>
  <c r="AP324" i="1"/>
  <c r="AP307" i="1"/>
  <c r="AP308" i="1"/>
  <c r="AP245" i="1"/>
  <c r="AP247" i="1"/>
  <c r="AP246" i="1"/>
  <c r="AP223" i="1"/>
  <c r="AP224" i="1"/>
  <c r="AP199" i="1"/>
  <c r="AP198" i="1"/>
  <c r="AP185" i="1"/>
  <c r="AP183" i="1"/>
  <c r="AP187" i="1"/>
  <c r="AP184" i="1"/>
  <c r="AP186" i="1"/>
  <c r="AP164" i="1"/>
  <c r="AP163" i="1"/>
  <c r="AP148" i="1"/>
  <c r="AP150" i="1"/>
  <c r="AP149" i="1"/>
  <c r="AP151" i="1"/>
  <c r="AP130" i="1"/>
  <c r="AP131" i="1"/>
  <c r="AP92" i="1"/>
  <c r="AP93" i="1"/>
  <c r="AP84" i="1"/>
  <c r="AP82" i="1"/>
  <c r="AP86" i="1"/>
  <c r="AP83" i="1"/>
  <c r="AP85" i="1"/>
  <c r="AP68" i="1"/>
  <c r="AP69" i="1"/>
  <c r="AP62" i="1"/>
  <c r="AP61" i="1"/>
  <c r="AP54" i="1"/>
  <c r="AP55" i="1"/>
  <c r="AP40" i="1"/>
  <c r="AP42" i="1"/>
  <c r="AP41" i="1"/>
  <c r="AP8" i="1"/>
  <c r="AP7" i="1"/>
  <c r="AC6" i="1" a="1"/>
  <c r="AC6" i="1" s="1"/>
  <c r="AB6" i="1" s="1"/>
  <c r="AG6" i="1" l="1"/>
  <c r="F20" i="5" l="1"/>
  <c r="F22" i="5"/>
  <c r="F21" i="5"/>
  <c r="A17" i="7"/>
  <c r="A6" i="7"/>
  <c r="K5" i="2" l="1"/>
  <c r="AP6" i="1" s="1"/>
  <c r="A15" i="6" l="1"/>
  <c r="AL6" i="1"/>
  <c r="AK6" i="1"/>
  <c r="AJ6" i="1"/>
  <c r="AI6" i="1"/>
  <c r="N5" i="2" l="1"/>
  <c r="C14" i="3"/>
  <c r="C15" i="3"/>
  <c r="D19" i="5"/>
  <c r="D18" i="5"/>
  <c r="D17" i="5"/>
  <c r="D16" i="5"/>
  <c r="D15" i="5"/>
  <c r="D14" i="5"/>
  <c r="D7" i="5"/>
  <c r="D6" i="5"/>
  <c r="C7" i="5"/>
  <c r="C6" i="5"/>
  <c r="A6" i="1"/>
  <c r="T6" i="1"/>
  <c r="S6" i="1"/>
  <c r="R6" i="1"/>
  <c r="Q6" i="1"/>
  <c r="H2" i="2"/>
  <c r="D21" i="5" l="1"/>
  <c r="G15" i="5"/>
  <c r="D20" i="5"/>
  <c r="E14" i="5"/>
  <c r="G16" i="5"/>
  <c r="D8" i="5"/>
  <c r="D22" i="5"/>
  <c r="C8" i="5"/>
  <c r="G14" i="5"/>
  <c r="E17" i="5"/>
  <c r="G17" i="5"/>
  <c r="E19" i="5"/>
  <c r="G18" i="5"/>
  <c r="G19" i="5"/>
  <c r="E18" i="5"/>
  <c r="E15" i="5"/>
  <c r="E16" i="5"/>
  <c r="E21" i="5" l="1"/>
  <c r="G20" i="5"/>
  <c r="G22" i="5"/>
  <c r="E22" i="5"/>
  <c r="E20" i="5"/>
  <c r="G21" i="5"/>
  <c r="AF287" i="1" l="1"/>
  <c r="AF724" i="1" l="1"/>
  <c r="AF22" i="1" l="1"/>
  <c r="G180" i="1"/>
  <c r="G112" i="1"/>
  <c r="G433" i="1"/>
  <c r="G868" i="1"/>
  <c r="G606" i="1"/>
  <c r="G371" i="1"/>
  <c r="G1059" i="1"/>
  <c r="G1039" i="1"/>
  <c r="G80" i="1"/>
  <c r="G1077" i="1"/>
  <c r="G788" i="1"/>
  <c r="G482" i="1"/>
  <c r="G723" i="1"/>
  <c r="G969" i="1"/>
  <c r="G648" i="1"/>
  <c r="G729" i="1"/>
  <c r="G646" i="1"/>
  <c r="G1067" i="1"/>
  <c r="G642" i="1"/>
  <c r="G317" i="1"/>
  <c r="G508" i="1"/>
  <c r="G298" i="1"/>
  <c r="G523" i="1"/>
  <c r="G336" i="1"/>
  <c r="G896" i="1"/>
  <c r="G686" i="1"/>
  <c r="G512" i="1"/>
  <c r="G897" i="1"/>
  <c r="G480" i="1"/>
  <c r="G351" i="1"/>
  <c r="G835" i="1"/>
  <c r="G888" i="1"/>
  <c r="G40" i="1"/>
  <c r="G717" i="1"/>
  <c r="G1018" i="1"/>
  <c r="G647" i="1"/>
  <c r="G211" i="1"/>
  <c r="G935" i="1"/>
  <c r="G951" i="1"/>
  <c r="G1046" i="1"/>
  <c r="G36" i="1"/>
  <c r="G81" i="1"/>
  <c r="G908" i="1"/>
  <c r="G583" i="1"/>
  <c r="G505" i="1"/>
  <c r="G796" i="1"/>
  <c r="G805" i="1"/>
  <c r="G715" i="1"/>
  <c r="G834" i="1"/>
  <c r="G323" i="1"/>
  <c r="G529" i="1"/>
  <c r="G510" i="1"/>
  <c r="G1074" i="1"/>
  <c r="G618" i="1"/>
  <c r="G124" i="1"/>
  <c r="G669" i="1"/>
  <c r="G765" i="1"/>
  <c r="G423" i="1"/>
  <c r="G50" i="1"/>
  <c r="G394" i="1"/>
  <c r="G255" i="1"/>
  <c r="G1075" i="1"/>
  <c r="G127" i="1"/>
  <c r="G1000" i="1"/>
  <c r="G731" i="1"/>
  <c r="G188" i="1"/>
  <c r="G6" i="1"/>
  <c r="G886" i="1"/>
  <c r="G667" i="1"/>
  <c r="G386" i="1"/>
  <c r="G102" i="1"/>
  <c r="G963" i="1"/>
  <c r="G217" i="1"/>
  <c r="G538" i="1"/>
  <c r="G106" i="1"/>
  <c r="G843" i="1"/>
  <c r="G502" i="1"/>
  <c r="G177" i="1"/>
  <c r="G42" i="1"/>
  <c r="G68" i="1"/>
  <c r="G962" i="1"/>
  <c r="G179" i="1"/>
  <c r="G770" i="1"/>
  <c r="G220" i="1"/>
  <c r="G901" i="1"/>
  <c r="G933" i="1"/>
  <c r="G634" i="1"/>
  <c r="G398" i="1"/>
  <c r="G173" i="1"/>
  <c r="G984" i="1"/>
  <c r="G215" i="1"/>
  <c r="G194" i="1"/>
  <c r="G856" i="1"/>
  <c r="G604" i="1"/>
  <c r="G453" i="1"/>
  <c r="G500" i="1"/>
  <c r="G253" i="1"/>
  <c r="G1118" i="1"/>
  <c r="G286" i="1"/>
  <c r="G435" i="1"/>
  <c r="G43" i="1"/>
  <c r="G822" i="1"/>
  <c r="G665" i="1"/>
  <c r="G1106" i="1"/>
  <c r="G191" i="1"/>
  <c r="G384" i="1"/>
  <c r="G492" i="1"/>
  <c r="G295" i="1"/>
  <c r="G331" i="1"/>
  <c r="G847" i="1"/>
  <c r="G952" i="1"/>
  <c r="G1004" i="1"/>
  <c r="G607" i="1"/>
  <c r="G544" i="1"/>
  <c r="G1038" i="1"/>
  <c r="G752" i="1"/>
  <c r="G1079" i="1"/>
  <c r="G906" i="1"/>
  <c r="G621" i="1"/>
  <c r="G494" i="1"/>
  <c r="G599" i="1"/>
  <c r="G446" i="1"/>
  <c r="G37" i="1"/>
  <c r="G200" i="1"/>
  <c r="G694" i="1"/>
  <c r="G559" i="1"/>
  <c r="G237" i="1"/>
  <c r="G247" i="1"/>
  <c r="G564" i="1"/>
  <c r="G571" i="1"/>
  <c r="G561" i="1"/>
  <c r="G98" i="1"/>
  <c r="G582" i="1"/>
  <c r="G361" i="1"/>
  <c r="G815" i="1"/>
  <c r="G573" i="1"/>
  <c r="G1131" i="1"/>
  <c r="G1094" i="1"/>
  <c r="G651" i="1"/>
  <c r="G959" i="1"/>
  <c r="G104" i="1"/>
  <c r="G1011" i="1"/>
  <c r="G1068" i="1"/>
  <c r="G1090" i="1"/>
  <c r="G680" i="1"/>
  <c r="G59" i="1"/>
  <c r="G650" i="1"/>
  <c r="G774" i="1"/>
  <c r="G186" i="1"/>
  <c r="G146" i="1"/>
  <c r="G555" i="1"/>
  <c r="G973" i="1"/>
  <c r="G1119" i="1"/>
  <c r="G254" i="1"/>
  <c r="G880" i="1"/>
  <c r="G766" i="1"/>
  <c r="G633" i="1"/>
  <c r="G836" i="1"/>
  <c r="G1111" i="1"/>
  <c r="G791" i="1"/>
  <c r="G137" i="1"/>
  <c r="G671" i="1"/>
  <c r="G87" i="1"/>
  <c r="G455" i="1"/>
  <c r="G395" i="1"/>
  <c r="G738" i="1"/>
  <c r="G811" i="1"/>
  <c r="G849" i="1"/>
  <c r="G707" i="1"/>
  <c r="G535" i="1"/>
  <c r="G214" i="1"/>
  <c r="G547" i="1"/>
  <c r="G263" i="1"/>
  <c r="G224" i="1"/>
  <c r="G283" i="1"/>
  <c r="G412" i="1"/>
  <c r="G521" i="1"/>
  <c r="G710" i="1"/>
  <c r="G206" i="1"/>
  <c r="G73" i="1"/>
  <c r="G142" i="1"/>
  <c r="G720" i="1"/>
  <c r="G543" i="1"/>
  <c r="G541" i="1"/>
  <c r="G226" i="1"/>
  <c r="G892" i="1"/>
  <c r="G740" i="1"/>
  <c r="G827" i="1"/>
  <c r="G320" i="1"/>
  <c r="G445" i="1"/>
  <c r="G324" i="1"/>
  <c r="G1021" i="1"/>
  <c r="G934" i="1"/>
  <c r="G701" i="1"/>
  <c r="G245" i="1"/>
  <c r="G1022" i="1"/>
  <c r="G415" i="1"/>
  <c r="G236" i="1"/>
  <c r="G1061" i="1"/>
  <c r="G975" i="1"/>
  <c r="G303" i="1"/>
  <c r="G852" i="1"/>
  <c r="G883" i="1"/>
  <c r="G100" i="1"/>
  <c r="G810" i="1"/>
  <c r="G170" i="1"/>
  <c r="G33" i="1"/>
  <c r="G756" i="1"/>
  <c r="G1110" i="1"/>
  <c r="G698" i="1"/>
  <c r="G489" i="1"/>
  <c r="G150" i="1"/>
  <c r="G1071" i="1"/>
  <c r="G168" i="1"/>
  <c r="G625" i="1"/>
  <c r="G192" i="1"/>
  <c r="G125" i="1"/>
  <c r="G882" i="1"/>
  <c r="G138" i="1"/>
  <c r="G424" i="1"/>
  <c r="G419" i="1"/>
  <c r="G617" i="1"/>
  <c r="G1087" i="1"/>
  <c r="G397" i="1"/>
  <c r="G190" i="1"/>
  <c r="G266" i="1"/>
  <c r="G95" i="1"/>
  <c r="G13" i="1"/>
  <c r="G610" i="1"/>
  <c r="G580" i="1"/>
  <c r="G591" i="1"/>
  <c r="G400" i="1"/>
  <c r="G391" i="1"/>
  <c r="G430" i="1"/>
  <c r="G812" i="1"/>
  <c r="G91" i="1"/>
  <c r="G48" i="1"/>
  <c r="G483" i="1"/>
  <c r="G967" i="1"/>
  <c r="G149" i="1"/>
  <c r="G659" i="1"/>
  <c r="G1035" i="1"/>
  <c r="G857" i="1"/>
  <c r="G1107" i="1"/>
  <c r="G753" i="1"/>
  <c r="G961" i="1"/>
  <c r="G872" i="1"/>
  <c r="G912" i="1"/>
  <c r="G1013" i="1"/>
  <c r="G94" i="1"/>
  <c r="G898" i="1"/>
  <c r="G837" i="1"/>
  <c r="G853" i="1"/>
  <c r="G910" i="1"/>
  <c r="G128" i="1"/>
  <c r="G488" i="1"/>
  <c r="G444" i="1"/>
  <c r="G459" i="1"/>
  <c r="G601" i="1"/>
  <c r="G404" i="1"/>
  <c r="G534" i="1"/>
  <c r="G809" i="1"/>
  <c r="G1032" i="1"/>
  <c r="G458" i="1"/>
  <c r="G887" i="1"/>
  <c r="G1056" i="1"/>
  <c r="G268" i="1"/>
  <c r="G1115" i="1"/>
  <c r="G108" i="1"/>
  <c r="G473" i="1"/>
  <c r="G708" i="1"/>
  <c r="G126" i="1"/>
  <c r="G246" i="1"/>
  <c r="G620" i="1"/>
  <c r="G1034" i="1"/>
  <c r="G1020" i="1"/>
  <c r="G981" i="1"/>
  <c r="G86" i="1"/>
  <c r="G61" i="1"/>
  <c r="G221" i="1"/>
  <c r="G655" i="1"/>
  <c r="G454" i="1"/>
  <c r="G858" i="1"/>
  <c r="G754" i="1"/>
  <c r="G786" i="1"/>
  <c r="G1109" i="1"/>
  <c r="G613" i="1"/>
  <c r="G721" i="1"/>
  <c r="G1072" i="1"/>
  <c r="G297" i="1"/>
  <c r="G861" i="1"/>
  <c r="G877" i="1"/>
  <c r="G590" i="1"/>
  <c r="G978" i="1"/>
  <c r="G165" i="1"/>
  <c r="G941" i="1"/>
  <c r="G281" i="1"/>
  <c r="G998" i="1"/>
  <c r="G670" i="1"/>
  <c r="G172" i="1"/>
  <c r="G660" i="1"/>
  <c r="G335" i="1"/>
  <c r="G289" i="1"/>
  <c r="G47" i="1"/>
  <c r="G262" i="1"/>
  <c r="G216" i="1"/>
  <c r="G88" i="1"/>
  <c r="G552" i="1"/>
  <c r="G771" i="1"/>
  <c r="G322" i="1"/>
  <c r="G1060" i="1"/>
  <c r="G373" i="1"/>
  <c r="G275" i="1"/>
  <c r="G787" i="1"/>
  <c r="G122" i="1"/>
  <c r="G658" i="1"/>
  <c r="G1040" i="1"/>
  <c r="G639" i="1"/>
  <c r="G780" i="1"/>
  <c r="G749" i="1"/>
  <c r="G76" i="1"/>
  <c r="G605" i="1"/>
  <c r="G285" i="1"/>
  <c r="G205" i="1"/>
  <c r="G195" i="1"/>
  <c r="G596" i="1"/>
  <c r="G859" i="1"/>
  <c r="G661" i="1"/>
  <c r="G71" i="1"/>
  <c r="G377" i="1"/>
  <c r="G550" i="1"/>
  <c r="G1103" i="1"/>
  <c r="G842" i="1"/>
  <c r="G719" i="1"/>
  <c r="G381" i="1"/>
  <c r="G440" i="1"/>
  <c r="G957" i="1"/>
  <c r="G313" i="1"/>
  <c r="G990" i="1"/>
  <c r="G1044" i="1"/>
  <c r="G1030" i="1"/>
  <c r="G107" i="1"/>
  <c r="G9" i="1"/>
  <c r="G851" i="1"/>
  <c r="G407" i="1"/>
  <c r="G471" i="1"/>
  <c r="G120" i="1"/>
  <c r="G204" i="1"/>
  <c r="G840" i="1"/>
  <c r="G976" i="1"/>
  <c r="G353" i="1"/>
  <c r="G750" i="1"/>
  <c r="G225" i="1"/>
  <c r="G66" i="1"/>
  <c r="G1091" i="1"/>
  <c r="G979" i="1"/>
  <c r="G414" i="1"/>
  <c r="G565" i="1"/>
  <c r="G476" i="1"/>
  <c r="G683" i="1"/>
  <c r="G566" i="1"/>
  <c r="G201" i="1"/>
  <c r="G743" i="1"/>
  <c r="G84" i="1"/>
  <c r="G241" i="1"/>
  <c r="G1051" i="1"/>
  <c r="G345" i="1"/>
  <c r="G57" i="1"/>
  <c r="G516" i="1"/>
  <c r="G531" i="1"/>
  <c r="G614" i="1"/>
  <c r="G466" i="1"/>
  <c r="G1002" i="1"/>
  <c r="G337" i="1"/>
  <c r="G688" i="1"/>
  <c r="G820" i="1"/>
  <c r="G554" i="1"/>
  <c r="G410" i="1"/>
  <c r="G737" i="1"/>
  <c r="G69" i="1"/>
  <c r="G598" i="1"/>
  <c r="G65" i="1"/>
  <c r="G953" i="1"/>
  <c r="G1128" i="1"/>
  <c r="G426" i="1"/>
  <c r="G926" i="1"/>
  <c r="G1023" i="1"/>
  <c r="G585" i="1"/>
  <c r="G41" i="1"/>
  <c r="G1048" i="1"/>
  <c r="G792" i="1"/>
  <c r="G470" i="1"/>
  <c r="G330" i="1"/>
  <c r="G909" i="1"/>
  <c r="G900" i="1"/>
  <c r="G372" i="1"/>
  <c r="G308" i="1"/>
  <c r="G1027" i="1"/>
  <c r="G343" i="1"/>
  <c r="G329" i="1"/>
  <c r="G703" i="1"/>
  <c r="G794" i="1"/>
  <c r="G644" i="1"/>
  <c r="G1007" i="1"/>
  <c r="G790" i="1"/>
  <c r="G549" i="1"/>
  <c r="G115" i="1"/>
  <c r="G989" i="1"/>
  <c r="G1078" i="1"/>
  <c r="G869" i="1"/>
  <c r="G294" i="1"/>
  <c r="G1024" i="1"/>
  <c r="G109" i="1"/>
  <c r="G310" i="1"/>
  <c r="G875" i="1"/>
  <c r="G379" i="1"/>
  <c r="G469" i="1"/>
  <c r="G163" i="1"/>
  <c r="G631" i="1"/>
  <c r="G144" i="1"/>
  <c r="G53" i="1"/>
  <c r="G389" i="1"/>
  <c r="G775" i="1"/>
  <c r="G804" i="1"/>
  <c r="G434" i="1"/>
  <c r="G67" i="1"/>
  <c r="G279" i="1"/>
  <c r="G431" i="1"/>
  <c r="G993" i="1"/>
  <c r="G152" i="1"/>
  <c r="G916" i="1"/>
  <c r="G1105" i="1"/>
  <c r="G891" i="1"/>
  <c r="G131" i="1"/>
  <c r="G929" i="1"/>
  <c r="G54" i="1"/>
  <c r="G267" i="1"/>
  <c r="G340" i="1"/>
  <c r="G14" i="1"/>
  <c r="G405" i="1"/>
  <c r="G587" i="1"/>
  <c r="G45" i="1"/>
  <c r="G119" i="1"/>
  <c r="G1129" i="1"/>
  <c r="G272" i="1"/>
  <c r="G1102" i="1"/>
  <c r="G964" i="1"/>
  <c r="G239" i="1"/>
  <c r="G167" i="1"/>
  <c r="G581" i="1"/>
  <c r="G156" i="1"/>
  <c r="G602" i="1"/>
  <c r="G1084" i="1"/>
  <c r="G520" i="1"/>
  <c r="G468" i="1"/>
  <c r="G233" i="1"/>
  <c r="G873" i="1"/>
  <c r="G532" i="1"/>
  <c r="G943" i="1"/>
  <c r="G181" i="1"/>
  <c r="G965" i="1"/>
  <c r="G486" i="1"/>
  <c r="G478" i="1"/>
  <c r="G509" i="1"/>
  <c r="G923" i="1"/>
  <c r="G374" i="1"/>
  <c r="G85" i="1"/>
  <c r="G77" i="1"/>
  <c r="G311" i="1"/>
  <c r="G764" i="1"/>
  <c r="G684" i="1"/>
  <c r="G252" i="1"/>
  <c r="G227" i="1"/>
  <c r="G712" i="1"/>
  <c r="G1076" i="1"/>
  <c r="G778" i="1"/>
  <c r="G21" i="1"/>
  <c r="G304" i="1"/>
  <c r="G693" i="1"/>
  <c r="G692" i="1"/>
  <c r="G406" i="1"/>
  <c r="G632" i="1"/>
  <c r="G199" i="1"/>
  <c r="G530" i="1"/>
  <c r="G518" i="1"/>
  <c r="G422" i="1"/>
  <c r="G135" i="1"/>
  <c r="G196" i="1"/>
  <c r="G31" i="1"/>
  <c r="G1037" i="1"/>
  <c r="G983" i="1"/>
  <c r="G918" i="1"/>
  <c r="G905" i="1"/>
  <c r="G437" i="1"/>
  <c r="G588" i="1"/>
  <c r="G807" i="1"/>
  <c r="G1028" i="1"/>
  <c r="G116" i="1"/>
  <c r="G1015" i="1"/>
  <c r="G1134" i="1"/>
  <c r="G96" i="1"/>
  <c r="G35" i="1"/>
  <c r="G863" i="1"/>
  <c r="G421" i="1"/>
  <c r="G616" i="1"/>
  <c r="G640" i="1"/>
  <c r="G357" i="1"/>
  <c r="G947" i="1"/>
  <c r="G274" i="1"/>
  <c r="G160" i="1"/>
  <c r="G525" i="1"/>
  <c r="G560" i="1"/>
  <c r="G705" i="1"/>
  <c r="G609" i="1"/>
  <c r="G922" i="1"/>
  <c r="G911" i="1"/>
  <c r="G34" i="1"/>
  <c r="G235" i="1"/>
  <c r="G690" i="1"/>
  <c r="G637" i="1"/>
  <c r="G1113" i="1"/>
  <c r="G1069" i="1"/>
  <c r="G903" i="1"/>
  <c r="G913" i="1"/>
  <c r="G563" i="1"/>
  <c r="G830" i="1"/>
  <c r="G130" i="1"/>
  <c r="G681" i="1"/>
  <c r="G1017" i="1"/>
  <c r="G136" i="1"/>
  <c r="G652" i="1"/>
  <c r="G742" i="1"/>
  <c r="G1003" i="1"/>
  <c r="G26" i="1"/>
  <c r="G51" i="1"/>
  <c r="G299" i="1"/>
  <c r="G418" i="1"/>
  <c r="G378" i="1"/>
  <c r="G139" i="1"/>
  <c r="G987" i="1"/>
  <c r="G519" i="1"/>
  <c r="G229" i="1"/>
  <c r="G819" i="1"/>
  <c r="G56" i="1"/>
  <c r="G866" i="1"/>
  <c r="G1064" i="1"/>
  <c r="G832" i="1"/>
  <c r="G626" i="1"/>
  <c r="G1019" i="1"/>
  <c r="G209" i="1"/>
  <c r="G427" i="1"/>
  <c r="G29" i="1"/>
  <c r="G20" i="1"/>
  <c r="G46" i="1"/>
  <c r="G461" i="1"/>
  <c r="G151" i="1"/>
  <c r="G284" i="1"/>
  <c r="G358" i="1"/>
  <c r="G387" i="1"/>
  <c r="G207" i="1"/>
  <c r="G314" i="1"/>
  <c r="G992" i="1"/>
  <c r="G816" i="1"/>
  <c r="G111" i="1"/>
  <c r="G375" i="1"/>
  <c r="G732" i="1"/>
  <c r="G776" i="1"/>
  <c r="G185" i="1"/>
  <c r="G256" i="1"/>
  <c r="G597" i="1"/>
  <c r="G223" i="1"/>
  <c r="G999" i="1"/>
  <c r="G74" i="1"/>
  <c r="G1070" i="1"/>
  <c r="G62" i="1"/>
  <c r="G326" i="1"/>
  <c r="G773" i="1"/>
  <c r="G718" i="1"/>
  <c r="G932" i="1"/>
  <c r="G231" i="1"/>
  <c r="G845" i="1"/>
  <c r="G527" i="1"/>
  <c r="G411" i="1"/>
  <c r="G302" i="1"/>
  <c r="G38" i="1"/>
  <c r="G1117" i="1"/>
  <c r="G319" i="1"/>
  <c r="G118" i="1"/>
  <c r="G327" i="1"/>
  <c r="G269" i="1"/>
  <c r="G608" i="1"/>
  <c r="G477" i="1"/>
  <c r="G653" i="1"/>
  <c r="G501" i="1"/>
  <c r="G396" i="1"/>
  <c r="G714" i="1"/>
  <c r="G1016" i="1"/>
  <c r="G818" i="1"/>
  <c r="G129" i="1"/>
  <c r="G271" i="1"/>
  <c r="G83" i="1"/>
  <c r="G548" i="1"/>
  <c r="G425" i="1"/>
  <c r="G540" i="1"/>
  <c r="G980" i="1"/>
  <c r="G52" i="1"/>
  <c r="G222" i="1"/>
  <c r="G814" i="1"/>
  <c r="G401" i="1"/>
  <c r="G148" i="1"/>
  <c r="G584" i="1"/>
  <c r="G133" i="1"/>
  <c r="G907" i="1"/>
  <c r="G854" i="1"/>
  <c r="G545" i="1"/>
  <c r="G556" i="1"/>
  <c r="G948" i="1"/>
  <c r="G234" i="1"/>
  <c r="G986" i="1"/>
  <c r="G467" i="1"/>
  <c r="G380" i="1"/>
  <c r="G408" i="1"/>
  <c r="G157" i="1"/>
  <c r="G60" i="1"/>
  <c r="G893" i="1"/>
  <c r="G937" i="1"/>
  <c r="G1036" i="1"/>
  <c r="G140" i="1"/>
  <c r="G97" i="1"/>
  <c r="G744" i="1"/>
  <c r="G949" i="1"/>
  <c r="G735" i="1"/>
  <c r="G920" i="1"/>
  <c r="G709" i="1"/>
  <c r="G1058" i="1"/>
  <c r="G479" i="1"/>
  <c r="G1083" i="1"/>
  <c r="G349" i="1"/>
  <c r="G403" i="1"/>
  <c r="G174" i="1"/>
  <c r="G769" i="1"/>
  <c r="G817" i="1"/>
  <c r="G399" i="1"/>
  <c r="G793" i="1"/>
  <c r="G579" i="1"/>
  <c r="G465" i="1"/>
  <c r="G312" i="1"/>
  <c r="G515" i="1"/>
  <c r="G309" i="1"/>
  <c r="G210" i="1"/>
  <c r="G1005" i="1"/>
  <c r="G936" i="1"/>
  <c r="G878" i="1"/>
  <c r="G902" i="1"/>
  <c r="G696" i="1"/>
  <c r="G722" i="1"/>
  <c r="G821" i="1"/>
  <c r="G528" i="1"/>
  <c r="G277" i="1"/>
  <c r="G673" i="1"/>
  <c r="G251" i="1"/>
  <c r="G17" i="1"/>
  <c r="G553" i="1"/>
  <c r="G777" i="1"/>
  <c r="G1096" i="1"/>
  <c r="G758" i="1"/>
  <c r="G1130" i="1"/>
  <c r="G388" i="1"/>
  <c r="G942" i="1"/>
  <c r="G578" i="1"/>
  <c r="G643" i="1"/>
  <c r="G1010" i="1"/>
  <c r="G307" i="1"/>
  <c r="G143" i="1"/>
  <c r="G1133" i="1"/>
  <c r="G315" i="1"/>
  <c r="G741" i="1"/>
  <c r="G1097" i="1"/>
  <c r="G159" i="1"/>
  <c r="G441" i="1"/>
  <c r="G824" i="1"/>
  <c r="G296" i="1"/>
  <c r="G619" i="1"/>
  <c r="G448" i="1"/>
  <c r="G300" i="1"/>
  <c r="G870" i="1"/>
  <c r="G567" i="1"/>
  <c r="G862" i="1"/>
  <c r="G767" i="1"/>
  <c r="G348" i="1"/>
  <c r="G839" i="1"/>
  <c r="G675" i="1"/>
  <c r="G700" i="1"/>
  <c r="G645" i="1"/>
  <c r="G443" i="1"/>
  <c r="G1101" i="1"/>
  <c r="G682" i="1"/>
  <c r="G456" i="1"/>
  <c r="G924" i="1"/>
  <c r="G457" i="1"/>
  <c r="G110" i="1"/>
  <c r="G685" i="1"/>
  <c r="G278" i="1"/>
  <c r="G855" i="1"/>
  <c r="G800" i="1"/>
  <c r="G746" i="1"/>
  <c r="G249" i="1"/>
  <c r="G1125" i="1"/>
  <c r="G1121" i="1"/>
  <c r="G1055" i="1"/>
  <c r="G451" i="1"/>
  <c r="G944" i="1"/>
  <c r="G321" i="1"/>
  <c r="G784" i="1"/>
  <c r="G23" i="1"/>
  <c r="G184" i="1"/>
  <c r="G982" i="1"/>
  <c r="G452" i="1"/>
  <c r="G339" i="1"/>
  <c r="K2" i="2"/>
  <c r="G829" i="1"/>
  <c r="G485" i="1"/>
  <c r="G183" i="1"/>
  <c r="G113" i="1"/>
  <c r="G420" i="1"/>
  <c r="G1043" i="1"/>
  <c r="G1092" i="1"/>
  <c r="G390" i="1"/>
  <c r="G175" i="1"/>
  <c r="G782" i="1"/>
  <c r="G417" i="1"/>
  <c r="G919" i="1"/>
  <c r="G338" i="1"/>
  <c r="G663" i="1"/>
  <c r="G89" i="1"/>
  <c r="G347" i="1"/>
  <c r="G354" i="1"/>
  <c r="G972" i="1"/>
  <c r="G362" i="1"/>
  <c r="G1045" i="1"/>
  <c r="G844" i="1"/>
  <c r="G1088" i="1"/>
  <c r="G649" i="1"/>
  <c r="G147" i="1"/>
  <c r="G8" i="1"/>
  <c r="G572" i="1"/>
  <c r="G831" i="1"/>
  <c r="G219" i="1"/>
  <c r="G871" i="1"/>
  <c r="G481" i="1"/>
  <c r="G960" i="1"/>
  <c r="G833" i="1"/>
  <c r="G402" i="1"/>
  <c r="G678" i="1"/>
  <c r="G1123" i="1"/>
  <c r="G702" i="1"/>
  <c r="G259" i="1"/>
  <c r="G155" i="1"/>
  <c r="G250" i="1"/>
  <c r="G346" i="1"/>
  <c r="G352" i="1"/>
  <c r="G342" i="1"/>
  <c r="G24" i="1"/>
  <c r="G938" i="1"/>
  <c r="G164" i="1"/>
  <c r="G570" i="1"/>
  <c r="G240" i="1"/>
  <c r="G265" i="1"/>
  <c r="G1089" i="1"/>
  <c r="G487" i="1"/>
  <c r="G63" i="1"/>
  <c r="G874" i="1"/>
  <c r="G450" i="1"/>
  <c r="G666" i="1"/>
  <c r="G145" i="1"/>
  <c r="G305" i="1"/>
  <c r="G428" i="1"/>
  <c r="G841" i="1"/>
  <c r="G344" i="1"/>
  <c r="G193" i="1"/>
  <c r="G697" i="1"/>
  <c r="G876" i="1"/>
  <c r="G484" i="1"/>
  <c r="G101" i="1"/>
  <c r="G472" i="1"/>
  <c r="G971" i="1"/>
  <c r="G103" i="1"/>
  <c r="G491" i="1"/>
  <c r="G562" i="1"/>
  <c r="G75" i="1"/>
  <c r="G123" i="1"/>
  <c r="G760" i="1"/>
  <c r="G202" i="1"/>
  <c r="G672" i="1"/>
  <c r="G593" i="1"/>
  <c r="G558" i="1"/>
  <c r="G801" i="1"/>
  <c r="G463" i="1"/>
  <c r="G32" i="1"/>
  <c r="G612" i="1"/>
  <c r="G939" i="1"/>
  <c r="G970" i="1"/>
  <c r="G18" i="1"/>
  <c r="G154" i="1"/>
  <c r="G589" i="1"/>
  <c r="G134" i="1"/>
  <c r="G429" i="1"/>
  <c r="G44" i="1"/>
  <c r="G367" i="1"/>
  <c r="G198" i="1"/>
  <c r="G493" i="1"/>
  <c r="G759" i="1"/>
  <c r="G734" i="1"/>
  <c r="G867" i="1"/>
  <c r="G783" i="1"/>
  <c r="G328" i="1"/>
  <c r="G533" i="1"/>
  <c r="G1009" i="1"/>
  <c r="G603" i="1"/>
  <c r="G79" i="1"/>
  <c r="G850" i="1"/>
  <c r="G730" i="1"/>
  <c r="G798" i="1"/>
  <c r="G1042" i="1"/>
  <c r="G611" i="1"/>
  <c r="G436" i="1"/>
  <c r="G475" i="1"/>
  <c r="G745" i="1"/>
  <c r="G757" i="1"/>
  <c r="G925" i="1"/>
  <c r="G846" i="1"/>
  <c r="G1014" i="1"/>
  <c r="G382" i="1"/>
  <c r="G838" i="1"/>
  <c r="G438" i="1"/>
  <c r="G994" i="1"/>
  <c r="G385" i="1"/>
  <c r="G369" i="1"/>
  <c r="G517" i="1"/>
  <c r="G931" i="1"/>
  <c r="G288" i="1"/>
  <c r="G158" i="1"/>
  <c r="G755" i="1"/>
  <c r="G514" i="1"/>
  <c r="G25" i="1"/>
  <c r="G439" i="1"/>
  <c r="G551" i="1"/>
  <c r="G270" i="1"/>
  <c r="G676" i="1"/>
  <c r="G141" i="1"/>
  <c r="G641" i="1"/>
  <c r="G542" i="1"/>
  <c r="G19" i="1"/>
  <c r="G218" i="1"/>
  <c r="G282" i="1"/>
  <c r="G27" i="1"/>
  <c r="G799" i="1"/>
  <c r="G1031" i="1"/>
  <c r="G228" i="1"/>
  <c r="G368" i="1"/>
  <c r="G797" i="1"/>
  <c r="G997" i="1"/>
  <c r="G885" i="1"/>
  <c r="G768" i="1"/>
  <c r="G711" i="1"/>
  <c r="G1127" i="1"/>
  <c r="G1033" i="1"/>
  <c r="G238" i="1"/>
  <c r="G864" i="1"/>
  <c r="G674" i="1"/>
  <c r="G917" i="1"/>
  <c r="G627" i="1"/>
  <c r="G795" i="1"/>
  <c r="G242" i="1"/>
  <c r="G779" i="1"/>
  <c r="G725" i="1"/>
  <c r="G988" i="1"/>
  <c r="G1126" i="1"/>
  <c r="G1108" i="1"/>
  <c r="G1124" i="1"/>
  <c r="G687" i="1"/>
  <c r="G537" i="1"/>
  <c r="G243" i="1"/>
  <c r="G739" i="1"/>
  <c r="G808" i="1"/>
  <c r="G825" i="1"/>
  <c r="G392" i="1"/>
  <c r="G273" i="1"/>
  <c r="G802" i="1"/>
  <c r="G355" i="1"/>
  <c r="G662" i="1"/>
  <c r="G689" i="1"/>
  <c r="G370" i="1"/>
  <c r="G162" i="1"/>
  <c r="G360" i="1"/>
  <c r="G460" i="1"/>
  <c r="G449" i="1"/>
  <c r="G1026" i="1"/>
  <c r="G704" i="1"/>
  <c r="G114" i="1"/>
  <c r="G966" i="1"/>
  <c r="G622" i="1"/>
  <c r="G290" i="1"/>
  <c r="G1057" i="1"/>
  <c r="G904" i="1"/>
  <c r="G928" i="1"/>
  <c r="G306" i="1"/>
  <c r="G726" i="1"/>
  <c r="G1093" i="1"/>
  <c r="G1085" i="1"/>
  <c r="G899" i="1"/>
  <c r="G574" i="1"/>
  <c r="G64" i="1"/>
  <c r="G1116" i="1"/>
  <c r="G889" i="1"/>
  <c r="G699" i="1"/>
  <c r="G736" i="1"/>
  <c r="G70" i="1"/>
  <c r="G213" i="1"/>
  <c r="G178" i="1"/>
  <c r="G49" i="1"/>
  <c r="G325" i="1"/>
  <c r="G364" i="1"/>
  <c r="G506" i="1"/>
  <c r="G356" i="1"/>
  <c r="G623" i="1"/>
  <c r="G914" i="1"/>
  <c r="G1095" i="1"/>
  <c r="G524" i="1"/>
  <c r="G695" i="1"/>
  <c r="G985" i="1"/>
  <c r="G176" i="1"/>
  <c r="G1082" i="1"/>
  <c r="G117" i="1"/>
  <c r="G1073" i="1"/>
  <c r="G161" i="1"/>
  <c r="G1080" i="1"/>
  <c r="G82" i="1"/>
  <c r="G865" i="1"/>
  <c r="G16" i="1"/>
  <c r="G333" i="1"/>
  <c r="G638" i="1"/>
  <c r="G789" i="1"/>
  <c r="G447" i="1"/>
  <c r="G359" i="1"/>
  <c r="G657" i="1"/>
  <c r="G940" i="1"/>
  <c r="G1086" i="1"/>
  <c r="G781" i="1"/>
  <c r="G927" i="1"/>
  <c r="G895" i="1"/>
  <c r="G1025" i="1"/>
  <c r="G260" i="1"/>
  <c r="G546" i="1"/>
  <c r="G474" i="1"/>
  <c r="G1112" i="1"/>
  <c r="G244" i="1"/>
  <c r="G105" i="1"/>
  <c r="G968" i="1"/>
  <c r="G28" i="1"/>
  <c r="G1104" i="1"/>
  <c r="G881" i="1"/>
  <c r="G169" i="1"/>
  <c r="G713" i="1"/>
  <c r="G575" i="1"/>
  <c r="G276" i="1"/>
  <c r="G668" i="1"/>
  <c r="G1049" i="1"/>
  <c r="G522" i="1"/>
  <c r="G293" i="1"/>
  <c r="G182" i="1"/>
  <c r="G153" i="1"/>
  <c r="G1099" i="1"/>
  <c r="G950" i="1"/>
  <c r="G1012" i="1"/>
  <c r="G208" i="1"/>
  <c r="G363" i="1"/>
  <c r="G636" i="1"/>
  <c r="G894" i="1"/>
  <c r="G316" i="1"/>
  <c r="G1098" i="1"/>
  <c r="G772" i="1"/>
  <c r="G1063" i="1"/>
  <c r="G366" i="1"/>
  <c r="G576" i="1"/>
  <c r="G258" i="1"/>
  <c r="G728" i="1"/>
  <c r="G121" i="1"/>
  <c r="G1120" i="1"/>
  <c r="G1062" i="1"/>
  <c r="G1050" i="1"/>
  <c r="G615" i="1"/>
  <c r="G72" i="1"/>
  <c r="G1132" i="1"/>
  <c r="G996" i="1"/>
  <c r="G727" i="1"/>
  <c r="G860" i="1"/>
  <c r="G318" i="1"/>
  <c r="G301" i="1"/>
  <c r="G261" i="1"/>
  <c r="G376" i="1"/>
  <c r="G879" i="1"/>
  <c r="G600" i="1"/>
  <c r="G733" i="1"/>
  <c r="G291" i="1"/>
  <c r="G232" i="1"/>
  <c r="G1054" i="1"/>
  <c r="G785" i="1"/>
  <c r="G656" i="1"/>
  <c r="G635" i="1"/>
  <c r="G747" i="1"/>
  <c r="G187" i="1"/>
  <c r="G991" i="1"/>
  <c r="G280" i="1"/>
  <c r="G93" i="1"/>
  <c r="G15" i="1"/>
  <c r="G954" i="1"/>
  <c r="G813" i="1"/>
  <c r="G1047" i="1"/>
  <c r="G92" i="1"/>
  <c r="G341" i="1"/>
  <c r="G569" i="1"/>
  <c r="G257" i="1"/>
  <c r="G691" i="1"/>
  <c r="G90" i="1"/>
  <c r="G409" i="1"/>
  <c r="G1029" i="1"/>
  <c r="G166" i="1"/>
  <c r="G1052" i="1"/>
  <c r="G332" i="1"/>
  <c r="G828" i="1"/>
  <c r="G1001" i="1"/>
  <c r="G99" i="1"/>
  <c r="G751" i="1"/>
  <c r="G592" i="1"/>
  <c r="G679" i="1"/>
  <c r="G495" i="1"/>
  <c r="G958" i="1"/>
  <c r="G203" i="1"/>
  <c r="G292" i="1"/>
  <c r="G930" i="1"/>
  <c r="G594" i="1"/>
  <c r="G507" i="1"/>
  <c r="G677" i="1"/>
  <c r="G995" i="1"/>
  <c r="G955" i="1"/>
  <c r="G974" i="1"/>
  <c r="G921" i="1"/>
  <c r="G39" i="1"/>
  <c r="G803" i="1"/>
  <c r="G884" i="1"/>
  <c r="G848" i="1"/>
  <c r="G577" i="1"/>
  <c r="G1041" i="1"/>
  <c r="G654" i="1"/>
  <c r="G462" i="1"/>
  <c r="G464" i="1"/>
  <c r="G132" i="1"/>
  <c r="G383" i="1"/>
  <c r="G1114" i="1"/>
  <c r="G55" i="1"/>
  <c r="G586" i="1"/>
  <c r="G442" i="1"/>
  <c r="G197" i="1"/>
  <c r="G956" i="1"/>
  <c r="G539" i="1"/>
  <c r="G624" i="1"/>
  <c r="G595" i="1"/>
  <c r="G536" i="1"/>
  <c r="G761" i="1"/>
  <c r="G490" i="1"/>
  <c r="G350" i="1"/>
  <c r="G823" i="1"/>
  <c r="G513" i="1"/>
  <c r="G1122" i="1"/>
  <c r="G706" i="1"/>
  <c r="G977" i="1"/>
  <c r="G58" i="1"/>
  <c r="G664" i="1"/>
  <c r="G1065" i="1"/>
  <c r="G230" i="1"/>
  <c r="G264" i="1"/>
  <c r="G1100" i="1"/>
  <c r="G806" i="1"/>
  <c r="G30" i="1"/>
  <c r="G413" i="1"/>
  <c r="G890" i="1"/>
  <c r="G365" i="1"/>
  <c r="G1053" i="1"/>
  <c r="G1081" i="1"/>
  <c r="G432" i="1"/>
  <c r="G1008" i="1"/>
  <c r="G78" i="1"/>
  <c r="G1066" i="1"/>
  <c r="G1006" i="1"/>
  <c r="G946" i="1"/>
  <c r="G568" i="1"/>
  <c r="G189" i="1"/>
  <c r="G212" i="1"/>
  <c r="AF212" i="1" l="1"/>
  <c r="AF189" i="1"/>
  <c r="AF568" i="1"/>
  <c r="AF946" i="1"/>
  <c r="AF1006" i="1"/>
  <c r="AF1066" i="1"/>
  <c r="AF78" i="1"/>
  <c r="AF1008" i="1"/>
  <c r="AF432" i="1"/>
  <c r="AF1081" i="1"/>
  <c r="AF1053" i="1"/>
  <c r="AF365" i="1"/>
  <c r="AF890" i="1"/>
  <c r="AF413" i="1"/>
  <c r="AF30" i="1"/>
  <c r="AF806" i="1"/>
  <c r="AF1100" i="1"/>
  <c r="AF264" i="1"/>
  <c r="AF230" i="1"/>
  <c r="AF1065" i="1"/>
  <c r="AF664" i="1"/>
  <c r="AF58" i="1"/>
  <c r="AF977" i="1"/>
  <c r="AF706" i="1"/>
  <c r="AF1122" i="1"/>
  <c r="AF513" i="1"/>
  <c r="AF823" i="1"/>
  <c r="AF350" i="1"/>
  <c r="AF490" i="1"/>
  <c r="AF761" i="1"/>
  <c r="AF536" i="1"/>
  <c r="AF595" i="1"/>
  <c r="AF624" i="1"/>
  <c r="AF539" i="1"/>
  <c r="AF956" i="1"/>
  <c r="AF197" i="1"/>
  <c r="AF442" i="1"/>
  <c r="AF586" i="1"/>
  <c r="AF55" i="1"/>
  <c r="AF1114" i="1"/>
  <c r="AF383" i="1"/>
  <c r="AF132" i="1"/>
  <c r="AF464" i="1"/>
  <c r="AF462" i="1"/>
  <c r="AF654" i="1"/>
  <c r="AF1041" i="1"/>
  <c r="AF577" i="1"/>
  <c r="AF848" i="1"/>
  <c r="AF884" i="1"/>
  <c r="AF803" i="1"/>
  <c r="AF39" i="1"/>
  <c r="AF921" i="1"/>
  <c r="AF974" i="1"/>
  <c r="AF955" i="1"/>
  <c r="AF995" i="1"/>
  <c r="AF677" i="1"/>
  <c r="AF507" i="1"/>
  <c r="AF594" i="1"/>
  <c r="AF930" i="1"/>
  <c r="AF292" i="1"/>
  <c r="AF203" i="1"/>
  <c r="AF958" i="1"/>
  <c r="AF495" i="1"/>
  <c r="AF679" i="1"/>
  <c r="AF592" i="1"/>
  <c r="AF751" i="1"/>
  <c r="AF99" i="1"/>
  <c r="AF1001" i="1"/>
  <c r="AF828" i="1"/>
  <c r="AF332" i="1"/>
  <c r="AF1052" i="1"/>
  <c r="AF166" i="1"/>
  <c r="AF1029" i="1"/>
  <c r="AF409" i="1"/>
  <c r="AF90" i="1"/>
  <c r="AF691" i="1"/>
  <c r="AF257" i="1"/>
  <c r="AF569" i="1"/>
  <c r="AF341" i="1"/>
  <c r="AF92" i="1"/>
  <c r="AF1047" i="1"/>
  <c r="AF813" i="1"/>
  <c r="AF954" i="1"/>
  <c r="AF15" i="1"/>
  <c r="AF93" i="1"/>
  <c r="AF280" i="1"/>
  <c r="AF991" i="1"/>
  <c r="AF187" i="1"/>
  <c r="AF747" i="1"/>
  <c r="AF635" i="1"/>
  <c r="AF656" i="1"/>
  <c r="AF785" i="1"/>
  <c r="AF1054" i="1"/>
  <c r="AF232" i="1"/>
  <c r="AF291" i="1"/>
  <c r="AF733" i="1"/>
  <c r="AF600" i="1"/>
  <c r="AF879" i="1"/>
  <c r="AF376" i="1"/>
  <c r="AF261" i="1"/>
  <c r="AF301" i="1"/>
  <c r="AF318" i="1"/>
  <c r="AF860" i="1"/>
  <c r="AF727" i="1"/>
  <c r="AF996" i="1"/>
  <c r="AF1132" i="1"/>
  <c r="AF72" i="1"/>
  <c r="AF615" i="1"/>
  <c r="AF1050" i="1"/>
  <c r="AF1062" i="1"/>
  <c r="AF1120" i="1"/>
  <c r="AF121" i="1"/>
  <c r="AF728" i="1"/>
  <c r="AF258" i="1"/>
  <c r="AF576" i="1"/>
  <c r="AF366" i="1"/>
  <c r="AF1063" i="1"/>
  <c r="AF772" i="1"/>
  <c r="AF1098" i="1"/>
  <c r="AF316" i="1"/>
  <c r="AF894" i="1"/>
  <c r="AF636" i="1"/>
  <c r="AF363" i="1"/>
  <c r="AF208" i="1"/>
  <c r="AF1012" i="1"/>
  <c r="AF950" i="1"/>
  <c r="AF1099" i="1"/>
  <c r="AF153" i="1"/>
  <c r="AF182" i="1"/>
  <c r="AF293" i="1"/>
  <c r="AF522" i="1"/>
  <c r="AF1049" i="1"/>
  <c r="AF668" i="1"/>
  <c r="AF276" i="1"/>
  <c r="AF575" i="1"/>
  <c r="AF713" i="1"/>
  <c r="AF169" i="1"/>
  <c r="AF881" i="1"/>
  <c r="AF1104" i="1"/>
  <c r="AF28" i="1"/>
  <c r="AF968" i="1"/>
  <c r="AF105" i="1"/>
  <c r="AF244" i="1"/>
  <c r="AF1112" i="1"/>
  <c r="AF474" i="1"/>
  <c r="AF546" i="1"/>
  <c r="AF260" i="1"/>
  <c r="AF1025" i="1"/>
  <c r="AF895" i="1"/>
  <c r="AF927" i="1"/>
  <c r="AF781" i="1"/>
  <c r="AF1086" i="1"/>
  <c r="AF940" i="1"/>
  <c r="AF657" i="1"/>
  <c r="AF359" i="1"/>
  <c r="AF447" i="1"/>
  <c r="AF789" i="1"/>
  <c r="AF638" i="1"/>
  <c r="AF333" i="1"/>
  <c r="AF16" i="1"/>
  <c r="AF865" i="1"/>
  <c r="AF82" i="1"/>
  <c r="AF1080" i="1"/>
  <c r="AF161" i="1"/>
  <c r="AF1073" i="1"/>
  <c r="AF117" i="1"/>
  <c r="AF1082" i="1"/>
  <c r="AF176" i="1"/>
  <c r="AF985" i="1"/>
  <c r="AF695" i="1"/>
  <c r="AF524" i="1"/>
  <c r="AF1095" i="1"/>
  <c r="AF914" i="1"/>
  <c r="AF623" i="1"/>
  <c r="AF356" i="1"/>
  <c r="AF506" i="1"/>
  <c r="AF364" i="1"/>
  <c r="AF325" i="1"/>
  <c r="AF49" i="1"/>
  <c r="AF178" i="1"/>
  <c r="AF213" i="1"/>
  <c r="AF70" i="1"/>
  <c r="AF736" i="1"/>
  <c r="AF699" i="1"/>
  <c r="AF889" i="1"/>
  <c r="AF1116" i="1"/>
  <c r="AF64" i="1"/>
  <c r="AF574" i="1"/>
  <c r="AF899" i="1"/>
  <c r="AF1085" i="1"/>
  <c r="AF1093" i="1"/>
  <c r="AF726" i="1"/>
  <c r="AF306" i="1"/>
  <c r="AF928" i="1"/>
  <c r="AF904" i="1"/>
  <c r="AF1057" i="1"/>
  <c r="AF290" i="1"/>
  <c r="AF622" i="1"/>
  <c r="AF966" i="1"/>
  <c r="AF114" i="1"/>
  <c r="AF704" i="1"/>
  <c r="AF1026" i="1"/>
  <c r="AF449" i="1"/>
  <c r="AF460" i="1"/>
  <c r="AF360" i="1"/>
  <c r="AF162" i="1"/>
  <c r="AF370" i="1"/>
  <c r="AF689" i="1"/>
  <c r="AF662" i="1"/>
  <c r="AF355" i="1"/>
  <c r="AF802" i="1"/>
  <c r="AF273" i="1"/>
  <c r="AF392" i="1"/>
  <c r="AF825" i="1"/>
  <c r="AF808" i="1"/>
  <c r="AF739" i="1"/>
  <c r="AF243" i="1"/>
  <c r="AF537" i="1"/>
  <c r="AF687" i="1"/>
  <c r="AF1124" i="1"/>
  <c r="AF1108" i="1"/>
  <c r="AF1126" i="1"/>
  <c r="AF988" i="1"/>
  <c r="AF725" i="1"/>
  <c r="AF779" i="1"/>
  <c r="AF242" i="1"/>
  <c r="AF795" i="1"/>
  <c r="AF627" i="1"/>
  <c r="AF917" i="1"/>
  <c r="AF674" i="1"/>
  <c r="AF864" i="1"/>
  <c r="AF238" i="1"/>
  <c r="AF1033" i="1"/>
  <c r="AF1127" i="1"/>
  <c r="AF711" i="1"/>
  <c r="AF768" i="1"/>
  <c r="AF885" i="1"/>
  <c r="AF997" i="1"/>
  <c r="AF797" i="1"/>
  <c r="AF368" i="1"/>
  <c r="AF228" i="1"/>
  <c r="AF1031" i="1"/>
  <c r="AF799" i="1"/>
  <c r="AF27" i="1"/>
  <c r="AF282" i="1"/>
  <c r="AF218" i="1"/>
  <c r="AF19" i="1"/>
  <c r="AF542" i="1"/>
  <c r="AF641" i="1"/>
  <c r="AF141" i="1"/>
  <c r="AF676" i="1"/>
  <c r="AF270" i="1"/>
  <c r="AF551" i="1"/>
  <c r="AF439" i="1"/>
  <c r="AF25" i="1"/>
  <c r="AF514" i="1"/>
  <c r="AF755" i="1"/>
  <c r="AF158" i="1"/>
  <c r="AF288" i="1"/>
  <c r="AF931" i="1"/>
  <c r="AF517" i="1"/>
  <c r="AF369" i="1"/>
  <c r="AF385" i="1"/>
  <c r="AF994" i="1"/>
  <c r="AF438" i="1"/>
  <c r="AF838" i="1"/>
  <c r="AF382" i="1"/>
  <c r="AF1014" i="1"/>
  <c r="AF846" i="1"/>
  <c r="AF925" i="1"/>
  <c r="AF757" i="1"/>
  <c r="AF745" i="1"/>
  <c r="AF475" i="1"/>
  <c r="AF436" i="1"/>
  <c r="AF611" i="1"/>
  <c r="AF1042" i="1"/>
  <c r="AF798" i="1"/>
  <c r="AF730" i="1"/>
  <c r="AF850" i="1"/>
  <c r="AF79" i="1"/>
  <c r="AF603" i="1"/>
  <c r="AF1009" i="1"/>
  <c r="AF533" i="1"/>
  <c r="AF328" i="1"/>
  <c r="AF783" i="1"/>
  <c r="AF867" i="1"/>
  <c r="AF734" i="1"/>
  <c r="AF759" i="1"/>
  <c r="AF493" i="1"/>
  <c r="AF198" i="1"/>
  <c r="AF367" i="1"/>
  <c r="AF44" i="1"/>
  <c r="AF429" i="1"/>
  <c r="AF134" i="1"/>
  <c r="AF589" i="1"/>
  <c r="AF154" i="1"/>
  <c r="AF18" i="1"/>
  <c r="AF970" i="1"/>
  <c r="AF939" i="1"/>
  <c r="AF612" i="1"/>
  <c r="AF32" i="1"/>
  <c r="AF463" i="1"/>
  <c r="AF801" i="1"/>
  <c r="AF558" i="1"/>
  <c r="AF593" i="1"/>
  <c r="AF672" i="1"/>
  <c r="AF202" i="1"/>
  <c r="AF760" i="1"/>
  <c r="AF123" i="1"/>
  <c r="AF75" i="1"/>
  <c r="AF562" i="1"/>
  <c r="AF491" i="1"/>
  <c r="AF103" i="1"/>
  <c r="AF971" i="1"/>
  <c r="AF472" i="1"/>
  <c r="AF101" i="1"/>
  <c r="AF484" i="1"/>
  <c r="AF876" i="1"/>
  <c r="AF697" i="1"/>
  <c r="AF193" i="1"/>
  <c r="AF344" i="1"/>
  <c r="AF841" i="1"/>
  <c r="AF428" i="1"/>
  <c r="AF305" i="1"/>
  <c r="AF145" i="1"/>
  <c r="AF666" i="1"/>
  <c r="AF450" i="1"/>
  <c r="AF874" i="1"/>
  <c r="AF63" i="1"/>
  <c r="AF487" i="1"/>
  <c r="AF1089" i="1"/>
  <c r="AF265" i="1"/>
  <c r="AF240" i="1"/>
  <c r="AF570" i="1"/>
  <c r="AF164" i="1"/>
  <c r="AF938" i="1"/>
  <c r="AF24" i="1"/>
  <c r="AF342" i="1"/>
  <c r="AF352" i="1"/>
  <c r="AF346" i="1"/>
  <c r="AF250" i="1"/>
  <c r="AF155" i="1"/>
  <c r="AF259" i="1"/>
  <c r="AF702" i="1"/>
  <c r="AF1123" i="1"/>
  <c r="AF678" i="1"/>
  <c r="AF402" i="1"/>
  <c r="AF833" i="1"/>
  <c r="AF960" i="1"/>
  <c r="AF481" i="1"/>
  <c r="AF871" i="1"/>
  <c r="AF219" i="1"/>
  <c r="AF831" i="1"/>
  <c r="AF572" i="1"/>
  <c r="AF8" i="1"/>
  <c r="AF147" i="1"/>
  <c r="AF649" i="1"/>
  <c r="AF1088" i="1"/>
  <c r="AF844" i="1"/>
  <c r="AF1045" i="1"/>
  <c r="AF362" i="1"/>
  <c r="AF972" i="1"/>
  <c r="AF354" i="1"/>
  <c r="AF347" i="1"/>
  <c r="AF89" i="1"/>
  <c r="AF663" i="1"/>
  <c r="AF338" i="1"/>
  <c r="AF919" i="1"/>
  <c r="AF417" i="1"/>
  <c r="AF782" i="1"/>
  <c r="AF175" i="1"/>
  <c r="AF390" i="1"/>
  <c r="AF1092" i="1"/>
  <c r="AF1043" i="1"/>
  <c r="AF420" i="1"/>
  <c r="AF113" i="1"/>
  <c r="AF183" i="1"/>
  <c r="AF485" i="1"/>
  <c r="AF829" i="1"/>
  <c r="AF339" i="1"/>
  <c r="AF452" i="1"/>
  <c r="AF982" i="1"/>
  <c r="AF184" i="1"/>
  <c r="AF23" i="1"/>
  <c r="AF784" i="1"/>
  <c r="AF321" i="1"/>
  <c r="AF944" i="1"/>
  <c r="AF451" i="1"/>
  <c r="AF1055" i="1"/>
  <c r="AF1121" i="1"/>
  <c r="AF1125" i="1"/>
  <c r="AF249" i="1"/>
  <c r="AF746" i="1"/>
  <c r="AF800" i="1"/>
  <c r="AF855" i="1"/>
  <c r="AF278" i="1"/>
  <c r="AF685" i="1"/>
  <c r="AF110" i="1"/>
  <c r="AF457" i="1"/>
  <c r="AF924" i="1"/>
  <c r="AF456" i="1"/>
  <c r="AF682" i="1"/>
  <c r="AF1101" i="1"/>
  <c r="AF443" i="1"/>
  <c r="AF645" i="1"/>
  <c r="AF700" i="1"/>
  <c r="AF675" i="1"/>
  <c r="AF839" i="1"/>
  <c r="AF348" i="1"/>
  <c r="AF767" i="1"/>
  <c r="AF862" i="1"/>
  <c r="AF567" i="1"/>
  <c r="AF870" i="1"/>
  <c r="AF300" i="1"/>
  <c r="AF448" i="1"/>
  <c r="AF619" i="1"/>
  <c r="AF296" i="1"/>
  <c r="AF824" i="1"/>
  <c r="AF441" i="1"/>
  <c r="AF159" i="1"/>
  <c r="AF1097" i="1"/>
  <c r="AF741" i="1"/>
  <c r="AF315" i="1"/>
  <c r="AF1133" i="1"/>
  <c r="AF143" i="1"/>
  <c r="AF307" i="1"/>
  <c r="AF1010" i="1"/>
  <c r="AF643" i="1"/>
  <c r="AF578" i="1"/>
  <c r="AF942" i="1"/>
  <c r="AF388" i="1"/>
  <c r="AF1130" i="1"/>
  <c r="AF758" i="1"/>
  <c r="AF1096" i="1"/>
  <c r="AF777" i="1"/>
  <c r="AF553" i="1"/>
  <c r="AF17" i="1"/>
  <c r="AF251" i="1"/>
  <c r="AF673" i="1"/>
  <c r="AF277" i="1"/>
  <c r="AF528" i="1"/>
  <c r="AF821" i="1"/>
  <c r="AF722" i="1"/>
  <c r="AF696" i="1"/>
  <c r="AF902" i="1"/>
  <c r="AF878" i="1"/>
  <c r="AF936" i="1"/>
  <c r="AF1005" i="1"/>
  <c r="AF210" i="1"/>
  <c r="AF309" i="1"/>
  <c r="AF515" i="1"/>
  <c r="AF312" i="1"/>
  <c r="AF465" i="1"/>
  <c r="AF579" i="1"/>
  <c r="AF793" i="1"/>
  <c r="AF399" i="1"/>
  <c r="AF817" i="1"/>
  <c r="AF769" i="1"/>
  <c r="AF174" i="1"/>
  <c r="AF403" i="1"/>
  <c r="AF349" i="1"/>
  <c r="AF1083" i="1"/>
  <c r="AF479" i="1"/>
  <c r="AF1058" i="1"/>
  <c r="AF709" i="1"/>
  <c r="AF920" i="1"/>
  <c r="AF735" i="1"/>
  <c r="AF949" i="1"/>
  <c r="AF744" i="1"/>
  <c r="AF97" i="1"/>
  <c r="AF140" i="1"/>
  <c r="AF1036" i="1"/>
  <c r="AF937" i="1"/>
  <c r="AF893" i="1"/>
  <c r="AF60" i="1"/>
  <c r="AF157" i="1"/>
  <c r="AF408" i="1"/>
  <c r="AF380" i="1"/>
  <c r="AF467" i="1"/>
  <c r="AF986" i="1"/>
  <c r="AF234" i="1"/>
  <c r="AF948" i="1"/>
  <c r="AF556" i="1"/>
  <c r="AF545" i="1"/>
  <c r="AF854" i="1"/>
  <c r="AF907" i="1"/>
  <c r="AF133" i="1"/>
  <c r="AF584" i="1"/>
  <c r="AF148" i="1"/>
  <c r="AF401" i="1"/>
  <c r="AF814" i="1"/>
  <c r="AF222" i="1"/>
  <c r="AF52" i="1"/>
  <c r="AF980" i="1"/>
  <c r="AF540" i="1"/>
  <c r="AF425" i="1"/>
  <c r="AF548" i="1"/>
  <c r="AF83" i="1"/>
  <c r="AF271" i="1"/>
  <c r="AF129" i="1"/>
  <c r="AF818" i="1"/>
  <c r="AF1016" i="1"/>
  <c r="AF714" i="1"/>
  <c r="AF396" i="1"/>
  <c r="AF501" i="1"/>
  <c r="AF653" i="1"/>
  <c r="AF477" i="1"/>
  <c r="AF608" i="1"/>
  <c r="AF269" i="1"/>
  <c r="AF327" i="1"/>
  <c r="AF118" i="1"/>
  <c r="AF319" i="1"/>
  <c r="AF1117" i="1"/>
  <c r="AF38" i="1"/>
  <c r="AF302" i="1"/>
  <c r="AF411" i="1"/>
  <c r="AF527" i="1"/>
  <c r="AF845" i="1"/>
  <c r="AF231" i="1"/>
  <c r="AF932" i="1"/>
  <c r="AF718" i="1"/>
  <c r="AF773" i="1"/>
  <c r="AF326" i="1"/>
  <c r="AF62" i="1"/>
  <c r="AF1070" i="1"/>
  <c r="AF74" i="1"/>
  <c r="AF999" i="1"/>
  <c r="AF223" i="1"/>
  <c r="AF597" i="1"/>
  <c r="AF256" i="1"/>
  <c r="AF185" i="1"/>
  <c r="AF776" i="1"/>
  <c r="AF732" i="1"/>
  <c r="AF375" i="1"/>
  <c r="AF111" i="1"/>
  <c r="AF816" i="1"/>
  <c r="AF992" i="1"/>
  <c r="AF314" i="1"/>
  <c r="AF207" i="1"/>
  <c r="AF387" i="1"/>
  <c r="AF358" i="1"/>
  <c r="AF284" i="1"/>
  <c r="AF151" i="1"/>
  <c r="AF461" i="1"/>
  <c r="AF46" i="1"/>
  <c r="AF20" i="1"/>
  <c r="AF29" i="1"/>
  <c r="AF427" i="1"/>
  <c r="AF209" i="1"/>
  <c r="AF1019" i="1"/>
  <c r="AF626" i="1"/>
  <c r="AF832" i="1"/>
  <c r="AF1064" i="1"/>
  <c r="AF866" i="1"/>
  <c r="AF56" i="1"/>
  <c r="AF819" i="1"/>
  <c r="AF229" i="1"/>
  <c r="AF519" i="1"/>
  <c r="AF987" i="1"/>
  <c r="AF139" i="1"/>
  <c r="AF378" i="1"/>
  <c r="AF418" i="1"/>
  <c r="AF299" i="1"/>
  <c r="AF51" i="1"/>
  <c r="AF26" i="1"/>
  <c r="AF1003" i="1"/>
  <c r="AF742" i="1"/>
  <c r="AF652" i="1"/>
  <c r="AF136" i="1"/>
  <c r="AF1017" i="1"/>
  <c r="AF681" i="1"/>
  <c r="AF130" i="1"/>
  <c r="AF830" i="1"/>
  <c r="AF563" i="1"/>
  <c r="AF913" i="1"/>
  <c r="AF903" i="1"/>
  <c r="AF1069" i="1"/>
  <c r="AF1113" i="1"/>
  <c r="AF637" i="1"/>
  <c r="AF690" i="1"/>
  <c r="AF235" i="1"/>
  <c r="AF34" i="1"/>
  <c r="AF911" i="1"/>
  <c r="AF922" i="1"/>
  <c r="AF609" i="1"/>
  <c r="AF705" i="1"/>
  <c r="AF560" i="1"/>
  <c r="AF525" i="1"/>
  <c r="AF160" i="1"/>
  <c r="AF274" i="1"/>
  <c r="AF947" i="1"/>
  <c r="AF357" i="1"/>
  <c r="AF640" i="1"/>
  <c r="AF616" i="1"/>
  <c r="AF421" i="1"/>
  <c r="AF863" i="1"/>
  <c r="AF35" i="1"/>
  <c r="AF96" i="1"/>
  <c r="AF1134" i="1"/>
  <c r="AF1015" i="1"/>
  <c r="AF116" i="1"/>
  <c r="AF1028" i="1"/>
  <c r="AF807" i="1"/>
  <c r="AF588" i="1"/>
  <c r="AF437" i="1"/>
  <c r="AF905" i="1"/>
  <c r="AF918" i="1"/>
  <c r="AF983" i="1"/>
  <c r="AF1037" i="1"/>
  <c r="AF31" i="1"/>
  <c r="AF196" i="1"/>
  <c r="AF135" i="1"/>
  <c r="AF422" i="1"/>
  <c r="AF518" i="1"/>
  <c r="AF530" i="1"/>
  <c r="AF199" i="1"/>
  <c r="AF632" i="1"/>
  <c r="AF406" i="1"/>
  <c r="AF692" i="1"/>
  <c r="AF693" i="1"/>
  <c r="AF304" i="1"/>
  <c r="AF21" i="1"/>
  <c r="AF778" i="1"/>
  <c r="AF1076" i="1"/>
  <c r="AF712" i="1"/>
  <c r="AF227" i="1"/>
  <c r="AF252" i="1"/>
  <c r="AF684" i="1"/>
  <c r="AF764" i="1"/>
  <c r="AF311" i="1"/>
  <c r="AF77" i="1"/>
  <c r="AF85" i="1"/>
  <c r="AF374" i="1"/>
  <c r="AF923" i="1"/>
  <c r="AF509" i="1"/>
  <c r="AF478" i="1"/>
  <c r="AF486" i="1"/>
  <c r="AF965" i="1"/>
  <c r="AF181" i="1"/>
  <c r="AF943" i="1"/>
  <c r="AF532" i="1"/>
  <c r="AF873" i="1"/>
  <c r="AF233" i="1"/>
  <c r="AF468" i="1"/>
  <c r="AF520" i="1"/>
  <c r="AF1084" i="1"/>
  <c r="AF602" i="1"/>
  <c r="AF156" i="1"/>
  <c r="AF581" i="1"/>
  <c r="AF167" i="1"/>
  <c r="AF239" i="1"/>
  <c r="AF964" i="1"/>
  <c r="AF1102" i="1"/>
  <c r="AF272" i="1"/>
  <c r="AF1129" i="1"/>
  <c r="AF119" i="1"/>
  <c r="AF45" i="1"/>
  <c r="AF587" i="1"/>
  <c r="AF405" i="1"/>
  <c r="AF14" i="1"/>
  <c r="AF340" i="1"/>
  <c r="AF267" i="1"/>
  <c r="AF54" i="1"/>
  <c r="AF929" i="1"/>
  <c r="AF131" i="1"/>
  <c r="AF891" i="1"/>
  <c r="AF1105" i="1"/>
  <c r="AF916" i="1"/>
  <c r="AF152" i="1"/>
  <c r="AF993" i="1"/>
  <c r="AF431" i="1"/>
  <c r="AF279" i="1"/>
  <c r="AF67" i="1"/>
  <c r="AF434" i="1"/>
  <c r="AF804" i="1"/>
  <c r="AF775" i="1"/>
  <c r="AF389" i="1"/>
  <c r="AF53" i="1"/>
  <c r="AF144" i="1"/>
  <c r="AF631" i="1"/>
  <c r="AF163" i="1"/>
  <c r="AF469" i="1"/>
  <c r="AF379" i="1"/>
  <c r="AF875" i="1"/>
  <c r="AF310" i="1"/>
  <c r="AF109" i="1"/>
  <c r="AF1024" i="1"/>
  <c r="AF294" i="1"/>
  <c r="AF869" i="1"/>
  <c r="AF1078" i="1"/>
  <c r="AF989" i="1"/>
  <c r="AF115" i="1"/>
  <c r="AF549" i="1"/>
  <c r="AF790" i="1"/>
  <c r="AF1007" i="1"/>
  <c r="AF644" i="1"/>
  <c r="AF794" i="1"/>
  <c r="AF703" i="1"/>
  <c r="AF329" i="1"/>
  <c r="AF343" i="1"/>
  <c r="AF1027" i="1"/>
  <c r="AF308" i="1"/>
  <c r="AF372" i="1"/>
  <c r="AF900" i="1"/>
  <c r="AF909" i="1"/>
  <c r="AF330" i="1"/>
  <c r="AF470" i="1"/>
  <c r="AF792" i="1"/>
  <c r="AF1048" i="1"/>
  <c r="AF41" i="1"/>
  <c r="AF585" i="1"/>
  <c r="AF1023" i="1"/>
  <c r="AF926" i="1"/>
  <c r="AF426" i="1"/>
  <c r="AF1128" i="1"/>
  <c r="AF953" i="1"/>
  <c r="AF65" i="1"/>
  <c r="AF598" i="1"/>
  <c r="AF69" i="1"/>
  <c r="AF737" i="1"/>
  <c r="AF410" i="1"/>
  <c r="AF554" i="1"/>
  <c r="AF820" i="1"/>
  <c r="AF688" i="1"/>
  <c r="AF337" i="1"/>
  <c r="AF1002" i="1"/>
  <c r="AF466" i="1"/>
  <c r="AF614" i="1"/>
  <c r="AF531" i="1"/>
  <c r="AF516" i="1"/>
  <c r="AF57" i="1"/>
  <c r="AF345" i="1"/>
  <c r="AF1051" i="1"/>
  <c r="AF241" i="1"/>
  <c r="AF84" i="1"/>
  <c r="AF743" i="1"/>
  <c r="AF201" i="1"/>
  <c r="AF566" i="1"/>
  <c r="AF683" i="1"/>
  <c r="AF476" i="1"/>
  <c r="AF565" i="1"/>
  <c r="AF414" i="1"/>
  <c r="AF979" i="1"/>
  <c r="AF1091" i="1"/>
  <c r="AF66" i="1"/>
  <c r="AF225" i="1"/>
  <c r="AF750" i="1"/>
  <c r="AF353" i="1"/>
  <c r="AF976" i="1"/>
  <c r="AF840" i="1"/>
  <c r="AF204" i="1"/>
  <c r="AF120" i="1"/>
  <c r="AF471" i="1"/>
  <c r="AF407" i="1"/>
  <c r="AF851" i="1"/>
  <c r="AF9" i="1"/>
  <c r="AF107" i="1"/>
  <c r="AF1030" i="1"/>
  <c r="AF1044" i="1"/>
  <c r="AF990" i="1"/>
  <c r="AF313" i="1"/>
  <c r="AF957" i="1"/>
  <c r="AF440" i="1"/>
  <c r="AF381" i="1"/>
  <c r="AF719" i="1"/>
  <c r="AF842" i="1"/>
  <c r="AF1103" i="1"/>
  <c r="AF550" i="1"/>
  <c r="AF377" i="1"/>
  <c r="AF71" i="1"/>
  <c r="AF661" i="1"/>
  <c r="AF859" i="1"/>
  <c r="AF596" i="1"/>
  <c r="AF195" i="1"/>
  <c r="AF205" i="1"/>
  <c r="AF285" i="1"/>
  <c r="AF605" i="1"/>
  <c r="AF76" i="1"/>
  <c r="AF749" i="1"/>
  <c r="AF780" i="1"/>
  <c r="AF639" i="1"/>
  <c r="AF1040" i="1"/>
  <c r="AF658" i="1"/>
  <c r="AF122" i="1"/>
  <c r="AF787" i="1"/>
  <c r="AF275" i="1"/>
  <c r="AF373" i="1"/>
  <c r="AF1060" i="1"/>
  <c r="AF322" i="1"/>
  <c r="AF771" i="1"/>
  <c r="AF552" i="1"/>
  <c r="AF88" i="1"/>
  <c r="AF216" i="1"/>
  <c r="AF262" i="1"/>
  <c r="AF47" i="1"/>
  <c r="AF289" i="1"/>
  <c r="AF335" i="1"/>
  <c r="AF660" i="1"/>
  <c r="AF172" i="1"/>
  <c r="AF670" i="1"/>
  <c r="AF998" i="1"/>
  <c r="AF281" i="1"/>
  <c r="AF941" i="1"/>
  <c r="AF165" i="1"/>
  <c r="AF978" i="1"/>
  <c r="AF590" i="1"/>
  <c r="AF877" i="1"/>
  <c r="AF861" i="1"/>
  <c r="AF297" i="1"/>
  <c r="AF1072" i="1"/>
  <c r="AF721" i="1"/>
  <c r="AF613" i="1"/>
  <c r="AF1109" i="1"/>
  <c r="AF786" i="1"/>
  <c r="AF754" i="1"/>
  <c r="AF858" i="1"/>
  <c r="AF454" i="1"/>
  <c r="AF655" i="1"/>
  <c r="AF221" i="1"/>
  <c r="AF61" i="1"/>
  <c r="AF86" i="1"/>
  <c r="AF981" i="1"/>
  <c r="AF1020" i="1"/>
  <c r="AF1034" i="1"/>
  <c r="AF620" i="1"/>
  <c r="AF246" i="1"/>
  <c r="AF126" i="1"/>
  <c r="AF708" i="1"/>
  <c r="AF473" i="1"/>
  <c r="AF108" i="1"/>
  <c r="AF1115" i="1"/>
  <c r="AF268" i="1"/>
  <c r="AF1056" i="1"/>
  <c r="AF887" i="1"/>
  <c r="AF458" i="1"/>
  <c r="AF1032" i="1"/>
  <c r="AF809" i="1"/>
  <c r="AF534" i="1"/>
  <c r="AF404" i="1"/>
  <c r="AF601" i="1"/>
  <c r="AF459" i="1"/>
  <c r="AF444" i="1"/>
  <c r="AF488" i="1"/>
  <c r="AF128" i="1"/>
  <c r="AF910" i="1"/>
  <c r="AF853" i="1"/>
  <c r="AF837" i="1"/>
  <c r="AF898" i="1"/>
  <c r="AF94" i="1"/>
  <c r="AF1013" i="1"/>
  <c r="AF912" i="1"/>
  <c r="AF872" i="1"/>
  <c r="AF961" i="1"/>
  <c r="AF753" i="1"/>
  <c r="AF1107" i="1"/>
  <c r="AF857" i="1"/>
  <c r="AF1035" i="1"/>
  <c r="AF659" i="1"/>
  <c r="AF149" i="1"/>
  <c r="AF967" i="1"/>
  <c r="AF483" i="1"/>
  <c r="AF48" i="1"/>
  <c r="AF91" i="1"/>
  <c r="AF812" i="1"/>
  <c r="AF430" i="1"/>
  <c r="AF391" i="1"/>
  <c r="AF400" i="1"/>
  <c r="AF591" i="1"/>
  <c r="AF580" i="1"/>
  <c r="AF610" i="1"/>
  <c r="AF13" i="1"/>
  <c r="AF95" i="1"/>
  <c r="AF266" i="1"/>
  <c r="AF190" i="1"/>
  <c r="AF397" i="1"/>
  <c r="AF1087" i="1"/>
  <c r="AF617" i="1"/>
  <c r="AF419" i="1"/>
  <c r="AF424" i="1"/>
  <c r="AF138" i="1"/>
  <c r="AF882" i="1"/>
  <c r="AF125" i="1"/>
  <c r="AF192" i="1"/>
  <c r="AF625" i="1"/>
  <c r="AF168" i="1"/>
  <c r="AF1071" i="1"/>
  <c r="AF150" i="1"/>
  <c r="AF489" i="1"/>
  <c r="AF698" i="1"/>
  <c r="AF1110" i="1"/>
  <c r="AF756" i="1"/>
  <c r="AF33" i="1"/>
  <c r="AF170" i="1"/>
  <c r="AF810" i="1"/>
  <c r="AF100" i="1"/>
  <c r="AF883" i="1"/>
  <c r="AF852" i="1"/>
  <c r="AF303" i="1"/>
  <c r="AF975" i="1"/>
  <c r="AF1061" i="1"/>
  <c r="AF236" i="1"/>
  <c r="AF415" i="1"/>
  <c r="AF1022" i="1"/>
  <c r="AF245" i="1"/>
  <c r="AF701" i="1"/>
  <c r="AF934" i="1"/>
  <c r="AF1021" i="1"/>
  <c r="AF324" i="1"/>
  <c r="AF445" i="1"/>
  <c r="AF320" i="1"/>
  <c r="AF827" i="1"/>
  <c r="AF740" i="1"/>
  <c r="AF892" i="1"/>
  <c r="AF226" i="1"/>
  <c r="AF541" i="1"/>
  <c r="AF543" i="1"/>
  <c r="AF720" i="1"/>
  <c r="AF142" i="1"/>
  <c r="AF73" i="1"/>
  <c r="AF206" i="1"/>
  <c r="AF710" i="1"/>
  <c r="AF521" i="1"/>
  <c r="AF412" i="1"/>
  <c r="AF283" i="1"/>
  <c r="AF224" i="1"/>
  <c r="AF263" i="1"/>
  <c r="AF547" i="1"/>
  <c r="AF214" i="1"/>
  <c r="AF535" i="1"/>
  <c r="AF707" i="1"/>
  <c r="AF849" i="1"/>
  <c r="AF811" i="1"/>
  <c r="AF738" i="1"/>
  <c r="AF395" i="1"/>
  <c r="AF455" i="1"/>
  <c r="AF87" i="1"/>
  <c r="AF671" i="1"/>
  <c r="AF137" i="1"/>
  <c r="AF791" i="1"/>
  <c r="AF1111" i="1"/>
  <c r="AF836" i="1"/>
  <c r="AF633" i="1"/>
  <c r="AF766" i="1"/>
  <c r="AF880" i="1"/>
  <c r="AF254" i="1"/>
  <c r="AF1119" i="1"/>
  <c r="AF973" i="1"/>
  <c r="AF555" i="1"/>
  <c r="AF146" i="1"/>
  <c r="AF186" i="1"/>
  <c r="AF774" i="1"/>
  <c r="AF650" i="1"/>
  <c r="AF59" i="1"/>
  <c r="AF680" i="1"/>
  <c r="AF1090" i="1"/>
  <c r="AF1068" i="1"/>
  <c r="AF1011" i="1"/>
  <c r="AF104" i="1"/>
  <c r="AF959" i="1"/>
  <c r="AF651" i="1"/>
  <c r="AF1094" i="1"/>
  <c r="AF1131" i="1"/>
  <c r="AF573" i="1"/>
  <c r="AF815" i="1"/>
  <c r="AF361" i="1"/>
  <c r="AF582" i="1"/>
  <c r="AF98" i="1"/>
  <c r="AF561" i="1"/>
  <c r="AF571" i="1"/>
  <c r="AF564" i="1"/>
  <c r="AF247" i="1"/>
  <c r="AF237" i="1"/>
  <c r="AF559" i="1"/>
  <c r="AF694" i="1"/>
  <c r="AF200" i="1"/>
  <c r="AF37" i="1"/>
  <c r="AF446" i="1"/>
  <c r="AF599" i="1"/>
  <c r="AF494" i="1"/>
  <c r="AF621" i="1"/>
  <c r="AF906" i="1"/>
  <c r="AF1079" i="1"/>
  <c r="AF752" i="1"/>
  <c r="AF1038" i="1"/>
  <c r="AF544" i="1"/>
  <c r="AF607" i="1"/>
  <c r="AF1004" i="1"/>
  <c r="AF952" i="1"/>
  <c r="AF847" i="1"/>
  <c r="AF331" i="1"/>
  <c r="AF295" i="1"/>
  <c r="AF492" i="1"/>
  <c r="AF384" i="1"/>
  <c r="AF191" i="1"/>
  <c r="AF1106" i="1"/>
  <c r="AF665" i="1"/>
  <c r="AF822" i="1"/>
  <c r="AF43" i="1"/>
  <c r="AF435" i="1"/>
  <c r="AF286" i="1"/>
  <c r="AF1118" i="1"/>
  <c r="AF253" i="1"/>
  <c r="AF500" i="1"/>
  <c r="AF453" i="1"/>
  <c r="AF604" i="1"/>
  <c r="AF856" i="1"/>
  <c r="AF194" i="1"/>
  <c r="AF215" i="1"/>
  <c r="AF984" i="1"/>
  <c r="AF173" i="1"/>
  <c r="AF398" i="1"/>
  <c r="AF634" i="1"/>
  <c r="AF933" i="1"/>
  <c r="AF901" i="1"/>
  <c r="AF220" i="1"/>
  <c r="AF770" i="1"/>
  <c r="AF179" i="1"/>
  <c r="AF962" i="1"/>
  <c r="AF68" i="1"/>
  <c r="AF42" i="1"/>
  <c r="AF177" i="1"/>
  <c r="AF502" i="1"/>
  <c r="AF843" i="1"/>
  <c r="AF106" i="1"/>
  <c r="AF538" i="1"/>
  <c r="AF217" i="1"/>
  <c r="AF963" i="1"/>
  <c r="AF102" i="1"/>
  <c r="AF386" i="1"/>
  <c r="AF667" i="1"/>
  <c r="AF886" i="1"/>
  <c r="AF6" i="1"/>
  <c r="AF188" i="1"/>
  <c r="AF731" i="1"/>
  <c r="AF1000" i="1"/>
  <c r="AF127" i="1"/>
  <c r="AF1075" i="1"/>
  <c r="AF255" i="1"/>
  <c r="AF394" i="1"/>
  <c r="AF50" i="1"/>
  <c r="AF423" i="1"/>
  <c r="AF765" i="1"/>
  <c r="AF669" i="1"/>
  <c r="AF124" i="1"/>
  <c r="AF618" i="1"/>
  <c r="AF1074" i="1"/>
  <c r="AF510" i="1"/>
  <c r="AF529" i="1"/>
  <c r="AF323" i="1"/>
  <c r="AF834" i="1"/>
  <c r="AF715" i="1"/>
  <c r="AF805" i="1"/>
  <c r="AF796" i="1"/>
  <c r="AF505" i="1"/>
  <c r="AF583" i="1"/>
  <c r="AF908" i="1"/>
  <c r="AF81" i="1"/>
  <c r="AF36" i="1"/>
  <c r="AF1046" i="1"/>
  <c r="AF951" i="1"/>
  <c r="AF935" i="1"/>
  <c r="AF211" i="1"/>
  <c r="AF647" i="1"/>
  <c r="AF1018" i="1"/>
  <c r="AF717" i="1"/>
  <c r="AF40" i="1"/>
  <c r="AF888" i="1"/>
  <c r="AF835" i="1"/>
  <c r="AF351" i="1"/>
  <c r="AF480" i="1"/>
  <c r="AF897" i="1"/>
  <c r="AF512" i="1"/>
  <c r="AF686" i="1"/>
  <c r="AF896" i="1"/>
  <c r="AF336" i="1"/>
  <c r="AF523" i="1"/>
  <c r="AF298" i="1"/>
  <c r="AF508" i="1"/>
  <c r="AF317" i="1"/>
  <c r="AF642" i="1"/>
  <c r="AF1067" i="1"/>
  <c r="AF646" i="1"/>
  <c r="AF729" i="1"/>
  <c r="AF648" i="1"/>
  <c r="AF969" i="1"/>
  <c r="AF723" i="1"/>
  <c r="AF482" i="1"/>
  <c r="AF788" i="1"/>
  <c r="AF1077" i="1"/>
  <c r="AF80" i="1"/>
  <c r="AF1039" i="1"/>
  <c r="AF1059" i="1"/>
  <c r="AF371" i="1"/>
  <c r="AF606" i="1"/>
  <c r="AF868" i="1"/>
  <c r="AF433" i="1"/>
  <c r="AF112" i="1"/>
  <c r="AF180" i="1"/>
</calcChain>
</file>

<file path=xl/sharedStrings.xml><?xml version="1.0" encoding="utf-8"?>
<sst xmlns="http://schemas.openxmlformats.org/spreadsheetml/2006/main" count="19532" uniqueCount="1858">
  <si>
    <t>Nome/Ragione sociale</t>
  </si>
  <si>
    <t>BELGIOIOSO</t>
  </si>
  <si>
    <t>AGENZIA</t>
  </si>
  <si>
    <t>FILIGHERA</t>
  </si>
  <si>
    <t>PAVIA</t>
  </si>
  <si>
    <t>Comune</t>
  </si>
  <si>
    <t>Telefono primario</t>
  </si>
  <si>
    <t>Telefono casa</t>
  </si>
  <si>
    <t>Telefono riferimento</t>
  </si>
  <si>
    <t>NOTE</t>
  </si>
  <si>
    <t>MAIL</t>
  </si>
  <si>
    <t>Contraente</t>
  </si>
  <si>
    <t>Rateizzazione</t>
  </si>
  <si>
    <t>Data ultimo pagamento</t>
  </si>
  <si>
    <t>Data prossima scadenza</t>
  </si>
  <si>
    <t>Rateizzazioni</t>
  </si>
  <si>
    <t>Tipo rateizzazione</t>
  </si>
  <si>
    <t>Mesi durata</t>
  </si>
  <si>
    <t>Mensile</t>
  </si>
  <si>
    <t>Bimestrale</t>
  </si>
  <si>
    <t>Trimestrale</t>
  </si>
  <si>
    <t>Quadrimestrale</t>
  </si>
  <si>
    <t>Semestrale</t>
  </si>
  <si>
    <t>Annuale</t>
  </si>
  <si>
    <t>Manuale</t>
  </si>
  <si>
    <t>Data prossima scadenza manuale</t>
  </si>
  <si>
    <t>Check</t>
  </si>
  <si>
    <t>Checkbox selezionato</t>
  </si>
  <si>
    <t>Email selezionate:</t>
  </si>
  <si>
    <t>Ramo polizza</t>
  </si>
  <si>
    <t>DANNI</t>
  </si>
  <si>
    <t>AUTO</t>
  </si>
  <si>
    <t>VITA</t>
  </si>
  <si>
    <t>Tipologia polizza</t>
  </si>
  <si>
    <t>MOTO</t>
  </si>
  <si>
    <t>Compagnia</t>
  </si>
  <si>
    <t>Compagnie</t>
  </si>
  <si>
    <t>GROUPAMA</t>
  </si>
  <si>
    <t>GLOBAL A.</t>
  </si>
  <si>
    <t>Polizza</t>
  </si>
  <si>
    <t>Ramo</t>
  </si>
  <si>
    <t>Auto/moto</t>
  </si>
  <si>
    <t>Tipologia pagamento</t>
  </si>
  <si>
    <t>CONTANTE</t>
  </si>
  <si>
    <t>ASSEGNO</t>
  </si>
  <si>
    <t>BONIFICO</t>
  </si>
  <si>
    <t>MENSILE</t>
  </si>
  <si>
    <t>Tipo pagamento</t>
  </si>
  <si>
    <t>Data attivazione</t>
  </si>
  <si>
    <t>Data scadenza</t>
  </si>
  <si>
    <t>OI/ON</t>
  </si>
  <si>
    <t>OI</t>
  </si>
  <si>
    <t>ON</t>
  </si>
  <si>
    <t>Durata</t>
  </si>
  <si>
    <t>Consenso MAIL</t>
  </si>
  <si>
    <t>I</t>
  </si>
  <si>
    <t>II</t>
  </si>
  <si>
    <t>III</t>
  </si>
  <si>
    <t>IV</t>
  </si>
  <si>
    <t>Targa</t>
  </si>
  <si>
    <t>Importo annuale</t>
  </si>
  <si>
    <t>Importo rata</t>
  </si>
  <si>
    <t>Incassato anno</t>
  </si>
  <si>
    <t>Provvigione</t>
  </si>
  <si>
    <t xml:space="preserve"> </t>
  </si>
  <si>
    <t>Report importi / incassi / provvigioni</t>
  </si>
  <si>
    <t>Importo</t>
  </si>
  <si>
    <t>Incassi annuali</t>
  </si>
  <si>
    <t>Provvigioni</t>
  </si>
  <si>
    <t>Complessivo</t>
  </si>
  <si>
    <t>Filtro su visualizzazione</t>
  </si>
  <si>
    <t>Report rami</t>
  </si>
  <si>
    <t>Filtrato</t>
  </si>
  <si>
    <t>IMPORTO</t>
  </si>
  <si>
    <t>PROVVIGIONI</t>
  </si>
  <si>
    <t>INCASSI
ANNUALI</t>
  </si>
  <si>
    <t>DATA NASCITA</t>
  </si>
  <si>
    <t>Soglie scadenze</t>
  </si>
  <si>
    <t>Colore</t>
  </si>
  <si>
    <t>Soglia giorni min</t>
  </si>
  <si>
    <t>GIALLO</t>
  </si>
  <si>
    <t>ROSSO</t>
  </si>
  <si>
    <t>Giorno soglia min</t>
  </si>
  <si>
    <t>Stati polizza</t>
  </si>
  <si>
    <t>Stato polizza</t>
  </si>
  <si>
    <t>ATTIVA</t>
  </si>
  <si>
    <t>Attiva?</t>
  </si>
  <si>
    <t>SOSPESA</t>
  </si>
  <si>
    <t>TERMINATA</t>
  </si>
  <si>
    <t>ARENSI MAURIZIO</t>
  </si>
  <si>
    <t>SANTA CRISTINA E BISSONE</t>
  </si>
  <si>
    <t>MAURIZIO</t>
  </si>
  <si>
    <t>BARBUTSA KASANDRA</t>
  </si>
  <si>
    <t xml:space="preserve">PAVIA </t>
  </si>
  <si>
    <t>KASANDRA</t>
  </si>
  <si>
    <t>BERTOLOTTI MARIO</t>
  </si>
  <si>
    <t>.038235456</t>
  </si>
  <si>
    <t>MARIO</t>
  </si>
  <si>
    <t>BOCCHINO FLAVIA</t>
  </si>
  <si>
    <t>FLAVIA</t>
  </si>
  <si>
    <t xml:space="preserve">BOIOCCHI CLAUDIA </t>
  </si>
  <si>
    <t>CLAUDIA</t>
  </si>
  <si>
    <t>BRESSANI ALAN SIMONE</t>
  </si>
  <si>
    <t>CORTEOLONA</t>
  </si>
  <si>
    <t>FEDERICA</t>
  </si>
  <si>
    <t>CERATI ROBERTO</t>
  </si>
  <si>
    <t>VALLE SALIMBENE</t>
  </si>
  <si>
    <t>ROBERTO</t>
  </si>
  <si>
    <t>COLANGELO MARIA</t>
  </si>
  <si>
    <t>ALBUZZANO</t>
  </si>
  <si>
    <t>MARIA</t>
  </si>
  <si>
    <t>CONDOMINIO PRISMA</t>
  </si>
  <si>
    <t>MONTANINO</t>
  </si>
  <si>
    <t>-</t>
  </si>
  <si>
    <t>CRISTIANI ADRIANO</t>
  </si>
  <si>
    <t>ADRIANO</t>
  </si>
  <si>
    <t>D'AUTILIA SANDRA</t>
  </si>
  <si>
    <t>ARENA PO</t>
  </si>
  <si>
    <t>ALESSANDRO</t>
  </si>
  <si>
    <t xml:space="preserve">DETTORI LUSSIENA </t>
  </si>
  <si>
    <t>TORRE DE' NEGRI</t>
  </si>
  <si>
    <t>LUSSIENA</t>
  </si>
  <si>
    <t>ECO 3 SRL</t>
  </si>
  <si>
    <t>CURA CARPIGNANO</t>
  </si>
  <si>
    <t>FABIO</t>
  </si>
  <si>
    <t>EIZAGUIRRE FANELLI MIRIAM</t>
  </si>
  <si>
    <t>VISTARINO</t>
  </si>
  <si>
    <t>FANELLI</t>
  </si>
  <si>
    <t>GRASSI ITALO</t>
  </si>
  <si>
    <t>ITALO</t>
  </si>
  <si>
    <t>GUARINO BRUNO</t>
  </si>
  <si>
    <t>CANNETO PAVESE</t>
  </si>
  <si>
    <t>BRUNO</t>
  </si>
  <si>
    <t>ALFREDO</t>
  </si>
  <si>
    <t>INZOLI LUIGI</t>
  </si>
  <si>
    <t>RONCARO</t>
  </si>
  <si>
    <t>.0382968937</t>
  </si>
  <si>
    <t>LAMACCHIA FRANCESCO</t>
  </si>
  <si>
    <t>COMO</t>
  </si>
  <si>
    <t>FRANCESCO</t>
  </si>
  <si>
    <t>MARINI PASQUALE</t>
  </si>
  <si>
    <t>LINAROLO</t>
  </si>
  <si>
    <t>PASUALE</t>
  </si>
  <si>
    <t>MASTROPIETRO CLAUDIO</t>
  </si>
  <si>
    <t>MICELI SALVATORE</t>
  </si>
  <si>
    <t>SALVATORE</t>
  </si>
  <si>
    <t xml:space="preserve">MOLINARI VERONICA </t>
  </si>
  <si>
    <t>TRAVACO' SICCOMARIO</t>
  </si>
  <si>
    <t>VERONICA</t>
  </si>
  <si>
    <t>MORETTI FRANCESCO</t>
  </si>
  <si>
    <t>MIRADOLO TERME</t>
  </si>
  <si>
    <t>.038275148</t>
  </si>
  <si>
    <t>MORO MARCO</t>
  </si>
  <si>
    <t>SPESSA</t>
  </si>
  <si>
    <t>MARCO</t>
  </si>
  <si>
    <t>PARMESANI ELISA</t>
  </si>
  <si>
    <t xml:space="preserve">BELGIOIOSO </t>
  </si>
  <si>
    <t>ELISA</t>
  </si>
  <si>
    <t>PEDRAZZINI MICHELE</t>
  </si>
  <si>
    <t>PIEVE PORTO MORONE</t>
  </si>
  <si>
    <t>MICHELE</t>
  </si>
  <si>
    <t>PIETRA CARLO</t>
  </si>
  <si>
    <t>BOSNASCO</t>
  </si>
  <si>
    <t>POIAGA ENZO</t>
  </si>
  <si>
    <t>VILLANTERIO</t>
  </si>
  <si>
    <t>.0382967372</t>
  </si>
  <si>
    <t>BASSANINI DANILA</t>
  </si>
  <si>
    <t>QUARESIMA BENITO</t>
  </si>
  <si>
    <t>BENITO</t>
  </si>
  <si>
    <t>QUARESIMA LINDA</t>
  </si>
  <si>
    <t>RIPA FABRIZIO</t>
  </si>
  <si>
    <t>RIPA PIERLUIGI</t>
  </si>
  <si>
    <t>PIERLUIGI</t>
  </si>
  <si>
    <t>RIPA STEFANO</t>
  </si>
  <si>
    <t xml:space="preserve"> PIERLUIGI PADRE</t>
  </si>
  <si>
    <t>ROSSICONE VITTORIO</t>
  </si>
  <si>
    <t>VITTORIO</t>
  </si>
  <si>
    <t>ROVIDA ALESSANDRA</t>
  </si>
  <si>
    <t>ALESSANDRA</t>
  </si>
  <si>
    <t>SACCHI DONATELLA</t>
  </si>
  <si>
    <t>SACCHI MARIA CRISTINA</t>
  </si>
  <si>
    <t>SCHIOPU ALIN CRISTIAN</t>
  </si>
  <si>
    <t>CASTEL SAN GIOVANNI</t>
  </si>
  <si>
    <t>SEMPLICE LUIGI</t>
  </si>
  <si>
    <t>LUIGI</t>
  </si>
  <si>
    <t>SUSANNI MARINO</t>
  </si>
  <si>
    <t>MOGLIE</t>
  </si>
  <si>
    <t>SUSANNI GIOVANNI</t>
  </si>
  <si>
    <t>SPAIRANI MARCO</t>
  </si>
  <si>
    <t>STIRBU CASANDRA</t>
  </si>
  <si>
    <t>ZIANO PIACENTINO</t>
  </si>
  <si>
    <t>SIMION (MARITO)</t>
  </si>
  <si>
    <t>TANGENTI FERDINANDO</t>
  </si>
  <si>
    <t>SAN MARTINO SICCOMARIO</t>
  </si>
  <si>
    <t>FERDINANDO</t>
  </si>
  <si>
    <t>TRABATTI STEFANO</t>
  </si>
  <si>
    <t>STEFANO</t>
  </si>
  <si>
    <t>TORCHIO MASSIMILIANO</t>
  </si>
  <si>
    <t>MASSIMILIANO</t>
  </si>
  <si>
    <t>V.S. MULTISERVICE SRLS</t>
  </si>
  <si>
    <t>SABINA</t>
  </si>
  <si>
    <t>VILARDO DIMITRI</t>
  </si>
  <si>
    <t>TORRE DE NEGRI</t>
  </si>
  <si>
    <t>DIMITRI</t>
  </si>
  <si>
    <t>VITAN NICOLATA</t>
  </si>
  <si>
    <t>NICOLETA</t>
  </si>
  <si>
    <t>VOIDOC FRANCISC</t>
  </si>
  <si>
    <t>FRANCISC</t>
  </si>
  <si>
    <t>ZUCCHI ROBERTO</t>
  </si>
  <si>
    <t xml:space="preserve">ZUCCA CERAMICHE SRLS </t>
  </si>
  <si>
    <t>ABDEL RAZEK ASHRAF MOHAMED MOHAMED</t>
  </si>
  <si>
    <t>ALZANO LOMBARDO</t>
  </si>
  <si>
    <t>MOHAMED</t>
  </si>
  <si>
    <t>AHAMED ABD EL AAL MOHAM ASMAA</t>
  </si>
  <si>
    <t>VIGEVANO</t>
  </si>
  <si>
    <t>MOHAM ASMAA</t>
  </si>
  <si>
    <t>AHMED ABED</t>
  </si>
  <si>
    <t>ABED</t>
  </si>
  <si>
    <t>ACCONCIATURE EXTREME DI MUSSELLI FEDERICA</t>
  </si>
  <si>
    <t>AGRETTO ANNA</t>
  </si>
  <si>
    <t>ANNA</t>
  </si>
  <si>
    <t>ALAIMO ANTONINO</t>
  </si>
  <si>
    <t>ALAIMO FIGLIO</t>
  </si>
  <si>
    <t>ALAIMO SILVANA</t>
  </si>
  <si>
    <t>ALAIMO</t>
  </si>
  <si>
    <t>ALBERI STEFANO</t>
  </si>
  <si>
    <t>ALBERI EMILIANO</t>
  </si>
  <si>
    <t>EMILIANO</t>
  </si>
  <si>
    <t>ALBANESI BARBARA</t>
  </si>
  <si>
    <t>VAGHI MATTEO</t>
  </si>
  <si>
    <t>ALBANESI LUIGIA</t>
  </si>
  <si>
    <t>BAGOSSI</t>
  </si>
  <si>
    <t>ALFONSIN PAULA GISELE</t>
  </si>
  <si>
    <t>PAOLA</t>
  </si>
  <si>
    <t>ANDREOTTI LUIGI</t>
  </si>
  <si>
    <t>.0382969789</t>
  </si>
  <si>
    <t>ANGELICO ANGELA MARIA</t>
  </si>
  <si>
    <t>CORVINO SAN QUIRICO</t>
  </si>
  <si>
    <t>AGUZZI ORESTINO</t>
  </si>
  <si>
    <t>AGUZZI CRISTIANO</t>
  </si>
  <si>
    <t>AGRIBIZETA DI BERSANI MICHELE E ZANINI</t>
  </si>
  <si>
    <t>MONTU' BECCARIA</t>
  </si>
  <si>
    <t>ANGULO ESTHER MELINDA</t>
  </si>
  <si>
    <t>ANTONONI LARA</t>
  </si>
  <si>
    <t>RICCARDO</t>
  </si>
  <si>
    <t>APOLLONIO DAVIDE</t>
  </si>
  <si>
    <t>VIDIGULFO</t>
  </si>
  <si>
    <t>AIMALE ALDO</t>
  </si>
  <si>
    <t>AIELLO MARCELO</t>
  </si>
  <si>
    <t>SPESSA PO</t>
  </si>
  <si>
    <t>PAPA'</t>
  </si>
  <si>
    <t>ALIMONTI ROBERTO</t>
  </si>
  <si>
    <t>ARDIZZI GABRIELE</t>
  </si>
  <si>
    <t>SANTA  CRISTINA</t>
  </si>
  <si>
    <t xml:space="preserve">GABRIELE </t>
  </si>
  <si>
    <t>ARDIZZI LUIGI</t>
  </si>
  <si>
    <t>ARDIZZI RENATA</t>
  </si>
  <si>
    <t>TORTI (GENERO)</t>
  </si>
  <si>
    <t>ARENSI CLAUDIO</t>
  </si>
  <si>
    <t>CLAUDIO</t>
  </si>
  <si>
    <t>AUTOTRASPORTI ARENSI CLAUDIO E MAURIZIO</t>
  </si>
  <si>
    <t>ARENSI MATTIA</t>
  </si>
  <si>
    <t>ARISI STEFANO</t>
  </si>
  <si>
    <t>ASTI GIULIANO</t>
  </si>
  <si>
    <t>COSTA DE' NEBOLI</t>
  </si>
  <si>
    <t>GIULIANO</t>
  </si>
  <si>
    <t>AUTOROGER</t>
  </si>
  <si>
    <t>RUGGERO</t>
  </si>
  <si>
    <t xml:space="preserve">AGENZIA </t>
  </si>
  <si>
    <t>AYOUCH MAHMOUD</t>
  </si>
  <si>
    <t>SANTA GIULIETTA</t>
  </si>
  <si>
    <t>MAHMOUD</t>
  </si>
  <si>
    <t>ARALDI ATTILIO</t>
  </si>
  <si>
    <t>.0523863476</t>
  </si>
  <si>
    <t>ATTILIO</t>
  </si>
  <si>
    <t>AZ. AGRICOLA ARALDI MAGLIULO E FIGLIO</t>
  </si>
  <si>
    <t>AZ. AGRICOLA FERRARI PAOLO</t>
  </si>
  <si>
    <t>BORGO SAN GIOVANNI</t>
  </si>
  <si>
    <t>PAOLO</t>
  </si>
  <si>
    <t>AZIZ NOUREDDINE</t>
  </si>
  <si>
    <t>NOUREDDINE</t>
  </si>
  <si>
    <t>BADALAMENTI MARIA</t>
  </si>
  <si>
    <t>MILANO</t>
  </si>
  <si>
    <t>MARITO LEONE VITO</t>
  </si>
  <si>
    <t>BAGOSSI GIAN LUCA</t>
  </si>
  <si>
    <t>GIANLUCA</t>
  </si>
  <si>
    <t>BAHOU MOHAMED</t>
  </si>
  <si>
    <t xml:space="preserve">MOHAMED </t>
  </si>
  <si>
    <t>BALAN COSTICA</t>
  </si>
  <si>
    <t>COSTICA</t>
  </si>
  <si>
    <t>BALABAN VIDOSAVA</t>
  </si>
  <si>
    <t>STRADELLA</t>
  </si>
  <si>
    <t>VIDOSAVA</t>
  </si>
  <si>
    <t>BALDINI ROBERTINO</t>
  </si>
  <si>
    <t>ROBERTINO</t>
  </si>
  <si>
    <t>BARONI GREGORIO</t>
  </si>
  <si>
    <t>CASTELLETTO LODIGIANO</t>
  </si>
  <si>
    <t>GREGORIO</t>
  </si>
  <si>
    <t>BAR NAZIONALE DI VAGHI MATTEO</t>
  </si>
  <si>
    <t>MATTEO</t>
  </si>
  <si>
    <t>BARATTIERI OSCAR ROBERTO</t>
  </si>
  <si>
    <t>OSCAR</t>
  </si>
  <si>
    <t>BARBAGLIO MAURO</t>
  </si>
  <si>
    <t>PIZZIGHETTONE</t>
  </si>
  <si>
    <t>MAURO</t>
  </si>
  <si>
    <t>BARBIERI SABRINA</t>
  </si>
  <si>
    <t>SABRINA</t>
  </si>
  <si>
    <t>BAROCELLI PAOLO</t>
  </si>
  <si>
    <t>DANILA</t>
  </si>
  <si>
    <t>BASSI MARCO</t>
  </si>
  <si>
    <t>BELLAGENTE ANNA RITA</t>
  </si>
  <si>
    <t xml:space="preserve">GENZONE </t>
  </si>
  <si>
    <t>ANNA RITA</t>
  </si>
  <si>
    <t>BELLONI RICCARDO</t>
  </si>
  <si>
    <t>BELMONTE MASSIMILIANO</t>
  </si>
  <si>
    <t>BENALI LAAUROUSSI</t>
  </si>
  <si>
    <t>SAN ZENONE AL PO</t>
  </si>
  <si>
    <t>LAAROUSSI</t>
  </si>
  <si>
    <t>BERGAMASCHI LUIGI</t>
  </si>
  <si>
    <t>.0382973926</t>
  </si>
  <si>
    <t>BERZIN AUTO E SPORT SRL</t>
  </si>
  <si>
    <t>EUGENIO</t>
  </si>
  <si>
    <t>BERETTA EMILIO</t>
  </si>
  <si>
    <t>.0382571988</t>
  </si>
  <si>
    <t>ROSELLA</t>
  </si>
  <si>
    <t>BERETTA ROSELLA</t>
  </si>
  <si>
    <t>BERTOLOTTI GIUSEPPE</t>
  </si>
  <si>
    <t>GIUSEPPE</t>
  </si>
  <si>
    <t>BERTOLOTTI MATTEO</t>
  </si>
  <si>
    <t>BERTOLA MATTIA</t>
  </si>
  <si>
    <t>MATTIA</t>
  </si>
  <si>
    <t>BENNET IDA MARGHERITA</t>
  </si>
  <si>
    <t>PONTE NIZZA</t>
  </si>
  <si>
    <t>MARGHERITA</t>
  </si>
  <si>
    <t>BISONI MANUELA</t>
  </si>
  <si>
    <t>TICLI</t>
  </si>
  <si>
    <t>BIANCHI GIUSEPPE</t>
  </si>
  <si>
    <t>BIANCHI MAURIZIO PAOLO</t>
  </si>
  <si>
    <t>BIANCHINI DONATELLA</t>
  </si>
  <si>
    <t>DONATELLA</t>
  </si>
  <si>
    <t>BIRLEANU IULIAN VIOREL</t>
  </si>
  <si>
    <t>BIELLA DOMENICO</t>
  </si>
  <si>
    <t>CHIGNOLO PO</t>
  </si>
  <si>
    <t>.038276038</t>
  </si>
  <si>
    <t>DOMENICO</t>
  </si>
  <si>
    <t>BIGLIERI ALMA ANNAMARIA</t>
  </si>
  <si>
    <t>ALMA</t>
  </si>
  <si>
    <t>BIRGAUAN PANTILMON</t>
  </si>
  <si>
    <t xml:space="preserve">SAN MARTINO IN STRADA </t>
  </si>
  <si>
    <t xml:space="preserve">PANTILMON </t>
  </si>
  <si>
    <t>BIZGAN CONSTANTIN LAURENTIU</t>
  </si>
  <si>
    <t>CONSTANTIN</t>
  </si>
  <si>
    <t>BIZZARRI MARIA PIA</t>
  </si>
  <si>
    <t>BOATTO TIZIANO</t>
  </si>
  <si>
    <t>TIZIANO</t>
  </si>
  <si>
    <t>BOATTO STEFANIA</t>
  </si>
  <si>
    <t xml:space="preserve">TIZIANO </t>
  </si>
  <si>
    <t>BOCA ILIE</t>
  </si>
  <si>
    <t>ILIE</t>
  </si>
  <si>
    <t>BORDEA DANIEL MIHAI</t>
  </si>
  <si>
    <t>DANIEL</t>
  </si>
  <si>
    <t>BOCCHIOLA GINO TERESIO</t>
  </si>
  <si>
    <t>GINO</t>
  </si>
  <si>
    <t>BUJOR ADI IONUT</t>
  </si>
  <si>
    <t>SANT'ANGELO LODIGIANO</t>
  </si>
  <si>
    <t>ALE RAGAZZA</t>
  </si>
  <si>
    <t>BONALDA RENATO</t>
  </si>
  <si>
    <t xml:space="preserve">BORNASCO </t>
  </si>
  <si>
    <t>RENATO</t>
  </si>
  <si>
    <t>BONVINI ABELE</t>
  </si>
  <si>
    <t>.0382970246</t>
  </si>
  <si>
    <t>ABELE</t>
  </si>
  <si>
    <t>BONVINI ANDREA</t>
  </si>
  <si>
    <t>ANDREA</t>
  </si>
  <si>
    <t>BONIZZONI GIUSEPPE</t>
  </si>
  <si>
    <t>BOTEZATU GHEORGHE</t>
  </si>
  <si>
    <t>GHEROGHE</t>
  </si>
  <si>
    <t>BOTTANI FRANCESCO CARLO</t>
  </si>
  <si>
    <t>BOZZONI GIUSEPPE PAOLO</t>
  </si>
  <si>
    <t>BOVA VINCENZO</t>
  </si>
  <si>
    <t>VERRUA PO</t>
  </si>
  <si>
    <t>VINCENZO</t>
  </si>
  <si>
    <t xml:space="preserve">BRANDOLINI ANNA CATERINA </t>
  </si>
  <si>
    <t>.038570572</t>
  </si>
  <si>
    <t>ANNA CATERINA</t>
  </si>
  <si>
    <t>BRAMBILLASCA ANGELA</t>
  </si>
  <si>
    <t>PIOLTELLO</t>
  </si>
  <si>
    <t>FESTA</t>
  </si>
  <si>
    <t xml:space="preserve">BRERA EMILIANO </t>
  </si>
  <si>
    <t>BRERA PIERO LUIGI</t>
  </si>
  <si>
    <t>PIERO</t>
  </si>
  <si>
    <t>BRERA CARLA LISA MARIA</t>
  </si>
  <si>
    <t>BRERA LUIGI</t>
  </si>
  <si>
    <t xml:space="preserve">BRERA LUIGI </t>
  </si>
  <si>
    <t>BRESCIANINI GIUSEPPE</t>
  </si>
  <si>
    <t>.0382.485053</t>
  </si>
  <si>
    <t>BRESSANI ANGELO</t>
  </si>
  <si>
    <t>MAGGI ATTILIA</t>
  </si>
  <si>
    <t>BRIGNOLI GIOVANNA</t>
  </si>
  <si>
    <t>RIVANAZZANO</t>
  </si>
  <si>
    <t>GIOVANNA</t>
  </si>
  <si>
    <t>BRUNO EMANUELE</t>
  </si>
  <si>
    <t>COPIANO</t>
  </si>
  <si>
    <t>EMANUELE</t>
  </si>
  <si>
    <t>BRUNI ANNA MARIA</t>
  </si>
  <si>
    <t>.</t>
  </si>
  <si>
    <t>.0382463200</t>
  </si>
  <si>
    <t>ANNA MARIA</t>
  </si>
  <si>
    <t>CAFAGNA CLAUDIO</t>
  </si>
  <si>
    <t>RAMAIOLI ERNESTINO</t>
  </si>
  <si>
    <t>CABRINI BARBARA</t>
  </si>
  <si>
    <t>MARITO</t>
  </si>
  <si>
    <t>CACI GUIDO VINCENZO</t>
  </si>
  <si>
    <t>GUIDO</t>
  </si>
  <si>
    <t>CACCIATORI MARIA CRISTINA</t>
  </si>
  <si>
    <t>MARIA CRISTINA</t>
  </si>
  <si>
    <t>CALLEGARI FRANCO</t>
  </si>
  <si>
    <t>.0382468981</t>
  </si>
  <si>
    <t>FRANCO</t>
  </si>
  <si>
    <t>CALLEGARI LORENA</t>
  </si>
  <si>
    <t xml:space="preserve">SAVOIA EMILIO </t>
  </si>
  <si>
    <t>CALDARELLA TOMMASO</t>
  </si>
  <si>
    <t>.0382970520</t>
  </si>
  <si>
    <t>TOMMASO</t>
  </si>
  <si>
    <t>CAFFU GIOVANNI</t>
  </si>
  <si>
    <t>GARLASCO</t>
  </si>
  <si>
    <t>AVV. CAFFU</t>
  </si>
  <si>
    <t>CAPITANIO PAOLA</t>
  </si>
  <si>
    <t>CARBONINI CARMELINA</t>
  </si>
  <si>
    <t>.0382960723</t>
  </si>
  <si>
    <t>CARMELINA</t>
  </si>
  <si>
    <t>CAGNONI LUCIA</t>
  </si>
  <si>
    <t>.038570105</t>
  </si>
  <si>
    <t>LUCIA</t>
  </si>
  <si>
    <t>CARU' SERGIO</t>
  </si>
  <si>
    <t>SERGIO</t>
  </si>
  <si>
    <t>CASALI CRISTIANO</t>
  </si>
  <si>
    <t>VALERA FRATTA</t>
  </si>
  <si>
    <t>CRISTIANO</t>
  </si>
  <si>
    <t>CASATI GIULIANO</t>
  </si>
  <si>
    <t>CASATI SIMONE</t>
  </si>
  <si>
    <t>CASOLARO GIANLUCA</t>
  </si>
  <si>
    <t>MEZZANINO</t>
  </si>
  <si>
    <t>CATALDI MARCO</t>
  </si>
  <si>
    <t>GAZZOLA</t>
  </si>
  <si>
    <t>CATALDI NATASCIA</t>
  </si>
  <si>
    <t>NATASCIA</t>
  </si>
  <si>
    <t>CATALDI ORAZIO</t>
  </si>
  <si>
    <t>GRAGNANO TREBBIENSE</t>
  </si>
  <si>
    <t>ORAZIO</t>
  </si>
  <si>
    <t>CATALISANO CLAUDIO</t>
  </si>
  <si>
    <t>CENTRO RICAMBI AUTO</t>
  </si>
  <si>
    <t>RIPA</t>
  </si>
  <si>
    <t>CERRI GIANCARLA</t>
  </si>
  <si>
    <t>.0382485401</t>
  </si>
  <si>
    <t>GIANCARLA</t>
  </si>
  <si>
    <t>CESARANO LUIGI</t>
  </si>
  <si>
    <t>CESARANO FRANCESCO</t>
  </si>
  <si>
    <t>CESARO ANGELO</t>
  </si>
  <si>
    <t>BRONI</t>
  </si>
  <si>
    <t>FRATELLO</t>
  </si>
  <si>
    <t>CIAMBRONE FRANCESCO</t>
  </si>
  <si>
    <t>CICERI DONATELLA</t>
  </si>
  <si>
    <t>SAN DAMIANO AL COLLE</t>
  </si>
  <si>
    <t>FIGLIO</t>
  </si>
  <si>
    <t>CETOJEVIC MILOVAN</t>
  </si>
  <si>
    <t>CLERICI ENRICA GIUSEPPINA</t>
  </si>
  <si>
    <t xml:space="preserve">MAGHERNO </t>
  </si>
  <si>
    <t>.0382966793</t>
  </si>
  <si>
    <t>ENRICA GIUSEPPINA</t>
  </si>
  <si>
    <t>COBRUSCA LARRI MARIAN</t>
  </si>
  <si>
    <t>SAN COLOMBRANO AL LAMBRO</t>
  </si>
  <si>
    <t>MARIAN</t>
  </si>
  <si>
    <t>CORONA ELISABETTA MARIA</t>
  </si>
  <si>
    <t>ROBERTA (SORELLA)</t>
  </si>
  <si>
    <t>CORONA ROBERTA ANGELA</t>
  </si>
  <si>
    <t>ROBERTA</t>
  </si>
  <si>
    <t>COLLA PIERCARLO GUIDO</t>
  </si>
  <si>
    <t>PIER</t>
  </si>
  <si>
    <t>COLELLA MARIA ELENA</t>
  </si>
  <si>
    <t>MARIA ELENA</t>
  </si>
  <si>
    <t>COLOMBO LUISA</t>
  </si>
  <si>
    <t>DESIO</t>
  </si>
  <si>
    <t>CEO</t>
  </si>
  <si>
    <t xml:space="preserve">COLOMBO LUIGI </t>
  </si>
  <si>
    <t xml:space="preserve"> MIRADOLO TERME </t>
  </si>
  <si>
    <t>COLOMBO LUIGI</t>
  </si>
  <si>
    <t>COLOSIMO LUIGINA</t>
  </si>
  <si>
    <t>COLOSIMO MAURIZIO</t>
  </si>
  <si>
    <t>COLLI PAOLA</t>
  </si>
  <si>
    <t xml:space="preserve">ALBERTO </t>
  </si>
  <si>
    <t>COLLI ALBERTO</t>
  </si>
  <si>
    <t>GERENZAGO</t>
  </si>
  <si>
    <t>ALBERTO</t>
  </si>
  <si>
    <t>COLLA MARIA ADELE</t>
  </si>
  <si>
    <t>MARIA ADELE</t>
  </si>
  <si>
    <t>CONFUSO DENNY MARCO</t>
  </si>
  <si>
    <t xml:space="preserve">LISSONE </t>
  </si>
  <si>
    <t xml:space="preserve"> 07-06-1988</t>
  </si>
  <si>
    <t>CONDOMINIO RESIDENZIALE RADA</t>
  </si>
  <si>
    <t>PENNETTA</t>
  </si>
  <si>
    <t xml:space="preserve">CONDOMINIO L' ANGOLO </t>
  </si>
  <si>
    <t>ZECCONE</t>
  </si>
  <si>
    <t>BARCHERI</t>
  </si>
  <si>
    <t>CONDOMINIO IL TRIANGOLO</t>
  </si>
  <si>
    <t>CONDOMINIO VIA TORINO</t>
  </si>
  <si>
    <t xml:space="preserve">ROGNONI </t>
  </si>
  <si>
    <t>CONDOMINIO AUSONIA III</t>
  </si>
  <si>
    <t>GAVANA</t>
  </si>
  <si>
    <t>CONDOMINIO IL GABBIANO</t>
  </si>
  <si>
    <t>CONDOMINIO AUSONIA II</t>
  </si>
  <si>
    <t>CONDOMINIO IL GIRASOLE</t>
  </si>
  <si>
    <t>CONDOMINIO DAZIETTO I</t>
  </si>
  <si>
    <t>CONDOMINIO TEODOLINDA</t>
  </si>
  <si>
    <t>CONDONINIO MARINELLA</t>
  </si>
  <si>
    <t>.0382463781</t>
  </si>
  <si>
    <t>ROBBIATI</t>
  </si>
  <si>
    <t>CONDOMINIO SAN QUIRICO</t>
  </si>
  <si>
    <t>CONDOMINIO BUILDERS TRE</t>
  </si>
  <si>
    <t>CONDOMINIO CA' GRANDA</t>
  </si>
  <si>
    <t>CONDOMINIO CANTONE</t>
  </si>
  <si>
    <t>CONDOMINIO LA CASCINA 2</t>
  </si>
  <si>
    <t>CONDOMINIO IL BORGO</t>
  </si>
  <si>
    <t>CONDOMINIO DEI GIGLI</t>
  </si>
  <si>
    <t>CONDOMINIO LA FONTANELLA</t>
  </si>
  <si>
    <t>CONDOMINIO LORY</t>
  </si>
  <si>
    <t xml:space="preserve">CONDOMINIO MAGNOLIE </t>
  </si>
  <si>
    <t>CONDOMINIO CALIPSO</t>
  </si>
  <si>
    <t>CONDOMINIO GALILEO</t>
  </si>
  <si>
    <t>CONDOMINIO FARO</t>
  </si>
  <si>
    <t>TARRINI</t>
  </si>
  <si>
    <t>CONDOMINIO PARCO VECCHIO</t>
  </si>
  <si>
    <t>CONDOMINIO RESIDENZIALE MONTEBALDO</t>
  </si>
  <si>
    <t>CONDOMINIO NETTUNO</t>
  </si>
  <si>
    <t>CONDOMINIO MARINELLA C/O AMM.RE VALLE SERGIO</t>
  </si>
  <si>
    <t>VALLE</t>
  </si>
  <si>
    <t>CONDOMINIO BERNARDO DA PAVIA</t>
  </si>
  <si>
    <t>CONDOMINIO TOSCANINI</t>
  </si>
  <si>
    <t>CONDOMINIO NARCISO</t>
  </si>
  <si>
    <t>CONDOMINIO VIA NOVARA</t>
  </si>
  <si>
    <t>CONDOMINIO AUSONIA I</t>
  </si>
  <si>
    <t>CONDOMINIO CAMPARI 57</t>
  </si>
  <si>
    <t>CONDOMINIO SNIA CASA 5</t>
  </si>
  <si>
    <t>CONDOMINIO PUSTERLA</t>
  </si>
  <si>
    <t>CONDOMINIO LA QUERCIA</t>
  </si>
  <si>
    <t>CONDOMINIO DELLE ROSE</t>
  </si>
  <si>
    <t>CONDOMINIO VIALE LUDOVICO IL MORO</t>
  </si>
  <si>
    <t>CONDOMINIO LE MAGNOLIE 9</t>
  </si>
  <si>
    <t>CONDOMINIO LE MAGNOLIE 11</t>
  </si>
  <si>
    <t>CONDOMINIO AURORA</t>
  </si>
  <si>
    <t>CONDOMINIO SICILIA 21</t>
  </si>
  <si>
    <t>CONDOMINIO MIRA</t>
  </si>
  <si>
    <t>CONDOMINIO VIA FOLLA DI SOTTO 27</t>
  </si>
  <si>
    <t>CONDOMINIO SOLFERINO 34</t>
  </si>
  <si>
    <t>CONDOMINIO STELLA</t>
  </si>
  <si>
    <t xml:space="preserve">CONDOMINIO VALE </t>
  </si>
  <si>
    <t>CANNELLA ROBERTO</t>
  </si>
  <si>
    <t>BORGIO VEREZZI</t>
  </si>
  <si>
    <t>CORONELLI SILVIA</t>
  </si>
  <si>
    <t>BONIZZONI (MARITO)</t>
  </si>
  <si>
    <t>COSENZA IVANA</t>
  </si>
  <si>
    <t>ARENSI</t>
  </si>
  <si>
    <t>COSTRASEL CIPRIAN</t>
  </si>
  <si>
    <t>CIPRIAN</t>
  </si>
  <si>
    <t>COSTRUZIONI GENERALI CA.SPA.ZA</t>
  </si>
  <si>
    <t>COTTA RAMUSINO NATALINA</t>
  </si>
  <si>
    <t>MARCOMIN DARIO</t>
  </si>
  <si>
    <t>COVEN MASSIMO</t>
  </si>
  <si>
    <t>MASSIMO COVEN</t>
  </si>
  <si>
    <t>CURTI GIUSEPPINA</t>
  </si>
  <si>
    <t>NAPOLITANO</t>
  </si>
  <si>
    <t>CROBEDDU GIORGIO</t>
  </si>
  <si>
    <t>JACOPO</t>
  </si>
  <si>
    <t>CRETU SINZIANA</t>
  </si>
  <si>
    <t>CRETU MARIUS</t>
  </si>
  <si>
    <t>MARIUS</t>
  </si>
  <si>
    <t>CHITICARU MIREL STELICA</t>
  </si>
  <si>
    <t>BARBIANELLO</t>
  </si>
  <si>
    <t xml:space="preserve">CRISPINO VITTORIA </t>
  </si>
  <si>
    <t>CRISTIANI ALESSANDRO</t>
  </si>
  <si>
    <t>D&amp;G TERMOIDRAULICA SNC</t>
  </si>
  <si>
    <t>FLAVIO / MAMMA</t>
  </si>
  <si>
    <t>DAIDONE PALMA</t>
  </si>
  <si>
    <t>PALMA</t>
  </si>
  <si>
    <t>DANILA CARMEN</t>
  </si>
  <si>
    <t>MARITO CRISTIAN</t>
  </si>
  <si>
    <t>DAVIDE DOMENICO</t>
  </si>
  <si>
    <t>D'AMORE GIORGIO</t>
  </si>
  <si>
    <t>GIORGIO</t>
  </si>
  <si>
    <t>DE ALBERTI GABRIELE EMILIO</t>
  </si>
  <si>
    <t>GABRIELE</t>
  </si>
  <si>
    <t>DE MARCO CLAUDIA</t>
  </si>
  <si>
    <t>DE MASI MARIO</t>
  </si>
  <si>
    <t>.0382583181</t>
  </si>
  <si>
    <t>DE MASI VIRGINIA</t>
  </si>
  <si>
    <t>VIRGINIA</t>
  </si>
  <si>
    <t>DELLACASAGRANDE NANDO</t>
  </si>
  <si>
    <t>NANDO</t>
  </si>
  <si>
    <t>DELLACASAGRANDE ILARIA</t>
  </si>
  <si>
    <t>ILARIA</t>
  </si>
  <si>
    <t>DESSINI MARCO</t>
  </si>
  <si>
    <t>DEMONTIS RAFFAELLA</t>
  </si>
  <si>
    <t>DI MEZZA MARIA CARMELA</t>
  </si>
  <si>
    <t>SOLOPACA</t>
  </si>
  <si>
    <t>FIGLIA</t>
  </si>
  <si>
    <t>DI GIACOMO FRANCESCO</t>
  </si>
  <si>
    <t>DIGIA</t>
  </si>
  <si>
    <t>DIENG NDIAKHATE</t>
  </si>
  <si>
    <t>DSB SERRAMENTI S.A.S. DI SACCHI MORENO &amp; C.</t>
  </si>
  <si>
    <t>PORTALBERA</t>
  </si>
  <si>
    <t>MORENO SACCHI</t>
  </si>
  <si>
    <t>DULUMAN NICUSOR</t>
  </si>
  <si>
    <t>ETERNATETTO S.A.S.</t>
  </si>
  <si>
    <t>FABIO LOCA</t>
  </si>
  <si>
    <t>ECODUEG SRLS</t>
  </si>
  <si>
    <t>EMILIO GARBIN</t>
  </si>
  <si>
    <t>EDOUKOU MOTCHIAN JULES</t>
  </si>
  <si>
    <t>EDILE M.M. SNC</t>
  </si>
  <si>
    <t>LEONARDO</t>
  </si>
  <si>
    <t>ELHASSANIN MOHAMED ZAKI ABDELHA</t>
  </si>
  <si>
    <t>ESPOSTI MONICA</t>
  </si>
  <si>
    <t>MONICA</t>
  </si>
  <si>
    <t>ESPOSITO ANTONIO</t>
  </si>
  <si>
    <t>ANTONIO</t>
  </si>
  <si>
    <t>ESPOSITO RICCARDO</t>
  </si>
  <si>
    <t>ESSAWI MOHAMED</t>
  </si>
  <si>
    <t xml:space="preserve">EDIL 3 DI F.LLI JAUPI SNC </t>
  </si>
  <si>
    <t>GENTIAN</t>
  </si>
  <si>
    <t>EDIL 3 DI F.LLI JAUPI SNC</t>
  </si>
  <si>
    <t>EDILTETTI SNC DI SELISHTA EDLDORIS &amp; F.LII</t>
  </si>
  <si>
    <t>CIGOGNOLA</t>
  </si>
  <si>
    <t>DORIS</t>
  </si>
  <si>
    <t>FABIANO GABRIELE</t>
  </si>
  <si>
    <t>FABIANO FEDERICA</t>
  </si>
  <si>
    <t>FAINI ELISA</t>
  </si>
  <si>
    <t>MARITO BONVINI ANDR</t>
  </si>
  <si>
    <t>FERRARI PAOLO</t>
  </si>
  <si>
    <t>FERRARI SILVIA MORENA</t>
  </si>
  <si>
    <t>FERRARI RICCARDO</t>
  </si>
  <si>
    <t>FERRO FABIO</t>
  </si>
  <si>
    <t>FESTA SILVIA</t>
  </si>
  <si>
    <t>SILVIA</t>
  </si>
  <si>
    <t>FILAFERRO STEFANO</t>
  </si>
  <si>
    <t>FILAFERRO STEFANO E ELENA</t>
  </si>
  <si>
    <t>.0382579184</t>
  </si>
  <si>
    <t xml:space="preserve">STEFANO </t>
  </si>
  <si>
    <t>FILECCIA SEBASTIANO</t>
  </si>
  <si>
    <t>SEBASTIANO</t>
  </si>
  <si>
    <t>FIOCCHI GIUDITTA</t>
  </si>
  <si>
    <t>GIUDITTA</t>
  </si>
  <si>
    <t>FIORITO ANTONIO</t>
  </si>
  <si>
    <t>SAN GENESIO ED UNITI</t>
  </si>
  <si>
    <t>FISCINA GIUSEPPINA</t>
  </si>
  <si>
    <t>FUSCO MARIA</t>
  </si>
  <si>
    <t>TEDESCO GIOVANNI</t>
  </si>
  <si>
    <t>FORESTIERO FAUSTO</t>
  </si>
  <si>
    <t>FAUSTO</t>
  </si>
  <si>
    <t>FOLLINI GIOVANNA</t>
  </si>
  <si>
    <t>BORNASCO</t>
  </si>
  <si>
    <t>FORTI ANNA MARIA</t>
  </si>
  <si>
    <t>FORTI MAURO</t>
  </si>
  <si>
    <t>FRANZINI ALESSANDRO</t>
  </si>
  <si>
    <t xml:space="preserve">GA.FE. SRL </t>
  </si>
  <si>
    <t>GAVONI NICOLETTA</t>
  </si>
  <si>
    <t>SERAVEZZA</t>
  </si>
  <si>
    <t>NICOLETTA</t>
  </si>
  <si>
    <t>GANDELLINI VALERIA</t>
  </si>
  <si>
    <t>DENIS</t>
  </si>
  <si>
    <t>GANDINI CLAUDIA</t>
  </si>
  <si>
    <t>FIGLIO GERMANI LORE</t>
  </si>
  <si>
    <t>GARIBOLDI GAIA</t>
  </si>
  <si>
    <t>GAIA</t>
  </si>
  <si>
    <t>GARIBOLDI FRANCESCO</t>
  </si>
  <si>
    <t>GARIBOLDI LUIGINA</t>
  </si>
  <si>
    <t>LUIGINA</t>
  </si>
  <si>
    <t>GARLASCHELLI ELIA</t>
  </si>
  <si>
    <t>GARLASCHELLI CLAUDIO</t>
  </si>
  <si>
    <t>GASIO ADOLFO</t>
  </si>
  <si>
    <t xml:space="preserve">ADOLFO </t>
  </si>
  <si>
    <t>GASIO CLETO</t>
  </si>
  <si>
    <t>RUINO</t>
  </si>
  <si>
    <t>GIURIATO MARZIA</t>
  </si>
  <si>
    <t>SIZIANO</t>
  </si>
  <si>
    <t>DANIELE FRANZINI</t>
  </si>
  <si>
    <t>GIORGI ANDREA</t>
  </si>
  <si>
    <t>GIORGI FRANCO</t>
  </si>
  <si>
    <t>GERMANI LORENZO</t>
  </si>
  <si>
    <t>LORENZO</t>
  </si>
  <si>
    <t>GORINI JACOPO</t>
  </si>
  <si>
    <t>GHEORGHIU AURELIA</t>
  </si>
  <si>
    <t>AURELIA</t>
  </si>
  <si>
    <t>GHILARI MASSIMILIANO</t>
  </si>
  <si>
    <t>GROSSI GIUSEPPE</t>
  </si>
  <si>
    <t xml:space="preserve">GHITTI RENATO </t>
  </si>
  <si>
    <t>ELENA (FIGLIA)</t>
  </si>
  <si>
    <t>GHITTI ELENA</t>
  </si>
  <si>
    <t>ELENA</t>
  </si>
  <si>
    <t>GIO' BAR DI MASTROPIETRO GIORGINA MORENA</t>
  </si>
  <si>
    <t>GIORGIA</t>
  </si>
  <si>
    <t>GIUSTINO VITO DOMENICO</t>
  </si>
  <si>
    <t>GRANATA MARIA NAZZARENA</t>
  </si>
  <si>
    <t>340-0510138</t>
  </si>
  <si>
    <t>GREGGIO PIERANGELA</t>
  </si>
  <si>
    <t>PIERANGELA</t>
  </si>
  <si>
    <t>GRIGNANI GIACOMO</t>
  </si>
  <si>
    <t>GIACOMO</t>
  </si>
  <si>
    <t>GROSSI MARIA GRAZIA</t>
  </si>
  <si>
    <t>GURAU ANDREI</t>
  </si>
  <si>
    <t>TRENTO</t>
  </si>
  <si>
    <t>FRATELLO DANIEL</t>
  </si>
  <si>
    <t>HERBERT ELISABETA</t>
  </si>
  <si>
    <t xml:space="preserve">ELISABETA </t>
  </si>
  <si>
    <t>HOLBURA CONSTANTIN</t>
  </si>
  <si>
    <t>SALERANO SUL LAMBRO</t>
  </si>
  <si>
    <t>CONSTATIN</t>
  </si>
  <si>
    <t>HIRZOIU GHEORGHE</t>
  </si>
  <si>
    <t>SPINETTA MARENGO</t>
  </si>
  <si>
    <t>IACOVIELLO MAURO</t>
  </si>
  <si>
    <t>JAUPI ROLAND</t>
  </si>
  <si>
    <t>CASANOVA LONATI</t>
  </si>
  <si>
    <t>JABRANI DRISS</t>
  </si>
  <si>
    <t>DRISS</t>
  </si>
  <si>
    <t>KAPCIU LINDITA</t>
  </si>
  <si>
    <t>KAJDIC ALBERTO</t>
  </si>
  <si>
    <t>RASIM</t>
  </si>
  <si>
    <t>KAJDIC RASIM</t>
  </si>
  <si>
    <t>LA PRIMULA SRL</t>
  </si>
  <si>
    <t>L'EMPORIO AGRICOLO DI BISI VALENTINA</t>
  </si>
  <si>
    <t>VALENTINA</t>
  </si>
  <si>
    <t>LEALI SILVANO</t>
  </si>
  <si>
    <t>SILVANO</t>
  </si>
  <si>
    <t>LEONE VITO</t>
  </si>
  <si>
    <t>LUNGU SILVIA IZABELA</t>
  </si>
  <si>
    <t>PAV IA</t>
  </si>
  <si>
    <t>SILVIA IZABELA</t>
  </si>
  <si>
    <t>LUNGHI ALESSANDRO</t>
  </si>
  <si>
    <t>LIBERTINO MADDALENA</t>
  </si>
  <si>
    <t>MADDALENA</t>
  </si>
  <si>
    <t>LINEA UOMO DI AGUZZI CRISTIANO</t>
  </si>
  <si>
    <t xml:space="preserve">LODA MANUELA MARIA </t>
  </si>
  <si>
    <t xml:space="preserve">MANUELA </t>
  </si>
  <si>
    <t>LODA MAURA LUISELLA</t>
  </si>
  <si>
    <t>MAURA</t>
  </si>
  <si>
    <t>LA SPINA GIUSEPPA GRAZIA DANIELA</t>
  </si>
  <si>
    <t>LONGO VINCENZO</t>
  </si>
  <si>
    <t>LOMBARDI LAURA</t>
  </si>
  <si>
    <t>LAURA</t>
  </si>
  <si>
    <t>LORENTI GIOVANNI</t>
  </si>
  <si>
    <t>GIOVANNI</t>
  </si>
  <si>
    <t>LOCATELLI FABIO</t>
  </si>
  <si>
    <t>LOTTI MARINELLA</t>
  </si>
  <si>
    <t>NANI</t>
  </si>
  <si>
    <t>MACIAS SANTIVANEZ JUAN CARLOS</t>
  </si>
  <si>
    <t>CARLOS</t>
  </si>
  <si>
    <t>MAESTRI RUDY</t>
  </si>
  <si>
    <t>RUDY</t>
  </si>
  <si>
    <t>MAGAZZENO GIUSEPPINA</t>
  </si>
  <si>
    <t>PASQUALE (AUTORI)</t>
  </si>
  <si>
    <t>MAGNANI GIOVANNI LUISA</t>
  </si>
  <si>
    <t>MAGNANI MARIA LUISA</t>
  </si>
  <si>
    <t>MAGGI PRIMO</t>
  </si>
  <si>
    <t xml:space="preserve">MAINI CLAUDIO </t>
  </si>
  <si>
    <t>MALVASO ANTONIETTA</t>
  </si>
  <si>
    <t>MALVASO CARLO</t>
  </si>
  <si>
    <t>MANCUSO AGOSTINO</t>
  </si>
  <si>
    <t>AGOSTINO</t>
  </si>
  <si>
    <t>MANCUSO VINCENZA VALENTINA</t>
  </si>
  <si>
    <t>ZINASCO</t>
  </si>
  <si>
    <t>MANCUSO</t>
  </si>
  <si>
    <t>MANNARINO SETTIMIO</t>
  </si>
  <si>
    <t>MAMMA DANIELA</t>
  </si>
  <si>
    <t>MANENTI MATTEO</t>
  </si>
  <si>
    <t>MALINVERNI MARILENA</t>
  </si>
  <si>
    <t>MARILENA</t>
  </si>
  <si>
    <t>SUOCERA DI DIEGO GRANATA</t>
  </si>
  <si>
    <t>MALINVERNI MARTINA MARCELLA</t>
  </si>
  <si>
    <t>MARTINA</t>
  </si>
  <si>
    <t>FIDANZATA DIEGO GRANATA</t>
  </si>
  <si>
    <t>MARAZZI GIAN FRANCO</t>
  </si>
  <si>
    <t>CARMINE/MADDALENA</t>
  </si>
  <si>
    <t>MARCHESI FILIPPO</t>
  </si>
  <si>
    <t>FILIPPO</t>
  </si>
  <si>
    <t>MARCHESI MARIA ANTONIETTA</t>
  </si>
  <si>
    <t>ARISI</t>
  </si>
  <si>
    <t>MARCHIS DANIEL VASILE</t>
  </si>
  <si>
    <t>VASILE</t>
  </si>
  <si>
    <t>.0382485067</t>
  </si>
  <si>
    <t>DARIO</t>
  </si>
  <si>
    <t>MARIANI ANDREA</t>
  </si>
  <si>
    <t>MARTINI MONICA</t>
  </si>
  <si>
    <t>MASTROPIETRO ANTONIO</t>
  </si>
  <si>
    <t>MASTROPIETRO AGATA</t>
  </si>
  <si>
    <t>.0382.960237</t>
  </si>
  <si>
    <t>AGATA</t>
  </si>
  <si>
    <t>MASTROPIETRO GIORGINA MORENA</t>
  </si>
  <si>
    <t>MASTROPIETRO LEONARDO</t>
  </si>
  <si>
    <t>MASTROPIETRO OSCAR</t>
  </si>
  <si>
    <t>MASTROPIETRO OMAR</t>
  </si>
  <si>
    <t>OMAR</t>
  </si>
  <si>
    <t>MASTROPIETRO SALVATORE</t>
  </si>
  <si>
    <t>MASSONI ALESSANDRO</t>
  </si>
  <si>
    <t>MASSARI CAROLA GIOVANNA</t>
  </si>
  <si>
    <t>MATTEUCCI MASSIMO</t>
  </si>
  <si>
    <t>MASSIMO</t>
  </si>
  <si>
    <t>MAZZOCCHI LUCIA CLAUDIA</t>
  </si>
  <si>
    <t xml:space="preserve">MB PONTEGGI </t>
  </si>
  <si>
    <t>MECO KELVIN</t>
  </si>
  <si>
    <t xml:space="preserve">MERROUCHI HASSAN </t>
  </si>
  <si>
    <t>MEZZADRA ENNIO</t>
  </si>
  <si>
    <t>ENNIO</t>
  </si>
  <si>
    <t>MEZZADRA ITALIA</t>
  </si>
  <si>
    <t>MARITO FRANCESCO</t>
  </si>
  <si>
    <t>METAL ITALY DI LOTTI MARINELLA</t>
  </si>
  <si>
    <t>.0382970472</t>
  </si>
  <si>
    <t>MICELI DAVIDE</t>
  </si>
  <si>
    <t>DAVIDE</t>
  </si>
  <si>
    <t>MILANI CLAUDIO</t>
  </si>
  <si>
    <t>.0382971108</t>
  </si>
  <si>
    <t>MITRIK MARIYA</t>
  </si>
  <si>
    <t>TRAVO</t>
  </si>
  <si>
    <t>MITROFAN VASILE</t>
  </si>
  <si>
    <t>MIZZOTTI MARIAROSA</t>
  </si>
  <si>
    <t>MARIAROSA</t>
  </si>
  <si>
    <t>MYHA LYUBOV</t>
  </si>
  <si>
    <t>MONDINA GIORGIO</t>
  </si>
  <si>
    <t>MONTANARO MARIA</t>
  </si>
  <si>
    <t>MONTAGNA MASSIMO</t>
  </si>
  <si>
    <t>MURATORE GIUSEPPE LUDOVICO</t>
  </si>
  <si>
    <t>MOUAFIK ASSIYA</t>
  </si>
  <si>
    <t>ASSIYA</t>
  </si>
  <si>
    <t>MORABITO BASILIO</t>
  </si>
  <si>
    <t>MORABITO SIMONA MARIA</t>
  </si>
  <si>
    <t>MORETTI ANTONIO GIUSEPPE</t>
  </si>
  <si>
    <t>MORETTI MARTINA</t>
  </si>
  <si>
    <t>MORETTI PATRIZIA</t>
  </si>
  <si>
    <t>MORETTI GRAZIELLA</t>
  </si>
  <si>
    <t>MORO GIUSEPPE</t>
  </si>
  <si>
    <t>MOSCATO BERNARDO</t>
  </si>
  <si>
    <t>BERNARDO</t>
  </si>
  <si>
    <t>MOTTA MAURIZIO</t>
  </si>
  <si>
    <t>MUSAKU KLODIAN</t>
  </si>
  <si>
    <t>KLODIAN</t>
  </si>
  <si>
    <t>MUSSELLI FEDERICA</t>
  </si>
  <si>
    <t xml:space="preserve">NAPOLITANO GIOVANNI </t>
  </si>
  <si>
    <t>PRADO</t>
  </si>
  <si>
    <t>NAPOLITANO SARA</t>
  </si>
  <si>
    <t>NASSEUR KARIMA</t>
  </si>
  <si>
    <t>KARIMA</t>
  </si>
  <si>
    <t>NEW S.P. ART SRL</t>
  </si>
  <si>
    <t>SERRA NICOLAS</t>
  </si>
  <si>
    <t>NAUTICA COVEN DI COVEN MASSIMO &amp; C. SNC</t>
  </si>
  <si>
    <t>NEVERLAND S.S. SOCIETA' SEMPLICE</t>
  </si>
  <si>
    <t>COLLA</t>
  </si>
  <si>
    <t>NAZZARENI GIUSEPPE</t>
  </si>
  <si>
    <t>CERTOSA DI PAVIA</t>
  </si>
  <si>
    <t>NAZIONALE FRANCO</t>
  </si>
  <si>
    <t>MONTECALO'</t>
  </si>
  <si>
    <t>OMAX S.A.S. DI BENELLE OMAR &amp; C.</t>
  </si>
  <si>
    <t>CERANOVA</t>
  </si>
  <si>
    <t>OMAR E MASSIMO</t>
  </si>
  <si>
    <t>ON THE ROAD CAFE' DI FERRARI RICCARDO</t>
  </si>
  <si>
    <t xml:space="preserve">OMNIA SRLS </t>
  </si>
  <si>
    <t>AMEDEO</t>
  </si>
  <si>
    <t>OMOROSE PETER</t>
  </si>
  <si>
    <t>PADANA RECUPERI ECOLOGICA</t>
  </si>
  <si>
    <t>.0382969336</t>
  </si>
  <si>
    <t>PALLADINI LUIGI</t>
  </si>
  <si>
    <t>PANIZZA DENIS</t>
  </si>
  <si>
    <t>PAPETTI VALERIA</t>
  </si>
  <si>
    <t>VALERIA</t>
  </si>
  <si>
    <t>PAVIA PONTEGGI SRL</t>
  </si>
  <si>
    <t>TOSELLI</t>
  </si>
  <si>
    <t>PARAVELLA ANTONIO</t>
  </si>
  <si>
    <t>PARMIGIANI GIUSEPPINA</t>
  </si>
  <si>
    <t>PARMESANI GRAZIANO LUIGI</t>
  </si>
  <si>
    <t>GENZONE</t>
  </si>
  <si>
    <t>GRAZIANO</t>
  </si>
  <si>
    <t>PARMESANI SIMONE</t>
  </si>
  <si>
    <t>SIMONE</t>
  </si>
  <si>
    <t>PENA CARLO</t>
  </si>
  <si>
    <t>CARLO</t>
  </si>
  <si>
    <t>PJETRI ENKELEIDA</t>
  </si>
  <si>
    <t>LEDA</t>
  </si>
  <si>
    <t>PIAGGI IVANO GIUSEPPE</t>
  </si>
  <si>
    <t xml:space="preserve">IVANO </t>
  </si>
  <si>
    <t>PIAGGI MARIA</t>
  </si>
  <si>
    <t>PISTORELLO SIMONA</t>
  </si>
  <si>
    <t>SORESINA</t>
  </si>
  <si>
    <t>PISTORELLO CESARE GIOVANNI</t>
  </si>
  <si>
    <t>PICCOLO CAFE' DI SU XINGXING</t>
  </si>
  <si>
    <t>XING XING</t>
  </si>
  <si>
    <t>PIZZINO FRANCESCA</t>
  </si>
  <si>
    <t>PINTON FABIO</t>
  </si>
  <si>
    <t>PINTON EMANUELA</t>
  </si>
  <si>
    <t>EMANUELA</t>
  </si>
  <si>
    <t>PUMI ALBANA</t>
  </si>
  <si>
    <t>PUMI</t>
  </si>
  <si>
    <t xml:space="preserve">PITU VASILE </t>
  </si>
  <si>
    <t>PITU ILARION</t>
  </si>
  <si>
    <t>ILARION</t>
  </si>
  <si>
    <t xml:space="preserve">POIAGA ENZO </t>
  </si>
  <si>
    <t>POIAGA GIANFRANCO</t>
  </si>
  <si>
    <t>POLITI EMILIO CARLO P.E. SERRAMENTI</t>
  </si>
  <si>
    <t>MARZANO</t>
  </si>
  <si>
    <t>EMILIO</t>
  </si>
  <si>
    <t>POLITI EMILIO CARLO</t>
  </si>
  <si>
    <t>POLLINI CRISTINA RACHELE</t>
  </si>
  <si>
    <t>.0382969439</t>
  </si>
  <si>
    <t>RACHELE</t>
  </si>
  <si>
    <t>POLENSIG MARIA LUISA</t>
  </si>
  <si>
    <t>MARIA LUISA</t>
  </si>
  <si>
    <t>POLIAMBULATORIO TICINELLO DI PARADISI</t>
  </si>
  <si>
    <t>PAOLO PARADISI</t>
  </si>
  <si>
    <t>POLLI MASSIMO</t>
  </si>
  <si>
    <t>POMANUS MOFOR RAPHAEL</t>
  </si>
  <si>
    <t>RAPHAEL</t>
  </si>
  <si>
    <t>POZZI CAROLA MARIA ADALGIS</t>
  </si>
  <si>
    <t>CAROLA MARIA</t>
  </si>
  <si>
    <t>POZZOLI ELENA</t>
  </si>
  <si>
    <t>POZZOLI MICHELINA</t>
  </si>
  <si>
    <t>MICHELINA</t>
  </si>
  <si>
    <t>PUBBLIPROMO DI NICOLA RASO</t>
  </si>
  <si>
    <t>LUNGAVILLA</t>
  </si>
  <si>
    <t>NICOLA</t>
  </si>
  <si>
    <t>PULICI FABIO</t>
  </si>
  <si>
    <t>CAMPOSPINOSO</t>
  </si>
  <si>
    <t>PUGGIONI FRANCESCO</t>
  </si>
  <si>
    <t>PREMOLI LUCA</t>
  </si>
  <si>
    <t>LUCA</t>
  </si>
  <si>
    <t>PRESTIFILIPPO CIRIMBOLO PASQUALE</t>
  </si>
  <si>
    <t>VELLEZZO BELLINI</t>
  </si>
  <si>
    <t>PRESTI</t>
  </si>
  <si>
    <t>QUACCINI CLAUDIA</t>
  </si>
  <si>
    <t>QUARESIMA DANIELA ANTONIA</t>
  </si>
  <si>
    <t>DANIELA</t>
  </si>
  <si>
    <t>RAGGI FEDERICA</t>
  </si>
  <si>
    <t>.0382969837</t>
  </si>
  <si>
    <t>RAGNI ERMINIO</t>
  </si>
  <si>
    <t>RAGNI FRANCESCO</t>
  </si>
  <si>
    <t>RAGNI GIUSEPPE</t>
  </si>
  <si>
    <t>RAMAIOLI MARCO</t>
  </si>
  <si>
    <t>ERNESTINO</t>
  </si>
  <si>
    <t>RAMELLA PAOLA</t>
  </si>
  <si>
    <t>RAZZINI GIANLUIGI</t>
  </si>
  <si>
    <t>RASO NICOLA</t>
  </si>
  <si>
    <t xml:space="preserve">REMONATO MARIO ANTONIO </t>
  </si>
  <si>
    <t>RICOTTI VIRGINIE</t>
  </si>
  <si>
    <t>VIRGINIE</t>
  </si>
  <si>
    <t xml:space="preserve">RILAUTO DI MOSCATO BERNARDO </t>
  </si>
  <si>
    <t>RICCI GIUSEPPINA</t>
  </si>
  <si>
    <t>ROCCATO DANIELA</t>
  </si>
  <si>
    <t>ROCCATO MONICA</t>
  </si>
  <si>
    <t>RONCHI RODOLFA</t>
  </si>
  <si>
    <t>ROSSI ALESSANDRO</t>
  </si>
  <si>
    <t>ROSSI DAVIDE</t>
  </si>
  <si>
    <t>ROSSETTI DAVIDE</t>
  </si>
  <si>
    <t>LAURA (MOGLIE)</t>
  </si>
  <si>
    <t>ROVATI PEDRAZZINI ERNESTINA</t>
  </si>
  <si>
    <t>MICHELE / ROBERTA</t>
  </si>
  <si>
    <t>ROVIDA DAFNE MARIA ROSA</t>
  </si>
  <si>
    <t>RUGGIU MIRIAM</t>
  </si>
  <si>
    <t>MARITO DORIS</t>
  </si>
  <si>
    <t>RUGGIU SALVATORE</t>
  </si>
  <si>
    <t>RUGOLOTTO FAUSTO</t>
  </si>
  <si>
    <t>RONCAROLO MARIELLA</t>
  </si>
  <si>
    <t>ROMANO EMILIANA</t>
  </si>
  <si>
    <t>SAN REMO</t>
  </si>
  <si>
    <t>MAG. SANDRO</t>
  </si>
  <si>
    <t xml:space="preserve">RUSCIANO ALFREDO </t>
  </si>
  <si>
    <t xml:space="preserve">RUSSANO MASSIMO </t>
  </si>
  <si>
    <t>RUSSO ANTONIA</t>
  </si>
  <si>
    <t xml:space="preserve">RUSSO SALVATORE </t>
  </si>
  <si>
    <t>SACCATO MASSIMILIANO</t>
  </si>
  <si>
    <t>SANFILIPPO FRITTOLO AGATA</t>
  </si>
  <si>
    <t>PIETRA DE' GIORGI</t>
  </si>
  <si>
    <t>SALGARO FRANCESCA</t>
  </si>
  <si>
    <t>FRANCESCA</t>
  </si>
  <si>
    <t>SALVADORI IVO</t>
  </si>
  <si>
    <t>IVO</t>
  </si>
  <si>
    <t>SALVADORI GIULIA</t>
  </si>
  <si>
    <t>SACCHI MONICA</t>
  </si>
  <si>
    <t>MONTEBELLO</t>
  </si>
  <si>
    <t>SACCHI MORENO</t>
  </si>
  <si>
    <t>SAVOIA ELIA LINO</t>
  </si>
  <si>
    <t>ELIA</t>
  </si>
  <si>
    <t>SAVOIA EMILIO</t>
  </si>
  <si>
    <t>SAVU MARIA</t>
  </si>
  <si>
    <t>GIOVANNI MARITO</t>
  </si>
  <si>
    <t>SARCHI PATRIZIA</t>
  </si>
  <si>
    <t>MOGLIE DI PIETRA CARLO</t>
  </si>
  <si>
    <t>SCAGNI ANTONELLA</t>
  </si>
  <si>
    <t>SCAMPINI MILCO MARIO</t>
  </si>
  <si>
    <t>MAGHERNO</t>
  </si>
  <si>
    <t>MILCO MARIO</t>
  </si>
  <si>
    <t>SCAGLIONI VALENTINA</t>
  </si>
  <si>
    <t>SCINALDI LUCA</t>
  </si>
  <si>
    <t>SINATORA FERDINANDO</t>
  </si>
  <si>
    <t>SELISHTA MIMOZA</t>
  </si>
  <si>
    <t>ASSISI</t>
  </si>
  <si>
    <t>SELICORNI PAOLA</t>
  </si>
  <si>
    <t xml:space="preserve">SERRANO' FRANCESCA </t>
  </si>
  <si>
    <t>SEMPIO ANTONIETTA</t>
  </si>
  <si>
    <t>ANTONIETTA</t>
  </si>
  <si>
    <t>SGORBA GIANLUIGI</t>
  </si>
  <si>
    <t>GIGI</t>
  </si>
  <si>
    <t>SORBARA IMPIANTI SRL</t>
  </si>
  <si>
    <t>SOUR ALADJI</t>
  </si>
  <si>
    <t>SOUR</t>
  </si>
  <si>
    <t>SPADA CLAUDIO</t>
  </si>
  <si>
    <t>STANISCI MARIA IMMACOLATA</t>
  </si>
  <si>
    <t>SUOCERA RASIM</t>
  </si>
  <si>
    <t xml:space="preserve">STEFANUCCI ANNA </t>
  </si>
  <si>
    <t>STRADA STEFANO</t>
  </si>
  <si>
    <t>BORGO SAN SIRO</t>
  </si>
  <si>
    <t>STEFLI GIANNINO</t>
  </si>
  <si>
    <t>.0523787233</t>
  </si>
  <si>
    <t>GIANNINO</t>
  </si>
  <si>
    <t>STRUGAR NICUTA</t>
  </si>
  <si>
    <t>NIKUTA</t>
  </si>
  <si>
    <t>TACCHINARDI SIMONA</t>
  </si>
  <si>
    <t>SIMONA</t>
  </si>
  <si>
    <t>TAGLIABUE EGIDIO ANGELO</t>
  </si>
  <si>
    <t>EGIDIO ANGELO</t>
  </si>
  <si>
    <t>TORTI GIUSEPPE</t>
  </si>
  <si>
    <t>TODI ARBEN</t>
  </si>
  <si>
    <t>TODI NIKOLLAQ</t>
  </si>
  <si>
    <t>TOMASCU CASANDRA</t>
  </si>
  <si>
    <t>MARUDO</t>
  </si>
  <si>
    <t>TAVARNELLI ANGELO</t>
  </si>
  <si>
    <t>ANGELO</t>
  </si>
  <si>
    <t>TOSELLI ALESSANDRA</t>
  </si>
  <si>
    <t>CARBONARA AL TICINO</t>
  </si>
  <si>
    <t>TEDESCO RAFFAELE</t>
  </si>
  <si>
    <t>RAFFAELE</t>
  </si>
  <si>
    <t>TOSELLI PIETRO</t>
  </si>
  <si>
    <t>PIETRO</t>
  </si>
  <si>
    <t>TEGRI MUSTAPHA</t>
  </si>
  <si>
    <t>TESIO MARIO</t>
  </si>
  <si>
    <t xml:space="preserve">TUMMINELLO VINCENZO </t>
  </si>
  <si>
    <t>TICLI FRANCESCO</t>
  </si>
  <si>
    <t>TROTTA VALERIO</t>
  </si>
  <si>
    <t>VALERIO</t>
  </si>
  <si>
    <t>TORNALI EMANUELA</t>
  </si>
  <si>
    <t>TRIVELLINI ANTONELLA</t>
  </si>
  <si>
    <t>335-1567440</t>
  </si>
  <si>
    <t>MARIO RIPA</t>
  </si>
  <si>
    <t>TRIFAN GEORGE MARIUS</t>
  </si>
  <si>
    <t>GEORGE</t>
  </si>
  <si>
    <t>TROPEANO FRANCESCO</t>
  </si>
  <si>
    <t>TORCHIO ALESSIA</t>
  </si>
  <si>
    <t>ALESSIA</t>
  </si>
  <si>
    <t>TORCHIO CLAUDIO</t>
  </si>
  <si>
    <t>TORCHIO BRUNO ETTORE</t>
  </si>
  <si>
    <t>UNHURYAN KATERYNA</t>
  </si>
  <si>
    <t>CASTEGGIO</t>
  </si>
  <si>
    <t>VALOTA ERNESTO</t>
  </si>
  <si>
    <t>ERNESTO</t>
  </si>
  <si>
    <t>VACCINA RUGGERO</t>
  </si>
  <si>
    <t>VENERONI MATTIA</t>
  </si>
  <si>
    <t>MAMMA</t>
  </si>
  <si>
    <t>VECCHIO ILONA</t>
  </si>
  <si>
    <t>ILONA</t>
  </si>
  <si>
    <t>VERMETTI DANIELA MARIA</t>
  </si>
  <si>
    <t>MARITO ANTONIO</t>
  </si>
  <si>
    <t>VARTULI MARIA ROSARIA</t>
  </si>
  <si>
    <t>VIBO VALENTIA</t>
  </si>
  <si>
    <t>MARIA ROSARIA</t>
  </si>
  <si>
    <t>VENTURA ELENA</t>
  </si>
  <si>
    <t>VENTURINI MARIA MADDALENA</t>
  </si>
  <si>
    <t>TABACCH. BELGIOIOSO</t>
  </si>
  <si>
    <t>VICINI SEVERINO</t>
  </si>
  <si>
    <t>SEVERINO</t>
  </si>
  <si>
    <t>VIGO CRISTINA</t>
  </si>
  <si>
    <t>CRISTINA</t>
  </si>
  <si>
    <t xml:space="preserve">VIGO GIULIO GAETANO </t>
  </si>
  <si>
    <t>GIULIO</t>
  </si>
  <si>
    <t>VILCA QQUELLON ROCIO MARBEL</t>
  </si>
  <si>
    <t>VISCOMI MARCO ANTONIO</t>
  </si>
  <si>
    <t>VITRANO MORENA</t>
  </si>
  <si>
    <t>CASATISMA</t>
  </si>
  <si>
    <t>VITIELLO</t>
  </si>
  <si>
    <t>VITIELLO FRANCESCO</t>
  </si>
  <si>
    <t>VOIDOC SORIN ALEXANDRU</t>
  </si>
  <si>
    <t>ZAITI AUTO EXPORT SRL</t>
  </si>
  <si>
    <t>ZAPPAROLI LAURA MARIA</t>
  </si>
  <si>
    <t>ZAVATARELLI ANGELINA</t>
  </si>
  <si>
    <t xml:space="preserve">FIGLIO LUIGI </t>
  </si>
  <si>
    <t>ZHENG XUEMENG</t>
  </si>
  <si>
    <t>CINESE (RISTORANTE)</t>
  </si>
  <si>
    <t>ZOCCA ALESSANDRO</t>
  </si>
  <si>
    <t>ZONCADA ANGELA</t>
  </si>
  <si>
    <t>ANGELA</t>
  </si>
  <si>
    <t>ZOCCHI DIEGO</t>
  </si>
  <si>
    <t>ZUCCHI STEFANO</t>
  </si>
  <si>
    <t>☑</t>
  </si>
  <si>
    <t>Consenso SMS</t>
  </si>
  <si>
    <t>SMS selezionati:</t>
  </si>
  <si>
    <t>Riferimento</t>
  </si>
  <si>
    <t>Data di nascita</t>
  </si>
  <si>
    <t>E-mail</t>
  </si>
  <si>
    <t>Note</t>
  </si>
  <si>
    <t>Codice proposta</t>
  </si>
  <si>
    <t>Azioni</t>
  </si>
  <si>
    <t>Azioni polizza</t>
  </si>
  <si>
    <t>Sospendi</t>
  </si>
  <si>
    <t>Riprendi</t>
  </si>
  <si>
    <t>Chiudi</t>
  </si>
  <si>
    <t>Data sospensione</t>
  </si>
  <si>
    <t>Crea polizza</t>
  </si>
  <si>
    <t>Azioni preventivo</t>
  </si>
  <si>
    <t>Preferenza telefono</t>
  </si>
  <si>
    <t>Telefono preferito</t>
  </si>
  <si>
    <t>Casa</t>
  </si>
  <si>
    <t>Tipo promemoria</t>
  </si>
  <si>
    <t>Data promemoria</t>
  </si>
  <si>
    <t>Tipologie promemoria</t>
  </si>
  <si>
    <t>Scadenza</t>
  </si>
  <si>
    <t>Telefonare</t>
  </si>
  <si>
    <t>Personale</t>
  </si>
  <si>
    <t>Testo</t>
  </si>
  <si>
    <t>MASTROPIETRO EMANUELE</t>
  </si>
  <si>
    <t xml:space="preserve">POZZI CARLA </t>
  </si>
  <si>
    <t xml:space="preserve">GROUPAMA </t>
  </si>
  <si>
    <t>00A0528216</t>
  </si>
  <si>
    <t>FIDEJUSSIONE</t>
  </si>
  <si>
    <t>CC140VR</t>
  </si>
  <si>
    <t>BM210SE</t>
  </si>
  <si>
    <t>EN933WP</t>
  </si>
  <si>
    <t>AL846LD</t>
  </si>
  <si>
    <t>EA669BJ</t>
  </si>
  <si>
    <t>BP326TX</t>
  </si>
  <si>
    <t>FD978SP</t>
  </si>
  <si>
    <t>EF684AC</t>
  </si>
  <si>
    <t>CK079JY</t>
  </si>
  <si>
    <t>DM779HR</t>
  </si>
  <si>
    <t>FG114ZE</t>
  </si>
  <si>
    <t>EM963CG</t>
  </si>
  <si>
    <t>EM295NF</t>
  </si>
  <si>
    <t>CA714GW</t>
  </si>
  <si>
    <t>EX312GH</t>
  </si>
  <si>
    <t>BK081KK</t>
  </si>
  <si>
    <t>CM88829</t>
  </si>
  <si>
    <t>AB49087</t>
  </si>
  <si>
    <t>DY945XA</t>
  </si>
  <si>
    <t>FC541GW</t>
  </si>
  <si>
    <t>EZ531PN</t>
  </si>
  <si>
    <t>FA959MD</t>
  </si>
  <si>
    <t>EN772EX</t>
  </si>
  <si>
    <t>EY664RM</t>
  </si>
  <si>
    <t>ZA356SF</t>
  </si>
  <si>
    <t>DY775VZ</t>
  </si>
  <si>
    <t>DY446MM</t>
  </si>
  <si>
    <t>PC413584</t>
  </si>
  <si>
    <t>AZ598ZB</t>
  </si>
  <si>
    <t>CD465KH</t>
  </si>
  <si>
    <t>DX398PL</t>
  </si>
  <si>
    <t>DJ231AB</t>
  </si>
  <si>
    <t>AG417HV</t>
  </si>
  <si>
    <t>BY665ML</t>
  </si>
  <si>
    <t>CL590ZH</t>
  </si>
  <si>
    <t>ET037RX</t>
  </si>
  <si>
    <t>CB728AX</t>
  </si>
  <si>
    <t>AM26104</t>
  </si>
  <si>
    <t>CT416PH</t>
  </si>
  <si>
    <t>EZ984PN</t>
  </si>
  <si>
    <t>CY617EG</t>
  </si>
  <si>
    <t>DB556AN</t>
  </si>
  <si>
    <t>EW468RJ</t>
  </si>
  <si>
    <t>BJ005NA</t>
  </si>
  <si>
    <t>DD219HW</t>
  </si>
  <si>
    <t>X7PZG5</t>
  </si>
  <si>
    <t>EW566CL</t>
  </si>
  <si>
    <t>DP424MB</t>
  </si>
  <si>
    <t>DC070CS</t>
  </si>
  <si>
    <t>AM897EV</t>
  </si>
  <si>
    <t>PV853406</t>
  </si>
  <si>
    <t>CZ996VD</t>
  </si>
  <si>
    <t>FD814TG</t>
  </si>
  <si>
    <t>FB928MT</t>
  </si>
  <si>
    <t>7GE2202D</t>
  </si>
  <si>
    <t>EL614AP</t>
  </si>
  <si>
    <t>EZ414WA</t>
  </si>
  <si>
    <t>.05285667</t>
  </si>
  <si>
    <t>CD081YB</t>
  </si>
  <si>
    <t>PV31259</t>
  </si>
  <si>
    <t>PV036752</t>
  </si>
  <si>
    <t>PV035166</t>
  </si>
  <si>
    <t>FA925SW</t>
  </si>
  <si>
    <t>X3KHC5</t>
  </si>
  <si>
    <t>EA987BL</t>
  </si>
  <si>
    <t>DG988SP</t>
  </si>
  <si>
    <t>DN822VM</t>
  </si>
  <si>
    <t>EY293KP</t>
  </si>
  <si>
    <t>X5WW38</t>
  </si>
  <si>
    <t>CN920XY</t>
  </si>
  <si>
    <t>FA617JR</t>
  </si>
  <si>
    <t>CT192GC</t>
  </si>
  <si>
    <t>FC265GW</t>
  </si>
  <si>
    <t>FF296NP</t>
  </si>
  <si>
    <t>DR664HL</t>
  </si>
  <si>
    <t>EF080EB</t>
  </si>
  <si>
    <t>EW335EG</t>
  </si>
  <si>
    <t>CH302PM</t>
  </si>
  <si>
    <t>CG311MF</t>
  </si>
  <si>
    <t>DW042KE</t>
  </si>
  <si>
    <t>EP062HK</t>
  </si>
  <si>
    <t>EY772YT</t>
  </si>
  <si>
    <t>CV949YY</t>
  </si>
  <si>
    <t>DN876VN</t>
  </si>
  <si>
    <t>BT496MW</t>
  </si>
  <si>
    <t>EM743JP</t>
  </si>
  <si>
    <t>DV09691</t>
  </si>
  <si>
    <t>FG899AM</t>
  </si>
  <si>
    <t>EN250LH</t>
  </si>
  <si>
    <t>CW344YH</t>
  </si>
  <si>
    <t>CX10649</t>
  </si>
  <si>
    <t>DC937VA</t>
  </si>
  <si>
    <t>FF972NN</t>
  </si>
  <si>
    <t>DK599BB</t>
  </si>
  <si>
    <t>EV862JB</t>
  </si>
  <si>
    <t>CV120HJ</t>
  </si>
  <si>
    <t>CH072CA</t>
  </si>
  <si>
    <t>BV418SH</t>
  </si>
  <si>
    <t>BW382HV</t>
  </si>
  <si>
    <t>BS727NR</t>
  </si>
  <si>
    <t>FA921JP</t>
  </si>
  <si>
    <t>DG058SP</t>
  </si>
  <si>
    <t>BK11107</t>
  </si>
  <si>
    <t>CC815PL</t>
  </si>
  <si>
    <t>GEE50393</t>
  </si>
  <si>
    <t>CC126JJ</t>
  </si>
  <si>
    <t>CB493CE</t>
  </si>
  <si>
    <t>EW891MP</t>
  </si>
  <si>
    <t>DM29729</t>
  </si>
  <si>
    <t>DZ08192</t>
  </si>
  <si>
    <t>CN042ZH</t>
  </si>
  <si>
    <t>CV106KK</t>
  </si>
  <si>
    <t>X4J9VH</t>
  </si>
  <si>
    <t>CF04136</t>
  </si>
  <si>
    <t>BY522RK</t>
  </si>
  <si>
    <t>CH511PY</t>
  </si>
  <si>
    <t>CC231KA</t>
  </si>
  <si>
    <t>CH772CE</t>
  </si>
  <si>
    <t>BL610SP</t>
  </si>
  <si>
    <t>EN942LX</t>
  </si>
  <si>
    <t>CY157MM</t>
  </si>
  <si>
    <t>DS622VF</t>
  </si>
  <si>
    <t>BS789KD</t>
  </si>
  <si>
    <t>CE684EE</t>
  </si>
  <si>
    <t>PV119584</t>
  </si>
  <si>
    <t>X140055</t>
  </si>
  <si>
    <t>CC359KH</t>
  </si>
  <si>
    <t>EP592MH</t>
  </si>
  <si>
    <t>CL684ZF</t>
  </si>
  <si>
    <t>EZ053FG</t>
  </si>
  <si>
    <t>ZA065PY</t>
  </si>
  <si>
    <t>EF988AF</t>
  </si>
  <si>
    <t>CO832637</t>
  </si>
  <si>
    <t>X146354</t>
  </si>
  <si>
    <t>EP271VV</t>
  </si>
  <si>
    <t>EK602MD</t>
  </si>
  <si>
    <t>CJ785SE</t>
  </si>
  <si>
    <t>BV747SY</t>
  </si>
  <si>
    <t>CV891EG</t>
  </si>
  <si>
    <t>CB734FM</t>
  </si>
  <si>
    <t>ES350VA</t>
  </si>
  <si>
    <t>ZA482ES</t>
  </si>
  <si>
    <t>CC06429</t>
  </si>
  <si>
    <t>CN791CG</t>
  </si>
  <si>
    <t>FD942KL</t>
  </si>
  <si>
    <t>EP517VW</t>
  </si>
  <si>
    <t>X4GBY3</t>
  </si>
  <si>
    <t>CA791GY</t>
  </si>
  <si>
    <t>FG146LB</t>
  </si>
  <si>
    <t>DY544ZZ</t>
  </si>
  <si>
    <t>EH796DD</t>
  </si>
  <si>
    <t>CC930KJ</t>
  </si>
  <si>
    <t>CF04159</t>
  </si>
  <si>
    <t>CH416CA</t>
  </si>
  <si>
    <t>BB71991</t>
  </si>
  <si>
    <t>BJ605NA</t>
  </si>
  <si>
    <t>FH217JB</t>
  </si>
  <si>
    <t>BZ470FB</t>
  </si>
  <si>
    <t>DJ272BK</t>
  </si>
  <si>
    <t>EN366ZN</t>
  </si>
  <si>
    <t>DY746WX</t>
  </si>
  <si>
    <t>DC113RX</t>
  </si>
  <si>
    <t>BP916CN</t>
  </si>
  <si>
    <t>CV403EH</t>
  </si>
  <si>
    <t>CH301BY</t>
  </si>
  <si>
    <t>CV123PK</t>
  </si>
  <si>
    <t>CC252SY</t>
  </si>
  <si>
    <t>CH132MR</t>
  </si>
  <si>
    <t>FA855AG</t>
  </si>
  <si>
    <t>BZ548JC</t>
  </si>
  <si>
    <t>AC162CF</t>
  </si>
  <si>
    <t>CC071KB</t>
  </si>
  <si>
    <t>PVAA668</t>
  </si>
  <si>
    <t>CZ090WS</t>
  </si>
  <si>
    <t>DB55123</t>
  </si>
  <si>
    <t>DX024PK</t>
  </si>
  <si>
    <t>DE940BS</t>
  </si>
  <si>
    <t>ED070TA</t>
  </si>
  <si>
    <t>ABM002</t>
  </si>
  <si>
    <t>FA537SX</t>
  </si>
  <si>
    <t>EN646ZL</t>
  </si>
  <si>
    <t>CJ131GY</t>
  </si>
  <si>
    <t>EN964AK</t>
  </si>
  <si>
    <t>LO000153</t>
  </si>
  <si>
    <t>EH689XP</t>
  </si>
  <si>
    <t>DF11804</t>
  </si>
  <si>
    <t>CH144DY</t>
  </si>
  <si>
    <t>EW944VW</t>
  </si>
  <si>
    <t>CK200DB</t>
  </si>
  <si>
    <t>DM482HM</t>
  </si>
  <si>
    <t>EG973RD</t>
  </si>
  <si>
    <t>DR405XC</t>
  </si>
  <si>
    <t>EN749VE</t>
  </si>
  <si>
    <t>EL495AR</t>
  </si>
  <si>
    <t>ET526RX</t>
  </si>
  <si>
    <t>CF989KZ</t>
  </si>
  <si>
    <t>EC174GK</t>
  </si>
  <si>
    <t>DA42709</t>
  </si>
  <si>
    <t>AS467HE</t>
  </si>
  <si>
    <t>DG314SR</t>
  </si>
  <si>
    <t>EW081VW</t>
  </si>
  <si>
    <t>BG970NY</t>
  </si>
  <si>
    <t>BS699SF</t>
  </si>
  <si>
    <t>FG169AP</t>
  </si>
  <si>
    <t>EW043VW</t>
  </si>
  <si>
    <t>CL003LY</t>
  </si>
  <si>
    <t>EF423AC</t>
  </si>
  <si>
    <t>EM978NF</t>
  </si>
  <si>
    <t>CP692PZ</t>
  </si>
  <si>
    <t>BY049LX</t>
  </si>
  <si>
    <t>BP401CL</t>
  </si>
  <si>
    <t>EZ274BC</t>
  </si>
  <si>
    <t>FA970JP</t>
  </si>
  <si>
    <t>DP412VC</t>
  </si>
  <si>
    <t>CH691CE</t>
  </si>
  <si>
    <t>ET976FH</t>
  </si>
  <si>
    <t>FD907KK</t>
  </si>
  <si>
    <t>EF723BV</t>
  </si>
  <si>
    <t>BV016RY</t>
  </si>
  <si>
    <t>DJ955DE</t>
  </si>
  <si>
    <t>BD683VA</t>
  </si>
  <si>
    <t>DV577LB</t>
  </si>
  <si>
    <t>DW230PG</t>
  </si>
  <si>
    <t>DE009FZ</t>
  </si>
  <si>
    <t>BS669YG</t>
  </si>
  <si>
    <t>CN649XT</t>
  </si>
  <si>
    <t>EA901DZ</t>
  </si>
  <si>
    <t>DW757RB</t>
  </si>
  <si>
    <t>FB027MW</t>
  </si>
  <si>
    <t>CE655NX</t>
  </si>
  <si>
    <t>EC010AW</t>
  </si>
  <si>
    <t>X4CPMX</t>
  </si>
  <si>
    <t>DG601TA</t>
  </si>
  <si>
    <t>BB514NZ</t>
  </si>
  <si>
    <t>CE969NP</t>
  </si>
  <si>
    <t>DN315VR</t>
  </si>
  <si>
    <t>CD318YA</t>
  </si>
  <si>
    <t>CD907KZ</t>
  </si>
  <si>
    <t>CZ057JK</t>
  </si>
  <si>
    <t>DZ716BM</t>
  </si>
  <si>
    <t>EA158XN</t>
  </si>
  <si>
    <t>FE849YD</t>
  </si>
  <si>
    <t>DV481HN</t>
  </si>
  <si>
    <t>EJ369MZ</t>
  </si>
  <si>
    <t>BM640JV</t>
  </si>
  <si>
    <t>DR28242</t>
  </si>
  <si>
    <t>ES240JJ</t>
  </si>
  <si>
    <t>AB49279</t>
  </si>
  <si>
    <t>DZ87693</t>
  </si>
  <si>
    <t>DE90025</t>
  </si>
  <si>
    <t>EY225SP</t>
  </si>
  <si>
    <t>EA23750</t>
  </si>
  <si>
    <t>EM774NG</t>
  </si>
  <si>
    <t>EM869NH</t>
  </si>
  <si>
    <t>BW052GJ</t>
  </si>
  <si>
    <t>AS333GK</t>
  </si>
  <si>
    <t>DZ059LF</t>
  </si>
  <si>
    <t>EA414GR</t>
  </si>
  <si>
    <t>CE993NP</t>
  </si>
  <si>
    <t>DT374ZE</t>
  </si>
  <si>
    <t>DV10234</t>
  </si>
  <si>
    <t>EG323AC</t>
  </si>
  <si>
    <t>CA677VK</t>
  </si>
  <si>
    <t>CH269RL</t>
  </si>
  <si>
    <t>EA804BL</t>
  </si>
  <si>
    <t>EW394MW</t>
  </si>
  <si>
    <t>EK934KZ</t>
  </si>
  <si>
    <t>DX159PN</t>
  </si>
  <si>
    <t>BZ601JX</t>
  </si>
  <si>
    <t>EC349AV</t>
  </si>
  <si>
    <t>EX932YA</t>
  </si>
  <si>
    <t>EN895WR</t>
  </si>
  <si>
    <t>BT89966</t>
  </si>
  <si>
    <t>DY41064</t>
  </si>
  <si>
    <t>ED62143</t>
  </si>
  <si>
    <t>BK54327</t>
  </si>
  <si>
    <t>DS543KD</t>
  </si>
  <si>
    <t>DF857LZ</t>
  </si>
  <si>
    <t>DX667PR</t>
  </si>
  <si>
    <t>CJ285CH</t>
  </si>
  <si>
    <t>EL344AE</t>
  </si>
  <si>
    <t>DG853MY</t>
  </si>
  <si>
    <t>DS764AP</t>
  </si>
  <si>
    <t>FB382MV</t>
  </si>
  <si>
    <t>AZ277ZJ</t>
  </si>
  <si>
    <t>DW711BW</t>
  </si>
  <si>
    <t>CE623YX</t>
  </si>
  <si>
    <t>AF313DZ</t>
  </si>
  <si>
    <t>CK319VM</t>
  </si>
  <si>
    <t>ED816RC</t>
  </si>
  <si>
    <t>DE185GH</t>
  </si>
  <si>
    <t>CW952HG</t>
  </si>
  <si>
    <t>TO97066R</t>
  </si>
  <si>
    <t>EL712AR</t>
  </si>
  <si>
    <t>AZ072PJ</t>
  </si>
  <si>
    <t>DD843YB</t>
  </si>
  <si>
    <t>AR698HB</t>
  </si>
  <si>
    <t>DR042CB</t>
  </si>
  <si>
    <t>DR28918</t>
  </si>
  <si>
    <t>EF99432</t>
  </si>
  <si>
    <t>DV59403</t>
  </si>
  <si>
    <t>CF78593</t>
  </si>
  <si>
    <t>FA096SX</t>
  </si>
  <si>
    <t>AF63067</t>
  </si>
  <si>
    <t>EG75318</t>
  </si>
  <si>
    <t>EF869AZ</t>
  </si>
  <si>
    <t>CE721NY</t>
  </si>
  <si>
    <t>BY059LZ</t>
  </si>
  <si>
    <t>X5M6JZ</t>
  </si>
  <si>
    <t>X4J9ZH</t>
  </si>
  <si>
    <t>DJ557AA</t>
  </si>
  <si>
    <t>FH218WW</t>
  </si>
  <si>
    <t>X59X23</t>
  </si>
  <si>
    <t>EV216CJ</t>
  </si>
  <si>
    <t>BH82886</t>
  </si>
  <si>
    <t>DA59605</t>
  </si>
  <si>
    <t>DG639SX</t>
  </si>
  <si>
    <t>DG513ST</t>
  </si>
  <si>
    <t>DY319WX</t>
  </si>
  <si>
    <t>EA807XH</t>
  </si>
  <si>
    <t>PV857312</t>
  </si>
  <si>
    <t>EB93789</t>
  </si>
  <si>
    <t>EH611NW</t>
  </si>
  <si>
    <t>CB039DL</t>
  </si>
  <si>
    <t>X118500</t>
  </si>
  <si>
    <t>DW00829</t>
  </si>
  <si>
    <t>BN667DR</t>
  </si>
  <si>
    <t>AK10485</t>
  </si>
  <si>
    <t>DK659NX</t>
  </si>
  <si>
    <t>BH112DV</t>
  </si>
  <si>
    <t>CC780SY</t>
  </si>
  <si>
    <t>DP781FL</t>
  </si>
  <si>
    <t>BB201PA</t>
  </si>
  <si>
    <t>FB843GC</t>
  </si>
  <si>
    <t>CC65334</t>
  </si>
  <si>
    <t>EC477TY</t>
  </si>
  <si>
    <t>EK160NJ</t>
  </si>
  <si>
    <t>EF658HP</t>
  </si>
  <si>
    <t>AN579LW</t>
  </si>
  <si>
    <t>EB900BA</t>
  </si>
  <si>
    <t>DV748RK</t>
  </si>
  <si>
    <t>CC727KE</t>
  </si>
  <si>
    <t>DV284EB</t>
  </si>
  <si>
    <t>EF08443</t>
  </si>
  <si>
    <t>EP202DP</t>
  </si>
  <si>
    <t>DV10003</t>
  </si>
  <si>
    <t>CT118TX</t>
  </si>
  <si>
    <t>DS238EF</t>
  </si>
  <si>
    <t>PV758434</t>
  </si>
  <si>
    <t>BV112SH</t>
  </si>
  <si>
    <t>DB66351</t>
  </si>
  <si>
    <t>EH576DD</t>
  </si>
  <si>
    <t>EM123NG</t>
  </si>
  <si>
    <t>AZ608YT</t>
  </si>
  <si>
    <t>BM711HV</t>
  </si>
  <si>
    <t>EV980JC</t>
  </si>
  <si>
    <t>EN911JS</t>
  </si>
  <si>
    <t>AY746XP</t>
  </si>
  <si>
    <t>BH983R</t>
  </si>
  <si>
    <t>AZ893W</t>
  </si>
  <si>
    <t>BM562A</t>
  </si>
  <si>
    <t>BC098K</t>
  </si>
  <si>
    <t>BN267E</t>
  </si>
  <si>
    <t>CE411NT</t>
  </si>
  <si>
    <t>PV036211</t>
  </si>
  <si>
    <t>CC694TG</t>
  </si>
  <si>
    <t>CL242ZH</t>
  </si>
  <si>
    <t>AS64961</t>
  </si>
  <si>
    <t>EZ557DB</t>
  </si>
  <si>
    <t>DS770EF</t>
  </si>
  <si>
    <t>AS597HH</t>
  </si>
  <si>
    <t>CA073XB</t>
  </si>
  <si>
    <t>CS243JG</t>
  </si>
  <si>
    <t>EH110GL</t>
  </si>
  <si>
    <t>BW106NW</t>
  </si>
  <si>
    <t>RM1D6350</t>
  </si>
  <si>
    <t>DK277AY</t>
  </si>
  <si>
    <t>PV824038</t>
  </si>
  <si>
    <t>DW97286</t>
  </si>
  <si>
    <t>FD419TF</t>
  </si>
  <si>
    <t>BF072SG</t>
  </si>
  <si>
    <t>BJ361NA</t>
  </si>
  <si>
    <t>FA042JR</t>
  </si>
  <si>
    <t>EA364BG</t>
  </si>
  <si>
    <t>EW116VW</t>
  </si>
  <si>
    <t>BY038FR</t>
  </si>
  <si>
    <t>CZ913DC</t>
  </si>
  <si>
    <t>BF858SE</t>
  </si>
  <si>
    <t>X6R57S</t>
  </si>
  <si>
    <t>EM423RD</t>
  </si>
  <si>
    <t>EW507KM</t>
  </si>
  <si>
    <t>CT063NH</t>
  </si>
  <si>
    <t>DE440GH</t>
  </si>
  <si>
    <t>EV169EK</t>
  </si>
  <si>
    <t>CV51515</t>
  </si>
  <si>
    <t>DL85579</t>
  </si>
  <si>
    <t>DM54867</t>
  </si>
  <si>
    <t>CY63320</t>
  </si>
  <si>
    <t>BE20825</t>
  </si>
  <si>
    <t>DE88098</t>
  </si>
  <si>
    <t>EY441RM</t>
  </si>
  <si>
    <t>DZ047PK</t>
  </si>
  <si>
    <t>CH324CD</t>
  </si>
  <si>
    <t>AH639GJ</t>
  </si>
  <si>
    <t>DE487SR</t>
  </si>
  <si>
    <t>CA220GW</t>
  </si>
  <si>
    <t>EP333VW</t>
  </si>
  <si>
    <t>DJ759EL</t>
  </si>
  <si>
    <t>AS951GW</t>
  </si>
  <si>
    <t>AS375GG</t>
  </si>
  <si>
    <t>MI722499</t>
  </si>
  <si>
    <t>EG16593</t>
  </si>
  <si>
    <t>DG455ST</t>
  </si>
  <si>
    <t>.024174</t>
  </si>
  <si>
    <t>EF004XP</t>
  </si>
  <si>
    <t>X6PY2D</t>
  </si>
  <si>
    <t>DK477AB</t>
  </si>
  <si>
    <t>EB194DZ</t>
  </si>
  <si>
    <t>CH694PY</t>
  </si>
  <si>
    <t>CA773LP</t>
  </si>
  <si>
    <t>CE331NW</t>
  </si>
  <si>
    <t>BB748NW</t>
  </si>
  <si>
    <t>EJ112TT</t>
  </si>
  <si>
    <t>CD288YD</t>
  </si>
  <si>
    <t>FB825XB</t>
  </si>
  <si>
    <t>EG340WE</t>
  </si>
  <si>
    <t>CR343DY</t>
  </si>
  <si>
    <t>ET326BA</t>
  </si>
  <si>
    <t>CJ534BW</t>
  </si>
  <si>
    <t>CF469GP</t>
  </si>
  <si>
    <t>EA69163</t>
  </si>
  <si>
    <t>CV518RD</t>
  </si>
  <si>
    <t>BX34918</t>
  </si>
  <si>
    <t>BF144LJ</t>
  </si>
  <si>
    <t>FA442MD</t>
  </si>
  <si>
    <t>BN758YP</t>
  </si>
  <si>
    <t>DN279CF</t>
  </si>
  <si>
    <t>DX332PR</t>
  </si>
  <si>
    <t>BS072YD</t>
  </si>
  <si>
    <t>EC955AX</t>
  </si>
  <si>
    <t>BE186SR</t>
  </si>
  <si>
    <t>CR142GP</t>
  </si>
  <si>
    <t>EN922VR</t>
  </si>
  <si>
    <t>CN382ZF</t>
  </si>
  <si>
    <t>BX046VW</t>
  </si>
  <si>
    <t>CS479VB</t>
  </si>
  <si>
    <t>AZ798ZG</t>
  </si>
  <si>
    <t>ET302FK</t>
  </si>
  <si>
    <t>EA447XM</t>
  </si>
  <si>
    <t>EL932CK</t>
  </si>
  <si>
    <t>DJ135AE</t>
  </si>
  <si>
    <t>BC108XK</t>
  </si>
  <si>
    <t>AZ341ZF</t>
  </si>
  <si>
    <t>CC061TG</t>
  </si>
  <si>
    <t>CK030JY</t>
  </si>
  <si>
    <t>EF217KJ</t>
  </si>
  <si>
    <t>EL748AR</t>
  </si>
  <si>
    <t>DT583YT</t>
  </si>
  <si>
    <t>AM232CC</t>
  </si>
  <si>
    <t>DM345HN</t>
  </si>
  <si>
    <t>CK803FB</t>
  </si>
  <si>
    <t>CC783JE</t>
  </si>
  <si>
    <t>EC538AX</t>
  </si>
  <si>
    <t>AS62435</t>
  </si>
  <si>
    <t>CC546KA</t>
  </si>
  <si>
    <t>CDH224ZT</t>
  </si>
  <si>
    <t>AP378RE</t>
  </si>
  <si>
    <t>ER250KM</t>
  </si>
  <si>
    <t>CG506XC</t>
  </si>
  <si>
    <t>EN632DP</t>
  </si>
  <si>
    <t>EJ683TV</t>
  </si>
  <si>
    <t>FA638JF</t>
  </si>
  <si>
    <t>DJ674WM</t>
  </si>
  <si>
    <t>CT203PW</t>
  </si>
  <si>
    <t>BY301VV</t>
  </si>
  <si>
    <t>EK041FX</t>
  </si>
  <si>
    <t>ER650MG</t>
  </si>
  <si>
    <t>BB405NY</t>
  </si>
  <si>
    <t>FF391NN</t>
  </si>
  <si>
    <t>CL983ZF</t>
  </si>
  <si>
    <t>CW456TD</t>
  </si>
  <si>
    <t>CY599DZ</t>
  </si>
  <si>
    <t>EN593DP</t>
  </si>
  <si>
    <t>BG682NG</t>
  </si>
  <si>
    <t>CX81273</t>
  </si>
  <si>
    <t>EZ356PN</t>
  </si>
  <si>
    <t>EM430NH</t>
  </si>
  <si>
    <t>BP418AC</t>
  </si>
  <si>
    <t>DV417VV</t>
  </si>
  <si>
    <t>DE780FW</t>
  </si>
  <si>
    <t>AL573SR</t>
  </si>
  <si>
    <t>CX166LW</t>
  </si>
  <si>
    <t>BY363PK</t>
  </si>
  <si>
    <t>EA603XP</t>
  </si>
  <si>
    <t>BZ264JB</t>
  </si>
  <si>
    <t>EH123BK</t>
  </si>
  <si>
    <t>ED649EE</t>
  </si>
  <si>
    <t>EL031AP</t>
  </si>
  <si>
    <t>DE094SV</t>
  </si>
  <si>
    <t>EN112PJ</t>
  </si>
  <si>
    <t>FC623GW</t>
  </si>
  <si>
    <t>AX085YW</t>
  </si>
  <si>
    <t>NON RINNOVATA</t>
  </si>
  <si>
    <t xml:space="preserve">DANNI </t>
  </si>
  <si>
    <t xml:space="preserve"> DANNI </t>
  </si>
  <si>
    <t xml:space="preserve">CONTANTE </t>
  </si>
  <si>
    <t>ANN</t>
  </si>
  <si>
    <t>DEC</t>
  </si>
  <si>
    <t>Note polizza</t>
  </si>
  <si>
    <t>☐</t>
  </si>
  <si>
    <t>Data incasso</t>
  </si>
  <si>
    <t>Data prevista versamento</t>
  </si>
  <si>
    <t>Stato versamento</t>
  </si>
  <si>
    <t>Stati versamento</t>
  </si>
  <si>
    <t>IN ATTESA</t>
  </si>
  <si>
    <t>EFFETTUATO</t>
  </si>
  <si>
    <t>CANCELLATO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</si>
  <si>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</si>
  <si>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</si>
  <si>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</si>
  <si>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</si>
  <si>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</si>
  <si>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</si>
  <si>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</si>
  <si>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</si>
  <si>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</si>
  <si>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</si>
  <si>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</si>
  <si>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</si>
  <si>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</si>
  <si>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</si>
  <si>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</si>
  <si>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</si>
  <si>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</si>
  <si>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</si>
  <si>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</si>
  <si>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</si>
  <si>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</si>
  <si>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Z</t>
  </si>
  <si>
    <t>W</t>
  </si>
  <si>
    <t>X</t>
  </si>
  <si>
    <t>Y</t>
  </si>
  <si>
    <t>Data ultimo versamento</t>
  </si>
  <si>
    <t>Data ultimo versamento temp</t>
  </si>
  <si>
    <t>BRIGLIA MARCO</t>
  </si>
  <si>
    <t>CATALDI SARA</t>
  </si>
  <si>
    <t>.0382485053</t>
  </si>
  <si>
    <t>CONDOMINIO LE DUE CORTI</t>
  </si>
  <si>
    <t>CONDOMINIO MARGHERITA</t>
  </si>
  <si>
    <t>CONDOMINIO VIA LONGOSCO 38</t>
  </si>
  <si>
    <t>COBIANCHI ROBERTO</t>
  </si>
  <si>
    <t>MIRIAM</t>
  </si>
  <si>
    <t>JAUPI ALKETA</t>
  </si>
  <si>
    <t>JENTIAN</t>
  </si>
  <si>
    <t>MANNARINO CATERINA</t>
  </si>
  <si>
    <t>CATERINA</t>
  </si>
  <si>
    <t>MANGIAROTTI TANIA</t>
  </si>
  <si>
    <t>CARNAGHI RENATO</t>
  </si>
  <si>
    <t>SELISHTA ELDORIS</t>
  </si>
  <si>
    <t>TARANTINO TEODORO</t>
  </si>
  <si>
    <t>TEODORO</t>
  </si>
  <si>
    <t>TOMESCU PARASCHIVA</t>
  </si>
  <si>
    <t>CD854YH</t>
  </si>
  <si>
    <t>DL85773</t>
  </si>
  <si>
    <t>CW621HK</t>
  </si>
  <si>
    <t>EJ13025</t>
  </si>
  <si>
    <t>CG485MR</t>
  </si>
  <si>
    <t>FJ319KH</t>
  </si>
  <si>
    <t>DE157AS</t>
  </si>
  <si>
    <t>FH846WW</t>
  </si>
  <si>
    <t>BP894YB</t>
  </si>
  <si>
    <t>DX76587</t>
  </si>
  <si>
    <t>EH843FA</t>
  </si>
  <si>
    <t>DV624LC</t>
  </si>
  <si>
    <t>DV87411</t>
  </si>
  <si>
    <t>PV771254</t>
  </si>
  <si>
    <t>CN660YA</t>
  </si>
  <si>
    <t>EJ04141</t>
  </si>
  <si>
    <t>ARALDI ITALO</t>
  </si>
  <si>
    <t xml:space="preserve">FILIGHERA </t>
  </si>
  <si>
    <t>BESLIU ADRIAN CLAUDIU</t>
  </si>
  <si>
    <t>CASTIRAGA VIDARDO</t>
  </si>
  <si>
    <t>BESLIU</t>
  </si>
  <si>
    <t>CEDENO ANGULO DANIEL DARIO</t>
  </si>
  <si>
    <t>DANIEL DARIO</t>
  </si>
  <si>
    <t>CONDOMINIO ARGONNE 2</t>
  </si>
  <si>
    <t>CONDOMINIO GAMMA 3</t>
  </si>
  <si>
    <t>CONDOMINIO RIFFALDI</t>
  </si>
  <si>
    <t>TAROZZO</t>
  </si>
  <si>
    <t>COSTRASEL ADINA SABINA</t>
  </si>
  <si>
    <t>DILEO MICHELE</t>
  </si>
  <si>
    <t>ETERNATETTO S.R.L.</t>
  </si>
  <si>
    <t>G.A.P. PROLOCO DI PORTALBERA</t>
  </si>
  <si>
    <t>PORTLBERA</t>
  </si>
  <si>
    <t>MANUELA .LODA</t>
  </si>
  <si>
    <t>GIANNINI PAOLO</t>
  </si>
  <si>
    <t>LODA MARCO</t>
  </si>
  <si>
    <t>MANTOVANI</t>
  </si>
  <si>
    <t>LOI GIUSEPPE</t>
  </si>
  <si>
    <t>JACOPO LA PRIMULA</t>
  </si>
  <si>
    <t>MACH 999 SNC DI PEZZALI MASSIMO</t>
  </si>
  <si>
    <t>MANTOVANI ADELE ROSALINA</t>
  </si>
  <si>
    <t>MARINONI EZIA CARLA</t>
  </si>
  <si>
    <t>EZIA CARLA</t>
  </si>
  <si>
    <t>MASSONI GIAMPIERO</t>
  </si>
  <si>
    <t>MAURO BARBAGLIO</t>
  </si>
  <si>
    <t>MULAZZI MARCO</t>
  </si>
  <si>
    <t>ROTTOFRENO</t>
  </si>
  <si>
    <t>PALA ERNESTINO</t>
  </si>
  <si>
    <t>GIUSSAGO</t>
  </si>
  <si>
    <t>PITU TRANDAFIRA</t>
  </si>
  <si>
    <t>.038270412</t>
  </si>
  <si>
    <t>FRANCESCO RAGNI</t>
  </si>
  <si>
    <t>.038270480</t>
  </si>
  <si>
    <t>GODIASCO</t>
  </si>
  <si>
    <t>MARINO</t>
  </si>
  <si>
    <t>DV431LC</t>
  </si>
  <si>
    <t>CX630VD</t>
  </si>
  <si>
    <t>X5HD3X</t>
  </si>
  <si>
    <t>CY658BR</t>
  </si>
  <si>
    <t>CL612ZE</t>
  </si>
  <si>
    <t>FJ685KH</t>
  </si>
  <si>
    <t>DE88052</t>
  </si>
  <si>
    <t>FB227HC</t>
  </si>
  <si>
    <t>DF606ZH</t>
  </si>
  <si>
    <t>EN895WW</t>
  </si>
  <si>
    <t>CT544NL</t>
  </si>
  <si>
    <t>EA443XJ</t>
  </si>
  <si>
    <t>X82D22</t>
  </si>
  <si>
    <t>DE456GM</t>
  </si>
  <si>
    <t>PV115474</t>
  </si>
  <si>
    <t>DA818XX</t>
  </si>
  <si>
    <t>AN640P</t>
  </si>
  <si>
    <t>EN001YL</t>
  </si>
  <si>
    <t>DM798HN</t>
  </si>
  <si>
    <t>CB594ND</t>
  </si>
  <si>
    <t>EK013LS</t>
  </si>
  <si>
    <t>CJ54515</t>
  </si>
  <si>
    <t>P.U.</t>
  </si>
  <si>
    <t>CONDOMINIO CASA DEL SOLE</t>
  </si>
  <si>
    <t>CONDOMINIO ONTANI</t>
  </si>
  <si>
    <t>CONDOMINIO VIA AGNESI 5</t>
  </si>
  <si>
    <t>DEHO' VALENTINA</t>
  </si>
  <si>
    <t>GALLANTI DOMENICO GIOVANNI</t>
  </si>
  <si>
    <t>INSURATELU CONSTANTIN</t>
  </si>
  <si>
    <t>PEDRAZZINI ERIKA</t>
  </si>
  <si>
    <t>SPERONI FRANK</t>
  </si>
  <si>
    <t>FOSSARMATO</t>
  </si>
  <si>
    <t>CICERO</t>
  </si>
  <si>
    <t>CARLA</t>
  </si>
  <si>
    <t>FJ306XR</t>
  </si>
  <si>
    <t>EF887HB</t>
  </si>
  <si>
    <t>EZ076KW</t>
  </si>
  <si>
    <t>CZ078WS</t>
  </si>
  <si>
    <t>AT517A</t>
  </si>
  <si>
    <t>CT120AA</t>
  </si>
  <si>
    <t>CP277EJ</t>
  </si>
  <si>
    <t>GARGIULO SALVATORE</t>
  </si>
  <si>
    <t>BREMBIO</t>
  </si>
  <si>
    <t>107054467</t>
  </si>
  <si>
    <t>MOSCATO ONOFRIO</t>
  </si>
  <si>
    <t>7000099537</t>
  </si>
  <si>
    <t>107070890</t>
  </si>
  <si>
    <t>BD915FJ</t>
  </si>
  <si>
    <t>GALLINA CARLA MARGHERITA</t>
  </si>
  <si>
    <t>CAVALLINI CATHIA MIRELLA</t>
  </si>
  <si>
    <t>106388194</t>
  </si>
  <si>
    <t>FB623JZ</t>
  </si>
  <si>
    <t>105791659</t>
  </si>
  <si>
    <t>DR092MF</t>
  </si>
  <si>
    <t>104590058</t>
  </si>
  <si>
    <t>GALLANTI MORENA MARICA</t>
  </si>
  <si>
    <t>107056006</t>
  </si>
  <si>
    <t>DH666VB</t>
  </si>
  <si>
    <t>107056210</t>
  </si>
  <si>
    <t>107086149</t>
  </si>
  <si>
    <t>DL41586</t>
  </si>
  <si>
    <t>TEMP</t>
  </si>
  <si>
    <t>Mese ultimo incasso</t>
  </si>
  <si>
    <t>Mese prossimo incasso</t>
  </si>
  <si>
    <t>CONDOMINIO SPEZIANA</t>
  </si>
  <si>
    <t>107909755</t>
  </si>
  <si>
    <t>Da incassare</t>
  </si>
  <si>
    <t>Effettuato</t>
  </si>
  <si>
    <t>PERUCCHINI LUCINA</t>
  </si>
  <si>
    <t>106197929</t>
  </si>
  <si>
    <t>CC786KE</t>
  </si>
  <si>
    <t>DOSSENA ENRICO ERCOLE</t>
  </si>
  <si>
    <t>105793301</t>
  </si>
  <si>
    <t>DX985CD</t>
  </si>
  <si>
    <t>DEBOLI ALESSANDRO</t>
  </si>
  <si>
    <t>107097567</t>
  </si>
  <si>
    <t>BW644EK</t>
  </si>
  <si>
    <t>GARZETTI MARIKA</t>
  </si>
  <si>
    <t>107098919</t>
  </si>
  <si>
    <t>EA144XJ</t>
  </si>
  <si>
    <t>MACCHETTA AGOSTINO</t>
  </si>
  <si>
    <t>PEIVE PORTO MORONE</t>
  </si>
  <si>
    <t>105795093</t>
  </si>
  <si>
    <t>CN771YA</t>
  </si>
  <si>
    <t>7000070055</t>
  </si>
  <si>
    <t>107114486</t>
  </si>
  <si>
    <t>MENSI VIRGINIO</t>
  </si>
  <si>
    <t>MORELLI DANIELA</t>
  </si>
  <si>
    <t>MONTICELLI PAVESE</t>
  </si>
  <si>
    <t>IONITA NICUSOR</t>
  </si>
  <si>
    <t>107037125</t>
  </si>
  <si>
    <t>107037161</t>
  </si>
  <si>
    <t>BJ251LF</t>
  </si>
  <si>
    <t>EH538DD</t>
  </si>
  <si>
    <t>105184945</t>
  </si>
  <si>
    <t>CE594JE</t>
  </si>
  <si>
    <t>1071120315</t>
  </si>
  <si>
    <t>DM217YH</t>
  </si>
  <si>
    <t>LUSHI LEONARDO</t>
  </si>
  <si>
    <t>GIANNATEMPO SALVATORE</t>
  </si>
  <si>
    <t>105180997</t>
  </si>
  <si>
    <t>CN936PS</t>
  </si>
  <si>
    <t>EP574HJ</t>
  </si>
  <si>
    <t>106414745</t>
  </si>
  <si>
    <t>107119546</t>
  </si>
  <si>
    <t>FK042VW</t>
  </si>
  <si>
    <t>CH265ME</t>
  </si>
  <si>
    <t>Pagato da cliente</t>
  </si>
  <si>
    <t>PAGATO</t>
  </si>
  <si>
    <t>Stati pagamento cliente</t>
  </si>
  <si>
    <t>Versamento da visualizzare</t>
  </si>
  <si>
    <t>Nota versamento</t>
  </si>
  <si>
    <t>Anni</t>
  </si>
  <si>
    <t>papies@libero.it</t>
  </si>
  <si>
    <t>papies@email.it</t>
  </si>
  <si>
    <t>SI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</si>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</sst>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&quot;€&quot;\ * #,##0.00_-;\-&quot;€&quot;\ * #,##0.00_-;_-&quot;€&quot;\ * &quot;-&quot;??_-;_-@_-"/>
    <numFmt numFmtId="165" formatCode="_-&quot;£&quot;* #,##0.00_-;\-&quot;£&quot;* #,##0.00_-;_-&quot;£&quot;* &quot;-&quot;??_-;_-@_-"/>
    <numFmt numFmtId="166" formatCode="_-* #,##0.00\ [$€-410]_-;\-* #,##0.00\ [$€-410]_-;_-* &quot;-&quot;??\ [$€-410]_-;_-@_-"/>
    <numFmt numFmtId="167" formatCode="mmmm\ yyyy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0" fillId="3" borderId="2" xfId="0" applyFont="1" applyFill="1" applyBorder="1"/>
    <xf numFmtId="0" fontId="0" fillId="0" borderId="2" xfId="0" applyFont="1" applyBorder="1"/>
    <xf numFmtId="0" fontId="0" fillId="3" borderId="3" xfId="0" applyFont="1" applyFill="1" applyBorder="1"/>
    <xf numFmtId="0" fontId="0" fillId="0" borderId="3" xfId="0" applyFont="1" applyBorder="1"/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2" borderId="6" xfId="0" applyFont="1" applyFill="1" applyBorder="1"/>
    <xf numFmtId="0" fontId="4" fillId="2" borderId="8" xfId="0" applyFont="1" applyFill="1" applyBorder="1"/>
    <xf numFmtId="0" fontId="0" fillId="3" borderId="7" xfId="0" applyFont="1" applyFill="1" applyBorder="1"/>
    <xf numFmtId="0" fontId="0" fillId="0" borderId="7" xfId="0" applyFont="1" applyBorder="1"/>
    <xf numFmtId="10" fontId="0" fillId="0" borderId="0" xfId="5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3" fillId="0" borderId="0" xfId="0" applyFont="1"/>
    <xf numFmtId="0" fontId="0" fillId="0" borderId="0" xfId="0" applyBorder="1"/>
    <xf numFmtId="0" fontId="0" fillId="0" borderId="1" xfId="0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66" fontId="8" fillId="0" borderId="1" xfId="4" applyNumberFormat="1" applyFont="1" applyFill="1" applyBorder="1"/>
    <xf numFmtId="0" fontId="3" fillId="0" borderId="10" xfId="0" applyFont="1" applyBorder="1"/>
    <xf numFmtId="9" fontId="8" fillId="0" borderId="1" xfId="5" applyFont="1" applyFill="1" applyBorder="1"/>
    <xf numFmtId="0" fontId="9" fillId="0" borderId="0" xfId="0" applyFont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3" fillId="0" borderId="0" xfId="0" applyFont="1" applyAlignment="1"/>
    <xf numFmtId="0" fontId="0" fillId="0" borderId="14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14" fontId="10" fillId="0" borderId="14" xfId="3" applyNumberFormat="1" applyFont="1" applyBorder="1" applyAlignment="1">
      <alignment horizontal="center" vertical="center"/>
    </xf>
    <xf numFmtId="166" fontId="0" fillId="0" borderId="1" xfId="4" applyNumberFormat="1" applyFont="1" applyFill="1" applyBorder="1"/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vertical="center"/>
      <protection locked="0"/>
    </xf>
    <xf numFmtId="0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vertical="center"/>
      <protection locked="0"/>
    </xf>
    <xf numFmtId="166" fontId="0" fillId="0" borderId="1" xfId="4" applyNumberFormat="1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1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>
      <alignment vertical="center"/>
    </xf>
    <xf numFmtId="0" fontId="0" fillId="0" borderId="14" xfId="0" applyBorder="1" applyAlignment="1" applyProtection="1">
      <alignment vertical="center"/>
      <protection locked="0"/>
    </xf>
    <xf numFmtId="14" fontId="0" fillId="0" borderId="14" xfId="0" applyNumberFormat="1" applyBorder="1" applyAlignment="1" applyProtection="1">
      <alignment vertical="center"/>
      <protection locked="0"/>
    </xf>
    <xf numFmtId="0" fontId="0" fillId="0" borderId="14" xfId="0" applyNumberFormat="1" applyBorder="1" applyAlignment="1" applyProtection="1">
      <alignment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" fontId="0" fillId="0" borderId="14" xfId="0" applyNumberFormat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10" fillId="0" borderId="16" xfId="0" applyFont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vertical="center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49" fontId="15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>
      <alignment horizontal="center" vertical="center" wrapText="1"/>
    </xf>
    <xf numFmtId="0" fontId="5" fillId="0" borderId="1" xfId="3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4" fontId="10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 applyProtection="1">
      <alignment vertical="center"/>
      <protection locked="0"/>
    </xf>
    <xf numFmtId="164" fontId="0" fillId="0" borderId="1" xfId="4" applyNumberFormat="1" applyFont="1" applyBorder="1" applyAlignment="1" applyProtection="1">
      <alignment vertical="center"/>
      <protection locked="0"/>
    </xf>
    <xf numFmtId="0" fontId="0" fillId="0" borderId="4" xfId="0" applyBorder="1" applyAlignment="1">
      <alignment horizontal="center" vertical="center" wrapText="1"/>
    </xf>
    <xf numFmtId="17" fontId="0" fillId="0" borderId="1" xfId="0" applyNumberFormat="1" applyBorder="1" applyAlignment="1" applyProtection="1">
      <alignment horizontal="center" vertical="center"/>
      <protection locked="0"/>
    </xf>
    <xf numFmtId="167" fontId="0" fillId="0" borderId="1" xfId="0" applyNumberFormat="1" applyBorder="1" applyAlignment="1" applyProtection="1">
      <alignment horizontal="center" vertical="center"/>
      <protection locked="0"/>
    </xf>
    <xf numFmtId="164" fontId="11" fillId="0" borderId="0" xfId="0" applyNumberFormat="1" applyFont="1" applyBorder="1" applyAlignment="1">
      <alignment horizontal="center" vertical="center" wrapText="1"/>
    </xf>
    <xf numFmtId="164" fontId="0" fillId="0" borderId="0" xfId="0" applyNumberFormat="1"/>
    <xf numFmtId="14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0" xfId="0" applyAlignment="1">
      <alignment wrapText="1"/>
    </xf>
    <xf numFmtId="0" fontId="13" fillId="0" borderId="15" xfId="0" applyFont="1" applyFill="1" applyBorder="1" applyAlignment="1" applyProtection="1">
      <alignment horizontal="center" vertical="center" wrapText="1"/>
      <protection locked="0"/>
    </xf>
    <xf numFmtId="49" fontId="13" fillId="0" borderId="1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3" fillId="0" borderId="17" xfId="0" applyFont="1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>
      <alignment horizontal="center" vertical="center" wrapText="1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0" fillId="3" borderId="0" xfId="0" applyFont="1" applyFill="1" applyBorder="1"/>
    <xf numFmtId="0" fontId="0" fillId="0" borderId="15" xfId="0" applyNumberFormat="1" applyBorder="1" applyAlignment="1" applyProtection="1">
      <alignment vertical="center"/>
      <protection locked="0"/>
    </xf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</cellXfs>
  <cellStyles count="6">
    <cellStyle name="Currency" xfId="4" builtinId="4"/>
    <cellStyle name="Currency 2" xfId="2"/>
    <cellStyle name="Hyperlink" xfId="3" builtinId="8"/>
    <cellStyle name="Normal" xfId="0" builtinId="0"/>
    <cellStyle name="Normal 2" xfId="1"/>
    <cellStyle name="Percent" xfId="5" builtinId="5"/>
  </cellStyles>
  <dxfs count="586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14" formatCode="0.00%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6" formatCode="_-* #,##0.00\ [$€-410]_-;\-* #,##0.00\ [$€-410]_-;_-* &quot;-&quot;??\ [$€-410]_-;_-@_-"/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_-&quot;€&quot;\ * #,##0.00_-;\-&quot;€&quot;\ * #,##0.00_-;_-&quot;€&quot;\ * &quot;-&quot;??_-;_-@_-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7" formatCode="mmmm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22" formatCode="mmm\-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0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0"/>
        </top>
        <bottom style="thin">
          <color indexed="64"/>
        </bottom>
      </border>
    </dxf>
    <dxf>
      <numFmt numFmtId="1" formatCode="0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bottom style="medium">
          <color theme="1"/>
        </bottom>
      </border>
    </dxf>
    <dxf>
      <font>
        <color theme="1"/>
      </font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  <dxf>
      <border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Table Style 1" pivot="0" count="1">
      <tableStyleElement type="wholeTable" dxfId="585"/>
    </tableStyle>
    <tableStyle name="TableStyleMastropietro" pivot="0" count="7">
      <tableStyleElement type="wholeTable" dxfId="584"/>
      <tableStyleElement type="headerRow" dxfId="583"/>
      <tableStyleElement type="totalRow" dxfId="582"/>
      <tableStyleElement type="firstColumn" dxfId="581"/>
      <tableStyleElement type="lastColumn" dxfId="580"/>
      <tableStyleElement type="firstRowStripe" dxfId="579"/>
      <tableStyleElement type="firstColumnStripe" dxfId="578"/>
    </tableStyle>
  </tableStyles>
  <colors>
    <mruColors>
      <color rgb="FFFDFD67"/>
      <color rgb="FFFF8080"/>
      <color rgb="FF33CCCC"/>
      <color rgb="FF800080"/>
      <color rgb="FF339966"/>
      <color rgb="FF00CCFF"/>
      <color rgb="FFFFFF99"/>
      <color rgb="FFFF6600"/>
      <color rgb="FFC5D9F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externalLinks/externalLink1.xml" Type="http://schemas.openxmlformats.org/officeDocument/2006/relationships/externalLink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_rels/activeX2.xml.rels><?xml version="1.0" encoding="UTF-8" standalone="no"?>
<Relationships xmlns="http://schemas.openxmlformats.org/package/2006/relationships">
<Relationship Id="rId1" Target="activeX2.bin" Type="http://schemas.microsoft.com/office/2006/relationships/activeXControlBinary"/>
</Relationships>

</file>

<file path=xl/activeX/_rels/activeX3.xml.rels><?xml version="1.0" encoding="UTF-8" standalone="no"?>
<Relationships xmlns="http://schemas.openxmlformats.org/package/2006/relationships">
<Relationship Id="rId1" Target="activeX3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2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3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<Relationship Id="rId1" Target="style5.xml" Type="http://schemas.microsoft.com/office/2011/relationships/chartStyle"/>
<Relationship Id="rId2" Target="colors5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<Relationship Id="rId1" Target="style6.xml" Type="http://schemas.microsoft.com/office/2011/relationships/chartStyle"/>
<Relationship Id="rId2" Target="colors6.xml" Type="http://schemas.microsoft.com/office/2011/relationships/chartColorStyle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Importi su rami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0B2-45AC-A24C-FE05E50BB2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0B2-45AC-A24C-FE05E50BB22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0B2-45AC-A24C-FE05E50BB220}"/>
              </c:ext>
            </c:extLst>
          </c:dPt>
          <c:cat>
            <c:strRef>
              <c:f>Report!$C$14:$C$16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Report!$D$14:$D$16</c:f>
              <c:numCache>
                <c:formatCode>_-* #,##0.00\ [$€-410]_-;\-* #,##0.00\ [$€-410]_-;_-* "-"??\ [$€-410]_-;_-@_-</c:formatCode>
                <c:ptCount val="3"/>
                <c:pt idx="0">
                  <c:v>344829.47000000009</c:v>
                </c:pt>
                <c:pt idx="1">
                  <c:v>202938.40999999995</c:v>
                </c:pt>
                <c:pt idx="2">
                  <c:v>26718.76999999999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C-4333-844D-D70BFFAFD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Incassi su rami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5F6-46D5-86F4-7A52FB339F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5F6-46D5-86F4-7A52FB339F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5F6-46D5-86F4-7A52FB339F87}"/>
              </c:ext>
            </c:extLst>
          </c:dPt>
          <c:cat>
            <c:strRef>
              <c:f>Report!$C$17:$C$19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Report!$D$17:$D$19</c:f>
              <c:numCache>
                <c:formatCode>_-* #,##0.00\ [$€-410]_-;\-* #,##0.00\ [$€-410]_-;_-* "-"??\ [$€-410]_-;_-@_-</c:formatCode>
                <c:ptCount val="3"/>
                <c:pt idx="0">
                  <c:v>154747.65000000002</c:v>
                </c:pt>
                <c:pt idx="1">
                  <c:v>112357.02</c:v>
                </c:pt>
                <c:pt idx="2">
                  <c:v>8726.2799999999988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1-4DAF-97E4-4CAE1792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Provvigioni su</a:t>
            </a:r>
            <a:r>
              <a:rPr lang="en-US" baseline="0"/>
              <a:t> rami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4FF-4FEB-B920-CC77FD64C6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4FF-4FEB-B920-CC77FD64C6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4FF-4FEB-B920-CC77FD64C63D}"/>
              </c:ext>
            </c:extLst>
          </c:dPt>
          <c:cat>
            <c:strRef>
              <c:f>Report!$C$20:$C$22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Report!$D$20:$D$22</c:f>
              <c:numCache>
                <c:formatCode>_-* #,##0.00\ [$€-410]_-;\-* #,##0.00\ [$€-410]_-;_-* "-"??\ [$€-410]_-;_-@_-</c:formatCode>
                <c:ptCount val="3"/>
                <c:pt idx="0">
                  <c:v>17931.132440000005</c:v>
                </c:pt>
                <c:pt idx="1">
                  <c:v>23337.917150000012</c:v>
                </c:pt>
                <c:pt idx="2">
                  <c:v>400.78154999999998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2-486A-A7D0-EC9689F20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Importi su rami (filtrati)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AEC-488B-B6E5-BD90D990FD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AEC-488B-B6E5-BD90D990FD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AEC-488B-B6E5-BD90D990FDBC}"/>
              </c:ext>
            </c:extLst>
          </c:dPt>
          <c:cat>
            <c:strRef>
              <c:f>Report!$C$14:$C$16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Report!$F$14:$F$16</c:f>
              <c:numCache>
                <c:formatCode>_-* #,##0.00\ [$€-410]_-;\-* #,##0.00\ [$€-410]_-;_-* "-"??\ [$€-410]_-;_-@_-</c:formatCode>
                <c:ptCount val="3"/>
                <c:pt idx="0">
                  <c:v>1345</c:v>
                </c:pt>
                <c:pt idx="1">
                  <c:v>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EA5-80BD-05855391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Incassi</a:t>
            </a:r>
            <a:r>
              <a:rPr lang="en-US" baseline="0"/>
              <a:t> annuali (filtrati)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81E-425F-88F8-5EE232B32D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81E-425F-88F8-5EE232B32D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81E-425F-88F8-5EE232B32D6A}"/>
              </c:ext>
            </c:extLst>
          </c:dPt>
          <c:cat>
            <c:strRef>
              <c:f>Report!$C$17:$C$19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Report!$F$17:$F$19</c:f>
              <c:numCache>
                <c:formatCode>_-* #,##0.00\ [$€-410]_-;\-* #,##0.00\ [$€-410]_-;_-* "-"??\ [$€-410]_-;_-@_-</c:formatCode>
                <c:ptCount val="3"/>
                <c:pt idx="0">
                  <c:v>347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E72-B5B5-D06578919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Provvigioni su rami (filtrate)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36-41AE-9B80-0CB3842A64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36-41AE-9B80-0CB3842A64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36-41AE-9B80-0CB3842A64A0}"/>
              </c:ext>
            </c:extLst>
          </c:dPt>
          <c:cat>
            <c:strRef>
              <c:f>Report!$C$20:$C$22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Report!$F$20:$F$22</c:f>
              <c:numCache>
                <c:formatCode>_-* #,##0.00\ [$€-410]_-;\-* #,##0.00\ [$€-410]_-;_-* "-"??\ [$€-410]_-;_-@_-</c:formatCode>
                <c:ptCount val="3"/>
                <c:pt idx="0">
                  <c:v>69.94</c:v>
                </c:pt>
                <c:pt idx="1">
                  <c:v>7.82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4-4187-B81F-5CE95374A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5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6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media/image2.png" Type="http://schemas.openxmlformats.org/officeDocument/2006/relationships/image"/>
</Relationships>

</file>

<file path=xl/drawings/_rels/vmlDrawing1.vml.rels><?xml version="1.0" encoding="UTF-8" standalone="no"?>
<Relationships xmlns="http://schemas.openxmlformats.org/package/2006/relationships">
<Relationship Id="rId1" Target="../media/image1.emf" Type="http://schemas.openxmlformats.org/officeDocument/2006/relationships/image"/>
</Relationships>

</file>

<file path=xl/drawings/_rels/vmlDrawing2.vml.rels><?xml version="1.0" encoding="UTF-8" standalone="no"?>
<Relationships xmlns="http://schemas.openxmlformats.org/package/2006/relationships">
<Relationship Id="rId1" Target="../media/image3.emf" Type="http://schemas.openxmlformats.org/officeDocument/2006/relationships/image"/>
<Relationship Id="rId2" Target="../media/image4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1</xdr:row>
          <xdr:rowOff>180975</xdr:rowOff>
        </xdr:from>
        <xdr:to>
          <xdr:col>2</xdr:col>
          <xdr:colOff>1638300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76200</xdr:rowOff>
        </xdr:from>
        <xdr:to>
          <xdr:col>2</xdr:col>
          <xdr:colOff>1457325</xdr:colOff>
          <xdr:row>1</xdr:row>
          <xdr:rowOff>85725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Seleziona tutto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145676</xdr:colOff>
      <xdr:row>0</xdr:row>
      <xdr:rowOff>0</xdr:rowOff>
    </xdr:from>
    <xdr:to>
      <xdr:col>1</xdr:col>
      <xdr:colOff>1559293</xdr:colOff>
      <xdr:row>2</xdr:row>
      <xdr:rowOff>130073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6" y="0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152400</xdr:rowOff>
        </xdr:from>
        <xdr:to>
          <xdr:col>4</xdr:col>
          <xdr:colOff>2114550</xdr:colOff>
          <xdr:row>1</xdr:row>
          <xdr:rowOff>266700</xdr:rowOff>
        </xdr:to>
        <xdr:sp macro="" textlink="">
          <xdr:nvSpPr>
            <xdr:cNvPr id="1180" name="TextBox1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38100</xdr:rowOff>
        </xdr:from>
        <xdr:to>
          <xdr:col>5</xdr:col>
          <xdr:colOff>1390650</xdr:colOff>
          <xdr:row>1</xdr:row>
          <xdr:rowOff>104775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Cerca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161925</xdr:rowOff>
        </xdr:from>
        <xdr:to>
          <xdr:col>5</xdr:col>
          <xdr:colOff>1390650</xdr:colOff>
          <xdr:row>2</xdr:row>
          <xdr:rowOff>104775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Rimuovi filtri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952500</xdr:colOff>
          <xdr:row>2</xdr:row>
          <xdr:rowOff>28575</xdr:rowOff>
        </xdr:from>
        <xdr:to>
          <xdr:col>7</xdr:col>
          <xdr:colOff>438150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Foglio incassi giornalieri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95250</xdr:rowOff>
        </xdr:from>
        <xdr:to>
          <xdr:col>4</xdr:col>
          <xdr:colOff>914400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Polizze attive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95250</xdr:rowOff>
        </xdr:from>
        <xdr:to>
          <xdr:col>3</xdr:col>
          <xdr:colOff>1047750</xdr:colOff>
          <xdr:row>2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Rimuovi filtri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0</xdr:row>
          <xdr:rowOff>85725</xdr:rowOff>
        </xdr:from>
        <xdr:to>
          <xdr:col>13</xdr:col>
          <xdr:colOff>333375</xdr:colOff>
          <xdr:row>1</xdr:row>
          <xdr:rowOff>142875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stampa unione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0</xdr:row>
          <xdr:rowOff>47625</xdr:rowOff>
        </xdr:from>
        <xdr:to>
          <xdr:col>2</xdr:col>
          <xdr:colOff>2676525</xdr:colOff>
          <xdr:row>1</xdr:row>
          <xdr:rowOff>104775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1609725</xdr:colOff>
          <xdr:row>1</xdr:row>
          <xdr:rowOff>152400</xdr:rowOff>
        </xdr:from>
        <xdr:to>
          <xdr:col>2</xdr:col>
          <xdr:colOff>2733675</xdr:colOff>
          <xdr:row>3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95250</xdr:rowOff>
        </xdr:from>
        <xdr:to>
          <xdr:col>8</xdr:col>
          <xdr:colOff>352425</xdr:colOff>
          <xdr:row>2</xdr:row>
          <xdr:rowOff>28575</xdr:rowOff>
        </xdr:to>
        <xdr:sp macro="" textlink="">
          <xdr:nvSpPr>
            <xdr:cNvPr id="3087" name="TextBox1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390525</xdr:colOff>
          <xdr:row>0</xdr:row>
          <xdr:rowOff>85725</xdr:rowOff>
        </xdr:from>
        <xdr:to>
          <xdr:col>9</xdr:col>
          <xdr:colOff>0</xdr:colOff>
          <xdr:row>1</xdr:row>
          <xdr:rowOff>152400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Clienti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133350</xdr:rowOff>
        </xdr:from>
        <xdr:to>
          <xdr:col>9</xdr:col>
          <xdr:colOff>571500</xdr:colOff>
          <xdr:row>1</xdr:row>
          <xdr:rowOff>123825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Polizze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790575</xdr:colOff>
          <xdr:row>0</xdr:row>
          <xdr:rowOff>47625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Cerca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67234</xdr:colOff>
      <xdr:row>0</xdr:row>
      <xdr:rowOff>29259</xdr:rowOff>
    </xdr:from>
    <xdr:to>
      <xdr:col>2</xdr:col>
      <xdr:colOff>1648939</xdr:colOff>
      <xdr:row>3</xdr:row>
      <xdr:rowOff>136920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234" y="29259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85725</xdr:rowOff>
        </xdr:from>
        <xdr:to>
          <xdr:col>6</xdr:col>
          <xdr:colOff>838200</xdr:colOff>
          <xdr:row>3</xdr:row>
          <xdr:rowOff>161925</xdr:rowOff>
        </xdr:to>
        <xdr:sp macro="" textlink="">
          <xdr:nvSpPr>
            <xdr:cNvPr id="3094" name="TextBox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56030</xdr:colOff>
      <xdr:row>0</xdr:row>
      <xdr:rowOff>22411</xdr:rowOff>
    </xdr:from>
    <xdr:to>
      <xdr:col>2</xdr:col>
      <xdr:colOff>1200706</xdr:colOff>
      <xdr:row>3</xdr:row>
      <xdr:rowOff>130072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30" y="22411"/>
          <a:ext cx="2175617" cy="6791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78441</xdr:colOff>
      <xdr:row>0</xdr:row>
      <xdr:rowOff>11206</xdr:rowOff>
    </xdr:from>
    <xdr:to>
      <xdr:col>2</xdr:col>
      <xdr:colOff>124940</xdr:colOff>
      <xdr:row>3</xdr:row>
      <xdr:rowOff>118867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41" y="11206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4</xdr:col>
          <xdr:colOff>609600</xdr:colOff>
          <xdr:row>3</xdr:row>
          <xdr:rowOff>76200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Visualizza "da effettuare" o "non pagati"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161925</xdr:rowOff>
        </xdr:from>
        <xdr:to>
          <xdr:col>7</xdr:col>
          <xdr:colOff>495300</xdr:colOff>
          <xdr:row>2</xdr:row>
          <xdr:rowOff>180975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Visualizza tutti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112059</xdr:colOff>
      <xdr:row>0</xdr:row>
      <xdr:rowOff>0</xdr:rowOff>
    </xdr:from>
    <xdr:to>
      <xdr:col>1</xdr:col>
      <xdr:colOff>1951500</xdr:colOff>
      <xdr:row>3</xdr:row>
      <xdr:rowOff>107661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59" y="0"/>
          <a:ext cx="2175617" cy="6791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489857</xdr:colOff>
      <xdr:row>23</xdr:row>
      <xdr:rowOff>57150</xdr:rowOff>
    </xdr:from>
    <xdr:to>
      <xdr:col>4</xdr:col>
      <xdr:colOff>231321</xdr:colOff>
      <xdr:row>37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401410</xdr:colOff>
      <xdr:row>23</xdr:row>
      <xdr:rowOff>57150</xdr:rowOff>
    </xdr:from>
    <xdr:to>
      <xdr:col>6</xdr:col>
      <xdr:colOff>1476375</xdr:colOff>
      <xdr:row>37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1666875</xdr:colOff>
      <xdr:row>23</xdr:row>
      <xdr:rowOff>57151</xdr:rowOff>
    </xdr:from>
    <xdr:to>
      <xdr:col>11</xdr:col>
      <xdr:colOff>789215</xdr:colOff>
      <xdr:row>37</xdr:row>
      <xdr:rowOff>133351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483052</xdr:colOff>
      <xdr:row>38</xdr:row>
      <xdr:rowOff>111579</xdr:rowOff>
    </xdr:from>
    <xdr:to>
      <xdr:col>4</xdr:col>
      <xdr:colOff>224516</xdr:colOff>
      <xdr:row>52</xdr:row>
      <xdr:rowOff>187779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401410</xdr:colOff>
      <xdr:row>38</xdr:row>
      <xdr:rowOff>125185</xdr:rowOff>
    </xdr:from>
    <xdr:to>
      <xdr:col>6</xdr:col>
      <xdr:colOff>1476375</xdr:colOff>
      <xdr:row>53</xdr:row>
      <xdr:rowOff>10885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1694088</xdr:colOff>
      <xdr:row>38</xdr:row>
      <xdr:rowOff>138793</xdr:rowOff>
    </xdr:from>
    <xdr:to>
      <xdr:col>11</xdr:col>
      <xdr:colOff>816428</xdr:colOff>
      <xdr:row>53</xdr:row>
      <xdr:rowOff>24493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13608</xdr:colOff>
      <xdr:row>0</xdr:row>
      <xdr:rowOff>95250</xdr:rowOff>
    </xdr:from>
    <xdr:to>
      <xdr:col>3</xdr:col>
      <xdr:colOff>1959428</xdr:colOff>
      <xdr:row>0</xdr:row>
      <xdr:rowOff>1658416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5929" y="95250"/>
          <a:ext cx="5007428" cy="156316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no"?>
<Relationships xmlns="http://schemas.openxmlformats.org/package/2006/relationships">
<Relationship Id="rId1" Target="/Users/mpapett/Downloads/mastropietro_assicurazioni_venerdi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grafica clienti"/>
      <sheetName val="Polizze"/>
      <sheetName val="Preventivi"/>
      <sheetName val="Versamenti"/>
      <sheetName val="Promemoria"/>
      <sheetName val="Report"/>
      <sheetName val="Configurazioni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1" name="Table1" displayName="Table1" ref="A4:N644" totalsRowShown="0" headerRowDxfId="577">
  <autoFilter ref="A4:N644"/>
  <sortState ref="A5:N644">
    <sortCondition ref="B4:B644"/>
  </sortState>
  <tableColumns count="14">
    <tableColumn id="10" name="Check" dataDxfId="576"/>
    <tableColumn id="1" name="Nome/Ragione sociale" dataDxfId="575"/>
    <tableColumn id="2" name="Comune" dataDxfId="574"/>
    <tableColumn id="3" name="Telefono casa" dataDxfId="573"/>
    <tableColumn id="4" name="Telefono primario" dataDxfId="572"/>
    <tableColumn id="5" name="Telefono riferimento" dataDxfId="571"/>
    <tableColumn id="7" name="DATA NASCITA" dataDxfId="570"/>
    <tableColumn id="9" name="MAIL" dataDxfId="569"/>
    <tableColumn id="8" name="NOTE" dataDxfId="568"/>
    <tableColumn id="14" name="Preferenza telefono" dataDxfId="567"/>
    <tableColumn id="16" name="Telefono preferito" dataDxfId="566">
      <calculatedColumnFormula>IF(Table1[[#This Row],[Preferenza telefono]]="Casa",Table1[[#This Row],[Telefono casa]],IF(Table1[[#This Row],[Preferenza telefono]]="Primario",Table1[[#This Row],[Telefono primario]],"-"))</calculatedColumnFormula>
    </tableColumn>
    <tableColumn id="12" name="Consenso MAIL" dataDxfId="565" dataCellStyle="Normal 2"/>
    <tableColumn id="13" name="Consenso SMS" dataDxfId="564"/>
    <tableColumn id="11" name="Checkbox selezionato" dataDxfId="563" dataCellStyle="Normal 2">
      <calculatedColumnFormula>IF(_xlfn.UNICODE( Table1[[#This Row],[Check]])=9745,TRUE,FALSE)</calculatedColumnFormula>
    </tableColumn>
  </tableColumns>
  <tableStyleInfo name="TableStyleMastropietro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5:AR1145" totalsRowShown="0" headerRowDxfId="529" dataDxfId="527" headerRowBorderDxfId="528">
  <autoFilter ref="A5:AR1145">
    <filterColumn colId="2">
      <customFilters>
        <customFilter val="*Catalisano*"/>
      </customFilters>
    </filterColumn>
  </autoFilter>
  <sortState ref="A539:AR540">
    <sortCondition ref="C5:C1144"/>
  </sortState>
  <tableColumns count="44">
    <tableColumn id="26" name=" " dataDxfId="526">
      <calculatedColumnFormula>UPPER(LEFT(Table2[[#This Row],[Contraente]],1))</calculatedColumnFormula>
    </tableColumn>
    <tableColumn id="36" name="Check" dataDxfId="525"/>
    <tableColumn id="1" name="Contraente" dataDxfId="524"/>
    <tableColumn id="11" name="Compagnia" dataDxfId="523"/>
    <tableColumn id="12" name="Polizza" dataDxfId="522"/>
    <tableColumn id="6" name="Data ultimo pagamento" dataDxfId="521"/>
    <tableColumn id="7" name="Data prossima scadenza" dataDxfId="520">
      <calculatedColumnFormula>IFERROR(CALCOLASCADENZA(Table2[[#This Row],[Data attivazione]],Table2[[#This Row],[Rateizzazione]],Table2[[#This Row],[Data ultimo pagamento]],Table2[[#This Row],[Data prossima scadenza manuale]]),"-")</calculatedColumnFormula>
    </tableColumn>
    <tableColumn id="13" name="Ramo" dataDxfId="519"/>
    <tableColumn id="20" name="Targa" dataDxfId="518"/>
    <tableColumn id="23" name="Importo rata" dataDxfId="517">
      <calculatedColumnFormula>IFERROR(Table2[[#This Row],[Importo annuale]]/(12/VLOOKUP(Table2[[#This Row],[Rateizzazione]],TIPI_RATEIZZAZIONI,2,FALSE)),"-")</calculatedColumnFormula>
    </tableColumn>
    <tableColumn id="24" name="Incassato anno" dataDxfId="516"/>
    <tableColumn id="21" name="Importo annuale" dataDxfId="515"/>
    <tableColumn id="15" name="Tipo pagamento" dataDxfId="514"/>
    <tableColumn id="17" name="OI/ON" dataDxfId="513"/>
    <tableColumn id="40" name="Durata" dataDxfId="512"/>
    <tableColumn id="22" name="Rateizzazione" dataDxfId="511"/>
    <tableColumn id="19" name="I" dataDxfId="510">
      <calculatedColumnFormula>IFERROR(IF(12 / VLOOKUP(Table2[[#This Row],[Rateizzazione]],TIPI_RATEIZZAZIONI,2,FALSE) &gt;=1,  IF(Table2[[#This Row],[Data attivazione]] = "","-",MONTH(Table2[[#This Row],[Data attivazione]])),"-"),"-")</calculatedColumnFormula>
    </tableColumn>
    <tableColumn id="18" name="II" dataDxfId="509">
      <calculatedColumnFormula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calculatedColumnFormula>
    </tableColumn>
    <tableColumn id="10" name="III" dataDxfId="508">
      <calculatedColumnFormula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calculatedColumnFormula>
    </tableColumn>
    <tableColumn id="8" name="IV" dataDxfId="507">
      <calculatedColumnFormula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calculatedColumnFormula>
    </tableColumn>
    <tableColumn id="29" name="Riferimento" dataDxfId="506"/>
    <tableColumn id="35" name="Data sospensione" dataDxfId="505"/>
    <tableColumn id="4" name="Data attivazione" dataDxfId="504"/>
    <tableColumn id="16" name="Data scadenza" dataDxfId="503">
      <calculatedColumnFormula>DATE(YEAR(Table2[[#This Row],[Data attivazione]])+VLOOKUP(Table2[[#This Row],[Durata]],VALORE_DURATA,2,FALSE),MONTH(Table2[[#This Row],[Data attivazione]]),DAY(Table2[[#This Row],[Data attivazione]]))</calculatedColumnFormula>
    </tableColumn>
    <tableColumn id="41" name="Note polizza" dataDxfId="502"/>
    <tableColumn id="33" name="Codice proposta" dataDxfId="501"/>
    <tableColumn id="27" name="Stato polizza" dataDxfId="500"/>
    <tableColumn id="42" name="Data ultimo versamento" dataDxfId="499">
      <calculatedColumnFormula>IF(Table2[[#This Row],[Data ultimo versamento temp]]=0/1/1900,"-",Table2[[#This Row],[Data ultimo versamento temp]])</calculatedColumnFormula>
    </tableColumn>
    <tableColumn id="43" name="Data ultimo versamento temp" dataDxfId="498">
      <calculatedColumnFormula array="1">MAX(IF(TableVersamenti[Polizza]=Table2[[#This Row],[Polizza]],TableVersamenti[Data prevista versamento],"-"))</calculatedColumnFormula>
    </tableColumn>
    <tableColumn id="9" name="Data prossima scadenza manuale" dataDxfId="497"/>
    <tableColumn id="44" name="Mese ultimo incasso" dataDxfId="496">
      <calculatedColumnFormula>DATE(YEAR(Table2[[#This Row],[Data ultimo pagamento]]),MONTH(Table2[[#This Row],[Data ultimo pagamento]]), 1)</calculatedColumnFormula>
    </tableColumn>
    <tableColumn id="45" name="Mese prossimo incasso" dataDxfId="495">
      <calculatedColumnFormula>DATE(YEAR(Table2[[#This Row],[Data prossima scadenza]]),MONTH(Table2[[#This Row],[Data prossima scadenza]]), 1)</calculatedColumnFormula>
    </tableColumn>
    <tableColumn id="25" name="Provvigione" dataDxfId="494">
      <calculatedColumnFormula>IFERROR(Table2[[#This Row],[Importo annuale]]*VLOOKUP(Table2[[#This Row],[Ramo]],RAMI_POLIZZA,2,FALSE),0)</calculatedColumnFormula>
    </tableColumn>
    <tableColumn id="34" name="Azioni" dataDxfId="493"/>
    <tableColumn id="2" name="Comune" dataDxfId="492">
      <calculatedColumnFormula>IFERROR(VLOOKUP(Table2[[#This Row],[Contraente]],Table1[[Nome/Ragione sociale]:[Checkbox selezionato]],2,FALSE),"-")</calculatedColumnFormula>
    </tableColumn>
    <tableColumn id="3" name="Telefono casa" dataDxfId="491">
      <calculatedColumnFormula>IFERROR(VLOOKUP(Table2[[#This Row],[Contraente]],Table1[[Nome/Ragione sociale]:[Checkbox selezionato]],3,FALSE),"-")</calculatedColumnFormula>
    </tableColumn>
    <tableColumn id="5" name="Telefono primario" dataDxfId="490">
      <calculatedColumnFormula>IFERROR(VLOOKUP(Table2[[#This Row],[Contraente]],Table1[[Nome/Ragione sociale]:[Checkbox selezionato]],4,FALSE),"-")</calculatedColumnFormula>
    </tableColumn>
    <tableColumn id="28" name="Telefono riferimento" dataDxfId="489">
      <calculatedColumnFormula>IFERROR(VLOOKUP(Table2[[#This Row],[Contraente]],Table1[[Nome/Ragione sociale]:[Checkbox selezionato]],5,FALSE),"-")</calculatedColumnFormula>
    </tableColumn>
    <tableColumn id="30" name="Data di nascita" dataDxfId="488">
      <calculatedColumnFormula>IFERROR(VLOOKUP(Table2[[#This Row],[Contraente]],Table1[[Nome/Ragione sociale]:[Checkbox selezionato]],6,FALSE),"-")</calculatedColumnFormula>
    </tableColumn>
    <tableColumn id="31" name="E-mail" dataDxfId="487">
      <calculatedColumnFormula>IFERROR(VLOOKUP(Table2[[#This Row],[Contraente]],Table1[[Nome/Ragione sociale]:[Checkbox selezionato]],7,FALSE),"-")</calculatedColumnFormula>
    </tableColumn>
    <tableColumn id="32" name="Note" dataDxfId="486">
      <calculatedColumnFormula>IFERROR(VLOOKUP(Table2[[#This Row],[Contraente]],Table1[[Nome/Ragione sociale]:[Checkbox selezionato]],8,FALSE),"-")</calculatedColumnFormula>
    </tableColumn>
    <tableColumn id="39" name="Telefono preferito" dataDxfId="485">
      <calculatedColumnFormula>IFERROR(VLOOKUP(Table2[[#This Row],[Contraente]],Table1[[Nome/Ragione sociale]:[Checkbox selezionato]],10,FALSE),"-")</calculatedColumnFormula>
    </tableColumn>
    <tableColumn id="38" name="Consenso MAIL" dataDxfId="484">
      <calculatedColumnFormula>IFERROR(VLOOKUP(Table2[[#This Row],[Contraente]],Table1[[Nome/Ragione sociale]:[Checkbox selezionato]],11,FALSE),"-")</calculatedColumnFormula>
    </tableColumn>
    <tableColumn id="37" name="Consenso SMS" dataDxfId="483">
      <calculatedColumnFormula>IFERROR(VLOOKUP(Table2[[#This Row],[Contraente]],Table1[[Nome/Ragione sociale]:[Checkbox selezionato]],12,FALSE),"-")</calculatedColumnFormula>
    </tableColumn>
  </tableColumns>
  <tableStyleInfo name="TableStyleMastropietro" showFirstColumn="0" showLastColumn="0" showRowStripes="1" showColumnStripes="0"/>
</table>
</file>

<file path=xl/tables/table3.xml><?xml version="1.0" encoding="utf-8"?>
<table xmlns="http://schemas.openxmlformats.org/spreadsheetml/2006/main" id="13" name="Table214" displayName="Table214" ref="A5:U15" totalsRowShown="0" headerRowDxfId="455" dataDxfId="453" headerRowBorderDxfId="454">
  <autoFilter ref="A5:U15"/>
  <tableColumns count="21">
    <tableColumn id="26" name=" " dataDxfId="452">
      <calculatedColumnFormula>UPPER(LEFT(Table214[[#This Row],[Contraente]],1))</calculatedColumnFormula>
    </tableColumn>
    <tableColumn id="36" name="Check" dataDxfId="451"/>
    <tableColumn id="1" name="Contraente" dataDxfId="450"/>
    <tableColumn id="11" name="Compagnia" dataDxfId="449"/>
    <tableColumn id="33" name="Codice proposta" dataDxfId="448"/>
    <tableColumn id="13" name="Ramo" dataDxfId="447"/>
    <tableColumn id="14" name="Auto/moto" dataDxfId="446"/>
    <tableColumn id="20" name="Targa" dataDxfId="445"/>
    <tableColumn id="21" name="Importo annuale" dataDxfId="444"/>
    <tableColumn id="22" name="Rateizzazione" dataDxfId="443"/>
    <tableColumn id="23" name="Importo rata" dataDxfId="442">
      <calculatedColumnFormula>IFERROR(Table214[[#This Row],[Importo annuale]]/(12/VLOOKUP(Table214[[#This Row],[Rateizzazione]],TIPI_RATEIZZAZIONI,2,FALSE)),"-")</calculatedColumnFormula>
    </tableColumn>
    <tableColumn id="15" name="Tipo pagamento" dataDxfId="441"/>
    <tableColumn id="17" name="OI/ON" dataDxfId="440"/>
    <tableColumn id="4" name="Azioni" dataDxfId="439"/>
    <tableColumn id="2" name="Comune" dataDxfId="438">
      <calculatedColumnFormula>IFERROR(VLOOKUP(Table214[[#This Row],[Contraente]],Table1[[Nome/Ragione sociale]:[Checkbox selezionato]],2,FALSE),"-")</calculatedColumnFormula>
    </tableColumn>
    <tableColumn id="3" name="Telefono casa" dataDxfId="437">
      <calculatedColumnFormula>IFERROR(VLOOKUP(Table214[[#This Row],[Contraente]],Table1[[Nome/Ragione sociale]:[Checkbox selezionato]],3,FALSE),"-")</calculatedColumnFormula>
    </tableColumn>
    <tableColumn id="5" name="Telefono primario" dataDxfId="436">
      <calculatedColumnFormula>IFERROR(VLOOKUP(Table214[[#This Row],[Contraente]],Table1[[Nome/Ragione sociale]:[Checkbox selezionato]],4,FALSE),"-")</calculatedColumnFormula>
    </tableColumn>
    <tableColumn id="28" name="Telefono riferimento" dataDxfId="435">
      <calculatedColumnFormula>IFERROR(VLOOKUP(Table214[[#This Row],[Contraente]],Table1[[Nome/Ragione sociale]:[Checkbox selezionato]],5,FALSE),"-")</calculatedColumnFormula>
    </tableColumn>
    <tableColumn id="30" name="Data di nascita" dataDxfId="434">
      <calculatedColumnFormula>IFERROR(VLOOKUP(Table214[[#This Row],[Contraente]],Table1[[Nome/Ragione sociale]:[Checkbox selezionato]],6,FALSE),"-")</calculatedColumnFormula>
    </tableColumn>
    <tableColumn id="31" name="E-mail" dataDxfId="433">
      <calculatedColumnFormula>IFERROR(VLOOKUP(Table214[[#This Row],[Contraente]],Table1[[Nome/Ragione sociale]:[Checkbox selezionato]],7,FALSE),"-")</calculatedColumnFormula>
    </tableColumn>
    <tableColumn id="32" name="Note" dataDxfId="432">
      <calculatedColumnFormula>IFERROR(VLOOKUP(Table214[[#This Row],[Contraente]],Table1[[Nome/Ragione sociale]:[Checkbox selezionato]],8,FALSE),"-")</calculatedColumnFormula>
    </tableColumn>
  </tableColumns>
  <tableStyleInfo name="TableStyleMastropietro" showFirstColumn="0" showLastColumn="0" showRowStripes="1" showColumnStripes="0"/>
</table>
</file>

<file path=xl/tables/table4.xml><?xml version="1.0" encoding="utf-8"?>
<table xmlns="http://schemas.openxmlformats.org/spreadsheetml/2006/main" id="15" name="TableVersamenti" displayName="TableVersamenti" ref="A5:T100" totalsRowShown="0" headerRowDxfId="404" dataDxfId="403">
  <autoFilter ref="A5:T100">
    <filterColumn colId="8">
      <filters>
        <filter val="IN ATTESA"/>
      </filters>
    </filterColumn>
    <filterColumn colId="19">
      <filters>
        <filter val="TRUE"/>
      </filters>
    </filterColumn>
  </autoFilter>
  <tableColumns count="20">
    <tableColumn id="26" name=" " dataDxfId="402">
      <calculatedColumnFormula>UPPER(LEFT(TableVersamenti[[#This Row],[Contraente]],1))</calculatedColumnFormula>
    </tableColumn>
    <tableColumn id="1" name="Contraente" dataDxfId="401"/>
    <tableColumn id="8" name="Compagnia" dataDxfId="400"/>
    <tableColumn id="7" name="Polizza" dataDxfId="399"/>
    <tableColumn id="11" name="Importo rata" dataDxfId="398"/>
    <tableColumn id="6" name="Tipo pagamento" dataDxfId="397"/>
    <tableColumn id="33" name="Data incasso" dataDxfId="396"/>
    <tableColumn id="4" name="Data prevista versamento" dataDxfId="395"/>
    <tableColumn id="20" name="Stato versamento" dataDxfId="394"/>
    <tableColumn id="12" name="Pagato da cliente" dataDxfId="393"/>
    <tableColumn id="10" name="Nota versamento" dataDxfId="392"/>
    <tableColumn id="2" name="Comune" dataDxfId="391">
      <calculatedColumnFormula>IFERROR(VLOOKUP(TableVersamenti[[#This Row],[Contraente]],Table1[[Nome/Ragione sociale]:[Checkbox selezionato]],2,FALSE),"-")</calculatedColumnFormula>
    </tableColumn>
    <tableColumn id="3" name="Telefono casa" dataDxfId="390">
      <calculatedColumnFormula>IFERROR(VLOOKUP(TableVersamenti[[#This Row],[Contraente]],Table1[[Nome/Ragione sociale]:[Checkbox selezionato]],3,FALSE),"-")</calculatedColumnFormula>
    </tableColumn>
    <tableColumn id="5" name="Telefono primario" dataDxfId="389">
      <calculatedColumnFormula>IFERROR(VLOOKUP(TableVersamenti[[#This Row],[Contraente]],Table1[[Nome/Ragione sociale]:[Checkbox selezionato]],4,FALSE),"-")</calculatedColumnFormula>
    </tableColumn>
    <tableColumn id="28" name="Telefono riferimento" dataDxfId="388">
      <calculatedColumnFormula>IFERROR(VLOOKUP(TableVersamenti[[#This Row],[Contraente]],Table1[[Nome/Ragione sociale]:[Checkbox selezionato]],5,FALSE),"-")</calculatedColumnFormula>
    </tableColumn>
    <tableColumn id="29" name="Riferimento" dataDxfId="387">
      <calculatedColumnFormula>IFERROR(VLOOKUP(TableVersamenti[[#This Row],[Contraente]],Table1[[Nome/Ragione sociale]:[Checkbox selezionato]],6,FALSE),"-")</calculatedColumnFormula>
    </tableColumn>
    <tableColumn id="30" name="Data di nascita" dataDxfId="386">
      <calculatedColumnFormula>IFERROR(VLOOKUP(TableVersamenti[[#This Row],[Contraente]],Table1[[Nome/Ragione sociale]:[Checkbox selezionato]],7,FALSE),"-")</calculatedColumnFormula>
    </tableColumn>
    <tableColumn id="31" name="E-mail" dataDxfId="385">
      <calculatedColumnFormula>IFERROR(VLOOKUP(TableVersamenti[[#This Row],[Contraente]],Table1[[Nome/Ragione sociale]:[Checkbox selezionato]],8,FALSE),"-")</calculatedColumnFormula>
    </tableColumn>
    <tableColumn id="32" name="Note" dataDxfId="384">
      <calculatedColumnFormula>IFERROR(VLOOKUP(TableVersamenti[[#This Row],[Contraente]],Table1[[Nome/Ragione sociale]:[Checkbox selezionato]],9,FALSE),"-")</calculatedColumnFormula>
    </tableColumn>
    <tableColumn id="9" name="Versamento da visualizzare" dataDxfId="383">
      <calculatedColumnFormula>NOT(AND(TableVersamenti[[#This Row],[Stato versamento]]="EFFETTUATO",TableVersamenti[[#This Row],[Pagato da cliente]]="PAGATO"))</calculatedColumnFormula>
    </tableColumn>
  </tableColumns>
  <tableStyleInfo name="TableStyleMastropietro" showFirstColumn="0" showLastColumn="0" showRowStripes="1" showColumnStripes="0"/>
</table>
</file>

<file path=xl/tables/table5.xml><?xml version="1.0" encoding="utf-8"?>
<table xmlns="http://schemas.openxmlformats.org/spreadsheetml/2006/main" id="18" name="TablePromemoria" displayName="TablePromemoria" ref="A5:L17" totalsRowShown="0" headerRowDxfId="58" dataDxfId="57">
  <autoFilter ref="A5:L17"/>
  <tableColumns count="12">
    <tableColumn id="26" name=" " dataDxfId="56">
      <calculatedColumnFormula>UPPER(LEFT(TablePromemoria[[#This Row],[Contraente]],1))</calculatedColumnFormula>
    </tableColumn>
    <tableColumn id="1" name="Contraente" dataDxfId="55"/>
    <tableColumn id="11" name="Tipo promemoria" dataDxfId="54"/>
    <tableColumn id="33" name="Data promemoria" dataDxfId="53"/>
    <tableColumn id="20" name="Testo" dataDxfId="52"/>
    <tableColumn id="2" name="Comune" dataDxfId="51">
      <calculatedColumnFormula>IFERROR(VLOOKUP(TablePromemoria[[#This Row],[Contraente]],Table1[[Nome/Ragione sociale]:[Checkbox selezionato]],2,FALSE),"-")</calculatedColumnFormula>
    </tableColumn>
    <tableColumn id="3" name="Telefono casa" dataDxfId="50">
      <calculatedColumnFormula>IFERROR(VLOOKUP(TablePromemoria[[#This Row],[Contraente]],Table1[[Nome/Ragione sociale]:[Checkbox selezionato]],3,FALSE),"-")</calculatedColumnFormula>
    </tableColumn>
    <tableColumn id="5" name="Telefono primario" dataDxfId="49">
      <calculatedColumnFormula>IFERROR(VLOOKUP(TablePromemoria[[#This Row],[Contraente]],Table1[[Nome/Ragione sociale]:[Checkbox selezionato]],4,FALSE),"-")</calculatedColumnFormula>
    </tableColumn>
    <tableColumn id="28" name="Telefono riferimento" dataDxfId="48">
      <calculatedColumnFormula>IFERROR(VLOOKUP(TablePromemoria[[#This Row],[Contraente]],Table1[[Nome/Ragione sociale]:[Checkbox selezionato]],5,FALSE),"-")</calculatedColumnFormula>
    </tableColumn>
    <tableColumn id="30" name="Data di nascita" dataDxfId="47">
      <calculatedColumnFormula>IFERROR(VLOOKUP(TablePromemoria[[#This Row],[Contraente]],Table1[[Nome/Ragione sociale]:[Checkbox selezionato]],6,FALSE),"-")</calculatedColumnFormula>
    </tableColumn>
    <tableColumn id="31" name="E-mail" dataDxfId="46">
      <calculatedColumnFormula>IFERROR(VLOOKUP(TablePromemoria[[#This Row],[Contraente]],Table1[[Nome/Ragione sociale]:[Checkbox selezionato]],7,FALSE),"-")</calculatedColumnFormula>
    </tableColumn>
    <tableColumn id="32" name="Note" dataDxfId="45">
      <calculatedColumnFormula>IFERROR(VLOOKUP(TablePromemoria[[#This Row],[Contraente]],Table1[[Nome/Ragione sociale]:[Checkbox selezionato]],8,FALSE),"-")</calculatedColumnFormula>
    </tableColumn>
  </tableColumns>
  <tableStyleInfo name="TableStyleMastropietro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B3:C10" totalsRowShown="0">
  <autoFilter ref="B3:C10"/>
  <tableColumns count="2">
    <tableColumn id="1" name="Tipo rateizzazione"/>
    <tableColumn id="2" name="Mesi durat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B25:B27" totalsRowShown="0" headerRowDxfId="44" headerRowBorderDxfId="43" tableBorderDxfId="42">
  <autoFilter ref="B25:B27"/>
  <tableColumns count="1">
    <tableColumn id="1" name="Tipologia polizz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B52:C55" totalsRowShown="0" headerRowDxfId="41" headerRowBorderDxfId="40" tableBorderDxfId="39" totalsRowBorderDxfId="38">
  <autoFilter ref="B52:C55"/>
  <tableColumns count="2">
    <tableColumn id="1" name="Ramo polizza"/>
    <tableColumn id="2" name="Provvigione" dataDxfId="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B65:B67" totalsRowShown="0" headerRowDxfId="36" headerRowBorderDxfId="35" tableBorderDxfId="34" totalsRowBorderDxfId="33">
  <autoFilter ref="B65:B67"/>
  <tableColumns count="1">
    <tableColumn id="1" name="Tipologia polizz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7" name="Table68" displayName="Table68" ref="B75:B79" totalsRowShown="0" headerRowDxfId="32" headerRowBorderDxfId="31" tableBorderDxfId="30" totalsRowBorderDxfId="29">
  <autoFilter ref="B75:B79"/>
  <tableColumns count="1">
    <tableColumn id="1" name="Tipologia pagament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Table69" displayName="Table69" ref="B82:B84" totalsRowShown="0" headerRowDxfId="28" headerRowBorderDxfId="27" tableBorderDxfId="26" totalsRowBorderDxfId="25">
  <autoFilter ref="B82:B84"/>
  <tableColumns count="1">
    <tableColumn id="1" name="Tipologia polizz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11" displayName="Table11" ref="B13:D15" totalsRowShown="0">
  <autoFilter ref="B13:D15"/>
  <tableColumns count="3">
    <tableColumn id="1" name="Soglia giorni min"/>
    <tableColumn id="4" name="Giorno soglia min" dataDxfId="24">
      <calculatedColumnFormula>TODAY() -  Table11[[#This Row],[Soglia giorni min]]</calculatedColumnFormula>
    </tableColumn>
    <tableColumn id="3" name="Colo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Table1113" displayName="Table1113" ref="B46:C49" totalsRowShown="0">
  <autoFilter ref="B46:C49"/>
  <tableColumns count="2">
    <tableColumn id="1" name="Stato polizza"/>
    <tableColumn id="4" name="Attiva?" dataDxfId="23">
      <calculatedColumnFormula>TODAY() -  Table1113[[#This Row],[Stato polizza]]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B58:B62" totalsRowShown="0" headerRowDxfId="22" headerRowBorderDxfId="21" tableBorderDxfId="20" totalsRowBorderDxfId="19">
  <autoFilter ref="B58:B62"/>
  <tableColumns count="1">
    <tableColumn id="1" name="Azioni polizz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Table1015" displayName="Table1015" ref="B70:B72" totalsRowShown="0" headerRowDxfId="18" headerRowBorderDxfId="17" tableBorderDxfId="16" totalsRowBorderDxfId="15">
  <autoFilter ref="B70:B72"/>
  <tableColumns count="1">
    <tableColumn id="1" name="Azioni preventiv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9" name="Table1020" displayName="Table1020" ref="B18:B22" totalsRowShown="0" headerRowDxfId="14" headerRowBorderDxfId="13" tableBorderDxfId="12" totalsRowBorderDxfId="11">
  <autoFilter ref="B18:B22"/>
  <tableColumns count="1">
    <tableColumn id="1" name="Tipologie promemori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102017" displayName="Table102017" ref="B30:B33" totalsRowShown="0" headerRowDxfId="10" headerRowBorderDxfId="9" tableBorderDxfId="8" totalsRowBorderDxfId="7">
  <autoFilter ref="B30:B33"/>
  <tableColumns count="1">
    <tableColumn id="1" name="Stati versament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Table10201718" displayName="Table10201718" ref="B41:B43" totalsRowShown="0" headerRowDxfId="6" headerRowBorderDxfId="5" tableBorderDxfId="4" totalsRowBorderDxfId="3">
  <autoFilter ref="B41:B43"/>
  <tableColumns count="1">
    <tableColumn id="1" name="Stati pagamento client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9" name="Table410" displayName="Table410" ref="B36:C38" totalsRowShown="0" headerRowDxfId="2" headerRowBorderDxfId="1" tableBorderDxfId="0">
  <autoFilter ref="B36:C38"/>
  <tableColumns count="2">
    <tableColumn id="1" name="Durata"/>
    <tableColumn id="2" name="An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mailto:papies@libero.it" TargetMode="External" Type="http://schemas.openxmlformats.org/officeDocument/2006/relationships/hyperlink"/>
<Relationship Id="rId10" Target="mailto:papies@libero.it" TargetMode="External" Type="http://schemas.openxmlformats.org/officeDocument/2006/relationships/hyperlink"/>
<Relationship Id="rId100" Target="mailto:papies@libero.it" TargetMode="External" Type="http://schemas.openxmlformats.org/officeDocument/2006/relationships/hyperlink"/>
<Relationship Id="rId101" Target="mailto:papies@libero.it" TargetMode="External" Type="http://schemas.openxmlformats.org/officeDocument/2006/relationships/hyperlink"/>
<Relationship Id="rId102" Target="mailto:papies@libero.it" TargetMode="External" Type="http://schemas.openxmlformats.org/officeDocument/2006/relationships/hyperlink"/>
<Relationship Id="rId103" Target="mailto:papies@libero.it" TargetMode="External" Type="http://schemas.openxmlformats.org/officeDocument/2006/relationships/hyperlink"/>
<Relationship Id="rId104" Target="mailto:papies@libero.it" TargetMode="External" Type="http://schemas.openxmlformats.org/officeDocument/2006/relationships/hyperlink"/>
<Relationship Id="rId105" Target="mailto:papies@libero.it" TargetMode="External" Type="http://schemas.openxmlformats.org/officeDocument/2006/relationships/hyperlink"/>
<Relationship Id="rId106" Target="mailto:papies@libero.it" TargetMode="External" Type="http://schemas.openxmlformats.org/officeDocument/2006/relationships/hyperlink"/>
<Relationship Id="rId107" Target="mailto:papies@libero.it" TargetMode="External" Type="http://schemas.openxmlformats.org/officeDocument/2006/relationships/hyperlink"/>
<Relationship Id="rId108" Target="mailto:papies@libero.it" TargetMode="External" Type="http://schemas.openxmlformats.org/officeDocument/2006/relationships/hyperlink"/>
<Relationship Id="rId109" Target="mailto:papies@libero.it" TargetMode="External" Type="http://schemas.openxmlformats.org/officeDocument/2006/relationships/hyperlink"/>
<Relationship Id="rId11" Target="mailto:papies@libero.it" TargetMode="External" Type="http://schemas.openxmlformats.org/officeDocument/2006/relationships/hyperlink"/>
<Relationship Id="rId110" Target="mailto:papies@libero.it" TargetMode="External" Type="http://schemas.openxmlformats.org/officeDocument/2006/relationships/hyperlink"/>
<Relationship Id="rId111" Target="mailto:papies@libero.it" TargetMode="External" Type="http://schemas.openxmlformats.org/officeDocument/2006/relationships/hyperlink"/>
<Relationship Id="rId112" Target="mailto:papies@libero.it" TargetMode="External" Type="http://schemas.openxmlformats.org/officeDocument/2006/relationships/hyperlink"/>
<Relationship Id="rId113" Target="mailto:papies@libero.it" TargetMode="External" Type="http://schemas.openxmlformats.org/officeDocument/2006/relationships/hyperlink"/>
<Relationship Id="rId114" Target="mailto:papies@libero.it" TargetMode="External" Type="http://schemas.openxmlformats.org/officeDocument/2006/relationships/hyperlink"/>
<Relationship Id="rId115" Target="mailto:papies@libero.it" TargetMode="External" Type="http://schemas.openxmlformats.org/officeDocument/2006/relationships/hyperlink"/>
<Relationship Id="rId116" Target="mailto:papies@libero.it" TargetMode="External" Type="http://schemas.openxmlformats.org/officeDocument/2006/relationships/hyperlink"/>
<Relationship Id="rId117" Target="mailto:papies@libero.it" TargetMode="External" Type="http://schemas.openxmlformats.org/officeDocument/2006/relationships/hyperlink"/>
<Relationship Id="rId118" Target="mailto:papies@libero.it" TargetMode="External" Type="http://schemas.openxmlformats.org/officeDocument/2006/relationships/hyperlink"/>
<Relationship Id="rId119" Target="mailto:papies@libero.it" TargetMode="External" Type="http://schemas.openxmlformats.org/officeDocument/2006/relationships/hyperlink"/>
<Relationship Id="rId12" Target="mailto:papies@libero.it" TargetMode="External" Type="http://schemas.openxmlformats.org/officeDocument/2006/relationships/hyperlink"/>
<Relationship Id="rId120" Target="mailto:papies@libero.it" TargetMode="External" Type="http://schemas.openxmlformats.org/officeDocument/2006/relationships/hyperlink"/>
<Relationship Id="rId121" Target="mailto:papies@libero.it" TargetMode="External" Type="http://schemas.openxmlformats.org/officeDocument/2006/relationships/hyperlink"/>
<Relationship Id="rId122" Target="mailto:papies@libero.it" TargetMode="External" Type="http://schemas.openxmlformats.org/officeDocument/2006/relationships/hyperlink"/>
<Relationship Id="rId123" Target="mailto:papies@libero.it" TargetMode="External" Type="http://schemas.openxmlformats.org/officeDocument/2006/relationships/hyperlink"/>
<Relationship Id="rId124" Target="mailto:papies@libero.it" TargetMode="External" Type="http://schemas.openxmlformats.org/officeDocument/2006/relationships/hyperlink"/>
<Relationship Id="rId125" Target="mailto:papies@libero.it" TargetMode="External" Type="http://schemas.openxmlformats.org/officeDocument/2006/relationships/hyperlink"/>
<Relationship Id="rId126" Target="mailto:papies@libero.it" TargetMode="External" Type="http://schemas.openxmlformats.org/officeDocument/2006/relationships/hyperlink"/>
<Relationship Id="rId127" Target="mailto:papies@libero.it" TargetMode="External" Type="http://schemas.openxmlformats.org/officeDocument/2006/relationships/hyperlink"/>
<Relationship Id="rId128" Target="mailto:papies@libero.it" TargetMode="External" Type="http://schemas.openxmlformats.org/officeDocument/2006/relationships/hyperlink"/>
<Relationship Id="rId129" Target="mailto:papies@libero.it" TargetMode="External" Type="http://schemas.openxmlformats.org/officeDocument/2006/relationships/hyperlink"/>
<Relationship Id="rId13" Target="mailto:papies@libero.it" TargetMode="External" Type="http://schemas.openxmlformats.org/officeDocument/2006/relationships/hyperlink"/>
<Relationship Id="rId130" Target="mailto:papies@libero.it" TargetMode="External" Type="http://schemas.openxmlformats.org/officeDocument/2006/relationships/hyperlink"/>
<Relationship Id="rId131" Target="mailto:papies@libero.it" TargetMode="External" Type="http://schemas.openxmlformats.org/officeDocument/2006/relationships/hyperlink"/>
<Relationship Id="rId132" Target="mailto:papies@libero.it" TargetMode="External" Type="http://schemas.openxmlformats.org/officeDocument/2006/relationships/hyperlink"/>
<Relationship Id="rId133" Target="mailto:papies@libero.it" TargetMode="External" Type="http://schemas.openxmlformats.org/officeDocument/2006/relationships/hyperlink"/>
<Relationship Id="rId134" Target="mailto:papies@libero.it" TargetMode="External" Type="http://schemas.openxmlformats.org/officeDocument/2006/relationships/hyperlink"/>
<Relationship Id="rId135" Target="mailto:papies@libero.it" TargetMode="External" Type="http://schemas.openxmlformats.org/officeDocument/2006/relationships/hyperlink"/>
<Relationship Id="rId136" Target="mailto:papies@libero.it" TargetMode="External" Type="http://schemas.openxmlformats.org/officeDocument/2006/relationships/hyperlink"/>
<Relationship Id="rId137" Target="mailto:papies@libero.it" TargetMode="External" Type="http://schemas.openxmlformats.org/officeDocument/2006/relationships/hyperlink"/>
<Relationship Id="rId138" Target="mailto:papies@libero.it" TargetMode="External" Type="http://schemas.openxmlformats.org/officeDocument/2006/relationships/hyperlink"/>
<Relationship Id="rId139" Target="mailto:papies@libero.it" TargetMode="External" Type="http://schemas.openxmlformats.org/officeDocument/2006/relationships/hyperlink"/>
<Relationship Id="rId14" Target="mailto:papies@libero.it" TargetMode="External" Type="http://schemas.openxmlformats.org/officeDocument/2006/relationships/hyperlink"/>
<Relationship Id="rId140" Target="mailto:papies@libero.it" TargetMode="External" Type="http://schemas.openxmlformats.org/officeDocument/2006/relationships/hyperlink"/>
<Relationship Id="rId141" Target="mailto:papies@libero.it" TargetMode="External" Type="http://schemas.openxmlformats.org/officeDocument/2006/relationships/hyperlink"/>
<Relationship Id="rId142" Target="mailto:papies@libero.it" TargetMode="External" Type="http://schemas.openxmlformats.org/officeDocument/2006/relationships/hyperlink"/>
<Relationship Id="rId143" Target="mailto:papies@libero.it" TargetMode="External" Type="http://schemas.openxmlformats.org/officeDocument/2006/relationships/hyperlink"/>
<Relationship Id="rId144" Target="mailto:papies@libero.it" TargetMode="External" Type="http://schemas.openxmlformats.org/officeDocument/2006/relationships/hyperlink"/>
<Relationship Id="rId145" Target="mailto:papies@libero.it" TargetMode="External" Type="http://schemas.openxmlformats.org/officeDocument/2006/relationships/hyperlink"/>
<Relationship Id="rId146" Target="mailto:papies@libero.it" TargetMode="External" Type="http://schemas.openxmlformats.org/officeDocument/2006/relationships/hyperlink"/>
<Relationship Id="rId147" Target="mailto:papies@libero.it" TargetMode="External" Type="http://schemas.openxmlformats.org/officeDocument/2006/relationships/hyperlink"/>
<Relationship Id="rId148" Target="mailto:papies@libero.it" TargetMode="External" Type="http://schemas.openxmlformats.org/officeDocument/2006/relationships/hyperlink"/>
<Relationship Id="rId149" Target="mailto:papies@libero.it" TargetMode="External" Type="http://schemas.openxmlformats.org/officeDocument/2006/relationships/hyperlink"/>
<Relationship Id="rId15" Target="mailto:papies@libero.it" TargetMode="External" Type="http://schemas.openxmlformats.org/officeDocument/2006/relationships/hyperlink"/>
<Relationship Id="rId150" Target="mailto:papies@libero.it" TargetMode="External" Type="http://schemas.openxmlformats.org/officeDocument/2006/relationships/hyperlink"/>
<Relationship Id="rId151" Target="mailto:papies@libero.it" TargetMode="External" Type="http://schemas.openxmlformats.org/officeDocument/2006/relationships/hyperlink"/>
<Relationship Id="rId152" Target="mailto:papies@libero.it" TargetMode="External" Type="http://schemas.openxmlformats.org/officeDocument/2006/relationships/hyperlink"/>
<Relationship Id="rId153" Target="mailto:papies@libero.it" TargetMode="External" Type="http://schemas.openxmlformats.org/officeDocument/2006/relationships/hyperlink"/>
<Relationship Id="rId154" Target="mailto:papies@libero.it" TargetMode="External" Type="http://schemas.openxmlformats.org/officeDocument/2006/relationships/hyperlink"/>
<Relationship Id="rId155" Target="mailto:papies@libero.it" TargetMode="External" Type="http://schemas.openxmlformats.org/officeDocument/2006/relationships/hyperlink"/>
<Relationship Id="rId156" Target="mailto:papies@libero.it" TargetMode="External" Type="http://schemas.openxmlformats.org/officeDocument/2006/relationships/hyperlink"/>
<Relationship Id="rId157" Target="mailto:papies@libero.it" TargetMode="External" Type="http://schemas.openxmlformats.org/officeDocument/2006/relationships/hyperlink"/>
<Relationship Id="rId158" Target="mailto:papies@libero.it" TargetMode="External" Type="http://schemas.openxmlformats.org/officeDocument/2006/relationships/hyperlink"/>
<Relationship Id="rId159" Target="mailto:papies@libero.it" TargetMode="External" Type="http://schemas.openxmlformats.org/officeDocument/2006/relationships/hyperlink"/>
<Relationship Id="rId16" Target="mailto:papies@libero.it" TargetMode="External" Type="http://schemas.openxmlformats.org/officeDocument/2006/relationships/hyperlink"/>
<Relationship Id="rId160" Target="mailto:papies@libero.it" TargetMode="External" Type="http://schemas.openxmlformats.org/officeDocument/2006/relationships/hyperlink"/>
<Relationship Id="rId161" Target="mailto:papies@libero.it" TargetMode="External" Type="http://schemas.openxmlformats.org/officeDocument/2006/relationships/hyperlink"/>
<Relationship Id="rId162" Target="mailto:papies@libero.it" TargetMode="External" Type="http://schemas.openxmlformats.org/officeDocument/2006/relationships/hyperlink"/>
<Relationship Id="rId163" Target="mailto:papies@libero.it" TargetMode="External" Type="http://schemas.openxmlformats.org/officeDocument/2006/relationships/hyperlink"/>
<Relationship Id="rId164" Target="mailto:papies@libero.it" TargetMode="External" Type="http://schemas.openxmlformats.org/officeDocument/2006/relationships/hyperlink"/>
<Relationship Id="rId165" Target="mailto:papies@libero.it" TargetMode="External" Type="http://schemas.openxmlformats.org/officeDocument/2006/relationships/hyperlink"/>
<Relationship Id="rId166" Target="mailto:papies@libero.it" TargetMode="External" Type="http://schemas.openxmlformats.org/officeDocument/2006/relationships/hyperlink"/>
<Relationship Id="rId167" Target="mailto:papies@libero.it" TargetMode="External" Type="http://schemas.openxmlformats.org/officeDocument/2006/relationships/hyperlink"/>
<Relationship Id="rId168" Target="mailto:papies@libero.it" TargetMode="External" Type="http://schemas.openxmlformats.org/officeDocument/2006/relationships/hyperlink"/>
<Relationship Id="rId169" Target="mailto:papies@libero.it" TargetMode="External" Type="http://schemas.openxmlformats.org/officeDocument/2006/relationships/hyperlink"/>
<Relationship Id="rId17" Target="mailto:papies@libero.it" TargetMode="External" Type="http://schemas.openxmlformats.org/officeDocument/2006/relationships/hyperlink"/>
<Relationship Id="rId170" Target="mailto:papies@libero.it" TargetMode="External" Type="http://schemas.openxmlformats.org/officeDocument/2006/relationships/hyperlink"/>
<Relationship Id="rId171" Target="mailto:papies@libero.it" TargetMode="External" Type="http://schemas.openxmlformats.org/officeDocument/2006/relationships/hyperlink"/>
<Relationship Id="rId172" Target="mailto:papies@libero.it" TargetMode="External" Type="http://schemas.openxmlformats.org/officeDocument/2006/relationships/hyperlink"/>
<Relationship Id="rId173" Target="mailto:papies@libero.it" TargetMode="External" Type="http://schemas.openxmlformats.org/officeDocument/2006/relationships/hyperlink"/>
<Relationship Id="rId174" Target="mailto:papies@libero.it" TargetMode="External" Type="http://schemas.openxmlformats.org/officeDocument/2006/relationships/hyperlink"/>
<Relationship Id="rId175" Target="mailto:papies@libero.it" TargetMode="External" Type="http://schemas.openxmlformats.org/officeDocument/2006/relationships/hyperlink"/>
<Relationship Id="rId176" Target="mailto:papies@libero.it" TargetMode="External" Type="http://schemas.openxmlformats.org/officeDocument/2006/relationships/hyperlink"/>
<Relationship Id="rId177" Target="mailto:papies@libero.it" TargetMode="External" Type="http://schemas.openxmlformats.org/officeDocument/2006/relationships/hyperlink"/>
<Relationship Id="rId178" Target="mailto:papies@libero.it" TargetMode="External" Type="http://schemas.openxmlformats.org/officeDocument/2006/relationships/hyperlink"/>
<Relationship Id="rId179" Target="mailto:papies@libero.it" TargetMode="External" Type="http://schemas.openxmlformats.org/officeDocument/2006/relationships/hyperlink"/>
<Relationship Id="rId18" Target="mailto:papies@libero.it" TargetMode="External" Type="http://schemas.openxmlformats.org/officeDocument/2006/relationships/hyperlink"/>
<Relationship Id="rId180" Target="mailto:papies@libero.it" TargetMode="External" Type="http://schemas.openxmlformats.org/officeDocument/2006/relationships/hyperlink"/>
<Relationship Id="rId181" Target="mailto:papies@libero.it" TargetMode="External" Type="http://schemas.openxmlformats.org/officeDocument/2006/relationships/hyperlink"/>
<Relationship Id="rId182" Target="mailto:papies@libero.it" TargetMode="External" Type="http://schemas.openxmlformats.org/officeDocument/2006/relationships/hyperlink"/>
<Relationship Id="rId183" Target="mailto:papies@libero.it" TargetMode="External" Type="http://schemas.openxmlformats.org/officeDocument/2006/relationships/hyperlink"/>
<Relationship Id="rId184" Target="mailto:papies@libero.it" TargetMode="External" Type="http://schemas.openxmlformats.org/officeDocument/2006/relationships/hyperlink"/>
<Relationship Id="rId185" Target="mailto:papies@libero.it" TargetMode="External" Type="http://schemas.openxmlformats.org/officeDocument/2006/relationships/hyperlink"/>
<Relationship Id="rId186" Target="mailto:papies@libero.it" TargetMode="External" Type="http://schemas.openxmlformats.org/officeDocument/2006/relationships/hyperlink"/>
<Relationship Id="rId187" Target="mailto:papies@libero.it" TargetMode="External" Type="http://schemas.openxmlformats.org/officeDocument/2006/relationships/hyperlink"/>
<Relationship Id="rId188" Target="mailto:papies@libero.it" TargetMode="External" Type="http://schemas.openxmlformats.org/officeDocument/2006/relationships/hyperlink"/>
<Relationship Id="rId189" Target="mailto:papies@libero.it" TargetMode="External" Type="http://schemas.openxmlformats.org/officeDocument/2006/relationships/hyperlink"/>
<Relationship Id="rId19" Target="mailto:papies@libero.it" TargetMode="External" Type="http://schemas.openxmlformats.org/officeDocument/2006/relationships/hyperlink"/>
<Relationship Id="rId190" Target="mailto:papies@libero.it" TargetMode="External" Type="http://schemas.openxmlformats.org/officeDocument/2006/relationships/hyperlink"/>
<Relationship Id="rId191" Target="mailto:papies@libero.it" TargetMode="External" Type="http://schemas.openxmlformats.org/officeDocument/2006/relationships/hyperlink"/>
<Relationship Id="rId192" Target="mailto:papies@libero.it" TargetMode="External" Type="http://schemas.openxmlformats.org/officeDocument/2006/relationships/hyperlink"/>
<Relationship Id="rId193" Target="mailto:papies@libero.it" TargetMode="External" Type="http://schemas.openxmlformats.org/officeDocument/2006/relationships/hyperlink"/>
<Relationship Id="rId194" Target="mailto:papies@libero.it" TargetMode="External" Type="http://schemas.openxmlformats.org/officeDocument/2006/relationships/hyperlink"/>
<Relationship Id="rId195" Target="mailto:papies@libero.it" TargetMode="External" Type="http://schemas.openxmlformats.org/officeDocument/2006/relationships/hyperlink"/>
<Relationship Id="rId196" Target="mailto:papies@libero.it" TargetMode="External" Type="http://schemas.openxmlformats.org/officeDocument/2006/relationships/hyperlink"/>
<Relationship Id="rId197" Target="mailto:papies@libero.it" TargetMode="External" Type="http://schemas.openxmlformats.org/officeDocument/2006/relationships/hyperlink"/>
<Relationship Id="rId198" Target="mailto:papies@libero.it" TargetMode="External" Type="http://schemas.openxmlformats.org/officeDocument/2006/relationships/hyperlink"/>
<Relationship Id="rId199" Target="mailto:papies@libero.it" TargetMode="External" Type="http://schemas.openxmlformats.org/officeDocument/2006/relationships/hyperlink"/>
<Relationship Id="rId2" Target="mailto:papies@email.it" TargetMode="External" Type="http://schemas.openxmlformats.org/officeDocument/2006/relationships/hyperlink"/>
<Relationship Id="rId20" Target="mailto:papies@libero.it" TargetMode="External" Type="http://schemas.openxmlformats.org/officeDocument/2006/relationships/hyperlink"/>
<Relationship Id="rId200" Target="mailto:papies@libero.it" TargetMode="External" Type="http://schemas.openxmlformats.org/officeDocument/2006/relationships/hyperlink"/>
<Relationship Id="rId201" Target="mailto:papies@libero.it" TargetMode="External" Type="http://schemas.openxmlformats.org/officeDocument/2006/relationships/hyperlink"/>
<Relationship Id="rId202" Target="mailto:papies@libero.it" TargetMode="External" Type="http://schemas.openxmlformats.org/officeDocument/2006/relationships/hyperlink"/>
<Relationship Id="rId203" Target="mailto:papies@libero.it" TargetMode="External" Type="http://schemas.openxmlformats.org/officeDocument/2006/relationships/hyperlink"/>
<Relationship Id="rId204" Target="mailto:papies@libero.it" TargetMode="External" Type="http://schemas.openxmlformats.org/officeDocument/2006/relationships/hyperlink"/>
<Relationship Id="rId205" Target="mailto:papies@libero.it" TargetMode="External" Type="http://schemas.openxmlformats.org/officeDocument/2006/relationships/hyperlink"/>
<Relationship Id="rId206" Target="mailto:papies@libero.it" TargetMode="External" Type="http://schemas.openxmlformats.org/officeDocument/2006/relationships/hyperlink"/>
<Relationship Id="rId207" Target="mailto:papies@libero.it" TargetMode="External" Type="http://schemas.openxmlformats.org/officeDocument/2006/relationships/hyperlink"/>
<Relationship Id="rId208" Target="mailto:papies@libero.it" TargetMode="External" Type="http://schemas.openxmlformats.org/officeDocument/2006/relationships/hyperlink"/>
<Relationship Id="rId209" Target="mailto:papies@libero.it" TargetMode="External" Type="http://schemas.openxmlformats.org/officeDocument/2006/relationships/hyperlink"/>
<Relationship Id="rId21" Target="mailto:papies@libero.it" TargetMode="External" Type="http://schemas.openxmlformats.org/officeDocument/2006/relationships/hyperlink"/>
<Relationship Id="rId210" Target="mailto:papies@libero.it" TargetMode="External" Type="http://schemas.openxmlformats.org/officeDocument/2006/relationships/hyperlink"/>
<Relationship Id="rId211" Target="mailto:papies@libero.it" TargetMode="External" Type="http://schemas.openxmlformats.org/officeDocument/2006/relationships/hyperlink"/>
<Relationship Id="rId212" Target="mailto:papies@libero.it" TargetMode="External" Type="http://schemas.openxmlformats.org/officeDocument/2006/relationships/hyperlink"/>
<Relationship Id="rId213" Target="mailto:papies@libero.it" TargetMode="External" Type="http://schemas.openxmlformats.org/officeDocument/2006/relationships/hyperlink"/>
<Relationship Id="rId214" Target="mailto:papies@libero.it" TargetMode="External" Type="http://schemas.openxmlformats.org/officeDocument/2006/relationships/hyperlink"/>
<Relationship Id="rId215" Target="mailto:papies@libero.it" TargetMode="External" Type="http://schemas.openxmlformats.org/officeDocument/2006/relationships/hyperlink"/>
<Relationship Id="rId216" Target="mailto:papies@libero.it" TargetMode="External" Type="http://schemas.openxmlformats.org/officeDocument/2006/relationships/hyperlink"/>
<Relationship Id="rId217" Target="mailto:papies@email.it" TargetMode="External" Type="http://schemas.openxmlformats.org/officeDocument/2006/relationships/hyperlink"/>
<Relationship Id="rId218" Target="mailto:papies@email.it" TargetMode="External" Type="http://schemas.openxmlformats.org/officeDocument/2006/relationships/hyperlink"/>
<Relationship Id="rId219" Target="mailto:papies@email.it" TargetMode="External" Type="http://schemas.openxmlformats.org/officeDocument/2006/relationships/hyperlink"/>
<Relationship Id="rId22" Target="mailto:papies@libero.it" TargetMode="External" Type="http://schemas.openxmlformats.org/officeDocument/2006/relationships/hyperlink"/>
<Relationship Id="rId220" Target="mailto:papies@email.it" TargetMode="External" Type="http://schemas.openxmlformats.org/officeDocument/2006/relationships/hyperlink"/>
<Relationship Id="rId221" Target="mailto:papies@email.it" TargetMode="External" Type="http://schemas.openxmlformats.org/officeDocument/2006/relationships/hyperlink"/>
<Relationship Id="rId222" Target="mailto:papies@email.it" TargetMode="External" Type="http://schemas.openxmlformats.org/officeDocument/2006/relationships/hyperlink"/>
<Relationship Id="rId223" Target="mailto:papies@email.it" TargetMode="External" Type="http://schemas.openxmlformats.org/officeDocument/2006/relationships/hyperlink"/>
<Relationship Id="rId224" Target="mailto:papies@email.it" TargetMode="External" Type="http://schemas.openxmlformats.org/officeDocument/2006/relationships/hyperlink"/>
<Relationship Id="rId225" Target="mailto:papies@email.it" TargetMode="External" Type="http://schemas.openxmlformats.org/officeDocument/2006/relationships/hyperlink"/>
<Relationship Id="rId226" Target="mailto:papies@email.it" TargetMode="External" Type="http://schemas.openxmlformats.org/officeDocument/2006/relationships/hyperlink"/>
<Relationship Id="rId227" Target="mailto:papies@email.it" TargetMode="External" Type="http://schemas.openxmlformats.org/officeDocument/2006/relationships/hyperlink"/>
<Relationship Id="rId228" Target="mailto:papies@email.it" TargetMode="External" Type="http://schemas.openxmlformats.org/officeDocument/2006/relationships/hyperlink"/>
<Relationship Id="rId229" Target="mailto:papies@email.it" TargetMode="External" Type="http://schemas.openxmlformats.org/officeDocument/2006/relationships/hyperlink"/>
<Relationship Id="rId23" Target="mailto:papies@libero.it" TargetMode="External" Type="http://schemas.openxmlformats.org/officeDocument/2006/relationships/hyperlink"/>
<Relationship Id="rId230" Target="mailto:papies@email.it" TargetMode="External" Type="http://schemas.openxmlformats.org/officeDocument/2006/relationships/hyperlink"/>
<Relationship Id="rId231" Target="mailto:papies@email.it" TargetMode="External" Type="http://schemas.openxmlformats.org/officeDocument/2006/relationships/hyperlink"/>
<Relationship Id="rId232" Target="mailto:papies@email.it" TargetMode="External" Type="http://schemas.openxmlformats.org/officeDocument/2006/relationships/hyperlink"/>
<Relationship Id="rId233" Target="mailto:papies@email.it" TargetMode="External" Type="http://schemas.openxmlformats.org/officeDocument/2006/relationships/hyperlink"/>
<Relationship Id="rId234" Target="mailto:papies@email.it" TargetMode="External" Type="http://schemas.openxmlformats.org/officeDocument/2006/relationships/hyperlink"/>
<Relationship Id="rId235" Target="mailto:papies@email.it" TargetMode="External" Type="http://schemas.openxmlformats.org/officeDocument/2006/relationships/hyperlink"/>
<Relationship Id="rId236" Target="mailto:papies@email.it" TargetMode="External" Type="http://schemas.openxmlformats.org/officeDocument/2006/relationships/hyperlink"/>
<Relationship Id="rId237" Target="mailto:papies@email.it" TargetMode="External" Type="http://schemas.openxmlformats.org/officeDocument/2006/relationships/hyperlink"/>
<Relationship Id="rId238" Target="mailto:papies@email.it" TargetMode="External" Type="http://schemas.openxmlformats.org/officeDocument/2006/relationships/hyperlink"/>
<Relationship Id="rId239" Target="mailto:papies@email.it" TargetMode="External" Type="http://schemas.openxmlformats.org/officeDocument/2006/relationships/hyperlink"/>
<Relationship Id="rId24" Target="mailto:papies@libero.it" TargetMode="External" Type="http://schemas.openxmlformats.org/officeDocument/2006/relationships/hyperlink"/>
<Relationship Id="rId240" Target="mailto:papies@email.it" TargetMode="External" Type="http://schemas.openxmlformats.org/officeDocument/2006/relationships/hyperlink"/>
<Relationship Id="rId241" Target="mailto:papies@email.it" TargetMode="External" Type="http://schemas.openxmlformats.org/officeDocument/2006/relationships/hyperlink"/>
<Relationship Id="rId242" Target="mailto:papies@email.it" TargetMode="External" Type="http://schemas.openxmlformats.org/officeDocument/2006/relationships/hyperlink"/>
<Relationship Id="rId243" Target="mailto:papies@email.it" TargetMode="External" Type="http://schemas.openxmlformats.org/officeDocument/2006/relationships/hyperlink"/>
<Relationship Id="rId244" Target="mailto:papies@email.it" TargetMode="External" Type="http://schemas.openxmlformats.org/officeDocument/2006/relationships/hyperlink"/>
<Relationship Id="rId245" Target="mailto:papies@email.it" TargetMode="External" Type="http://schemas.openxmlformats.org/officeDocument/2006/relationships/hyperlink"/>
<Relationship Id="rId246" Target="mailto:papies@email.it" TargetMode="External" Type="http://schemas.openxmlformats.org/officeDocument/2006/relationships/hyperlink"/>
<Relationship Id="rId247" Target="mailto:papies@email.it" TargetMode="External" Type="http://schemas.openxmlformats.org/officeDocument/2006/relationships/hyperlink"/>
<Relationship Id="rId248" Target="mailto:papies@email.it" TargetMode="External" Type="http://schemas.openxmlformats.org/officeDocument/2006/relationships/hyperlink"/>
<Relationship Id="rId249" Target="mailto:papies@email.it" TargetMode="External" Type="http://schemas.openxmlformats.org/officeDocument/2006/relationships/hyperlink"/>
<Relationship Id="rId25" Target="mailto:papies@libero.it" TargetMode="External" Type="http://schemas.openxmlformats.org/officeDocument/2006/relationships/hyperlink"/>
<Relationship Id="rId250" Target="mailto:papies@email.it" TargetMode="External" Type="http://schemas.openxmlformats.org/officeDocument/2006/relationships/hyperlink"/>
<Relationship Id="rId251" Target="mailto:papies@email.it" TargetMode="External" Type="http://schemas.openxmlformats.org/officeDocument/2006/relationships/hyperlink"/>
<Relationship Id="rId252" Target="mailto:papies@email.it" TargetMode="External" Type="http://schemas.openxmlformats.org/officeDocument/2006/relationships/hyperlink"/>
<Relationship Id="rId253" Target="mailto:papies@email.it" TargetMode="External" Type="http://schemas.openxmlformats.org/officeDocument/2006/relationships/hyperlink"/>
<Relationship Id="rId254" Target="mailto:papies@email.it" TargetMode="External" Type="http://schemas.openxmlformats.org/officeDocument/2006/relationships/hyperlink"/>
<Relationship Id="rId255" Target="mailto:papies@email.it" TargetMode="External" Type="http://schemas.openxmlformats.org/officeDocument/2006/relationships/hyperlink"/>
<Relationship Id="rId256" Target="mailto:papies@email.it" TargetMode="External" Type="http://schemas.openxmlformats.org/officeDocument/2006/relationships/hyperlink"/>
<Relationship Id="rId257" Target="mailto:papies@email.it" TargetMode="External" Type="http://schemas.openxmlformats.org/officeDocument/2006/relationships/hyperlink"/>
<Relationship Id="rId258" Target="mailto:papies@email.it" TargetMode="External" Type="http://schemas.openxmlformats.org/officeDocument/2006/relationships/hyperlink"/>
<Relationship Id="rId259" Target="mailto:papies@email.it" TargetMode="External" Type="http://schemas.openxmlformats.org/officeDocument/2006/relationships/hyperlink"/>
<Relationship Id="rId26" Target="mailto:papies@libero.it" TargetMode="External" Type="http://schemas.openxmlformats.org/officeDocument/2006/relationships/hyperlink"/>
<Relationship Id="rId260" Target="mailto:papies@email.it" TargetMode="External" Type="http://schemas.openxmlformats.org/officeDocument/2006/relationships/hyperlink"/>
<Relationship Id="rId261" Target="mailto:papies@email.it" TargetMode="External" Type="http://schemas.openxmlformats.org/officeDocument/2006/relationships/hyperlink"/>
<Relationship Id="rId262" Target="mailto:papies@email.it" TargetMode="External" Type="http://schemas.openxmlformats.org/officeDocument/2006/relationships/hyperlink"/>
<Relationship Id="rId263" Target="mailto:papies@email.it" TargetMode="External" Type="http://schemas.openxmlformats.org/officeDocument/2006/relationships/hyperlink"/>
<Relationship Id="rId264" Target="mailto:papies@email.it" TargetMode="External" Type="http://schemas.openxmlformats.org/officeDocument/2006/relationships/hyperlink"/>
<Relationship Id="rId265" Target="mailto:papies@email.it" TargetMode="External" Type="http://schemas.openxmlformats.org/officeDocument/2006/relationships/hyperlink"/>
<Relationship Id="rId266" Target="mailto:papies@email.it" TargetMode="External" Type="http://schemas.openxmlformats.org/officeDocument/2006/relationships/hyperlink"/>
<Relationship Id="rId267" Target="mailto:papies@email.it" TargetMode="External" Type="http://schemas.openxmlformats.org/officeDocument/2006/relationships/hyperlink"/>
<Relationship Id="rId268" Target="mailto:papies@email.it" TargetMode="External" Type="http://schemas.openxmlformats.org/officeDocument/2006/relationships/hyperlink"/>
<Relationship Id="rId269" Target="mailto:papies@email.it" TargetMode="External" Type="http://schemas.openxmlformats.org/officeDocument/2006/relationships/hyperlink"/>
<Relationship Id="rId27" Target="mailto:papies@libero.it" TargetMode="External" Type="http://schemas.openxmlformats.org/officeDocument/2006/relationships/hyperlink"/>
<Relationship Id="rId270" Target="mailto:papies@email.it" TargetMode="External" Type="http://schemas.openxmlformats.org/officeDocument/2006/relationships/hyperlink"/>
<Relationship Id="rId271" Target="mailto:papies@email.it" TargetMode="External" Type="http://schemas.openxmlformats.org/officeDocument/2006/relationships/hyperlink"/>
<Relationship Id="rId272" Target="mailto:papies@email.it" TargetMode="External" Type="http://schemas.openxmlformats.org/officeDocument/2006/relationships/hyperlink"/>
<Relationship Id="rId273" Target="mailto:papies@email.it" TargetMode="External" Type="http://schemas.openxmlformats.org/officeDocument/2006/relationships/hyperlink"/>
<Relationship Id="rId274" Target="mailto:papies@email.it" TargetMode="External" Type="http://schemas.openxmlformats.org/officeDocument/2006/relationships/hyperlink"/>
<Relationship Id="rId275" Target="mailto:papies@email.it" TargetMode="External" Type="http://schemas.openxmlformats.org/officeDocument/2006/relationships/hyperlink"/>
<Relationship Id="rId276" Target="mailto:papies@email.it" TargetMode="External" Type="http://schemas.openxmlformats.org/officeDocument/2006/relationships/hyperlink"/>
<Relationship Id="rId277" Target="mailto:papies@email.it" TargetMode="External" Type="http://schemas.openxmlformats.org/officeDocument/2006/relationships/hyperlink"/>
<Relationship Id="rId278" Target="mailto:papies@email.it" TargetMode="External" Type="http://schemas.openxmlformats.org/officeDocument/2006/relationships/hyperlink"/>
<Relationship Id="rId279" Target="mailto:papies@email.it" TargetMode="External" Type="http://schemas.openxmlformats.org/officeDocument/2006/relationships/hyperlink"/>
<Relationship Id="rId28" Target="mailto:papies@libero.it" TargetMode="External" Type="http://schemas.openxmlformats.org/officeDocument/2006/relationships/hyperlink"/>
<Relationship Id="rId280" Target="mailto:papies@email.it" TargetMode="External" Type="http://schemas.openxmlformats.org/officeDocument/2006/relationships/hyperlink"/>
<Relationship Id="rId281" Target="mailto:papies@email.it" TargetMode="External" Type="http://schemas.openxmlformats.org/officeDocument/2006/relationships/hyperlink"/>
<Relationship Id="rId282" Target="mailto:papies@email.it" TargetMode="External" Type="http://schemas.openxmlformats.org/officeDocument/2006/relationships/hyperlink"/>
<Relationship Id="rId283" Target="mailto:papies@email.it" TargetMode="External" Type="http://schemas.openxmlformats.org/officeDocument/2006/relationships/hyperlink"/>
<Relationship Id="rId284" Target="mailto:papies@email.it" TargetMode="External" Type="http://schemas.openxmlformats.org/officeDocument/2006/relationships/hyperlink"/>
<Relationship Id="rId285" Target="mailto:papies@email.it" TargetMode="External" Type="http://schemas.openxmlformats.org/officeDocument/2006/relationships/hyperlink"/>
<Relationship Id="rId286" Target="mailto:papies@email.it" TargetMode="External" Type="http://schemas.openxmlformats.org/officeDocument/2006/relationships/hyperlink"/>
<Relationship Id="rId287" Target="mailto:papies@email.it" TargetMode="External" Type="http://schemas.openxmlformats.org/officeDocument/2006/relationships/hyperlink"/>
<Relationship Id="rId288" Target="mailto:papies@email.it" TargetMode="External" Type="http://schemas.openxmlformats.org/officeDocument/2006/relationships/hyperlink"/>
<Relationship Id="rId289" Target="mailto:papies@email.it" TargetMode="External" Type="http://schemas.openxmlformats.org/officeDocument/2006/relationships/hyperlink"/>
<Relationship Id="rId29" Target="mailto:papies@libero.it" TargetMode="External" Type="http://schemas.openxmlformats.org/officeDocument/2006/relationships/hyperlink"/>
<Relationship Id="rId290" Target="mailto:papies@email.it" TargetMode="External" Type="http://schemas.openxmlformats.org/officeDocument/2006/relationships/hyperlink"/>
<Relationship Id="rId291" Target="mailto:papies@email.it" TargetMode="External" Type="http://schemas.openxmlformats.org/officeDocument/2006/relationships/hyperlink"/>
<Relationship Id="rId292" Target="mailto:papies@email.it" TargetMode="External" Type="http://schemas.openxmlformats.org/officeDocument/2006/relationships/hyperlink"/>
<Relationship Id="rId293" Target="mailto:papies@email.it" TargetMode="External" Type="http://schemas.openxmlformats.org/officeDocument/2006/relationships/hyperlink"/>
<Relationship Id="rId294" Target="mailto:papies@email.it" TargetMode="External" Type="http://schemas.openxmlformats.org/officeDocument/2006/relationships/hyperlink"/>
<Relationship Id="rId295" Target="mailto:papies@email.it" TargetMode="External" Type="http://schemas.openxmlformats.org/officeDocument/2006/relationships/hyperlink"/>
<Relationship Id="rId296" Target="mailto:papies@email.it" TargetMode="External" Type="http://schemas.openxmlformats.org/officeDocument/2006/relationships/hyperlink"/>
<Relationship Id="rId297" Target="mailto:papies@email.it" TargetMode="External" Type="http://schemas.openxmlformats.org/officeDocument/2006/relationships/hyperlink"/>
<Relationship Id="rId298" Target="mailto:papies@email.it" TargetMode="External" Type="http://schemas.openxmlformats.org/officeDocument/2006/relationships/hyperlink"/>
<Relationship Id="rId299" Target="mailto:papies@email.it" TargetMode="External" Type="http://schemas.openxmlformats.org/officeDocument/2006/relationships/hyperlink"/>
<Relationship Id="rId3" Target="mailto:papies@libero.it" TargetMode="External" Type="http://schemas.openxmlformats.org/officeDocument/2006/relationships/hyperlink"/>
<Relationship Id="rId30" Target="mailto:papies@libero.it" TargetMode="External" Type="http://schemas.openxmlformats.org/officeDocument/2006/relationships/hyperlink"/>
<Relationship Id="rId300" Target="mailto:papies@email.it" TargetMode="External" Type="http://schemas.openxmlformats.org/officeDocument/2006/relationships/hyperlink"/>
<Relationship Id="rId301" Target="mailto:papies@email.it" TargetMode="External" Type="http://schemas.openxmlformats.org/officeDocument/2006/relationships/hyperlink"/>
<Relationship Id="rId302" Target="mailto:papies@email.it" TargetMode="External" Type="http://schemas.openxmlformats.org/officeDocument/2006/relationships/hyperlink"/>
<Relationship Id="rId303" Target="mailto:papies@email.it" TargetMode="External" Type="http://schemas.openxmlformats.org/officeDocument/2006/relationships/hyperlink"/>
<Relationship Id="rId304" Target="mailto:papies@email.it" TargetMode="External" Type="http://schemas.openxmlformats.org/officeDocument/2006/relationships/hyperlink"/>
<Relationship Id="rId305" Target="mailto:papies@email.it" TargetMode="External" Type="http://schemas.openxmlformats.org/officeDocument/2006/relationships/hyperlink"/>
<Relationship Id="rId306" Target="mailto:papies@email.it" TargetMode="External" Type="http://schemas.openxmlformats.org/officeDocument/2006/relationships/hyperlink"/>
<Relationship Id="rId307" Target="mailto:papies@email.it" TargetMode="External" Type="http://schemas.openxmlformats.org/officeDocument/2006/relationships/hyperlink"/>
<Relationship Id="rId308" Target="mailto:papies@email.it" TargetMode="External" Type="http://schemas.openxmlformats.org/officeDocument/2006/relationships/hyperlink"/>
<Relationship Id="rId309" Target="mailto:papies@email.it" TargetMode="External" Type="http://schemas.openxmlformats.org/officeDocument/2006/relationships/hyperlink"/>
<Relationship Id="rId31" Target="mailto:papies@libero.it" TargetMode="External" Type="http://schemas.openxmlformats.org/officeDocument/2006/relationships/hyperlink"/>
<Relationship Id="rId310" Target="mailto:papies@email.it" TargetMode="External" Type="http://schemas.openxmlformats.org/officeDocument/2006/relationships/hyperlink"/>
<Relationship Id="rId311" Target="mailto:papies@email.it" TargetMode="External" Type="http://schemas.openxmlformats.org/officeDocument/2006/relationships/hyperlink"/>
<Relationship Id="rId312" Target="mailto:papies@email.it" TargetMode="External" Type="http://schemas.openxmlformats.org/officeDocument/2006/relationships/hyperlink"/>
<Relationship Id="rId313" Target="mailto:papies@email.it" TargetMode="External" Type="http://schemas.openxmlformats.org/officeDocument/2006/relationships/hyperlink"/>
<Relationship Id="rId314" Target="mailto:papies@email.it" TargetMode="External" Type="http://schemas.openxmlformats.org/officeDocument/2006/relationships/hyperlink"/>
<Relationship Id="rId315" Target="mailto:papies@email.it" TargetMode="External" Type="http://schemas.openxmlformats.org/officeDocument/2006/relationships/hyperlink"/>
<Relationship Id="rId316" Target="mailto:papies@email.it" TargetMode="External" Type="http://schemas.openxmlformats.org/officeDocument/2006/relationships/hyperlink"/>
<Relationship Id="rId317" Target="mailto:papies@email.it" TargetMode="External" Type="http://schemas.openxmlformats.org/officeDocument/2006/relationships/hyperlink"/>
<Relationship Id="rId318" Target="mailto:papies@email.it" TargetMode="External" Type="http://schemas.openxmlformats.org/officeDocument/2006/relationships/hyperlink"/>
<Relationship Id="rId319" Target="mailto:papies@email.it" TargetMode="External" Type="http://schemas.openxmlformats.org/officeDocument/2006/relationships/hyperlink"/>
<Relationship Id="rId32" Target="mailto:papies@libero.it" TargetMode="External" Type="http://schemas.openxmlformats.org/officeDocument/2006/relationships/hyperlink"/>
<Relationship Id="rId320" Target="mailto:papies@email.it" TargetMode="External" Type="http://schemas.openxmlformats.org/officeDocument/2006/relationships/hyperlink"/>
<Relationship Id="rId321" Target="mailto:papies@email.it" TargetMode="External" Type="http://schemas.openxmlformats.org/officeDocument/2006/relationships/hyperlink"/>
<Relationship Id="rId322" Target="mailto:papies@email.it" TargetMode="External" Type="http://schemas.openxmlformats.org/officeDocument/2006/relationships/hyperlink"/>
<Relationship Id="rId323" Target="mailto:papies@email.it" TargetMode="External" Type="http://schemas.openxmlformats.org/officeDocument/2006/relationships/hyperlink"/>
<Relationship Id="rId324" Target="mailto:papies@email.it" TargetMode="External" Type="http://schemas.openxmlformats.org/officeDocument/2006/relationships/hyperlink"/>
<Relationship Id="rId325" Target="mailto:papies@email.it" TargetMode="External" Type="http://schemas.openxmlformats.org/officeDocument/2006/relationships/hyperlink"/>
<Relationship Id="rId326" Target="mailto:papies@email.it" TargetMode="External" Type="http://schemas.openxmlformats.org/officeDocument/2006/relationships/hyperlink"/>
<Relationship Id="rId327" Target="mailto:papies@email.it" TargetMode="External" Type="http://schemas.openxmlformats.org/officeDocument/2006/relationships/hyperlink"/>
<Relationship Id="rId328" Target="mailto:papies@email.it" TargetMode="External" Type="http://schemas.openxmlformats.org/officeDocument/2006/relationships/hyperlink"/>
<Relationship Id="rId329" Target="mailto:papies@email.it" TargetMode="External" Type="http://schemas.openxmlformats.org/officeDocument/2006/relationships/hyperlink"/>
<Relationship Id="rId33" Target="mailto:papies@libero.it" TargetMode="External" Type="http://schemas.openxmlformats.org/officeDocument/2006/relationships/hyperlink"/>
<Relationship Id="rId330" Target="mailto:papies@email.it" TargetMode="External" Type="http://schemas.openxmlformats.org/officeDocument/2006/relationships/hyperlink"/>
<Relationship Id="rId331" Target="mailto:papies@email.it" TargetMode="External" Type="http://schemas.openxmlformats.org/officeDocument/2006/relationships/hyperlink"/>
<Relationship Id="rId332" Target="mailto:papies@email.it" TargetMode="External" Type="http://schemas.openxmlformats.org/officeDocument/2006/relationships/hyperlink"/>
<Relationship Id="rId333" Target="mailto:papies@email.it" TargetMode="External" Type="http://schemas.openxmlformats.org/officeDocument/2006/relationships/hyperlink"/>
<Relationship Id="rId334" Target="mailto:papies@email.it" TargetMode="External" Type="http://schemas.openxmlformats.org/officeDocument/2006/relationships/hyperlink"/>
<Relationship Id="rId335" Target="mailto:papies@email.it" TargetMode="External" Type="http://schemas.openxmlformats.org/officeDocument/2006/relationships/hyperlink"/>
<Relationship Id="rId336" Target="mailto:papies@email.it" TargetMode="External" Type="http://schemas.openxmlformats.org/officeDocument/2006/relationships/hyperlink"/>
<Relationship Id="rId337" Target="mailto:papies@email.it" TargetMode="External" Type="http://schemas.openxmlformats.org/officeDocument/2006/relationships/hyperlink"/>
<Relationship Id="rId338" Target="mailto:papies@email.it" TargetMode="External" Type="http://schemas.openxmlformats.org/officeDocument/2006/relationships/hyperlink"/>
<Relationship Id="rId339" Target="mailto:papies@email.it" TargetMode="External" Type="http://schemas.openxmlformats.org/officeDocument/2006/relationships/hyperlink"/>
<Relationship Id="rId34" Target="mailto:papies@libero.it" TargetMode="External" Type="http://schemas.openxmlformats.org/officeDocument/2006/relationships/hyperlink"/>
<Relationship Id="rId340" Target="mailto:papies@email.it" TargetMode="External" Type="http://schemas.openxmlformats.org/officeDocument/2006/relationships/hyperlink"/>
<Relationship Id="rId341" Target="mailto:papies@email.it" TargetMode="External" Type="http://schemas.openxmlformats.org/officeDocument/2006/relationships/hyperlink"/>
<Relationship Id="rId342" Target="mailto:papies@email.it" TargetMode="External" Type="http://schemas.openxmlformats.org/officeDocument/2006/relationships/hyperlink"/>
<Relationship Id="rId343" Target="mailto:papies@email.it" TargetMode="External" Type="http://schemas.openxmlformats.org/officeDocument/2006/relationships/hyperlink"/>
<Relationship Id="rId344" Target="mailto:papies@email.it" TargetMode="External" Type="http://schemas.openxmlformats.org/officeDocument/2006/relationships/hyperlink"/>
<Relationship Id="rId345" Target="mailto:papies@email.it" TargetMode="External" Type="http://schemas.openxmlformats.org/officeDocument/2006/relationships/hyperlink"/>
<Relationship Id="rId346" Target="mailto:papies@email.it" TargetMode="External" Type="http://schemas.openxmlformats.org/officeDocument/2006/relationships/hyperlink"/>
<Relationship Id="rId347" Target="mailto:papies@email.it" TargetMode="External" Type="http://schemas.openxmlformats.org/officeDocument/2006/relationships/hyperlink"/>
<Relationship Id="rId348" Target="mailto:papies@email.it" TargetMode="External" Type="http://schemas.openxmlformats.org/officeDocument/2006/relationships/hyperlink"/>
<Relationship Id="rId349" Target="mailto:papies@email.it" TargetMode="External" Type="http://schemas.openxmlformats.org/officeDocument/2006/relationships/hyperlink"/>
<Relationship Id="rId35" Target="mailto:papies@libero.it" TargetMode="External" Type="http://schemas.openxmlformats.org/officeDocument/2006/relationships/hyperlink"/>
<Relationship Id="rId350" Target="mailto:papies@email.it" TargetMode="External" Type="http://schemas.openxmlformats.org/officeDocument/2006/relationships/hyperlink"/>
<Relationship Id="rId351" Target="mailto:papies@email.it" TargetMode="External" Type="http://schemas.openxmlformats.org/officeDocument/2006/relationships/hyperlink"/>
<Relationship Id="rId352" Target="mailto:papies@email.it" TargetMode="External" Type="http://schemas.openxmlformats.org/officeDocument/2006/relationships/hyperlink"/>
<Relationship Id="rId353" Target="mailto:papies@email.it" TargetMode="External" Type="http://schemas.openxmlformats.org/officeDocument/2006/relationships/hyperlink"/>
<Relationship Id="rId354" Target="mailto:papies@email.it" TargetMode="External" Type="http://schemas.openxmlformats.org/officeDocument/2006/relationships/hyperlink"/>
<Relationship Id="rId355" Target="mailto:papies@email.it" TargetMode="External" Type="http://schemas.openxmlformats.org/officeDocument/2006/relationships/hyperlink"/>
<Relationship Id="rId356" Target="mailto:papies@email.it" TargetMode="External" Type="http://schemas.openxmlformats.org/officeDocument/2006/relationships/hyperlink"/>
<Relationship Id="rId357" Target="mailto:papies@email.it" TargetMode="External" Type="http://schemas.openxmlformats.org/officeDocument/2006/relationships/hyperlink"/>
<Relationship Id="rId358" Target="mailto:papies@email.it" TargetMode="External" Type="http://schemas.openxmlformats.org/officeDocument/2006/relationships/hyperlink"/>
<Relationship Id="rId359" Target="mailto:papies@email.it" TargetMode="External" Type="http://schemas.openxmlformats.org/officeDocument/2006/relationships/hyperlink"/>
<Relationship Id="rId36" Target="mailto:papies@libero.it" TargetMode="External" Type="http://schemas.openxmlformats.org/officeDocument/2006/relationships/hyperlink"/>
<Relationship Id="rId360" Target="mailto:papies@email.it" TargetMode="External" Type="http://schemas.openxmlformats.org/officeDocument/2006/relationships/hyperlink"/>
<Relationship Id="rId361" Target="mailto:papies@email.it" TargetMode="External" Type="http://schemas.openxmlformats.org/officeDocument/2006/relationships/hyperlink"/>
<Relationship Id="rId362" Target="mailto:papies@email.it" TargetMode="External" Type="http://schemas.openxmlformats.org/officeDocument/2006/relationships/hyperlink"/>
<Relationship Id="rId363" Target="mailto:papies@email.it" TargetMode="External" Type="http://schemas.openxmlformats.org/officeDocument/2006/relationships/hyperlink"/>
<Relationship Id="rId364" Target="mailto:papies@email.it" TargetMode="External" Type="http://schemas.openxmlformats.org/officeDocument/2006/relationships/hyperlink"/>
<Relationship Id="rId365" Target="mailto:papies@email.it" TargetMode="External" Type="http://schemas.openxmlformats.org/officeDocument/2006/relationships/hyperlink"/>
<Relationship Id="rId366" Target="mailto:papies@email.it" TargetMode="External" Type="http://schemas.openxmlformats.org/officeDocument/2006/relationships/hyperlink"/>
<Relationship Id="rId367" Target="mailto:papies@email.it" TargetMode="External" Type="http://schemas.openxmlformats.org/officeDocument/2006/relationships/hyperlink"/>
<Relationship Id="rId368" Target="mailto:papies@email.it" TargetMode="External" Type="http://schemas.openxmlformats.org/officeDocument/2006/relationships/hyperlink"/>
<Relationship Id="rId369" Target="mailto:papies@email.it" TargetMode="External" Type="http://schemas.openxmlformats.org/officeDocument/2006/relationships/hyperlink"/>
<Relationship Id="rId37" Target="mailto:papies@libero.it" TargetMode="External" Type="http://schemas.openxmlformats.org/officeDocument/2006/relationships/hyperlink"/>
<Relationship Id="rId370" Target="mailto:papies@email.it" TargetMode="External" Type="http://schemas.openxmlformats.org/officeDocument/2006/relationships/hyperlink"/>
<Relationship Id="rId371" Target="mailto:papies@email.it" TargetMode="External" Type="http://schemas.openxmlformats.org/officeDocument/2006/relationships/hyperlink"/>
<Relationship Id="rId372" Target="mailto:papies@email.it" TargetMode="External" Type="http://schemas.openxmlformats.org/officeDocument/2006/relationships/hyperlink"/>
<Relationship Id="rId373" Target="mailto:papies@email.it" TargetMode="External" Type="http://schemas.openxmlformats.org/officeDocument/2006/relationships/hyperlink"/>
<Relationship Id="rId374" Target="mailto:papies@email.it" TargetMode="External" Type="http://schemas.openxmlformats.org/officeDocument/2006/relationships/hyperlink"/>
<Relationship Id="rId375" Target="mailto:papies@email.it" TargetMode="External" Type="http://schemas.openxmlformats.org/officeDocument/2006/relationships/hyperlink"/>
<Relationship Id="rId376" Target="mailto:papies@email.it" TargetMode="External" Type="http://schemas.openxmlformats.org/officeDocument/2006/relationships/hyperlink"/>
<Relationship Id="rId377" Target="mailto:papies@email.it" TargetMode="External" Type="http://schemas.openxmlformats.org/officeDocument/2006/relationships/hyperlink"/>
<Relationship Id="rId378" Target="mailto:papies@email.it" TargetMode="External" Type="http://schemas.openxmlformats.org/officeDocument/2006/relationships/hyperlink"/>
<Relationship Id="rId379" Target="mailto:papies@email.it" TargetMode="External" Type="http://schemas.openxmlformats.org/officeDocument/2006/relationships/hyperlink"/>
<Relationship Id="rId38" Target="mailto:papies@libero.it" TargetMode="External" Type="http://schemas.openxmlformats.org/officeDocument/2006/relationships/hyperlink"/>
<Relationship Id="rId380" Target="mailto:papies@email.it" TargetMode="External" Type="http://schemas.openxmlformats.org/officeDocument/2006/relationships/hyperlink"/>
<Relationship Id="rId381" Target="mailto:papies@email.it" TargetMode="External" Type="http://schemas.openxmlformats.org/officeDocument/2006/relationships/hyperlink"/>
<Relationship Id="rId382" Target="mailto:papies@email.it" TargetMode="External" Type="http://schemas.openxmlformats.org/officeDocument/2006/relationships/hyperlink"/>
<Relationship Id="rId383" Target="mailto:papies@email.it" TargetMode="External" Type="http://schemas.openxmlformats.org/officeDocument/2006/relationships/hyperlink"/>
<Relationship Id="rId384" Target="mailto:papies@email.it" TargetMode="External" Type="http://schemas.openxmlformats.org/officeDocument/2006/relationships/hyperlink"/>
<Relationship Id="rId385" Target="mailto:papies@email.it" TargetMode="External" Type="http://schemas.openxmlformats.org/officeDocument/2006/relationships/hyperlink"/>
<Relationship Id="rId386" Target="mailto:papies@email.it" TargetMode="External" Type="http://schemas.openxmlformats.org/officeDocument/2006/relationships/hyperlink"/>
<Relationship Id="rId387" Target="mailto:papies@email.it" TargetMode="External" Type="http://schemas.openxmlformats.org/officeDocument/2006/relationships/hyperlink"/>
<Relationship Id="rId388" Target="mailto:papies@email.it" TargetMode="External" Type="http://schemas.openxmlformats.org/officeDocument/2006/relationships/hyperlink"/>
<Relationship Id="rId389" Target="mailto:papies@email.it" TargetMode="External" Type="http://schemas.openxmlformats.org/officeDocument/2006/relationships/hyperlink"/>
<Relationship Id="rId39" Target="mailto:papies@libero.it" TargetMode="External" Type="http://schemas.openxmlformats.org/officeDocument/2006/relationships/hyperlink"/>
<Relationship Id="rId390" Target="mailto:papies@email.it" TargetMode="External" Type="http://schemas.openxmlformats.org/officeDocument/2006/relationships/hyperlink"/>
<Relationship Id="rId391" Target="mailto:papies@email.it" TargetMode="External" Type="http://schemas.openxmlformats.org/officeDocument/2006/relationships/hyperlink"/>
<Relationship Id="rId392" Target="mailto:papies@email.it" TargetMode="External" Type="http://schemas.openxmlformats.org/officeDocument/2006/relationships/hyperlink"/>
<Relationship Id="rId393" Target="mailto:papies@email.it" TargetMode="External" Type="http://schemas.openxmlformats.org/officeDocument/2006/relationships/hyperlink"/>
<Relationship Id="rId394" Target="mailto:papies@email.it" TargetMode="External" Type="http://schemas.openxmlformats.org/officeDocument/2006/relationships/hyperlink"/>
<Relationship Id="rId395" Target="mailto:papies@email.it" TargetMode="External" Type="http://schemas.openxmlformats.org/officeDocument/2006/relationships/hyperlink"/>
<Relationship Id="rId396" Target="mailto:papies@email.it" TargetMode="External" Type="http://schemas.openxmlformats.org/officeDocument/2006/relationships/hyperlink"/>
<Relationship Id="rId397" Target="mailto:papies@email.it" TargetMode="External" Type="http://schemas.openxmlformats.org/officeDocument/2006/relationships/hyperlink"/>
<Relationship Id="rId398" Target="mailto:papies@email.it" TargetMode="External" Type="http://schemas.openxmlformats.org/officeDocument/2006/relationships/hyperlink"/>
<Relationship Id="rId399" Target="mailto:papies@email.it" TargetMode="External" Type="http://schemas.openxmlformats.org/officeDocument/2006/relationships/hyperlink"/>
<Relationship Id="rId4" Target="mailto:papies@libero.it" TargetMode="External" Type="http://schemas.openxmlformats.org/officeDocument/2006/relationships/hyperlink"/>
<Relationship Id="rId40" Target="mailto:papies@libero.it" TargetMode="External" Type="http://schemas.openxmlformats.org/officeDocument/2006/relationships/hyperlink"/>
<Relationship Id="rId400" Target="mailto:papies@email.it" TargetMode="External" Type="http://schemas.openxmlformats.org/officeDocument/2006/relationships/hyperlink"/>
<Relationship Id="rId401" Target="mailto:papies@email.it" TargetMode="External" Type="http://schemas.openxmlformats.org/officeDocument/2006/relationships/hyperlink"/>
<Relationship Id="rId402" Target="mailto:papies@email.it" TargetMode="External" Type="http://schemas.openxmlformats.org/officeDocument/2006/relationships/hyperlink"/>
<Relationship Id="rId403" Target="mailto:papies@email.it" TargetMode="External" Type="http://schemas.openxmlformats.org/officeDocument/2006/relationships/hyperlink"/>
<Relationship Id="rId404" Target="mailto:papies@email.it" TargetMode="External" Type="http://schemas.openxmlformats.org/officeDocument/2006/relationships/hyperlink"/>
<Relationship Id="rId405" Target="mailto:papies@email.it" TargetMode="External" Type="http://schemas.openxmlformats.org/officeDocument/2006/relationships/hyperlink"/>
<Relationship Id="rId406" Target="mailto:papies@email.it" TargetMode="External" Type="http://schemas.openxmlformats.org/officeDocument/2006/relationships/hyperlink"/>
<Relationship Id="rId407" Target="mailto:papies@email.it" TargetMode="External" Type="http://schemas.openxmlformats.org/officeDocument/2006/relationships/hyperlink"/>
<Relationship Id="rId408" Target="mailto:papies@email.it" TargetMode="External" Type="http://schemas.openxmlformats.org/officeDocument/2006/relationships/hyperlink"/>
<Relationship Id="rId409" Target="mailto:papies@email.it" TargetMode="External" Type="http://schemas.openxmlformats.org/officeDocument/2006/relationships/hyperlink"/>
<Relationship Id="rId41" Target="mailto:papies@libero.it" TargetMode="External" Type="http://schemas.openxmlformats.org/officeDocument/2006/relationships/hyperlink"/>
<Relationship Id="rId410" Target="mailto:papies@email.it" TargetMode="External" Type="http://schemas.openxmlformats.org/officeDocument/2006/relationships/hyperlink"/>
<Relationship Id="rId411" Target="mailto:papies@email.it" TargetMode="External" Type="http://schemas.openxmlformats.org/officeDocument/2006/relationships/hyperlink"/>
<Relationship Id="rId412" Target="mailto:papies@email.it" TargetMode="External" Type="http://schemas.openxmlformats.org/officeDocument/2006/relationships/hyperlink"/>
<Relationship Id="rId413" Target="mailto:papies@email.it" TargetMode="External" Type="http://schemas.openxmlformats.org/officeDocument/2006/relationships/hyperlink"/>
<Relationship Id="rId414" Target="mailto:papies@email.it" TargetMode="External" Type="http://schemas.openxmlformats.org/officeDocument/2006/relationships/hyperlink"/>
<Relationship Id="rId415" Target="mailto:papies@email.it" TargetMode="External" Type="http://schemas.openxmlformats.org/officeDocument/2006/relationships/hyperlink"/>
<Relationship Id="rId416" Target="mailto:papies@email.it" TargetMode="External" Type="http://schemas.openxmlformats.org/officeDocument/2006/relationships/hyperlink"/>
<Relationship Id="rId417" Target="mailto:papies@email.it" TargetMode="External" Type="http://schemas.openxmlformats.org/officeDocument/2006/relationships/hyperlink"/>
<Relationship Id="rId418" Target="mailto:papies@email.it" TargetMode="External" Type="http://schemas.openxmlformats.org/officeDocument/2006/relationships/hyperlink"/>
<Relationship Id="rId419" Target="mailto:papies@email.it" TargetMode="External" Type="http://schemas.openxmlformats.org/officeDocument/2006/relationships/hyperlink"/>
<Relationship Id="rId42" Target="mailto:papies@libero.it" TargetMode="External" Type="http://schemas.openxmlformats.org/officeDocument/2006/relationships/hyperlink"/>
<Relationship Id="rId420" Target="mailto:papies@email.it" TargetMode="External" Type="http://schemas.openxmlformats.org/officeDocument/2006/relationships/hyperlink"/>
<Relationship Id="rId421" Target="mailto:papies@email.it" TargetMode="External" Type="http://schemas.openxmlformats.org/officeDocument/2006/relationships/hyperlink"/>
<Relationship Id="rId422" Target="mailto:papies@email.it" TargetMode="External" Type="http://schemas.openxmlformats.org/officeDocument/2006/relationships/hyperlink"/>
<Relationship Id="rId423" Target="mailto:papies@email.it" TargetMode="External" Type="http://schemas.openxmlformats.org/officeDocument/2006/relationships/hyperlink"/>
<Relationship Id="rId424" Target="mailto:papies@email.it" TargetMode="External" Type="http://schemas.openxmlformats.org/officeDocument/2006/relationships/hyperlink"/>
<Relationship Id="rId425" Target="mailto:papies@email.it" TargetMode="External" Type="http://schemas.openxmlformats.org/officeDocument/2006/relationships/hyperlink"/>
<Relationship Id="rId426" Target="mailto:papies@email.it" TargetMode="External" Type="http://schemas.openxmlformats.org/officeDocument/2006/relationships/hyperlink"/>
<Relationship Id="rId427" Target="mailto:papies@email.it" TargetMode="External" Type="http://schemas.openxmlformats.org/officeDocument/2006/relationships/hyperlink"/>
<Relationship Id="rId428" Target="mailto:papies@email.it" TargetMode="External" Type="http://schemas.openxmlformats.org/officeDocument/2006/relationships/hyperlink"/>
<Relationship Id="rId429" Target="mailto:papies@libero.it" TargetMode="External" Type="http://schemas.openxmlformats.org/officeDocument/2006/relationships/hyperlink"/>
<Relationship Id="rId43" Target="mailto:papies@libero.it" TargetMode="External" Type="http://schemas.openxmlformats.org/officeDocument/2006/relationships/hyperlink"/>
<Relationship Id="rId430" Target="mailto:papies@libero.it" TargetMode="External" Type="http://schemas.openxmlformats.org/officeDocument/2006/relationships/hyperlink"/>
<Relationship Id="rId431" Target="mailto:papies@libero.it" TargetMode="External" Type="http://schemas.openxmlformats.org/officeDocument/2006/relationships/hyperlink"/>
<Relationship Id="rId432" Target="mailto:papies@libero.it" TargetMode="External" Type="http://schemas.openxmlformats.org/officeDocument/2006/relationships/hyperlink"/>
<Relationship Id="rId433" Target="mailto:papies@libero.it" TargetMode="External" Type="http://schemas.openxmlformats.org/officeDocument/2006/relationships/hyperlink"/>
<Relationship Id="rId434" Target="mailto:papies@libero.it" TargetMode="External" Type="http://schemas.openxmlformats.org/officeDocument/2006/relationships/hyperlink"/>
<Relationship Id="rId435" Target="mailto:papies@libero.it" TargetMode="External" Type="http://schemas.openxmlformats.org/officeDocument/2006/relationships/hyperlink"/>
<Relationship Id="rId436" Target="mailto:papies@libero.it" TargetMode="External" Type="http://schemas.openxmlformats.org/officeDocument/2006/relationships/hyperlink"/>
<Relationship Id="rId437" Target="mailto:papies@libero.it" TargetMode="External" Type="http://schemas.openxmlformats.org/officeDocument/2006/relationships/hyperlink"/>
<Relationship Id="rId438" Target="mailto:papies@libero.it" TargetMode="External" Type="http://schemas.openxmlformats.org/officeDocument/2006/relationships/hyperlink"/>
<Relationship Id="rId439" Target="mailto:papies@libero.it" TargetMode="External" Type="http://schemas.openxmlformats.org/officeDocument/2006/relationships/hyperlink"/>
<Relationship Id="rId44" Target="mailto:papies@libero.it" TargetMode="External" Type="http://schemas.openxmlformats.org/officeDocument/2006/relationships/hyperlink"/>
<Relationship Id="rId440" Target="mailto:papies@libero.it" TargetMode="External" Type="http://schemas.openxmlformats.org/officeDocument/2006/relationships/hyperlink"/>
<Relationship Id="rId441" Target="mailto:papies@libero.it" TargetMode="External" Type="http://schemas.openxmlformats.org/officeDocument/2006/relationships/hyperlink"/>
<Relationship Id="rId442" Target="mailto:papies@libero.it" TargetMode="External" Type="http://schemas.openxmlformats.org/officeDocument/2006/relationships/hyperlink"/>
<Relationship Id="rId443" Target="mailto:papies@libero.it" TargetMode="External" Type="http://schemas.openxmlformats.org/officeDocument/2006/relationships/hyperlink"/>
<Relationship Id="rId444" Target="mailto:papies@libero.it" TargetMode="External" Type="http://schemas.openxmlformats.org/officeDocument/2006/relationships/hyperlink"/>
<Relationship Id="rId445" Target="mailto:papies@libero.it" TargetMode="External" Type="http://schemas.openxmlformats.org/officeDocument/2006/relationships/hyperlink"/>
<Relationship Id="rId446" Target="mailto:papies@libero.it" TargetMode="External" Type="http://schemas.openxmlformats.org/officeDocument/2006/relationships/hyperlink"/>
<Relationship Id="rId447" Target="mailto:papies@libero.it" TargetMode="External" Type="http://schemas.openxmlformats.org/officeDocument/2006/relationships/hyperlink"/>
<Relationship Id="rId448" Target="mailto:papies@libero.it" TargetMode="External" Type="http://schemas.openxmlformats.org/officeDocument/2006/relationships/hyperlink"/>
<Relationship Id="rId449" Target="mailto:papies@libero.it" TargetMode="External" Type="http://schemas.openxmlformats.org/officeDocument/2006/relationships/hyperlink"/>
<Relationship Id="rId45" Target="mailto:papies@libero.it" TargetMode="External" Type="http://schemas.openxmlformats.org/officeDocument/2006/relationships/hyperlink"/>
<Relationship Id="rId450" Target="mailto:papies@libero.it" TargetMode="External" Type="http://schemas.openxmlformats.org/officeDocument/2006/relationships/hyperlink"/>
<Relationship Id="rId451" Target="mailto:papies@libero.it" TargetMode="External" Type="http://schemas.openxmlformats.org/officeDocument/2006/relationships/hyperlink"/>
<Relationship Id="rId452" Target="mailto:papies@libero.it" TargetMode="External" Type="http://schemas.openxmlformats.org/officeDocument/2006/relationships/hyperlink"/>
<Relationship Id="rId453" Target="mailto:papies@libero.it" TargetMode="External" Type="http://schemas.openxmlformats.org/officeDocument/2006/relationships/hyperlink"/>
<Relationship Id="rId454" Target="mailto:papies@libero.it" TargetMode="External" Type="http://schemas.openxmlformats.org/officeDocument/2006/relationships/hyperlink"/>
<Relationship Id="rId455" Target="mailto:papies@libero.it" TargetMode="External" Type="http://schemas.openxmlformats.org/officeDocument/2006/relationships/hyperlink"/>
<Relationship Id="rId456" Target="mailto:papies@libero.it" TargetMode="External" Type="http://schemas.openxmlformats.org/officeDocument/2006/relationships/hyperlink"/>
<Relationship Id="rId457" Target="mailto:papies@libero.it" TargetMode="External" Type="http://schemas.openxmlformats.org/officeDocument/2006/relationships/hyperlink"/>
<Relationship Id="rId458" Target="mailto:papies@libero.it" TargetMode="External" Type="http://schemas.openxmlformats.org/officeDocument/2006/relationships/hyperlink"/>
<Relationship Id="rId459" Target="mailto:papies@libero.it" TargetMode="External" Type="http://schemas.openxmlformats.org/officeDocument/2006/relationships/hyperlink"/>
<Relationship Id="rId46" Target="mailto:papies@libero.it" TargetMode="External" Type="http://schemas.openxmlformats.org/officeDocument/2006/relationships/hyperlink"/>
<Relationship Id="rId460" Target="mailto:papies@libero.it" TargetMode="External" Type="http://schemas.openxmlformats.org/officeDocument/2006/relationships/hyperlink"/>
<Relationship Id="rId461" Target="mailto:papies@libero.it" TargetMode="External" Type="http://schemas.openxmlformats.org/officeDocument/2006/relationships/hyperlink"/>
<Relationship Id="rId462" Target="mailto:papies@libero.it" TargetMode="External" Type="http://schemas.openxmlformats.org/officeDocument/2006/relationships/hyperlink"/>
<Relationship Id="rId463" Target="mailto:papies@libero.it" TargetMode="External" Type="http://schemas.openxmlformats.org/officeDocument/2006/relationships/hyperlink"/>
<Relationship Id="rId464" Target="mailto:papies@libero.it" TargetMode="External" Type="http://schemas.openxmlformats.org/officeDocument/2006/relationships/hyperlink"/>
<Relationship Id="rId465" Target="mailto:papies@libero.it" TargetMode="External" Type="http://schemas.openxmlformats.org/officeDocument/2006/relationships/hyperlink"/>
<Relationship Id="rId466" Target="mailto:papies@libero.it" TargetMode="External" Type="http://schemas.openxmlformats.org/officeDocument/2006/relationships/hyperlink"/>
<Relationship Id="rId467" Target="mailto:papies@libero.it" TargetMode="External" Type="http://schemas.openxmlformats.org/officeDocument/2006/relationships/hyperlink"/>
<Relationship Id="rId468" Target="mailto:papies@libero.it" TargetMode="External" Type="http://schemas.openxmlformats.org/officeDocument/2006/relationships/hyperlink"/>
<Relationship Id="rId469" Target="mailto:papies@libero.it" TargetMode="External" Type="http://schemas.openxmlformats.org/officeDocument/2006/relationships/hyperlink"/>
<Relationship Id="rId47" Target="mailto:papies@libero.it" TargetMode="External" Type="http://schemas.openxmlformats.org/officeDocument/2006/relationships/hyperlink"/>
<Relationship Id="rId470" Target="mailto:papies@libero.it" TargetMode="External" Type="http://schemas.openxmlformats.org/officeDocument/2006/relationships/hyperlink"/>
<Relationship Id="rId471" Target="mailto:papies@libero.it" TargetMode="External" Type="http://schemas.openxmlformats.org/officeDocument/2006/relationships/hyperlink"/>
<Relationship Id="rId472" Target="mailto:papies@libero.it" TargetMode="External" Type="http://schemas.openxmlformats.org/officeDocument/2006/relationships/hyperlink"/>
<Relationship Id="rId473" Target="mailto:papies@libero.it" TargetMode="External" Type="http://schemas.openxmlformats.org/officeDocument/2006/relationships/hyperlink"/>
<Relationship Id="rId474" Target="mailto:papies@libero.it" TargetMode="External" Type="http://schemas.openxmlformats.org/officeDocument/2006/relationships/hyperlink"/>
<Relationship Id="rId475" Target="mailto:papies@libero.it" TargetMode="External" Type="http://schemas.openxmlformats.org/officeDocument/2006/relationships/hyperlink"/>
<Relationship Id="rId476" Target="mailto:papies@libero.it" TargetMode="External" Type="http://schemas.openxmlformats.org/officeDocument/2006/relationships/hyperlink"/>
<Relationship Id="rId477" Target="mailto:papies@libero.it" TargetMode="External" Type="http://schemas.openxmlformats.org/officeDocument/2006/relationships/hyperlink"/>
<Relationship Id="rId478" Target="mailto:papies@libero.it" TargetMode="External" Type="http://schemas.openxmlformats.org/officeDocument/2006/relationships/hyperlink"/>
<Relationship Id="rId479" Target="mailto:papies@libero.it" TargetMode="External" Type="http://schemas.openxmlformats.org/officeDocument/2006/relationships/hyperlink"/>
<Relationship Id="rId48" Target="mailto:papies@libero.it" TargetMode="External" Type="http://schemas.openxmlformats.org/officeDocument/2006/relationships/hyperlink"/>
<Relationship Id="rId480" Target="mailto:papies@libero.it" TargetMode="External" Type="http://schemas.openxmlformats.org/officeDocument/2006/relationships/hyperlink"/>
<Relationship Id="rId481" Target="mailto:papies@libero.it" TargetMode="External" Type="http://schemas.openxmlformats.org/officeDocument/2006/relationships/hyperlink"/>
<Relationship Id="rId482" Target="mailto:papies@libero.it" TargetMode="External" Type="http://schemas.openxmlformats.org/officeDocument/2006/relationships/hyperlink"/>
<Relationship Id="rId483" Target="mailto:papies@libero.it" TargetMode="External" Type="http://schemas.openxmlformats.org/officeDocument/2006/relationships/hyperlink"/>
<Relationship Id="rId484" Target="mailto:papies@libero.it" TargetMode="External" Type="http://schemas.openxmlformats.org/officeDocument/2006/relationships/hyperlink"/>
<Relationship Id="rId485" Target="mailto:papies@libero.it" TargetMode="External" Type="http://schemas.openxmlformats.org/officeDocument/2006/relationships/hyperlink"/>
<Relationship Id="rId486" Target="mailto:papies@libero.it" TargetMode="External" Type="http://schemas.openxmlformats.org/officeDocument/2006/relationships/hyperlink"/>
<Relationship Id="rId487" Target="mailto:papies@libero.it" TargetMode="External" Type="http://schemas.openxmlformats.org/officeDocument/2006/relationships/hyperlink"/>
<Relationship Id="rId488" Target="mailto:papies@libero.it" TargetMode="External" Type="http://schemas.openxmlformats.org/officeDocument/2006/relationships/hyperlink"/>
<Relationship Id="rId489" Target="mailto:papies@libero.it" TargetMode="External" Type="http://schemas.openxmlformats.org/officeDocument/2006/relationships/hyperlink"/>
<Relationship Id="rId49" Target="mailto:papies@libero.it" TargetMode="External" Type="http://schemas.openxmlformats.org/officeDocument/2006/relationships/hyperlink"/>
<Relationship Id="rId490" Target="mailto:papies@libero.it" TargetMode="External" Type="http://schemas.openxmlformats.org/officeDocument/2006/relationships/hyperlink"/>
<Relationship Id="rId491" Target="mailto:papies@libero.it" TargetMode="External" Type="http://schemas.openxmlformats.org/officeDocument/2006/relationships/hyperlink"/>
<Relationship Id="rId492" Target="mailto:papies@libero.it" TargetMode="External" Type="http://schemas.openxmlformats.org/officeDocument/2006/relationships/hyperlink"/>
<Relationship Id="rId493" Target="mailto:papies@libero.it" TargetMode="External" Type="http://schemas.openxmlformats.org/officeDocument/2006/relationships/hyperlink"/>
<Relationship Id="rId494" Target="mailto:papies@libero.it" TargetMode="External" Type="http://schemas.openxmlformats.org/officeDocument/2006/relationships/hyperlink"/>
<Relationship Id="rId495" Target="mailto:papies@libero.it" TargetMode="External" Type="http://schemas.openxmlformats.org/officeDocument/2006/relationships/hyperlink"/>
<Relationship Id="rId496" Target="mailto:papies@libero.it" TargetMode="External" Type="http://schemas.openxmlformats.org/officeDocument/2006/relationships/hyperlink"/>
<Relationship Id="rId497" Target="mailto:papies@libero.it" TargetMode="External" Type="http://schemas.openxmlformats.org/officeDocument/2006/relationships/hyperlink"/>
<Relationship Id="rId498" Target="mailto:papies@libero.it" TargetMode="External" Type="http://schemas.openxmlformats.org/officeDocument/2006/relationships/hyperlink"/>
<Relationship Id="rId499" Target="mailto:papies@libero.it" TargetMode="External" Type="http://schemas.openxmlformats.org/officeDocument/2006/relationships/hyperlink"/>
<Relationship Id="rId5" Target="mailto:papies@libero.it" TargetMode="External" Type="http://schemas.openxmlformats.org/officeDocument/2006/relationships/hyperlink"/>
<Relationship Id="rId50" Target="mailto:papies@libero.it" TargetMode="External" Type="http://schemas.openxmlformats.org/officeDocument/2006/relationships/hyperlink"/>
<Relationship Id="rId500" Target="mailto:papies@libero.it" TargetMode="External" Type="http://schemas.openxmlformats.org/officeDocument/2006/relationships/hyperlink"/>
<Relationship Id="rId501" Target="mailto:papies@libero.it" TargetMode="External" Type="http://schemas.openxmlformats.org/officeDocument/2006/relationships/hyperlink"/>
<Relationship Id="rId502" Target="mailto:papies@libero.it" TargetMode="External" Type="http://schemas.openxmlformats.org/officeDocument/2006/relationships/hyperlink"/>
<Relationship Id="rId503" Target="mailto:papies@libero.it" TargetMode="External" Type="http://schemas.openxmlformats.org/officeDocument/2006/relationships/hyperlink"/>
<Relationship Id="rId504" Target="mailto:papies@libero.it" TargetMode="External" Type="http://schemas.openxmlformats.org/officeDocument/2006/relationships/hyperlink"/>
<Relationship Id="rId505" Target="mailto:papies@libero.it" TargetMode="External" Type="http://schemas.openxmlformats.org/officeDocument/2006/relationships/hyperlink"/>
<Relationship Id="rId506" Target="mailto:papies@libero.it" TargetMode="External" Type="http://schemas.openxmlformats.org/officeDocument/2006/relationships/hyperlink"/>
<Relationship Id="rId507" Target="mailto:papies@libero.it" TargetMode="External" Type="http://schemas.openxmlformats.org/officeDocument/2006/relationships/hyperlink"/>
<Relationship Id="rId508" Target="mailto:papies@libero.it" TargetMode="External" Type="http://schemas.openxmlformats.org/officeDocument/2006/relationships/hyperlink"/>
<Relationship Id="rId509" Target="mailto:papies@libero.it" TargetMode="External" Type="http://schemas.openxmlformats.org/officeDocument/2006/relationships/hyperlink"/>
<Relationship Id="rId51" Target="mailto:papies@libero.it" TargetMode="External" Type="http://schemas.openxmlformats.org/officeDocument/2006/relationships/hyperlink"/>
<Relationship Id="rId510" Target="mailto:papies@libero.it" TargetMode="External" Type="http://schemas.openxmlformats.org/officeDocument/2006/relationships/hyperlink"/>
<Relationship Id="rId511" Target="mailto:papies@libero.it" TargetMode="External" Type="http://schemas.openxmlformats.org/officeDocument/2006/relationships/hyperlink"/>
<Relationship Id="rId512" Target="mailto:papies@libero.it" TargetMode="External" Type="http://schemas.openxmlformats.org/officeDocument/2006/relationships/hyperlink"/>
<Relationship Id="rId513" Target="mailto:papies@libero.it" TargetMode="External" Type="http://schemas.openxmlformats.org/officeDocument/2006/relationships/hyperlink"/>
<Relationship Id="rId514" Target="mailto:papies@libero.it" TargetMode="External" Type="http://schemas.openxmlformats.org/officeDocument/2006/relationships/hyperlink"/>
<Relationship Id="rId515" Target="mailto:papies@libero.it" TargetMode="External" Type="http://schemas.openxmlformats.org/officeDocument/2006/relationships/hyperlink"/>
<Relationship Id="rId516" Target="mailto:papies@libero.it" TargetMode="External" Type="http://schemas.openxmlformats.org/officeDocument/2006/relationships/hyperlink"/>
<Relationship Id="rId517" Target="mailto:papies@libero.it" TargetMode="External" Type="http://schemas.openxmlformats.org/officeDocument/2006/relationships/hyperlink"/>
<Relationship Id="rId518" Target="mailto:papies@libero.it" TargetMode="External" Type="http://schemas.openxmlformats.org/officeDocument/2006/relationships/hyperlink"/>
<Relationship Id="rId519" Target="mailto:papies@libero.it" TargetMode="External" Type="http://schemas.openxmlformats.org/officeDocument/2006/relationships/hyperlink"/>
<Relationship Id="rId52" Target="mailto:papies@libero.it" TargetMode="External" Type="http://schemas.openxmlformats.org/officeDocument/2006/relationships/hyperlink"/>
<Relationship Id="rId520" Target="mailto:papies@libero.it" TargetMode="External" Type="http://schemas.openxmlformats.org/officeDocument/2006/relationships/hyperlink"/>
<Relationship Id="rId521" Target="mailto:papies@libero.it" TargetMode="External" Type="http://schemas.openxmlformats.org/officeDocument/2006/relationships/hyperlink"/>
<Relationship Id="rId522" Target="mailto:papies@libero.it" TargetMode="External" Type="http://schemas.openxmlformats.org/officeDocument/2006/relationships/hyperlink"/>
<Relationship Id="rId523" Target="mailto:papies@libero.it" TargetMode="External" Type="http://schemas.openxmlformats.org/officeDocument/2006/relationships/hyperlink"/>
<Relationship Id="rId524" Target="mailto:papies@libero.it" TargetMode="External" Type="http://schemas.openxmlformats.org/officeDocument/2006/relationships/hyperlink"/>
<Relationship Id="rId525" Target="mailto:papies@libero.it" TargetMode="External" Type="http://schemas.openxmlformats.org/officeDocument/2006/relationships/hyperlink"/>
<Relationship Id="rId526" Target="mailto:papies@libero.it" TargetMode="External" Type="http://schemas.openxmlformats.org/officeDocument/2006/relationships/hyperlink"/>
<Relationship Id="rId527" Target="mailto:papies@libero.it" TargetMode="External" Type="http://schemas.openxmlformats.org/officeDocument/2006/relationships/hyperlink"/>
<Relationship Id="rId528" Target="mailto:papies@libero.it" TargetMode="External" Type="http://schemas.openxmlformats.org/officeDocument/2006/relationships/hyperlink"/>
<Relationship Id="rId529" Target="mailto:papies@libero.it" TargetMode="External" Type="http://schemas.openxmlformats.org/officeDocument/2006/relationships/hyperlink"/>
<Relationship Id="rId53" Target="mailto:papies@libero.it" TargetMode="External" Type="http://schemas.openxmlformats.org/officeDocument/2006/relationships/hyperlink"/>
<Relationship Id="rId530" Target="mailto:papies@libero.it" TargetMode="External" Type="http://schemas.openxmlformats.org/officeDocument/2006/relationships/hyperlink"/>
<Relationship Id="rId531" Target="mailto:papies@libero.it" TargetMode="External" Type="http://schemas.openxmlformats.org/officeDocument/2006/relationships/hyperlink"/>
<Relationship Id="rId532" Target="mailto:papies@libero.it" TargetMode="External" Type="http://schemas.openxmlformats.org/officeDocument/2006/relationships/hyperlink"/>
<Relationship Id="rId533" Target="mailto:papies@libero.it" TargetMode="External" Type="http://schemas.openxmlformats.org/officeDocument/2006/relationships/hyperlink"/>
<Relationship Id="rId534" Target="mailto:papies@libero.it" TargetMode="External" Type="http://schemas.openxmlformats.org/officeDocument/2006/relationships/hyperlink"/>
<Relationship Id="rId535" Target="mailto:papies@libero.it" TargetMode="External" Type="http://schemas.openxmlformats.org/officeDocument/2006/relationships/hyperlink"/>
<Relationship Id="rId536" Target="mailto:papies@libero.it" TargetMode="External" Type="http://schemas.openxmlformats.org/officeDocument/2006/relationships/hyperlink"/>
<Relationship Id="rId537" Target="mailto:papies@libero.it" TargetMode="External" Type="http://schemas.openxmlformats.org/officeDocument/2006/relationships/hyperlink"/>
<Relationship Id="rId538" Target="mailto:papies@libero.it" TargetMode="External" Type="http://schemas.openxmlformats.org/officeDocument/2006/relationships/hyperlink"/>
<Relationship Id="rId539" Target="mailto:papies@libero.it" TargetMode="External" Type="http://schemas.openxmlformats.org/officeDocument/2006/relationships/hyperlink"/>
<Relationship Id="rId54" Target="mailto:papies@libero.it" TargetMode="External" Type="http://schemas.openxmlformats.org/officeDocument/2006/relationships/hyperlink"/>
<Relationship Id="rId540" Target="mailto:papies@libero.it" TargetMode="External" Type="http://schemas.openxmlformats.org/officeDocument/2006/relationships/hyperlink"/>
<Relationship Id="rId541" Target="mailto:papies@libero.it" TargetMode="External" Type="http://schemas.openxmlformats.org/officeDocument/2006/relationships/hyperlink"/>
<Relationship Id="rId542" Target="mailto:papies@libero.it" TargetMode="External" Type="http://schemas.openxmlformats.org/officeDocument/2006/relationships/hyperlink"/>
<Relationship Id="rId543" Target="mailto:papies@libero.it" TargetMode="External" Type="http://schemas.openxmlformats.org/officeDocument/2006/relationships/hyperlink"/>
<Relationship Id="rId544" Target="mailto:papies@libero.it" TargetMode="External" Type="http://schemas.openxmlformats.org/officeDocument/2006/relationships/hyperlink"/>
<Relationship Id="rId545" Target="mailto:papies@libero.it" TargetMode="External" Type="http://schemas.openxmlformats.org/officeDocument/2006/relationships/hyperlink"/>
<Relationship Id="rId546" Target="mailto:papies@libero.it" TargetMode="External" Type="http://schemas.openxmlformats.org/officeDocument/2006/relationships/hyperlink"/>
<Relationship Id="rId547" Target="mailto:papies@libero.it" TargetMode="External" Type="http://schemas.openxmlformats.org/officeDocument/2006/relationships/hyperlink"/>
<Relationship Id="rId548" Target="mailto:papies@libero.it" TargetMode="External" Type="http://schemas.openxmlformats.org/officeDocument/2006/relationships/hyperlink"/>
<Relationship Id="rId549" Target="mailto:papies@libero.it" TargetMode="External" Type="http://schemas.openxmlformats.org/officeDocument/2006/relationships/hyperlink"/>
<Relationship Id="rId55" Target="mailto:papies@libero.it" TargetMode="External" Type="http://schemas.openxmlformats.org/officeDocument/2006/relationships/hyperlink"/>
<Relationship Id="rId550" Target="mailto:papies@libero.it" TargetMode="External" Type="http://schemas.openxmlformats.org/officeDocument/2006/relationships/hyperlink"/>
<Relationship Id="rId551" Target="mailto:papies@libero.it" TargetMode="External" Type="http://schemas.openxmlformats.org/officeDocument/2006/relationships/hyperlink"/>
<Relationship Id="rId552" Target="mailto:papies@libero.it" TargetMode="External" Type="http://schemas.openxmlformats.org/officeDocument/2006/relationships/hyperlink"/>
<Relationship Id="rId553" Target="mailto:papies@libero.it" TargetMode="External" Type="http://schemas.openxmlformats.org/officeDocument/2006/relationships/hyperlink"/>
<Relationship Id="rId554" Target="mailto:papies@libero.it" TargetMode="External" Type="http://schemas.openxmlformats.org/officeDocument/2006/relationships/hyperlink"/>
<Relationship Id="rId555" Target="mailto:papies@libero.it" TargetMode="External" Type="http://schemas.openxmlformats.org/officeDocument/2006/relationships/hyperlink"/>
<Relationship Id="rId556" Target="mailto:papies@libero.it" TargetMode="External" Type="http://schemas.openxmlformats.org/officeDocument/2006/relationships/hyperlink"/>
<Relationship Id="rId557" Target="mailto:papies@libero.it" TargetMode="External" Type="http://schemas.openxmlformats.org/officeDocument/2006/relationships/hyperlink"/>
<Relationship Id="rId558" Target="mailto:papies@libero.it" TargetMode="External" Type="http://schemas.openxmlformats.org/officeDocument/2006/relationships/hyperlink"/>
<Relationship Id="rId559" Target="mailto:papies@libero.it" TargetMode="External" Type="http://schemas.openxmlformats.org/officeDocument/2006/relationships/hyperlink"/>
<Relationship Id="rId56" Target="mailto:papies@libero.it" TargetMode="External" Type="http://schemas.openxmlformats.org/officeDocument/2006/relationships/hyperlink"/>
<Relationship Id="rId560" Target="mailto:papies@libero.it" TargetMode="External" Type="http://schemas.openxmlformats.org/officeDocument/2006/relationships/hyperlink"/>
<Relationship Id="rId561" Target="mailto:papies@libero.it" TargetMode="External" Type="http://schemas.openxmlformats.org/officeDocument/2006/relationships/hyperlink"/>
<Relationship Id="rId562" Target="mailto:papies@libero.it" TargetMode="External" Type="http://schemas.openxmlformats.org/officeDocument/2006/relationships/hyperlink"/>
<Relationship Id="rId563" Target="mailto:papies@libero.it" TargetMode="External" Type="http://schemas.openxmlformats.org/officeDocument/2006/relationships/hyperlink"/>
<Relationship Id="rId564" Target="mailto:papies@libero.it" TargetMode="External" Type="http://schemas.openxmlformats.org/officeDocument/2006/relationships/hyperlink"/>
<Relationship Id="rId565" Target="mailto:papies@libero.it" TargetMode="External" Type="http://schemas.openxmlformats.org/officeDocument/2006/relationships/hyperlink"/>
<Relationship Id="rId566" Target="mailto:papies@libero.it" TargetMode="External" Type="http://schemas.openxmlformats.org/officeDocument/2006/relationships/hyperlink"/>
<Relationship Id="rId567" Target="mailto:papies@libero.it" TargetMode="External" Type="http://schemas.openxmlformats.org/officeDocument/2006/relationships/hyperlink"/>
<Relationship Id="rId568" Target="mailto:papies@libero.it" TargetMode="External" Type="http://schemas.openxmlformats.org/officeDocument/2006/relationships/hyperlink"/>
<Relationship Id="rId569" Target="mailto:papies@libero.it" TargetMode="External" Type="http://schemas.openxmlformats.org/officeDocument/2006/relationships/hyperlink"/>
<Relationship Id="rId57" Target="mailto:papies@libero.it" TargetMode="External" Type="http://schemas.openxmlformats.org/officeDocument/2006/relationships/hyperlink"/>
<Relationship Id="rId570" Target="mailto:papies@libero.it" TargetMode="External" Type="http://schemas.openxmlformats.org/officeDocument/2006/relationships/hyperlink"/>
<Relationship Id="rId571" Target="mailto:papies@libero.it" TargetMode="External" Type="http://schemas.openxmlformats.org/officeDocument/2006/relationships/hyperlink"/>
<Relationship Id="rId572" Target="mailto:papies@libero.it" TargetMode="External" Type="http://schemas.openxmlformats.org/officeDocument/2006/relationships/hyperlink"/>
<Relationship Id="rId573" Target="mailto:papies@libero.it" TargetMode="External" Type="http://schemas.openxmlformats.org/officeDocument/2006/relationships/hyperlink"/>
<Relationship Id="rId574" Target="mailto:papies@libero.it" TargetMode="External" Type="http://schemas.openxmlformats.org/officeDocument/2006/relationships/hyperlink"/>
<Relationship Id="rId575" Target="mailto:papies@libero.it" TargetMode="External" Type="http://schemas.openxmlformats.org/officeDocument/2006/relationships/hyperlink"/>
<Relationship Id="rId576" Target="mailto:papies@libero.it" TargetMode="External" Type="http://schemas.openxmlformats.org/officeDocument/2006/relationships/hyperlink"/>
<Relationship Id="rId577" Target="mailto:papies@libero.it" TargetMode="External" Type="http://schemas.openxmlformats.org/officeDocument/2006/relationships/hyperlink"/>
<Relationship Id="rId578" Target="mailto:papies@libero.it" TargetMode="External" Type="http://schemas.openxmlformats.org/officeDocument/2006/relationships/hyperlink"/>
<Relationship Id="rId579" Target="mailto:papies@libero.it" TargetMode="External" Type="http://schemas.openxmlformats.org/officeDocument/2006/relationships/hyperlink"/>
<Relationship Id="rId58" Target="mailto:papies@libero.it" TargetMode="External" Type="http://schemas.openxmlformats.org/officeDocument/2006/relationships/hyperlink"/>
<Relationship Id="rId580" Target="mailto:papies@libero.it" TargetMode="External" Type="http://schemas.openxmlformats.org/officeDocument/2006/relationships/hyperlink"/>
<Relationship Id="rId581" Target="mailto:papies@libero.it" TargetMode="External" Type="http://schemas.openxmlformats.org/officeDocument/2006/relationships/hyperlink"/>
<Relationship Id="rId582" Target="mailto:papies@libero.it" TargetMode="External" Type="http://schemas.openxmlformats.org/officeDocument/2006/relationships/hyperlink"/>
<Relationship Id="rId583" Target="mailto:papies@libero.it" TargetMode="External" Type="http://schemas.openxmlformats.org/officeDocument/2006/relationships/hyperlink"/>
<Relationship Id="rId584" Target="mailto:papies@libero.it" TargetMode="External" Type="http://schemas.openxmlformats.org/officeDocument/2006/relationships/hyperlink"/>
<Relationship Id="rId585" Target="mailto:papies@libero.it" TargetMode="External" Type="http://schemas.openxmlformats.org/officeDocument/2006/relationships/hyperlink"/>
<Relationship Id="rId586" Target="mailto:papies@libero.it" TargetMode="External" Type="http://schemas.openxmlformats.org/officeDocument/2006/relationships/hyperlink"/>
<Relationship Id="rId587" Target="mailto:papies@libero.it" TargetMode="External" Type="http://schemas.openxmlformats.org/officeDocument/2006/relationships/hyperlink"/>
<Relationship Id="rId588" Target="mailto:papies@libero.it" TargetMode="External" Type="http://schemas.openxmlformats.org/officeDocument/2006/relationships/hyperlink"/>
<Relationship Id="rId589" Target="mailto:papies@libero.it" TargetMode="External" Type="http://schemas.openxmlformats.org/officeDocument/2006/relationships/hyperlink"/>
<Relationship Id="rId59" Target="mailto:papies@libero.it" TargetMode="External" Type="http://schemas.openxmlformats.org/officeDocument/2006/relationships/hyperlink"/>
<Relationship Id="rId590" Target="mailto:papies@libero.it" TargetMode="External" Type="http://schemas.openxmlformats.org/officeDocument/2006/relationships/hyperlink"/>
<Relationship Id="rId591" Target="mailto:papies@libero.it" TargetMode="External" Type="http://schemas.openxmlformats.org/officeDocument/2006/relationships/hyperlink"/>
<Relationship Id="rId592" Target="mailto:papies@libero.it" TargetMode="External" Type="http://schemas.openxmlformats.org/officeDocument/2006/relationships/hyperlink"/>
<Relationship Id="rId593" Target="mailto:papies@libero.it" TargetMode="External" Type="http://schemas.openxmlformats.org/officeDocument/2006/relationships/hyperlink"/>
<Relationship Id="rId594" Target="mailto:papies@libero.it" TargetMode="External" Type="http://schemas.openxmlformats.org/officeDocument/2006/relationships/hyperlink"/>
<Relationship Id="rId595" Target="mailto:papies@libero.it" TargetMode="External" Type="http://schemas.openxmlformats.org/officeDocument/2006/relationships/hyperlink"/>
<Relationship Id="rId596" Target="mailto:papies@libero.it" TargetMode="External" Type="http://schemas.openxmlformats.org/officeDocument/2006/relationships/hyperlink"/>
<Relationship Id="rId597" Target="mailto:papies@libero.it" TargetMode="External" Type="http://schemas.openxmlformats.org/officeDocument/2006/relationships/hyperlink"/>
<Relationship Id="rId598" Target="mailto:papies@libero.it" TargetMode="External" Type="http://schemas.openxmlformats.org/officeDocument/2006/relationships/hyperlink"/>
<Relationship Id="rId599" Target="mailto:papies@libero.it" TargetMode="External" Type="http://schemas.openxmlformats.org/officeDocument/2006/relationships/hyperlink"/>
<Relationship Id="rId6" Target="mailto:papies@libero.it" TargetMode="External" Type="http://schemas.openxmlformats.org/officeDocument/2006/relationships/hyperlink"/>
<Relationship Id="rId60" Target="mailto:papies@libero.it" TargetMode="External" Type="http://schemas.openxmlformats.org/officeDocument/2006/relationships/hyperlink"/>
<Relationship Id="rId600" Target="mailto:papies@libero.it" TargetMode="External" Type="http://schemas.openxmlformats.org/officeDocument/2006/relationships/hyperlink"/>
<Relationship Id="rId601" Target="mailto:papies@libero.it" TargetMode="External" Type="http://schemas.openxmlformats.org/officeDocument/2006/relationships/hyperlink"/>
<Relationship Id="rId602" Target="mailto:papies@libero.it" TargetMode="External" Type="http://schemas.openxmlformats.org/officeDocument/2006/relationships/hyperlink"/>
<Relationship Id="rId603" Target="mailto:papies@libero.it" TargetMode="External" Type="http://schemas.openxmlformats.org/officeDocument/2006/relationships/hyperlink"/>
<Relationship Id="rId604" Target="mailto:papies@libero.it" TargetMode="External" Type="http://schemas.openxmlformats.org/officeDocument/2006/relationships/hyperlink"/>
<Relationship Id="rId605" Target="mailto:papies@libero.it" TargetMode="External" Type="http://schemas.openxmlformats.org/officeDocument/2006/relationships/hyperlink"/>
<Relationship Id="rId606" Target="mailto:papies@libero.it" TargetMode="External" Type="http://schemas.openxmlformats.org/officeDocument/2006/relationships/hyperlink"/>
<Relationship Id="rId607" Target="mailto:papies@libero.it" TargetMode="External" Type="http://schemas.openxmlformats.org/officeDocument/2006/relationships/hyperlink"/>
<Relationship Id="rId608" Target="mailto:papies@libero.it" TargetMode="External" Type="http://schemas.openxmlformats.org/officeDocument/2006/relationships/hyperlink"/>
<Relationship Id="rId609" Target="mailto:papies@libero.it" TargetMode="External" Type="http://schemas.openxmlformats.org/officeDocument/2006/relationships/hyperlink"/>
<Relationship Id="rId61" Target="mailto:papies@libero.it" TargetMode="External" Type="http://schemas.openxmlformats.org/officeDocument/2006/relationships/hyperlink"/>
<Relationship Id="rId610" Target="mailto:papies@libero.it" TargetMode="External" Type="http://schemas.openxmlformats.org/officeDocument/2006/relationships/hyperlink"/>
<Relationship Id="rId611" Target="mailto:papies@libero.it" TargetMode="External" Type="http://schemas.openxmlformats.org/officeDocument/2006/relationships/hyperlink"/>
<Relationship Id="rId612" Target="mailto:papies@libero.it" TargetMode="External" Type="http://schemas.openxmlformats.org/officeDocument/2006/relationships/hyperlink"/>
<Relationship Id="rId613" Target="mailto:papies@libero.it" TargetMode="External" Type="http://schemas.openxmlformats.org/officeDocument/2006/relationships/hyperlink"/>
<Relationship Id="rId614" Target="mailto:papies@libero.it" TargetMode="External" Type="http://schemas.openxmlformats.org/officeDocument/2006/relationships/hyperlink"/>
<Relationship Id="rId615" Target="mailto:papies@libero.it" TargetMode="External" Type="http://schemas.openxmlformats.org/officeDocument/2006/relationships/hyperlink"/>
<Relationship Id="rId616" Target="mailto:papies@libero.it" TargetMode="External" Type="http://schemas.openxmlformats.org/officeDocument/2006/relationships/hyperlink"/>
<Relationship Id="rId617" Target="mailto:papies@libero.it" TargetMode="External" Type="http://schemas.openxmlformats.org/officeDocument/2006/relationships/hyperlink"/>
<Relationship Id="rId618" Target="mailto:papies@libero.it" TargetMode="External" Type="http://schemas.openxmlformats.org/officeDocument/2006/relationships/hyperlink"/>
<Relationship Id="rId619" Target="mailto:papies@libero.it" TargetMode="External" Type="http://schemas.openxmlformats.org/officeDocument/2006/relationships/hyperlink"/>
<Relationship Id="rId62" Target="mailto:papies@libero.it" TargetMode="External" Type="http://schemas.openxmlformats.org/officeDocument/2006/relationships/hyperlink"/>
<Relationship Id="rId620" Target="mailto:papies@libero.it" TargetMode="External" Type="http://schemas.openxmlformats.org/officeDocument/2006/relationships/hyperlink"/>
<Relationship Id="rId621" Target="mailto:papies@libero.it" TargetMode="External" Type="http://schemas.openxmlformats.org/officeDocument/2006/relationships/hyperlink"/>
<Relationship Id="rId622" Target="mailto:papies@libero.it" TargetMode="External" Type="http://schemas.openxmlformats.org/officeDocument/2006/relationships/hyperlink"/>
<Relationship Id="rId623" Target="mailto:papies@libero.it" TargetMode="External" Type="http://schemas.openxmlformats.org/officeDocument/2006/relationships/hyperlink"/>
<Relationship Id="rId624" Target="mailto:papies@libero.it" TargetMode="External" Type="http://schemas.openxmlformats.org/officeDocument/2006/relationships/hyperlink"/>
<Relationship Id="rId625" Target="mailto:papies@libero.it" TargetMode="External" Type="http://schemas.openxmlformats.org/officeDocument/2006/relationships/hyperlink"/>
<Relationship Id="rId626" Target="mailto:papies@libero.it" TargetMode="External" Type="http://schemas.openxmlformats.org/officeDocument/2006/relationships/hyperlink"/>
<Relationship Id="rId627" Target="mailto:papies@libero.it" TargetMode="External" Type="http://schemas.openxmlformats.org/officeDocument/2006/relationships/hyperlink"/>
<Relationship Id="rId628" Target="mailto:papies@libero.it" TargetMode="External" Type="http://schemas.openxmlformats.org/officeDocument/2006/relationships/hyperlink"/>
<Relationship Id="rId629" Target="mailto:papies@libero.it" TargetMode="External" Type="http://schemas.openxmlformats.org/officeDocument/2006/relationships/hyperlink"/>
<Relationship Id="rId63" Target="mailto:papies@libero.it" TargetMode="External" Type="http://schemas.openxmlformats.org/officeDocument/2006/relationships/hyperlink"/>
<Relationship Id="rId630" Target="mailto:papies@libero.it" TargetMode="External" Type="http://schemas.openxmlformats.org/officeDocument/2006/relationships/hyperlink"/>
<Relationship Id="rId631" Target="mailto:papies@libero.it" TargetMode="External" Type="http://schemas.openxmlformats.org/officeDocument/2006/relationships/hyperlink"/>
<Relationship Id="rId632" Target="mailto:papies@libero.it" TargetMode="External" Type="http://schemas.openxmlformats.org/officeDocument/2006/relationships/hyperlink"/>
<Relationship Id="rId633" Target="mailto:papies@libero.it" TargetMode="External" Type="http://schemas.openxmlformats.org/officeDocument/2006/relationships/hyperlink"/>
<Relationship Id="rId634" Target="mailto:papies@libero.it" TargetMode="External" Type="http://schemas.openxmlformats.org/officeDocument/2006/relationships/hyperlink"/>
<Relationship Id="rId635" Target="mailto:papies@libero.it" TargetMode="External" Type="http://schemas.openxmlformats.org/officeDocument/2006/relationships/hyperlink"/>
<Relationship Id="rId636" Target="mailto:papies@libero.it" TargetMode="External" Type="http://schemas.openxmlformats.org/officeDocument/2006/relationships/hyperlink"/>
<Relationship Id="rId637" Target="mailto:papies@libero.it" TargetMode="External" Type="http://schemas.openxmlformats.org/officeDocument/2006/relationships/hyperlink"/>
<Relationship Id="rId638" Target="mailto:papies@libero.it" TargetMode="External" Type="http://schemas.openxmlformats.org/officeDocument/2006/relationships/hyperlink"/>
<Relationship Id="rId639" Target="mailto:papies@libero.it" TargetMode="External" Type="http://schemas.openxmlformats.org/officeDocument/2006/relationships/hyperlink"/>
<Relationship Id="rId64" Target="mailto:papies@libero.it" TargetMode="External" Type="http://schemas.openxmlformats.org/officeDocument/2006/relationships/hyperlink"/>
<Relationship Id="rId640" Target="mailto:papies@libero.it" TargetMode="External" Type="http://schemas.openxmlformats.org/officeDocument/2006/relationships/hyperlink"/>
<Relationship Id="rId641" Target="../printerSettings/printerSettings1.bin" Type="http://schemas.openxmlformats.org/officeDocument/2006/relationships/printerSettings"/>
<Relationship Id="rId642" Target="../drawings/drawing1.xml" Type="http://schemas.openxmlformats.org/officeDocument/2006/relationships/drawing"/>
<Relationship Id="rId643" Target="../drawings/vmlDrawing1.vml" Type="http://schemas.openxmlformats.org/officeDocument/2006/relationships/vmlDrawing"/>
<Relationship Id="rId644" Target="../activeX/activeX1.xml" Type="http://schemas.openxmlformats.org/officeDocument/2006/relationships/control"/>
<Relationship Id="rId645" Target="../media/image1.emf" Type="http://schemas.openxmlformats.org/officeDocument/2006/relationships/image"/>
<Relationship Id="rId646" Target="../ctrlProps/ctrlProp1.xml" Type="http://schemas.openxmlformats.org/officeDocument/2006/relationships/ctrlProp"/>
<Relationship Id="rId647" Target="../ctrlProps/ctrlProp2.xml" Type="http://schemas.openxmlformats.org/officeDocument/2006/relationships/ctrlProp"/>
<Relationship Id="rId648" Target="../ctrlProps/ctrlProp3.xml" Type="http://schemas.openxmlformats.org/officeDocument/2006/relationships/ctrlProp"/>
<Relationship Id="rId649" Target="../ctrlProps/ctrlProp4.xml" Type="http://schemas.openxmlformats.org/officeDocument/2006/relationships/ctrlProp"/>
<Relationship Id="rId65" Target="mailto:papies@libero.it" TargetMode="External" Type="http://schemas.openxmlformats.org/officeDocument/2006/relationships/hyperlink"/>
<Relationship Id="rId650" Target="../tables/table1.xml" Type="http://schemas.openxmlformats.org/officeDocument/2006/relationships/table"/>
<Relationship Id="rId66" Target="mailto:papies@libero.it" TargetMode="External" Type="http://schemas.openxmlformats.org/officeDocument/2006/relationships/hyperlink"/>
<Relationship Id="rId67" Target="mailto:papies@libero.it" TargetMode="External" Type="http://schemas.openxmlformats.org/officeDocument/2006/relationships/hyperlink"/>
<Relationship Id="rId68" Target="mailto:papies@libero.it" TargetMode="External" Type="http://schemas.openxmlformats.org/officeDocument/2006/relationships/hyperlink"/>
<Relationship Id="rId69" Target="mailto:papies@libero.it" TargetMode="External" Type="http://schemas.openxmlformats.org/officeDocument/2006/relationships/hyperlink"/>
<Relationship Id="rId7" Target="mailto:papies@libero.it" TargetMode="External" Type="http://schemas.openxmlformats.org/officeDocument/2006/relationships/hyperlink"/>
<Relationship Id="rId70" Target="mailto:papies@libero.it" TargetMode="External" Type="http://schemas.openxmlformats.org/officeDocument/2006/relationships/hyperlink"/>
<Relationship Id="rId71" Target="mailto:papies@libero.it" TargetMode="External" Type="http://schemas.openxmlformats.org/officeDocument/2006/relationships/hyperlink"/>
<Relationship Id="rId72" Target="mailto:papies@libero.it" TargetMode="External" Type="http://schemas.openxmlformats.org/officeDocument/2006/relationships/hyperlink"/>
<Relationship Id="rId73" Target="mailto:papies@libero.it" TargetMode="External" Type="http://schemas.openxmlformats.org/officeDocument/2006/relationships/hyperlink"/>
<Relationship Id="rId74" Target="mailto:papies@libero.it" TargetMode="External" Type="http://schemas.openxmlformats.org/officeDocument/2006/relationships/hyperlink"/>
<Relationship Id="rId75" Target="mailto:papies@libero.it" TargetMode="External" Type="http://schemas.openxmlformats.org/officeDocument/2006/relationships/hyperlink"/>
<Relationship Id="rId76" Target="mailto:papies@libero.it" TargetMode="External" Type="http://schemas.openxmlformats.org/officeDocument/2006/relationships/hyperlink"/>
<Relationship Id="rId77" Target="mailto:papies@libero.it" TargetMode="External" Type="http://schemas.openxmlformats.org/officeDocument/2006/relationships/hyperlink"/>
<Relationship Id="rId78" Target="mailto:papies@libero.it" TargetMode="External" Type="http://schemas.openxmlformats.org/officeDocument/2006/relationships/hyperlink"/>
<Relationship Id="rId79" Target="mailto:papies@libero.it" TargetMode="External" Type="http://schemas.openxmlformats.org/officeDocument/2006/relationships/hyperlink"/>
<Relationship Id="rId8" Target="mailto:papies@libero.it" TargetMode="External" Type="http://schemas.openxmlformats.org/officeDocument/2006/relationships/hyperlink"/>
<Relationship Id="rId80" Target="mailto:papies@libero.it" TargetMode="External" Type="http://schemas.openxmlformats.org/officeDocument/2006/relationships/hyperlink"/>
<Relationship Id="rId81" Target="mailto:papies@libero.it" TargetMode="External" Type="http://schemas.openxmlformats.org/officeDocument/2006/relationships/hyperlink"/>
<Relationship Id="rId82" Target="mailto:papies@libero.it" TargetMode="External" Type="http://schemas.openxmlformats.org/officeDocument/2006/relationships/hyperlink"/>
<Relationship Id="rId83" Target="mailto:papies@libero.it" TargetMode="External" Type="http://schemas.openxmlformats.org/officeDocument/2006/relationships/hyperlink"/>
<Relationship Id="rId84" Target="mailto:papies@libero.it" TargetMode="External" Type="http://schemas.openxmlformats.org/officeDocument/2006/relationships/hyperlink"/>
<Relationship Id="rId85" Target="mailto:papies@libero.it" TargetMode="External" Type="http://schemas.openxmlformats.org/officeDocument/2006/relationships/hyperlink"/>
<Relationship Id="rId86" Target="mailto:papies@libero.it" TargetMode="External" Type="http://schemas.openxmlformats.org/officeDocument/2006/relationships/hyperlink"/>
<Relationship Id="rId87" Target="mailto:papies@libero.it" TargetMode="External" Type="http://schemas.openxmlformats.org/officeDocument/2006/relationships/hyperlink"/>
<Relationship Id="rId88" Target="mailto:papies@libero.it" TargetMode="External" Type="http://schemas.openxmlformats.org/officeDocument/2006/relationships/hyperlink"/>
<Relationship Id="rId89" Target="mailto:papies@libero.it" TargetMode="External" Type="http://schemas.openxmlformats.org/officeDocument/2006/relationships/hyperlink"/>
<Relationship Id="rId9" Target="mailto:papies@libero.it" TargetMode="External" Type="http://schemas.openxmlformats.org/officeDocument/2006/relationships/hyperlink"/>
<Relationship Id="rId90" Target="mailto:papies@libero.it" TargetMode="External" Type="http://schemas.openxmlformats.org/officeDocument/2006/relationships/hyperlink"/>
<Relationship Id="rId91" Target="mailto:papies@libero.it" TargetMode="External" Type="http://schemas.openxmlformats.org/officeDocument/2006/relationships/hyperlink"/>
<Relationship Id="rId92" Target="mailto:papies@libero.it" TargetMode="External" Type="http://schemas.openxmlformats.org/officeDocument/2006/relationships/hyperlink"/>
<Relationship Id="rId93" Target="mailto:papies@libero.it" TargetMode="External" Type="http://schemas.openxmlformats.org/officeDocument/2006/relationships/hyperlink"/>
<Relationship Id="rId94" Target="mailto:papies@libero.it" TargetMode="External" Type="http://schemas.openxmlformats.org/officeDocument/2006/relationships/hyperlink"/>
<Relationship Id="rId95" Target="mailto:papies@libero.it" TargetMode="External" Type="http://schemas.openxmlformats.org/officeDocument/2006/relationships/hyperlink"/>
<Relationship Id="rId96" Target="mailto:papies@libero.it" TargetMode="External" Type="http://schemas.openxmlformats.org/officeDocument/2006/relationships/hyperlink"/>
<Relationship Id="rId97" Target="mailto:papies@libero.it" TargetMode="External" Type="http://schemas.openxmlformats.org/officeDocument/2006/relationships/hyperlink"/>
<Relationship Id="rId98" Target="mailto:papies@libero.it" TargetMode="External" Type="http://schemas.openxmlformats.org/officeDocument/2006/relationships/hyperlink"/>
<Relationship Id="rId99" Target="mailto:papies@libero.it" TargetMode="External" Type="http://schemas.openxmlformats.org/officeDocument/2006/relationships/hyperlink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10" Target="../ctrlProps/ctrlProp7.xml" Type="http://schemas.openxmlformats.org/officeDocument/2006/relationships/ctrlProp"/>
<Relationship Id="rId11" Target="../ctrlProps/ctrlProp8.xml" Type="http://schemas.openxmlformats.org/officeDocument/2006/relationships/ctrlProp"/>
<Relationship Id="rId12" Target="../ctrlProps/ctrlProp9.xml" Type="http://schemas.openxmlformats.org/officeDocument/2006/relationships/ctrlProp"/>
<Relationship Id="rId13" Target="../ctrlProps/ctrlProp10.xml" Type="http://schemas.openxmlformats.org/officeDocument/2006/relationships/ctrlProp"/>
<Relationship Id="rId14" Target="../ctrlProps/ctrlProp11.xml" Type="http://schemas.openxmlformats.org/officeDocument/2006/relationships/ctrlProp"/>
<Relationship Id="rId15" Target="../ctrlProps/ctrlProp12.xml" Type="http://schemas.openxmlformats.org/officeDocument/2006/relationships/ctrlProp"/>
<Relationship Id="rId16" Target="../ctrlProps/ctrlProp13.xml" Type="http://schemas.openxmlformats.org/officeDocument/2006/relationships/ctrlProp"/>
<Relationship Id="rId17" Target="../tables/table2.xml" Type="http://schemas.openxmlformats.org/officeDocument/2006/relationships/table"/>
<Relationship Id="rId2" Target="../drawings/drawing2.xml" Type="http://schemas.openxmlformats.org/officeDocument/2006/relationships/drawing"/>
<Relationship Id="rId3" Target="../drawings/vmlDrawing2.vml" Type="http://schemas.openxmlformats.org/officeDocument/2006/relationships/vmlDrawing"/>
<Relationship Id="rId4" Target="../activeX/activeX2.xml" Type="http://schemas.openxmlformats.org/officeDocument/2006/relationships/control"/>
<Relationship Id="rId5" Target="../media/image3.emf" Type="http://schemas.openxmlformats.org/officeDocument/2006/relationships/image"/>
<Relationship Id="rId6" Target="../activeX/activeX3.xml" Type="http://schemas.openxmlformats.org/officeDocument/2006/relationships/control"/>
<Relationship Id="rId7" Target="../media/image4.emf" Type="http://schemas.openxmlformats.org/officeDocument/2006/relationships/image"/>
<Relationship Id="rId8" Target="../ctrlProps/ctrlProp5.xml" Type="http://schemas.openxmlformats.org/officeDocument/2006/relationships/ctrlProp"/>
<Relationship Id="rId9" Target="../ctrlProps/ctrlProp6.xml" Type="http://schemas.openxmlformats.org/officeDocument/2006/relationships/ctrlProp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Relationship Id="rId2" Target="../tables/table3.xml" Type="http://schemas.openxmlformats.org/officeDocument/2006/relationships/table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14.xml" Type="http://schemas.openxmlformats.org/officeDocument/2006/relationships/ctrlProp"/>
<Relationship Id="rId5" Target="../ctrlProps/ctrlProp15.xml" Type="http://schemas.openxmlformats.org/officeDocument/2006/relationships/ctrlProp"/>
<Relationship Id="rId6" Target="../tables/table4.xml" Type="http://schemas.openxmlformats.org/officeDocument/2006/relationships/table"/>
</Relationships>

</file>

<file path=xl/worksheets/_rels/sheet6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Relationship Id="rId2" Target="../tables/table5.xml" Type="http://schemas.openxmlformats.org/officeDocument/2006/relationships/table"/>
</Relationships>

</file>

<file path=xl/worksheets/_rels/sheet7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10" Target="../tables/table14.xml" Type="http://schemas.openxmlformats.org/officeDocument/2006/relationships/table"/>
<Relationship Id="rId11" Target="../tables/table15.xml" Type="http://schemas.openxmlformats.org/officeDocument/2006/relationships/table"/>
<Relationship Id="rId12" Target="../tables/table16.xml" Type="http://schemas.openxmlformats.org/officeDocument/2006/relationships/table"/>
<Relationship Id="rId13" Target="../tables/table17.xml" Type="http://schemas.openxmlformats.org/officeDocument/2006/relationships/table"/>
<Relationship Id="rId14" Target="../tables/table18.xml" Type="http://schemas.openxmlformats.org/officeDocument/2006/relationships/table"/>
<Relationship Id="rId15" Target="../tables/table19.xml" Type="http://schemas.openxmlformats.org/officeDocument/2006/relationships/table"/>
<Relationship Id="rId2" Target="../tables/table6.xml" Type="http://schemas.openxmlformats.org/officeDocument/2006/relationships/table"/>
<Relationship Id="rId3" Target="../tables/table7.xml" Type="http://schemas.openxmlformats.org/officeDocument/2006/relationships/table"/>
<Relationship Id="rId4" Target="../tables/table8.xml" Type="http://schemas.openxmlformats.org/officeDocument/2006/relationships/table"/>
<Relationship Id="rId5" Target="../tables/table9.xml" Type="http://schemas.openxmlformats.org/officeDocument/2006/relationships/table"/>
<Relationship Id="rId6" Target="../tables/table10.xml" Type="http://schemas.openxmlformats.org/officeDocument/2006/relationships/table"/>
<Relationship Id="rId7" Target="../tables/table11.xml" Type="http://schemas.openxmlformats.org/officeDocument/2006/relationships/table"/>
<Relationship Id="rId8" Target="../tables/table12.xml" Type="http://schemas.openxmlformats.org/officeDocument/2006/relationships/table"/>
<Relationship Id="rId9" Target="../tables/table13.xml" Type="http://schemas.openxmlformats.org/officeDocument/2006/relationships/table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644"/>
  <sheetViews>
    <sheetView tabSelected="1" topLeftCell="E1" zoomScale="85" zoomScaleNormal="85" workbookViewId="0">
      <pane ySplit="4" topLeftCell="A5" activePane="bottomLeft" state="frozen"/>
      <selection pane="bottomLeft" activeCell="M10" sqref="M10"/>
    </sheetView>
  </sheetViews>
  <sheetFormatPr defaultRowHeight="15" x14ac:dyDescent="0.25"/>
  <cols>
    <col min="1" max="1" width="11.42578125" bestFit="1" customWidth="1"/>
    <col min="2" max="2" width="30.28515625" customWidth="1"/>
    <col min="3" max="3" width="31.85546875" customWidth="1"/>
    <col min="4" max="4" width="21.140625" customWidth="1"/>
    <col min="5" max="5" width="39" customWidth="1"/>
    <col min="6" max="6" width="35" customWidth="1"/>
    <col min="7" max="7" width="13.42578125" customWidth="1"/>
    <col min="8" max="8" width="33.42578125" bestFit="1" customWidth="1"/>
    <col min="9" max="9" width="26.7109375" bestFit="1" customWidth="1"/>
    <col min="10" max="10" width="26.7109375" customWidth="1"/>
    <col min="11" max="11" width="26.7109375" hidden="1" customWidth="1"/>
    <col min="12" max="13" width="19.28515625" customWidth="1"/>
    <col min="14" max="14" width="22.85546875" hidden="1" customWidth="1"/>
    <col min="15" max="15" width="22.85546875" customWidth="1"/>
    <col min="16" max="16" width="24.5703125" customWidth="1"/>
    <col min="17" max="17" width="26.7109375" customWidth="1"/>
  </cols>
  <sheetData>
    <row r="1" spans="1:14" ht="15.75" thickBot="1" x14ac:dyDescent="0.3"/>
    <row r="2" spans="1:14" ht="27" customHeight="1" thickBot="1" x14ac:dyDescent="0.3">
      <c r="G2" s="7" t="s">
        <v>28</v>
      </c>
      <c r="H2" s="124" t="str">
        <f>CONCATENATEIFS(Table1[MAIL],Table1[Checkbox selezionato],"=",TRUE,Table1[MAIL],"&lt;&gt;","",Table1[Consenso MAIL],"=","SI",";")</f>
        <v/>
      </c>
      <c r="I2" s="125"/>
      <c r="J2" s="7" t="s">
        <v>1096</v>
      </c>
      <c r="K2" s="104" t="str">
        <f>CONCATENATEIFS(Table1[Telefono preferito],Table1[Checkbox selezionato],"=",TRUE,Table1[Telefono preferito],"&lt;&gt;","-",Table1[Telefono preferito],"&lt;&gt;",0,Table1[Consenso SMS],"=","SI",";")</f>
        <v/>
      </c>
      <c r="L2" s="124"/>
      <c r="M2" s="125"/>
    </row>
    <row r="4" spans="1:14" ht="30" customHeight="1" thickBot="1" x14ac:dyDescent="0.3">
      <c r="A4" s="79" t="s">
        <v>26</v>
      </c>
      <c r="B4" s="79" t="s">
        <v>0</v>
      </c>
      <c r="C4" s="79" t="s">
        <v>5</v>
      </c>
      <c r="D4" s="79" t="s">
        <v>7</v>
      </c>
      <c r="E4" s="79" t="s">
        <v>6</v>
      </c>
      <c r="F4" s="79" t="s">
        <v>8</v>
      </c>
      <c r="G4" s="79" t="s">
        <v>76</v>
      </c>
      <c r="H4" s="79" t="s">
        <v>10</v>
      </c>
      <c r="I4" s="79" t="s">
        <v>9</v>
      </c>
      <c r="J4" s="79" t="s">
        <v>1110</v>
      </c>
      <c r="K4" s="79" t="s">
        <v>1111</v>
      </c>
      <c r="L4" s="79" t="s">
        <v>54</v>
      </c>
      <c r="M4" s="79" t="s">
        <v>1095</v>
      </c>
      <c r="N4" s="1" t="s">
        <v>27</v>
      </c>
    </row>
    <row r="5" spans="1:14" ht="30" customHeight="1" x14ac:dyDescent="0.25">
      <c r="A5" s="37" t="s">
        <v>1634</v>
      </c>
      <c r="B5" s="46" t="s">
        <v>210</v>
      </c>
      <c r="C5" s="27" t="s">
        <v>211</v>
      </c>
      <c r="D5" s="28">
        <v>3663059618</v>
      </c>
      <c r="E5" s="27"/>
      <c r="F5" s="27" t="s">
        <v>212</v>
      </c>
      <c r="G5" s="29">
        <v>24658</v>
      </c>
      <c r="H5" s="95" t="s">
        <v>1854</v>
      </c>
      <c r="I5" s="27"/>
      <c r="J5" s="52" t="s">
        <v>1112</v>
      </c>
      <c r="K5" s="49">
        <f>IF(Table1[[#This Row],[Preferenza telefono]]="Casa",Table1[[#This Row],[Telefono casa]],IF(Table1[[#This Row],[Preferenza telefono]]="Primario",Table1[[#This Row],[Telefono primario]],"-"))</f>
        <v>3663059618</v>
      </c>
      <c r="L5" s="37" t="s">
        <v>1856</v>
      </c>
      <c r="M5" s="37" t="s">
        <v>1856</v>
      </c>
      <c r="N5" s="35" t="b">
        <f>IF(_xlfn.UNICODE( Table1[[#This Row],[Check]])=9745,TRUE,FALSE)</f>
        <v>0</v>
      </c>
    </row>
    <row r="6" spans="1:14" ht="30" customHeight="1" x14ac:dyDescent="0.25">
      <c r="A6" s="27" t="s">
        <v>1634</v>
      </c>
      <c r="B6" s="46" t="s">
        <v>218</v>
      </c>
      <c r="C6" s="27" t="s">
        <v>1</v>
      </c>
      <c r="D6" s="28">
        <v>3922051090</v>
      </c>
      <c r="E6" s="27"/>
      <c r="F6" s="27" t="s">
        <v>104</v>
      </c>
      <c r="G6" s="29">
        <v>31140</v>
      </c>
      <c r="H6" s="95" t="s">
        <v>1855</v>
      </c>
      <c r="I6" s="27"/>
      <c r="J6" s="52" t="s">
        <v>1112</v>
      </c>
      <c r="K6" s="51">
        <f>IF(Table1[[#This Row],[Preferenza telefono]]="Casa",Table1[[#This Row],[Telefono casa]],IF(Table1[[#This Row],[Preferenza telefono]]="Primario",Table1[[#This Row],[Telefono primario]],"-"))</f>
        <v>3922051090</v>
      </c>
      <c r="L6" s="37" t="s">
        <v>1856</v>
      </c>
      <c r="M6" s="37" t="s">
        <v>1856</v>
      </c>
      <c r="N6" s="35" t="b">
        <f>IF(_xlfn.UNICODE( Table1[[#This Row],[Check]])=9745,TRUE,FALSE)</f>
        <v>0</v>
      </c>
    </row>
    <row r="7" spans="1:14" ht="30" customHeight="1" x14ac:dyDescent="0.25">
      <c r="A7" s="27" t="s">
        <v>1634</v>
      </c>
      <c r="B7" s="46" t="s">
        <v>219</v>
      </c>
      <c r="C7" s="27" t="s">
        <v>103</v>
      </c>
      <c r="D7" s="28">
        <v>3396557141</v>
      </c>
      <c r="E7" s="27" t="s">
        <v>113</v>
      </c>
      <c r="F7" s="27" t="s">
        <v>220</v>
      </c>
      <c r="G7" s="29">
        <v>17456</v>
      </c>
      <c r="H7" s="95" t="s">
        <v>1854</v>
      </c>
      <c r="I7" s="27"/>
      <c r="J7" s="52" t="s">
        <v>1112</v>
      </c>
      <c r="K7" s="51">
        <f>IF(Table1[[#This Row],[Preferenza telefono]]="Casa",Table1[[#This Row],[Telefono casa]],IF(Table1[[#This Row],[Preferenza telefono]]="Primario",Table1[[#This Row],[Telefono primario]],"-"))</f>
        <v>3396557141</v>
      </c>
      <c r="L7" s="37" t="s">
        <v>1856</v>
      </c>
      <c r="M7" s="37" t="s">
        <v>1856</v>
      </c>
      <c r="N7" s="35" t="b">
        <f>IF(_xlfn.UNICODE( Table1[[#This Row],[Check]])=9745,TRUE,FALSE)</f>
        <v>0</v>
      </c>
    </row>
    <row r="8" spans="1:14" ht="30" customHeight="1" x14ac:dyDescent="0.25">
      <c r="A8" s="27" t="s">
        <v>1634</v>
      </c>
      <c r="B8" s="46" t="s">
        <v>240</v>
      </c>
      <c r="C8" s="27" t="s">
        <v>241</v>
      </c>
      <c r="D8" s="28">
        <v>3388042679</v>
      </c>
      <c r="E8" s="27"/>
      <c r="F8" s="27" t="s">
        <v>160</v>
      </c>
      <c r="G8" s="29" t="s">
        <v>113</v>
      </c>
      <c r="H8" s="95" t="s">
        <v>1854</v>
      </c>
      <c r="I8" s="27"/>
      <c r="J8" s="52" t="s">
        <v>1112</v>
      </c>
      <c r="K8" s="51">
        <f>IF(Table1[[#This Row],[Preferenza telefono]]="Casa",Table1[[#This Row],[Telefono casa]],IF(Table1[[#This Row],[Preferenza telefono]]="Primario",Table1[[#This Row],[Telefono primario]],"-"))</f>
        <v>3388042679</v>
      </c>
      <c r="L8" s="37" t="s">
        <v>1856</v>
      </c>
      <c r="M8" s="37" t="s">
        <v>1856</v>
      </c>
      <c r="N8" s="35" t="b">
        <f>IF(_xlfn.UNICODE( Table1[[#This Row],[Check]])=9745,TRUE,FALSE)</f>
        <v>0</v>
      </c>
    </row>
    <row r="9" spans="1:14" ht="30" customHeight="1" x14ac:dyDescent="0.25">
      <c r="A9" s="27" t="s">
        <v>1634</v>
      </c>
      <c r="B9" s="46" t="s">
        <v>239</v>
      </c>
      <c r="C9" s="27" t="s">
        <v>117</v>
      </c>
      <c r="D9" s="28" t="s">
        <v>113</v>
      </c>
      <c r="E9" s="27"/>
      <c r="F9" s="27" t="s">
        <v>113</v>
      </c>
      <c r="G9" s="29">
        <v>31643</v>
      </c>
      <c r="H9" s="95" t="s">
        <v>1855</v>
      </c>
      <c r="I9" s="27"/>
      <c r="J9" s="52" t="s">
        <v>1112</v>
      </c>
      <c r="K9" s="51" t="str">
        <f>IF(Table1[[#This Row],[Preferenza telefono]]="Casa",Table1[[#This Row],[Telefono casa]],IF(Table1[[#This Row],[Preferenza telefono]]="Primario",Table1[[#This Row],[Telefono primario]],"-"))</f>
        <v>-</v>
      </c>
      <c r="L9" s="37" t="s">
        <v>1857</v>
      </c>
      <c r="M9" s="37" t="s">
        <v>1856</v>
      </c>
      <c r="N9" s="35" t="b">
        <f>IF(_xlfn.UNICODE( Table1[[#This Row],[Check]])=9745,TRUE,FALSE)</f>
        <v>0</v>
      </c>
    </row>
    <row r="10" spans="1:14" ht="30" customHeight="1" x14ac:dyDescent="0.25">
      <c r="A10" s="27" t="s">
        <v>1634</v>
      </c>
      <c r="B10" s="46" t="s">
        <v>238</v>
      </c>
      <c r="C10" s="27" t="s">
        <v>117</v>
      </c>
      <c r="D10" s="28" t="s">
        <v>113</v>
      </c>
      <c r="E10" s="27"/>
      <c r="F10" s="27" t="s">
        <v>113</v>
      </c>
      <c r="G10" s="29">
        <v>19969</v>
      </c>
      <c r="H10" s="95" t="s">
        <v>1854</v>
      </c>
      <c r="I10" s="27"/>
      <c r="J10" s="52" t="s">
        <v>1112</v>
      </c>
      <c r="K10" s="51" t="str">
        <f>IF(Table1[[#This Row],[Preferenza telefono]]="Casa",Table1[[#This Row],[Telefono casa]],IF(Table1[[#This Row],[Preferenza telefono]]="Primario",Table1[[#This Row],[Telefono primario]],"-"))</f>
        <v>-</v>
      </c>
      <c r="L10" s="37" t="s">
        <v>1856</v>
      </c>
      <c r="M10" s="37" t="s">
        <v>1857</v>
      </c>
      <c r="N10" s="35" t="b">
        <f>IF(_xlfn.UNICODE( Table1[[#This Row],[Check]])=9745,TRUE,FALSE)</f>
        <v>0</v>
      </c>
    </row>
    <row r="11" spans="1:14" ht="30" customHeight="1" x14ac:dyDescent="0.25">
      <c r="A11" s="27" t="s">
        <v>1634</v>
      </c>
      <c r="B11" s="46" t="s">
        <v>213</v>
      </c>
      <c r="C11" s="33" t="s">
        <v>214</v>
      </c>
      <c r="D11" s="28">
        <v>3290991655</v>
      </c>
      <c r="E11" s="27"/>
      <c r="F11" s="27" t="s">
        <v>215</v>
      </c>
      <c r="G11" s="29">
        <v>30555</v>
      </c>
      <c r="H11" s="95" t="s">
        <v>1854</v>
      </c>
      <c r="I11" s="27"/>
      <c r="J11" s="52" t="s">
        <v>1112</v>
      </c>
      <c r="K11" s="51">
        <f>IF(Table1[[#This Row],[Preferenza telefono]]="Casa",Table1[[#This Row],[Telefono casa]],IF(Table1[[#This Row],[Preferenza telefono]]="Primario",Table1[[#This Row],[Telefono primario]],"-"))</f>
        <v>3290991655</v>
      </c>
      <c r="L11" s="37" t="s">
        <v>1856</v>
      </c>
      <c r="M11" s="37" t="s">
        <v>1856</v>
      </c>
      <c r="N11" s="35" t="b">
        <f>IF(_xlfn.UNICODE( Table1[[#This Row],[Check]])=9745,TRUE,FALSE)</f>
        <v>0</v>
      </c>
    </row>
    <row r="12" spans="1:14" ht="30" customHeight="1" x14ac:dyDescent="0.25">
      <c r="A12" s="27" t="s">
        <v>1634</v>
      </c>
      <c r="B12" s="46" t="s">
        <v>216</v>
      </c>
      <c r="C12" s="27" t="s">
        <v>103</v>
      </c>
      <c r="D12" s="28">
        <v>3807988121</v>
      </c>
      <c r="E12" s="27"/>
      <c r="F12" s="27" t="s">
        <v>217</v>
      </c>
      <c r="G12" s="29">
        <v>26586</v>
      </c>
      <c r="H12" s="95" t="s">
        <v>1855</v>
      </c>
      <c r="I12" s="27"/>
      <c r="J12" s="52" t="s">
        <v>1112</v>
      </c>
      <c r="K12" s="51">
        <f>IF(Table1[[#This Row],[Preferenza telefono]]="Casa",Table1[[#This Row],[Telefono casa]],IF(Table1[[#This Row],[Preferenza telefono]]="Primario",Table1[[#This Row],[Telefono primario]],"-"))</f>
        <v>3807988121</v>
      </c>
      <c r="L12" s="37" t="s">
        <v>1856</v>
      </c>
      <c r="M12" s="37" t="s">
        <v>1856</v>
      </c>
      <c r="N12" s="35" t="b">
        <f>IF(_xlfn.UNICODE( Table1[[#This Row],[Check]])=9745,TRUE,FALSE)</f>
        <v>0</v>
      </c>
    </row>
    <row r="13" spans="1:14" ht="30" customHeight="1" x14ac:dyDescent="0.25">
      <c r="A13" s="27" t="s">
        <v>1634</v>
      </c>
      <c r="B13" s="46" t="s">
        <v>248</v>
      </c>
      <c r="C13" s="27" t="s">
        <v>249</v>
      </c>
      <c r="D13" s="28">
        <v>3278752592</v>
      </c>
      <c r="E13" s="27"/>
      <c r="F13" s="27" t="s">
        <v>250</v>
      </c>
      <c r="G13" s="29">
        <v>28319</v>
      </c>
      <c r="H13" s="95" t="s">
        <v>1854</v>
      </c>
      <c r="I13" s="27"/>
      <c r="J13" s="52" t="s">
        <v>1112</v>
      </c>
      <c r="K13" s="51">
        <f>IF(Table1[[#This Row],[Preferenza telefono]]="Casa",Table1[[#This Row],[Telefono casa]],IF(Table1[[#This Row],[Preferenza telefono]]="Primario",Table1[[#This Row],[Telefono primario]],"-"))</f>
        <v>3278752592</v>
      </c>
      <c r="L13" s="37" t="s">
        <v>1856</v>
      </c>
      <c r="M13" s="37" t="s">
        <v>1856</v>
      </c>
      <c r="N13" s="35" t="b">
        <f>IF(_xlfn.UNICODE( Table1[[#This Row],[Check]])=9745,TRUE,FALSE)</f>
        <v>0</v>
      </c>
    </row>
    <row r="14" spans="1:14" ht="30" customHeight="1" x14ac:dyDescent="0.25">
      <c r="A14" s="27" t="s">
        <v>1634</v>
      </c>
      <c r="B14" s="94" t="s">
        <v>247</v>
      </c>
      <c r="C14" s="27" t="s">
        <v>1</v>
      </c>
      <c r="D14" s="28"/>
      <c r="E14" s="27"/>
      <c r="F14" s="27"/>
      <c r="G14" s="29">
        <v>12072</v>
      </c>
      <c r="H14" s="95" t="s">
        <v>1854</v>
      </c>
      <c r="I14" s="27"/>
      <c r="J14" s="52" t="s">
        <v>1112</v>
      </c>
      <c r="K14" s="51">
        <f>IF(Table1[[#This Row],[Preferenza telefono]]="Casa",Table1[[#This Row],[Telefono casa]],IF(Table1[[#This Row],[Preferenza telefono]]="Primario",Table1[[#This Row],[Telefono primario]],"-"))</f>
        <v>0</v>
      </c>
      <c r="L14" s="37" t="s">
        <v>1856</v>
      </c>
      <c r="M14" s="37" t="s">
        <v>1856</v>
      </c>
      <c r="N14" s="35" t="b">
        <f>IF(_xlfn.UNICODE( Table1[[#This Row],[Check]])=9745,TRUE,FALSE)</f>
        <v>0</v>
      </c>
    </row>
    <row r="15" spans="1:14" ht="30" customHeight="1" x14ac:dyDescent="0.25">
      <c r="A15" s="27" t="s">
        <v>1634</v>
      </c>
      <c r="B15" s="46" t="s">
        <v>221</v>
      </c>
      <c r="C15" s="27" t="s">
        <v>193</v>
      </c>
      <c r="D15" s="28">
        <v>3899613291</v>
      </c>
      <c r="E15" s="27">
        <v>3898826997</v>
      </c>
      <c r="F15" s="27" t="s">
        <v>222</v>
      </c>
      <c r="G15" s="29">
        <v>17608</v>
      </c>
      <c r="H15" s="95" t="s">
        <v>1855</v>
      </c>
      <c r="I15" s="27"/>
      <c r="J15" s="52" t="s">
        <v>1112</v>
      </c>
      <c r="K15" s="51">
        <f>IF(Table1[[#This Row],[Preferenza telefono]]="Casa",Table1[[#This Row],[Telefono casa]],IF(Table1[[#This Row],[Preferenza telefono]]="Primario",Table1[[#This Row],[Telefono primario]],"-"))</f>
        <v>3899613291</v>
      </c>
      <c r="L15" s="37" t="s">
        <v>1856</v>
      </c>
      <c r="M15" s="37" t="s">
        <v>1856</v>
      </c>
      <c r="N15" s="35" t="b">
        <f>IF(_xlfn.UNICODE( Table1[[#This Row],[Check]])=9745,TRUE,FALSE)</f>
        <v>0</v>
      </c>
    </row>
    <row r="16" spans="1:14" ht="30" customHeight="1" x14ac:dyDescent="0.25">
      <c r="A16" s="27" t="s">
        <v>1634</v>
      </c>
      <c r="B16" s="46" t="s">
        <v>223</v>
      </c>
      <c r="C16" s="27" t="s">
        <v>93</v>
      </c>
      <c r="D16" s="28">
        <v>3480142323</v>
      </c>
      <c r="E16" s="27"/>
      <c r="F16" s="27" t="s">
        <v>224</v>
      </c>
      <c r="G16" s="29">
        <v>25837</v>
      </c>
      <c r="H16" s="95" t="s">
        <v>1854</v>
      </c>
      <c r="I16" s="27"/>
      <c r="J16" s="52" t="s">
        <v>1112</v>
      </c>
      <c r="K16" s="51">
        <f>IF(Table1[[#This Row],[Preferenza telefono]]="Casa",Table1[[#This Row],[Telefono casa]],IF(Table1[[#This Row],[Preferenza telefono]]="Primario",Table1[[#This Row],[Telefono primario]],"-"))</f>
        <v>3480142323</v>
      </c>
      <c r="L16" s="37" t="s">
        <v>1856</v>
      </c>
      <c r="M16" s="37" t="s">
        <v>1856</v>
      </c>
      <c r="N16" s="35" t="b">
        <f>IF(_xlfn.UNICODE( Table1[[#This Row],[Check]])=9745,TRUE,FALSE)</f>
        <v>0</v>
      </c>
    </row>
    <row r="17" spans="1:14" ht="30" customHeight="1" x14ac:dyDescent="0.25">
      <c r="A17" s="27" t="s">
        <v>1634</v>
      </c>
      <c r="B17" s="46" t="s">
        <v>228</v>
      </c>
      <c r="C17" s="27" t="s">
        <v>159</v>
      </c>
      <c r="D17" s="28">
        <v>3343779815</v>
      </c>
      <c r="E17" s="27"/>
      <c r="F17" s="27" t="s">
        <v>229</v>
      </c>
      <c r="G17" s="29">
        <v>26990</v>
      </c>
      <c r="H17" s="95" t="s">
        <v>1854</v>
      </c>
      <c r="I17" s="27"/>
      <c r="J17" s="52" t="s">
        <v>1112</v>
      </c>
      <c r="K17" s="51">
        <f>IF(Table1[[#This Row],[Preferenza telefono]]="Casa",Table1[[#This Row],[Telefono casa]],IF(Table1[[#This Row],[Preferenza telefono]]="Primario",Table1[[#This Row],[Telefono primario]],"-"))</f>
        <v>3343779815</v>
      </c>
      <c r="L17" s="37" t="s">
        <v>1856</v>
      </c>
      <c r="M17" s="37" t="s">
        <v>1856</v>
      </c>
      <c r="N17" s="35" t="b">
        <f>IF(_xlfn.UNICODE( Table1[[#This Row],[Check]])=9745,TRUE,FALSE)</f>
        <v>0</v>
      </c>
    </row>
    <row r="18" spans="1:14" ht="30" customHeight="1" x14ac:dyDescent="0.25">
      <c r="A18" s="27" t="s">
        <v>1634</v>
      </c>
      <c r="B18" s="46" t="s">
        <v>230</v>
      </c>
      <c r="C18" s="27" t="s">
        <v>103</v>
      </c>
      <c r="D18" s="28">
        <v>3497187101</v>
      </c>
      <c r="E18" s="27"/>
      <c r="F18" s="27" t="s">
        <v>231</v>
      </c>
      <c r="G18" s="29">
        <v>18457</v>
      </c>
      <c r="H18" s="95" t="s">
        <v>1855</v>
      </c>
      <c r="I18" s="27"/>
      <c r="J18" s="52" t="s">
        <v>1112</v>
      </c>
      <c r="K18" s="51">
        <f>IF(Table1[[#This Row],[Preferenza telefono]]="Casa",Table1[[#This Row],[Telefono casa]],IF(Table1[[#This Row],[Preferenza telefono]]="Primario",Table1[[#This Row],[Telefono primario]],"-"))</f>
        <v>3497187101</v>
      </c>
      <c r="L18" s="37" t="s">
        <v>1856</v>
      </c>
      <c r="M18" s="37" t="s">
        <v>1856</v>
      </c>
      <c r="N18" s="35" t="b">
        <f>IF(_xlfn.UNICODE( Table1[[#This Row],[Check]])=9745,TRUE,FALSE)</f>
        <v>0</v>
      </c>
    </row>
    <row r="19" spans="1:14" ht="30" customHeight="1" x14ac:dyDescent="0.25">
      <c r="A19" s="27" t="s">
        <v>1634</v>
      </c>
      <c r="B19" s="46" t="s">
        <v>226</v>
      </c>
      <c r="C19" s="27" t="s">
        <v>1</v>
      </c>
      <c r="D19" s="28">
        <v>3773184721</v>
      </c>
      <c r="E19" s="27"/>
      <c r="F19" s="27" t="s">
        <v>227</v>
      </c>
      <c r="G19" s="29">
        <v>21073</v>
      </c>
      <c r="H19" s="95" t="s">
        <v>1854</v>
      </c>
      <c r="I19" s="27"/>
      <c r="J19" s="52" t="s">
        <v>1112</v>
      </c>
      <c r="K19" s="51">
        <f>IF(Table1[[#This Row],[Preferenza telefono]]="Casa",Table1[[#This Row],[Telefono casa]],IF(Table1[[#This Row],[Preferenza telefono]]="Primario",Table1[[#This Row],[Telefono primario]],"-"))</f>
        <v>3773184721</v>
      </c>
      <c r="L19" s="37" t="s">
        <v>1856</v>
      </c>
      <c r="M19" s="37" t="s">
        <v>1856</v>
      </c>
      <c r="N19" s="35" t="b">
        <f>IF(_xlfn.UNICODE( Table1[[#This Row],[Check]])=9745,TRUE,FALSE)</f>
        <v>0</v>
      </c>
    </row>
    <row r="20" spans="1:14" ht="30" customHeight="1" x14ac:dyDescent="0.25">
      <c r="A20" s="27" t="s">
        <v>1634</v>
      </c>
      <c r="B20" s="46" t="s">
        <v>225</v>
      </c>
      <c r="C20" s="27" t="s">
        <v>1</v>
      </c>
      <c r="D20" s="28">
        <v>3333434071</v>
      </c>
      <c r="E20" s="27"/>
      <c r="F20" s="27" t="s">
        <v>196</v>
      </c>
      <c r="G20" s="29">
        <v>31479</v>
      </c>
      <c r="H20" s="95" t="s">
        <v>1854</v>
      </c>
      <c r="I20" s="27"/>
      <c r="J20" s="52" t="s">
        <v>1112</v>
      </c>
      <c r="K20" s="51">
        <f>IF(Table1[[#This Row],[Preferenza telefono]]="Casa",Table1[[#This Row],[Telefono casa]],IF(Table1[[#This Row],[Preferenza telefono]]="Primario",Table1[[#This Row],[Telefono primario]],"-"))</f>
        <v>3333434071</v>
      </c>
      <c r="L20" s="37" t="s">
        <v>1856</v>
      </c>
      <c r="M20" s="37" t="s">
        <v>1856</v>
      </c>
      <c r="N20" s="35" t="b">
        <f>IF(_xlfn.UNICODE( Table1[[#This Row],[Check]])=9745,TRUE,FALSE)</f>
        <v>0</v>
      </c>
    </row>
    <row r="21" spans="1:14" ht="30" customHeight="1" x14ac:dyDescent="0.25">
      <c r="A21" s="27" t="s">
        <v>1634</v>
      </c>
      <c r="B21" s="46" t="s">
        <v>232</v>
      </c>
      <c r="C21" s="27" t="s">
        <v>1</v>
      </c>
      <c r="D21" s="28">
        <v>3331314732</v>
      </c>
      <c r="E21" s="27"/>
      <c r="F21" s="27" t="s">
        <v>233</v>
      </c>
      <c r="G21" s="29">
        <v>31483</v>
      </c>
      <c r="H21" s="95" t="s">
        <v>1855</v>
      </c>
      <c r="I21" s="27"/>
      <c r="J21" s="52" t="s">
        <v>1112</v>
      </c>
      <c r="K21" s="51">
        <f>IF(Table1[[#This Row],[Preferenza telefono]]="Casa",Table1[[#This Row],[Telefono casa]],IF(Table1[[#This Row],[Preferenza telefono]]="Primario",Table1[[#This Row],[Telefono primario]],"-"))</f>
        <v>3331314732</v>
      </c>
      <c r="L21" s="37" t="s">
        <v>1856</v>
      </c>
      <c r="M21" s="37" t="s">
        <v>1856</v>
      </c>
      <c r="N21" s="35" t="b">
        <f>IF(_xlfn.UNICODE( Table1[[#This Row],[Check]])=9745,TRUE,FALSE)</f>
        <v>0</v>
      </c>
    </row>
    <row r="22" spans="1:14" ht="30" customHeight="1" x14ac:dyDescent="0.25">
      <c r="A22" s="27" t="s">
        <v>1634</v>
      </c>
      <c r="B22" s="46" t="s">
        <v>251</v>
      </c>
      <c r="C22" s="27" t="s">
        <v>117</v>
      </c>
      <c r="D22" s="28">
        <v>3351806462</v>
      </c>
      <c r="E22" s="27"/>
      <c r="F22" s="27" t="s">
        <v>107</v>
      </c>
      <c r="G22" s="29">
        <v>26387</v>
      </c>
      <c r="H22" s="95" t="s">
        <v>1854</v>
      </c>
      <c r="I22" s="27"/>
      <c r="J22" s="52" t="s">
        <v>1112</v>
      </c>
      <c r="K22" s="51">
        <f>IF(Table1[[#This Row],[Preferenza telefono]]="Casa",Table1[[#This Row],[Telefono casa]],IF(Table1[[#This Row],[Preferenza telefono]]="Primario",Table1[[#This Row],[Telefono primario]],"-"))</f>
        <v>3351806462</v>
      </c>
      <c r="L22" s="37" t="s">
        <v>1856</v>
      </c>
      <c r="M22" s="37" t="s">
        <v>1856</v>
      </c>
      <c r="N22" s="35" t="b">
        <f>IF(_xlfn.UNICODE( Table1[[#This Row],[Check]])=9745,TRUE,FALSE)</f>
        <v>0</v>
      </c>
    </row>
    <row r="23" spans="1:14" ht="30" customHeight="1" x14ac:dyDescent="0.25">
      <c r="A23" s="27" t="s">
        <v>1634</v>
      </c>
      <c r="B23" s="46" t="s">
        <v>234</v>
      </c>
      <c r="C23" s="27" t="s">
        <v>1</v>
      </c>
      <c r="D23" s="28" t="s">
        <v>235</v>
      </c>
      <c r="E23" s="27"/>
      <c r="F23" s="27" t="s">
        <v>184</v>
      </c>
      <c r="G23" s="29">
        <v>15922</v>
      </c>
      <c r="H23" s="95" t="s">
        <v>1854</v>
      </c>
      <c r="I23" s="27"/>
      <c r="J23" s="52" t="s">
        <v>1112</v>
      </c>
      <c r="K23" s="51" t="str">
        <f>IF(Table1[[#This Row],[Preferenza telefono]]="Casa",Table1[[#This Row],[Telefono casa]],IF(Table1[[#This Row],[Preferenza telefono]]="Primario",Table1[[#This Row],[Telefono primario]],"-"))</f>
        <v>.0382969789</v>
      </c>
      <c r="L23" s="37" t="s">
        <v>1856</v>
      </c>
      <c r="M23" s="37" t="s">
        <v>1856</v>
      </c>
      <c r="N23" s="35" t="b">
        <f>IF(_xlfn.UNICODE( Table1[[#This Row],[Check]])=9745,TRUE,FALSE)</f>
        <v>0</v>
      </c>
    </row>
    <row r="24" spans="1:14" ht="30" customHeight="1" x14ac:dyDescent="0.25">
      <c r="A24" s="27" t="s">
        <v>1634</v>
      </c>
      <c r="B24" s="46" t="s">
        <v>236</v>
      </c>
      <c r="C24" s="27" t="s">
        <v>237</v>
      </c>
      <c r="D24" s="28">
        <v>3347054301</v>
      </c>
      <c r="E24" s="27">
        <v>3332667956</v>
      </c>
      <c r="F24" s="27" t="s">
        <v>110</v>
      </c>
      <c r="G24" s="29">
        <v>21735</v>
      </c>
      <c r="H24" s="95" t="s">
        <v>1855</v>
      </c>
      <c r="I24" s="27"/>
      <c r="J24" s="52" t="s">
        <v>1112</v>
      </c>
      <c r="K24" s="51">
        <f>IF(Table1[[#This Row],[Preferenza telefono]]="Casa",Table1[[#This Row],[Telefono casa]],IF(Table1[[#This Row],[Preferenza telefono]]="Primario",Table1[[#This Row],[Telefono primario]],"-"))</f>
        <v>3347054301</v>
      </c>
      <c r="L24" s="37" t="s">
        <v>1856</v>
      </c>
      <c r="M24" s="37" t="s">
        <v>1856</v>
      </c>
      <c r="N24" s="35" t="b">
        <f>IF(_xlfn.UNICODE( Table1[[#This Row],[Check]])=9745,TRUE,FALSE)</f>
        <v>0</v>
      </c>
    </row>
    <row r="25" spans="1:14" ht="30" customHeight="1" x14ac:dyDescent="0.25">
      <c r="A25" s="27" t="s">
        <v>1634</v>
      </c>
      <c r="B25" s="46" t="s">
        <v>242</v>
      </c>
      <c r="C25" s="27" t="s">
        <v>117</v>
      </c>
      <c r="D25" s="28" t="s">
        <v>113</v>
      </c>
      <c r="E25" s="27"/>
      <c r="F25" s="27" t="s">
        <v>113</v>
      </c>
      <c r="G25" s="29">
        <v>20875</v>
      </c>
      <c r="H25" s="95" t="s">
        <v>1854</v>
      </c>
      <c r="I25" s="27"/>
      <c r="J25" s="52" t="s">
        <v>1112</v>
      </c>
      <c r="K25" s="51" t="str">
        <f>IF(Table1[[#This Row],[Preferenza telefono]]="Casa",Table1[[#This Row],[Telefono casa]],IF(Table1[[#This Row],[Preferenza telefono]]="Primario",Table1[[#This Row],[Telefono primario]],"-"))</f>
        <v>-</v>
      </c>
      <c r="L25" s="37" t="s">
        <v>1856</v>
      </c>
      <c r="M25" s="37" t="s">
        <v>1856</v>
      </c>
      <c r="N25" s="35" t="b">
        <f>IF(_xlfn.UNICODE( Table1[[#This Row],[Check]])=9745,TRUE,FALSE)</f>
        <v>0</v>
      </c>
    </row>
    <row r="26" spans="1:14" ht="30" customHeight="1" x14ac:dyDescent="0.25">
      <c r="A26" s="27" t="s">
        <v>1634</v>
      </c>
      <c r="B26" s="94" t="s">
        <v>243</v>
      </c>
      <c r="C26" s="27" t="s">
        <v>103</v>
      </c>
      <c r="D26" s="28">
        <v>3493841408</v>
      </c>
      <c r="E26" s="27"/>
      <c r="F26" s="27" t="s">
        <v>244</v>
      </c>
      <c r="G26" s="29">
        <v>24987</v>
      </c>
      <c r="H26" s="95" t="s">
        <v>1854</v>
      </c>
      <c r="I26" s="27"/>
      <c r="J26" s="52" t="s">
        <v>1112</v>
      </c>
      <c r="K26" s="51">
        <f>IF(Table1[[#This Row],[Preferenza telefono]]="Casa",Table1[[#This Row],[Telefono casa]],IF(Table1[[#This Row],[Preferenza telefono]]="Primario",Table1[[#This Row],[Telefono primario]],"-"))</f>
        <v>3493841408</v>
      </c>
      <c r="L26" s="37" t="s">
        <v>1856</v>
      </c>
      <c r="M26" s="37" t="s">
        <v>1856</v>
      </c>
      <c r="N26" s="35" t="b">
        <f>IF(_xlfn.UNICODE( Table1[[#This Row],[Check]])=9745,TRUE,FALSE)</f>
        <v>0</v>
      </c>
    </row>
    <row r="27" spans="1:14" ht="30" customHeight="1" x14ac:dyDescent="0.25">
      <c r="A27" s="27" t="s">
        <v>1634</v>
      </c>
      <c r="B27" s="46" t="s">
        <v>245</v>
      </c>
      <c r="C27" s="27" t="s">
        <v>246</v>
      </c>
      <c r="D27" s="28">
        <v>3287956453</v>
      </c>
      <c r="E27" s="27"/>
      <c r="F27" s="27" t="s">
        <v>200</v>
      </c>
      <c r="G27" s="29">
        <v>25536</v>
      </c>
      <c r="H27" s="95" t="s">
        <v>1855</v>
      </c>
      <c r="I27" s="27"/>
      <c r="J27" s="52" t="s">
        <v>1112</v>
      </c>
      <c r="K27" s="51">
        <f>IF(Table1[[#This Row],[Preferenza telefono]]="Casa",Table1[[#This Row],[Telefono casa]],IF(Table1[[#This Row],[Preferenza telefono]]="Primario",Table1[[#This Row],[Telefono primario]],"-"))</f>
        <v>3287956453</v>
      </c>
      <c r="L27" s="37" t="s">
        <v>1856</v>
      </c>
      <c r="M27" s="37" t="s">
        <v>1856</v>
      </c>
      <c r="N27" s="35" t="b">
        <f>IF(_xlfn.UNICODE( Table1[[#This Row],[Check]])=9745,TRUE,FALSE)</f>
        <v>0</v>
      </c>
    </row>
    <row r="28" spans="1:14" ht="30" customHeight="1" x14ac:dyDescent="0.25">
      <c r="A28" s="27" t="s">
        <v>1634</v>
      </c>
      <c r="B28" s="49" t="s">
        <v>272</v>
      </c>
      <c r="C28" s="27" t="s">
        <v>190</v>
      </c>
      <c r="D28" s="28">
        <v>3488711029</v>
      </c>
      <c r="E28" s="27" t="s">
        <v>273</v>
      </c>
      <c r="F28" s="27" t="s">
        <v>274</v>
      </c>
      <c r="G28" s="29">
        <v>31219</v>
      </c>
      <c r="H28" s="95" t="s">
        <v>1854</v>
      </c>
      <c r="I28" s="27"/>
      <c r="J28" s="52" t="s">
        <v>1112</v>
      </c>
      <c r="K28" s="51">
        <f>IF(Table1[[#This Row],[Preferenza telefono]]="Casa",Table1[[#This Row],[Telefono casa]],IF(Table1[[#This Row],[Preferenza telefono]]="Primario",Table1[[#This Row],[Telefono primario]],"-"))</f>
        <v>3488711029</v>
      </c>
      <c r="L28" s="37" t="s">
        <v>1856</v>
      </c>
      <c r="M28" s="37" t="s">
        <v>1856</v>
      </c>
      <c r="N28" s="35" t="b">
        <f>IF(_xlfn.UNICODE( Table1[[#This Row],[Check]])=9745,TRUE,FALSE)</f>
        <v>0</v>
      </c>
    </row>
    <row r="29" spans="1:14" ht="30" customHeight="1" x14ac:dyDescent="0.25">
      <c r="A29" s="27" t="s">
        <v>1634</v>
      </c>
      <c r="B29" s="49" t="s">
        <v>1703</v>
      </c>
      <c r="C29" s="27" t="s">
        <v>190</v>
      </c>
      <c r="D29" s="28">
        <v>3488711029</v>
      </c>
      <c r="E29" s="27" t="s">
        <v>273</v>
      </c>
      <c r="F29" s="27" t="s">
        <v>274</v>
      </c>
      <c r="G29" s="29">
        <v>31219</v>
      </c>
      <c r="H29" s="95" t="s">
        <v>1854</v>
      </c>
      <c r="I29" s="27"/>
      <c r="J29" s="52" t="s">
        <v>1112</v>
      </c>
      <c r="K29" s="51">
        <f>IF(Table1[[#This Row],[Preferenza telefono]]="Casa",Table1[[#This Row],[Telefono casa]],IF(Table1[[#This Row],[Preferenza telefono]]="Primario",Table1[[#This Row],[Telefono primario]],"-"))</f>
        <v>3488711029</v>
      </c>
      <c r="L29" s="37" t="s">
        <v>1856</v>
      </c>
      <c r="M29" s="37" t="s">
        <v>1856</v>
      </c>
      <c r="N29" s="35" t="b">
        <f>IF(_xlfn.UNICODE( Table1[[#This Row],[Check]])=9745,TRUE,FALSE)</f>
        <v>0</v>
      </c>
    </row>
    <row r="30" spans="1:14" ht="30" customHeight="1" x14ac:dyDescent="0.25">
      <c r="A30" s="27" t="s">
        <v>1634</v>
      </c>
      <c r="B30" s="46" t="s">
        <v>252</v>
      </c>
      <c r="C30" s="27" t="s">
        <v>253</v>
      </c>
      <c r="D30" s="28">
        <v>3356609130</v>
      </c>
      <c r="E30" s="27"/>
      <c r="F30" s="27" t="s">
        <v>254</v>
      </c>
      <c r="G30" s="29">
        <v>24886</v>
      </c>
      <c r="H30" s="95" t="s">
        <v>1855</v>
      </c>
      <c r="I30" s="27"/>
      <c r="J30" s="52" t="s">
        <v>1112</v>
      </c>
      <c r="K30" s="51">
        <f>IF(Table1[[#This Row],[Preferenza telefono]]="Casa",Table1[[#This Row],[Telefono casa]],IF(Table1[[#This Row],[Preferenza telefono]]="Primario",Table1[[#This Row],[Telefono primario]],"-"))</f>
        <v>3356609130</v>
      </c>
      <c r="L30" s="37" t="s">
        <v>1856</v>
      </c>
      <c r="M30" s="37" t="s">
        <v>1856</v>
      </c>
      <c r="N30" s="35" t="b">
        <f>IF(_xlfn.UNICODE( Table1[[#This Row],[Check]])=9745,TRUE,FALSE)</f>
        <v>0</v>
      </c>
    </row>
    <row r="31" spans="1:14" ht="30" customHeight="1" x14ac:dyDescent="0.25">
      <c r="A31" s="27" t="s">
        <v>1634</v>
      </c>
      <c r="B31" s="46" t="s">
        <v>255</v>
      </c>
      <c r="C31" s="27" t="s">
        <v>1704</v>
      </c>
      <c r="D31" s="28">
        <v>3356609130</v>
      </c>
      <c r="E31" s="27"/>
      <c r="F31" s="27" t="s">
        <v>254</v>
      </c>
      <c r="G31" s="29">
        <v>14635</v>
      </c>
      <c r="H31" s="95" t="s">
        <v>1854</v>
      </c>
      <c r="I31" s="27"/>
      <c r="J31" s="52" t="s">
        <v>1112</v>
      </c>
      <c r="K31" s="51">
        <f>IF(Table1[[#This Row],[Preferenza telefono]]="Casa",Table1[[#This Row],[Telefono casa]],IF(Table1[[#This Row],[Preferenza telefono]]="Primario",Table1[[#This Row],[Telefono primario]],"-"))</f>
        <v>3356609130</v>
      </c>
      <c r="L31" s="37" t="s">
        <v>1856</v>
      </c>
      <c r="M31" s="37" t="s">
        <v>1856</v>
      </c>
      <c r="N31" s="35" t="b">
        <f>IF(_xlfn.UNICODE( Table1[[#This Row],[Check]])=9745,TRUE,FALSE)</f>
        <v>0</v>
      </c>
    </row>
    <row r="32" spans="1:14" ht="30" customHeight="1" x14ac:dyDescent="0.25">
      <c r="A32" s="27" t="s">
        <v>1634</v>
      </c>
      <c r="B32" s="46" t="s">
        <v>256</v>
      </c>
      <c r="C32" s="27" t="s">
        <v>1</v>
      </c>
      <c r="D32" s="28">
        <v>3899753670</v>
      </c>
      <c r="E32" s="27"/>
      <c r="F32" s="27" t="s">
        <v>257</v>
      </c>
      <c r="G32" s="29">
        <v>13183</v>
      </c>
      <c r="H32" s="95" t="s">
        <v>1854</v>
      </c>
      <c r="I32" s="27"/>
      <c r="J32" s="52" t="s">
        <v>1112</v>
      </c>
      <c r="K32" s="51">
        <f>IF(Table1[[#This Row],[Preferenza telefono]]="Casa",Table1[[#This Row],[Telefono casa]],IF(Table1[[#This Row],[Preferenza telefono]]="Primario",Table1[[#This Row],[Telefono primario]],"-"))</f>
        <v>3899753670</v>
      </c>
      <c r="L32" s="37" t="s">
        <v>1856</v>
      </c>
      <c r="M32" s="37" t="s">
        <v>1856</v>
      </c>
      <c r="N32" s="35" t="b">
        <f>IF(_xlfn.UNICODE( Table1[[#This Row],[Check]])=9745,TRUE,FALSE)</f>
        <v>0</v>
      </c>
    </row>
    <row r="33" spans="1:14" ht="30" customHeight="1" x14ac:dyDescent="0.25">
      <c r="A33" s="27" t="s">
        <v>1634</v>
      </c>
      <c r="B33" s="46" t="s">
        <v>258</v>
      </c>
      <c r="C33" s="27" t="s">
        <v>90</v>
      </c>
      <c r="D33" s="28">
        <v>3315474576</v>
      </c>
      <c r="E33" s="27"/>
      <c r="F33" s="27" t="s">
        <v>259</v>
      </c>
      <c r="G33" s="29">
        <v>23244</v>
      </c>
      <c r="H33" s="95" t="s">
        <v>1855</v>
      </c>
      <c r="I33" s="27"/>
      <c r="J33" s="52" t="s">
        <v>1112</v>
      </c>
      <c r="K33" s="51">
        <f>IF(Table1[[#This Row],[Preferenza telefono]]="Casa",Table1[[#This Row],[Telefono casa]],IF(Table1[[#This Row],[Preferenza telefono]]="Primario",Table1[[#This Row],[Telefono primario]],"-"))</f>
        <v>3315474576</v>
      </c>
      <c r="L33" s="37" t="s">
        <v>1856</v>
      </c>
      <c r="M33" s="37" t="s">
        <v>1856</v>
      </c>
      <c r="N33" s="35" t="b">
        <f>IF(_xlfn.UNICODE( Table1[[#This Row],[Check]])=9745,TRUE,FALSE)</f>
        <v>0</v>
      </c>
    </row>
    <row r="34" spans="1:14" ht="30" customHeight="1" x14ac:dyDescent="0.25">
      <c r="A34" s="27" t="s">
        <v>1634</v>
      </c>
      <c r="B34" s="42" t="s">
        <v>261</v>
      </c>
      <c r="C34" s="27" t="s">
        <v>90</v>
      </c>
      <c r="D34" s="28">
        <v>3315474576</v>
      </c>
      <c r="E34" s="27"/>
      <c r="F34" s="27" t="s">
        <v>259</v>
      </c>
      <c r="G34" s="29">
        <v>34302</v>
      </c>
      <c r="H34" s="95" t="s">
        <v>1854</v>
      </c>
      <c r="I34" s="27"/>
      <c r="J34" s="52" t="s">
        <v>1112</v>
      </c>
      <c r="K34" s="51">
        <f>IF(Table1[[#This Row],[Preferenza telefono]]="Casa",Table1[[#This Row],[Telefono casa]],IF(Table1[[#This Row],[Preferenza telefono]]="Primario",Table1[[#This Row],[Telefono primario]],"-"))</f>
        <v>3315474576</v>
      </c>
      <c r="L34" s="37" t="s">
        <v>1856</v>
      </c>
      <c r="M34" s="37" t="s">
        <v>1856</v>
      </c>
      <c r="N34" s="35" t="b">
        <f>IF(_xlfn.UNICODE( Table1[[#This Row],[Check]])=9745,TRUE,FALSE)</f>
        <v>0</v>
      </c>
    </row>
    <row r="35" spans="1:14" ht="30" customHeight="1" x14ac:dyDescent="0.25">
      <c r="A35" s="27" t="s">
        <v>1634</v>
      </c>
      <c r="B35" s="42" t="s">
        <v>89</v>
      </c>
      <c r="C35" s="27" t="s">
        <v>90</v>
      </c>
      <c r="D35" s="28">
        <v>3388704048</v>
      </c>
      <c r="E35" s="27"/>
      <c r="F35" s="27" t="s">
        <v>91</v>
      </c>
      <c r="G35" s="29">
        <v>21421</v>
      </c>
      <c r="H35" s="95" t="s">
        <v>1854</v>
      </c>
      <c r="I35" s="27"/>
      <c r="J35" s="52" t="s">
        <v>1112</v>
      </c>
      <c r="K35" s="51">
        <f>IF(Table1[[#This Row],[Preferenza telefono]]="Casa",Table1[[#This Row],[Telefono casa]],IF(Table1[[#This Row],[Preferenza telefono]]="Primario",Table1[[#This Row],[Telefono primario]],"-"))</f>
        <v>3388704048</v>
      </c>
      <c r="L35" s="37" t="s">
        <v>1856</v>
      </c>
      <c r="M35" s="37" t="s">
        <v>1856</v>
      </c>
      <c r="N35" s="35" t="b">
        <f>IF(_xlfn.UNICODE( Table1[[#This Row],[Check]])=9745,TRUE,FALSE)</f>
        <v>0</v>
      </c>
    </row>
    <row r="36" spans="1:14" ht="30" customHeight="1" x14ac:dyDescent="0.25">
      <c r="A36" s="27" t="s">
        <v>1634</v>
      </c>
      <c r="B36" s="42" t="s">
        <v>262</v>
      </c>
      <c r="C36" s="27" t="s">
        <v>103</v>
      </c>
      <c r="D36" s="28">
        <v>3313007456</v>
      </c>
      <c r="E36" s="27"/>
      <c r="F36" s="27" t="s">
        <v>196</v>
      </c>
      <c r="G36" s="29">
        <v>20989</v>
      </c>
      <c r="H36" s="95" t="s">
        <v>1855</v>
      </c>
      <c r="I36" s="27"/>
      <c r="J36" s="52" t="s">
        <v>1112</v>
      </c>
      <c r="K36" s="51">
        <f>IF(Table1[[#This Row],[Preferenza telefono]]="Casa",Table1[[#This Row],[Telefono casa]],IF(Table1[[#This Row],[Preferenza telefono]]="Primario",Table1[[#This Row],[Telefono primario]],"-"))</f>
        <v>3313007456</v>
      </c>
      <c r="L36" s="37" t="s">
        <v>1856</v>
      </c>
      <c r="M36" s="37" t="s">
        <v>1856</v>
      </c>
      <c r="N36" s="35" t="b">
        <f>IF(_xlfn.UNICODE( Table1[[#This Row],[Check]])=9745,TRUE,FALSE)</f>
        <v>0</v>
      </c>
    </row>
    <row r="37" spans="1:14" ht="30" customHeight="1" x14ac:dyDescent="0.25">
      <c r="A37" s="27" t="s">
        <v>1634</v>
      </c>
      <c r="B37" s="42" t="s">
        <v>263</v>
      </c>
      <c r="C37" s="27" t="s">
        <v>264</v>
      </c>
      <c r="D37" s="28">
        <v>3284618131</v>
      </c>
      <c r="E37" s="27"/>
      <c r="F37" s="27" t="s">
        <v>265</v>
      </c>
      <c r="G37" s="29">
        <v>21441</v>
      </c>
      <c r="H37" s="95" t="s">
        <v>1854</v>
      </c>
      <c r="I37" s="27"/>
      <c r="J37" s="52" t="s">
        <v>1112</v>
      </c>
      <c r="K37" s="51">
        <f>IF(Table1[[#This Row],[Preferenza telefono]]="Casa",Table1[[#This Row],[Telefono casa]],IF(Table1[[#This Row],[Preferenza telefono]]="Primario",Table1[[#This Row],[Telefono primario]],"-"))</f>
        <v>3284618131</v>
      </c>
      <c r="L37" s="37" t="s">
        <v>1856</v>
      </c>
      <c r="M37" s="37" t="s">
        <v>1856</v>
      </c>
      <c r="N37" s="35" t="b">
        <f>IF(_xlfn.UNICODE( Table1[[#This Row],[Check]])=9745,TRUE,FALSE)</f>
        <v>0</v>
      </c>
    </row>
    <row r="38" spans="1:14" ht="30" customHeight="1" x14ac:dyDescent="0.25">
      <c r="A38" s="27" t="s">
        <v>1634</v>
      </c>
      <c r="B38" s="42" t="s">
        <v>266</v>
      </c>
      <c r="C38" s="27" t="s">
        <v>4</v>
      </c>
      <c r="D38" s="28">
        <v>3478950050</v>
      </c>
      <c r="E38" s="27"/>
      <c r="F38" s="27" t="s">
        <v>267</v>
      </c>
      <c r="G38" s="29" t="s">
        <v>113</v>
      </c>
      <c r="H38" s="95" t="s">
        <v>1854</v>
      </c>
      <c r="I38" s="27"/>
      <c r="J38" s="52" t="s">
        <v>1112</v>
      </c>
      <c r="K38" s="51">
        <f>IF(Table1[[#This Row],[Preferenza telefono]]="Casa",Table1[[#This Row],[Telefono casa]],IF(Table1[[#This Row],[Preferenza telefono]]="Primario",Table1[[#This Row],[Telefono primario]],"-"))</f>
        <v>3478950050</v>
      </c>
      <c r="L38" s="37" t="s">
        <v>1856</v>
      </c>
      <c r="M38" s="37" t="s">
        <v>1856</v>
      </c>
      <c r="N38" s="35" t="b">
        <f>IF(_xlfn.UNICODE( Table1[[#This Row],[Check]])=9745,TRUE,FALSE)</f>
        <v>0</v>
      </c>
    </row>
    <row r="39" spans="1:14" ht="30" customHeight="1" x14ac:dyDescent="0.25">
      <c r="A39" s="27" t="s">
        <v>1634</v>
      </c>
      <c r="B39" s="42" t="s">
        <v>260</v>
      </c>
      <c r="C39" s="27" t="s">
        <v>90</v>
      </c>
      <c r="D39" s="28">
        <v>3315474576</v>
      </c>
      <c r="E39" s="27"/>
      <c r="F39" s="27" t="s">
        <v>259</v>
      </c>
      <c r="G39" s="29" t="s">
        <v>113</v>
      </c>
      <c r="H39" s="95" t="s">
        <v>1855</v>
      </c>
      <c r="I39" s="27"/>
      <c r="J39" s="52" t="s">
        <v>1112</v>
      </c>
      <c r="K39" s="51">
        <f>IF(Table1[[#This Row],[Preferenza telefono]]="Casa",Table1[[#This Row],[Telefono casa]],IF(Table1[[#This Row],[Preferenza telefono]]="Primario",Table1[[#This Row],[Telefono primario]],"-"))</f>
        <v>3315474576</v>
      </c>
      <c r="L39" s="37" t="s">
        <v>1856</v>
      </c>
      <c r="M39" s="37" t="s">
        <v>1856</v>
      </c>
      <c r="N39" s="35" t="b">
        <f>IF(_xlfn.UNICODE( Table1[[#This Row],[Check]])=9745,TRUE,FALSE)</f>
        <v>0</v>
      </c>
    </row>
    <row r="40" spans="1:14" ht="30" customHeight="1" x14ac:dyDescent="0.25">
      <c r="A40" s="27" t="s">
        <v>1634</v>
      </c>
      <c r="B40" s="31" t="s">
        <v>269</v>
      </c>
      <c r="C40" s="27" t="s">
        <v>270</v>
      </c>
      <c r="D40" s="28">
        <v>3346648737</v>
      </c>
      <c r="E40" s="27"/>
      <c r="F40" s="27" t="s">
        <v>271</v>
      </c>
      <c r="G40" s="29">
        <v>27476</v>
      </c>
      <c r="H40" s="95" t="s">
        <v>1854</v>
      </c>
      <c r="I40" s="27"/>
      <c r="J40" s="52" t="s">
        <v>1112</v>
      </c>
      <c r="K40" s="51">
        <f>IF(Table1[[#This Row],[Preferenza telefono]]="Casa",Table1[[#This Row],[Telefono casa]],IF(Table1[[#This Row],[Preferenza telefono]]="Primario",Table1[[#This Row],[Telefono primario]],"-"))</f>
        <v>3346648737</v>
      </c>
      <c r="L40" s="37" t="s">
        <v>1856</v>
      </c>
      <c r="M40" s="37" t="s">
        <v>1856</v>
      </c>
      <c r="N40" s="35" t="b">
        <f>IF(_xlfn.UNICODE( Table1[[#This Row],[Check]])=9745,TRUE,FALSE)</f>
        <v>0</v>
      </c>
    </row>
    <row r="41" spans="1:14" ht="30" customHeight="1" x14ac:dyDescent="0.25">
      <c r="A41" s="27" t="s">
        <v>1634</v>
      </c>
      <c r="B41" s="31" t="s">
        <v>275</v>
      </c>
      <c r="C41" s="27" t="s">
        <v>190</v>
      </c>
      <c r="D41" s="28">
        <v>3488711029</v>
      </c>
      <c r="E41" s="27" t="s">
        <v>273</v>
      </c>
      <c r="F41" s="27" t="s">
        <v>274</v>
      </c>
      <c r="G41" s="29">
        <v>31219</v>
      </c>
      <c r="H41" s="95" t="s">
        <v>1854</v>
      </c>
      <c r="I41" s="27"/>
      <c r="J41" s="52" t="s">
        <v>1112</v>
      </c>
      <c r="K41" s="51">
        <f>IF(Table1[[#This Row],[Preferenza telefono]]="Casa",Table1[[#This Row],[Telefono casa]],IF(Table1[[#This Row],[Preferenza telefono]]="Primario",Table1[[#This Row],[Telefono primario]],"-"))</f>
        <v>3488711029</v>
      </c>
      <c r="L41" s="37" t="s">
        <v>1856</v>
      </c>
      <c r="M41" s="37" t="s">
        <v>1856</v>
      </c>
      <c r="N41" s="35" t="b">
        <f>IF(_xlfn.UNICODE( Table1[[#This Row],[Check]])=9745,TRUE,FALSE)</f>
        <v>0</v>
      </c>
    </row>
    <row r="42" spans="1:14" ht="30" customHeight="1" x14ac:dyDescent="0.25">
      <c r="A42" s="27" t="s">
        <v>1634</v>
      </c>
      <c r="B42" s="47" t="s">
        <v>276</v>
      </c>
      <c r="C42" s="27" t="s">
        <v>277</v>
      </c>
      <c r="D42" s="28">
        <v>3385004980</v>
      </c>
      <c r="E42" s="27"/>
      <c r="F42" s="27" t="s">
        <v>278</v>
      </c>
      <c r="G42" s="29" t="s">
        <v>113</v>
      </c>
      <c r="H42" s="95" t="s">
        <v>1855</v>
      </c>
      <c r="I42" s="27"/>
      <c r="J42" s="52" t="s">
        <v>1112</v>
      </c>
      <c r="K42" s="51">
        <f>IF(Table1[[#This Row],[Preferenza telefono]]="Casa",Table1[[#This Row],[Telefono casa]],IF(Table1[[#This Row],[Preferenza telefono]]="Primario",Table1[[#This Row],[Telefono primario]],"-"))</f>
        <v>3385004980</v>
      </c>
      <c r="L42" s="37" t="s">
        <v>1856</v>
      </c>
      <c r="M42" s="37" t="s">
        <v>1856</v>
      </c>
      <c r="N42" s="35" t="b">
        <f>IF(_xlfn.UNICODE( Table1[[#This Row],[Check]])=9745,TRUE,FALSE)</f>
        <v>0</v>
      </c>
    </row>
    <row r="43" spans="1:14" ht="30" customHeight="1" x14ac:dyDescent="0.25">
      <c r="A43" s="27" t="s">
        <v>1634</v>
      </c>
      <c r="B43" s="42" t="s">
        <v>279</v>
      </c>
      <c r="C43" s="27" t="s">
        <v>103</v>
      </c>
      <c r="D43" s="28">
        <v>3285594604</v>
      </c>
      <c r="E43" s="27"/>
      <c r="F43" s="27" t="s">
        <v>280</v>
      </c>
      <c r="G43" s="29">
        <v>23510</v>
      </c>
      <c r="H43" s="95" t="s">
        <v>1854</v>
      </c>
      <c r="I43" s="27"/>
      <c r="J43" s="52" t="s">
        <v>1112</v>
      </c>
      <c r="K43" s="51">
        <f>IF(Table1[[#This Row],[Preferenza telefono]]="Casa",Table1[[#This Row],[Telefono casa]],IF(Table1[[#This Row],[Preferenza telefono]]="Primario",Table1[[#This Row],[Telefono primario]],"-"))</f>
        <v>3285594604</v>
      </c>
      <c r="L43" s="37" t="s">
        <v>1856</v>
      </c>
      <c r="M43" s="37" t="s">
        <v>1856</v>
      </c>
      <c r="N43" s="35" t="b">
        <f>IF(_xlfn.UNICODE( Table1[[#This Row],[Check]])=9745,TRUE,FALSE)</f>
        <v>0</v>
      </c>
    </row>
    <row r="44" spans="1:14" ht="30" customHeight="1" x14ac:dyDescent="0.25">
      <c r="A44" s="27" t="s">
        <v>1634</v>
      </c>
      <c r="B44" s="42" t="s">
        <v>281</v>
      </c>
      <c r="C44" s="27" t="s">
        <v>282</v>
      </c>
      <c r="D44" s="28">
        <v>3886780360</v>
      </c>
      <c r="E44" s="27"/>
      <c r="F44" s="27" t="s">
        <v>283</v>
      </c>
      <c r="G44" s="29">
        <v>21693</v>
      </c>
      <c r="H44" s="95" t="s">
        <v>1854</v>
      </c>
      <c r="I44" s="27"/>
      <c r="J44" s="52" t="s">
        <v>1112</v>
      </c>
      <c r="K44" s="51">
        <f>IF(Table1[[#This Row],[Preferenza telefono]]="Casa",Table1[[#This Row],[Telefono casa]],IF(Table1[[#This Row],[Preferenza telefono]]="Primario",Table1[[#This Row],[Telefono primario]],"-"))</f>
        <v>3886780360</v>
      </c>
      <c r="L44" s="37" t="s">
        <v>1856</v>
      </c>
      <c r="M44" s="37" t="s">
        <v>1856</v>
      </c>
      <c r="N44" s="35" t="b">
        <f>IF(_xlfn.UNICODE( Table1[[#This Row],[Check]])=9745,TRUE,FALSE)</f>
        <v>0</v>
      </c>
    </row>
    <row r="45" spans="1:14" ht="30" customHeight="1" x14ac:dyDescent="0.25">
      <c r="A45" s="27" t="s">
        <v>1634</v>
      </c>
      <c r="B45" s="42" t="s">
        <v>284</v>
      </c>
      <c r="C45" s="27" t="s">
        <v>103</v>
      </c>
      <c r="D45" s="28">
        <v>3497187101</v>
      </c>
      <c r="E45" s="27"/>
      <c r="F45" s="27" t="s">
        <v>285</v>
      </c>
      <c r="G45" s="29">
        <v>26779</v>
      </c>
      <c r="H45" s="95" t="s">
        <v>1855</v>
      </c>
      <c r="I45" s="27"/>
      <c r="J45" s="52" t="s">
        <v>1112</v>
      </c>
      <c r="K45" s="51">
        <f>IF(Table1[[#This Row],[Preferenza telefono]]="Casa",Table1[[#This Row],[Telefono casa]],IF(Table1[[#This Row],[Preferenza telefono]]="Primario",Table1[[#This Row],[Telefono primario]],"-"))</f>
        <v>3497187101</v>
      </c>
      <c r="L45" s="37" t="s">
        <v>1856</v>
      </c>
      <c r="M45" s="37" t="s">
        <v>1856</v>
      </c>
      <c r="N45" s="35" t="b">
        <f>IF(_xlfn.UNICODE( Table1[[#This Row],[Check]])=9745,TRUE,FALSE)</f>
        <v>0</v>
      </c>
    </row>
    <row r="46" spans="1:14" ht="30" customHeight="1" x14ac:dyDescent="0.25">
      <c r="A46" s="27" t="s">
        <v>1634</v>
      </c>
      <c r="B46" s="42" t="s">
        <v>286</v>
      </c>
      <c r="C46" s="27" t="s">
        <v>117</v>
      </c>
      <c r="D46" s="28">
        <v>3408109618</v>
      </c>
      <c r="E46" s="27"/>
      <c r="F46" s="27" t="s">
        <v>287</v>
      </c>
      <c r="G46" s="29">
        <v>26131</v>
      </c>
      <c r="H46" s="95" t="s">
        <v>1854</v>
      </c>
      <c r="I46" s="27"/>
      <c r="J46" s="52" t="s">
        <v>1112</v>
      </c>
      <c r="K46" s="51">
        <f>IF(Table1[[#This Row],[Preferenza telefono]]="Casa",Table1[[#This Row],[Telefono casa]],IF(Table1[[#This Row],[Preferenza telefono]]="Primario",Table1[[#This Row],[Telefono primario]],"-"))</f>
        <v>3408109618</v>
      </c>
      <c r="L46" s="37" t="s">
        <v>1856</v>
      </c>
      <c r="M46" s="37" t="s">
        <v>1856</v>
      </c>
      <c r="N46" s="35" t="b">
        <f>IF(_xlfn.UNICODE( Table1[[#This Row],[Check]])=9745,TRUE,FALSE)</f>
        <v>0</v>
      </c>
    </row>
    <row r="47" spans="1:14" ht="30" customHeight="1" x14ac:dyDescent="0.25">
      <c r="A47" s="27" t="s">
        <v>1634</v>
      </c>
      <c r="B47" s="42" t="s">
        <v>290</v>
      </c>
      <c r="C47" s="27" t="s">
        <v>291</v>
      </c>
      <c r="D47" s="28">
        <v>3296293946</v>
      </c>
      <c r="E47" s="27"/>
      <c r="F47" s="27" t="s">
        <v>292</v>
      </c>
      <c r="G47" s="29">
        <v>17882</v>
      </c>
      <c r="H47" s="95" t="s">
        <v>1854</v>
      </c>
      <c r="I47" s="27"/>
      <c r="J47" s="52" t="s">
        <v>1112</v>
      </c>
      <c r="K47" s="51">
        <f>IF(Table1[[#This Row],[Preferenza telefono]]="Casa",Table1[[#This Row],[Telefono casa]],IF(Table1[[#This Row],[Preferenza telefono]]="Primario",Table1[[#This Row],[Telefono primario]],"-"))</f>
        <v>3296293946</v>
      </c>
      <c r="L47" s="37" t="s">
        <v>1856</v>
      </c>
      <c r="M47" s="37" t="s">
        <v>1856</v>
      </c>
      <c r="N47" s="35" t="b">
        <f>IF(_xlfn.UNICODE( Table1[[#This Row],[Check]])=9745,TRUE,FALSE)</f>
        <v>0</v>
      </c>
    </row>
    <row r="48" spans="1:14" ht="30" customHeight="1" x14ac:dyDescent="0.25">
      <c r="A48" s="27" t="s">
        <v>1634</v>
      </c>
      <c r="B48" s="42" t="s">
        <v>288</v>
      </c>
      <c r="C48" s="27" t="s">
        <v>190</v>
      </c>
      <c r="D48" s="28">
        <v>3206483672</v>
      </c>
      <c r="E48" s="27"/>
      <c r="F48" s="27" t="s">
        <v>289</v>
      </c>
      <c r="G48" s="29">
        <v>23084</v>
      </c>
      <c r="H48" s="95" t="s">
        <v>1855</v>
      </c>
      <c r="I48" s="27"/>
      <c r="J48" s="52" t="s">
        <v>1112</v>
      </c>
      <c r="K48" s="51">
        <f>IF(Table1[[#This Row],[Preferenza telefono]]="Casa",Table1[[#This Row],[Telefono casa]],IF(Table1[[#This Row],[Preferenza telefono]]="Primario",Table1[[#This Row],[Telefono primario]],"-"))</f>
        <v>3206483672</v>
      </c>
      <c r="L48" s="37" t="s">
        <v>1856</v>
      </c>
      <c r="M48" s="37" t="s">
        <v>1856</v>
      </c>
      <c r="N48" s="35" t="b">
        <f>IF(_xlfn.UNICODE( Table1[[#This Row],[Check]])=9745,TRUE,FALSE)</f>
        <v>0</v>
      </c>
    </row>
    <row r="49" spans="1:14" ht="30" customHeight="1" x14ac:dyDescent="0.25">
      <c r="A49" s="27" t="s">
        <v>1634</v>
      </c>
      <c r="B49" s="42" t="s">
        <v>293</v>
      </c>
      <c r="C49" s="27" t="s">
        <v>1</v>
      </c>
      <c r="D49" s="28">
        <v>3385978076</v>
      </c>
      <c r="E49" s="27"/>
      <c r="F49" s="27" t="s">
        <v>294</v>
      </c>
      <c r="G49" s="29">
        <v>26241</v>
      </c>
      <c r="H49" s="95" t="s">
        <v>1854</v>
      </c>
      <c r="I49" s="27"/>
      <c r="J49" s="52" t="s">
        <v>1112</v>
      </c>
      <c r="K49" s="51">
        <f>IF(Table1[[#This Row],[Preferenza telefono]]="Casa",Table1[[#This Row],[Telefono casa]],IF(Table1[[#This Row],[Preferenza telefono]]="Primario",Table1[[#This Row],[Telefono primario]],"-"))</f>
        <v>3385978076</v>
      </c>
      <c r="L49" s="37" t="s">
        <v>1856</v>
      </c>
      <c r="M49" s="37" t="s">
        <v>1856</v>
      </c>
      <c r="N49" s="35" t="b">
        <f>IF(_xlfn.UNICODE( Table1[[#This Row],[Check]])=9745,TRUE,FALSE)</f>
        <v>0</v>
      </c>
    </row>
    <row r="50" spans="1:14" ht="30" customHeight="1" x14ac:dyDescent="0.25">
      <c r="A50" s="27" t="s">
        <v>1634</v>
      </c>
      <c r="B50" s="42" t="s">
        <v>298</v>
      </c>
      <c r="C50" s="27" t="s">
        <v>159</v>
      </c>
      <c r="D50" s="28">
        <v>3343779815</v>
      </c>
      <c r="E50" s="27"/>
      <c r="F50" s="27" t="s">
        <v>299</v>
      </c>
      <c r="G50" s="29" t="s">
        <v>113</v>
      </c>
      <c r="H50" s="95" t="s">
        <v>1854</v>
      </c>
      <c r="I50" s="27"/>
      <c r="J50" s="52" t="s">
        <v>1112</v>
      </c>
      <c r="K50" s="51">
        <f>IF(Table1[[#This Row],[Preferenza telefono]]="Casa",Table1[[#This Row],[Telefono casa]],IF(Table1[[#This Row],[Preferenza telefono]]="Primario",Table1[[#This Row],[Telefono primario]],"-"))</f>
        <v>3343779815</v>
      </c>
      <c r="L50" s="37" t="s">
        <v>1856</v>
      </c>
      <c r="M50" s="37" t="s">
        <v>1856</v>
      </c>
      <c r="N50" s="35" t="b">
        <f>IF(_xlfn.UNICODE( Table1[[#This Row],[Check]])=9745,TRUE,FALSE)</f>
        <v>0</v>
      </c>
    </row>
    <row r="51" spans="1:14" ht="30" customHeight="1" x14ac:dyDescent="0.25">
      <c r="A51" s="27" t="s">
        <v>1634</v>
      </c>
      <c r="B51" s="42" t="s">
        <v>300</v>
      </c>
      <c r="C51" s="27" t="s">
        <v>164</v>
      </c>
      <c r="D51" s="28">
        <v>3496161272</v>
      </c>
      <c r="E51" s="27"/>
      <c r="F51" s="27" t="s">
        <v>301</v>
      </c>
      <c r="G51" s="29">
        <v>24674</v>
      </c>
      <c r="H51" s="95" t="s">
        <v>1855</v>
      </c>
      <c r="I51" s="27"/>
      <c r="J51" s="52" t="s">
        <v>1112</v>
      </c>
      <c r="K51" s="51">
        <f>IF(Table1[[#This Row],[Preferenza telefono]]="Casa",Table1[[#This Row],[Telefono casa]],IF(Table1[[#This Row],[Preferenza telefono]]="Primario",Table1[[#This Row],[Telefono primario]],"-"))</f>
        <v>3496161272</v>
      </c>
      <c r="L51" s="37" t="s">
        <v>1856</v>
      </c>
      <c r="M51" s="37" t="s">
        <v>1856</v>
      </c>
      <c r="N51" s="35" t="b">
        <f>IF(_xlfn.UNICODE( Table1[[#This Row],[Check]])=9745,TRUE,FALSE)</f>
        <v>0</v>
      </c>
    </row>
    <row r="52" spans="1:14" ht="30" customHeight="1" x14ac:dyDescent="0.25">
      <c r="A52" s="27" t="s">
        <v>1634</v>
      </c>
      <c r="B52" s="42" t="s">
        <v>302</v>
      </c>
      <c r="C52" s="27" t="s">
        <v>303</v>
      </c>
      <c r="D52" s="28">
        <v>3661978776</v>
      </c>
      <c r="E52" s="27"/>
      <c r="F52" s="27" t="s">
        <v>304</v>
      </c>
      <c r="G52" s="29">
        <v>24727</v>
      </c>
      <c r="H52" s="95" t="s">
        <v>1854</v>
      </c>
      <c r="I52" s="27"/>
      <c r="J52" s="52" t="s">
        <v>1112</v>
      </c>
      <c r="K52" s="51">
        <f>IF(Table1[[#This Row],[Preferenza telefono]]="Casa",Table1[[#This Row],[Telefono casa]],IF(Table1[[#This Row],[Preferenza telefono]]="Primario",Table1[[#This Row],[Telefono primario]],"-"))</f>
        <v>3661978776</v>
      </c>
      <c r="L52" s="37" t="s">
        <v>1856</v>
      </c>
      <c r="M52" s="37" t="s">
        <v>1856</v>
      </c>
      <c r="N52" s="35" t="b">
        <f>IF(_xlfn.UNICODE( Table1[[#This Row],[Check]])=9745,TRUE,FALSE)</f>
        <v>0</v>
      </c>
    </row>
    <row r="53" spans="1:14" ht="30" customHeight="1" x14ac:dyDescent="0.25">
      <c r="A53" s="27" t="s">
        <v>1634</v>
      </c>
      <c r="B53" s="42" t="s">
        <v>305</v>
      </c>
      <c r="C53" s="27" t="s">
        <v>141</v>
      </c>
      <c r="D53" s="28">
        <v>3469864961</v>
      </c>
      <c r="E53" s="27"/>
      <c r="F53" s="27" t="s">
        <v>306</v>
      </c>
      <c r="G53" s="29">
        <v>27179</v>
      </c>
      <c r="H53" s="95" t="s">
        <v>1854</v>
      </c>
      <c r="I53" s="27"/>
      <c r="J53" s="52" t="s">
        <v>1112</v>
      </c>
      <c r="K53" s="51">
        <f>IF(Table1[[#This Row],[Preferenza telefono]]="Casa",Table1[[#This Row],[Telefono casa]],IF(Table1[[#This Row],[Preferenza telefono]]="Primario",Table1[[#This Row],[Telefono primario]],"-"))</f>
        <v>3469864961</v>
      </c>
      <c r="L53" s="37" t="s">
        <v>1856</v>
      </c>
      <c r="M53" s="37" t="s">
        <v>1856</v>
      </c>
      <c r="N53" s="35" t="b">
        <f>IF(_xlfn.UNICODE( Table1[[#This Row],[Check]])=9745,TRUE,FALSE)</f>
        <v>0</v>
      </c>
    </row>
    <row r="54" spans="1:14" ht="30" customHeight="1" x14ac:dyDescent="0.25">
      <c r="A54" s="27" t="s">
        <v>1634</v>
      </c>
      <c r="B54" s="48" t="s">
        <v>92</v>
      </c>
      <c r="C54" s="27" t="s">
        <v>93</v>
      </c>
      <c r="D54" s="28">
        <v>3343650465</v>
      </c>
      <c r="E54" s="27">
        <v>3209097978</v>
      </c>
      <c r="F54" s="27" t="s">
        <v>94</v>
      </c>
      <c r="G54" s="29">
        <v>21867</v>
      </c>
      <c r="H54" s="95" t="s">
        <v>1855</v>
      </c>
      <c r="I54" s="27"/>
      <c r="J54" s="52" t="s">
        <v>1112</v>
      </c>
      <c r="K54" s="51">
        <f>IF(Table1[[#This Row],[Preferenza telefono]]="Casa",Table1[[#This Row],[Telefono casa]],IF(Table1[[#This Row],[Preferenza telefono]]="Primario",Table1[[#This Row],[Telefono primario]],"-"))</f>
        <v>3343650465</v>
      </c>
      <c r="L54" s="37" t="s">
        <v>1856</v>
      </c>
      <c r="M54" s="37" t="s">
        <v>1856</v>
      </c>
      <c r="N54" s="35" t="b">
        <f>IF(_xlfn.UNICODE( Table1[[#This Row],[Check]])=9745,TRUE,FALSE)</f>
        <v>0</v>
      </c>
    </row>
    <row r="55" spans="1:14" ht="30" customHeight="1" x14ac:dyDescent="0.25">
      <c r="A55" s="27" t="s">
        <v>1634</v>
      </c>
      <c r="B55" s="47" t="s">
        <v>307</v>
      </c>
      <c r="C55" s="27" t="s">
        <v>1</v>
      </c>
      <c r="D55" s="28">
        <v>3395469217</v>
      </c>
      <c r="E55" s="27"/>
      <c r="F55" s="27" t="s">
        <v>278</v>
      </c>
      <c r="G55" s="29">
        <v>26913</v>
      </c>
      <c r="H55" s="95" t="s">
        <v>1854</v>
      </c>
      <c r="I55" s="27"/>
      <c r="J55" s="52" t="s">
        <v>1112</v>
      </c>
      <c r="K55" s="51">
        <f>IF(Table1[[#This Row],[Preferenza telefono]]="Casa",Table1[[#This Row],[Telefono casa]],IF(Table1[[#This Row],[Preferenza telefono]]="Primario",Table1[[#This Row],[Telefono primario]],"-"))</f>
        <v>3395469217</v>
      </c>
      <c r="L55" s="37" t="s">
        <v>1856</v>
      </c>
      <c r="M55" s="37" t="s">
        <v>1856</v>
      </c>
      <c r="N55" s="35" t="b">
        <f>IF(_xlfn.UNICODE( Table1[[#This Row],[Check]])=9745,TRUE,FALSE)</f>
        <v>0</v>
      </c>
    </row>
    <row r="56" spans="1:14" ht="30" customHeight="1" x14ac:dyDescent="0.25">
      <c r="A56" s="27" t="s">
        <v>1634</v>
      </c>
      <c r="B56" s="42" t="s">
        <v>295</v>
      </c>
      <c r="C56" s="27" t="s">
        <v>296</v>
      </c>
      <c r="D56" s="28">
        <v>3398847371</v>
      </c>
      <c r="E56" s="27"/>
      <c r="F56" s="27" t="s">
        <v>297</v>
      </c>
      <c r="G56" s="29">
        <v>30908</v>
      </c>
      <c r="H56" s="95" t="s">
        <v>1854</v>
      </c>
      <c r="I56" s="27"/>
      <c r="J56" s="52" t="s">
        <v>1112</v>
      </c>
      <c r="K56" s="51">
        <f>IF(Table1[[#This Row],[Preferenza telefono]]="Casa",Table1[[#This Row],[Telefono casa]],IF(Table1[[#This Row],[Preferenza telefono]]="Primario",Table1[[#This Row],[Telefono primario]],"-"))</f>
        <v>3398847371</v>
      </c>
      <c r="L56" s="37" t="s">
        <v>1856</v>
      </c>
      <c r="M56" s="37" t="s">
        <v>1856</v>
      </c>
      <c r="N56" s="35" t="b">
        <f>IF(_xlfn.UNICODE( Table1[[#This Row],[Check]])=9745,TRUE,FALSE)</f>
        <v>0</v>
      </c>
    </row>
    <row r="57" spans="1:14" ht="30" customHeight="1" x14ac:dyDescent="0.25">
      <c r="A57" s="27" t="s">
        <v>1634</v>
      </c>
      <c r="B57" s="42" t="s">
        <v>166</v>
      </c>
      <c r="C57" s="27" t="s">
        <v>164</v>
      </c>
      <c r="D57" s="28">
        <v>3393050453</v>
      </c>
      <c r="E57" s="27"/>
      <c r="F57" s="27" t="s">
        <v>308</v>
      </c>
      <c r="G57" s="29">
        <v>27256</v>
      </c>
      <c r="H57" s="95" t="s">
        <v>1855</v>
      </c>
      <c r="I57" s="27"/>
      <c r="J57" s="52" t="s">
        <v>1112</v>
      </c>
      <c r="K57" s="51">
        <f>IF(Table1[[#This Row],[Preferenza telefono]]="Casa",Table1[[#This Row],[Telefono casa]],IF(Table1[[#This Row],[Preferenza telefono]]="Primario",Table1[[#This Row],[Telefono primario]],"-"))</f>
        <v>3393050453</v>
      </c>
      <c r="L57" s="37" t="s">
        <v>1856</v>
      </c>
      <c r="M57" s="37" t="s">
        <v>1856</v>
      </c>
      <c r="N57" s="35" t="b">
        <f>IF(_xlfn.UNICODE( Table1[[#This Row],[Check]])=9745,TRUE,FALSE)</f>
        <v>0</v>
      </c>
    </row>
    <row r="58" spans="1:14" ht="30" customHeight="1" x14ac:dyDescent="0.25">
      <c r="A58" s="27" t="s">
        <v>1634</v>
      </c>
      <c r="B58" s="42" t="s">
        <v>309</v>
      </c>
      <c r="C58" s="27" t="s">
        <v>131</v>
      </c>
      <c r="D58" s="28">
        <v>3338886154</v>
      </c>
      <c r="E58" s="27"/>
      <c r="F58" s="27" t="s">
        <v>154</v>
      </c>
      <c r="G58" s="29">
        <v>25545</v>
      </c>
      <c r="H58" s="95" t="s">
        <v>1854</v>
      </c>
      <c r="I58" s="27"/>
      <c r="J58" s="52" t="s">
        <v>1112</v>
      </c>
      <c r="K58" s="51">
        <f>IF(Table1[[#This Row],[Preferenza telefono]]="Casa",Table1[[#This Row],[Telefono casa]],IF(Table1[[#This Row],[Preferenza telefono]]="Primario",Table1[[#This Row],[Telefono primario]],"-"))</f>
        <v>3338886154</v>
      </c>
      <c r="L58" s="37" t="s">
        <v>1856</v>
      </c>
      <c r="M58" s="37" t="s">
        <v>1856</v>
      </c>
      <c r="N58" s="35" t="b">
        <f>IF(_xlfn.UNICODE( Table1[[#This Row],[Check]])=9745,TRUE,FALSE)</f>
        <v>0</v>
      </c>
    </row>
    <row r="59" spans="1:14" ht="30" customHeight="1" x14ac:dyDescent="0.25">
      <c r="A59" s="27" t="s">
        <v>1634</v>
      </c>
      <c r="B59" s="46" t="s">
        <v>310</v>
      </c>
      <c r="C59" s="27" t="s">
        <v>311</v>
      </c>
      <c r="D59" s="28">
        <v>3338556313</v>
      </c>
      <c r="E59" s="27"/>
      <c r="F59" s="27" t="s">
        <v>312</v>
      </c>
      <c r="G59" s="29">
        <v>25113</v>
      </c>
      <c r="H59" s="95" t="s">
        <v>1854</v>
      </c>
      <c r="I59" s="27"/>
      <c r="J59" s="52" t="s">
        <v>1112</v>
      </c>
      <c r="K59" s="51">
        <f>IF(Table1[[#This Row],[Preferenza telefono]]="Casa",Table1[[#This Row],[Telefono casa]],IF(Table1[[#This Row],[Preferenza telefono]]="Primario",Table1[[#This Row],[Telefono primario]],"-"))</f>
        <v>3338556313</v>
      </c>
      <c r="L59" s="37" t="s">
        <v>1856</v>
      </c>
      <c r="M59" s="37" t="s">
        <v>1856</v>
      </c>
      <c r="N59" s="35" t="b">
        <f>IF(_xlfn.UNICODE( Table1[[#This Row],[Check]])=9745,TRUE,FALSE)</f>
        <v>0</v>
      </c>
    </row>
    <row r="60" spans="1:14" ht="30" customHeight="1" x14ac:dyDescent="0.25">
      <c r="A60" s="27" t="s">
        <v>1634</v>
      </c>
      <c r="B60" s="42" t="s">
        <v>313</v>
      </c>
      <c r="C60" s="27" t="s">
        <v>291</v>
      </c>
      <c r="D60" s="28">
        <v>3338580808</v>
      </c>
      <c r="E60" s="27"/>
      <c r="F60" s="27" t="s">
        <v>244</v>
      </c>
      <c r="G60" s="29">
        <v>33481</v>
      </c>
      <c r="H60" s="95" t="s">
        <v>1855</v>
      </c>
      <c r="I60" s="27"/>
      <c r="J60" s="52" t="s">
        <v>1112</v>
      </c>
      <c r="K60" s="51">
        <f>IF(Table1[[#This Row],[Preferenza telefono]]="Casa",Table1[[#This Row],[Telefono casa]],IF(Table1[[#This Row],[Preferenza telefono]]="Primario",Table1[[#This Row],[Telefono primario]],"-"))</f>
        <v>3338580808</v>
      </c>
      <c r="L60" s="37" t="s">
        <v>1856</v>
      </c>
      <c r="M60" s="37" t="s">
        <v>1856</v>
      </c>
      <c r="N60" s="35" t="b">
        <f>IF(_xlfn.UNICODE( Table1[[#This Row],[Check]])=9745,TRUE,FALSE)</f>
        <v>0</v>
      </c>
    </row>
    <row r="61" spans="1:14" ht="30" customHeight="1" x14ac:dyDescent="0.25">
      <c r="A61" s="27" t="s">
        <v>1634</v>
      </c>
      <c r="B61" s="48" t="s">
        <v>314</v>
      </c>
      <c r="C61" s="27" t="s">
        <v>291</v>
      </c>
      <c r="D61" s="28">
        <v>3395732665</v>
      </c>
      <c r="E61" s="27"/>
      <c r="F61" s="27" t="s">
        <v>198</v>
      </c>
      <c r="G61" s="29">
        <v>26628</v>
      </c>
      <c r="H61" s="95" t="s">
        <v>1854</v>
      </c>
      <c r="I61" s="27"/>
      <c r="J61" s="52" t="s">
        <v>1112</v>
      </c>
      <c r="K61" s="51">
        <f>IF(Table1[[#This Row],[Preferenza telefono]]="Casa",Table1[[#This Row],[Telefono casa]],IF(Table1[[#This Row],[Preferenza telefono]]="Primario",Table1[[#This Row],[Telefono primario]],"-"))</f>
        <v>3395732665</v>
      </c>
      <c r="L61" s="37" t="s">
        <v>1856</v>
      </c>
      <c r="M61" s="37" t="s">
        <v>1856</v>
      </c>
      <c r="N61" s="35" t="b">
        <f>IF(_xlfn.UNICODE( Table1[[#This Row],[Check]])=9745,TRUE,FALSE)</f>
        <v>0</v>
      </c>
    </row>
    <row r="62" spans="1:14" ht="30" customHeight="1" x14ac:dyDescent="0.25">
      <c r="A62" s="27" t="s">
        <v>1634</v>
      </c>
      <c r="B62" s="42" t="s">
        <v>315</v>
      </c>
      <c r="C62" s="27" t="s">
        <v>316</v>
      </c>
      <c r="D62" s="28">
        <v>3477380494</v>
      </c>
      <c r="E62" s="27"/>
      <c r="F62" s="27" t="s">
        <v>317</v>
      </c>
      <c r="G62" s="29">
        <v>23852</v>
      </c>
      <c r="H62" s="95" t="s">
        <v>1854</v>
      </c>
      <c r="I62" s="27"/>
      <c r="J62" s="52" t="s">
        <v>1112</v>
      </c>
      <c r="K62" s="51">
        <f>IF(Table1[[#This Row],[Preferenza telefono]]="Casa",Table1[[#This Row],[Telefono casa]],IF(Table1[[#This Row],[Preferenza telefono]]="Primario",Table1[[#This Row],[Telefono primario]],"-"))</f>
        <v>3477380494</v>
      </c>
      <c r="L62" s="37" t="s">
        <v>1856</v>
      </c>
      <c r="M62" s="37" t="s">
        <v>1856</v>
      </c>
      <c r="N62" s="35" t="b">
        <f>IF(_xlfn.UNICODE( Table1[[#This Row],[Check]])=9745,TRUE,FALSE)</f>
        <v>0</v>
      </c>
    </row>
    <row r="63" spans="1:14" ht="30" customHeight="1" x14ac:dyDescent="0.25">
      <c r="A63" s="27" t="s">
        <v>1634</v>
      </c>
      <c r="B63" s="42" t="s">
        <v>331</v>
      </c>
      <c r="C63" s="27" t="s">
        <v>332</v>
      </c>
      <c r="D63" s="28">
        <v>3450482676</v>
      </c>
      <c r="E63" s="27"/>
      <c r="F63" s="27" t="s">
        <v>333</v>
      </c>
      <c r="G63" s="29">
        <v>29006</v>
      </c>
      <c r="H63" s="95" t="s">
        <v>1855</v>
      </c>
      <c r="I63" s="27"/>
      <c r="J63" s="52" t="s">
        <v>1112</v>
      </c>
      <c r="K63" s="51">
        <f>IF(Table1[[#This Row],[Preferenza telefono]]="Casa",Table1[[#This Row],[Telefono casa]],IF(Table1[[#This Row],[Preferenza telefono]]="Primario",Table1[[#This Row],[Telefono primario]],"-"))</f>
        <v>3450482676</v>
      </c>
      <c r="L63" s="37" t="s">
        <v>1856</v>
      </c>
      <c r="M63" s="37" t="s">
        <v>1856</v>
      </c>
      <c r="N63" s="35" t="b">
        <f>IF(_xlfn.UNICODE( Table1[[#This Row],[Check]])=9745,TRUE,FALSE)</f>
        <v>0</v>
      </c>
    </row>
    <row r="64" spans="1:14" ht="30" customHeight="1" x14ac:dyDescent="0.25">
      <c r="A64" s="27" t="s">
        <v>1634</v>
      </c>
      <c r="B64" s="42" t="s">
        <v>322</v>
      </c>
      <c r="C64" s="27" t="s">
        <v>164</v>
      </c>
      <c r="D64" s="28">
        <v>3389157320</v>
      </c>
      <c r="E64" s="27" t="s">
        <v>323</v>
      </c>
      <c r="F64" s="27" t="s">
        <v>324</v>
      </c>
      <c r="G64" s="29">
        <v>13638</v>
      </c>
      <c r="H64" s="95" t="s">
        <v>1854</v>
      </c>
      <c r="I64" s="27"/>
      <c r="J64" s="52" t="s">
        <v>1112</v>
      </c>
      <c r="K64" s="51">
        <f>IF(Table1[[#This Row],[Preferenza telefono]]="Casa",Table1[[#This Row],[Telefono casa]],IF(Table1[[#This Row],[Preferenza telefono]]="Primario",Table1[[#This Row],[Telefono primario]],"-"))</f>
        <v>3389157320</v>
      </c>
      <c r="L64" s="37" t="s">
        <v>1856</v>
      </c>
      <c r="M64" s="37" t="s">
        <v>1856</v>
      </c>
      <c r="N64" s="35" t="b">
        <f>IF(_xlfn.UNICODE( Table1[[#This Row],[Check]])=9745,TRUE,FALSE)</f>
        <v>0</v>
      </c>
    </row>
    <row r="65" spans="1:14" ht="30" customHeight="1" x14ac:dyDescent="0.25">
      <c r="A65" s="27" t="s">
        <v>1634</v>
      </c>
      <c r="B65" s="42" t="s">
        <v>325</v>
      </c>
      <c r="C65" s="27" t="s">
        <v>141</v>
      </c>
      <c r="D65" s="28">
        <v>3389157320</v>
      </c>
      <c r="E65" s="27" t="s">
        <v>323</v>
      </c>
      <c r="F65" s="27" t="s">
        <v>324</v>
      </c>
      <c r="G65" s="29">
        <v>13638</v>
      </c>
      <c r="H65" s="95" t="s">
        <v>1854</v>
      </c>
      <c r="I65" s="27"/>
      <c r="J65" s="52" t="s">
        <v>1112</v>
      </c>
      <c r="K65" s="51">
        <f>IF(Table1[[#This Row],[Preferenza telefono]]="Casa",Table1[[#This Row],[Telefono casa]],IF(Table1[[#This Row],[Preferenza telefono]]="Primario",Table1[[#This Row],[Telefono primario]],"-"))</f>
        <v>3389157320</v>
      </c>
      <c r="L65" s="37" t="s">
        <v>1856</v>
      </c>
      <c r="M65" s="37" t="s">
        <v>1856</v>
      </c>
      <c r="N65" s="35" t="b">
        <f>IF(_xlfn.UNICODE( Table1[[#This Row],[Check]])=9745,TRUE,FALSE)</f>
        <v>0</v>
      </c>
    </row>
    <row r="66" spans="1:14" ht="30" customHeight="1" x14ac:dyDescent="0.25">
      <c r="A66" s="27" t="s">
        <v>1634</v>
      </c>
      <c r="B66" s="42" t="s">
        <v>318</v>
      </c>
      <c r="C66" s="27" t="s">
        <v>311</v>
      </c>
      <c r="D66" s="28"/>
      <c r="E66" s="27" t="s">
        <v>319</v>
      </c>
      <c r="F66" s="27" t="s">
        <v>184</v>
      </c>
      <c r="G66" s="29">
        <v>14343</v>
      </c>
      <c r="H66" s="95" t="s">
        <v>1855</v>
      </c>
      <c r="I66" s="27"/>
      <c r="J66" s="52" t="s">
        <v>1112</v>
      </c>
      <c r="K66" s="51">
        <f>IF(Table1[[#This Row],[Preferenza telefono]]="Casa",Table1[[#This Row],[Telefono casa]],IF(Table1[[#This Row],[Preferenza telefono]]="Primario",Table1[[#This Row],[Telefono primario]],"-"))</f>
        <v>0</v>
      </c>
      <c r="L66" s="37" t="s">
        <v>1856</v>
      </c>
      <c r="M66" s="37" t="s">
        <v>1856</v>
      </c>
      <c r="N66" s="35" t="b">
        <f>IF(_xlfn.UNICODE( Table1[[#This Row],[Check]])=9745,TRUE,FALSE)</f>
        <v>0</v>
      </c>
    </row>
    <row r="67" spans="1:14" ht="30" customHeight="1" x14ac:dyDescent="0.25">
      <c r="A67" s="27" t="s">
        <v>1634</v>
      </c>
      <c r="B67" s="42" t="s">
        <v>329</v>
      </c>
      <c r="C67" s="27" t="s">
        <v>141</v>
      </c>
      <c r="D67" s="28">
        <v>3396481964</v>
      </c>
      <c r="E67" s="27"/>
      <c r="F67" s="27" t="s">
        <v>330</v>
      </c>
      <c r="G67" s="29">
        <v>33262</v>
      </c>
      <c r="H67" s="95" t="s">
        <v>1854</v>
      </c>
      <c r="I67" s="27"/>
      <c r="J67" s="52" t="s">
        <v>1112</v>
      </c>
      <c r="K67" s="51">
        <f>IF(Table1[[#This Row],[Preferenza telefono]]="Casa",Table1[[#This Row],[Telefono casa]],IF(Table1[[#This Row],[Preferenza telefono]]="Primario",Table1[[#This Row],[Telefono primario]],"-"))</f>
        <v>3396481964</v>
      </c>
      <c r="L67" s="37" t="s">
        <v>1856</v>
      </c>
      <c r="M67" s="37" t="s">
        <v>1856</v>
      </c>
      <c r="N67" s="35" t="b">
        <f>IF(_xlfn.UNICODE( Table1[[#This Row],[Check]])=9745,TRUE,FALSE)</f>
        <v>0</v>
      </c>
    </row>
    <row r="68" spans="1:14" ht="30" customHeight="1" x14ac:dyDescent="0.25">
      <c r="A68" s="27" t="s">
        <v>1634</v>
      </c>
      <c r="B68" s="42" t="s">
        <v>326</v>
      </c>
      <c r="C68" s="27" t="s">
        <v>90</v>
      </c>
      <c r="D68" s="28">
        <v>3383342553</v>
      </c>
      <c r="E68" s="27"/>
      <c r="F68" s="27" t="s">
        <v>327</v>
      </c>
      <c r="G68" s="29">
        <v>19351</v>
      </c>
      <c r="H68" s="95" t="s">
        <v>1854</v>
      </c>
      <c r="I68" s="27"/>
      <c r="J68" s="52" t="s">
        <v>1112</v>
      </c>
      <c r="K68" s="51">
        <f>IF(Table1[[#This Row],[Preferenza telefono]]="Casa",Table1[[#This Row],[Telefono casa]],IF(Table1[[#This Row],[Preferenza telefono]]="Primario",Table1[[#This Row],[Telefono primario]],"-"))</f>
        <v>3383342553</v>
      </c>
      <c r="L68" s="37" t="s">
        <v>1856</v>
      </c>
      <c r="M68" s="37" t="s">
        <v>1856</v>
      </c>
      <c r="N68" s="35" t="b">
        <f>IF(_xlfn.UNICODE( Table1[[#This Row],[Check]])=9745,TRUE,FALSE)</f>
        <v>0</v>
      </c>
    </row>
    <row r="69" spans="1:14" ht="30" customHeight="1" x14ac:dyDescent="0.25">
      <c r="A69" s="27" t="s">
        <v>1634</v>
      </c>
      <c r="B69" s="42" t="s">
        <v>95</v>
      </c>
      <c r="C69" s="27" t="s">
        <v>93</v>
      </c>
      <c r="D69" s="28"/>
      <c r="E69" s="28" t="s">
        <v>96</v>
      </c>
      <c r="F69" s="27" t="s">
        <v>97</v>
      </c>
      <c r="G69" s="29">
        <v>28403</v>
      </c>
      <c r="H69" s="95" t="s">
        <v>1855</v>
      </c>
      <c r="I69" s="27"/>
      <c r="J69" s="52" t="s">
        <v>1112</v>
      </c>
      <c r="K69" s="51">
        <f>IF(Table1[[#This Row],[Preferenza telefono]]="Casa",Table1[[#This Row],[Telefono casa]],IF(Table1[[#This Row],[Preferenza telefono]]="Primario",Table1[[#This Row],[Telefono primario]],"-"))</f>
        <v>0</v>
      </c>
      <c r="L69" s="37" t="s">
        <v>1856</v>
      </c>
      <c r="M69" s="37" t="s">
        <v>1856</v>
      </c>
      <c r="N69" s="35" t="b">
        <f>IF(_xlfn.UNICODE( Table1[[#This Row],[Check]])=9745,TRUE,FALSE)</f>
        <v>0</v>
      </c>
    </row>
    <row r="70" spans="1:14" ht="30" customHeight="1" x14ac:dyDescent="0.25">
      <c r="A70" s="27" t="s">
        <v>1634</v>
      </c>
      <c r="B70" s="42" t="s">
        <v>328</v>
      </c>
      <c r="C70" s="27" t="s">
        <v>1</v>
      </c>
      <c r="D70" s="28">
        <v>3475845691</v>
      </c>
      <c r="E70" s="27"/>
      <c r="F70" s="27" t="s">
        <v>299</v>
      </c>
      <c r="G70" s="29">
        <v>30146</v>
      </c>
      <c r="H70" s="95" t="s">
        <v>1854</v>
      </c>
      <c r="I70" s="27"/>
      <c r="J70" s="52" t="s">
        <v>1112</v>
      </c>
      <c r="K70" s="51">
        <f>IF(Table1[[#This Row],[Preferenza telefono]]="Casa",Table1[[#This Row],[Telefono casa]],IF(Table1[[#This Row],[Preferenza telefono]]="Primario",Table1[[#This Row],[Telefono primario]],"-"))</f>
        <v>3475845691</v>
      </c>
      <c r="L70" s="37" t="s">
        <v>1856</v>
      </c>
      <c r="M70" s="37" t="s">
        <v>1856</v>
      </c>
      <c r="N70" s="35" t="b">
        <f>IF(_xlfn.UNICODE( Table1[[#This Row],[Check]])=9745,TRUE,FALSE)</f>
        <v>0</v>
      </c>
    </row>
    <row r="71" spans="1:14" ht="30" customHeight="1" x14ac:dyDescent="0.25">
      <c r="A71" s="27" t="s">
        <v>1634</v>
      </c>
      <c r="B71" s="42" t="s">
        <v>320</v>
      </c>
      <c r="C71" s="27" t="s">
        <v>162</v>
      </c>
      <c r="D71" s="28">
        <v>335283569</v>
      </c>
      <c r="E71" s="27"/>
      <c r="F71" s="27" t="s">
        <v>321</v>
      </c>
      <c r="G71" s="29" t="s">
        <v>113</v>
      </c>
      <c r="H71" s="95" t="s">
        <v>1854</v>
      </c>
      <c r="I71" s="27"/>
      <c r="J71" s="52" t="s">
        <v>1112</v>
      </c>
      <c r="K71" s="51">
        <f>IF(Table1[[#This Row],[Preferenza telefono]]="Casa",Table1[[#This Row],[Telefono casa]],IF(Table1[[#This Row],[Preferenza telefono]]="Primario",Table1[[#This Row],[Telefono primario]],"-"))</f>
        <v>335283569</v>
      </c>
      <c r="L71" s="37" t="s">
        <v>1856</v>
      </c>
      <c r="M71" s="37" t="s">
        <v>1856</v>
      </c>
      <c r="N71" s="35" t="b">
        <f>IF(_xlfn.UNICODE( Table1[[#This Row],[Check]])=9745,TRUE,FALSE)</f>
        <v>0</v>
      </c>
    </row>
    <row r="72" spans="1:14" ht="30" customHeight="1" x14ac:dyDescent="0.25">
      <c r="A72" s="27" t="s">
        <v>1634</v>
      </c>
      <c r="B72" s="42" t="s">
        <v>1705</v>
      </c>
      <c r="C72" s="27" t="s">
        <v>1706</v>
      </c>
      <c r="D72" s="28">
        <v>3533254514</v>
      </c>
      <c r="E72" s="27"/>
      <c r="F72" s="27" t="s">
        <v>1707</v>
      </c>
      <c r="G72" s="29">
        <v>30473</v>
      </c>
      <c r="H72" s="95" t="s">
        <v>1855</v>
      </c>
      <c r="I72" s="27"/>
      <c r="J72" s="52" t="s">
        <v>1112</v>
      </c>
      <c r="K72" s="51">
        <f>IF(Table1[[#This Row],[Preferenza telefono]]="Casa",Table1[[#This Row],[Telefono casa]],IF(Table1[[#This Row],[Preferenza telefono]]="Primario",Table1[[#This Row],[Telefono primario]],"-"))</f>
        <v>3533254514</v>
      </c>
      <c r="L72" s="37" t="s">
        <v>1856</v>
      </c>
      <c r="M72" s="37" t="s">
        <v>1856</v>
      </c>
      <c r="N72" s="35" t="b">
        <f>IF(_xlfn.UNICODE( Table1[[#This Row],[Check]])=9745,TRUE,FALSE)</f>
        <v>0</v>
      </c>
    </row>
    <row r="73" spans="1:14" ht="30" customHeight="1" x14ac:dyDescent="0.25">
      <c r="A73" s="27" t="s">
        <v>1634</v>
      </c>
      <c r="B73" s="31" t="s">
        <v>336</v>
      </c>
      <c r="C73" s="27" t="s">
        <v>109</v>
      </c>
      <c r="D73" s="28">
        <v>3772190648</v>
      </c>
      <c r="E73" s="27"/>
      <c r="F73" s="27" t="s">
        <v>327</v>
      </c>
      <c r="G73" s="29">
        <v>13573</v>
      </c>
      <c r="H73" s="95" t="s">
        <v>1854</v>
      </c>
      <c r="I73" s="27"/>
      <c r="J73" s="52" t="s">
        <v>1112</v>
      </c>
      <c r="K73" s="51">
        <f>IF(Table1[[#This Row],[Preferenza telefono]]="Casa",Table1[[#This Row],[Telefono casa]],IF(Table1[[#This Row],[Preferenza telefono]]="Primario",Table1[[#This Row],[Telefono primario]],"-"))</f>
        <v>3772190648</v>
      </c>
      <c r="L73" s="37" t="s">
        <v>1856</v>
      </c>
      <c r="M73" s="37" t="s">
        <v>1856</v>
      </c>
      <c r="N73" s="35" t="b">
        <f>IF(_xlfn.UNICODE( Table1[[#This Row],[Check]])=9745,TRUE,FALSE)</f>
        <v>0</v>
      </c>
    </row>
    <row r="74" spans="1:14" ht="30" customHeight="1" x14ac:dyDescent="0.25">
      <c r="A74" s="27" t="s">
        <v>1634</v>
      </c>
      <c r="B74" s="42" t="s">
        <v>337</v>
      </c>
      <c r="C74" s="27" t="s">
        <v>109</v>
      </c>
      <c r="D74" s="28">
        <v>3338263893</v>
      </c>
      <c r="E74" s="27"/>
      <c r="F74" s="27" t="s">
        <v>91</v>
      </c>
      <c r="G74" s="29">
        <v>26314</v>
      </c>
      <c r="H74" s="95" t="s">
        <v>1854</v>
      </c>
      <c r="I74" s="27"/>
      <c r="J74" s="52" t="s">
        <v>1112</v>
      </c>
      <c r="K74" s="51">
        <f>IF(Table1[[#This Row],[Preferenza telefono]]="Casa",Table1[[#This Row],[Telefono casa]],IF(Table1[[#This Row],[Preferenza telefono]]="Primario",Table1[[#This Row],[Telefono primario]],"-"))</f>
        <v>3338263893</v>
      </c>
      <c r="L74" s="37" t="s">
        <v>1856</v>
      </c>
      <c r="M74" s="37" t="s">
        <v>1856</v>
      </c>
      <c r="N74" s="35" t="b">
        <f>IF(_xlfn.UNICODE( Table1[[#This Row],[Check]])=9745,TRUE,FALSE)</f>
        <v>0</v>
      </c>
    </row>
    <row r="75" spans="1:14" ht="30" customHeight="1" x14ac:dyDescent="0.25">
      <c r="A75" s="27" t="s">
        <v>1634</v>
      </c>
      <c r="B75" s="42" t="s">
        <v>338</v>
      </c>
      <c r="C75" s="27" t="s">
        <v>311</v>
      </c>
      <c r="D75" s="28">
        <v>3402709854</v>
      </c>
      <c r="E75" s="27"/>
      <c r="F75" s="27" t="s">
        <v>339</v>
      </c>
      <c r="G75" s="29">
        <v>22828</v>
      </c>
      <c r="H75" s="95" t="s">
        <v>1855</v>
      </c>
      <c r="I75" s="27"/>
      <c r="J75" s="52" t="s">
        <v>1112</v>
      </c>
      <c r="K75" s="51">
        <f>IF(Table1[[#This Row],[Preferenza telefono]]="Casa",Table1[[#This Row],[Telefono casa]],IF(Table1[[#This Row],[Preferenza telefono]]="Primario",Table1[[#This Row],[Telefono primario]],"-"))</f>
        <v>3402709854</v>
      </c>
      <c r="L75" s="37" t="s">
        <v>1856</v>
      </c>
      <c r="M75" s="37" t="s">
        <v>1856</v>
      </c>
      <c r="N75" s="35" t="b">
        <f>IF(_xlfn.UNICODE( Table1[[#This Row],[Check]])=9745,TRUE,FALSE)</f>
        <v>0</v>
      </c>
    </row>
    <row r="76" spans="1:14" ht="30" customHeight="1" x14ac:dyDescent="0.25">
      <c r="A76" s="27" t="s">
        <v>1634</v>
      </c>
      <c r="B76" s="42" t="s">
        <v>341</v>
      </c>
      <c r="C76" s="27" t="s">
        <v>342</v>
      </c>
      <c r="D76" s="28"/>
      <c r="E76" s="27" t="s">
        <v>343</v>
      </c>
      <c r="F76" s="27" t="s">
        <v>344</v>
      </c>
      <c r="G76" s="29">
        <v>24333</v>
      </c>
      <c r="H76" s="95" t="s">
        <v>1854</v>
      </c>
      <c r="I76" s="27"/>
      <c r="J76" s="52" t="s">
        <v>1112</v>
      </c>
      <c r="K76" s="51">
        <f>IF(Table1[[#This Row],[Preferenza telefono]]="Casa",Table1[[#This Row],[Telefono casa]],IF(Table1[[#This Row],[Preferenza telefono]]="Primario",Table1[[#This Row],[Telefono primario]],"-"))</f>
        <v>0</v>
      </c>
      <c r="L76" s="37" t="s">
        <v>1856</v>
      </c>
      <c r="M76" s="37" t="s">
        <v>1856</v>
      </c>
      <c r="N76" s="35" t="b">
        <f>IF(_xlfn.UNICODE( Table1[[#This Row],[Check]])=9745,TRUE,FALSE)</f>
        <v>0</v>
      </c>
    </row>
    <row r="77" spans="1:14" ht="30" customHeight="1" x14ac:dyDescent="0.25">
      <c r="A77" s="27" t="s">
        <v>1634</v>
      </c>
      <c r="B77" s="42" t="s">
        <v>345</v>
      </c>
      <c r="C77" s="27" t="s">
        <v>193</v>
      </c>
      <c r="D77" s="28">
        <v>3337188922</v>
      </c>
      <c r="E77" s="27"/>
      <c r="F77" s="27" t="s">
        <v>346</v>
      </c>
      <c r="G77" s="29">
        <v>18573</v>
      </c>
      <c r="H77" s="95" t="s">
        <v>1854</v>
      </c>
      <c r="I77" s="27"/>
      <c r="J77" s="52" t="s">
        <v>1112</v>
      </c>
      <c r="K77" s="51">
        <f>IF(Table1[[#This Row],[Preferenza telefono]]="Casa",Table1[[#This Row],[Telefono casa]],IF(Table1[[#This Row],[Preferenza telefono]]="Primario",Table1[[#This Row],[Telefono primario]],"-"))</f>
        <v>3337188922</v>
      </c>
      <c r="L77" s="37" t="s">
        <v>1856</v>
      </c>
      <c r="M77" s="37" t="s">
        <v>1856</v>
      </c>
      <c r="N77" s="35" t="b">
        <f>IF(_xlfn.UNICODE( Table1[[#This Row],[Check]])=9745,TRUE,FALSE)</f>
        <v>0</v>
      </c>
    </row>
    <row r="78" spans="1:14" ht="30" customHeight="1" x14ac:dyDescent="0.25">
      <c r="A78" s="27" t="s">
        <v>1634</v>
      </c>
      <c r="B78" s="42" t="s">
        <v>347</v>
      </c>
      <c r="C78" s="27" t="s">
        <v>348</v>
      </c>
      <c r="D78" s="28" t="s">
        <v>113</v>
      </c>
      <c r="E78" s="27"/>
      <c r="F78" s="27" t="s">
        <v>349</v>
      </c>
      <c r="G78" s="29">
        <v>26098</v>
      </c>
      <c r="H78" s="95" t="s">
        <v>1855</v>
      </c>
      <c r="I78" s="27"/>
      <c r="J78" s="52" t="s">
        <v>1112</v>
      </c>
      <c r="K78" s="51" t="str">
        <f>IF(Table1[[#This Row],[Preferenza telefono]]="Casa",Table1[[#This Row],[Telefono casa]],IF(Table1[[#This Row],[Preferenza telefono]]="Primario",Table1[[#This Row],[Telefono primario]],"-"))</f>
        <v>-</v>
      </c>
      <c r="L78" s="37" t="s">
        <v>1856</v>
      </c>
      <c r="M78" s="37" t="s">
        <v>1856</v>
      </c>
      <c r="N78" s="35" t="b">
        <f>IF(_xlfn.UNICODE( Table1[[#This Row],[Check]])=9745,TRUE,FALSE)</f>
        <v>0</v>
      </c>
    </row>
    <row r="79" spans="1:14" ht="30" customHeight="1" x14ac:dyDescent="0.25">
      <c r="A79" s="27" t="s">
        <v>1634</v>
      </c>
      <c r="B79" s="46" t="s">
        <v>340</v>
      </c>
      <c r="C79" s="27" t="s">
        <v>182</v>
      </c>
      <c r="D79" s="28" t="s">
        <v>113</v>
      </c>
      <c r="E79" s="27"/>
      <c r="F79" s="27" t="s">
        <v>113</v>
      </c>
      <c r="G79" s="29">
        <v>25295</v>
      </c>
      <c r="H79" s="95" t="s">
        <v>1854</v>
      </c>
      <c r="I79" s="27"/>
      <c r="J79" s="52" t="s">
        <v>1112</v>
      </c>
      <c r="K79" s="51" t="str">
        <f>IF(Table1[[#This Row],[Preferenza telefono]]="Casa",Table1[[#This Row],[Telefono casa]],IF(Table1[[#This Row],[Preferenza telefono]]="Primario",Table1[[#This Row],[Telefono primario]],"-"))</f>
        <v>-</v>
      </c>
      <c r="L79" s="37" t="s">
        <v>1856</v>
      </c>
      <c r="M79" s="37" t="s">
        <v>1856</v>
      </c>
      <c r="N79" s="35" t="b">
        <f>IF(_xlfn.UNICODE( Table1[[#This Row],[Check]])=9745,TRUE,FALSE)</f>
        <v>0</v>
      </c>
    </row>
    <row r="80" spans="1:14" ht="30" customHeight="1" x14ac:dyDescent="0.25">
      <c r="A80" s="27" t="s">
        <v>1634</v>
      </c>
      <c r="B80" s="46" t="s">
        <v>334</v>
      </c>
      <c r="C80" s="27" t="s">
        <v>141</v>
      </c>
      <c r="D80" s="28">
        <v>3356947473</v>
      </c>
      <c r="E80" s="27"/>
      <c r="F80" s="27" t="s">
        <v>335</v>
      </c>
      <c r="G80" s="29" t="s">
        <v>113</v>
      </c>
      <c r="H80" s="95" t="s">
        <v>1854</v>
      </c>
      <c r="I80" s="27"/>
      <c r="J80" s="52" t="s">
        <v>1112</v>
      </c>
      <c r="K80" s="51">
        <f>IF(Table1[[#This Row],[Preferenza telefono]]="Casa",Table1[[#This Row],[Telefono casa]],IF(Table1[[#This Row],[Preferenza telefono]]="Primario",Table1[[#This Row],[Telefono primario]],"-"))</f>
        <v>3356947473</v>
      </c>
      <c r="L80" s="37" t="s">
        <v>1856</v>
      </c>
      <c r="M80" s="37" t="s">
        <v>1856</v>
      </c>
      <c r="N80" s="35" t="b">
        <f>IF(_xlfn.UNICODE( Table1[[#This Row],[Check]])=9745,TRUE,FALSE)</f>
        <v>0</v>
      </c>
    </row>
    <row r="81" spans="1:14" ht="30" customHeight="1" x14ac:dyDescent="0.25">
      <c r="A81" s="27" t="s">
        <v>1634</v>
      </c>
      <c r="B81" s="46" t="s">
        <v>350</v>
      </c>
      <c r="C81" s="27" t="s">
        <v>126</v>
      </c>
      <c r="D81" s="28">
        <v>3279052930</v>
      </c>
      <c r="E81" s="27"/>
      <c r="F81" s="27" t="s">
        <v>351</v>
      </c>
      <c r="G81" s="29">
        <v>31534</v>
      </c>
      <c r="H81" s="95" t="s">
        <v>1855</v>
      </c>
      <c r="I81" s="27"/>
      <c r="J81" s="52" t="s">
        <v>1112</v>
      </c>
      <c r="K81" s="51">
        <f>IF(Table1[[#This Row],[Preferenza telefono]]="Casa",Table1[[#This Row],[Telefono casa]],IF(Table1[[#This Row],[Preferenza telefono]]="Primario",Table1[[#This Row],[Telefono primario]],"-"))</f>
        <v>3279052930</v>
      </c>
      <c r="L81" s="37" t="s">
        <v>1856</v>
      </c>
      <c r="M81" s="37" t="s">
        <v>1856</v>
      </c>
      <c r="N81" s="35" t="b">
        <f>IF(_xlfn.UNICODE( Table1[[#This Row],[Check]])=9745,TRUE,FALSE)</f>
        <v>0</v>
      </c>
    </row>
    <row r="82" spans="1:14" ht="30" customHeight="1" x14ac:dyDescent="0.25">
      <c r="A82" s="27" t="s">
        <v>1634</v>
      </c>
      <c r="B82" s="46" t="s">
        <v>352</v>
      </c>
      <c r="C82" s="27" t="s">
        <v>291</v>
      </c>
      <c r="D82" s="28"/>
      <c r="E82" s="27"/>
      <c r="F82" s="27"/>
      <c r="G82" s="29">
        <v>16311</v>
      </c>
      <c r="H82" s="95" t="s">
        <v>1854</v>
      </c>
      <c r="I82" s="27"/>
      <c r="J82" s="52" t="s">
        <v>1112</v>
      </c>
      <c r="K82" s="51">
        <f>IF(Table1[[#This Row],[Preferenza telefono]]="Casa",Table1[[#This Row],[Telefono casa]],IF(Table1[[#This Row],[Preferenza telefono]]="Primario",Table1[[#This Row],[Telefono primario]],"-"))</f>
        <v>0</v>
      </c>
      <c r="L82" s="37" t="s">
        <v>1856</v>
      </c>
      <c r="M82" s="37" t="s">
        <v>1856</v>
      </c>
      <c r="N82" s="35" t="b">
        <f>IF(_xlfn.UNICODE( Table1[[#This Row],[Check]])=9745,TRUE,FALSE)</f>
        <v>0</v>
      </c>
    </row>
    <row r="83" spans="1:14" ht="30" customHeight="1" x14ac:dyDescent="0.25">
      <c r="A83" s="27" t="s">
        <v>1634</v>
      </c>
      <c r="B83" s="46" t="s">
        <v>355</v>
      </c>
      <c r="C83" s="27" t="s">
        <v>1</v>
      </c>
      <c r="D83" s="28">
        <v>3385696592</v>
      </c>
      <c r="E83" s="27"/>
      <c r="F83" s="27" t="s">
        <v>356</v>
      </c>
      <c r="G83" s="29">
        <v>27614</v>
      </c>
      <c r="H83" s="95" t="s">
        <v>1854</v>
      </c>
      <c r="I83" s="27"/>
      <c r="J83" s="52" t="s">
        <v>1112</v>
      </c>
      <c r="K83" s="51">
        <f>IF(Table1[[#This Row],[Preferenza telefono]]="Casa",Table1[[#This Row],[Telefono casa]],IF(Table1[[#This Row],[Preferenza telefono]]="Primario",Table1[[#This Row],[Telefono primario]],"-"))</f>
        <v>3385696592</v>
      </c>
      <c r="L83" s="37" t="s">
        <v>1856</v>
      </c>
      <c r="M83" s="37" t="s">
        <v>1856</v>
      </c>
      <c r="N83" s="35" t="b">
        <f>IF(_xlfn.UNICODE( Table1[[#This Row],[Check]])=9745,TRUE,FALSE)</f>
        <v>0</v>
      </c>
    </row>
    <row r="84" spans="1:14" ht="30" customHeight="1" x14ac:dyDescent="0.25">
      <c r="A84" s="27" t="s">
        <v>1634</v>
      </c>
      <c r="B84" s="42" t="s">
        <v>353</v>
      </c>
      <c r="C84" s="27" t="s">
        <v>103</v>
      </c>
      <c r="D84" s="28">
        <v>3385696592</v>
      </c>
      <c r="E84" s="27"/>
      <c r="F84" s="27" t="s">
        <v>354</v>
      </c>
      <c r="G84" s="29">
        <v>20963</v>
      </c>
      <c r="H84" s="95" t="s">
        <v>1855</v>
      </c>
      <c r="I84" s="27"/>
      <c r="J84" s="52" t="s">
        <v>1112</v>
      </c>
      <c r="K84" s="51">
        <f>IF(Table1[[#This Row],[Preferenza telefono]]="Casa",Table1[[#This Row],[Telefono casa]],IF(Table1[[#This Row],[Preferenza telefono]]="Primario",Table1[[#This Row],[Telefono primario]],"-"))</f>
        <v>3385696592</v>
      </c>
      <c r="L84" s="37" t="s">
        <v>1856</v>
      </c>
      <c r="M84" s="37" t="s">
        <v>1856</v>
      </c>
      <c r="N84" s="35" t="b">
        <f>IF(_xlfn.UNICODE( Table1[[#This Row],[Check]])=9745,TRUE,FALSE)</f>
        <v>0</v>
      </c>
    </row>
    <row r="85" spans="1:14" ht="30" customHeight="1" x14ac:dyDescent="0.25">
      <c r="A85" s="27" t="s">
        <v>1634</v>
      </c>
      <c r="B85" s="46" t="s">
        <v>357</v>
      </c>
      <c r="C85" s="27" t="s">
        <v>190</v>
      </c>
      <c r="D85" s="28">
        <v>3282653126</v>
      </c>
      <c r="E85" s="27"/>
      <c r="F85" s="27" t="s">
        <v>358</v>
      </c>
      <c r="G85" s="29">
        <v>29783</v>
      </c>
      <c r="H85" s="95" t="s">
        <v>1854</v>
      </c>
      <c r="I85" s="27"/>
      <c r="J85" s="52" t="s">
        <v>1112</v>
      </c>
      <c r="K85" s="51">
        <f>IF(Table1[[#This Row],[Preferenza telefono]]="Casa",Table1[[#This Row],[Telefono casa]],IF(Table1[[#This Row],[Preferenza telefono]]="Primario",Table1[[#This Row],[Telefono primario]],"-"))</f>
        <v>3282653126</v>
      </c>
      <c r="L85" s="37" t="s">
        <v>1856</v>
      </c>
      <c r="M85" s="37" t="s">
        <v>1856</v>
      </c>
      <c r="N85" s="35" t="b">
        <f>IF(_xlfn.UNICODE( Table1[[#This Row],[Check]])=9745,TRUE,FALSE)</f>
        <v>0</v>
      </c>
    </row>
    <row r="86" spans="1:14" ht="30" customHeight="1" x14ac:dyDescent="0.25">
      <c r="A86" s="27" t="s">
        <v>1634</v>
      </c>
      <c r="B86" s="94" t="s">
        <v>98</v>
      </c>
      <c r="C86" s="27" t="s">
        <v>1</v>
      </c>
      <c r="D86" s="28">
        <v>3929301622</v>
      </c>
      <c r="E86" s="27"/>
      <c r="F86" s="27" t="s">
        <v>99</v>
      </c>
      <c r="G86" s="29">
        <v>27614</v>
      </c>
      <c r="H86" s="95" t="s">
        <v>1854</v>
      </c>
      <c r="I86" s="27"/>
      <c r="J86" s="52" t="s">
        <v>1112</v>
      </c>
      <c r="K86" s="51">
        <f>IF(Table1[[#This Row],[Preferenza telefono]]="Casa",Table1[[#This Row],[Telefono casa]],IF(Table1[[#This Row],[Preferenza telefono]]="Primario",Table1[[#This Row],[Telefono primario]],"-"))</f>
        <v>3929301622</v>
      </c>
      <c r="L86" s="37" t="s">
        <v>1856</v>
      </c>
      <c r="M86" s="37" t="s">
        <v>1856</v>
      </c>
      <c r="N86" s="35" t="b">
        <f>IF(_xlfn.UNICODE( Table1[[#This Row],[Check]])=9745,TRUE,FALSE)</f>
        <v>0</v>
      </c>
    </row>
    <row r="87" spans="1:14" ht="30" customHeight="1" x14ac:dyDescent="0.25">
      <c r="A87" s="27" t="s">
        <v>1634</v>
      </c>
      <c r="B87" s="46" t="s">
        <v>361</v>
      </c>
      <c r="C87" s="27" t="s">
        <v>103</v>
      </c>
      <c r="D87" s="28">
        <v>3392018180</v>
      </c>
      <c r="E87" s="27"/>
      <c r="F87" s="27" t="s">
        <v>362</v>
      </c>
      <c r="G87" s="29">
        <v>11714</v>
      </c>
      <c r="H87" s="95" t="s">
        <v>1855</v>
      </c>
      <c r="I87" s="27"/>
      <c r="J87" s="52" t="s">
        <v>1112</v>
      </c>
      <c r="K87" s="51">
        <f>IF(Table1[[#This Row],[Preferenza telefono]]="Casa",Table1[[#This Row],[Telefono casa]],IF(Table1[[#This Row],[Preferenza telefono]]="Primario",Table1[[#This Row],[Telefono primario]],"-"))</f>
        <v>3392018180</v>
      </c>
      <c r="L87" s="37" t="s">
        <v>1856</v>
      </c>
      <c r="M87" s="37" t="s">
        <v>1856</v>
      </c>
      <c r="N87" s="35" t="b">
        <f>IF(_xlfn.UNICODE( Table1[[#This Row],[Check]])=9745,TRUE,FALSE)</f>
        <v>0</v>
      </c>
    </row>
    <row r="88" spans="1:14" ht="30" customHeight="1" x14ac:dyDescent="0.25">
      <c r="A88" s="27" t="s">
        <v>1634</v>
      </c>
      <c r="B88" s="49" t="s">
        <v>100</v>
      </c>
      <c r="C88" s="27" t="s">
        <v>1</v>
      </c>
      <c r="D88" s="28">
        <v>3338355184</v>
      </c>
      <c r="E88" s="27"/>
      <c r="F88" s="27" t="s">
        <v>101</v>
      </c>
      <c r="G88" s="29">
        <v>25368</v>
      </c>
      <c r="H88" s="95" t="s">
        <v>1854</v>
      </c>
      <c r="I88" s="27"/>
      <c r="J88" s="52" t="s">
        <v>1112</v>
      </c>
      <c r="K88" s="51">
        <f>IF(Table1[[#This Row],[Preferenza telefono]]="Casa",Table1[[#This Row],[Telefono casa]],IF(Table1[[#This Row],[Preferenza telefono]]="Primario",Table1[[#This Row],[Telefono primario]],"-"))</f>
        <v>3338355184</v>
      </c>
      <c r="L88" s="37" t="s">
        <v>1856</v>
      </c>
      <c r="M88" s="37" t="s">
        <v>1856</v>
      </c>
      <c r="N88" s="35" t="b">
        <f>IF(_xlfn.UNICODE( Table1[[#This Row],[Check]])=9745,TRUE,FALSE)</f>
        <v>0</v>
      </c>
    </row>
    <row r="89" spans="1:14" ht="30" customHeight="1" x14ac:dyDescent="0.25">
      <c r="A89" s="27" t="s">
        <v>1634</v>
      </c>
      <c r="B89" s="46" t="s">
        <v>366</v>
      </c>
      <c r="C89" s="27" t="s">
        <v>367</v>
      </c>
      <c r="D89" s="28">
        <v>335245118</v>
      </c>
      <c r="E89" s="27"/>
      <c r="F89" s="27" t="s">
        <v>368</v>
      </c>
      <c r="G89" s="29">
        <v>21095</v>
      </c>
      <c r="H89" s="95" t="s">
        <v>1854</v>
      </c>
      <c r="I89" s="27"/>
      <c r="J89" s="52" t="s">
        <v>1112</v>
      </c>
      <c r="K89" s="51">
        <f>IF(Table1[[#This Row],[Preferenza telefono]]="Casa",Table1[[#This Row],[Telefono casa]],IF(Table1[[#This Row],[Preferenza telefono]]="Primario",Table1[[#This Row],[Telefono primario]],"-"))</f>
        <v>335245118</v>
      </c>
      <c r="L89" s="37" t="s">
        <v>1856</v>
      </c>
      <c r="M89" s="37" t="s">
        <v>1856</v>
      </c>
      <c r="N89" s="35" t="b">
        <f>IF(_xlfn.UNICODE( Table1[[#This Row],[Check]])=9745,TRUE,FALSE)</f>
        <v>0</v>
      </c>
    </row>
    <row r="90" spans="1:14" ht="30" customHeight="1" x14ac:dyDescent="0.25">
      <c r="A90" s="27" t="s">
        <v>1634</v>
      </c>
      <c r="B90" s="46" t="s">
        <v>374</v>
      </c>
      <c r="C90" s="27" t="s">
        <v>4</v>
      </c>
      <c r="D90" s="28">
        <v>3356855885</v>
      </c>
      <c r="E90" s="27"/>
      <c r="F90" s="27" t="s">
        <v>327</v>
      </c>
      <c r="G90" s="29">
        <v>19962</v>
      </c>
      <c r="H90" s="95" t="s">
        <v>1855</v>
      </c>
      <c r="I90" s="27"/>
      <c r="J90" s="52" t="s">
        <v>1112</v>
      </c>
      <c r="K90" s="51">
        <f>IF(Table1[[#This Row],[Preferenza telefono]]="Casa",Table1[[#This Row],[Telefono casa]],IF(Table1[[#This Row],[Preferenza telefono]]="Primario",Table1[[#This Row],[Telefono primario]],"-"))</f>
        <v>3356855885</v>
      </c>
      <c r="L90" s="37" t="s">
        <v>1856</v>
      </c>
      <c r="M90" s="37" t="s">
        <v>1856</v>
      </c>
      <c r="N90" s="35" t="b">
        <f>IF(_xlfn.UNICODE( Table1[[#This Row],[Check]])=9745,TRUE,FALSE)</f>
        <v>0</v>
      </c>
    </row>
    <row r="91" spans="1:14" ht="30" customHeight="1" x14ac:dyDescent="0.25">
      <c r="A91" s="27" t="s">
        <v>1634</v>
      </c>
      <c r="B91" s="46" t="s">
        <v>369</v>
      </c>
      <c r="C91" s="27" t="s">
        <v>1</v>
      </c>
      <c r="D91" s="28">
        <v>3401202342</v>
      </c>
      <c r="E91" s="27" t="s">
        <v>370</v>
      </c>
      <c r="F91" s="27" t="s">
        <v>371</v>
      </c>
      <c r="G91" s="29">
        <v>16847</v>
      </c>
      <c r="H91" s="95" t="s">
        <v>1854</v>
      </c>
      <c r="I91" s="27"/>
      <c r="J91" s="52" t="s">
        <v>1112</v>
      </c>
      <c r="K91" s="51">
        <f>IF(Table1[[#This Row],[Preferenza telefono]]="Casa",Table1[[#This Row],[Telefono casa]],IF(Table1[[#This Row],[Preferenza telefono]]="Primario",Table1[[#This Row],[Telefono primario]],"-"))</f>
        <v>3401202342</v>
      </c>
      <c r="L91" s="37" t="s">
        <v>1856</v>
      </c>
      <c r="M91" s="37" t="s">
        <v>1856</v>
      </c>
      <c r="N91" s="35" t="b">
        <f>IF(_xlfn.UNICODE( Table1[[#This Row],[Check]])=9745,TRUE,FALSE)</f>
        <v>0</v>
      </c>
    </row>
    <row r="92" spans="1:14" ht="30" customHeight="1" x14ac:dyDescent="0.25">
      <c r="A92" s="27" t="s">
        <v>1634</v>
      </c>
      <c r="B92" s="117" t="s">
        <v>372</v>
      </c>
      <c r="C92" s="27" t="s">
        <v>1</v>
      </c>
      <c r="D92" s="28">
        <v>3385815835</v>
      </c>
      <c r="E92" s="27"/>
      <c r="F92" s="27" t="s">
        <v>373</v>
      </c>
      <c r="G92" s="29">
        <v>27460</v>
      </c>
      <c r="H92" s="95" t="s">
        <v>1854</v>
      </c>
      <c r="I92" s="27"/>
      <c r="J92" s="52" t="s">
        <v>1112</v>
      </c>
      <c r="K92" s="51">
        <f>IF(Table1[[#This Row],[Preferenza telefono]]="Casa",Table1[[#This Row],[Telefono casa]],IF(Table1[[#This Row],[Preferenza telefono]]="Primario",Table1[[#This Row],[Telefono primario]],"-"))</f>
        <v>3385815835</v>
      </c>
      <c r="L92" s="37" t="s">
        <v>1856</v>
      </c>
      <c r="M92" s="37" t="s">
        <v>1856</v>
      </c>
      <c r="N92" s="35" t="b">
        <f>IF(_xlfn.UNICODE( Table1[[#This Row],[Check]])=9745,TRUE,FALSE)</f>
        <v>0</v>
      </c>
    </row>
    <row r="93" spans="1:14" ht="30" customHeight="1" x14ac:dyDescent="0.25">
      <c r="A93" s="27" t="s">
        <v>1634</v>
      </c>
      <c r="B93" s="46" t="s">
        <v>359</v>
      </c>
      <c r="C93" s="27" t="s">
        <v>159</v>
      </c>
      <c r="D93" s="28">
        <v>3281788270</v>
      </c>
      <c r="E93" s="27"/>
      <c r="F93" s="27" t="s">
        <v>360</v>
      </c>
      <c r="G93" s="29">
        <v>31120</v>
      </c>
      <c r="H93" s="95" t="s">
        <v>1855</v>
      </c>
      <c r="I93" s="19"/>
      <c r="J93" s="52" t="s">
        <v>1112</v>
      </c>
      <c r="K93" s="51">
        <f>IF(Table1[[#This Row],[Preferenza telefono]]="Casa",Table1[[#This Row],[Telefono casa]],IF(Table1[[#This Row],[Preferenza telefono]]="Primario",Table1[[#This Row],[Telefono primario]],"-"))</f>
        <v>3281788270</v>
      </c>
      <c r="L93" s="37" t="s">
        <v>1856</v>
      </c>
      <c r="M93" s="37" t="s">
        <v>1856</v>
      </c>
      <c r="N93" s="35" t="b">
        <f>IF(_xlfn.UNICODE( Table1[[#This Row],[Check]])=9745,TRUE,FALSE)</f>
        <v>0</v>
      </c>
    </row>
    <row r="94" spans="1:14" ht="30" customHeight="1" x14ac:dyDescent="0.25">
      <c r="A94" s="27" t="s">
        <v>1634</v>
      </c>
      <c r="B94" s="46" t="s">
        <v>375</v>
      </c>
      <c r="C94" s="27" t="s">
        <v>182</v>
      </c>
      <c r="D94" s="28"/>
      <c r="E94" s="27"/>
      <c r="F94" s="27" t="s">
        <v>376</v>
      </c>
      <c r="G94" s="29">
        <v>28930</v>
      </c>
      <c r="H94" s="95" t="s">
        <v>1854</v>
      </c>
      <c r="I94" s="27"/>
      <c r="J94" s="52" t="s">
        <v>1112</v>
      </c>
      <c r="K94" s="51">
        <f>IF(Table1[[#This Row],[Preferenza telefono]]="Casa",Table1[[#This Row],[Telefono casa]],IF(Table1[[#This Row],[Preferenza telefono]]="Primario",Table1[[#This Row],[Telefono primario]],"-"))</f>
        <v>0</v>
      </c>
      <c r="L94" s="37" t="s">
        <v>1856</v>
      </c>
      <c r="M94" s="37" t="s">
        <v>1856</v>
      </c>
      <c r="N94" s="35" t="b">
        <f>IF(_xlfn.UNICODE( Table1[[#This Row],[Check]])=9745,TRUE,FALSE)</f>
        <v>0</v>
      </c>
    </row>
    <row r="95" spans="1:14" ht="30" customHeight="1" x14ac:dyDescent="0.25">
      <c r="A95" s="27" t="s">
        <v>1634</v>
      </c>
      <c r="B95" s="46" t="s">
        <v>377</v>
      </c>
      <c r="C95" s="27" t="s">
        <v>117</v>
      </c>
      <c r="D95" s="28">
        <v>3936359696</v>
      </c>
      <c r="E95" s="27"/>
      <c r="F95" s="27" t="s">
        <v>139</v>
      </c>
      <c r="G95" s="29" t="s">
        <v>113</v>
      </c>
      <c r="H95" s="95" t="s">
        <v>1854</v>
      </c>
      <c r="I95" s="27"/>
      <c r="J95" s="52" t="s">
        <v>1112</v>
      </c>
      <c r="K95" s="51">
        <f>IF(Table1[[#This Row],[Preferenza telefono]]="Casa",Table1[[#This Row],[Telefono casa]],IF(Table1[[#This Row],[Preferenza telefono]]="Primario",Table1[[#This Row],[Telefono primario]],"-"))</f>
        <v>3936359696</v>
      </c>
      <c r="L95" s="37" t="s">
        <v>1856</v>
      </c>
      <c r="M95" s="37" t="s">
        <v>1856</v>
      </c>
      <c r="N95" s="35" t="b">
        <f>IF(_xlfn.UNICODE( Table1[[#This Row],[Check]])=9745,TRUE,FALSE)</f>
        <v>0</v>
      </c>
    </row>
    <row r="96" spans="1:14" ht="30" customHeight="1" x14ac:dyDescent="0.25">
      <c r="A96" s="27" t="s">
        <v>1634</v>
      </c>
      <c r="B96" s="46" t="s">
        <v>379</v>
      </c>
      <c r="C96" s="27" t="s">
        <v>380</v>
      </c>
      <c r="D96" s="28">
        <v>3387059713</v>
      </c>
      <c r="E96" s="28"/>
      <c r="F96" s="28" t="s">
        <v>381</v>
      </c>
      <c r="G96" s="29">
        <v>29074</v>
      </c>
      <c r="H96" s="95" t="s">
        <v>1855</v>
      </c>
      <c r="I96" s="27"/>
      <c r="J96" s="52" t="s">
        <v>1112</v>
      </c>
      <c r="K96" s="51">
        <f>IF(Table1[[#This Row],[Preferenza telefono]]="Casa",Table1[[#This Row],[Telefono casa]],IF(Table1[[#This Row],[Preferenza telefono]]="Primario",Table1[[#This Row],[Telefono primario]],"-"))</f>
        <v>3387059713</v>
      </c>
      <c r="L96" s="37" t="s">
        <v>1856</v>
      </c>
      <c r="M96" s="37" t="s">
        <v>1856</v>
      </c>
      <c r="N96" s="35" t="b">
        <f>IF(_xlfn.UNICODE( Table1[[#This Row],[Check]])=9745,TRUE,FALSE)</f>
        <v>0</v>
      </c>
    </row>
    <row r="97" spans="1:14" ht="30" customHeight="1" x14ac:dyDescent="0.25">
      <c r="A97" s="27" t="s">
        <v>1634</v>
      </c>
      <c r="B97" s="46" t="s">
        <v>378</v>
      </c>
      <c r="C97" s="27" t="s">
        <v>141</v>
      </c>
      <c r="D97" s="28">
        <v>3389798026</v>
      </c>
      <c r="E97" s="28"/>
      <c r="F97" s="28" t="s">
        <v>327</v>
      </c>
      <c r="G97" s="29">
        <v>27094</v>
      </c>
      <c r="H97" s="95" t="s">
        <v>1854</v>
      </c>
      <c r="I97" s="27"/>
      <c r="J97" s="52" t="s">
        <v>1112</v>
      </c>
      <c r="K97" s="51">
        <f>IF(Table1[[#This Row],[Preferenza telefono]]="Casa",Table1[[#This Row],[Telefono casa]],IF(Table1[[#This Row],[Preferenza telefono]]="Primario",Table1[[#This Row],[Telefono primario]],"-"))</f>
        <v>3389798026</v>
      </c>
      <c r="L97" s="37" t="s">
        <v>1856</v>
      </c>
      <c r="M97" s="37" t="s">
        <v>1856</v>
      </c>
      <c r="N97" s="35" t="b">
        <f>IF(_xlfn.UNICODE( Table1[[#This Row],[Check]])=9745,TRUE,FALSE)</f>
        <v>0</v>
      </c>
    </row>
    <row r="98" spans="1:14" ht="30" customHeight="1" x14ac:dyDescent="0.25">
      <c r="A98" s="27" t="s">
        <v>1634</v>
      </c>
      <c r="B98" s="46" t="s">
        <v>385</v>
      </c>
      <c r="C98" s="27" t="s">
        <v>386</v>
      </c>
      <c r="D98" s="28">
        <v>3338062335</v>
      </c>
      <c r="E98" s="27">
        <v>3332523672</v>
      </c>
      <c r="F98" s="27" t="s">
        <v>387</v>
      </c>
      <c r="G98" s="29" t="s">
        <v>113</v>
      </c>
      <c r="H98" s="95" t="s">
        <v>1854</v>
      </c>
      <c r="I98" s="27"/>
      <c r="J98" s="52" t="s">
        <v>1112</v>
      </c>
      <c r="K98" s="51">
        <f>IF(Table1[[#This Row],[Preferenza telefono]]="Casa",Table1[[#This Row],[Telefono casa]],IF(Table1[[#This Row],[Preferenza telefono]]="Primario",Table1[[#This Row],[Telefono primario]],"-"))</f>
        <v>3338062335</v>
      </c>
      <c r="L98" s="37" t="s">
        <v>1856</v>
      </c>
      <c r="M98" s="37" t="s">
        <v>1856</v>
      </c>
      <c r="N98" s="35" t="b">
        <f>IF(_xlfn.UNICODE( Table1[[#This Row],[Check]])=9745,TRUE,FALSE)</f>
        <v>0</v>
      </c>
    </row>
    <row r="99" spans="1:14" ht="30" customHeight="1" x14ac:dyDescent="0.25">
      <c r="A99" s="27" t="s">
        <v>1634</v>
      </c>
      <c r="B99" s="42" t="s">
        <v>382</v>
      </c>
      <c r="C99" s="27" t="s">
        <v>117</v>
      </c>
      <c r="D99" s="28"/>
      <c r="E99" s="27" t="s">
        <v>383</v>
      </c>
      <c r="F99" s="27" t="s">
        <v>384</v>
      </c>
      <c r="G99" s="29">
        <v>20290</v>
      </c>
      <c r="H99" s="95" t="s">
        <v>1855</v>
      </c>
      <c r="I99" s="27"/>
      <c r="J99" s="52" t="s">
        <v>1112</v>
      </c>
      <c r="K99" s="51">
        <f>IF(Table1[[#This Row],[Preferenza telefono]]="Casa",Table1[[#This Row],[Telefono casa]],IF(Table1[[#This Row],[Preferenza telefono]]="Primario",Table1[[#This Row],[Telefono primario]],"-"))</f>
        <v>0</v>
      </c>
      <c r="L99" s="37" t="s">
        <v>1856</v>
      </c>
      <c r="M99" s="37" t="s">
        <v>1856</v>
      </c>
      <c r="N99" s="35" t="b">
        <f>IF(_xlfn.UNICODE( Table1[[#This Row],[Check]])=9745,TRUE,FALSE)</f>
        <v>0</v>
      </c>
    </row>
    <row r="100" spans="1:14" ht="30" customHeight="1" x14ac:dyDescent="0.25">
      <c r="A100" s="27" t="s">
        <v>1634</v>
      </c>
      <c r="B100" s="42" t="s">
        <v>391</v>
      </c>
      <c r="C100" s="27" t="s">
        <v>311</v>
      </c>
      <c r="D100" s="28">
        <v>3356714091</v>
      </c>
      <c r="E100" s="27"/>
      <c r="F100" s="27" t="s">
        <v>184</v>
      </c>
      <c r="G100" s="29">
        <v>19888</v>
      </c>
      <c r="H100" s="95" t="s">
        <v>1854</v>
      </c>
      <c r="I100" s="27"/>
      <c r="J100" s="52" t="s">
        <v>1112</v>
      </c>
      <c r="K100" s="51">
        <f>IF(Table1[[#This Row],[Preferenza telefono]]="Casa",Table1[[#This Row],[Telefono casa]],IF(Table1[[#This Row],[Preferenza telefono]]="Primario",Table1[[#This Row],[Telefono primario]],"-"))</f>
        <v>3356714091</v>
      </c>
      <c r="L100" s="37" t="s">
        <v>1856</v>
      </c>
      <c r="M100" s="37" t="s">
        <v>1856</v>
      </c>
      <c r="N100" s="35" t="b">
        <f>IF(_xlfn.UNICODE( Table1[[#This Row],[Check]])=9745,TRUE,FALSE)</f>
        <v>0</v>
      </c>
    </row>
    <row r="101" spans="1:14" ht="30" customHeight="1" x14ac:dyDescent="0.25">
      <c r="A101" s="27" t="s">
        <v>1634</v>
      </c>
      <c r="B101" s="46" t="s">
        <v>388</v>
      </c>
      <c r="C101" s="27" t="s">
        <v>1</v>
      </c>
      <c r="D101" s="28">
        <v>3381206396</v>
      </c>
      <c r="E101" s="27"/>
      <c r="F101" s="27" t="s">
        <v>227</v>
      </c>
      <c r="G101" s="29">
        <v>29180</v>
      </c>
      <c r="H101" s="95" t="s">
        <v>1854</v>
      </c>
      <c r="I101" s="27"/>
      <c r="J101" s="52" t="s">
        <v>1112</v>
      </c>
      <c r="K101" s="51">
        <f>IF(Table1[[#This Row],[Preferenza telefono]]="Casa",Table1[[#This Row],[Telefono casa]],IF(Table1[[#This Row],[Preferenza telefono]]="Primario",Table1[[#This Row],[Telefono primario]],"-"))</f>
        <v>3381206396</v>
      </c>
      <c r="L101" s="37" t="s">
        <v>1856</v>
      </c>
      <c r="M101" s="37" t="s">
        <v>1856</v>
      </c>
      <c r="N101" s="35" t="b">
        <f>IF(_xlfn.UNICODE( Table1[[#This Row],[Check]])=9745,TRUE,FALSE)</f>
        <v>0</v>
      </c>
    </row>
    <row r="102" spans="1:14" ht="30" customHeight="1" x14ac:dyDescent="0.25">
      <c r="A102" s="27" t="s">
        <v>1634</v>
      </c>
      <c r="B102" s="46" t="s">
        <v>392</v>
      </c>
      <c r="C102" s="27" t="s">
        <v>311</v>
      </c>
      <c r="D102" s="28">
        <v>3356714091</v>
      </c>
      <c r="E102" s="27"/>
      <c r="F102" s="27" t="s">
        <v>184</v>
      </c>
      <c r="G102" s="29">
        <v>19888</v>
      </c>
      <c r="H102" s="95" t="s">
        <v>1855</v>
      </c>
      <c r="I102" s="27"/>
      <c r="J102" s="52" t="s">
        <v>1112</v>
      </c>
      <c r="K102" s="51">
        <f>IF(Table1[[#This Row],[Preferenza telefono]]="Casa",Table1[[#This Row],[Telefono casa]],IF(Table1[[#This Row],[Preferenza telefono]]="Primario",Table1[[#This Row],[Telefono primario]],"-"))</f>
        <v>3356714091</v>
      </c>
      <c r="L102" s="37" t="s">
        <v>1856</v>
      </c>
      <c r="M102" s="37" t="s">
        <v>1856</v>
      </c>
      <c r="N102" s="35" t="b">
        <f>IF(_xlfn.UNICODE( Table1[[#This Row],[Check]])=9745,TRUE,FALSE)</f>
        <v>0</v>
      </c>
    </row>
    <row r="103" spans="1:14" ht="30" customHeight="1" x14ac:dyDescent="0.25">
      <c r="A103" s="27" t="s">
        <v>1634</v>
      </c>
      <c r="B103" s="46" t="s">
        <v>393</v>
      </c>
      <c r="C103" s="27" t="s">
        <v>311</v>
      </c>
      <c r="D103" s="28">
        <v>3356714091</v>
      </c>
      <c r="E103" s="27"/>
      <c r="F103" s="27" t="s">
        <v>184</v>
      </c>
      <c r="G103" s="29">
        <v>19888</v>
      </c>
      <c r="H103" s="95" t="s">
        <v>1854</v>
      </c>
      <c r="I103" s="27"/>
      <c r="J103" s="52" t="s">
        <v>1112</v>
      </c>
      <c r="K103" s="51">
        <f>IF(Table1[[#This Row],[Preferenza telefono]]="Casa",Table1[[#This Row],[Telefono casa]],IF(Table1[[#This Row],[Preferenza telefono]]="Primario",Table1[[#This Row],[Telefono primario]],"-"))</f>
        <v>3356714091</v>
      </c>
      <c r="L103" s="37" t="s">
        <v>1856</v>
      </c>
      <c r="M103" s="37" t="s">
        <v>1856</v>
      </c>
      <c r="N103" s="35" t="b">
        <f>IF(_xlfn.UNICODE( Table1[[#This Row],[Check]])=9745,TRUE,FALSE)</f>
        <v>0</v>
      </c>
    </row>
    <row r="104" spans="1:14" ht="30" customHeight="1" x14ac:dyDescent="0.25">
      <c r="A104" s="27" t="s">
        <v>1634</v>
      </c>
      <c r="B104" s="46" t="s">
        <v>389</v>
      </c>
      <c r="C104" s="27" t="s">
        <v>3</v>
      </c>
      <c r="D104" s="28"/>
      <c r="E104" s="27"/>
      <c r="F104" s="27" t="s">
        <v>390</v>
      </c>
      <c r="G104" s="29">
        <v>18336</v>
      </c>
      <c r="H104" s="95" t="s">
        <v>1854</v>
      </c>
      <c r="I104" s="27"/>
      <c r="J104" s="52" t="s">
        <v>1112</v>
      </c>
      <c r="K104" s="51">
        <f>IF(Table1[[#This Row],[Preferenza telefono]]="Casa",Table1[[#This Row],[Telefono casa]],IF(Table1[[#This Row],[Preferenza telefono]]="Primario",Table1[[#This Row],[Telefono primario]],"-"))</f>
        <v>0</v>
      </c>
      <c r="L104" s="37" t="s">
        <v>1856</v>
      </c>
      <c r="M104" s="37" t="s">
        <v>1856</v>
      </c>
      <c r="N104" s="35" t="b">
        <f>IF(_xlfn.UNICODE( Table1[[#This Row],[Check]])=9745,TRUE,FALSE)</f>
        <v>0</v>
      </c>
    </row>
    <row r="105" spans="1:14" ht="30" customHeight="1" x14ac:dyDescent="0.25">
      <c r="A105" s="27" t="s">
        <v>1634</v>
      </c>
      <c r="B105" s="46" t="s">
        <v>394</v>
      </c>
      <c r="C105" s="27" t="s">
        <v>106</v>
      </c>
      <c r="D105" s="28">
        <v>3775081622</v>
      </c>
      <c r="E105" s="27" t="s">
        <v>395</v>
      </c>
      <c r="F105" s="27" t="s">
        <v>327</v>
      </c>
      <c r="G105" s="29">
        <v>22646</v>
      </c>
      <c r="H105" s="95" t="s">
        <v>1855</v>
      </c>
      <c r="I105" s="27"/>
      <c r="J105" s="52" t="s">
        <v>1112</v>
      </c>
      <c r="K105" s="51">
        <f>IF(Table1[[#This Row],[Preferenza telefono]]="Casa",Table1[[#This Row],[Telefono casa]],IF(Table1[[#This Row],[Preferenza telefono]]="Primario",Table1[[#This Row],[Telefono primario]],"-"))</f>
        <v>3775081622</v>
      </c>
      <c r="L105" s="37" t="s">
        <v>1856</v>
      </c>
      <c r="M105" s="37" t="s">
        <v>1856</v>
      </c>
      <c r="N105" s="35" t="b">
        <f>IF(_xlfn.UNICODE( Table1[[#This Row],[Check]])=9745,TRUE,FALSE)</f>
        <v>0</v>
      </c>
    </row>
    <row r="106" spans="1:14" ht="30" customHeight="1" x14ac:dyDescent="0.25">
      <c r="A106" s="27" t="s">
        <v>1634</v>
      </c>
      <c r="B106" s="46" t="s">
        <v>102</v>
      </c>
      <c r="C106" s="27" t="s">
        <v>103</v>
      </c>
      <c r="D106" s="28">
        <v>3393577545</v>
      </c>
      <c r="E106" s="27"/>
      <c r="F106" s="27" t="s">
        <v>104</v>
      </c>
      <c r="G106" s="29">
        <v>32372</v>
      </c>
      <c r="H106" s="95" t="s">
        <v>1854</v>
      </c>
      <c r="I106" s="27"/>
      <c r="J106" s="52" t="s">
        <v>1112</v>
      </c>
      <c r="K106" s="51">
        <f>IF(Table1[[#This Row],[Preferenza telefono]]="Casa",Table1[[#This Row],[Telefono casa]],IF(Table1[[#This Row],[Preferenza telefono]]="Primario",Table1[[#This Row],[Telefono primario]],"-"))</f>
        <v>3393577545</v>
      </c>
      <c r="L106" s="37" t="s">
        <v>1856</v>
      </c>
      <c r="M106" s="37" t="s">
        <v>1856</v>
      </c>
      <c r="N106" s="35" t="b">
        <f>IF(_xlfn.UNICODE( Table1[[#This Row],[Check]])=9745,TRUE,FALSE)</f>
        <v>0</v>
      </c>
    </row>
    <row r="107" spans="1:14" ht="30" customHeight="1" x14ac:dyDescent="0.25">
      <c r="A107" s="27" t="s">
        <v>1634</v>
      </c>
      <c r="B107" s="46" t="s">
        <v>396</v>
      </c>
      <c r="C107" s="27" t="s">
        <v>103</v>
      </c>
      <c r="D107" s="28">
        <v>3488624795</v>
      </c>
      <c r="E107" s="27"/>
      <c r="F107" s="27" t="s">
        <v>397</v>
      </c>
      <c r="G107" s="29">
        <v>22048</v>
      </c>
      <c r="H107" s="95" t="s">
        <v>1854</v>
      </c>
      <c r="I107" s="27"/>
      <c r="J107" s="52" t="s">
        <v>1112</v>
      </c>
      <c r="K107" s="51">
        <f>IF(Table1[[#This Row],[Preferenza telefono]]="Casa",Table1[[#This Row],[Telefono casa]],IF(Table1[[#This Row],[Preferenza telefono]]="Primario",Table1[[#This Row],[Telefono primario]],"-"))</f>
        <v>3488624795</v>
      </c>
      <c r="L107" s="37" t="s">
        <v>1856</v>
      </c>
      <c r="M107" s="37" t="s">
        <v>1856</v>
      </c>
      <c r="N107" s="35" t="b">
        <f>IF(_xlfn.UNICODE( Table1[[#This Row],[Check]])=9745,TRUE,FALSE)</f>
        <v>0</v>
      </c>
    </row>
    <row r="108" spans="1:14" ht="30" customHeight="1" x14ac:dyDescent="0.25">
      <c r="A108" s="27" t="s">
        <v>1634</v>
      </c>
      <c r="B108" s="46" t="s">
        <v>1669</v>
      </c>
      <c r="C108" s="27" t="s">
        <v>141</v>
      </c>
      <c r="D108" s="28">
        <v>3392516747</v>
      </c>
      <c r="E108" s="27">
        <v>3315049419</v>
      </c>
      <c r="F108" s="27" t="s">
        <v>154</v>
      </c>
      <c r="G108" s="29" t="s">
        <v>113</v>
      </c>
      <c r="H108" s="95" t="s">
        <v>1855</v>
      </c>
      <c r="I108" s="27"/>
      <c r="J108" s="52" t="s">
        <v>1112</v>
      </c>
      <c r="K108" s="51">
        <f>IF(Table1[[#This Row],[Preferenza telefono]]="Casa",Table1[[#This Row],[Telefono casa]],IF(Table1[[#This Row],[Preferenza telefono]]="Primario",Table1[[#This Row],[Telefono primario]],"-"))</f>
        <v>3392516747</v>
      </c>
      <c r="L108" s="37" t="s">
        <v>1856</v>
      </c>
      <c r="M108" s="37" t="s">
        <v>1856</v>
      </c>
      <c r="N108" s="35" t="b">
        <f>IF(_xlfn.UNICODE( Table1[[#This Row],[Check]])=9745,TRUE,FALSE)</f>
        <v>0</v>
      </c>
    </row>
    <row r="109" spans="1:14" ht="30" customHeight="1" x14ac:dyDescent="0.25">
      <c r="A109" s="27" t="s">
        <v>1634</v>
      </c>
      <c r="B109" s="46" t="s">
        <v>398</v>
      </c>
      <c r="C109" s="27" t="s">
        <v>399</v>
      </c>
      <c r="D109" s="28">
        <v>3486001974</v>
      </c>
      <c r="E109" s="27"/>
      <c r="F109" s="27" t="s">
        <v>400</v>
      </c>
      <c r="G109" s="29">
        <v>24451</v>
      </c>
      <c r="H109" s="95" t="s">
        <v>1854</v>
      </c>
      <c r="I109" s="27"/>
      <c r="J109" s="52" t="s">
        <v>1112</v>
      </c>
      <c r="K109" s="51">
        <f>IF(Table1[[#This Row],[Preferenza telefono]]="Casa",Table1[[#This Row],[Telefono casa]],IF(Table1[[#This Row],[Preferenza telefono]]="Primario",Table1[[#This Row],[Telefono primario]],"-"))</f>
        <v>3486001974</v>
      </c>
      <c r="L109" s="37" t="s">
        <v>1856</v>
      </c>
      <c r="M109" s="37" t="s">
        <v>1856</v>
      </c>
      <c r="N109" s="35" t="b">
        <f>IF(_xlfn.UNICODE( Table1[[#This Row],[Check]])=9745,TRUE,FALSE)</f>
        <v>0</v>
      </c>
    </row>
    <row r="110" spans="1:14" ht="30" customHeight="1" x14ac:dyDescent="0.25">
      <c r="A110" s="27" t="s">
        <v>1634</v>
      </c>
      <c r="B110" s="46" t="s">
        <v>404</v>
      </c>
      <c r="C110" s="27" t="s">
        <v>123</v>
      </c>
      <c r="D110" s="28" t="s">
        <v>405</v>
      </c>
      <c r="E110" s="27" t="s">
        <v>406</v>
      </c>
      <c r="F110" s="27" t="s">
        <v>407</v>
      </c>
      <c r="G110" s="29">
        <v>20908</v>
      </c>
      <c r="H110" s="95" t="s">
        <v>1854</v>
      </c>
      <c r="I110" s="27"/>
      <c r="J110" s="52" t="s">
        <v>1112</v>
      </c>
      <c r="K110" s="51" t="str">
        <f>IF(Table1[[#This Row],[Preferenza telefono]]="Casa",Table1[[#This Row],[Telefono casa]],IF(Table1[[#This Row],[Preferenza telefono]]="Primario",Table1[[#This Row],[Telefono primario]],"-"))</f>
        <v>.</v>
      </c>
      <c r="L110" s="37" t="s">
        <v>1856</v>
      </c>
      <c r="M110" s="37" t="s">
        <v>1856</v>
      </c>
      <c r="N110" s="35" t="b">
        <f>IF(_xlfn.UNICODE( Table1[[#This Row],[Check]])=9745,TRUE,FALSE)</f>
        <v>0</v>
      </c>
    </row>
    <row r="111" spans="1:14" ht="30" customHeight="1" x14ac:dyDescent="0.25">
      <c r="A111" s="27" t="s">
        <v>1634</v>
      </c>
      <c r="B111" s="42" t="s">
        <v>401</v>
      </c>
      <c r="C111" s="27" t="s">
        <v>402</v>
      </c>
      <c r="D111" s="28">
        <v>3341071278</v>
      </c>
      <c r="E111" s="27"/>
      <c r="F111" s="27" t="s">
        <v>403</v>
      </c>
      <c r="G111" s="29">
        <v>28254</v>
      </c>
      <c r="H111" s="95" t="s">
        <v>1855</v>
      </c>
      <c r="I111" s="27"/>
      <c r="J111" s="52" t="s">
        <v>1112</v>
      </c>
      <c r="K111" s="51">
        <f>IF(Table1[[#This Row],[Preferenza telefono]]="Casa",Table1[[#This Row],[Telefono casa]],IF(Table1[[#This Row],[Preferenza telefono]]="Primario",Table1[[#This Row],[Telefono primario]],"-"))</f>
        <v>3341071278</v>
      </c>
      <c r="L111" s="37" t="s">
        <v>1856</v>
      </c>
      <c r="M111" s="37" t="s">
        <v>1856</v>
      </c>
      <c r="N111" s="35" t="b">
        <f>IF(_xlfn.UNICODE( Table1[[#This Row],[Check]])=9745,TRUE,FALSE)</f>
        <v>0</v>
      </c>
    </row>
    <row r="112" spans="1:14" ht="30" customHeight="1" x14ac:dyDescent="0.25">
      <c r="A112" s="27" t="s">
        <v>1634</v>
      </c>
      <c r="B112" s="42" t="s">
        <v>363</v>
      </c>
      <c r="C112" s="27" t="s">
        <v>364</v>
      </c>
      <c r="D112" s="28">
        <v>3511383892</v>
      </c>
      <c r="E112" s="27"/>
      <c r="F112" s="27" t="s">
        <v>365</v>
      </c>
      <c r="G112" s="29">
        <v>32854</v>
      </c>
      <c r="H112" s="95" t="s">
        <v>1854</v>
      </c>
      <c r="I112" s="27"/>
      <c r="J112" s="52" t="s">
        <v>1112</v>
      </c>
      <c r="K112" s="51">
        <f>IF(Table1[[#This Row],[Preferenza telefono]]="Casa",Table1[[#This Row],[Telefono casa]],IF(Table1[[#This Row],[Preferenza telefono]]="Primario",Table1[[#This Row],[Telefono primario]],"-"))</f>
        <v>3511383892</v>
      </c>
      <c r="L112" s="37" t="s">
        <v>1856</v>
      </c>
      <c r="M112" s="37" t="s">
        <v>1856</v>
      </c>
      <c r="N112" s="35" t="b">
        <f>IF(_xlfn.UNICODE( Table1[[#This Row],[Check]])=9745,TRUE,FALSE)</f>
        <v>0</v>
      </c>
    </row>
    <row r="113" spans="1:14" ht="30" customHeight="1" x14ac:dyDescent="0.25">
      <c r="A113" s="27" t="s">
        <v>1634</v>
      </c>
      <c r="B113" s="47" t="s">
        <v>410</v>
      </c>
      <c r="C113" s="27" t="s">
        <v>316</v>
      </c>
      <c r="D113" s="28">
        <v>3478730222</v>
      </c>
      <c r="E113" s="27"/>
      <c r="F113" s="27" t="s">
        <v>411</v>
      </c>
      <c r="G113" s="29">
        <v>24321</v>
      </c>
      <c r="H113" s="95" t="s">
        <v>1854</v>
      </c>
      <c r="I113" s="27"/>
      <c r="J113" s="52" t="s">
        <v>1112</v>
      </c>
      <c r="K113" s="51">
        <f>IF(Table1[[#This Row],[Preferenza telefono]]="Casa",Table1[[#This Row],[Telefono casa]],IF(Table1[[#This Row],[Preferenza telefono]]="Primario",Table1[[#This Row],[Telefono primario]],"-"))</f>
        <v>3478730222</v>
      </c>
      <c r="L113" s="37" t="s">
        <v>1856</v>
      </c>
      <c r="M113" s="37" t="s">
        <v>1856</v>
      </c>
      <c r="N113" s="35" t="b">
        <f>IF(_xlfn.UNICODE( Table1[[#This Row],[Check]])=9745,TRUE,FALSE)</f>
        <v>0</v>
      </c>
    </row>
    <row r="114" spans="1:14" ht="30" customHeight="1" x14ac:dyDescent="0.25">
      <c r="A114" s="27" t="s">
        <v>1634</v>
      </c>
      <c r="B114" s="47" t="s">
        <v>414</v>
      </c>
      <c r="C114" s="27" t="s">
        <v>1</v>
      </c>
      <c r="D114" s="28">
        <v>3382563755</v>
      </c>
      <c r="E114" s="27"/>
      <c r="F114" s="27" t="s">
        <v>415</v>
      </c>
      <c r="G114" s="29">
        <v>24797</v>
      </c>
      <c r="H114" s="95" t="s">
        <v>1855</v>
      </c>
      <c r="I114" s="27"/>
      <c r="J114" s="52" t="s">
        <v>1112</v>
      </c>
      <c r="K114" s="51">
        <f>IF(Table1[[#This Row],[Preferenza telefono]]="Casa",Table1[[#This Row],[Telefono casa]],IF(Table1[[#This Row],[Preferenza telefono]]="Primario",Table1[[#This Row],[Telefono primario]],"-"))</f>
        <v>3382563755</v>
      </c>
      <c r="L114" s="37" t="s">
        <v>1856</v>
      </c>
      <c r="M114" s="37" t="s">
        <v>1856</v>
      </c>
      <c r="N114" s="35" t="b">
        <f>IF(_xlfn.UNICODE( Table1[[#This Row],[Check]])=9745,TRUE,FALSE)</f>
        <v>0</v>
      </c>
    </row>
    <row r="115" spans="1:14" ht="30" customHeight="1" x14ac:dyDescent="0.25">
      <c r="A115" s="27" t="s">
        <v>1634</v>
      </c>
      <c r="B115" s="47" t="s">
        <v>412</v>
      </c>
      <c r="C115" s="27" t="s">
        <v>1</v>
      </c>
      <c r="D115" s="28">
        <v>3475003649</v>
      </c>
      <c r="E115" s="27"/>
      <c r="F115" s="27" t="s">
        <v>413</v>
      </c>
      <c r="G115" s="29">
        <v>23658</v>
      </c>
      <c r="H115" s="95" t="s">
        <v>1854</v>
      </c>
      <c r="I115" s="27"/>
      <c r="J115" s="52" t="s">
        <v>1112</v>
      </c>
      <c r="K115" s="51">
        <f>IF(Table1[[#This Row],[Preferenza telefono]]="Casa",Table1[[#This Row],[Telefono casa]],IF(Table1[[#This Row],[Preferenza telefono]]="Primario",Table1[[#This Row],[Telefono primario]],"-"))</f>
        <v>3475003649</v>
      </c>
      <c r="L115" s="37" t="s">
        <v>1856</v>
      </c>
      <c r="M115" s="37" t="s">
        <v>1856</v>
      </c>
      <c r="N115" s="35" t="b">
        <f>IF(_xlfn.UNICODE( Table1[[#This Row],[Check]])=9745,TRUE,FALSE)</f>
        <v>0</v>
      </c>
    </row>
    <row r="116" spans="1:14" ht="30" customHeight="1" x14ac:dyDescent="0.25">
      <c r="A116" s="27" t="s">
        <v>1634</v>
      </c>
      <c r="B116" s="47" t="s">
        <v>408</v>
      </c>
      <c r="C116" s="27" t="s">
        <v>282</v>
      </c>
      <c r="D116" s="28">
        <v>330211666</v>
      </c>
      <c r="E116" s="27"/>
      <c r="F116" s="27" t="s">
        <v>409</v>
      </c>
      <c r="G116" s="29">
        <v>24451</v>
      </c>
      <c r="H116" s="95" t="s">
        <v>1854</v>
      </c>
      <c r="I116" s="27"/>
      <c r="J116" s="52" t="s">
        <v>1112</v>
      </c>
      <c r="K116" s="51">
        <f>IF(Table1[[#This Row],[Preferenza telefono]]="Casa",Table1[[#This Row],[Telefono casa]],IF(Table1[[#This Row],[Preferenza telefono]]="Primario",Table1[[#This Row],[Telefono primario]],"-"))</f>
        <v>330211666</v>
      </c>
      <c r="L116" s="37" t="s">
        <v>1856</v>
      </c>
      <c r="M116" s="37" t="s">
        <v>1856</v>
      </c>
      <c r="N116" s="35" t="b">
        <f>IF(_xlfn.UNICODE( Table1[[#This Row],[Check]])=9745,TRUE,FALSE)</f>
        <v>0</v>
      </c>
    </row>
    <row r="117" spans="1:14" ht="30" customHeight="1" x14ac:dyDescent="0.25">
      <c r="A117" s="27" t="s">
        <v>1634</v>
      </c>
      <c r="B117" s="47" t="s">
        <v>424</v>
      </c>
      <c r="C117" s="27" t="s">
        <v>425</v>
      </c>
      <c r="D117" s="28">
        <v>3298123346</v>
      </c>
      <c r="E117" s="27"/>
      <c r="F117" s="27" t="s">
        <v>426</v>
      </c>
      <c r="G117" s="29">
        <v>21316</v>
      </c>
      <c r="H117" s="95" t="s">
        <v>1855</v>
      </c>
      <c r="I117" s="27"/>
      <c r="J117" s="52" t="s">
        <v>1112</v>
      </c>
      <c r="K117" s="51">
        <f>IF(Table1[[#This Row],[Preferenza telefono]]="Casa",Table1[[#This Row],[Telefono casa]],IF(Table1[[#This Row],[Preferenza telefono]]="Primario",Table1[[#This Row],[Telefono primario]],"-"))</f>
        <v>3298123346</v>
      </c>
      <c r="L117" s="37" t="s">
        <v>1856</v>
      </c>
      <c r="M117" s="37" t="s">
        <v>1856</v>
      </c>
      <c r="N117" s="35" t="b">
        <f>IF(_xlfn.UNICODE( Table1[[#This Row],[Check]])=9745,TRUE,FALSE)</f>
        <v>0</v>
      </c>
    </row>
    <row r="118" spans="1:14" ht="30" customHeight="1" x14ac:dyDescent="0.25">
      <c r="A118" s="27" t="s">
        <v>1634</v>
      </c>
      <c r="B118" s="47" t="s">
        <v>431</v>
      </c>
      <c r="C118" s="27" t="s">
        <v>117</v>
      </c>
      <c r="D118" s="28"/>
      <c r="E118" s="27" t="s">
        <v>432</v>
      </c>
      <c r="F118" s="27" t="s">
        <v>433</v>
      </c>
      <c r="G118" s="29">
        <v>21614</v>
      </c>
      <c r="H118" s="95" t="s">
        <v>1854</v>
      </c>
      <c r="I118" s="27"/>
      <c r="J118" s="52" t="s">
        <v>1112</v>
      </c>
      <c r="K118" s="51">
        <f>IF(Table1[[#This Row],[Preferenza telefono]]="Casa",Table1[[#This Row],[Telefono casa]],IF(Table1[[#This Row],[Preferenza telefono]]="Primario",Table1[[#This Row],[Telefono primario]],"-"))</f>
        <v>0</v>
      </c>
      <c r="L118" s="37" t="s">
        <v>1856</v>
      </c>
      <c r="M118" s="37" t="s">
        <v>1856</v>
      </c>
      <c r="N118" s="35" t="b">
        <f>IF(_xlfn.UNICODE( Table1[[#This Row],[Check]])=9745,TRUE,FALSE)</f>
        <v>0</v>
      </c>
    </row>
    <row r="119" spans="1:14" ht="30" customHeight="1" x14ac:dyDescent="0.25">
      <c r="A119" s="27" t="s">
        <v>1634</v>
      </c>
      <c r="B119" s="42" t="s">
        <v>421</v>
      </c>
      <c r="C119" s="27" t="s">
        <v>1</v>
      </c>
      <c r="D119" s="28" t="s">
        <v>422</v>
      </c>
      <c r="E119" s="27"/>
      <c r="F119" s="27" t="s">
        <v>423</v>
      </c>
      <c r="G119" s="29">
        <v>11999</v>
      </c>
      <c r="H119" s="95" t="s">
        <v>1854</v>
      </c>
      <c r="I119" s="27"/>
      <c r="J119" s="52" t="s">
        <v>1112</v>
      </c>
      <c r="K119" s="51" t="str">
        <f>IF(Table1[[#This Row],[Preferenza telefono]]="Casa",Table1[[#This Row],[Telefono casa]],IF(Table1[[#This Row],[Preferenza telefono]]="Primario",Table1[[#This Row],[Telefono primario]],"-"))</f>
        <v>.0382970520</v>
      </c>
      <c r="L119" s="37" t="s">
        <v>1856</v>
      </c>
      <c r="M119" s="37" t="s">
        <v>1856</v>
      </c>
      <c r="N119" s="35" t="b">
        <f>IF(_xlfn.UNICODE( Table1[[#This Row],[Check]])=9745,TRUE,FALSE)</f>
        <v>0</v>
      </c>
    </row>
    <row r="120" spans="1:14" ht="30" customHeight="1" x14ac:dyDescent="0.25">
      <c r="A120" s="27" t="s">
        <v>1634</v>
      </c>
      <c r="B120" s="42" t="s">
        <v>416</v>
      </c>
      <c r="C120" s="27" t="s">
        <v>4</v>
      </c>
      <c r="D120" s="28"/>
      <c r="E120" s="27" t="s">
        <v>417</v>
      </c>
      <c r="F120" s="27" t="s">
        <v>418</v>
      </c>
      <c r="G120" s="29">
        <v>9931</v>
      </c>
      <c r="H120" s="95" t="s">
        <v>1855</v>
      </c>
      <c r="I120" s="27"/>
      <c r="J120" s="52" t="s">
        <v>1112</v>
      </c>
      <c r="K120" s="51">
        <f>IF(Table1[[#This Row],[Preferenza telefono]]="Casa",Table1[[#This Row],[Telefono casa]],IF(Table1[[#This Row],[Preferenza telefono]]="Primario",Table1[[#This Row],[Telefono primario]],"-"))</f>
        <v>0</v>
      </c>
      <c r="L120" s="37" t="s">
        <v>1856</v>
      </c>
      <c r="M120" s="37" t="s">
        <v>1856</v>
      </c>
      <c r="N120" s="35" t="b">
        <f>IF(_xlfn.UNICODE( Table1[[#This Row],[Check]])=9745,TRUE,FALSE)</f>
        <v>0</v>
      </c>
    </row>
    <row r="121" spans="1:14" ht="30" customHeight="1" x14ac:dyDescent="0.25">
      <c r="A121" s="27" t="s">
        <v>1634</v>
      </c>
      <c r="B121" s="42" t="s">
        <v>419</v>
      </c>
      <c r="C121" s="27" t="s">
        <v>1</v>
      </c>
      <c r="D121" s="28">
        <v>3396325901</v>
      </c>
      <c r="E121" s="27">
        <v>3342869607</v>
      </c>
      <c r="F121" s="27" t="s">
        <v>420</v>
      </c>
      <c r="G121" s="29">
        <v>20736</v>
      </c>
      <c r="H121" s="95" t="s">
        <v>1854</v>
      </c>
      <c r="I121" s="27"/>
      <c r="J121" s="52" t="s">
        <v>1112</v>
      </c>
      <c r="K121" s="51">
        <f>IF(Table1[[#This Row],[Preferenza telefono]]="Casa",Table1[[#This Row],[Telefono casa]],IF(Table1[[#This Row],[Preferenza telefono]]="Primario",Table1[[#This Row],[Telefono primario]],"-"))</f>
        <v>3396325901</v>
      </c>
      <c r="L121" s="37" t="s">
        <v>1856</v>
      </c>
      <c r="M121" s="37" t="s">
        <v>1856</v>
      </c>
      <c r="N121" s="35" t="b">
        <f>IF(_xlfn.UNICODE( Table1[[#This Row],[Check]])=9745,TRUE,FALSE)</f>
        <v>0</v>
      </c>
    </row>
    <row r="122" spans="1:14" ht="30" customHeight="1" x14ac:dyDescent="0.25">
      <c r="A122" s="27" t="s">
        <v>1634</v>
      </c>
      <c r="B122" s="42" t="s">
        <v>556</v>
      </c>
      <c r="C122" s="27" t="s">
        <v>557</v>
      </c>
      <c r="D122" s="28">
        <v>3282120596</v>
      </c>
      <c r="E122" s="27"/>
      <c r="F122" s="27" t="s">
        <v>107</v>
      </c>
      <c r="G122" s="29" t="s">
        <v>113</v>
      </c>
      <c r="H122" s="95" t="s">
        <v>1854</v>
      </c>
      <c r="I122" s="27"/>
      <c r="J122" s="52" t="s">
        <v>1112</v>
      </c>
      <c r="K122" s="51">
        <f>IF(Table1[[#This Row],[Preferenza telefono]]="Casa",Table1[[#This Row],[Telefono casa]],IF(Table1[[#This Row],[Preferenza telefono]]="Primario",Table1[[#This Row],[Telefono primario]],"-"))</f>
        <v>3282120596</v>
      </c>
      <c r="L122" s="37" t="s">
        <v>1856</v>
      </c>
      <c r="M122" s="37" t="s">
        <v>1856</v>
      </c>
      <c r="N122" s="35" t="b">
        <f>IF(_xlfn.UNICODE( Table1[[#This Row],[Check]])=9745,TRUE,FALSE)</f>
        <v>0</v>
      </c>
    </row>
    <row r="123" spans="1:14" ht="30" customHeight="1" x14ac:dyDescent="0.25">
      <c r="A123" s="27" t="s">
        <v>1634</v>
      </c>
      <c r="B123" s="42" t="s">
        <v>427</v>
      </c>
      <c r="C123" s="27" t="s">
        <v>141</v>
      </c>
      <c r="D123" s="28">
        <v>3494926388</v>
      </c>
      <c r="E123" s="27"/>
      <c r="F123" s="27" t="s">
        <v>233</v>
      </c>
      <c r="G123" s="29">
        <v>23961</v>
      </c>
      <c r="H123" s="95" t="s">
        <v>1855</v>
      </c>
      <c r="I123" s="27"/>
      <c r="J123" s="52" t="s">
        <v>1112</v>
      </c>
      <c r="K123" s="51">
        <f>IF(Table1[[#This Row],[Preferenza telefono]]="Casa",Table1[[#This Row],[Telefono casa]],IF(Table1[[#This Row],[Preferenza telefono]]="Primario",Table1[[#This Row],[Telefono primario]],"-"))</f>
        <v>3494926388</v>
      </c>
      <c r="L123" s="37" t="s">
        <v>1856</v>
      </c>
      <c r="M123" s="37" t="s">
        <v>1856</v>
      </c>
      <c r="N123" s="35" t="b">
        <f>IF(_xlfn.UNICODE( Table1[[#This Row],[Check]])=9745,TRUE,FALSE)</f>
        <v>0</v>
      </c>
    </row>
    <row r="124" spans="1:14" ht="30" customHeight="1" x14ac:dyDescent="0.25">
      <c r="A124" s="27" t="s">
        <v>1634</v>
      </c>
      <c r="B124" s="47" t="s">
        <v>428</v>
      </c>
      <c r="C124" s="27" t="s">
        <v>3</v>
      </c>
      <c r="D124" s="28"/>
      <c r="E124" s="27" t="s">
        <v>429</v>
      </c>
      <c r="F124" s="27" t="s">
        <v>430</v>
      </c>
      <c r="G124" s="29">
        <v>19336</v>
      </c>
      <c r="H124" s="95" t="s">
        <v>1854</v>
      </c>
      <c r="I124" s="27"/>
      <c r="J124" s="52" t="s">
        <v>1112</v>
      </c>
      <c r="K124" s="51">
        <f>IF(Table1[[#This Row],[Preferenza telefono]]="Casa",Table1[[#This Row],[Telefono casa]],IF(Table1[[#This Row],[Preferenza telefono]]="Primario",Table1[[#This Row],[Telefono primario]],"-"))</f>
        <v>0</v>
      </c>
      <c r="L124" s="37" t="s">
        <v>1856</v>
      </c>
      <c r="M124" s="37" t="s">
        <v>1856</v>
      </c>
      <c r="N124" s="35" t="b">
        <f>IF(_xlfn.UNICODE( Table1[[#This Row],[Check]])=9745,TRUE,FALSE)</f>
        <v>0</v>
      </c>
    </row>
    <row r="125" spans="1:14" ht="30" customHeight="1" x14ac:dyDescent="0.25">
      <c r="A125" s="27" t="s">
        <v>1634</v>
      </c>
      <c r="B125" s="47" t="s">
        <v>434</v>
      </c>
      <c r="C125" s="27" t="s">
        <v>126</v>
      </c>
      <c r="D125" s="28">
        <v>3388457662</v>
      </c>
      <c r="E125" s="27"/>
      <c r="F125" s="27" t="s">
        <v>435</v>
      </c>
      <c r="G125" s="29">
        <v>16991</v>
      </c>
      <c r="H125" s="95" t="s">
        <v>1854</v>
      </c>
      <c r="I125" s="27"/>
      <c r="J125" s="52" t="s">
        <v>1112</v>
      </c>
      <c r="K125" s="51">
        <f>IF(Table1[[#This Row],[Preferenza telefono]]="Casa",Table1[[#This Row],[Telefono casa]],IF(Table1[[#This Row],[Preferenza telefono]]="Primario",Table1[[#This Row],[Telefono primario]],"-"))</f>
        <v>3388457662</v>
      </c>
      <c r="L125" s="37" t="s">
        <v>1856</v>
      </c>
      <c r="M125" s="37" t="s">
        <v>1856</v>
      </c>
      <c r="N125" s="35" t="b">
        <f>IF(_xlfn.UNICODE( Table1[[#This Row],[Check]])=9745,TRUE,FALSE)</f>
        <v>0</v>
      </c>
    </row>
    <row r="126" spans="1:14" ht="30" customHeight="1" x14ac:dyDescent="0.25">
      <c r="A126" s="27" t="s">
        <v>1634</v>
      </c>
      <c r="B126" s="42" t="s">
        <v>436</v>
      </c>
      <c r="C126" s="27" t="s">
        <v>437</v>
      </c>
      <c r="D126" s="28"/>
      <c r="E126" s="27"/>
      <c r="F126" s="27" t="s">
        <v>438</v>
      </c>
      <c r="G126" s="29">
        <v>27084</v>
      </c>
      <c r="H126" s="95" t="s">
        <v>1855</v>
      </c>
      <c r="I126" s="27"/>
      <c r="J126" s="52" t="s">
        <v>1112</v>
      </c>
      <c r="K126" s="51">
        <f>IF(Table1[[#This Row],[Preferenza telefono]]="Casa",Table1[[#This Row],[Telefono casa]],IF(Table1[[#This Row],[Preferenza telefono]]="Primario",Table1[[#This Row],[Telefono primario]],"-"))</f>
        <v>0</v>
      </c>
      <c r="L126" s="37" t="s">
        <v>1856</v>
      </c>
      <c r="M126" s="37" t="s">
        <v>1856</v>
      </c>
      <c r="N126" s="35" t="b">
        <f>IF(_xlfn.UNICODE( Table1[[#This Row],[Check]])=9745,TRUE,FALSE)</f>
        <v>0</v>
      </c>
    </row>
    <row r="127" spans="1:14" ht="30" customHeight="1" x14ac:dyDescent="0.25">
      <c r="A127" s="27" t="s">
        <v>1634</v>
      </c>
      <c r="B127" s="47" t="s">
        <v>439</v>
      </c>
      <c r="C127" s="27" t="s">
        <v>109</v>
      </c>
      <c r="D127" s="28">
        <v>3773210414</v>
      </c>
      <c r="E127" s="27"/>
      <c r="F127" s="27" t="s">
        <v>186</v>
      </c>
      <c r="G127" s="29">
        <v>19031</v>
      </c>
      <c r="H127" s="95" t="s">
        <v>1854</v>
      </c>
      <c r="I127" s="27"/>
      <c r="J127" s="52" t="s">
        <v>1112</v>
      </c>
      <c r="K127" s="51">
        <f>IF(Table1[[#This Row],[Preferenza telefono]]="Casa",Table1[[#This Row],[Telefono casa]],IF(Table1[[#This Row],[Preferenza telefono]]="Primario",Table1[[#This Row],[Telefono primario]],"-"))</f>
        <v>3773210414</v>
      </c>
      <c r="L127" s="37" t="s">
        <v>1856</v>
      </c>
      <c r="M127" s="37" t="s">
        <v>1856</v>
      </c>
      <c r="N127" s="35" t="b">
        <f>IF(_xlfn.UNICODE( Table1[[#This Row],[Check]])=9745,TRUE,FALSE)</f>
        <v>0</v>
      </c>
    </row>
    <row r="128" spans="1:14" ht="30" customHeight="1" x14ac:dyDescent="0.25">
      <c r="A128" s="27" t="s">
        <v>1634</v>
      </c>
      <c r="B128" s="47" t="s">
        <v>440</v>
      </c>
      <c r="C128" s="27" t="s">
        <v>109</v>
      </c>
      <c r="D128" s="28">
        <v>3773210414</v>
      </c>
      <c r="E128" s="27"/>
      <c r="F128" s="27" t="s">
        <v>186</v>
      </c>
      <c r="G128" s="29">
        <v>19031</v>
      </c>
      <c r="H128" s="95" t="s">
        <v>1854</v>
      </c>
      <c r="I128" s="27"/>
      <c r="J128" s="52" t="s">
        <v>1112</v>
      </c>
      <c r="K128" s="51">
        <f>IF(Table1[[#This Row],[Preferenza telefono]]="Casa",Table1[[#This Row],[Telefono casa]],IF(Table1[[#This Row],[Preferenza telefono]]="Primario",Table1[[#This Row],[Telefono primario]],"-"))</f>
        <v>3773210414</v>
      </c>
      <c r="L128" s="37" t="s">
        <v>1856</v>
      </c>
      <c r="M128" s="37" t="s">
        <v>1856</v>
      </c>
      <c r="N128" s="35" t="b">
        <f>IF(_xlfn.UNICODE( Table1[[#This Row],[Check]])=9745,TRUE,FALSE)</f>
        <v>0</v>
      </c>
    </row>
    <row r="129" spans="1:14" ht="30" customHeight="1" x14ac:dyDescent="0.25">
      <c r="A129" s="27" t="s">
        <v>1634</v>
      </c>
      <c r="B129" s="31" t="s">
        <v>441</v>
      </c>
      <c r="C129" s="27" t="s">
        <v>442</v>
      </c>
      <c r="D129" s="28">
        <v>3478329720</v>
      </c>
      <c r="E129" s="27"/>
      <c r="F129" s="27" t="s">
        <v>285</v>
      </c>
      <c r="G129" s="29">
        <v>26421</v>
      </c>
      <c r="H129" s="95" t="s">
        <v>1855</v>
      </c>
      <c r="I129" s="27"/>
      <c r="J129" s="52" t="s">
        <v>1112</v>
      </c>
      <c r="K129" s="51">
        <f>IF(Table1[[#This Row],[Preferenza telefono]]="Casa",Table1[[#This Row],[Telefono casa]],IF(Table1[[#This Row],[Preferenza telefono]]="Primario",Table1[[#This Row],[Telefono primario]],"-"))</f>
        <v>3478329720</v>
      </c>
      <c r="L129" s="37" t="s">
        <v>1856</v>
      </c>
      <c r="M129" s="37" t="s">
        <v>1856</v>
      </c>
      <c r="N129" s="35" t="b">
        <f>IF(_xlfn.UNICODE( Table1[[#This Row],[Check]])=9745,TRUE,FALSE)</f>
        <v>0</v>
      </c>
    </row>
    <row r="130" spans="1:14" ht="30" customHeight="1" x14ac:dyDescent="0.25">
      <c r="A130" s="27" t="s">
        <v>1634</v>
      </c>
      <c r="B130" s="47" t="s">
        <v>443</v>
      </c>
      <c r="C130" s="27" t="s">
        <v>444</v>
      </c>
      <c r="D130" s="28" t="s">
        <v>113</v>
      </c>
      <c r="E130" s="27"/>
      <c r="F130" s="27" t="s">
        <v>113</v>
      </c>
      <c r="G130" s="29" t="s">
        <v>113</v>
      </c>
      <c r="H130" s="95" t="s">
        <v>1854</v>
      </c>
      <c r="I130" s="27"/>
      <c r="J130" s="52" t="s">
        <v>1112</v>
      </c>
      <c r="K130" s="51" t="str">
        <f>IF(Table1[[#This Row],[Preferenza telefono]]="Casa",Table1[[#This Row],[Telefono casa]],IF(Table1[[#This Row],[Preferenza telefono]]="Primario",Table1[[#This Row],[Telefono primario]],"-"))</f>
        <v>-</v>
      </c>
      <c r="L130" s="37" t="s">
        <v>1856</v>
      </c>
      <c r="M130" s="37" t="s">
        <v>1856</v>
      </c>
      <c r="N130" s="35" t="b">
        <f>IF(_xlfn.UNICODE( Table1[[#This Row],[Check]])=9745,TRUE,FALSE)</f>
        <v>0</v>
      </c>
    </row>
    <row r="131" spans="1:14" ht="30" customHeight="1" x14ac:dyDescent="0.25">
      <c r="A131" s="27" t="s">
        <v>1634</v>
      </c>
      <c r="B131" s="47" t="s">
        <v>445</v>
      </c>
      <c r="C131" s="27" t="s">
        <v>444</v>
      </c>
      <c r="D131" s="28">
        <v>3470975448</v>
      </c>
      <c r="E131" s="27"/>
      <c r="F131" s="27" t="s">
        <v>446</v>
      </c>
      <c r="G131" s="29">
        <v>29995</v>
      </c>
      <c r="H131" s="95" t="s">
        <v>1854</v>
      </c>
      <c r="I131" s="27"/>
      <c r="J131" s="52" t="s">
        <v>1112</v>
      </c>
      <c r="K131" s="51">
        <f>IF(Table1[[#This Row],[Preferenza telefono]]="Casa",Table1[[#This Row],[Telefono casa]],IF(Table1[[#This Row],[Preferenza telefono]]="Primario",Table1[[#This Row],[Telefono primario]],"-"))</f>
        <v>3470975448</v>
      </c>
      <c r="L131" s="37" t="s">
        <v>1856</v>
      </c>
      <c r="M131" s="37" t="s">
        <v>1856</v>
      </c>
      <c r="N131" s="35" t="b">
        <f>IF(_xlfn.UNICODE( Table1[[#This Row],[Check]])=9745,TRUE,FALSE)</f>
        <v>0</v>
      </c>
    </row>
    <row r="132" spans="1:14" ht="30" customHeight="1" x14ac:dyDescent="0.25">
      <c r="A132" s="27" t="s">
        <v>1634</v>
      </c>
      <c r="B132" s="42" t="s">
        <v>447</v>
      </c>
      <c r="C132" s="27" t="s">
        <v>448</v>
      </c>
      <c r="D132" s="28">
        <v>3383888973</v>
      </c>
      <c r="E132" s="27"/>
      <c r="F132" s="27" t="s">
        <v>449</v>
      </c>
      <c r="G132" s="29">
        <v>21809</v>
      </c>
      <c r="H132" s="95" t="s">
        <v>1855</v>
      </c>
      <c r="I132" s="27"/>
      <c r="J132" s="52" t="s">
        <v>1112</v>
      </c>
      <c r="K132" s="51">
        <f>IF(Table1[[#This Row],[Preferenza telefono]]="Casa",Table1[[#This Row],[Telefono casa]],IF(Table1[[#This Row],[Preferenza telefono]]="Primario",Table1[[#This Row],[Telefono primario]],"-"))</f>
        <v>3383888973</v>
      </c>
      <c r="L132" s="37" t="s">
        <v>1856</v>
      </c>
      <c r="M132" s="37" t="s">
        <v>1856</v>
      </c>
      <c r="N132" s="35" t="b">
        <f>IF(_xlfn.UNICODE( Table1[[#This Row],[Check]])=9745,TRUE,FALSE)</f>
        <v>0</v>
      </c>
    </row>
    <row r="133" spans="1:14" ht="30" customHeight="1" x14ac:dyDescent="0.25">
      <c r="A133" s="27" t="s">
        <v>1634</v>
      </c>
      <c r="B133" s="42" t="s">
        <v>1670</v>
      </c>
      <c r="C133" s="27" t="s">
        <v>448</v>
      </c>
      <c r="D133" s="28">
        <v>3383888973</v>
      </c>
      <c r="E133" s="27"/>
      <c r="F133" s="27" t="s">
        <v>449</v>
      </c>
      <c r="G133" s="29" t="s">
        <v>113</v>
      </c>
      <c r="H133" s="95" t="s">
        <v>1854</v>
      </c>
      <c r="I133" s="27"/>
      <c r="J133" s="52" t="s">
        <v>1112</v>
      </c>
      <c r="K133" s="51">
        <f>IF(Table1[[#This Row],[Preferenza telefono]]="Casa",Table1[[#This Row],[Telefono casa]],IF(Table1[[#This Row],[Preferenza telefono]]="Primario",Table1[[#This Row],[Telefono primario]],"-"))</f>
        <v>3383888973</v>
      </c>
      <c r="L133" s="37" t="s">
        <v>1856</v>
      </c>
      <c r="M133" s="37" t="s">
        <v>1856</v>
      </c>
      <c r="N133" s="35" t="b">
        <f>IF(_xlfn.UNICODE( Table1[[#This Row],[Check]])=9745,TRUE,FALSE)</f>
        <v>0</v>
      </c>
    </row>
    <row r="134" spans="1:14" ht="30" customHeight="1" x14ac:dyDescent="0.25">
      <c r="A134" s="27" t="s">
        <v>1634</v>
      </c>
      <c r="B134" s="42" t="s">
        <v>450</v>
      </c>
      <c r="C134" s="27" t="s">
        <v>282</v>
      </c>
      <c r="D134" s="28">
        <v>3477597278</v>
      </c>
      <c r="E134" s="27"/>
      <c r="F134" s="27" t="s">
        <v>259</v>
      </c>
      <c r="G134" s="29">
        <v>19619</v>
      </c>
      <c r="H134" s="95" t="s">
        <v>1854</v>
      </c>
      <c r="I134" s="27"/>
      <c r="J134" s="52" t="s">
        <v>1112</v>
      </c>
      <c r="K134" s="51">
        <f>IF(Table1[[#This Row],[Preferenza telefono]]="Casa",Table1[[#This Row],[Telefono casa]],IF(Table1[[#This Row],[Preferenza telefono]]="Primario",Table1[[#This Row],[Telefono primario]],"-"))</f>
        <v>3477597278</v>
      </c>
      <c r="L134" s="37" t="s">
        <v>1856</v>
      </c>
      <c r="M134" s="37" t="s">
        <v>1856</v>
      </c>
      <c r="N134" s="35" t="b">
        <f>IF(_xlfn.UNICODE( Table1[[#This Row],[Check]])=9745,TRUE,FALSE)</f>
        <v>0</v>
      </c>
    </row>
    <row r="135" spans="1:14" ht="30" customHeight="1" x14ac:dyDescent="0.25">
      <c r="A135" s="27" t="s">
        <v>1634</v>
      </c>
      <c r="B135" s="42" t="s">
        <v>1790</v>
      </c>
      <c r="C135" s="27" t="s">
        <v>342</v>
      </c>
      <c r="D135" s="28"/>
      <c r="E135" s="28"/>
      <c r="F135" s="27"/>
      <c r="G135" s="29"/>
      <c r="H135" s="95" t="s">
        <v>1855</v>
      </c>
      <c r="I135" s="101"/>
      <c r="J135" s="52" t="s">
        <v>1112</v>
      </c>
      <c r="K135" s="51">
        <f>IF(Table1[[#This Row],[Preferenza telefono]]="Casa",Table1[[#This Row],[Telefono casa]],IF(Table1[[#This Row],[Preferenza telefono]]="Primario",Table1[[#This Row],[Telefono primario]],"-"))</f>
        <v>0</v>
      </c>
      <c r="L135" s="37" t="s">
        <v>1856</v>
      </c>
      <c r="M135" s="37" t="s">
        <v>1856</v>
      </c>
      <c r="N135" s="35" t="b">
        <f>IF(_xlfn.UNICODE( Table1[[#This Row],[Check]])=9745,TRUE,FALSE)</f>
        <v>0</v>
      </c>
    </row>
    <row r="136" spans="1:14" ht="30" customHeight="1" x14ac:dyDescent="0.25">
      <c r="A136" s="27" t="s">
        <v>1634</v>
      </c>
      <c r="B136" s="47" t="s">
        <v>1708</v>
      </c>
      <c r="C136" s="27" t="s">
        <v>117</v>
      </c>
      <c r="D136" s="28"/>
      <c r="E136" s="27"/>
      <c r="F136" s="27" t="s">
        <v>1709</v>
      </c>
      <c r="G136" s="29"/>
      <c r="H136" s="95" t="s">
        <v>1854</v>
      </c>
      <c r="I136" s="27"/>
      <c r="J136" s="52" t="s">
        <v>1112</v>
      </c>
      <c r="K136" s="51">
        <f>IF(Table1[[#This Row],[Preferenza telefono]]="Casa",Table1[[#This Row],[Telefono casa]],IF(Table1[[#This Row],[Preferenza telefono]]="Primario",Table1[[#This Row],[Telefono primario]],"-"))</f>
        <v>0</v>
      </c>
      <c r="L136" s="37" t="s">
        <v>1856</v>
      </c>
      <c r="M136" s="37" t="s">
        <v>1856</v>
      </c>
      <c r="N136" s="35" t="b">
        <f>IF(_xlfn.UNICODE( Table1[[#This Row],[Check]])=9745,TRUE,FALSE)</f>
        <v>0</v>
      </c>
    </row>
    <row r="137" spans="1:14" ht="30" customHeight="1" x14ac:dyDescent="0.25">
      <c r="A137" s="27" t="s">
        <v>1634</v>
      </c>
      <c r="B137" s="47" t="s">
        <v>451</v>
      </c>
      <c r="C137" s="27" t="s">
        <v>1</v>
      </c>
      <c r="D137" s="28">
        <v>3487271552</v>
      </c>
      <c r="E137" s="27"/>
      <c r="F137" s="27" t="s">
        <v>452</v>
      </c>
      <c r="G137" s="29" t="s">
        <v>113</v>
      </c>
      <c r="H137" s="95" t="s">
        <v>1854</v>
      </c>
      <c r="I137" s="27"/>
      <c r="J137" s="52" t="s">
        <v>1112</v>
      </c>
      <c r="K137" s="51">
        <f>IF(Table1[[#This Row],[Preferenza telefono]]="Casa",Table1[[#This Row],[Telefono casa]],IF(Table1[[#This Row],[Preferenza telefono]]="Primario",Table1[[#This Row],[Telefono primario]],"-"))</f>
        <v>3487271552</v>
      </c>
      <c r="L137" s="37" t="s">
        <v>1856</v>
      </c>
      <c r="M137" s="37" t="s">
        <v>1856</v>
      </c>
      <c r="N137" s="35" t="b">
        <f>IF(_xlfn.UNICODE( Table1[[#This Row],[Check]])=9745,TRUE,FALSE)</f>
        <v>0</v>
      </c>
    </row>
    <row r="138" spans="1:14" ht="30" customHeight="1" x14ac:dyDescent="0.25">
      <c r="A138" s="27" t="s">
        <v>1634</v>
      </c>
      <c r="B138" s="47" t="s">
        <v>105</v>
      </c>
      <c r="C138" s="27" t="s">
        <v>106</v>
      </c>
      <c r="D138" s="28">
        <v>3775083706</v>
      </c>
      <c r="E138" s="27" t="s">
        <v>1671</v>
      </c>
      <c r="F138" s="27" t="s">
        <v>107</v>
      </c>
      <c r="G138" s="29">
        <v>24631</v>
      </c>
      <c r="H138" s="95" t="s">
        <v>1855</v>
      </c>
      <c r="I138" s="27"/>
      <c r="J138" s="52" t="s">
        <v>1112</v>
      </c>
      <c r="K138" s="51">
        <f>IF(Table1[[#This Row],[Preferenza telefono]]="Casa",Table1[[#This Row],[Telefono casa]],IF(Table1[[#This Row],[Preferenza telefono]]="Primario",Table1[[#This Row],[Telefono primario]],"-"))</f>
        <v>3775083706</v>
      </c>
      <c r="L138" s="37" t="s">
        <v>1856</v>
      </c>
      <c r="M138" s="37" t="s">
        <v>1856</v>
      </c>
      <c r="N138" s="35" t="b">
        <f>IF(_xlfn.UNICODE( Table1[[#This Row],[Check]])=9745,TRUE,FALSE)</f>
        <v>0</v>
      </c>
    </row>
    <row r="139" spans="1:14" ht="30" customHeight="1" x14ac:dyDescent="0.25">
      <c r="A139" s="27" t="s">
        <v>1634</v>
      </c>
      <c r="B139" s="47" t="s">
        <v>453</v>
      </c>
      <c r="C139" s="27" t="s">
        <v>103</v>
      </c>
      <c r="D139" s="28">
        <v>3477597278</v>
      </c>
      <c r="E139" s="28" t="s">
        <v>454</v>
      </c>
      <c r="F139" s="27" t="s">
        <v>455</v>
      </c>
      <c r="G139" s="29">
        <v>28117</v>
      </c>
      <c r="H139" s="95" t="s">
        <v>1854</v>
      </c>
      <c r="I139" s="27"/>
      <c r="J139" s="52" t="s">
        <v>1112</v>
      </c>
      <c r="K139" s="51">
        <f>IF(Table1[[#This Row],[Preferenza telefono]]="Casa",Table1[[#This Row],[Telefono casa]],IF(Table1[[#This Row],[Preferenza telefono]]="Primario",Table1[[#This Row],[Telefono primario]],"-"))</f>
        <v>3477597278</v>
      </c>
      <c r="L139" s="37" t="s">
        <v>1856</v>
      </c>
      <c r="M139" s="37" t="s">
        <v>1856</v>
      </c>
      <c r="N139" s="35" t="b">
        <f>IF(_xlfn.UNICODE( Table1[[#This Row],[Check]])=9745,TRUE,FALSE)</f>
        <v>0</v>
      </c>
    </row>
    <row r="140" spans="1:14" ht="30" customHeight="1" x14ac:dyDescent="0.25">
      <c r="A140" s="27" t="s">
        <v>1634</v>
      </c>
      <c r="B140" s="47" t="s">
        <v>457</v>
      </c>
      <c r="C140" s="27" t="s">
        <v>126</v>
      </c>
      <c r="D140" s="28">
        <v>3349496419</v>
      </c>
      <c r="E140" s="27"/>
      <c r="F140" s="27" t="s">
        <v>186</v>
      </c>
      <c r="G140" s="29">
        <v>21100</v>
      </c>
      <c r="H140" s="95" t="s">
        <v>1854</v>
      </c>
      <c r="I140" s="27"/>
      <c r="J140" s="52" t="s">
        <v>1112</v>
      </c>
      <c r="K140" s="51">
        <f>IF(Table1[[#This Row],[Preferenza telefono]]="Casa",Table1[[#This Row],[Telefono casa]],IF(Table1[[#This Row],[Preferenza telefono]]="Primario",Table1[[#This Row],[Telefono primario]],"-"))</f>
        <v>3349496419</v>
      </c>
      <c r="L140" s="37" t="s">
        <v>1856</v>
      </c>
      <c r="M140" s="37" t="s">
        <v>1856</v>
      </c>
      <c r="N140" s="35" t="b">
        <f>IF(_xlfn.UNICODE( Table1[[#This Row],[Check]])=9745,TRUE,FALSE)</f>
        <v>0</v>
      </c>
    </row>
    <row r="141" spans="1:14" ht="30" customHeight="1" x14ac:dyDescent="0.25">
      <c r="A141" s="27" t="s">
        <v>1634</v>
      </c>
      <c r="B141" s="47" t="s">
        <v>456</v>
      </c>
      <c r="C141" s="27" t="s">
        <v>126</v>
      </c>
      <c r="D141" s="28">
        <v>3407035117</v>
      </c>
      <c r="E141" s="27"/>
      <c r="F141" s="27" t="s">
        <v>184</v>
      </c>
      <c r="G141" s="29">
        <v>30937</v>
      </c>
      <c r="H141" s="95" t="s">
        <v>1855</v>
      </c>
      <c r="I141" s="27"/>
      <c r="J141" s="52" t="s">
        <v>1112</v>
      </c>
      <c r="K141" s="51">
        <f>IF(Table1[[#This Row],[Preferenza telefono]]="Casa",Table1[[#This Row],[Telefono casa]],IF(Table1[[#This Row],[Preferenza telefono]]="Primario",Table1[[#This Row],[Telefono primario]],"-"))</f>
        <v>3407035117</v>
      </c>
      <c r="L141" s="37" t="s">
        <v>1856</v>
      </c>
      <c r="M141" s="37" t="s">
        <v>1856</v>
      </c>
      <c r="N141" s="35" t="b">
        <f>IF(_xlfn.UNICODE( Table1[[#This Row],[Check]])=9745,TRUE,FALSE)</f>
        <v>0</v>
      </c>
    </row>
    <row r="142" spans="1:14" ht="30" customHeight="1" x14ac:dyDescent="0.25">
      <c r="A142" s="27" t="s">
        <v>1634</v>
      </c>
      <c r="B142" s="47" t="s">
        <v>458</v>
      </c>
      <c r="C142" s="27" t="s">
        <v>459</v>
      </c>
      <c r="D142" s="28">
        <v>333718690</v>
      </c>
      <c r="E142" s="27"/>
      <c r="F142" s="27" t="s">
        <v>460</v>
      </c>
      <c r="G142" s="29">
        <v>23985</v>
      </c>
      <c r="H142" s="95" t="s">
        <v>1854</v>
      </c>
      <c r="I142" s="27"/>
      <c r="J142" s="52" t="s">
        <v>1112</v>
      </c>
      <c r="K142" s="51">
        <f>IF(Table1[[#This Row],[Preferenza telefono]]="Casa",Table1[[#This Row],[Telefono casa]],IF(Table1[[#This Row],[Preferenza telefono]]="Primario",Table1[[#This Row],[Telefono primario]],"-"))</f>
        <v>333718690</v>
      </c>
      <c r="L142" s="37" t="s">
        <v>1856</v>
      </c>
      <c r="M142" s="37" t="s">
        <v>1856</v>
      </c>
      <c r="N142" s="35" t="b">
        <f>IF(_xlfn.UNICODE( Table1[[#This Row],[Check]])=9745,TRUE,FALSE)</f>
        <v>0</v>
      </c>
    </row>
    <row r="143" spans="1:14" ht="30" customHeight="1" x14ac:dyDescent="0.25">
      <c r="A143" s="27" t="s">
        <v>1634</v>
      </c>
      <c r="B143" s="42" t="s">
        <v>465</v>
      </c>
      <c r="C143" s="27" t="s">
        <v>153</v>
      </c>
      <c r="D143" s="28">
        <v>3206240179</v>
      </c>
      <c r="E143" s="27"/>
      <c r="F143" s="27" t="s">
        <v>186</v>
      </c>
      <c r="G143" s="29">
        <v>30281</v>
      </c>
      <c r="H143" s="95" t="s">
        <v>1854</v>
      </c>
      <c r="I143" s="27"/>
      <c r="J143" s="52" t="s">
        <v>1112</v>
      </c>
      <c r="K143" s="51">
        <f>IF(Table1[[#This Row],[Preferenza telefono]]="Casa",Table1[[#This Row],[Telefono casa]],IF(Table1[[#This Row],[Preferenza telefono]]="Primario",Table1[[#This Row],[Telefono primario]],"-"))</f>
        <v>3206240179</v>
      </c>
      <c r="L143" s="37" t="s">
        <v>1856</v>
      </c>
      <c r="M143" s="37" t="s">
        <v>1856</v>
      </c>
      <c r="N143" s="35" t="b">
        <f>IF(_xlfn.UNICODE( Table1[[#This Row],[Check]])=9745,TRUE,FALSE)</f>
        <v>0</v>
      </c>
    </row>
    <row r="144" spans="1:14" ht="30" customHeight="1" x14ac:dyDescent="0.25">
      <c r="A144" s="27" t="s">
        <v>1634</v>
      </c>
      <c r="B144" s="42" t="s">
        <v>576</v>
      </c>
      <c r="C144" s="27" t="s">
        <v>577</v>
      </c>
      <c r="D144" s="28">
        <v>3200251438</v>
      </c>
      <c r="E144" s="27"/>
      <c r="F144" s="27"/>
      <c r="G144" s="29"/>
      <c r="H144" s="95" t="s">
        <v>1855</v>
      </c>
      <c r="I144" s="27"/>
      <c r="J144" s="52" t="s">
        <v>1112</v>
      </c>
      <c r="K144" s="51">
        <f>IF(Table1[[#This Row],[Preferenza telefono]]="Casa",Table1[[#This Row],[Telefono casa]],IF(Table1[[#This Row],[Preferenza telefono]]="Primario",Table1[[#This Row],[Telefono primario]],"-"))</f>
        <v>3200251438</v>
      </c>
      <c r="L144" s="37" t="s">
        <v>1856</v>
      </c>
      <c r="M144" s="37" t="s">
        <v>1856</v>
      </c>
      <c r="N144" s="35" t="b">
        <f>IF(_xlfn.UNICODE( Table1[[#This Row],[Check]])=9745,TRUE,FALSE)</f>
        <v>0</v>
      </c>
    </row>
    <row r="145" spans="1:14" ht="30" customHeight="1" x14ac:dyDescent="0.25">
      <c r="A145" s="27" t="s">
        <v>1634</v>
      </c>
      <c r="B145" s="47" t="s">
        <v>461</v>
      </c>
      <c r="C145" s="27" t="s">
        <v>113</v>
      </c>
      <c r="D145" s="28" t="s">
        <v>113</v>
      </c>
      <c r="E145" s="27"/>
      <c r="F145" s="27" t="s">
        <v>113</v>
      </c>
      <c r="G145" s="29" t="s">
        <v>113</v>
      </c>
      <c r="H145" s="95" t="s">
        <v>1854</v>
      </c>
      <c r="I145" s="27"/>
      <c r="J145" s="52" t="s">
        <v>1112</v>
      </c>
      <c r="K145" s="51" t="str">
        <f>IF(Table1[[#This Row],[Preferenza telefono]]="Casa",Table1[[#This Row],[Telefono casa]],IF(Table1[[#This Row],[Preferenza telefono]]="Primario",Table1[[#This Row],[Telefono primario]],"-"))</f>
        <v>-</v>
      </c>
      <c r="L145" s="37" t="s">
        <v>1856</v>
      </c>
      <c r="M145" s="37" t="s">
        <v>1856</v>
      </c>
      <c r="N145" s="35" t="b">
        <f>IF(_xlfn.UNICODE( Table1[[#This Row],[Check]])=9745,TRUE,FALSE)</f>
        <v>0</v>
      </c>
    </row>
    <row r="146" spans="1:14" ht="30" customHeight="1" x14ac:dyDescent="0.25">
      <c r="A146" s="27" t="s">
        <v>1634</v>
      </c>
      <c r="B146" s="47" t="s">
        <v>462</v>
      </c>
      <c r="C146" s="27" t="s">
        <v>463</v>
      </c>
      <c r="D146" s="28">
        <v>3485248779</v>
      </c>
      <c r="E146" s="27"/>
      <c r="F146" s="27" t="s">
        <v>464</v>
      </c>
      <c r="G146" s="29">
        <v>21204</v>
      </c>
      <c r="H146" s="95" t="s">
        <v>1854</v>
      </c>
      <c r="I146" s="27"/>
      <c r="J146" s="52" t="s">
        <v>1112</v>
      </c>
      <c r="K146" s="51">
        <f>IF(Table1[[#This Row],[Preferenza telefono]]="Casa",Table1[[#This Row],[Telefono casa]],IF(Table1[[#This Row],[Preferenza telefono]]="Primario",Table1[[#This Row],[Telefono primario]],"-"))</f>
        <v>3485248779</v>
      </c>
      <c r="L146" s="37" t="s">
        <v>1856</v>
      </c>
      <c r="M146" s="37" t="s">
        <v>1856</v>
      </c>
      <c r="N146" s="35" t="b">
        <f>IF(_xlfn.UNICODE( Table1[[#This Row],[Check]])=9745,TRUE,FALSE)</f>
        <v>0</v>
      </c>
    </row>
    <row r="147" spans="1:14" ht="30" customHeight="1" x14ac:dyDescent="0.25">
      <c r="A147" s="27" t="s">
        <v>1634</v>
      </c>
      <c r="B147" s="47" t="s">
        <v>466</v>
      </c>
      <c r="C147" s="27" t="s">
        <v>467</v>
      </c>
      <c r="D147" s="28" t="s">
        <v>468</v>
      </c>
      <c r="E147" s="27"/>
      <c r="F147" s="27" t="s">
        <v>469</v>
      </c>
      <c r="G147" s="29">
        <v>17310</v>
      </c>
      <c r="H147" s="95" t="s">
        <v>1855</v>
      </c>
      <c r="I147" s="27"/>
      <c r="J147" s="52" t="s">
        <v>1112</v>
      </c>
      <c r="K147" s="51" t="str">
        <f>IF(Table1[[#This Row],[Preferenza telefono]]="Casa",Table1[[#This Row],[Telefono casa]],IF(Table1[[#This Row],[Preferenza telefono]]="Primario",Table1[[#This Row],[Telefono primario]],"-"))</f>
        <v>.0382966793</v>
      </c>
      <c r="L147" s="37" t="s">
        <v>1856</v>
      </c>
      <c r="M147" s="37" t="s">
        <v>1856</v>
      </c>
      <c r="N147" s="35" t="b">
        <f>IF(_xlfn.UNICODE( Table1[[#This Row],[Check]])=9745,TRUE,FALSE)</f>
        <v>0</v>
      </c>
    </row>
    <row r="148" spans="1:14" ht="30" customHeight="1" x14ac:dyDescent="0.25">
      <c r="A148" s="27" t="s">
        <v>1634</v>
      </c>
      <c r="B148" s="42" t="s">
        <v>1675</v>
      </c>
      <c r="C148" s="27" t="s">
        <v>342</v>
      </c>
      <c r="D148" s="28">
        <v>3346101395</v>
      </c>
      <c r="E148" s="27">
        <v>3294752711</v>
      </c>
      <c r="F148" s="27" t="s">
        <v>107</v>
      </c>
      <c r="G148" s="29">
        <v>27017</v>
      </c>
      <c r="H148" s="95" t="s">
        <v>1854</v>
      </c>
      <c r="I148" s="27"/>
      <c r="J148" s="52" t="s">
        <v>1112</v>
      </c>
      <c r="K148" s="51">
        <f>IF(Table1[[#This Row],[Preferenza telefono]]="Casa",Table1[[#This Row],[Telefono casa]],IF(Table1[[#This Row],[Preferenza telefono]]="Primario",Table1[[#This Row],[Telefono primario]],"-"))</f>
        <v>3346101395</v>
      </c>
      <c r="L148" s="37" t="s">
        <v>1856</v>
      </c>
      <c r="M148" s="37" t="s">
        <v>1856</v>
      </c>
      <c r="N148" s="35" t="b">
        <f>IF(_xlfn.UNICODE( Table1[[#This Row],[Check]])=9745,TRUE,FALSE)</f>
        <v>0</v>
      </c>
    </row>
    <row r="149" spans="1:14" ht="30" customHeight="1" x14ac:dyDescent="0.25">
      <c r="A149" s="27" t="s">
        <v>1634</v>
      </c>
      <c r="B149" s="47" t="s">
        <v>470</v>
      </c>
      <c r="C149" s="27" t="s">
        <v>471</v>
      </c>
      <c r="D149" s="28">
        <v>3893488942</v>
      </c>
      <c r="E149" s="27"/>
      <c r="F149" s="27" t="s">
        <v>472</v>
      </c>
      <c r="G149" s="29">
        <v>34385</v>
      </c>
      <c r="H149" s="95" t="s">
        <v>1854</v>
      </c>
      <c r="I149" s="27"/>
      <c r="J149" s="52" t="s">
        <v>1112</v>
      </c>
      <c r="K149" s="51">
        <f>IF(Table1[[#This Row],[Preferenza telefono]]="Casa",Table1[[#This Row],[Telefono casa]],IF(Table1[[#This Row],[Preferenza telefono]]="Primario",Table1[[#This Row],[Telefono primario]],"-"))</f>
        <v>3893488942</v>
      </c>
      <c r="L149" s="37" t="s">
        <v>1856</v>
      </c>
      <c r="M149" s="37" t="s">
        <v>1856</v>
      </c>
      <c r="N149" s="35" t="b">
        <f>IF(_xlfn.UNICODE( Table1[[#This Row],[Check]])=9745,TRUE,FALSE)</f>
        <v>0</v>
      </c>
    </row>
    <row r="150" spans="1:14" ht="30" customHeight="1" x14ac:dyDescent="0.25">
      <c r="A150" s="27" t="s">
        <v>1634</v>
      </c>
      <c r="B150" s="42" t="s">
        <v>108</v>
      </c>
      <c r="C150" s="27" t="s">
        <v>109</v>
      </c>
      <c r="D150" s="28">
        <v>3477597278</v>
      </c>
      <c r="E150" s="28">
        <v>3477597278</v>
      </c>
      <c r="F150" s="27" t="s">
        <v>110</v>
      </c>
      <c r="G150" s="29">
        <v>26491</v>
      </c>
      <c r="H150" s="95" t="s">
        <v>1855</v>
      </c>
      <c r="I150" s="27"/>
      <c r="J150" s="52" t="s">
        <v>1112</v>
      </c>
      <c r="K150" s="51">
        <f>IF(Table1[[#This Row],[Preferenza telefono]]="Casa",Table1[[#This Row],[Telefono casa]],IF(Table1[[#This Row],[Preferenza telefono]]="Primario",Table1[[#This Row],[Telefono primario]],"-"))</f>
        <v>3477597278</v>
      </c>
      <c r="L150" s="37" t="s">
        <v>1856</v>
      </c>
      <c r="M150" s="37" t="s">
        <v>1856</v>
      </c>
      <c r="N150" s="35" t="b">
        <f>IF(_xlfn.UNICODE( Table1[[#This Row],[Check]])=9745,TRUE,FALSE)</f>
        <v>0</v>
      </c>
    </row>
    <row r="151" spans="1:14" ht="30" customHeight="1" x14ac:dyDescent="0.25">
      <c r="A151" s="27" t="s">
        <v>1634</v>
      </c>
      <c r="B151" s="32" t="s">
        <v>479</v>
      </c>
      <c r="C151" s="27" t="s">
        <v>237</v>
      </c>
      <c r="D151" s="28">
        <v>3456034649</v>
      </c>
      <c r="E151" s="27"/>
      <c r="F151" s="27" t="s">
        <v>480</v>
      </c>
      <c r="G151" s="29">
        <v>31643</v>
      </c>
      <c r="H151" s="95" t="s">
        <v>1854</v>
      </c>
      <c r="I151" s="27"/>
      <c r="J151" s="52" t="s">
        <v>1112</v>
      </c>
      <c r="K151" s="51">
        <f>IF(Table1[[#This Row],[Preferenza telefono]]="Casa",Table1[[#This Row],[Telefono casa]],IF(Table1[[#This Row],[Preferenza telefono]]="Primario",Table1[[#This Row],[Telefono primario]],"-"))</f>
        <v>3456034649</v>
      </c>
      <c r="L151" s="37" t="s">
        <v>1856</v>
      </c>
      <c r="M151" s="37" t="s">
        <v>1856</v>
      </c>
      <c r="N151" s="35" t="b">
        <f>IF(_xlfn.UNICODE( Table1[[#This Row],[Check]])=9745,TRUE,FALSE)</f>
        <v>0</v>
      </c>
    </row>
    <row r="152" spans="1:14" ht="30" customHeight="1" x14ac:dyDescent="0.25">
      <c r="A152" s="27" t="s">
        <v>1634</v>
      </c>
      <c r="B152" s="42" t="s">
        <v>494</v>
      </c>
      <c r="C152" s="27" t="s">
        <v>1</v>
      </c>
      <c r="D152" s="28">
        <v>3393157569</v>
      </c>
      <c r="E152" s="27"/>
      <c r="F152" s="27" t="s">
        <v>495</v>
      </c>
      <c r="G152" s="29">
        <v>20149</v>
      </c>
      <c r="H152" s="95" t="s">
        <v>1854</v>
      </c>
      <c r="I152" s="27"/>
      <c r="J152" s="52" t="s">
        <v>1112</v>
      </c>
      <c r="K152" s="51">
        <f>IF(Table1[[#This Row],[Preferenza telefono]]="Casa",Table1[[#This Row],[Telefono casa]],IF(Table1[[#This Row],[Preferenza telefono]]="Primario",Table1[[#This Row],[Telefono primario]],"-"))</f>
        <v>3393157569</v>
      </c>
      <c r="L152" s="37" t="s">
        <v>1856</v>
      </c>
      <c r="M152" s="37" t="s">
        <v>1856</v>
      </c>
      <c r="N152" s="35" t="b">
        <f>IF(_xlfn.UNICODE( Table1[[#This Row],[Check]])=9745,TRUE,FALSE)</f>
        <v>0</v>
      </c>
    </row>
    <row r="153" spans="1:14" ht="30" customHeight="1" x14ac:dyDescent="0.25">
      <c r="A153" s="27" t="s">
        <v>1634</v>
      </c>
      <c r="B153" s="42" t="s">
        <v>477</v>
      </c>
      <c r="C153" s="27" t="s">
        <v>425</v>
      </c>
      <c r="D153" s="28">
        <v>3383760423</v>
      </c>
      <c r="E153" s="27"/>
      <c r="F153" s="27" t="s">
        <v>478</v>
      </c>
      <c r="G153" s="29" t="s">
        <v>113</v>
      </c>
      <c r="H153" s="95" t="s">
        <v>1855</v>
      </c>
      <c r="I153" s="27"/>
      <c r="J153" s="52" t="s">
        <v>1112</v>
      </c>
      <c r="K153" s="51">
        <f>IF(Table1[[#This Row],[Preferenza telefono]]="Casa",Table1[[#This Row],[Telefono casa]],IF(Table1[[#This Row],[Preferenza telefono]]="Primario",Table1[[#This Row],[Telefono primario]],"-"))</f>
        <v>3383760423</v>
      </c>
      <c r="L153" s="37" t="s">
        <v>1856</v>
      </c>
      <c r="M153" s="37" t="s">
        <v>1856</v>
      </c>
      <c r="N153" s="35" t="b">
        <f>IF(_xlfn.UNICODE( Table1[[#This Row],[Check]])=9745,TRUE,FALSE)</f>
        <v>0</v>
      </c>
    </row>
    <row r="154" spans="1:14" ht="30" customHeight="1" x14ac:dyDescent="0.25">
      <c r="A154" s="27" t="s">
        <v>1634</v>
      </c>
      <c r="B154" s="42" t="s">
        <v>491</v>
      </c>
      <c r="C154" s="27" t="s">
        <v>492</v>
      </c>
      <c r="D154" s="28">
        <v>3388483676</v>
      </c>
      <c r="E154" s="50"/>
      <c r="F154" s="27" t="s">
        <v>493</v>
      </c>
      <c r="G154" s="29">
        <v>26381</v>
      </c>
      <c r="H154" s="95" t="s">
        <v>1854</v>
      </c>
      <c r="I154" s="27"/>
      <c r="J154" s="52" t="s">
        <v>1112</v>
      </c>
      <c r="K154" s="51">
        <f>IF(Table1[[#This Row],[Preferenza telefono]]="Casa",Table1[[#This Row],[Telefono casa]],IF(Table1[[#This Row],[Preferenza telefono]]="Primario",Table1[[#This Row],[Telefono primario]],"-"))</f>
        <v>3388483676</v>
      </c>
      <c r="L154" s="37" t="s">
        <v>1856</v>
      </c>
      <c r="M154" s="37" t="s">
        <v>1856</v>
      </c>
      <c r="N154" s="35" t="b">
        <f>IF(_xlfn.UNICODE( Table1[[#This Row],[Check]])=9745,TRUE,FALSE)</f>
        <v>0</v>
      </c>
    </row>
    <row r="155" spans="1:14" ht="30" customHeight="1" x14ac:dyDescent="0.25">
      <c r="A155" s="27" t="s">
        <v>1634</v>
      </c>
      <c r="B155" s="42" t="s">
        <v>489</v>
      </c>
      <c r="C155" s="27" t="s">
        <v>4</v>
      </c>
      <c r="D155" s="28">
        <v>3388483676</v>
      </c>
      <c r="E155" s="27"/>
      <c r="F155" s="27" t="s">
        <v>490</v>
      </c>
      <c r="G155" s="29">
        <v>21750</v>
      </c>
      <c r="H155" s="95" t="s">
        <v>1854</v>
      </c>
      <c r="I155" s="27"/>
      <c r="J155" s="52" t="s">
        <v>1112</v>
      </c>
      <c r="K155" s="51">
        <f>IF(Table1[[#This Row],[Preferenza telefono]]="Casa",Table1[[#This Row],[Telefono casa]],IF(Table1[[#This Row],[Preferenza telefono]]="Primario",Table1[[#This Row],[Telefono primario]],"-"))</f>
        <v>3388483676</v>
      </c>
      <c r="L155" s="37" t="s">
        <v>1856</v>
      </c>
      <c r="M155" s="37" t="s">
        <v>1856</v>
      </c>
      <c r="N155" s="35" t="b">
        <f>IF(_xlfn.UNICODE( Table1[[#This Row],[Check]])=9745,TRUE,FALSE)</f>
        <v>0</v>
      </c>
    </row>
    <row r="156" spans="1:14" ht="30" customHeight="1" x14ac:dyDescent="0.25">
      <c r="A156" s="27" t="s">
        <v>1634</v>
      </c>
      <c r="B156" s="42" t="s">
        <v>486</v>
      </c>
      <c r="C156" s="27" t="s">
        <v>150</v>
      </c>
      <c r="D156" s="28">
        <v>3454897142</v>
      </c>
      <c r="E156" s="27">
        <v>3338108588</v>
      </c>
      <c r="F156" s="27" t="s">
        <v>184</v>
      </c>
      <c r="G156" s="29">
        <v>23793</v>
      </c>
      <c r="H156" s="95" t="s">
        <v>1855</v>
      </c>
      <c r="I156" s="27"/>
      <c r="J156" s="52" t="s">
        <v>1112</v>
      </c>
      <c r="K156" s="51">
        <f>IF(Table1[[#This Row],[Preferenza telefono]]="Casa",Table1[[#This Row],[Telefono casa]],IF(Table1[[#This Row],[Preferenza telefono]]="Primario",Table1[[#This Row],[Telefono primario]],"-"))</f>
        <v>3454897142</v>
      </c>
      <c r="L156" s="37" t="s">
        <v>1856</v>
      </c>
      <c r="M156" s="37" t="s">
        <v>1856</v>
      </c>
      <c r="N156" s="35" t="b">
        <f>IF(_xlfn.UNICODE( Table1[[#This Row],[Check]])=9745,TRUE,FALSE)</f>
        <v>0</v>
      </c>
    </row>
    <row r="157" spans="1:14" ht="30" customHeight="1" x14ac:dyDescent="0.25">
      <c r="A157" s="27" t="s">
        <v>1634</v>
      </c>
      <c r="B157" s="32" t="s">
        <v>484</v>
      </c>
      <c r="C157" s="27" t="s">
        <v>485</v>
      </c>
      <c r="D157" s="28">
        <v>3338108588</v>
      </c>
      <c r="E157" s="27"/>
      <c r="F157" s="27" t="s">
        <v>184</v>
      </c>
      <c r="G157" s="29">
        <v>23793</v>
      </c>
      <c r="H157" s="95" t="s">
        <v>1854</v>
      </c>
      <c r="I157" s="27"/>
      <c r="J157" s="52" t="s">
        <v>1112</v>
      </c>
      <c r="K157" s="51">
        <f>IF(Table1[[#This Row],[Preferenza telefono]]="Casa",Table1[[#This Row],[Telefono casa]],IF(Table1[[#This Row],[Preferenza telefono]]="Primario",Table1[[#This Row],[Telefono primario]],"-"))</f>
        <v>3338108588</v>
      </c>
      <c r="L157" s="37" t="s">
        <v>1856</v>
      </c>
      <c r="M157" s="37" t="s">
        <v>1856</v>
      </c>
      <c r="N157" s="35" t="b">
        <f>IF(_xlfn.UNICODE( Table1[[#This Row],[Check]])=9745,TRUE,FALSE)</f>
        <v>0</v>
      </c>
    </row>
    <row r="158" spans="1:14" ht="30" customHeight="1" x14ac:dyDescent="0.25">
      <c r="A158" s="27" t="s">
        <v>1634</v>
      </c>
      <c r="B158" s="32" t="s">
        <v>481</v>
      </c>
      <c r="C158" s="27" t="s">
        <v>482</v>
      </c>
      <c r="D158" s="28">
        <v>3355341894</v>
      </c>
      <c r="E158" s="27"/>
      <c r="F158" s="27" t="s">
        <v>483</v>
      </c>
      <c r="G158" s="29">
        <v>21135</v>
      </c>
      <c r="H158" s="95" t="s">
        <v>1854</v>
      </c>
      <c r="I158" s="27"/>
      <c r="J158" s="52" t="s">
        <v>1112</v>
      </c>
      <c r="K158" s="51">
        <f>IF(Table1[[#This Row],[Preferenza telefono]]="Casa",Table1[[#This Row],[Telefono casa]],IF(Table1[[#This Row],[Preferenza telefono]]="Primario",Table1[[#This Row],[Telefono primario]],"-"))</f>
        <v>3355341894</v>
      </c>
      <c r="L158" s="37" t="s">
        <v>1856</v>
      </c>
      <c r="M158" s="37" t="s">
        <v>1856</v>
      </c>
      <c r="N158" s="35" t="b">
        <f>IF(_xlfn.UNICODE( Table1[[#This Row],[Check]])=9745,TRUE,FALSE)</f>
        <v>0</v>
      </c>
    </row>
    <row r="159" spans="1:14" ht="30" customHeight="1" x14ac:dyDescent="0.25">
      <c r="A159" s="27" t="s">
        <v>1634</v>
      </c>
      <c r="B159" s="42" t="s">
        <v>487</v>
      </c>
      <c r="C159" s="27" t="s">
        <v>1</v>
      </c>
      <c r="D159" s="28">
        <v>3490083688</v>
      </c>
      <c r="E159" s="27"/>
      <c r="F159" s="27" t="s">
        <v>91</v>
      </c>
      <c r="G159" s="29">
        <v>26174</v>
      </c>
      <c r="H159" s="95" t="s">
        <v>1855</v>
      </c>
      <c r="I159" s="27"/>
      <c r="J159" s="52" t="s">
        <v>1112</v>
      </c>
      <c r="K159" s="51">
        <f>IF(Table1[[#This Row],[Preferenza telefono]]="Casa",Table1[[#This Row],[Telefono casa]],IF(Table1[[#This Row],[Preferenza telefono]]="Primario",Table1[[#This Row],[Telefono primario]],"-"))</f>
        <v>3490083688</v>
      </c>
      <c r="L159" s="37" t="s">
        <v>1856</v>
      </c>
      <c r="M159" s="37" t="s">
        <v>1856</v>
      </c>
      <c r="N159" s="35" t="b">
        <f>IF(_xlfn.UNICODE( Table1[[#This Row],[Check]])=9745,TRUE,FALSE)</f>
        <v>0</v>
      </c>
    </row>
    <row r="160" spans="1:14" ht="30" customHeight="1" x14ac:dyDescent="0.25">
      <c r="A160" s="27" t="s">
        <v>1634</v>
      </c>
      <c r="B160" s="42" t="s">
        <v>488</v>
      </c>
      <c r="C160" s="27" t="s">
        <v>1</v>
      </c>
      <c r="D160" s="28">
        <v>3490083688</v>
      </c>
      <c r="E160" s="27"/>
      <c r="F160" s="27" t="s">
        <v>91</v>
      </c>
      <c r="G160" s="29">
        <v>26174</v>
      </c>
      <c r="H160" s="95" t="s">
        <v>1854</v>
      </c>
      <c r="I160" s="27"/>
      <c r="J160" s="52" t="s">
        <v>1112</v>
      </c>
      <c r="K160" s="51">
        <f>IF(Table1[[#This Row],[Preferenza telefono]]="Casa",Table1[[#This Row],[Telefono casa]],IF(Table1[[#This Row],[Preferenza telefono]]="Primario",Table1[[#This Row],[Telefono primario]],"-"))</f>
        <v>3490083688</v>
      </c>
      <c r="L160" s="37" t="s">
        <v>1856</v>
      </c>
      <c r="M160" s="37" t="s">
        <v>1856</v>
      </c>
      <c r="N160" s="35" t="b">
        <f>IF(_xlfn.UNICODE( Table1[[#This Row],[Check]])=9745,TRUE,FALSE)</f>
        <v>0</v>
      </c>
    </row>
    <row r="161" spans="1:14" ht="30" customHeight="1" x14ac:dyDescent="0.25">
      <c r="A161" s="27" t="s">
        <v>1634</v>
      </c>
      <c r="B161" s="42" t="s">
        <v>1710</v>
      </c>
      <c r="C161" s="27" t="s">
        <v>4</v>
      </c>
      <c r="D161" s="28"/>
      <c r="E161" s="27"/>
      <c r="F161" s="27" t="s">
        <v>112</v>
      </c>
      <c r="G161" s="29"/>
      <c r="H161" s="95" t="s">
        <v>1854</v>
      </c>
      <c r="I161" s="27"/>
      <c r="J161" s="52" t="s">
        <v>1112</v>
      </c>
      <c r="K161" s="51">
        <f>IF(Table1[[#This Row],[Preferenza telefono]]="Casa",Table1[[#This Row],[Telefono casa]],IF(Table1[[#This Row],[Preferenza telefono]]="Primario",Table1[[#This Row],[Telefono primario]],"-"))</f>
        <v>0</v>
      </c>
      <c r="L161" s="37" t="s">
        <v>1856</v>
      </c>
      <c r="M161" s="37" t="s">
        <v>1856</v>
      </c>
      <c r="N161" s="35" t="b">
        <f>IF(_xlfn.UNICODE( Table1[[#This Row],[Check]])=9745,TRUE,FALSE)</f>
        <v>0</v>
      </c>
    </row>
    <row r="162" spans="1:14" ht="30" customHeight="1" x14ac:dyDescent="0.25">
      <c r="A162" s="27" t="s">
        <v>1634</v>
      </c>
      <c r="B162" s="42" t="s">
        <v>549</v>
      </c>
      <c r="C162" s="27" t="s">
        <v>126</v>
      </c>
      <c r="D162" s="28">
        <v>3486728551</v>
      </c>
      <c r="E162" s="27"/>
      <c r="F162" s="27" t="s">
        <v>127</v>
      </c>
      <c r="G162" s="29" t="s">
        <v>113</v>
      </c>
      <c r="H162" s="95" t="s">
        <v>1855</v>
      </c>
      <c r="I162" s="27"/>
      <c r="J162" s="52" t="s">
        <v>1112</v>
      </c>
      <c r="K162" s="51">
        <f>IF(Table1[[#This Row],[Preferenza telefono]]="Casa",Table1[[#This Row],[Telefono casa]],IF(Table1[[#This Row],[Preferenza telefono]]="Primario",Table1[[#This Row],[Telefono primario]],"-"))</f>
        <v>3486728551</v>
      </c>
      <c r="L162" s="37" t="s">
        <v>1856</v>
      </c>
      <c r="M162" s="37" t="s">
        <v>1856</v>
      </c>
      <c r="N162" s="35" t="b">
        <f>IF(_xlfn.UNICODE( Table1[[#This Row],[Check]])=9745,TRUE,FALSE)</f>
        <v>0</v>
      </c>
    </row>
    <row r="163" spans="1:14" ht="30" customHeight="1" x14ac:dyDescent="0.25">
      <c r="A163" s="27" t="s">
        <v>1634</v>
      </c>
      <c r="B163" s="42" t="s">
        <v>540</v>
      </c>
      <c r="C163" s="27"/>
      <c r="D163" s="28"/>
      <c r="E163" s="27"/>
      <c r="F163" s="27" t="s">
        <v>508</v>
      </c>
      <c r="G163" s="29" t="s">
        <v>113</v>
      </c>
      <c r="H163" s="95" t="s">
        <v>1854</v>
      </c>
      <c r="I163" s="27"/>
      <c r="J163" s="52" t="s">
        <v>1112</v>
      </c>
      <c r="K163" s="51">
        <f>IF(Table1[[#This Row],[Preferenza telefono]]="Casa",Table1[[#This Row],[Telefono casa]],IF(Table1[[#This Row],[Preferenza telefono]]="Primario",Table1[[#This Row],[Telefono primario]],"-"))</f>
        <v>0</v>
      </c>
      <c r="L163" s="37" t="s">
        <v>1856</v>
      </c>
      <c r="M163" s="37" t="s">
        <v>1856</v>
      </c>
      <c r="N163" s="35" t="b">
        <f>IF(_xlfn.UNICODE( Table1[[#This Row],[Check]])=9745,TRUE,FALSE)</f>
        <v>0</v>
      </c>
    </row>
    <row r="164" spans="1:14" ht="30" customHeight="1" x14ac:dyDescent="0.25">
      <c r="A164" s="27" t="s">
        <v>1634</v>
      </c>
      <c r="B164" s="42" t="s">
        <v>510</v>
      </c>
      <c r="C164" s="27" t="s">
        <v>4</v>
      </c>
      <c r="D164" s="28"/>
      <c r="E164" s="27"/>
      <c r="F164" s="27" t="s">
        <v>508</v>
      </c>
      <c r="G164" s="29" t="s">
        <v>113</v>
      </c>
      <c r="H164" s="95" t="s">
        <v>1854</v>
      </c>
      <c r="I164" s="27"/>
      <c r="J164" s="52" t="s">
        <v>1112</v>
      </c>
      <c r="K164" s="51">
        <f>IF(Table1[[#This Row],[Preferenza telefono]]="Casa",Table1[[#This Row],[Telefono casa]],IF(Table1[[#This Row],[Preferenza telefono]]="Primario",Table1[[#This Row],[Telefono primario]],"-"))</f>
        <v>0</v>
      </c>
      <c r="L164" s="37" t="s">
        <v>1856</v>
      </c>
      <c r="M164" s="37" t="s">
        <v>1856</v>
      </c>
      <c r="N164" s="35" t="b">
        <f>IF(_xlfn.UNICODE( Table1[[#This Row],[Check]])=9745,TRUE,FALSE)</f>
        <v>0</v>
      </c>
    </row>
    <row r="165" spans="1:14" ht="30" customHeight="1" x14ac:dyDescent="0.25">
      <c r="A165" s="27" t="s">
        <v>1634</v>
      </c>
      <c r="B165" s="42" t="s">
        <v>507</v>
      </c>
      <c r="C165" s="27" t="s">
        <v>4</v>
      </c>
      <c r="D165" s="28"/>
      <c r="E165" s="27"/>
      <c r="F165" s="27" t="s">
        <v>508</v>
      </c>
      <c r="G165" s="29" t="s">
        <v>113</v>
      </c>
      <c r="H165" s="95" t="s">
        <v>1855</v>
      </c>
      <c r="I165" s="27"/>
      <c r="J165" s="52" t="s">
        <v>1112</v>
      </c>
      <c r="K165" s="51">
        <f>IF(Table1[[#This Row],[Preferenza telefono]]="Casa",Table1[[#This Row],[Telefono casa]],IF(Table1[[#This Row],[Preferenza telefono]]="Primario",Table1[[#This Row],[Telefono primario]],"-"))</f>
        <v>0</v>
      </c>
      <c r="L165" s="37" t="s">
        <v>1856</v>
      </c>
      <c r="M165" s="37" t="s">
        <v>1856</v>
      </c>
      <c r="N165" s="35" t="b">
        <f>IF(_xlfn.UNICODE( Table1[[#This Row],[Check]])=9745,TRUE,FALSE)</f>
        <v>0</v>
      </c>
    </row>
    <row r="166" spans="1:14" ht="30" customHeight="1" x14ac:dyDescent="0.25">
      <c r="A166" s="27" t="s">
        <v>1634</v>
      </c>
      <c r="B166" s="42" t="s">
        <v>536</v>
      </c>
      <c r="C166" s="27"/>
      <c r="D166" s="28"/>
      <c r="E166" s="27"/>
      <c r="F166" s="27" t="s">
        <v>500</v>
      </c>
      <c r="G166" s="29" t="s">
        <v>113</v>
      </c>
      <c r="H166" s="95" t="s">
        <v>1854</v>
      </c>
      <c r="I166" s="27"/>
      <c r="J166" s="52" t="s">
        <v>1112</v>
      </c>
      <c r="K166" s="51">
        <f>IF(Table1[[#This Row],[Preferenza telefono]]="Casa",Table1[[#This Row],[Telefono casa]],IF(Table1[[#This Row],[Preferenza telefono]]="Primario",Table1[[#This Row],[Telefono primario]],"-"))</f>
        <v>0</v>
      </c>
      <c r="L166" s="37" t="s">
        <v>1856</v>
      </c>
      <c r="M166" s="37" t="s">
        <v>1856</v>
      </c>
      <c r="N166" s="35" t="b">
        <f>IF(_xlfn.UNICODE( Table1[[#This Row],[Check]])=9745,TRUE,FALSE)</f>
        <v>0</v>
      </c>
    </row>
    <row r="167" spans="1:14" ht="30" customHeight="1" x14ac:dyDescent="0.25">
      <c r="A167" s="27" t="s">
        <v>1634</v>
      </c>
      <c r="B167" s="31" t="s">
        <v>518</v>
      </c>
      <c r="C167" s="27" t="s">
        <v>126</v>
      </c>
      <c r="D167" s="28">
        <v>3486728551</v>
      </c>
      <c r="E167" s="27"/>
      <c r="F167" s="27" t="s">
        <v>127</v>
      </c>
      <c r="G167" s="29" t="s">
        <v>113</v>
      </c>
      <c r="H167" s="95" t="s">
        <v>1854</v>
      </c>
      <c r="I167" s="27"/>
      <c r="J167" s="52" t="s">
        <v>1112</v>
      </c>
      <c r="K167" s="51">
        <f>IF(Table1[[#This Row],[Preferenza telefono]]="Casa",Table1[[#This Row],[Telefono casa]],IF(Table1[[#This Row],[Preferenza telefono]]="Primario",Table1[[#This Row],[Telefono primario]],"-"))</f>
        <v>3486728551</v>
      </c>
      <c r="L167" s="37" t="s">
        <v>1856</v>
      </c>
      <c r="M167" s="37" t="s">
        <v>1856</v>
      </c>
      <c r="N167" s="35" t="b">
        <f>IF(_xlfn.UNICODE( Table1[[#This Row],[Check]])=9745,TRUE,FALSE)</f>
        <v>0</v>
      </c>
    </row>
    <row r="168" spans="1:14" ht="30" customHeight="1" x14ac:dyDescent="0.25">
      <c r="A168" s="27" t="s">
        <v>1634</v>
      </c>
      <c r="B168" s="42" t="s">
        <v>519</v>
      </c>
      <c r="C168" s="27"/>
      <c r="D168" s="28"/>
      <c r="E168" s="27"/>
      <c r="F168" s="27" t="s">
        <v>127</v>
      </c>
      <c r="G168" s="29" t="s">
        <v>113</v>
      </c>
      <c r="H168" s="95" t="s">
        <v>1855</v>
      </c>
      <c r="I168" s="27"/>
      <c r="J168" s="52" t="s">
        <v>1112</v>
      </c>
      <c r="K168" s="51">
        <f>IF(Table1[[#This Row],[Preferenza telefono]]="Casa",Table1[[#This Row],[Telefono casa]],IF(Table1[[#This Row],[Preferenza telefono]]="Primario",Table1[[#This Row],[Telefono primario]],"-"))</f>
        <v>0</v>
      </c>
      <c r="L168" s="37" t="s">
        <v>1856</v>
      </c>
      <c r="M168" s="37" t="s">
        <v>1856</v>
      </c>
      <c r="N168" s="35" t="b">
        <f>IF(_xlfn.UNICODE( Table1[[#This Row],[Check]])=9745,TRUE,FALSE)</f>
        <v>0</v>
      </c>
    </row>
    <row r="169" spans="1:14" ht="30" customHeight="1" x14ac:dyDescent="0.25">
      <c r="A169" s="27" t="s">
        <v>1634</v>
      </c>
      <c r="B169" s="42" t="s">
        <v>527</v>
      </c>
      <c r="C169" s="27"/>
      <c r="D169" s="28"/>
      <c r="E169" s="27"/>
      <c r="F169" s="27" t="s">
        <v>127</v>
      </c>
      <c r="G169" s="29" t="s">
        <v>113</v>
      </c>
      <c r="H169" s="95" t="s">
        <v>1854</v>
      </c>
      <c r="I169" s="27"/>
      <c r="J169" s="52" t="s">
        <v>1112</v>
      </c>
      <c r="K169" s="51">
        <f>IF(Table1[[#This Row],[Preferenza telefono]]="Casa",Table1[[#This Row],[Telefono casa]],IF(Table1[[#This Row],[Preferenza telefono]]="Primario",Table1[[#This Row],[Telefono primario]],"-"))</f>
        <v>0</v>
      </c>
      <c r="L169" s="37" t="s">
        <v>1856</v>
      </c>
      <c r="M169" s="37" t="s">
        <v>1856</v>
      </c>
      <c r="N169" s="35" t="b">
        <f>IF(_xlfn.UNICODE( Table1[[#This Row],[Check]])=9745,TRUE,FALSE)</f>
        <v>0</v>
      </c>
    </row>
    <row r="170" spans="1:14" ht="30" customHeight="1" x14ac:dyDescent="0.25">
      <c r="A170" s="27" t="s">
        <v>1634</v>
      </c>
      <c r="B170" s="42" t="s">
        <v>541</v>
      </c>
      <c r="C170" s="27"/>
      <c r="D170" s="28"/>
      <c r="E170" s="27"/>
      <c r="F170" s="27" t="s">
        <v>508</v>
      </c>
      <c r="G170" s="29" t="s">
        <v>113</v>
      </c>
      <c r="H170" s="95" t="s">
        <v>1854</v>
      </c>
      <c r="I170" s="27"/>
      <c r="J170" s="52" t="s">
        <v>1112</v>
      </c>
      <c r="K170" s="51">
        <f>IF(Table1[[#This Row],[Preferenza telefono]]="Casa",Table1[[#This Row],[Telefono casa]],IF(Table1[[#This Row],[Preferenza telefono]]="Primario",Table1[[#This Row],[Telefono primario]],"-"))</f>
        <v>0</v>
      </c>
      <c r="L170" s="37" t="s">
        <v>1856</v>
      </c>
      <c r="M170" s="37" t="s">
        <v>1856</v>
      </c>
      <c r="N170" s="35" t="b">
        <f>IF(_xlfn.UNICODE( Table1[[#This Row],[Check]])=9745,TRUE,FALSE)</f>
        <v>0</v>
      </c>
    </row>
    <row r="171" spans="1:14" ht="30" customHeight="1" x14ac:dyDescent="0.25">
      <c r="A171" s="27" t="s">
        <v>1634</v>
      </c>
      <c r="B171" s="42" t="s">
        <v>520</v>
      </c>
      <c r="C171" s="27"/>
      <c r="D171" s="28"/>
      <c r="E171" s="27"/>
      <c r="F171" s="27" t="s">
        <v>127</v>
      </c>
      <c r="G171" s="29" t="s">
        <v>113</v>
      </c>
      <c r="H171" s="95" t="s">
        <v>1855</v>
      </c>
      <c r="I171" s="27"/>
      <c r="J171" s="52" t="s">
        <v>1112</v>
      </c>
      <c r="K171" s="51">
        <f>IF(Table1[[#This Row],[Preferenza telefono]]="Casa",Table1[[#This Row],[Telefono casa]],IF(Table1[[#This Row],[Preferenza telefono]]="Primario",Table1[[#This Row],[Telefono primario]],"-"))</f>
        <v>0</v>
      </c>
      <c r="L171" s="37" t="s">
        <v>1856</v>
      </c>
      <c r="M171" s="37" t="s">
        <v>1856</v>
      </c>
      <c r="N171" s="35" t="b">
        <f>IF(_xlfn.UNICODE( Table1[[#This Row],[Check]])=9745,TRUE,FALSE)</f>
        <v>0</v>
      </c>
    </row>
    <row r="172" spans="1:14" ht="30" customHeight="1" x14ac:dyDescent="0.25">
      <c r="A172" s="27" t="s">
        <v>1634</v>
      </c>
      <c r="B172" s="42" t="s">
        <v>1764</v>
      </c>
      <c r="C172" s="27" t="s">
        <v>147</v>
      </c>
      <c r="D172" s="28"/>
      <c r="E172" s="27"/>
      <c r="F172" s="27" t="s">
        <v>508</v>
      </c>
      <c r="G172" s="29" t="s">
        <v>113</v>
      </c>
      <c r="H172" s="95" t="s">
        <v>1854</v>
      </c>
      <c r="I172" s="27"/>
      <c r="J172" s="52" t="s">
        <v>1112</v>
      </c>
      <c r="K172" s="51">
        <f>IF(Table1[[#This Row],[Preferenza telefono]]="Casa",Table1[[#This Row],[Telefono casa]],IF(Table1[[#This Row],[Preferenza telefono]]="Primario",Table1[[#This Row],[Telefono primario]],"-"))</f>
        <v>0</v>
      </c>
      <c r="L172" s="37" t="s">
        <v>1856</v>
      </c>
      <c r="M172" s="37" t="s">
        <v>1856</v>
      </c>
      <c r="N172" s="35" t="b">
        <f>IF(_xlfn.UNICODE( Table1[[#This Row],[Check]])=9745,TRUE,FALSE)</f>
        <v>0</v>
      </c>
    </row>
    <row r="173" spans="1:14" ht="30" customHeight="1" x14ac:dyDescent="0.25">
      <c r="A173" s="27" t="s">
        <v>1634</v>
      </c>
      <c r="B173" s="42" t="s">
        <v>512</v>
      </c>
      <c r="C173" s="27" t="s">
        <v>4</v>
      </c>
      <c r="D173" s="28"/>
      <c r="E173" s="27"/>
      <c r="F173" s="27" t="s">
        <v>112</v>
      </c>
      <c r="G173" s="29" t="s">
        <v>113</v>
      </c>
      <c r="H173" s="95" t="s">
        <v>1854</v>
      </c>
      <c r="I173" s="27"/>
      <c r="J173" s="52" t="s">
        <v>1112</v>
      </c>
      <c r="K173" s="51">
        <f>IF(Table1[[#This Row],[Preferenza telefono]]="Casa",Table1[[#This Row],[Telefono casa]],IF(Table1[[#This Row],[Preferenza telefono]]="Primario",Table1[[#This Row],[Telefono primario]],"-"))</f>
        <v>0</v>
      </c>
      <c r="L173" s="37" t="s">
        <v>1856</v>
      </c>
      <c r="M173" s="37" t="s">
        <v>1856</v>
      </c>
      <c r="N173" s="35" t="b">
        <f>IF(_xlfn.UNICODE( Table1[[#This Row],[Check]])=9745,TRUE,FALSE)</f>
        <v>0</v>
      </c>
    </row>
    <row r="174" spans="1:14" ht="30" customHeight="1" x14ac:dyDescent="0.25">
      <c r="A174" s="27" t="s">
        <v>1634</v>
      </c>
      <c r="B174" s="42" t="s">
        <v>523</v>
      </c>
      <c r="C174" s="27"/>
      <c r="D174" s="28"/>
      <c r="E174" s="27"/>
      <c r="F174" s="27" t="s">
        <v>127</v>
      </c>
      <c r="G174" s="29" t="s">
        <v>113</v>
      </c>
      <c r="H174" s="95" t="s">
        <v>1855</v>
      </c>
      <c r="I174" s="27"/>
      <c r="J174" s="52" t="s">
        <v>1112</v>
      </c>
      <c r="K174" s="51">
        <f>IF(Table1[[#This Row],[Preferenza telefono]]="Casa",Table1[[#This Row],[Telefono casa]],IF(Table1[[#This Row],[Preferenza telefono]]="Primario",Table1[[#This Row],[Telefono primario]],"-"))</f>
        <v>0</v>
      </c>
      <c r="L174" s="37" t="s">
        <v>1856</v>
      </c>
      <c r="M174" s="37" t="s">
        <v>1856</v>
      </c>
      <c r="N174" s="35" t="b">
        <f>IF(_xlfn.UNICODE( Table1[[#This Row],[Check]])=9745,TRUE,FALSE)</f>
        <v>0</v>
      </c>
    </row>
    <row r="175" spans="1:14" ht="30" customHeight="1" x14ac:dyDescent="0.25">
      <c r="A175" s="27" t="s">
        <v>1634</v>
      </c>
      <c r="B175" s="47" t="s">
        <v>545</v>
      </c>
      <c r="C175" s="27"/>
      <c r="D175" s="28"/>
      <c r="E175" s="27"/>
      <c r="F175" s="27" t="s">
        <v>112</v>
      </c>
      <c r="G175" s="29" t="s">
        <v>113</v>
      </c>
      <c r="H175" s="95" t="s">
        <v>1854</v>
      </c>
      <c r="I175" s="27"/>
      <c r="J175" s="52" t="s">
        <v>1112</v>
      </c>
      <c r="K175" s="51">
        <f>IF(Table1[[#This Row],[Preferenza telefono]]="Casa",Table1[[#This Row],[Telefono casa]],IF(Table1[[#This Row],[Preferenza telefono]]="Primario",Table1[[#This Row],[Telefono primario]],"-"))</f>
        <v>0</v>
      </c>
      <c r="L175" s="37" t="s">
        <v>1856</v>
      </c>
      <c r="M175" s="37" t="s">
        <v>1856</v>
      </c>
      <c r="N175" s="35" t="b">
        <f>IF(_xlfn.UNICODE( Table1[[#This Row],[Check]])=9745,TRUE,FALSE)</f>
        <v>0</v>
      </c>
    </row>
    <row r="176" spans="1:14" ht="30" customHeight="1" x14ac:dyDescent="0.25">
      <c r="A176" s="27" t="s">
        <v>1634</v>
      </c>
      <c r="B176" s="42" t="s">
        <v>529</v>
      </c>
      <c r="C176" s="27"/>
      <c r="D176" s="28"/>
      <c r="E176" s="27"/>
      <c r="F176" s="27" t="s">
        <v>530</v>
      </c>
      <c r="G176" s="29" t="s">
        <v>113</v>
      </c>
      <c r="H176" s="95" t="s">
        <v>1854</v>
      </c>
      <c r="I176" s="27"/>
      <c r="J176" s="52" t="s">
        <v>1112</v>
      </c>
      <c r="K176" s="51">
        <f>IF(Table1[[#This Row],[Preferenza telefono]]="Casa",Table1[[#This Row],[Telefono casa]],IF(Table1[[#This Row],[Preferenza telefono]]="Primario",Table1[[#This Row],[Telefono primario]],"-"))</f>
        <v>0</v>
      </c>
      <c r="L176" s="37" t="s">
        <v>1856</v>
      </c>
      <c r="M176" s="37" t="s">
        <v>1856</v>
      </c>
      <c r="N176" s="35" t="b">
        <f>IF(_xlfn.UNICODE( Table1[[#This Row],[Check]])=9745,TRUE,FALSE)</f>
        <v>0</v>
      </c>
    </row>
    <row r="177" spans="1:14" ht="30" customHeight="1" x14ac:dyDescent="0.25">
      <c r="A177" s="27" t="s">
        <v>1634</v>
      </c>
      <c r="B177" s="42" t="s">
        <v>528</v>
      </c>
      <c r="C177" s="27"/>
      <c r="D177" s="28"/>
      <c r="E177" s="27"/>
      <c r="F177" s="27" t="s">
        <v>508</v>
      </c>
      <c r="G177" s="29" t="s">
        <v>113</v>
      </c>
      <c r="H177" s="95" t="s">
        <v>1855</v>
      </c>
      <c r="I177" s="27"/>
      <c r="J177" s="52" t="s">
        <v>1112</v>
      </c>
      <c r="K177" s="51">
        <f>IF(Table1[[#This Row],[Preferenza telefono]]="Casa",Table1[[#This Row],[Telefono casa]],IF(Table1[[#This Row],[Preferenza telefono]]="Primario",Table1[[#This Row],[Telefono primario]],"-"))</f>
        <v>0</v>
      </c>
      <c r="L177" s="37" t="s">
        <v>1856</v>
      </c>
      <c r="M177" s="37" t="s">
        <v>1856</v>
      </c>
      <c r="N177" s="35" t="b">
        <f>IF(_xlfn.UNICODE( Table1[[#This Row],[Check]])=9745,TRUE,FALSE)</f>
        <v>0</v>
      </c>
    </row>
    <row r="178" spans="1:14" ht="30" customHeight="1" x14ac:dyDescent="0.25">
      <c r="A178" s="27" t="s">
        <v>1634</v>
      </c>
      <c r="B178" s="42" t="s">
        <v>1711</v>
      </c>
      <c r="C178" s="27" t="s">
        <v>858</v>
      </c>
      <c r="D178" s="28"/>
      <c r="E178" s="27"/>
      <c r="F178" s="27" t="s">
        <v>127</v>
      </c>
      <c r="G178" s="29" t="s">
        <v>113</v>
      </c>
      <c r="H178" s="95" t="s">
        <v>1854</v>
      </c>
      <c r="I178" s="27"/>
      <c r="J178" s="52" t="s">
        <v>1112</v>
      </c>
      <c r="K178" s="51">
        <f>IF(Table1[[#This Row],[Preferenza telefono]]="Casa",Table1[[#This Row],[Telefono casa]],IF(Table1[[#This Row],[Preferenza telefono]]="Primario",Table1[[#This Row],[Telefono primario]],"-"))</f>
        <v>0</v>
      </c>
      <c r="L178" s="37" t="s">
        <v>1856</v>
      </c>
      <c r="M178" s="37" t="s">
        <v>1856</v>
      </c>
      <c r="N178" s="35" t="b">
        <f>IF(_xlfn.UNICODE( Table1[[#This Row],[Check]])=9745,TRUE,FALSE)</f>
        <v>0</v>
      </c>
    </row>
    <row r="179" spans="1:14" ht="30" customHeight="1" x14ac:dyDescent="0.25">
      <c r="A179" s="27" t="s">
        <v>1634</v>
      </c>
      <c r="B179" s="42" t="s">
        <v>522</v>
      </c>
      <c r="C179" s="27"/>
      <c r="D179" s="28"/>
      <c r="E179" s="27"/>
      <c r="F179" s="27" t="s">
        <v>503</v>
      </c>
      <c r="G179" s="29" t="s">
        <v>113</v>
      </c>
      <c r="H179" s="95" t="s">
        <v>1854</v>
      </c>
      <c r="I179" s="27"/>
      <c r="J179" s="52" t="s">
        <v>1112</v>
      </c>
      <c r="K179" s="51">
        <f>IF(Table1[[#This Row],[Preferenza telefono]]="Casa",Table1[[#This Row],[Telefono casa]],IF(Table1[[#This Row],[Preferenza telefono]]="Primario",Table1[[#This Row],[Telefono primario]],"-"))</f>
        <v>0</v>
      </c>
      <c r="L179" s="37" t="s">
        <v>1856</v>
      </c>
      <c r="M179" s="37" t="s">
        <v>1856</v>
      </c>
      <c r="N179" s="35" t="b">
        <f>IF(_xlfn.UNICODE( Table1[[#This Row],[Check]])=9745,TRUE,FALSE)</f>
        <v>0</v>
      </c>
    </row>
    <row r="180" spans="1:14" ht="30" customHeight="1" x14ac:dyDescent="0.25">
      <c r="A180" s="27" t="s">
        <v>1634</v>
      </c>
      <c r="B180" s="42" t="s">
        <v>509</v>
      </c>
      <c r="C180" s="27"/>
      <c r="D180" s="28"/>
      <c r="E180" s="27"/>
      <c r="F180" s="43" t="s">
        <v>127</v>
      </c>
      <c r="G180" s="29" t="s">
        <v>113</v>
      </c>
      <c r="H180" s="95" t="s">
        <v>1855</v>
      </c>
      <c r="I180" s="27"/>
      <c r="J180" s="52" t="s">
        <v>1112</v>
      </c>
      <c r="K180" s="51">
        <f>IF(Table1[[#This Row],[Preferenza telefono]]="Casa",Table1[[#This Row],[Telefono casa]],IF(Table1[[#This Row],[Preferenza telefono]]="Primario",Table1[[#This Row],[Telefono primario]],"-"))</f>
        <v>0</v>
      </c>
      <c r="L180" s="37" t="s">
        <v>1856</v>
      </c>
      <c r="M180" s="37" t="s">
        <v>1856</v>
      </c>
      <c r="N180" s="35" t="b">
        <f>IF(_xlfn.UNICODE( Table1[[#This Row],[Check]])=9745,TRUE,FALSE)</f>
        <v>0</v>
      </c>
    </row>
    <row r="181" spans="1:14" ht="30" customHeight="1" x14ac:dyDescent="0.25">
      <c r="A181" s="27" t="s">
        <v>1634</v>
      </c>
      <c r="B181" s="42" t="s">
        <v>511</v>
      </c>
      <c r="C181" s="27" t="s">
        <v>123</v>
      </c>
      <c r="D181" s="28"/>
      <c r="E181" s="27"/>
      <c r="F181" s="27" t="s">
        <v>127</v>
      </c>
      <c r="G181" s="29" t="s">
        <v>113</v>
      </c>
      <c r="H181" s="95" t="s">
        <v>1854</v>
      </c>
      <c r="I181" s="27"/>
      <c r="J181" s="52" t="s">
        <v>1112</v>
      </c>
      <c r="K181" s="51">
        <f>IF(Table1[[#This Row],[Preferenza telefono]]="Casa",Table1[[#This Row],[Telefono casa]],IF(Table1[[#This Row],[Preferenza telefono]]="Primario",Table1[[#This Row],[Telefono primario]],"-"))</f>
        <v>0</v>
      </c>
      <c r="L181" s="37" t="s">
        <v>1856</v>
      </c>
      <c r="M181" s="37" t="s">
        <v>1856</v>
      </c>
      <c r="N181" s="35" t="b">
        <f>IF(_xlfn.UNICODE( Table1[[#This Row],[Check]])=9745,TRUE,FALSE)</f>
        <v>0</v>
      </c>
    </row>
    <row r="182" spans="1:14" ht="30" customHeight="1" x14ac:dyDescent="0.25">
      <c r="A182" s="27" t="s">
        <v>1634</v>
      </c>
      <c r="B182" s="42" t="s">
        <v>504</v>
      </c>
      <c r="C182" s="27" t="s">
        <v>1</v>
      </c>
      <c r="D182" s="28"/>
      <c r="E182" s="27"/>
      <c r="F182" s="27" t="s">
        <v>112</v>
      </c>
      <c r="G182" s="29" t="s">
        <v>113</v>
      </c>
      <c r="H182" s="95" t="s">
        <v>1854</v>
      </c>
      <c r="I182" s="27"/>
      <c r="J182" s="52" t="s">
        <v>1112</v>
      </c>
      <c r="K182" s="51">
        <f>IF(Table1[[#This Row],[Preferenza telefono]]="Casa",Table1[[#This Row],[Telefono casa]],IF(Table1[[#This Row],[Preferenza telefono]]="Primario",Table1[[#This Row],[Telefono primario]],"-"))</f>
        <v>0</v>
      </c>
      <c r="L182" s="37" t="s">
        <v>1856</v>
      </c>
      <c r="M182" s="37" t="s">
        <v>1856</v>
      </c>
      <c r="N182" s="35" t="b">
        <f>IF(_xlfn.UNICODE( Table1[[#This Row],[Check]])=9745,TRUE,FALSE)</f>
        <v>0</v>
      </c>
    </row>
    <row r="183" spans="1:14" ht="30" customHeight="1" x14ac:dyDescent="0.25">
      <c r="A183" s="27" t="s">
        <v>1634</v>
      </c>
      <c r="B183" s="42" t="s">
        <v>501</v>
      </c>
      <c r="C183" s="27" t="s">
        <v>502</v>
      </c>
      <c r="D183" s="28"/>
      <c r="E183" s="27"/>
      <c r="F183" s="27" t="s">
        <v>503</v>
      </c>
      <c r="G183" s="29" t="s">
        <v>113</v>
      </c>
      <c r="H183" s="95" t="s">
        <v>1855</v>
      </c>
      <c r="I183" s="27"/>
      <c r="J183" s="52" t="s">
        <v>1112</v>
      </c>
      <c r="K183" s="51">
        <f>IF(Table1[[#This Row],[Preferenza telefono]]="Casa",Table1[[#This Row],[Telefono casa]],IF(Table1[[#This Row],[Preferenza telefono]]="Primario",Table1[[#This Row],[Telefono primario]],"-"))</f>
        <v>0</v>
      </c>
      <c r="L183" s="37" t="s">
        <v>1856</v>
      </c>
      <c r="M183" s="37" t="s">
        <v>1856</v>
      </c>
      <c r="N183" s="35" t="b">
        <f>IF(_xlfn.UNICODE( Table1[[#This Row],[Check]])=9745,TRUE,FALSE)</f>
        <v>0</v>
      </c>
    </row>
    <row r="184" spans="1:14" ht="30" customHeight="1" x14ac:dyDescent="0.25">
      <c r="A184" s="27" t="s">
        <v>1634</v>
      </c>
      <c r="B184" s="42" t="s">
        <v>521</v>
      </c>
      <c r="C184" s="27"/>
      <c r="D184" s="28"/>
      <c r="E184" s="27"/>
      <c r="F184" s="27" t="s">
        <v>127</v>
      </c>
      <c r="G184" s="29" t="s">
        <v>113</v>
      </c>
      <c r="H184" s="95" t="s">
        <v>1854</v>
      </c>
      <c r="I184" s="27"/>
      <c r="J184" s="52" t="s">
        <v>1112</v>
      </c>
      <c r="K184" s="51">
        <f>IF(Table1[[#This Row],[Preferenza telefono]]="Casa",Table1[[#This Row],[Telefono casa]],IF(Table1[[#This Row],[Preferenza telefono]]="Primario",Table1[[#This Row],[Telefono primario]],"-"))</f>
        <v>0</v>
      </c>
      <c r="L184" s="37" t="s">
        <v>1856</v>
      </c>
      <c r="M184" s="37" t="s">
        <v>1856</v>
      </c>
      <c r="N184" s="35" t="b">
        <f>IF(_xlfn.UNICODE( Table1[[#This Row],[Check]])=9745,TRUE,FALSE)</f>
        <v>0</v>
      </c>
    </row>
    <row r="185" spans="1:14" ht="30" customHeight="1" x14ac:dyDescent="0.25">
      <c r="A185" s="27" t="s">
        <v>1634</v>
      </c>
      <c r="B185" s="42" t="s">
        <v>524</v>
      </c>
      <c r="C185" s="27"/>
      <c r="D185" s="28"/>
      <c r="E185" s="27"/>
      <c r="F185" s="27" t="s">
        <v>503</v>
      </c>
      <c r="G185" s="29" t="s">
        <v>113</v>
      </c>
      <c r="H185" s="95" t="s">
        <v>1854</v>
      </c>
      <c r="I185" s="27"/>
      <c r="J185" s="52" t="s">
        <v>1112</v>
      </c>
      <c r="K185" s="51">
        <f>IF(Table1[[#This Row],[Preferenza telefono]]="Casa",Table1[[#This Row],[Telefono casa]],IF(Table1[[#This Row],[Preferenza telefono]]="Primario",Table1[[#This Row],[Telefono primario]],"-"))</f>
        <v>0</v>
      </c>
      <c r="L185" s="37" t="s">
        <v>1856</v>
      </c>
      <c r="M185" s="37" t="s">
        <v>1856</v>
      </c>
      <c r="N185" s="35" t="b">
        <f>IF(_xlfn.UNICODE( Table1[[#This Row],[Check]])=9745,TRUE,FALSE)</f>
        <v>0</v>
      </c>
    </row>
    <row r="186" spans="1:14" ht="30" customHeight="1" x14ac:dyDescent="0.25">
      <c r="A186" s="27" t="s">
        <v>1634</v>
      </c>
      <c r="B186" s="42" t="s">
        <v>544</v>
      </c>
      <c r="C186" s="27" t="s">
        <v>93</v>
      </c>
      <c r="D186" s="28"/>
      <c r="E186" s="27"/>
      <c r="F186" s="27" t="s">
        <v>112</v>
      </c>
      <c r="G186" s="29" t="s">
        <v>113</v>
      </c>
      <c r="H186" s="95" t="s">
        <v>1855</v>
      </c>
      <c r="I186" s="27"/>
      <c r="J186" s="52" t="s">
        <v>1112</v>
      </c>
      <c r="K186" s="51">
        <f>IF(Table1[[#This Row],[Preferenza telefono]]="Casa",Table1[[#This Row],[Telefono casa]],IF(Table1[[#This Row],[Preferenza telefono]]="Primario",Table1[[#This Row],[Telefono primario]],"-"))</f>
        <v>0</v>
      </c>
      <c r="L186" s="37" t="s">
        <v>1856</v>
      </c>
      <c r="M186" s="37" t="s">
        <v>1856</v>
      </c>
      <c r="N186" s="35" t="b">
        <f>IF(_xlfn.UNICODE( Table1[[#This Row],[Check]])=9745,TRUE,FALSE)</f>
        <v>0</v>
      </c>
    </row>
    <row r="187" spans="1:14" ht="30" customHeight="1" x14ac:dyDescent="0.25">
      <c r="A187" s="27" t="s">
        <v>1634</v>
      </c>
      <c r="B187" s="42" t="s">
        <v>1672</v>
      </c>
      <c r="C187" s="27" t="s">
        <v>193</v>
      </c>
      <c r="D187" s="28"/>
      <c r="E187" s="27"/>
      <c r="F187" s="27" t="s">
        <v>508</v>
      </c>
      <c r="G187" s="29" t="s">
        <v>113</v>
      </c>
      <c r="H187" s="95" t="s">
        <v>1854</v>
      </c>
      <c r="I187" s="27"/>
      <c r="J187" s="52" t="s">
        <v>1112</v>
      </c>
      <c r="K187" s="51">
        <f>IF(Table1[[#This Row],[Preferenza telefono]]="Casa",Table1[[#This Row],[Telefono casa]],IF(Table1[[#This Row],[Preferenza telefono]]="Primario",Table1[[#This Row],[Telefono primario]],"-"))</f>
        <v>0</v>
      </c>
      <c r="L187" s="37" t="s">
        <v>1856</v>
      </c>
      <c r="M187" s="37" t="s">
        <v>1856</v>
      </c>
      <c r="N187" s="35" t="b">
        <f>IF(_xlfn.UNICODE( Table1[[#This Row],[Check]])=9745,TRUE,FALSE)</f>
        <v>0</v>
      </c>
    </row>
    <row r="188" spans="1:14" ht="30" customHeight="1" x14ac:dyDescent="0.25">
      <c r="A188" s="27" t="s">
        <v>1634</v>
      </c>
      <c r="B188" s="42" t="s">
        <v>548</v>
      </c>
      <c r="C188" s="27"/>
      <c r="D188" s="28"/>
      <c r="E188" s="27"/>
      <c r="F188" s="27" t="s">
        <v>535</v>
      </c>
      <c r="G188" s="29" t="s">
        <v>113</v>
      </c>
      <c r="H188" s="95" t="s">
        <v>1854</v>
      </c>
      <c r="I188" s="27"/>
      <c r="J188" s="52" t="s">
        <v>1112</v>
      </c>
      <c r="K188" s="51">
        <f>IF(Table1[[#This Row],[Preferenza telefono]]="Casa",Table1[[#This Row],[Telefono casa]],IF(Table1[[#This Row],[Preferenza telefono]]="Primario",Table1[[#This Row],[Telefono primario]],"-"))</f>
        <v>0</v>
      </c>
      <c r="L188" s="37" t="s">
        <v>1856</v>
      </c>
      <c r="M188" s="37" t="s">
        <v>1856</v>
      </c>
      <c r="N188" s="35" t="b">
        <f>IF(_xlfn.UNICODE( Table1[[#This Row],[Check]])=9745,TRUE,FALSE)</f>
        <v>0</v>
      </c>
    </row>
    <row r="189" spans="1:14" ht="30" customHeight="1" x14ac:dyDescent="0.25">
      <c r="A189" s="27" t="s">
        <v>1634</v>
      </c>
      <c r="B189" s="42" t="s">
        <v>547</v>
      </c>
      <c r="C189" s="27"/>
      <c r="D189" s="28"/>
      <c r="E189" s="27"/>
      <c r="F189" s="27" t="s">
        <v>535</v>
      </c>
      <c r="G189" s="29" t="s">
        <v>113</v>
      </c>
      <c r="H189" s="95" t="s">
        <v>1855</v>
      </c>
      <c r="I189" s="27"/>
      <c r="J189" s="52" t="s">
        <v>1112</v>
      </c>
      <c r="K189" s="51">
        <f>IF(Table1[[#This Row],[Preferenza telefono]]="Casa",Table1[[#This Row],[Telefono casa]],IF(Table1[[#This Row],[Preferenza telefono]]="Primario",Table1[[#This Row],[Telefono primario]],"-"))</f>
        <v>0</v>
      </c>
      <c r="L189" s="37" t="s">
        <v>1856</v>
      </c>
      <c r="M189" s="37" t="s">
        <v>1856</v>
      </c>
      <c r="N189" s="35" t="b">
        <f>IF(_xlfn.UNICODE( Table1[[#This Row],[Check]])=9745,TRUE,FALSE)</f>
        <v>0</v>
      </c>
    </row>
    <row r="190" spans="1:14" ht="30" customHeight="1" x14ac:dyDescent="0.25">
      <c r="A190" s="27" t="s">
        <v>1634</v>
      </c>
      <c r="B190" s="42" t="s">
        <v>525</v>
      </c>
      <c r="C190" s="27"/>
      <c r="D190" s="28"/>
      <c r="E190" s="27"/>
      <c r="F190" s="27" t="s">
        <v>127</v>
      </c>
      <c r="G190" s="29" t="s">
        <v>113</v>
      </c>
      <c r="H190" s="95" t="s">
        <v>1854</v>
      </c>
      <c r="I190" s="27"/>
      <c r="J190" s="52" t="s">
        <v>1112</v>
      </c>
      <c r="K190" s="51">
        <f>IF(Table1[[#This Row],[Preferenza telefono]]="Casa",Table1[[#This Row],[Telefono casa]],IF(Table1[[#This Row],[Preferenza telefono]]="Primario",Table1[[#This Row],[Telefono primario]],"-"))</f>
        <v>0</v>
      </c>
      <c r="L190" s="37" t="s">
        <v>1856</v>
      </c>
      <c r="M190" s="37" t="s">
        <v>1856</v>
      </c>
      <c r="N190" s="35" t="b">
        <f>IF(_xlfn.UNICODE( Table1[[#This Row],[Check]])=9745,TRUE,FALSE)</f>
        <v>0</v>
      </c>
    </row>
    <row r="191" spans="1:14" ht="30" customHeight="1" x14ac:dyDescent="0.25">
      <c r="A191" s="27" t="s">
        <v>1634</v>
      </c>
      <c r="B191" s="42" t="s">
        <v>526</v>
      </c>
      <c r="C191" s="27"/>
      <c r="D191" s="28"/>
      <c r="E191" s="27"/>
      <c r="F191" s="27" t="s">
        <v>127</v>
      </c>
      <c r="G191" s="29" t="s">
        <v>113</v>
      </c>
      <c r="H191" s="95" t="s">
        <v>1854</v>
      </c>
      <c r="I191" s="27"/>
      <c r="J191" s="52" t="s">
        <v>1112</v>
      </c>
      <c r="K191" s="51">
        <f>IF(Table1[[#This Row],[Preferenza telefono]]="Casa",Table1[[#This Row],[Telefono casa]],IF(Table1[[#This Row],[Preferenza telefono]]="Primario",Table1[[#This Row],[Telefono primario]],"-"))</f>
        <v>0</v>
      </c>
      <c r="L191" s="37" t="s">
        <v>1856</v>
      </c>
      <c r="M191" s="37" t="s">
        <v>1856</v>
      </c>
      <c r="N191" s="35" t="b">
        <f>IF(_xlfn.UNICODE( Table1[[#This Row],[Check]])=9745,TRUE,FALSE)</f>
        <v>0</v>
      </c>
    </row>
    <row r="192" spans="1:14" ht="30" customHeight="1" x14ac:dyDescent="0.25">
      <c r="A192" s="27" t="s">
        <v>1634</v>
      </c>
      <c r="B192" s="42" t="s">
        <v>1673</v>
      </c>
      <c r="C192" s="27" t="s">
        <v>854</v>
      </c>
      <c r="D192" s="28"/>
      <c r="E192" s="27"/>
      <c r="F192" s="27" t="s">
        <v>535</v>
      </c>
      <c r="G192" s="29" t="s">
        <v>113</v>
      </c>
      <c r="H192" s="95" t="s">
        <v>1855</v>
      </c>
      <c r="I192" s="27"/>
      <c r="J192" s="52" t="s">
        <v>1112</v>
      </c>
      <c r="K192" s="51">
        <f>IF(Table1[[#This Row],[Preferenza telefono]]="Casa",Table1[[#This Row],[Telefono casa]],IF(Table1[[#This Row],[Preferenza telefono]]="Primario",Table1[[#This Row],[Telefono primario]],"-"))</f>
        <v>0</v>
      </c>
      <c r="L192" s="37" t="s">
        <v>1856</v>
      </c>
      <c r="M192" s="37" t="s">
        <v>1856</v>
      </c>
      <c r="N192" s="35" t="b">
        <f>IF(_xlfn.UNICODE( Table1[[#This Row],[Check]])=9745,TRUE,FALSE)</f>
        <v>0</v>
      </c>
    </row>
    <row r="193" spans="1:14" ht="30" customHeight="1" x14ac:dyDescent="0.25">
      <c r="A193" s="27" t="s">
        <v>1634</v>
      </c>
      <c r="B193" s="42" t="s">
        <v>534</v>
      </c>
      <c r="C193" s="27"/>
      <c r="D193" s="28"/>
      <c r="E193" s="27"/>
      <c r="F193" s="27" t="s">
        <v>535</v>
      </c>
      <c r="G193" s="29" t="s">
        <v>113</v>
      </c>
      <c r="H193" s="95" t="s">
        <v>1854</v>
      </c>
      <c r="I193" s="27"/>
      <c r="J193" s="52" t="s">
        <v>1112</v>
      </c>
      <c r="K193" s="51">
        <f>IF(Table1[[#This Row],[Preferenza telefono]]="Casa",Table1[[#This Row],[Telefono casa]],IF(Table1[[#This Row],[Preferenza telefono]]="Primario",Table1[[#This Row],[Telefono primario]],"-"))</f>
        <v>0</v>
      </c>
      <c r="L193" s="37" t="s">
        <v>1856</v>
      </c>
      <c r="M193" s="37" t="s">
        <v>1856</v>
      </c>
      <c r="N193" s="35" t="b">
        <f>IF(_xlfn.UNICODE( Table1[[#This Row],[Check]])=9745,TRUE,FALSE)</f>
        <v>0</v>
      </c>
    </row>
    <row r="194" spans="1:14" ht="30" customHeight="1" x14ac:dyDescent="0.25">
      <c r="A194" s="27" t="s">
        <v>1634</v>
      </c>
      <c r="B194" s="42" t="s">
        <v>551</v>
      </c>
      <c r="C194" s="27"/>
      <c r="D194" s="28"/>
      <c r="E194" s="27"/>
      <c r="F194" s="27" t="s">
        <v>503</v>
      </c>
      <c r="G194" s="29" t="s">
        <v>113</v>
      </c>
      <c r="H194" s="95" t="s">
        <v>1854</v>
      </c>
      <c r="I194" s="27"/>
      <c r="J194" s="52" t="s">
        <v>1112</v>
      </c>
      <c r="K194" s="51">
        <f>IF(Table1[[#This Row],[Preferenza telefono]]="Casa",Table1[[#This Row],[Telefono casa]],IF(Table1[[#This Row],[Preferenza telefono]]="Primario",Table1[[#This Row],[Telefono primario]],"-"))</f>
        <v>0</v>
      </c>
      <c r="L194" s="37" t="s">
        <v>1856</v>
      </c>
      <c r="M194" s="37" t="s">
        <v>1856</v>
      </c>
      <c r="N194" s="35" t="b">
        <f>IF(_xlfn.UNICODE( Table1[[#This Row],[Check]])=9745,TRUE,FALSE)</f>
        <v>0</v>
      </c>
    </row>
    <row r="195" spans="1:14" ht="30" customHeight="1" x14ac:dyDescent="0.25">
      <c r="A195" s="27" t="s">
        <v>1634</v>
      </c>
      <c r="B195" s="42" t="s">
        <v>538</v>
      </c>
      <c r="C195" s="27"/>
      <c r="D195" s="28"/>
      <c r="E195" s="27"/>
      <c r="F195" s="27" t="s">
        <v>112</v>
      </c>
      <c r="G195" s="29" t="s">
        <v>113</v>
      </c>
      <c r="H195" s="95" t="s">
        <v>1855</v>
      </c>
      <c r="I195" s="27"/>
      <c r="J195" s="52" t="s">
        <v>1112</v>
      </c>
      <c r="K195" s="51">
        <f>IF(Table1[[#This Row],[Preferenza telefono]]="Casa",Table1[[#This Row],[Telefono casa]],IF(Table1[[#This Row],[Preferenza telefono]]="Primario",Table1[[#This Row],[Telefono primario]],"-"))</f>
        <v>0</v>
      </c>
      <c r="L195" s="37" t="s">
        <v>1856</v>
      </c>
      <c r="M195" s="37" t="s">
        <v>1856</v>
      </c>
      <c r="N195" s="35" t="b">
        <f>IF(_xlfn.UNICODE( Table1[[#This Row],[Check]])=9745,TRUE,FALSE)</f>
        <v>0</v>
      </c>
    </row>
    <row r="196" spans="1:14" ht="30" customHeight="1" x14ac:dyDescent="0.25">
      <c r="A196" s="27" t="s">
        <v>1634</v>
      </c>
      <c r="B196" s="42" t="s">
        <v>533</v>
      </c>
      <c r="C196" s="43" t="s">
        <v>4</v>
      </c>
      <c r="D196" s="28"/>
      <c r="E196" s="27"/>
      <c r="F196" s="27" t="s">
        <v>508</v>
      </c>
      <c r="G196" s="44" t="s">
        <v>113</v>
      </c>
      <c r="H196" s="95" t="s">
        <v>1854</v>
      </c>
      <c r="I196" s="27"/>
      <c r="J196" s="52" t="s">
        <v>1112</v>
      </c>
      <c r="K196" s="51">
        <f>IF(Table1[[#This Row],[Preferenza telefono]]="Casa",Table1[[#This Row],[Telefono casa]],IF(Table1[[#This Row],[Preferenza telefono]]="Primario",Table1[[#This Row],[Telefono primario]],"-"))</f>
        <v>0</v>
      </c>
      <c r="L196" s="37" t="s">
        <v>1856</v>
      </c>
      <c r="M196" s="37" t="s">
        <v>1856</v>
      </c>
      <c r="N196" s="35" t="b">
        <f>IF(_xlfn.UNICODE( Table1[[#This Row],[Check]])=9745,TRUE,FALSE)</f>
        <v>0</v>
      </c>
    </row>
    <row r="197" spans="1:14" ht="30" customHeight="1" x14ac:dyDescent="0.25">
      <c r="A197" s="27" t="s">
        <v>1634</v>
      </c>
      <c r="B197" s="42" t="s">
        <v>1765</v>
      </c>
      <c r="C197" s="27" t="s">
        <v>1772</v>
      </c>
      <c r="D197" s="28"/>
      <c r="E197" s="27"/>
      <c r="F197" s="27" t="s">
        <v>1773</v>
      </c>
      <c r="G197" s="29" t="s">
        <v>113</v>
      </c>
      <c r="H197" s="95" t="s">
        <v>1854</v>
      </c>
      <c r="I197" s="27"/>
      <c r="J197" s="52" t="s">
        <v>1112</v>
      </c>
      <c r="K197" s="51">
        <f>IF(Table1[[#This Row],[Preferenza telefono]]="Casa",Table1[[#This Row],[Telefono casa]],IF(Table1[[#This Row],[Preferenza telefono]]="Primario",Table1[[#This Row],[Telefono primario]],"-"))</f>
        <v>0</v>
      </c>
      <c r="L197" s="37" t="s">
        <v>1856</v>
      </c>
      <c r="M197" s="37" t="s">
        <v>1856</v>
      </c>
      <c r="N197" s="35" t="b">
        <f>IF(_xlfn.UNICODE( Table1[[#This Row],[Check]])=9745,TRUE,FALSE)</f>
        <v>0</v>
      </c>
    </row>
    <row r="198" spans="1:14" ht="30" customHeight="1" x14ac:dyDescent="0.25">
      <c r="A198" s="27" t="s">
        <v>1634</v>
      </c>
      <c r="B198" s="42" t="s">
        <v>531</v>
      </c>
      <c r="C198" s="43" t="s">
        <v>4</v>
      </c>
      <c r="D198" s="28"/>
      <c r="E198" s="27"/>
      <c r="F198" s="27" t="s">
        <v>508</v>
      </c>
      <c r="G198" s="44" t="s">
        <v>113</v>
      </c>
      <c r="H198" s="95" t="s">
        <v>1855</v>
      </c>
      <c r="I198" s="27"/>
      <c r="J198" s="52" t="s">
        <v>1112</v>
      </c>
      <c r="K198" s="51">
        <f>IF(Table1[[#This Row],[Preferenza telefono]]="Casa",Table1[[#This Row],[Telefono casa]],IF(Table1[[#This Row],[Preferenza telefono]]="Primario",Table1[[#This Row],[Telefono primario]],"-"))</f>
        <v>0</v>
      </c>
      <c r="L198" s="37" t="s">
        <v>1856</v>
      </c>
      <c r="M198" s="37" t="s">
        <v>1856</v>
      </c>
      <c r="N198" s="35" t="b">
        <f>IF(_xlfn.UNICODE( Table1[[#This Row],[Check]])=9745,TRUE,FALSE)</f>
        <v>0</v>
      </c>
    </row>
    <row r="199" spans="1:14" ht="30" customHeight="1" x14ac:dyDescent="0.25">
      <c r="A199" s="27" t="s">
        <v>1634</v>
      </c>
      <c r="B199" s="42" t="s">
        <v>111</v>
      </c>
      <c r="C199" s="27"/>
      <c r="D199" s="28"/>
      <c r="E199" s="27"/>
      <c r="F199" s="27" t="s">
        <v>530</v>
      </c>
      <c r="G199" s="29" t="s">
        <v>113</v>
      </c>
      <c r="H199" s="95" t="s">
        <v>1854</v>
      </c>
      <c r="I199" s="27"/>
      <c r="J199" s="52" t="s">
        <v>1112</v>
      </c>
      <c r="K199" s="51">
        <f>IF(Table1[[#This Row],[Preferenza telefono]]="Casa",Table1[[#This Row],[Telefono casa]],IF(Table1[[#This Row],[Preferenza telefono]]="Primario",Table1[[#This Row],[Telefono primario]],"-"))</f>
        <v>0</v>
      </c>
      <c r="L199" s="37" t="s">
        <v>1856</v>
      </c>
      <c r="M199" s="37" t="s">
        <v>1856</v>
      </c>
      <c r="N199" s="35" t="b">
        <f>IF(_xlfn.UNICODE( Table1[[#This Row],[Check]])=9745,TRUE,FALSE)</f>
        <v>0</v>
      </c>
    </row>
    <row r="200" spans="1:14" ht="30" customHeight="1" x14ac:dyDescent="0.25">
      <c r="A200" s="27" t="s">
        <v>1634</v>
      </c>
      <c r="B200" s="42" t="s">
        <v>543</v>
      </c>
      <c r="C200" s="27"/>
      <c r="D200" s="28"/>
      <c r="E200" s="27"/>
      <c r="F200" s="27" t="s">
        <v>500</v>
      </c>
      <c r="G200" s="29" t="s">
        <v>113</v>
      </c>
      <c r="H200" s="95" t="s">
        <v>1854</v>
      </c>
      <c r="I200" s="27"/>
      <c r="J200" s="52" t="s">
        <v>1112</v>
      </c>
      <c r="K200" s="51">
        <f>IF(Table1[[#This Row],[Preferenza telefono]]="Casa",Table1[[#This Row],[Telefono casa]],IF(Table1[[#This Row],[Preferenza telefono]]="Primario",Table1[[#This Row],[Telefono primario]],"-"))</f>
        <v>0</v>
      </c>
      <c r="L200" s="37" t="s">
        <v>1856</v>
      </c>
      <c r="M200" s="37" t="s">
        <v>1856</v>
      </c>
      <c r="N200" s="35" t="b">
        <f>IF(_xlfn.UNICODE( Table1[[#This Row],[Check]])=9745,TRUE,FALSE)</f>
        <v>0</v>
      </c>
    </row>
    <row r="201" spans="1:14" ht="30" customHeight="1" x14ac:dyDescent="0.25">
      <c r="A201" s="27" t="s">
        <v>1634</v>
      </c>
      <c r="B201" s="42" t="s">
        <v>532</v>
      </c>
      <c r="C201" s="27"/>
      <c r="D201" s="28"/>
      <c r="E201" s="27"/>
      <c r="F201" s="27" t="s">
        <v>500</v>
      </c>
      <c r="G201" s="29" t="s">
        <v>113</v>
      </c>
      <c r="H201" s="95" t="s">
        <v>1855</v>
      </c>
      <c r="I201" s="27"/>
      <c r="J201" s="52" t="s">
        <v>1112</v>
      </c>
      <c r="K201" s="51">
        <f>IF(Table1[[#This Row],[Preferenza telefono]]="Casa",Table1[[#This Row],[Telefono casa]],IF(Table1[[#This Row],[Preferenza telefono]]="Primario",Table1[[#This Row],[Telefono primario]],"-"))</f>
        <v>0</v>
      </c>
      <c r="L201" s="37" t="s">
        <v>1856</v>
      </c>
      <c r="M201" s="37" t="s">
        <v>1856</v>
      </c>
      <c r="N201" s="35" t="b">
        <f>IF(_xlfn.UNICODE( Table1[[#This Row],[Check]])=9745,TRUE,FALSE)</f>
        <v>0</v>
      </c>
    </row>
    <row r="202" spans="1:14" ht="30" customHeight="1" x14ac:dyDescent="0.25">
      <c r="A202" s="27" t="s">
        <v>1634</v>
      </c>
      <c r="B202" s="42" t="s">
        <v>499</v>
      </c>
      <c r="C202" s="27" t="s">
        <v>4</v>
      </c>
      <c r="D202" s="28"/>
      <c r="E202" s="27"/>
      <c r="F202" s="27" t="s">
        <v>500</v>
      </c>
      <c r="G202" s="29" t="s">
        <v>113</v>
      </c>
      <c r="H202" s="95" t="s">
        <v>1854</v>
      </c>
      <c r="I202" s="27"/>
      <c r="J202" s="52" t="s">
        <v>1112</v>
      </c>
      <c r="K202" s="51">
        <f>IF(Table1[[#This Row],[Preferenza telefono]]="Casa",Table1[[#This Row],[Telefono casa]],IF(Table1[[#This Row],[Preferenza telefono]]="Primario",Table1[[#This Row],[Telefono primario]],"-"))</f>
        <v>0</v>
      </c>
      <c r="L202" s="37" t="s">
        <v>1856</v>
      </c>
      <c r="M202" s="37" t="s">
        <v>1856</v>
      </c>
      <c r="N202" s="35" t="b">
        <f>IF(_xlfn.UNICODE( Table1[[#This Row],[Check]])=9745,TRUE,FALSE)</f>
        <v>0</v>
      </c>
    </row>
    <row r="203" spans="1:14" ht="30" customHeight="1" x14ac:dyDescent="0.25">
      <c r="A203" s="27" t="s">
        <v>1634</v>
      </c>
      <c r="B203" s="42" t="s">
        <v>1712</v>
      </c>
      <c r="C203" s="27"/>
      <c r="D203" s="28"/>
      <c r="E203" s="27"/>
      <c r="F203" s="27" t="s">
        <v>1713</v>
      </c>
      <c r="G203" s="29" t="s">
        <v>113</v>
      </c>
      <c r="H203" s="95" t="s">
        <v>1854</v>
      </c>
      <c r="I203" s="27"/>
      <c r="J203" s="52" t="s">
        <v>1112</v>
      </c>
      <c r="K203" s="51">
        <f>IF(Table1[[#This Row],[Preferenza telefono]]="Casa",Table1[[#This Row],[Telefono casa]],IF(Table1[[#This Row],[Preferenza telefono]]="Primario",Table1[[#This Row],[Telefono primario]],"-"))</f>
        <v>0</v>
      </c>
      <c r="L203" s="37" t="s">
        <v>1856</v>
      </c>
      <c r="M203" s="37" t="s">
        <v>1856</v>
      </c>
      <c r="N203" s="35" t="b">
        <f>IF(_xlfn.UNICODE( Table1[[#This Row],[Check]])=9745,TRUE,FALSE)</f>
        <v>0</v>
      </c>
    </row>
    <row r="204" spans="1:14" ht="30" customHeight="1" x14ac:dyDescent="0.25">
      <c r="A204" s="27" t="s">
        <v>1634</v>
      </c>
      <c r="B204" s="42" t="s">
        <v>517</v>
      </c>
      <c r="C204" s="27" t="s">
        <v>126</v>
      </c>
      <c r="D204" s="28">
        <v>3486728551</v>
      </c>
      <c r="E204" s="27"/>
      <c r="F204" s="27" t="s">
        <v>127</v>
      </c>
      <c r="G204" s="29" t="s">
        <v>113</v>
      </c>
      <c r="H204" s="95" t="s">
        <v>1855</v>
      </c>
      <c r="I204" s="27"/>
      <c r="J204" s="52" t="s">
        <v>1112</v>
      </c>
      <c r="K204" s="51">
        <f>IF(Table1[[#This Row],[Preferenza telefono]]="Casa",Table1[[#This Row],[Telefono casa]],IF(Table1[[#This Row],[Preferenza telefono]]="Primario",Table1[[#This Row],[Telefono primario]],"-"))</f>
        <v>3486728551</v>
      </c>
      <c r="L204" s="37" t="s">
        <v>1856</v>
      </c>
      <c r="M204" s="37" t="s">
        <v>1856</v>
      </c>
      <c r="N204" s="35" t="b">
        <f>IF(_xlfn.UNICODE( Table1[[#This Row],[Check]])=9745,TRUE,FALSE)</f>
        <v>0</v>
      </c>
    </row>
    <row r="205" spans="1:14" ht="30" customHeight="1" x14ac:dyDescent="0.25">
      <c r="A205" s="27" t="s">
        <v>1634</v>
      </c>
      <c r="B205" s="42" t="s">
        <v>550</v>
      </c>
      <c r="C205" s="27"/>
      <c r="D205" s="28"/>
      <c r="E205" s="27"/>
      <c r="F205" s="27" t="s">
        <v>112</v>
      </c>
      <c r="G205" s="29" t="s">
        <v>113</v>
      </c>
      <c r="H205" s="95" t="s">
        <v>1854</v>
      </c>
      <c r="I205" s="27"/>
      <c r="J205" s="52" t="s">
        <v>1112</v>
      </c>
      <c r="K205" s="51">
        <f>IF(Table1[[#This Row],[Preferenza telefono]]="Casa",Table1[[#This Row],[Telefono casa]],IF(Table1[[#This Row],[Preferenza telefono]]="Primario",Table1[[#This Row],[Telefono primario]],"-"))</f>
        <v>0</v>
      </c>
      <c r="L205" s="37" t="s">
        <v>1856</v>
      </c>
      <c r="M205" s="37" t="s">
        <v>1856</v>
      </c>
      <c r="N205" s="35" t="b">
        <f>IF(_xlfn.UNICODE( Table1[[#This Row],[Check]])=9745,TRUE,FALSE)</f>
        <v>0</v>
      </c>
    </row>
    <row r="206" spans="1:14" ht="30" customHeight="1" x14ac:dyDescent="0.25">
      <c r="A206" s="27" t="s">
        <v>1634</v>
      </c>
      <c r="B206" s="42" t="s">
        <v>542</v>
      </c>
      <c r="C206" s="27"/>
      <c r="D206" s="28"/>
      <c r="E206" s="27"/>
      <c r="F206" s="27" t="s">
        <v>112</v>
      </c>
      <c r="G206" s="29" t="s">
        <v>113</v>
      </c>
      <c r="H206" s="95" t="s">
        <v>1854</v>
      </c>
      <c r="I206" s="27"/>
      <c r="J206" s="52" t="s">
        <v>1112</v>
      </c>
      <c r="K206" s="51">
        <f>IF(Table1[[#This Row],[Preferenza telefono]]="Casa",Table1[[#This Row],[Telefono casa]],IF(Table1[[#This Row],[Preferenza telefono]]="Primario",Table1[[#This Row],[Telefono primario]],"-"))</f>
        <v>0</v>
      </c>
      <c r="L206" s="37" t="s">
        <v>1856</v>
      </c>
      <c r="M206" s="37" t="s">
        <v>1856</v>
      </c>
      <c r="N206" s="35" t="b">
        <f>IF(_xlfn.UNICODE( Table1[[#This Row],[Check]])=9745,TRUE,FALSE)</f>
        <v>0</v>
      </c>
    </row>
    <row r="207" spans="1:14" ht="30" customHeight="1" x14ac:dyDescent="0.25">
      <c r="A207" s="27" t="s">
        <v>1634</v>
      </c>
      <c r="B207" s="42" t="s">
        <v>553</v>
      </c>
      <c r="C207" s="27"/>
      <c r="D207" s="28"/>
      <c r="E207" s="27"/>
      <c r="F207" s="27" t="s">
        <v>503</v>
      </c>
      <c r="G207" s="29" t="s">
        <v>113</v>
      </c>
      <c r="H207" s="95" t="s">
        <v>1855</v>
      </c>
      <c r="I207" s="27"/>
      <c r="J207" s="52" t="s">
        <v>1112</v>
      </c>
      <c r="K207" s="51">
        <f>IF(Table1[[#This Row],[Preferenza telefono]]="Casa",Table1[[#This Row],[Telefono casa]],IF(Table1[[#This Row],[Preferenza telefono]]="Primario",Table1[[#This Row],[Telefono primario]],"-"))</f>
        <v>0</v>
      </c>
      <c r="L207" s="37" t="s">
        <v>1856</v>
      </c>
      <c r="M207" s="37" t="s">
        <v>1856</v>
      </c>
      <c r="N207" s="35" t="b">
        <f>IF(_xlfn.UNICODE( Table1[[#This Row],[Check]])=9745,TRUE,FALSE)</f>
        <v>0</v>
      </c>
    </row>
    <row r="208" spans="1:14" ht="30" customHeight="1" x14ac:dyDescent="0.25">
      <c r="A208" s="27" t="s">
        <v>1634</v>
      </c>
      <c r="B208" s="42" t="s">
        <v>1805</v>
      </c>
      <c r="C208" s="27" t="s">
        <v>858</v>
      </c>
      <c r="D208" s="28"/>
      <c r="E208" s="28"/>
      <c r="F208" s="27" t="s">
        <v>127</v>
      </c>
      <c r="G208" s="29" t="s">
        <v>113</v>
      </c>
      <c r="H208" s="95" t="s">
        <v>1854</v>
      </c>
      <c r="I208" s="101"/>
      <c r="J208" s="52" t="s">
        <v>1112</v>
      </c>
      <c r="K208" s="51">
        <f>IF(Table1[[#This Row],[Preferenza telefono]]="Casa",Table1[[#This Row],[Telefono casa]],IF(Table1[[#This Row],[Preferenza telefono]]="Primario",Table1[[#This Row],[Telefono primario]],"-"))</f>
        <v>0</v>
      </c>
      <c r="L208" s="37" t="s">
        <v>1856</v>
      </c>
      <c r="M208" s="37" t="s">
        <v>1856</v>
      </c>
      <c r="N208" s="35" t="b">
        <f>IF(_xlfn.UNICODE( Table1[[#This Row],[Check]])=9745,TRUE,FALSE)</f>
        <v>0</v>
      </c>
    </row>
    <row r="209" spans="1:14" ht="30" customHeight="1" x14ac:dyDescent="0.25">
      <c r="A209" s="27" t="s">
        <v>1634</v>
      </c>
      <c r="B209" s="42" t="s">
        <v>554</v>
      </c>
      <c r="C209" s="27"/>
      <c r="D209" s="28"/>
      <c r="E209" s="27"/>
      <c r="F209" s="27" t="s">
        <v>112</v>
      </c>
      <c r="G209" s="29" t="s">
        <v>113</v>
      </c>
      <c r="H209" s="95" t="s">
        <v>1854</v>
      </c>
      <c r="I209" s="27"/>
      <c r="J209" s="52" t="s">
        <v>1112</v>
      </c>
      <c r="K209" s="51">
        <f>IF(Table1[[#This Row],[Preferenza telefono]]="Casa",Table1[[#This Row],[Telefono casa]],IF(Table1[[#This Row],[Preferenza telefono]]="Primario",Table1[[#This Row],[Telefono primario]],"-"))</f>
        <v>0</v>
      </c>
      <c r="L209" s="37" t="s">
        <v>1856</v>
      </c>
      <c r="M209" s="37" t="s">
        <v>1856</v>
      </c>
      <c r="N209" s="35" t="b">
        <f>IF(_xlfn.UNICODE( Table1[[#This Row],[Check]])=9745,TRUE,FALSE)</f>
        <v>0</v>
      </c>
    </row>
    <row r="210" spans="1:14" ht="30" customHeight="1" x14ac:dyDescent="0.25">
      <c r="A210" s="27" t="s">
        <v>1634</v>
      </c>
      <c r="B210" s="42" t="s">
        <v>513</v>
      </c>
      <c r="C210" s="27" t="s">
        <v>4</v>
      </c>
      <c r="D210" s="28"/>
      <c r="E210" s="27"/>
      <c r="F210" s="27" t="s">
        <v>508</v>
      </c>
      <c r="G210" s="29" t="s">
        <v>113</v>
      </c>
      <c r="H210" s="95" t="s">
        <v>1855</v>
      </c>
      <c r="I210" s="27"/>
      <c r="J210" s="52" t="s">
        <v>1112</v>
      </c>
      <c r="K210" s="51">
        <f>IF(Table1[[#This Row],[Preferenza telefono]]="Casa",Table1[[#This Row],[Telefono casa]],IF(Table1[[#This Row],[Preferenza telefono]]="Primario",Table1[[#This Row],[Telefono primario]],"-"))</f>
        <v>0</v>
      </c>
      <c r="L210" s="37" t="s">
        <v>1856</v>
      </c>
      <c r="M210" s="37" t="s">
        <v>1856</v>
      </c>
      <c r="N210" s="35" t="b">
        <f>IF(_xlfn.UNICODE( Table1[[#This Row],[Check]])=9745,TRUE,FALSE)</f>
        <v>0</v>
      </c>
    </row>
    <row r="211" spans="1:14" ht="30" customHeight="1" x14ac:dyDescent="0.25">
      <c r="A211" s="27" t="s">
        <v>1634</v>
      </c>
      <c r="B211" s="47" t="s">
        <v>537</v>
      </c>
      <c r="C211" s="27"/>
      <c r="D211" s="28"/>
      <c r="E211" s="27"/>
      <c r="F211" s="27" t="s">
        <v>127</v>
      </c>
      <c r="G211" s="29" t="s">
        <v>113</v>
      </c>
      <c r="H211" s="95" t="s">
        <v>1854</v>
      </c>
      <c r="I211" s="27"/>
      <c r="J211" s="52" t="s">
        <v>1112</v>
      </c>
      <c r="K211" s="51">
        <f>IF(Table1[[#This Row],[Preferenza telefono]]="Casa",Table1[[#This Row],[Telefono casa]],IF(Table1[[#This Row],[Preferenza telefono]]="Primario",Table1[[#This Row],[Telefono primario]],"-"))</f>
        <v>0</v>
      </c>
      <c r="L211" s="37" t="s">
        <v>1856</v>
      </c>
      <c r="M211" s="37" t="s">
        <v>1856</v>
      </c>
      <c r="N211" s="35" t="b">
        <f>IF(_xlfn.UNICODE( Table1[[#This Row],[Check]])=9745,TRUE,FALSE)</f>
        <v>0</v>
      </c>
    </row>
    <row r="212" spans="1:14" ht="30" customHeight="1" x14ac:dyDescent="0.25">
      <c r="A212" s="27" t="s">
        <v>1634</v>
      </c>
      <c r="B212" s="42" t="s">
        <v>555</v>
      </c>
      <c r="C212" s="27"/>
      <c r="D212" s="28"/>
      <c r="E212" s="27"/>
      <c r="F212" s="27" t="s">
        <v>127</v>
      </c>
      <c r="G212" s="29" t="s">
        <v>113</v>
      </c>
      <c r="H212" s="95" t="s">
        <v>1854</v>
      </c>
      <c r="I212" s="27"/>
      <c r="J212" s="52" t="s">
        <v>1112</v>
      </c>
      <c r="K212" s="51">
        <f>IF(Table1[[#This Row],[Preferenza telefono]]="Casa",Table1[[#This Row],[Telefono casa]],IF(Table1[[#This Row],[Preferenza telefono]]="Primario",Table1[[#This Row],[Telefono primario]],"-"))</f>
        <v>0</v>
      </c>
      <c r="L212" s="37" t="s">
        <v>1856</v>
      </c>
      <c r="M212" s="37" t="s">
        <v>1856</v>
      </c>
      <c r="N212" s="35" t="b">
        <f>IF(_xlfn.UNICODE( Table1[[#This Row],[Check]])=9745,TRUE,FALSE)</f>
        <v>0</v>
      </c>
    </row>
    <row r="213" spans="1:14" ht="30" customHeight="1" x14ac:dyDescent="0.25">
      <c r="A213" s="27" t="s">
        <v>1634</v>
      </c>
      <c r="B213" s="31" t="s">
        <v>1766</v>
      </c>
      <c r="C213" s="27" t="s">
        <v>282</v>
      </c>
      <c r="D213" s="28"/>
      <c r="E213" s="27"/>
      <c r="F213" s="27" t="s">
        <v>112</v>
      </c>
      <c r="G213" s="29" t="s">
        <v>113</v>
      </c>
      <c r="H213" s="95" t="s">
        <v>1855</v>
      </c>
      <c r="I213" s="27"/>
      <c r="J213" s="52" t="s">
        <v>1112</v>
      </c>
      <c r="K213" s="51">
        <f>IF(Table1[[#This Row],[Preferenza telefono]]="Casa",Table1[[#This Row],[Telefono casa]],IF(Table1[[#This Row],[Preferenza telefono]]="Primario",Table1[[#This Row],[Telefono primario]],"-"))</f>
        <v>0</v>
      </c>
      <c r="L213" s="37" t="s">
        <v>1856</v>
      </c>
      <c r="M213" s="37" t="s">
        <v>1856</v>
      </c>
      <c r="N213" s="35" t="b">
        <f>IF(_xlfn.UNICODE( Table1[[#This Row],[Check]])=9745,TRUE,FALSE)</f>
        <v>0</v>
      </c>
    </row>
    <row r="214" spans="1:14" ht="30" customHeight="1" x14ac:dyDescent="0.25">
      <c r="A214" s="27" t="s">
        <v>1634</v>
      </c>
      <c r="B214" s="46" t="s">
        <v>552</v>
      </c>
      <c r="C214" s="27"/>
      <c r="D214" s="28"/>
      <c r="E214" s="27"/>
      <c r="F214" s="27" t="s">
        <v>500</v>
      </c>
      <c r="G214" s="29" t="s">
        <v>113</v>
      </c>
      <c r="H214" s="95" t="s">
        <v>1854</v>
      </c>
      <c r="I214" s="27"/>
      <c r="J214" s="52" t="s">
        <v>1112</v>
      </c>
      <c r="K214" s="51">
        <f>IF(Table1[[#This Row],[Preferenza telefono]]="Casa",Table1[[#This Row],[Telefono casa]],IF(Table1[[#This Row],[Preferenza telefono]]="Primario",Table1[[#This Row],[Telefono primario]],"-"))</f>
        <v>0</v>
      </c>
      <c r="L214" s="37" t="s">
        <v>1856</v>
      </c>
      <c r="M214" s="37" t="s">
        <v>1856</v>
      </c>
      <c r="N214" s="35" t="b">
        <f>IF(_xlfn.UNICODE( Table1[[#This Row],[Check]])=9745,TRUE,FALSE)</f>
        <v>0</v>
      </c>
    </row>
    <row r="215" spans="1:14" ht="30" customHeight="1" x14ac:dyDescent="0.25">
      <c r="A215" s="27" t="s">
        <v>1634</v>
      </c>
      <c r="B215" s="42" t="s">
        <v>1674</v>
      </c>
      <c r="C215" s="27" t="s">
        <v>4</v>
      </c>
      <c r="D215" s="28"/>
      <c r="E215" s="27"/>
      <c r="F215" s="27" t="s">
        <v>500</v>
      </c>
      <c r="G215" s="29" t="s">
        <v>113</v>
      </c>
      <c r="H215" s="95" t="s">
        <v>1854</v>
      </c>
      <c r="I215" s="27"/>
      <c r="J215" s="52" t="s">
        <v>1112</v>
      </c>
      <c r="K215" s="51">
        <f>IF(Table1[[#This Row],[Preferenza telefono]]="Casa",Table1[[#This Row],[Telefono casa]],IF(Table1[[#This Row],[Preferenza telefono]]="Primario",Table1[[#This Row],[Telefono primario]],"-"))</f>
        <v>0</v>
      </c>
      <c r="L215" s="37" t="s">
        <v>1856</v>
      </c>
      <c r="M215" s="37" t="s">
        <v>1856</v>
      </c>
      <c r="N215" s="35" t="b">
        <f>IF(_xlfn.UNICODE( Table1[[#This Row],[Check]])=9745,TRUE,FALSE)</f>
        <v>0</v>
      </c>
    </row>
    <row r="216" spans="1:14" ht="30" customHeight="1" x14ac:dyDescent="0.25">
      <c r="A216" s="27" t="s">
        <v>1634</v>
      </c>
      <c r="B216" s="42" t="s">
        <v>539</v>
      </c>
      <c r="C216" s="27"/>
      <c r="D216" s="28"/>
      <c r="E216" s="27"/>
      <c r="F216" s="27" t="s">
        <v>112</v>
      </c>
      <c r="G216" s="29" t="s">
        <v>113</v>
      </c>
      <c r="H216" s="95" t="s">
        <v>1855</v>
      </c>
      <c r="I216" s="27"/>
      <c r="J216" s="52" t="s">
        <v>1112</v>
      </c>
      <c r="K216" s="51">
        <f>IF(Table1[[#This Row],[Preferenza telefono]]="Casa",Table1[[#This Row],[Telefono casa]],IF(Table1[[#This Row],[Preferenza telefono]]="Primario",Table1[[#This Row],[Telefono primario]],"-"))</f>
        <v>0</v>
      </c>
      <c r="L216" s="37" t="s">
        <v>1856</v>
      </c>
      <c r="M216" s="37" t="s">
        <v>1856</v>
      </c>
      <c r="N216" s="35" t="b">
        <f>IF(_xlfn.UNICODE( Table1[[#This Row],[Check]])=9745,TRUE,FALSE)</f>
        <v>0</v>
      </c>
    </row>
    <row r="217" spans="1:14" ht="30" customHeight="1" x14ac:dyDescent="0.25">
      <c r="A217" s="27" t="s">
        <v>1634</v>
      </c>
      <c r="B217" s="42" t="s">
        <v>505</v>
      </c>
      <c r="C217" s="27" t="s">
        <v>4</v>
      </c>
      <c r="D217" s="28"/>
      <c r="E217" s="27"/>
      <c r="F217" s="27" t="s">
        <v>506</v>
      </c>
      <c r="G217" s="29" t="s">
        <v>113</v>
      </c>
      <c r="H217" s="95" t="s">
        <v>1854</v>
      </c>
      <c r="I217" s="27"/>
      <c r="J217" s="52" t="s">
        <v>1112</v>
      </c>
      <c r="K217" s="51">
        <f>IF(Table1[[#This Row],[Preferenza telefono]]="Casa",Table1[[#This Row],[Telefono casa]],IF(Table1[[#This Row],[Preferenza telefono]]="Primario",Table1[[#This Row],[Telefono primario]],"-"))</f>
        <v>0</v>
      </c>
      <c r="L217" s="37" t="s">
        <v>1856</v>
      </c>
      <c r="M217" s="37" t="s">
        <v>1856</v>
      </c>
      <c r="N217" s="35" t="b">
        <f>IF(_xlfn.UNICODE( Table1[[#This Row],[Check]])=9745,TRUE,FALSE)</f>
        <v>0</v>
      </c>
    </row>
    <row r="218" spans="1:14" ht="30" customHeight="1" x14ac:dyDescent="0.25">
      <c r="A218" s="27" t="s">
        <v>1634</v>
      </c>
      <c r="B218" s="42" t="s">
        <v>546</v>
      </c>
      <c r="C218" s="27"/>
      <c r="D218" s="28"/>
      <c r="E218" s="27"/>
      <c r="F218" s="27" t="s">
        <v>112</v>
      </c>
      <c r="G218" s="29" t="s">
        <v>113</v>
      </c>
      <c r="H218" s="95" t="s">
        <v>1854</v>
      </c>
      <c r="I218" s="27"/>
      <c r="J218" s="52" t="s">
        <v>1112</v>
      </c>
      <c r="K218" s="51">
        <f>IF(Table1[[#This Row],[Preferenza telefono]]="Casa",Table1[[#This Row],[Telefono casa]],IF(Table1[[#This Row],[Preferenza telefono]]="Primario",Table1[[#This Row],[Telefono primario]],"-"))</f>
        <v>0</v>
      </c>
      <c r="L218" s="37" t="s">
        <v>1856</v>
      </c>
      <c r="M218" s="37" t="s">
        <v>1856</v>
      </c>
      <c r="N218" s="35" t="b">
        <f>IF(_xlfn.UNICODE( Table1[[#This Row],[Check]])=9745,TRUE,FALSE)</f>
        <v>0</v>
      </c>
    </row>
    <row r="219" spans="1:14" ht="30" customHeight="1" x14ac:dyDescent="0.25">
      <c r="A219" s="27" t="s">
        <v>1634</v>
      </c>
      <c r="B219" s="42" t="s">
        <v>514</v>
      </c>
      <c r="C219" s="27" t="s">
        <v>4</v>
      </c>
      <c r="D219" s="28" t="s">
        <v>515</v>
      </c>
      <c r="E219" s="27"/>
      <c r="F219" s="27" t="s">
        <v>516</v>
      </c>
      <c r="G219" s="29" t="s">
        <v>113</v>
      </c>
      <c r="H219" s="95" t="s">
        <v>1855</v>
      </c>
      <c r="I219" s="27"/>
      <c r="J219" s="52" t="s">
        <v>1112</v>
      </c>
      <c r="K219" s="51" t="str">
        <f>IF(Table1[[#This Row],[Preferenza telefono]]="Casa",Table1[[#This Row],[Telefono casa]],IF(Table1[[#This Row],[Preferenza telefono]]="Primario",Table1[[#This Row],[Telefono primario]],"-"))</f>
        <v>.0382463781</v>
      </c>
      <c r="L219" s="37" t="s">
        <v>1856</v>
      </c>
      <c r="M219" s="37" t="s">
        <v>1856</v>
      </c>
      <c r="N219" s="35" t="b">
        <f>IF(_xlfn.UNICODE( Table1[[#This Row],[Check]])=9745,TRUE,FALSE)</f>
        <v>0</v>
      </c>
    </row>
    <row r="220" spans="1:14" ht="30" customHeight="1" x14ac:dyDescent="0.25">
      <c r="A220" s="27" t="s">
        <v>1634</v>
      </c>
      <c r="B220" s="42" t="s">
        <v>496</v>
      </c>
      <c r="C220" s="27" t="s">
        <v>497</v>
      </c>
      <c r="D220" s="28">
        <v>3355341894</v>
      </c>
      <c r="E220" s="27"/>
      <c r="F220" s="27" t="s">
        <v>483</v>
      </c>
      <c r="G220" s="29" t="s">
        <v>498</v>
      </c>
      <c r="H220" s="95" t="s">
        <v>1854</v>
      </c>
      <c r="I220" s="27"/>
      <c r="J220" s="52" t="s">
        <v>1112</v>
      </c>
      <c r="K220" s="51">
        <f>IF(Table1[[#This Row],[Preferenza telefono]]="Casa",Table1[[#This Row],[Telefono casa]],IF(Table1[[#This Row],[Preferenza telefono]]="Primario",Table1[[#This Row],[Telefono primario]],"-"))</f>
        <v>3355341894</v>
      </c>
      <c r="L220" s="37" t="s">
        <v>1856</v>
      </c>
      <c r="M220" s="37" t="s">
        <v>1856</v>
      </c>
      <c r="N220" s="35" t="b">
        <f>IF(_xlfn.UNICODE( Table1[[#This Row],[Check]])=9745,TRUE,FALSE)</f>
        <v>0</v>
      </c>
    </row>
    <row r="221" spans="1:14" ht="30" customHeight="1" x14ac:dyDescent="0.25">
      <c r="A221" s="27" t="s">
        <v>1634</v>
      </c>
      <c r="B221" s="47" t="s">
        <v>473</v>
      </c>
      <c r="C221" s="27" t="s">
        <v>4</v>
      </c>
      <c r="D221" s="28">
        <v>3474137980</v>
      </c>
      <c r="E221" s="27"/>
      <c r="F221" s="27" t="s">
        <v>474</v>
      </c>
      <c r="G221" s="29">
        <v>22632</v>
      </c>
      <c r="H221" s="95" t="s">
        <v>1854</v>
      </c>
      <c r="I221" s="27"/>
      <c r="J221" s="52" t="s">
        <v>1112</v>
      </c>
      <c r="K221" s="51">
        <f>IF(Table1[[#This Row],[Preferenza telefono]]="Casa",Table1[[#This Row],[Telefono casa]],IF(Table1[[#This Row],[Preferenza telefono]]="Primario",Table1[[#This Row],[Telefono primario]],"-"))</f>
        <v>3474137980</v>
      </c>
      <c r="L221" s="37" t="s">
        <v>1856</v>
      </c>
      <c r="M221" s="37" t="s">
        <v>1856</v>
      </c>
      <c r="N221" s="35" t="b">
        <f>IF(_xlfn.UNICODE( Table1[[#This Row],[Check]])=9745,TRUE,FALSE)</f>
        <v>0</v>
      </c>
    </row>
    <row r="222" spans="1:14" ht="30" customHeight="1" x14ac:dyDescent="0.25">
      <c r="A222" s="27" t="s">
        <v>1634</v>
      </c>
      <c r="B222" s="47" t="s">
        <v>475</v>
      </c>
      <c r="C222" s="27" t="s">
        <v>159</v>
      </c>
      <c r="D222" s="28">
        <v>3474137980</v>
      </c>
      <c r="E222" s="27"/>
      <c r="F222" s="27" t="s">
        <v>476</v>
      </c>
      <c r="G222" s="29">
        <v>22632</v>
      </c>
      <c r="H222" s="95" t="s">
        <v>1855</v>
      </c>
      <c r="I222" s="27"/>
      <c r="J222" s="52" t="s">
        <v>1112</v>
      </c>
      <c r="K222" s="51">
        <f>IF(Table1[[#This Row],[Preferenza telefono]]="Casa",Table1[[#This Row],[Telefono casa]],IF(Table1[[#This Row],[Preferenza telefono]]="Primario",Table1[[#This Row],[Telefono primario]],"-"))</f>
        <v>3474137980</v>
      </c>
      <c r="L222" s="37" t="s">
        <v>1856</v>
      </c>
      <c r="M222" s="37" t="s">
        <v>1856</v>
      </c>
      <c r="N222" s="35" t="b">
        <f>IF(_xlfn.UNICODE( Table1[[#This Row],[Check]])=9745,TRUE,FALSE)</f>
        <v>0</v>
      </c>
    </row>
    <row r="223" spans="1:14" ht="30" customHeight="1" x14ac:dyDescent="0.25">
      <c r="A223" s="27" t="s">
        <v>1634</v>
      </c>
      <c r="B223" s="42" t="s">
        <v>558</v>
      </c>
      <c r="C223" s="27" t="s">
        <v>4</v>
      </c>
      <c r="D223" s="28">
        <v>3356855885</v>
      </c>
      <c r="E223" s="27"/>
      <c r="F223" s="27" t="s">
        <v>559</v>
      </c>
      <c r="G223" s="29">
        <v>20613</v>
      </c>
      <c r="H223" s="95" t="s">
        <v>1854</v>
      </c>
      <c r="I223" s="27"/>
      <c r="J223" s="52" t="s">
        <v>1112</v>
      </c>
      <c r="K223" s="51">
        <f>IF(Table1[[#This Row],[Preferenza telefono]]="Casa",Table1[[#This Row],[Telefono casa]],IF(Table1[[#This Row],[Preferenza telefono]]="Primario",Table1[[#This Row],[Telefono primario]],"-"))</f>
        <v>3356855885</v>
      </c>
      <c r="L223" s="37" t="s">
        <v>1856</v>
      </c>
      <c r="M223" s="37" t="s">
        <v>1856</v>
      </c>
      <c r="N223" s="35" t="b">
        <f>IF(_xlfn.UNICODE( Table1[[#This Row],[Check]])=9745,TRUE,FALSE)</f>
        <v>0</v>
      </c>
    </row>
    <row r="224" spans="1:14" ht="30" customHeight="1" x14ac:dyDescent="0.25">
      <c r="A224" s="27" t="s">
        <v>1634</v>
      </c>
      <c r="B224" s="42" t="s">
        <v>560</v>
      </c>
      <c r="C224" s="43" t="s">
        <v>90</v>
      </c>
      <c r="D224" s="28">
        <v>3388704048</v>
      </c>
      <c r="E224" s="27"/>
      <c r="F224" s="43" t="s">
        <v>561</v>
      </c>
      <c r="G224" s="29">
        <v>23600</v>
      </c>
      <c r="H224" s="95" t="s">
        <v>1854</v>
      </c>
      <c r="I224" s="27"/>
      <c r="J224" s="52" t="s">
        <v>1112</v>
      </c>
      <c r="K224" s="51">
        <f>IF(Table1[[#This Row],[Preferenza telefono]]="Casa",Table1[[#This Row],[Telefono casa]],IF(Table1[[#This Row],[Preferenza telefono]]="Primario",Table1[[#This Row],[Telefono primario]],"-"))</f>
        <v>3388704048</v>
      </c>
      <c r="L224" s="37" t="s">
        <v>1856</v>
      </c>
      <c r="M224" s="37" t="s">
        <v>1856</v>
      </c>
      <c r="N224" s="35" t="b">
        <f>IF(_xlfn.UNICODE( Table1[[#This Row],[Check]])=9745,TRUE,FALSE)</f>
        <v>0</v>
      </c>
    </row>
    <row r="225" spans="1:14" ht="30" customHeight="1" x14ac:dyDescent="0.25">
      <c r="A225" s="27" t="s">
        <v>1634</v>
      </c>
      <c r="B225" s="42" t="s">
        <v>1714</v>
      </c>
      <c r="C225" s="27" t="s">
        <v>1</v>
      </c>
      <c r="D225" s="28">
        <v>3276975297</v>
      </c>
      <c r="E225" s="27"/>
      <c r="F225" s="27" t="s">
        <v>563</v>
      </c>
      <c r="G225" s="29" t="s">
        <v>113</v>
      </c>
      <c r="H225" s="95" t="s">
        <v>1855</v>
      </c>
      <c r="I225" s="27"/>
      <c r="J225" s="52" t="s">
        <v>1112</v>
      </c>
      <c r="K225" s="51">
        <f>IF(Table1[[#This Row],[Preferenza telefono]]="Casa",Table1[[#This Row],[Telefono casa]],IF(Table1[[#This Row],[Preferenza telefono]]="Primario",Table1[[#This Row],[Telefono primario]],"-"))</f>
        <v>3276975297</v>
      </c>
      <c r="L225" s="37" t="s">
        <v>1856</v>
      </c>
      <c r="M225" s="37" t="s">
        <v>1856</v>
      </c>
      <c r="N225" s="35" t="b">
        <f>IF(_xlfn.UNICODE( Table1[[#This Row],[Check]])=9745,TRUE,FALSE)</f>
        <v>0</v>
      </c>
    </row>
    <row r="226" spans="1:14" ht="30" customHeight="1" x14ac:dyDescent="0.25">
      <c r="A226" s="27" t="s">
        <v>1634</v>
      </c>
      <c r="B226" s="42" t="s">
        <v>562</v>
      </c>
      <c r="C226" s="27" t="s">
        <v>1</v>
      </c>
      <c r="D226" s="28">
        <v>3276975297</v>
      </c>
      <c r="E226" s="27"/>
      <c r="F226" s="27" t="s">
        <v>563</v>
      </c>
      <c r="G226" s="29">
        <v>30959</v>
      </c>
      <c r="H226" s="95" t="s">
        <v>1854</v>
      </c>
      <c r="I226" s="27"/>
      <c r="J226" s="52" t="s">
        <v>1112</v>
      </c>
      <c r="K226" s="51">
        <f>IF(Table1[[#This Row],[Preferenza telefono]]="Casa",Table1[[#This Row],[Telefono casa]],IF(Table1[[#This Row],[Preferenza telefono]]="Primario",Table1[[#This Row],[Telefono primario]],"-"))</f>
        <v>3276975297</v>
      </c>
      <c r="L226" s="37" t="s">
        <v>1856</v>
      </c>
      <c r="M226" s="37" t="s">
        <v>1856</v>
      </c>
      <c r="N226" s="35" t="b">
        <f>IF(_xlfn.UNICODE( Table1[[#This Row],[Check]])=9745,TRUE,FALSE)</f>
        <v>0</v>
      </c>
    </row>
    <row r="227" spans="1:14" ht="30" customHeight="1" x14ac:dyDescent="0.25">
      <c r="A227" s="27" t="s">
        <v>1634</v>
      </c>
      <c r="B227" s="42" t="s">
        <v>564</v>
      </c>
      <c r="C227" s="27" t="s">
        <v>448</v>
      </c>
      <c r="D227" s="28" t="s">
        <v>113</v>
      </c>
      <c r="E227" s="27"/>
      <c r="F227" s="27" t="s">
        <v>113</v>
      </c>
      <c r="G227" s="29" t="s">
        <v>113</v>
      </c>
      <c r="H227" s="95" t="s">
        <v>1854</v>
      </c>
      <c r="I227" s="27"/>
      <c r="J227" s="52" t="s">
        <v>1112</v>
      </c>
      <c r="K227" s="51" t="str">
        <f>IF(Table1[[#This Row],[Preferenza telefono]]="Casa",Table1[[#This Row],[Telefono casa]],IF(Table1[[#This Row],[Preferenza telefono]]="Primario",Table1[[#This Row],[Telefono primario]],"-"))</f>
        <v>-</v>
      </c>
      <c r="L227" s="37" t="s">
        <v>1856</v>
      </c>
      <c r="M227" s="37" t="s">
        <v>1856</v>
      </c>
      <c r="N227" s="35" t="b">
        <f>IF(_xlfn.UNICODE( Table1[[#This Row],[Check]])=9745,TRUE,FALSE)</f>
        <v>0</v>
      </c>
    </row>
    <row r="228" spans="1:14" ht="30" customHeight="1" x14ac:dyDescent="0.25">
      <c r="A228" s="27" t="s">
        <v>1634</v>
      </c>
      <c r="B228" s="42" t="s">
        <v>565</v>
      </c>
      <c r="C228" s="27" t="s">
        <v>141</v>
      </c>
      <c r="D228" s="28">
        <v>3400018106</v>
      </c>
      <c r="E228" s="27"/>
      <c r="F228" s="27" t="s">
        <v>566</v>
      </c>
      <c r="G228" s="29">
        <v>25197</v>
      </c>
      <c r="H228" s="95" t="s">
        <v>1855</v>
      </c>
      <c r="I228" s="27"/>
      <c r="J228" s="52" t="s">
        <v>1112</v>
      </c>
      <c r="K228" s="51">
        <f>IF(Table1[[#This Row],[Preferenza telefono]]="Casa",Table1[[#This Row],[Telefono casa]],IF(Table1[[#This Row],[Preferenza telefono]]="Primario",Table1[[#This Row],[Telefono primario]],"-"))</f>
        <v>3400018106</v>
      </c>
      <c r="L228" s="37" t="s">
        <v>1856</v>
      </c>
      <c r="M228" s="37" t="s">
        <v>1856</v>
      </c>
      <c r="N228" s="35" t="b">
        <f>IF(_xlfn.UNICODE( Table1[[#This Row],[Check]])=9745,TRUE,FALSE)</f>
        <v>0</v>
      </c>
    </row>
    <row r="229" spans="1:14" ht="30" customHeight="1" x14ac:dyDescent="0.25">
      <c r="A229" s="27" t="s">
        <v>1634</v>
      </c>
      <c r="B229" s="42" t="s">
        <v>567</v>
      </c>
      <c r="C229" s="27" t="s">
        <v>106</v>
      </c>
      <c r="D229" s="28">
        <v>3395312532</v>
      </c>
      <c r="E229" s="27"/>
      <c r="F229" s="27" t="s">
        <v>568</v>
      </c>
      <c r="G229" s="29">
        <v>24754</v>
      </c>
      <c r="H229" s="95" t="s">
        <v>1854</v>
      </c>
      <c r="I229" s="27"/>
      <c r="J229" s="52" t="s">
        <v>1112</v>
      </c>
      <c r="K229" s="51">
        <f>IF(Table1[[#This Row],[Preferenza telefono]]="Casa",Table1[[#This Row],[Telefono casa]],IF(Table1[[#This Row],[Preferenza telefono]]="Primario",Table1[[#This Row],[Telefono primario]],"-"))</f>
        <v>3395312532</v>
      </c>
      <c r="L229" s="37" t="s">
        <v>1856</v>
      </c>
      <c r="M229" s="37" t="s">
        <v>1856</v>
      </c>
      <c r="N229" s="35" t="b">
        <f>IF(_xlfn.UNICODE( Table1[[#This Row],[Check]])=9745,TRUE,FALSE)</f>
        <v>0</v>
      </c>
    </row>
    <row r="230" spans="1:14" ht="30" customHeight="1" x14ac:dyDescent="0.25">
      <c r="A230" s="27" t="s">
        <v>1634</v>
      </c>
      <c r="B230" s="42" t="s">
        <v>574</v>
      </c>
      <c r="C230" s="27" t="s">
        <v>291</v>
      </c>
      <c r="D230" s="28">
        <v>3400813830</v>
      </c>
      <c r="E230" s="27"/>
      <c r="F230" s="27" t="s">
        <v>575</v>
      </c>
      <c r="G230" s="29">
        <v>28776</v>
      </c>
      <c r="H230" s="95" t="s">
        <v>1854</v>
      </c>
      <c r="I230" s="27"/>
      <c r="J230" s="52" t="s">
        <v>1112</v>
      </c>
      <c r="K230" s="51">
        <f>IF(Table1[[#This Row],[Preferenza telefono]]="Casa",Table1[[#This Row],[Telefono casa]],IF(Table1[[#This Row],[Preferenza telefono]]="Primario",Table1[[#This Row],[Telefono primario]],"-"))</f>
        <v>3400813830</v>
      </c>
      <c r="L230" s="37" t="s">
        <v>1856</v>
      </c>
      <c r="M230" s="37" t="s">
        <v>1856</v>
      </c>
      <c r="N230" s="35" t="b">
        <f>IF(_xlfn.UNICODE( Table1[[#This Row],[Check]])=9745,TRUE,FALSE)</f>
        <v>0</v>
      </c>
    </row>
    <row r="231" spans="1:14" ht="30" customHeight="1" x14ac:dyDescent="0.25">
      <c r="A231" s="27" t="s">
        <v>1634</v>
      </c>
      <c r="B231" s="42" t="s">
        <v>573</v>
      </c>
      <c r="C231" s="27" t="s">
        <v>291</v>
      </c>
      <c r="D231" s="28" t="s">
        <v>113</v>
      </c>
      <c r="E231" s="27"/>
      <c r="F231" s="27" t="s">
        <v>113</v>
      </c>
      <c r="G231" s="29">
        <v>29402</v>
      </c>
      <c r="H231" s="95" t="s">
        <v>1855</v>
      </c>
      <c r="I231" s="27"/>
      <c r="J231" s="52" t="s">
        <v>1112</v>
      </c>
      <c r="K231" s="51" t="str">
        <f>IF(Table1[[#This Row],[Preferenza telefono]]="Casa",Table1[[#This Row],[Telefono casa]],IF(Table1[[#This Row],[Preferenza telefono]]="Primario",Table1[[#This Row],[Telefono primario]],"-"))</f>
        <v>-</v>
      </c>
      <c r="L231" s="37" t="s">
        <v>1856</v>
      </c>
      <c r="M231" s="37" t="s">
        <v>1856</v>
      </c>
      <c r="N231" s="35" t="b">
        <f>IF(_xlfn.UNICODE( Table1[[#This Row],[Check]])=9745,TRUE,FALSE)</f>
        <v>0</v>
      </c>
    </row>
    <row r="232" spans="1:14" ht="30" customHeight="1" x14ac:dyDescent="0.25">
      <c r="A232" s="27" t="s">
        <v>1634</v>
      </c>
      <c r="B232" s="42" t="s">
        <v>578</v>
      </c>
      <c r="C232" s="27" t="s">
        <v>3</v>
      </c>
      <c r="D232" s="28">
        <v>3332896462</v>
      </c>
      <c r="E232" s="27"/>
      <c r="F232" s="27" t="s">
        <v>118</v>
      </c>
      <c r="G232" s="29">
        <v>23851</v>
      </c>
      <c r="H232" s="95" t="s">
        <v>1854</v>
      </c>
      <c r="I232" s="27"/>
      <c r="J232" s="52" t="s">
        <v>1112</v>
      </c>
      <c r="K232" s="51">
        <f>IF(Table1[[#This Row],[Preferenza telefono]]="Casa",Table1[[#This Row],[Telefono casa]],IF(Table1[[#This Row],[Preferenza telefono]]="Primario",Table1[[#This Row],[Telefono primario]],"-"))</f>
        <v>3332896462</v>
      </c>
      <c r="L232" s="37" t="s">
        <v>1856</v>
      </c>
      <c r="M232" s="37" t="s">
        <v>1856</v>
      </c>
      <c r="N232" s="35" t="b">
        <f>IF(_xlfn.UNICODE( Table1[[#This Row],[Check]])=9745,TRUE,FALSE)</f>
        <v>0</v>
      </c>
    </row>
    <row r="233" spans="1:14" ht="30" customHeight="1" x14ac:dyDescent="0.25">
      <c r="A233" s="27" t="s">
        <v>1634</v>
      </c>
      <c r="B233" s="31" t="s">
        <v>114</v>
      </c>
      <c r="C233" s="27" t="s">
        <v>3</v>
      </c>
      <c r="D233" s="28">
        <v>3349523666</v>
      </c>
      <c r="E233" s="27"/>
      <c r="F233" s="27" t="s">
        <v>115</v>
      </c>
      <c r="G233" s="29">
        <v>17244</v>
      </c>
      <c r="H233" s="95" t="s">
        <v>1854</v>
      </c>
      <c r="I233" s="27"/>
      <c r="J233" s="52" t="s">
        <v>1112</v>
      </c>
      <c r="K233" s="51">
        <f>IF(Table1[[#This Row],[Preferenza telefono]]="Casa",Table1[[#This Row],[Telefono casa]],IF(Table1[[#This Row],[Preferenza telefono]]="Primario",Table1[[#This Row],[Telefono primario]],"-"))</f>
        <v>3349523666</v>
      </c>
      <c r="L233" s="37" t="s">
        <v>1856</v>
      </c>
      <c r="M233" s="37" t="s">
        <v>1856</v>
      </c>
      <c r="N233" s="35" t="b">
        <f>IF(_xlfn.UNICODE( Table1[[#This Row],[Check]])=9745,TRUE,FALSE)</f>
        <v>0</v>
      </c>
    </row>
    <row r="234" spans="1:14" ht="30" customHeight="1" x14ac:dyDescent="0.25">
      <c r="A234" s="27" t="s">
        <v>1634</v>
      </c>
      <c r="B234" s="42" t="s">
        <v>579</v>
      </c>
      <c r="C234" s="27" t="s">
        <v>3</v>
      </c>
      <c r="D234" s="28">
        <v>3288035576</v>
      </c>
      <c r="E234" s="27"/>
      <c r="F234" s="27" t="s">
        <v>118</v>
      </c>
      <c r="G234" s="29">
        <v>27312</v>
      </c>
      <c r="H234" s="95" t="s">
        <v>1855</v>
      </c>
      <c r="I234" s="27"/>
      <c r="J234" s="52" t="s">
        <v>1112</v>
      </c>
      <c r="K234" s="51">
        <f>IF(Table1[[#This Row],[Preferenza telefono]]="Casa",Table1[[#This Row],[Telefono casa]],IF(Table1[[#This Row],[Preferenza telefono]]="Primario",Table1[[#This Row],[Telefono primario]],"-"))</f>
        <v>3288035576</v>
      </c>
      <c r="L234" s="37" t="s">
        <v>1856</v>
      </c>
      <c r="M234" s="37" t="s">
        <v>1856</v>
      </c>
      <c r="N234" s="35" t="b">
        <f>IF(_xlfn.UNICODE( Table1[[#This Row],[Check]])=9745,TRUE,FALSE)</f>
        <v>0</v>
      </c>
    </row>
    <row r="235" spans="1:14" ht="30" customHeight="1" x14ac:dyDescent="0.25">
      <c r="A235" s="27" t="s">
        <v>1634</v>
      </c>
      <c r="B235" s="42" t="s">
        <v>571</v>
      </c>
      <c r="C235" s="27" t="s">
        <v>1</v>
      </c>
      <c r="D235" s="28">
        <v>3393403620</v>
      </c>
      <c r="E235" s="27"/>
      <c r="F235" s="27" t="s">
        <v>572</v>
      </c>
      <c r="G235" s="29">
        <v>20427</v>
      </c>
      <c r="H235" s="95" t="s">
        <v>1854</v>
      </c>
      <c r="I235" s="27"/>
      <c r="J235" s="52" t="s">
        <v>1112</v>
      </c>
      <c r="K235" s="51">
        <f>IF(Table1[[#This Row],[Preferenza telefono]]="Casa",Table1[[#This Row],[Telefono casa]],IF(Table1[[#This Row],[Preferenza telefono]]="Primario",Table1[[#This Row],[Telefono primario]],"-"))</f>
        <v>3393403620</v>
      </c>
      <c r="L235" s="37" t="s">
        <v>1856</v>
      </c>
      <c r="M235" s="37" t="s">
        <v>1856</v>
      </c>
      <c r="N235" s="35" t="b">
        <f>IF(_xlfn.UNICODE( Table1[[#This Row],[Check]])=9745,TRUE,FALSE)</f>
        <v>0</v>
      </c>
    </row>
    <row r="236" spans="1:14" ht="30" customHeight="1" x14ac:dyDescent="0.25">
      <c r="A236" s="27" t="s">
        <v>1634</v>
      </c>
      <c r="B236" s="42" t="s">
        <v>569</v>
      </c>
      <c r="C236" s="27" t="s">
        <v>4</v>
      </c>
      <c r="D236" s="28">
        <v>3347981655</v>
      </c>
      <c r="E236" s="27"/>
      <c r="F236" s="27" t="s">
        <v>570</v>
      </c>
      <c r="G236" s="29">
        <v>10407</v>
      </c>
      <c r="H236" s="95" t="s">
        <v>1854</v>
      </c>
      <c r="I236" s="27"/>
      <c r="J236" s="52" t="s">
        <v>1112</v>
      </c>
      <c r="K236" s="51">
        <f>IF(Table1[[#This Row],[Preferenza telefono]]="Casa",Table1[[#This Row],[Telefono casa]],IF(Table1[[#This Row],[Preferenza telefono]]="Primario",Table1[[#This Row],[Telefono primario]],"-"))</f>
        <v>3347981655</v>
      </c>
      <c r="L236" s="37" t="s">
        <v>1856</v>
      </c>
      <c r="M236" s="37" t="s">
        <v>1856</v>
      </c>
      <c r="N236" s="35" t="b">
        <f>IF(_xlfn.UNICODE( Table1[[#This Row],[Check]])=9745,TRUE,FALSE)</f>
        <v>0</v>
      </c>
    </row>
    <row r="237" spans="1:14" ht="30" customHeight="1" x14ac:dyDescent="0.25">
      <c r="A237" s="27" t="s">
        <v>1634</v>
      </c>
      <c r="B237" s="31" t="s">
        <v>580</v>
      </c>
      <c r="C237" s="27" t="s">
        <v>126</v>
      </c>
      <c r="D237" s="28">
        <v>3384163434</v>
      </c>
      <c r="E237" s="27">
        <v>3929200282</v>
      </c>
      <c r="F237" s="27" t="s">
        <v>581</v>
      </c>
      <c r="G237" s="29" t="s">
        <v>113</v>
      </c>
      <c r="H237" s="95" t="s">
        <v>1855</v>
      </c>
      <c r="I237" s="27"/>
      <c r="J237" s="52" t="s">
        <v>1112</v>
      </c>
      <c r="K237" s="51">
        <f>IF(Table1[[#This Row],[Preferenza telefono]]="Casa",Table1[[#This Row],[Telefono casa]],IF(Table1[[#This Row],[Preferenza telefono]]="Primario",Table1[[#This Row],[Telefono primario]],"-"))</f>
        <v>3384163434</v>
      </c>
      <c r="L237" s="37" t="s">
        <v>1856</v>
      </c>
      <c r="M237" s="37" t="s">
        <v>1856</v>
      </c>
      <c r="N237" s="35" t="b">
        <f>IF(_xlfn.UNICODE( Table1[[#This Row],[Check]])=9745,TRUE,FALSE)</f>
        <v>0</v>
      </c>
    </row>
    <row r="238" spans="1:14" ht="30" customHeight="1" x14ac:dyDescent="0.25">
      <c r="A238" s="27" t="s">
        <v>1634</v>
      </c>
      <c r="B238" s="42" t="s">
        <v>582</v>
      </c>
      <c r="C238" s="27" t="s">
        <v>1</v>
      </c>
      <c r="D238" s="28"/>
      <c r="E238" s="27"/>
      <c r="F238" s="27" t="s">
        <v>583</v>
      </c>
      <c r="G238" s="29">
        <v>22012</v>
      </c>
      <c r="H238" s="95" t="s">
        <v>1854</v>
      </c>
      <c r="I238" s="27"/>
      <c r="J238" s="52" t="s">
        <v>1112</v>
      </c>
      <c r="K238" s="51">
        <f>IF(Table1[[#This Row],[Preferenza telefono]]="Casa",Table1[[#This Row],[Telefono casa]],IF(Table1[[#This Row],[Preferenza telefono]]="Primario",Table1[[#This Row],[Telefono primario]],"-"))</f>
        <v>0</v>
      </c>
      <c r="L238" s="37" t="s">
        <v>1856</v>
      </c>
      <c r="M238" s="37" t="s">
        <v>1856</v>
      </c>
      <c r="N238" s="35" t="b">
        <f>IF(_xlfn.UNICODE( Table1[[#This Row],[Check]])=9745,TRUE,FALSE)</f>
        <v>0</v>
      </c>
    </row>
    <row r="239" spans="1:14" ht="30" customHeight="1" x14ac:dyDescent="0.25">
      <c r="A239" s="27" t="s">
        <v>1634</v>
      </c>
      <c r="B239" s="42" t="s">
        <v>587</v>
      </c>
      <c r="C239" s="27" t="s">
        <v>249</v>
      </c>
      <c r="D239" s="28">
        <v>3396302390</v>
      </c>
      <c r="E239" s="27"/>
      <c r="F239" s="27" t="s">
        <v>588</v>
      </c>
      <c r="G239" s="29">
        <v>27384</v>
      </c>
      <c r="H239" s="95" t="s">
        <v>1854</v>
      </c>
      <c r="I239" s="27"/>
      <c r="J239" s="52" t="s">
        <v>1112</v>
      </c>
      <c r="K239" s="51">
        <f>IF(Table1[[#This Row],[Preferenza telefono]]="Casa",Table1[[#This Row],[Telefono casa]],IF(Table1[[#This Row],[Preferenza telefono]]="Primario",Table1[[#This Row],[Telefono primario]],"-"))</f>
        <v>3396302390</v>
      </c>
      <c r="L239" s="37" t="s">
        <v>1856</v>
      </c>
      <c r="M239" s="37" t="s">
        <v>1856</v>
      </c>
      <c r="N239" s="35" t="b">
        <f>IF(_xlfn.UNICODE( Table1[[#This Row],[Check]])=9745,TRUE,FALSE)</f>
        <v>0</v>
      </c>
    </row>
    <row r="240" spans="1:14" ht="30" customHeight="1" x14ac:dyDescent="0.25">
      <c r="A240" s="27" t="s">
        <v>1634</v>
      </c>
      <c r="B240" s="42" t="s">
        <v>584</v>
      </c>
      <c r="C240" s="27" t="s">
        <v>442</v>
      </c>
      <c r="D240" s="28">
        <v>3442701047</v>
      </c>
      <c r="E240" s="27"/>
      <c r="F240" s="27" t="s">
        <v>585</v>
      </c>
      <c r="G240" s="29">
        <v>26447</v>
      </c>
      <c r="H240" s="95" t="s">
        <v>1855</v>
      </c>
      <c r="I240" s="27"/>
      <c r="J240" s="52" t="s">
        <v>1112</v>
      </c>
      <c r="K240" s="51">
        <f>IF(Table1[[#This Row],[Preferenza telefono]]="Casa",Table1[[#This Row],[Telefono casa]],IF(Table1[[#This Row],[Preferenza telefono]]="Primario",Table1[[#This Row],[Telefono primario]],"-"))</f>
        <v>3442701047</v>
      </c>
      <c r="L240" s="37" t="s">
        <v>1856</v>
      </c>
      <c r="M240" s="37" t="s">
        <v>1856</v>
      </c>
      <c r="N240" s="35" t="b">
        <f>IF(_xlfn.UNICODE( Table1[[#This Row],[Check]])=9745,TRUE,FALSE)</f>
        <v>0</v>
      </c>
    </row>
    <row r="241" spans="1:14" ht="30" customHeight="1" x14ac:dyDescent="0.25">
      <c r="A241" s="27" t="s">
        <v>1634</v>
      </c>
      <c r="B241" s="42" t="s">
        <v>116</v>
      </c>
      <c r="C241" s="43" t="s">
        <v>117</v>
      </c>
      <c r="D241" s="28">
        <v>3347167238</v>
      </c>
      <c r="E241" s="27"/>
      <c r="F241" s="43" t="s">
        <v>118</v>
      </c>
      <c r="G241" s="44">
        <v>27767</v>
      </c>
      <c r="H241" s="95" t="s">
        <v>1854</v>
      </c>
      <c r="I241" s="27"/>
      <c r="J241" s="52" t="s">
        <v>1112</v>
      </c>
      <c r="K241" s="51">
        <f>IF(Table1[[#This Row],[Preferenza telefono]]="Casa",Table1[[#This Row],[Telefono casa]],IF(Table1[[#This Row],[Preferenza telefono]]="Primario",Table1[[#This Row],[Telefono primario]],"-"))</f>
        <v>3347167238</v>
      </c>
      <c r="L241" s="37" t="s">
        <v>1856</v>
      </c>
      <c r="M241" s="37" t="s">
        <v>1856</v>
      </c>
      <c r="N241" s="35" t="b">
        <f>IF(_xlfn.UNICODE( Table1[[#This Row],[Check]])=9745,TRUE,FALSE)</f>
        <v>0</v>
      </c>
    </row>
    <row r="242" spans="1:14" ht="30" customHeight="1" x14ac:dyDescent="0.25">
      <c r="A242" s="27" t="s">
        <v>1634</v>
      </c>
      <c r="B242" s="42" t="s">
        <v>586</v>
      </c>
      <c r="C242" s="27" t="s">
        <v>1</v>
      </c>
      <c r="D242" s="28">
        <v>3803058956</v>
      </c>
      <c r="E242" s="27"/>
      <c r="F242" s="27" t="s">
        <v>344</v>
      </c>
      <c r="G242" s="29">
        <v>24796</v>
      </c>
      <c r="H242" s="95" t="s">
        <v>1854</v>
      </c>
      <c r="I242" s="27"/>
      <c r="J242" s="52" t="s">
        <v>1112</v>
      </c>
      <c r="K242" s="51">
        <f>IF(Table1[[#This Row],[Preferenza telefono]]="Casa",Table1[[#This Row],[Telefono casa]],IF(Table1[[#This Row],[Preferenza telefono]]="Primario",Table1[[#This Row],[Telefono primario]],"-"))</f>
        <v>3803058956</v>
      </c>
      <c r="L242" s="37" t="s">
        <v>1856</v>
      </c>
      <c r="M242" s="37" t="s">
        <v>1856</v>
      </c>
      <c r="N242" s="35" t="b">
        <f>IF(_xlfn.UNICODE( Table1[[#This Row],[Check]])=9745,TRUE,FALSE)</f>
        <v>0</v>
      </c>
    </row>
    <row r="243" spans="1:14" ht="30" customHeight="1" x14ac:dyDescent="0.25">
      <c r="A243" s="27" t="s">
        <v>1634</v>
      </c>
      <c r="B243" s="32" t="s">
        <v>589</v>
      </c>
      <c r="C243" s="27" t="s">
        <v>467</v>
      </c>
      <c r="D243" s="28">
        <v>3664446863</v>
      </c>
      <c r="E243" s="27"/>
      <c r="F243" s="27" t="s">
        <v>590</v>
      </c>
      <c r="G243" s="29">
        <v>30532</v>
      </c>
      <c r="H243" s="95" t="s">
        <v>1855</v>
      </c>
      <c r="I243" s="27"/>
      <c r="J243" s="52" t="s">
        <v>1112</v>
      </c>
      <c r="K243" s="51">
        <f>IF(Table1[[#This Row],[Preferenza telefono]]="Casa",Table1[[#This Row],[Telefono casa]],IF(Table1[[#This Row],[Preferenza telefono]]="Primario",Table1[[#This Row],[Telefono primario]],"-"))</f>
        <v>3664446863</v>
      </c>
      <c r="L243" s="37" t="s">
        <v>1856</v>
      </c>
      <c r="M243" s="37" t="s">
        <v>1856</v>
      </c>
      <c r="N243" s="35" t="b">
        <f>IF(_xlfn.UNICODE( Table1[[#This Row],[Check]])=9745,TRUE,FALSE)</f>
        <v>0</v>
      </c>
    </row>
    <row r="244" spans="1:14" ht="30" customHeight="1" x14ac:dyDescent="0.25">
      <c r="A244" s="27" t="s">
        <v>1634</v>
      </c>
      <c r="B244" s="42" t="s">
        <v>591</v>
      </c>
      <c r="C244" s="27" t="s">
        <v>3</v>
      </c>
      <c r="D244" s="28">
        <v>3391094451</v>
      </c>
      <c r="E244" s="27"/>
      <c r="F244" s="27" t="s">
        <v>101</v>
      </c>
      <c r="G244" s="29">
        <v>24549</v>
      </c>
      <c r="H244" s="95" t="s">
        <v>1854</v>
      </c>
      <c r="I244" s="27"/>
      <c r="J244" s="52" t="s">
        <v>1112</v>
      </c>
      <c r="K244" s="51">
        <f>IF(Table1[[#This Row],[Preferenza telefono]]="Casa",Table1[[#This Row],[Telefono casa]],IF(Table1[[#This Row],[Preferenza telefono]]="Primario",Table1[[#This Row],[Telefono primario]],"-"))</f>
        <v>3391094451</v>
      </c>
      <c r="L244" s="37" t="s">
        <v>1856</v>
      </c>
      <c r="M244" s="37" t="s">
        <v>1856</v>
      </c>
      <c r="N244" s="35" t="b">
        <f>IF(_xlfn.UNICODE( Table1[[#This Row],[Check]])=9745,TRUE,FALSE)</f>
        <v>0</v>
      </c>
    </row>
    <row r="245" spans="1:14" ht="30" customHeight="1" x14ac:dyDescent="0.25">
      <c r="A245" s="27" t="s">
        <v>1634</v>
      </c>
      <c r="B245" s="42" t="s">
        <v>592</v>
      </c>
      <c r="C245" s="27" t="s">
        <v>123</v>
      </c>
      <c r="D245" s="28">
        <v>3496041467</v>
      </c>
      <c r="E245" s="27" t="s">
        <v>593</v>
      </c>
      <c r="F245" s="27" t="s">
        <v>97</v>
      </c>
      <c r="G245" s="29">
        <v>22905</v>
      </c>
      <c r="H245" s="95" t="s">
        <v>1854</v>
      </c>
      <c r="I245" s="27"/>
      <c r="J245" s="52" t="s">
        <v>1112</v>
      </c>
      <c r="K245" s="51">
        <f>IF(Table1[[#This Row],[Preferenza telefono]]="Casa",Table1[[#This Row],[Telefono casa]],IF(Table1[[#This Row],[Preferenza telefono]]="Primario",Table1[[#This Row],[Telefono primario]],"-"))</f>
        <v>3496041467</v>
      </c>
      <c r="L245" s="37" t="s">
        <v>1856</v>
      </c>
      <c r="M245" s="37" t="s">
        <v>1856</v>
      </c>
      <c r="N245" s="35" t="b">
        <f>IF(_xlfn.UNICODE( Table1[[#This Row],[Check]])=9745,TRUE,FALSE)</f>
        <v>0</v>
      </c>
    </row>
    <row r="246" spans="1:14" ht="30" customHeight="1" x14ac:dyDescent="0.25">
      <c r="A246" s="27" t="s">
        <v>1634</v>
      </c>
      <c r="B246" s="42" t="s">
        <v>594</v>
      </c>
      <c r="C246" s="27" t="s">
        <v>4</v>
      </c>
      <c r="D246" s="28">
        <v>3496041467</v>
      </c>
      <c r="E246" s="27"/>
      <c r="F246" s="27" t="s">
        <v>595</v>
      </c>
      <c r="G246" s="29">
        <v>28644</v>
      </c>
      <c r="H246" s="95" t="s">
        <v>1855</v>
      </c>
      <c r="I246" s="27"/>
      <c r="J246" s="52" t="s">
        <v>1112</v>
      </c>
      <c r="K246" s="51">
        <f>IF(Table1[[#This Row],[Preferenza telefono]]="Casa",Table1[[#This Row],[Telefono casa]],IF(Table1[[#This Row],[Preferenza telefono]]="Primario",Table1[[#This Row],[Telefono primario]],"-"))</f>
        <v>3496041467</v>
      </c>
      <c r="L246" s="37" t="s">
        <v>1856</v>
      </c>
      <c r="M246" s="37" t="s">
        <v>1856</v>
      </c>
      <c r="N246" s="35" t="b">
        <f>IF(_xlfn.UNICODE( Table1[[#This Row],[Check]])=9745,TRUE,FALSE)</f>
        <v>0</v>
      </c>
    </row>
    <row r="247" spans="1:14" ht="30" customHeight="1" x14ac:dyDescent="0.25">
      <c r="A247" s="27" t="s">
        <v>1634</v>
      </c>
      <c r="B247" s="42" t="s">
        <v>1815</v>
      </c>
      <c r="C247" s="27"/>
      <c r="D247" s="28"/>
      <c r="E247" s="28"/>
      <c r="F247" s="27"/>
      <c r="G247" s="29"/>
      <c r="H247" s="95" t="s">
        <v>1854</v>
      </c>
      <c r="I247" s="101"/>
      <c r="J247" s="52" t="s">
        <v>1112</v>
      </c>
      <c r="K247" s="51">
        <f>IF(Table1[[#This Row],[Preferenza telefono]]="Casa",Table1[[#This Row],[Telefono casa]],IF(Table1[[#This Row],[Preferenza telefono]]="Primario",Table1[[#This Row],[Telefono primario]],"-"))</f>
        <v>0</v>
      </c>
      <c r="L247" s="37" t="s">
        <v>1856</v>
      </c>
      <c r="M247" s="37" t="s">
        <v>1856</v>
      </c>
      <c r="N247" s="35" t="b">
        <f>IF(_xlfn.UNICODE( Table1[[#This Row],[Check]])=9745,TRUE,FALSE)</f>
        <v>0</v>
      </c>
    </row>
    <row r="248" spans="1:14" ht="30" customHeight="1" x14ac:dyDescent="0.25">
      <c r="A248" s="27" t="s">
        <v>1634</v>
      </c>
      <c r="B248" s="42" t="s">
        <v>1767</v>
      </c>
      <c r="C248" s="27" t="s">
        <v>150</v>
      </c>
      <c r="D248" s="28"/>
      <c r="E248" s="27"/>
      <c r="F248" s="27"/>
      <c r="G248" s="29" t="s">
        <v>113</v>
      </c>
      <c r="H248" s="95" t="s">
        <v>1854</v>
      </c>
      <c r="I248" s="27"/>
      <c r="J248" s="52" t="s">
        <v>1112</v>
      </c>
      <c r="K248" s="51">
        <f>IF(Table1[[#This Row],[Preferenza telefono]]="Casa",Table1[[#This Row],[Telefono casa]],IF(Table1[[#This Row],[Preferenza telefono]]="Primario",Table1[[#This Row],[Telefono primario]],"-"))</f>
        <v>0</v>
      </c>
      <c r="L248" s="37" t="s">
        <v>1856</v>
      </c>
      <c r="M248" s="37" t="s">
        <v>1856</v>
      </c>
      <c r="N248" s="35" t="b">
        <f>IF(_xlfn.UNICODE( Table1[[#This Row],[Check]])=9745,TRUE,FALSE)</f>
        <v>0</v>
      </c>
    </row>
    <row r="249" spans="1:14" ht="30" customHeight="1" x14ac:dyDescent="0.25">
      <c r="A249" s="27" t="s">
        <v>1634</v>
      </c>
      <c r="B249" s="42" t="s">
        <v>598</v>
      </c>
      <c r="C249" s="27" t="s">
        <v>291</v>
      </c>
      <c r="D249" s="28">
        <v>3425221259</v>
      </c>
      <c r="E249" s="27"/>
      <c r="F249" s="27" t="s">
        <v>599</v>
      </c>
      <c r="G249" s="29">
        <v>33010</v>
      </c>
      <c r="H249" s="95" t="s">
        <v>1855</v>
      </c>
      <c r="I249" s="27"/>
      <c r="J249" s="52" t="s">
        <v>1112</v>
      </c>
      <c r="K249" s="51">
        <f>IF(Table1[[#This Row],[Preferenza telefono]]="Casa",Table1[[#This Row],[Telefono casa]],IF(Table1[[#This Row],[Preferenza telefono]]="Primario",Table1[[#This Row],[Telefono primario]],"-"))</f>
        <v>3425221259</v>
      </c>
      <c r="L249" s="37" t="s">
        <v>1856</v>
      </c>
      <c r="M249" s="37" t="s">
        <v>1856</v>
      </c>
      <c r="N249" s="35" t="b">
        <f>IF(_xlfn.UNICODE( Table1[[#This Row],[Check]])=9745,TRUE,FALSE)</f>
        <v>0</v>
      </c>
    </row>
    <row r="250" spans="1:14" ht="30" customHeight="1" x14ac:dyDescent="0.25">
      <c r="A250" s="27" t="s">
        <v>1634</v>
      </c>
      <c r="B250" s="42" t="s">
        <v>596</v>
      </c>
      <c r="C250" s="27" t="s">
        <v>291</v>
      </c>
      <c r="D250" s="28"/>
      <c r="E250" s="27"/>
      <c r="F250" s="27" t="s">
        <v>597</v>
      </c>
      <c r="G250" s="29">
        <v>12735</v>
      </c>
      <c r="H250" s="95" t="s">
        <v>1854</v>
      </c>
      <c r="I250" s="27"/>
      <c r="J250" s="52" t="s">
        <v>1112</v>
      </c>
      <c r="K250" s="51">
        <f>IF(Table1[[#This Row],[Preferenza telefono]]="Casa",Table1[[#This Row],[Telefono casa]],IF(Table1[[#This Row],[Preferenza telefono]]="Primario",Table1[[#This Row],[Telefono primario]],"-"))</f>
        <v>0</v>
      </c>
      <c r="L250" s="37" t="s">
        <v>1856</v>
      </c>
      <c r="M250" s="37" t="s">
        <v>1856</v>
      </c>
      <c r="N250" s="35" t="b">
        <f>IF(_xlfn.UNICODE( Table1[[#This Row],[Check]])=9745,TRUE,FALSE)</f>
        <v>0</v>
      </c>
    </row>
    <row r="251" spans="1:14" ht="30" customHeight="1" x14ac:dyDescent="0.25">
      <c r="A251" s="27" t="s">
        <v>1634</v>
      </c>
      <c r="B251" s="42" t="s">
        <v>601</v>
      </c>
      <c r="C251" s="27" t="s">
        <v>1</v>
      </c>
      <c r="D251" s="28">
        <v>3385978076</v>
      </c>
      <c r="E251" s="27"/>
      <c r="F251" s="27" t="s">
        <v>294</v>
      </c>
      <c r="G251" s="29">
        <v>28578</v>
      </c>
      <c r="H251" s="95" t="s">
        <v>1854</v>
      </c>
      <c r="I251" s="27"/>
      <c r="J251" s="52" t="s">
        <v>1112</v>
      </c>
      <c r="K251" s="51">
        <f>IF(Table1[[#This Row],[Preferenza telefono]]="Casa",Table1[[#This Row],[Telefono casa]],IF(Table1[[#This Row],[Preferenza telefono]]="Primario",Table1[[#This Row],[Telefono primario]],"-"))</f>
        <v>3385978076</v>
      </c>
      <c r="L251" s="37" t="s">
        <v>1856</v>
      </c>
      <c r="M251" s="37" t="s">
        <v>1856</v>
      </c>
      <c r="N251" s="35" t="b">
        <f>IF(_xlfn.UNICODE( Table1[[#This Row],[Check]])=9745,TRUE,FALSE)</f>
        <v>0</v>
      </c>
    </row>
    <row r="252" spans="1:14" ht="30" customHeight="1" x14ac:dyDescent="0.25">
      <c r="A252" s="27" t="s">
        <v>1634</v>
      </c>
      <c r="B252" s="42" t="s">
        <v>600</v>
      </c>
      <c r="C252" s="27" t="s">
        <v>109</v>
      </c>
      <c r="D252" s="28">
        <v>3407838671</v>
      </c>
      <c r="E252" s="27"/>
      <c r="F252" s="27" t="s">
        <v>154</v>
      </c>
      <c r="G252" s="29">
        <v>12787</v>
      </c>
      <c r="H252" s="95" t="s">
        <v>1855</v>
      </c>
      <c r="I252" s="27"/>
      <c r="J252" s="52" t="s">
        <v>1112</v>
      </c>
      <c r="K252" s="51">
        <f>IF(Table1[[#This Row],[Preferenza telefono]]="Casa",Table1[[#This Row],[Telefono casa]],IF(Table1[[#This Row],[Preferenza telefono]]="Primario",Table1[[#This Row],[Telefono primario]],"-"))</f>
        <v>3407838671</v>
      </c>
      <c r="L252" s="37" t="s">
        <v>1856</v>
      </c>
      <c r="M252" s="37" t="s">
        <v>1856</v>
      </c>
      <c r="N252" s="35" t="b">
        <f>IF(_xlfn.UNICODE( Table1[[#This Row],[Check]])=9745,TRUE,FALSE)</f>
        <v>0</v>
      </c>
    </row>
    <row r="253" spans="1:14" ht="30" customHeight="1" x14ac:dyDescent="0.25">
      <c r="A253" s="27" t="s">
        <v>1634</v>
      </c>
      <c r="B253" s="42" t="s">
        <v>119</v>
      </c>
      <c r="C253" s="27" t="s">
        <v>120</v>
      </c>
      <c r="D253" s="28">
        <v>3480566652</v>
      </c>
      <c r="E253" s="27"/>
      <c r="F253" s="27" t="s">
        <v>121</v>
      </c>
      <c r="G253" s="29">
        <v>27399</v>
      </c>
      <c r="H253" s="95" t="s">
        <v>1854</v>
      </c>
      <c r="I253" s="27"/>
      <c r="J253" s="52" t="s">
        <v>1112</v>
      </c>
      <c r="K253" s="51">
        <f>IF(Table1[[#This Row],[Preferenza telefono]]="Casa",Table1[[#This Row],[Telefono casa]],IF(Table1[[#This Row],[Preferenza telefono]]="Primario",Table1[[#This Row],[Telefono primario]],"-"))</f>
        <v>3480566652</v>
      </c>
      <c r="L253" s="37" t="s">
        <v>1856</v>
      </c>
      <c r="M253" s="37" t="s">
        <v>1856</v>
      </c>
      <c r="N253" s="35" t="b">
        <f>IF(_xlfn.UNICODE( Table1[[#This Row],[Check]])=9745,TRUE,FALSE)</f>
        <v>0</v>
      </c>
    </row>
    <row r="254" spans="1:14" ht="30" customHeight="1" x14ac:dyDescent="0.25">
      <c r="A254" s="27" t="s">
        <v>1634</v>
      </c>
      <c r="B254" s="42" t="s">
        <v>605</v>
      </c>
      <c r="C254" s="27" t="s">
        <v>1</v>
      </c>
      <c r="D254" s="28">
        <v>3338731043</v>
      </c>
      <c r="E254" s="27"/>
      <c r="F254" s="27" t="s">
        <v>606</v>
      </c>
      <c r="G254" s="29">
        <v>30671</v>
      </c>
      <c r="H254" s="95" t="s">
        <v>1854</v>
      </c>
      <c r="I254" s="27"/>
      <c r="J254" s="52" t="s">
        <v>1112</v>
      </c>
      <c r="K254" s="51">
        <f>IF(Table1[[#This Row],[Preferenza telefono]]="Casa",Table1[[#This Row],[Telefono casa]],IF(Table1[[#This Row],[Preferenza telefono]]="Primario",Table1[[#This Row],[Telefono primario]],"-"))</f>
        <v>3338731043</v>
      </c>
      <c r="L254" s="37" t="s">
        <v>1856</v>
      </c>
      <c r="M254" s="37" t="s">
        <v>1856</v>
      </c>
      <c r="N254" s="35" t="b">
        <f>IF(_xlfn.UNICODE( Table1[[#This Row],[Check]])=9745,TRUE,FALSE)</f>
        <v>0</v>
      </c>
    </row>
    <row r="255" spans="1:14" ht="30" customHeight="1" x14ac:dyDescent="0.25">
      <c r="A255" s="27" t="s">
        <v>1634</v>
      </c>
      <c r="B255" s="46" t="s">
        <v>602</v>
      </c>
      <c r="C255" s="27" t="s">
        <v>603</v>
      </c>
      <c r="D255" s="28">
        <v>3466675675</v>
      </c>
      <c r="E255" s="27"/>
      <c r="F255" s="27" t="s">
        <v>604</v>
      </c>
      <c r="G255" s="29" t="s">
        <v>113</v>
      </c>
      <c r="H255" s="95" t="s">
        <v>1855</v>
      </c>
      <c r="I255" s="27"/>
      <c r="J255" s="52" t="s">
        <v>1112</v>
      </c>
      <c r="K255" s="51">
        <f>IF(Table1[[#This Row],[Preferenza telefono]]="Casa",Table1[[#This Row],[Telefono casa]],IF(Table1[[#This Row],[Preferenza telefono]]="Primario",Table1[[#This Row],[Telefono primario]],"-"))</f>
        <v>3466675675</v>
      </c>
      <c r="L255" s="37" t="s">
        <v>1856</v>
      </c>
      <c r="M255" s="37" t="s">
        <v>1856</v>
      </c>
      <c r="N255" s="35" t="b">
        <f>IF(_xlfn.UNICODE( Table1[[#This Row],[Check]])=9745,TRUE,FALSE)</f>
        <v>0</v>
      </c>
    </row>
    <row r="256" spans="1:14" ht="30" customHeight="1" x14ac:dyDescent="0.25">
      <c r="A256" s="27" t="s">
        <v>1634</v>
      </c>
      <c r="B256" s="94" t="s">
        <v>607</v>
      </c>
      <c r="C256" s="27" t="s">
        <v>291</v>
      </c>
      <c r="D256" s="28"/>
      <c r="E256" s="27"/>
      <c r="F256" s="27"/>
      <c r="G256" s="29" t="s">
        <v>113</v>
      </c>
      <c r="H256" s="95" t="s">
        <v>1854</v>
      </c>
      <c r="I256" s="27"/>
      <c r="J256" s="52" t="s">
        <v>1112</v>
      </c>
      <c r="K256" s="51">
        <f>IF(Table1[[#This Row],[Preferenza telefono]]="Casa",Table1[[#This Row],[Telefono casa]],IF(Table1[[#This Row],[Preferenza telefono]]="Primario",Table1[[#This Row],[Telefono primario]],"-"))</f>
        <v>0</v>
      </c>
      <c r="L256" s="37" t="s">
        <v>1856</v>
      </c>
      <c r="M256" s="37" t="s">
        <v>1856</v>
      </c>
      <c r="N256" s="35" t="b">
        <f>IF(_xlfn.UNICODE( Table1[[#This Row],[Check]])=9745,TRUE,FALSE)</f>
        <v>0</v>
      </c>
    </row>
    <row r="257" spans="1:14" ht="30" customHeight="1" x14ac:dyDescent="0.25">
      <c r="A257" s="27" t="s">
        <v>1634</v>
      </c>
      <c r="B257" s="94" t="s">
        <v>1715</v>
      </c>
      <c r="C257" s="27" t="s">
        <v>150</v>
      </c>
      <c r="D257" s="28"/>
      <c r="E257" s="27"/>
      <c r="F257" s="27" t="s">
        <v>160</v>
      </c>
      <c r="G257" s="29">
        <v>25130</v>
      </c>
      <c r="H257" s="95" t="s">
        <v>1854</v>
      </c>
      <c r="I257" s="27"/>
      <c r="J257" s="52" t="s">
        <v>1112</v>
      </c>
      <c r="K257" s="51">
        <f>IF(Table1[[#This Row],[Preferenza telefono]]="Casa",Table1[[#This Row],[Telefono casa]],IF(Table1[[#This Row],[Preferenza telefono]]="Primario",Table1[[#This Row],[Telefono primario]],"-"))</f>
        <v>0</v>
      </c>
      <c r="L257" s="37" t="s">
        <v>1856</v>
      </c>
      <c r="M257" s="37" t="s">
        <v>1856</v>
      </c>
      <c r="N257" s="35" t="b">
        <f>IF(_xlfn.UNICODE( Table1[[#This Row],[Check]])=9745,TRUE,FALSE)</f>
        <v>0</v>
      </c>
    </row>
    <row r="258" spans="1:14" ht="30" customHeight="1" x14ac:dyDescent="0.25">
      <c r="A258" s="27" t="s">
        <v>1634</v>
      </c>
      <c r="B258" s="46" t="s">
        <v>1812</v>
      </c>
      <c r="C258" s="27" t="s">
        <v>159</v>
      </c>
      <c r="D258" s="28"/>
      <c r="E258" s="28"/>
      <c r="F258" s="27"/>
      <c r="G258" s="29"/>
      <c r="H258" s="95" t="s">
        <v>1855</v>
      </c>
      <c r="I258" s="101"/>
      <c r="J258" s="52" t="s">
        <v>1112</v>
      </c>
      <c r="K258" s="51">
        <f>IF(Table1[[#This Row],[Preferenza telefono]]="Casa",Table1[[#This Row],[Telefono casa]],IF(Table1[[#This Row],[Preferenza telefono]]="Primario",Table1[[#This Row],[Telefono primario]],"-"))</f>
        <v>0</v>
      </c>
      <c r="L258" s="37" t="s">
        <v>1856</v>
      </c>
      <c r="M258" s="37" t="s">
        <v>1856</v>
      </c>
      <c r="N258" s="35" t="b">
        <f>IF(_xlfn.UNICODE( Table1[[#This Row],[Check]])=9745,TRUE,FALSE)</f>
        <v>0</v>
      </c>
    </row>
    <row r="259" spans="1:14" ht="30" customHeight="1" x14ac:dyDescent="0.25">
      <c r="A259" s="27" t="s">
        <v>1634</v>
      </c>
      <c r="B259" s="46" t="s">
        <v>608</v>
      </c>
      <c r="C259" s="27" t="s">
        <v>609</v>
      </c>
      <c r="D259" s="28">
        <v>3392040805</v>
      </c>
      <c r="E259" s="27"/>
      <c r="F259" s="27" t="s">
        <v>610</v>
      </c>
      <c r="G259" s="29" t="s">
        <v>113</v>
      </c>
      <c r="H259" s="95" t="s">
        <v>1854</v>
      </c>
      <c r="I259" s="27"/>
      <c r="J259" s="52" t="s">
        <v>1112</v>
      </c>
      <c r="K259" s="51">
        <f>IF(Table1[[#This Row],[Preferenza telefono]]="Casa",Table1[[#This Row],[Telefono casa]],IF(Table1[[#This Row],[Preferenza telefono]]="Primario",Table1[[#This Row],[Telefono primario]],"-"))</f>
        <v>3392040805</v>
      </c>
      <c r="L259" s="37" t="s">
        <v>1856</v>
      </c>
      <c r="M259" s="37" t="s">
        <v>1856</v>
      </c>
      <c r="N259" s="35" t="b">
        <f>IF(_xlfn.UNICODE( Table1[[#This Row],[Check]])=9745,TRUE,FALSE)</f>
        <v>0</v>
      </c>
    </row>
    <row r="260" spans="1:14" ht="30" customHeight="1" x14ac:dyDescent="0.25">
      <c r="A260" s="27" t="s">
        <v>1634</v>
      </c>
      <c r="B260" s="46" t="s">
        <v>611</v>
      </c>
      <c r="C260" s="27"/>
      <c r="D260" s="28"/>
      <c r="E260" s="27"/>
      <c r="F260" s="27"/>
      <c r="G260" s="29"/>
      <c r="H260" s="95" t="s">
        <v>1854</v>
      </c>
      <c r="I260" s="27"/>
      <c r="J260" s="52" t="s">
        <v>1112</v>
      </c>
      <c r="K260" s="51">
        <f>IF(Table1[[#This Row],[Preferenza telefono]]="Casa",Table1[[#This Row],[Telefono casa]],IF(Table1[[#This Row],[Preferenza telefono]]="Primario",Table1[[#This Row],[Telefono primario]],"-"))</f>
        <v>0</v>
      </c>
      <c r="L260" s="37" t="s">
        <v>1856</v>
      </c>
      <c r="M260" s="37" t="s">
        <v>1856</v>
      </c>
      <c r="N260" s="35" t="b">
        <f>IF(_xlfn.UNICODE( Table1[[#This Row],[Check]])=9745,TRUE,FALSE)</f>
        <v>0</v>
      </c>
    </row>
    <row r="261" spans="1:14" ht="30" customHeight="1" x14ac:dyDescent="0.25">
      <c r="A261" s="27" t="s">
        <v>1634</v>
      </c>
      <c r="B261" s="42" t="s">
        <v>122</v>
      </c>
      <c r="C261" s="27" t="s">
        <v>123</v>
      </c>
      <c r="D261" s="28"/>
      <c r="E261" s="27"/>
      <c r="F261" s="27" t="s">
        <v>124</v>
      </c>
      <c r="G261" s="29" t="s">
        <v>113</v>
      </c>
      <c r="H261" s="95" t="s">
        <v>1855</v>
      </c>
      <c r="I261" s="27"/>
      <c r="J261" s="52" t="s">
        <v>1112</v>
      </c>
      <c r="K261" s="51">
        <f>IF(Table1[[#This Row],[Preferenza telefono]]="Casa",Table1[[#This Row],[Telefono casa]],IF(Table1[[#This Row],[Preferenza telefono]]="Primario",Table1[[#This Row],[Telefono primario]],"-"))</f>
        <v>0</v>
      </c>
      <c r="L261" s="37" t="s">
        <v>1856</v>
      </c>
      <c r="M261" s="37" t="s">
        <v>1856</v>
      </c>
      <c r="N261" s="35" t="b">
        <f>IF(_xlfn.UNICODE( Table1[[#This Row],[Check]])=9745,TRUE,FALSE)</f>
        <v>0</v>
      </c>
    </row>
    <row r="262" spans="1:14" ht="30" customHeight="1" x14ac:dyDescent="0.25">
      <c r="A262" s="27" t="s">
        <v>1634</v>
      </c>
      <c r="B262" s="42" t="s">
        <v>614</v>
      </c>
      <c r="C262" s="27" t="s">
        <v>109</v>
      </c>
      <c r="D262" s="28">
        <v>3383831801</v>
      </c>
      <c r="E262" s="27"/>
      <c r="F262" s="27" t="s">
        <v>615</v>
      </c>
      <c r="G262" s="29" t="s">
        <v>113</v>
      </c>
      <c r="H262" s="95" t="s">
        <v>1854</v>
      </c>
      <c r="I262" s="27"/>
      <c r="J262" s="52" t="s">
        <v>1112</v>
      </c>
      <c r="K262" s="51">
        <f>IF(Table1[[#This Row],[Preferenza telefono]]="Casa",Table1[[#This Row],[Telefono casa]],IF(Table1[[#This Row],[Preferenza telefono]]="Primario",Table1[[#This Row],[Telefono primario]],"-"))</f>
        <v>3383831801</v>
      </c>
      <c r="L262" s="37" t="s">
        <v>1856</v>
      </c>
      <c r="M262" s="37" t="s">
        <v>1856</v>
      </c>
      <c r="N262" s="35" t="b">
        <f>IF(_xlfn.UNICODE( Table1[[#This Row],[Check]])=9745,TRUE,FALSE)</f>
        <v>0</v>
      </c>
    </row>
    <row r="263" spans="1:14" ht="30" customHeight="1" x14ac:dyDescent="0.25">
      <c r="A263" s="27" t="s">
        <v>1634</v>
      </c>
      <c r="B263" s="42" t="s">
        <v>628</v>
      </c>
      <c r="C263" s="27" t="s">
        <v>459</v>
      </c>
      <c r="D263" s="28">
        <v>3396011052</v>
      </c>
      <c r="E263" s="27"/>
      <c r="F263" s="27" t="s">
        <v>627</v>
      </c>
      <c r="G263" s="29" t="s">
        <v>113</v>
      </c>
      <c r="H263" s="95" t="s">
        <v>1854</v>
      </c>
      <c r="I263" s="27"/>
      <c r="J263" s="52" t="s">
        <v>1112</v>
      </c>
      <c r="K263" s="51">
        <f>IF(Table1[[#This Row],[Preferenza telefono]]="Casa",Table1[[#This Row],[Telefono casa]],IF(Table1[[#This Row],[Preferenza telefono]]="Primario",Table1[[#This Row],[Telefono primario]],"-"))</f>
        <v>3396011052</v>
      </c>
      <c r="L263" s="37" t="s">
        <v>1856</v>
      </c>
      <c r="M263" s="37" t="s">
        <v>1856</v>
      </c>
      <c r="N263" s="35" t="b">
        <f>IF(_xlfn.UNICODE( Table1[[#This Row],[Check]])=9745,TRUE,FALSE)</f>
        <v>0</v>
      </c>
    </row>
    <row r="264" spans="1:14" ht="30" customHeight="1" x14ac:dyDescent="0.25">
      <c r="A264" s="27" t="s">
        <v>1634</v>
      </c>
      <c r="B264" s="42" t="s">
        <v>626</v>
      </c>
      <c r="C264" s="27" t="s">
        <v>459</v>
      </c>
      <c r="D264" s="28">
        <v>3396011052</v>
      </c>
      <c r="E264" s="27"/>
      <c r="F264" s="27" t="s">
        <v>627</v>
      </c>
      <c r="G264" s="29" t="s">
        <v>113</v>
      </c>
      <c r="H264" s="95" t="s">
        <v>1855</v>
      </c>
      <c r="I264" s="27"/>
      <c r="J264" s="52" t="s">
        <v>1112</v>
      </c>
      <c r="K264" s="51">
        <f>IF(Table1[[#This Row],[Preferenza telefono]]="Casa",Table1[[#This Row],[Telefono casa]],IF(Table1[[#This Row],[Preferenza telefono]]="Primario",Table1[[#This Row],[Telefono primario]],"-"))</f>
        <v>3396011052</v>
      </c>
      <c r="L264" s="37" t="s">
        <v>1856</v>
      </c>
      <c r="M264" s="37" t="s">
        <v>1856</v>
      </c>
      <c r="N264" s="35" t="b">
        <f>IF(_xlfn.UNICODE( Table1[[#This Row],[Check]])=9745,TRUE,FALSE)</f>
        <v>0</v>
      </c>
    </row>
    <row r="265" spans="1:14" ht="30" customHeight="1" x14ac:dyDescent="0.25">
      <c r="A265" s="27" t="s">
        <v>1634</v>
      </c>
      <c r="B265" s="42" t="s">
        <v>617</v>
      </c>
      <c r="C265" s="27" t="s">
        <v>3</v>
      </c>
      <c r="D265" s="28">
        <v>3489280536</v>
      </c>
      <c r="E265" s="27"/>
      <c r="F265" s="27" t="s">
        <v>618</v>
      </c>
      <c r="G265" s="29" t="s">
        <v>113</v>
      </c>
      <c r="H265" s="95" t="s">
        <v>1854</v>
      </c>
      <c r="I265" s="27"/>
      <c r="J265" s="52" t="s">
        <v>1112</v>
      </c>
      <c r="K265" s="51">
        <f>IF(Table1[[#This Row],[Preferenza telefono]]="Casa",Table1[[#This Row],[Telefono casa]],IF(Table1[[#This Row],[Preferenza telefono]]="Primario",Table1[[#This Row],[Telefono primario]],"-"))</f>
        <v>3489280536</v>
      </c>
      <c r="L265" s="37" t="s">
        <v>1856</v>
      </c>
      <c r="M265" s="37" t="s">
        <v>1856</v>
      </c>
      <c r="N265" s="35" t="b">
        <f>IF(_xlfn.UNICODE( Table1[[#This Row],[Check]])=9745,TRUE,FALSE)</f>
        <v>0</v>
      </c>
    </row>
    <row r="266" spans="1:14" ht="30" customHeight="1" x14ac:dyDescent="0.25">
      <c r="A266" s="27" t="s">
        <v>1634</v>
      </c>
      <c r="B266" s="42" t="s">
        <v>629</v>
      </c>
      <c r="C266" s="27" t="s">
        <v>630</v>
      </c>
      <c r="D266" s="28">
        <v>3281266228</v>
      </c>
      <c r="E266" s="27"/>
      <c r="F266" s="27" t="s">
        <v>631</v>
      </c>
      <c r="G266" s="29" t="s">
        <v>113</v>
      </c>
      <c r="H266" s="95" t="s">
        <v>1854</v>
      </c>
      <c r="I266" s="27"/>
      <c r="J266" s="52" t="s">
        <v>1112</v>
      </c>
      <c r="K266" s="51">
        <f>IF(Table1[[#This Row],[Preferenza telefono]]="Casa",Table1[[#This Row],[Telefono casa]],IF(Table1[[#This Row],[Preferenza telefono]]="Primario",Table1[[#This Row],[Telefono primario]],"-"))</f>
        <v>3281266228</v>
      </c>
      <c r="L266" s="37" t="s">
        <v>1856</v>
      </c>
      <c r="M266" s="37" t="s">
        <v>1856</v>
      </c>
      <c r="N266" s="35" t="b">
        <f>IF(_xlfn.UNICODE( Table1[[#This Row],[Check]])=9745,TRUE,FALSE)</f>
        <v>0</v>
      </c>
    </row>
    <row r="267" spans="1:14" ht="30" customHeight="1" x14ac:dyDescent="0.25">
      <c r="A267" s="27" t="s">
        <v>1634</v>
      </c>
      <c r="B267" s="42" t="s">
        <v>616</v>
      </c>
      <c r="C267" s="27"/>
      <c r="D267" s="28"/>
      <c r="E267" s="27"/>
      <c r="F267" s="27"/>
      <c r="G267" s="29"/>
      <c r="H267" s="95" t="s">
        <v>1855</v>
      </c>
      <c r="I267" s="27"/>
      <c r="J267" s="52" t="s">
        <v>1112</v>
      </c>
      <c r="K267" s="51">
        <f>IF(Table1[[#This Row],[Preferenza telefono]]="Casa",Table1[[#This Row],[Telefono casa]],IF(Table1[[#This Row],[Preferenza telefono]]="Primario",Table1[[#This Row],[Telefono primario]],"-"))</f>
        <v>0</v>
      </c>
      <c r="L267" s="37" t="s">
        <v>1856</v>
      </c>
      <c r="M267" s="37" t="s">
        <v>1856</v>
      </c>
      <c r="N267" s="35" t="b">
        <f>IF(_xlfn.UNICODE( Table1[[#This Row],[Check]])=9745,TRUE,FALSE)</f>
        <v>0</v>
      </c>
    </row>
    <row r="268" spans="1:14" ht="30" customHeight="1" x14ac:dyDescent="0.25">
      <c r="A268" s="27" t="s">
        <v>1634</v>
      </c>
      <c r="B268" s="42" t="s">
        <v>125</v>
      </c>
      <c r="C268" s="27" t="s">
        <v>126</v>
      </c>
      <c r="D268" s="28">
        <v>3486728551</v>
      </c>
      <c r="E268" s="27"/>
      <c r="F268" s="27" t="s">
        <v>1676</v>
      </c>
      <c r="G268" s="29">
        <v>28366</v>
      </c>
      <c r="H268" s="95" t="s">
        <v>1854</v>
      </c>
      <c r="I268" s="27"/>
      <c r="J268" s="52" t="s">
        <v>1112</v>
      </c>
      <c r="K268" s="51">
        <f>IF(Table1[[#This Row],[Preferenza telefono]]="Casa",Table1[[#This Row],[Telefono casa]],IF(Table1[[#This Row],[Preferenza telefono]]="Primario",Table1[[#This Row],[Telefono primario]],"-"))</f>
        <v>3486728551</v>
      </c>
      <c r="L268" s="37" t="s">
        <v>1856</v>
      </c>
      <c r="M268" s="37" t="s">
        <v>1856</v>
      </c>
      <c r="N268" s="35" t="b">
        <f>IF(_xlfn.UNICODE( Table1[[#This Row],[Check]])=9745,TRUE,FALSE)</f>
        <v>0</v>
      </c>
    </row>
    <row r="269" spans="1:14" ht="30" customHeight="1" x14ac:dyDescent="0.25">
      <c r="A269" s="27" t="s">
        <v>1634</v>
      </c>
      <c r="B269" s="42" t="s">
        <v>619</v>
      </c>
      <c r="C269" s="27" t="s">
        <v>150</v>
      </c>
      <c r="D269" s="28">
        <v>3886506260</v>
      </c>
      <c r="E269" s="27"/>
      <c r="F269" s="27" t="s">
        <v>212</v>
      </c>
      <c r="G269" s="29">
        <v>29381</v>
      </c>
      <c r="H269" s="95" t="s">
        <v>1854</v>
      </c>
      <c r="I269" s="27"/>
      <c r="J269" s="52" t="s">
        <v>1112</v>
      </c>
      <c r="K269" s="51">
        <f>IF(Table1[[#This Row],[Preferenza telefono]]="Casa",Table1[[#This Row],[Telefono casa]],IF(Table1[[#This Row],[Preferenza telefono]]="Primario",Table1[[#This Row],[Telefono primario]],"-"))</f>
        <v>3886506260</v>
      </c>
      <c r="L269" s="37" t="s">
        <v>1856</v>
      </c>
      <c r="M269" s="37" t="s">
        <v>1856</v>
      </c>
      <c r="N269" s="35" t="b">
        <f>IF(_xlfn.UNICODE( Table1[[#This Row],[Check]])=9745,TRUE,FALSE)</f>
        <v>0</v>
      </c>
    </row>
    <row r="270" spans="1:14" ht="30" customHeight="1" x14ac:dyDescent="0.25">
      <c r="A270" s="27" t="s">
        <v>1634</v>
      </c>
      <c r="B270" s="42" t="s">
        <v>622</v>
      </c>
      <c r="C270" s="27" t="s">
        <v>141</v>
      </c>
      <c r="D270" s="28">
        <v>3485419060</v>
      </c>
      <c r="E270" s="27"/>
      <c r="F270" s="27" t="s">
        <v>623</v>
      </c>
      <c r="G270" s="29">
        <v>19005</v>
      </c>
      <c r="H270" s="95" t="s">
        <v>1855</v>
      </c>
      <c r="I270" s="27"/>
      <c r="J270" s="52" t="s">
        <v>1112</v>
      </c>
      <c r="K270" s="51">
        <f>IF(Table1[[#This Row],[Preferenza telefono]]="Casa",Table1[[#This Row],[Telefono casa]],IF(Table1[[#This Row],[Preferenza telefono]]="Primario",Table1[[#This Row],[Telefono primario]],"-"))</f>
        <v>3485419060</v>
      </c>
      <c r="L270" s="37" t="s">
        <v>1856</v>
      </c>
      <c r="M270" s="37" t="s">
        <v>1856</v>
      </c>
      <c r="N270" s="35" t="b">
        <f>IF(_xlfn.UNICODE( Table1[[#This Row],[Check]])=9745,TRUE,FALSE)</f>
        <v>0</v>
      </c>
    </row>
    <row r="271" spans="1:14" ht="30" customHeight="1" x14ac:dyDescent="0.25">
      <c r="A271" s="27" t="s">
        <v>1634</v>
      </c>
      <c r="B271" s="42" t="s">
        <v>624</v>
      </c>
      <c r="C271" s="27" t="s">
        <v>141</v>
      </c>
      <c r="D271" s="28">
        <v>3348695549</v>
      </c>
      <c r="E271" s="27"/>
      <c r="F271" s="27" t="s">
        <v>244</v>
      </c>
      <c r="G271" s="29">
        <v>33959</v>
      </c>
      <c r="H271" s="95" t="s">
        <v>1854</v>
      </c>
      <c r="I271" s="27"/>
      <c r="J271" s="52" t="s">
        <v>1112</v>
      </c>
      <c r="K271" s="51">
        <f>IF(Table1[[#This Row],[Preferenza telefono]]="Casa",Table1[[#This Row],[Telefono casa]],IF(Table1[[#This Row],[Preferenza telefono]]="Primario",Table1[[#This Row],[Telefono primario]],"-"))</f>
        <v>3348695549</v>
      </c>
      <c r="L271" s="37" t="s">
        <v>1856</v>
      </c>
      <c r="M271" s="37" t="s">
        <v>1856</v>
      </c>
      <c r="N271" s="35" t="b">
        <f>IF(_xlfn.UNICODE( Table1[[#This Row],[Check]])=9745,TRUE,FALSE)</f>
        <v>0</v>
      </c>
    </row>
    <row r="272" spans="1:14" ht="30" customHeight="1" x14ac:dyDescent="0.25">
      <c r="A272" s="27" t="s">
        <v>1634</v>
      </c>
      <c r="B272" s="42" t="s">
        <v>620</v>
      </c>
      <c r="C272" s="27" t="s">
        <v>277</v>
      </c>
      <c r="D272" s="28">
        <v>3391527248</v>
      </c>
      <c r="E272" s="27"/>
      <c r="F272" s="27" t="s">
        <v>621</v>
      </c>
      <c r="G272" s="29">
        <v>26212</v>
      </c>
      <c r="H272" s="95" t="s">
        <v>1854</v>
      </c>
      <c r="I272" s="27"/>
      <c r="J272" s="52" t="s">
        <v>1112</v>
      </c>
      <c r="K272" s="51">
        <f>IF(Table1[[#This Row],[Preferenza telefono]]="Casa",Table1[[#This Row],[Telefono casa]],IF(Table1[[#This Row],[Preferenza telefono]]="Primario",Table1[[#This Row],[Telefono primario]],"-"))</f>
        <v>3391527248</v>
      </c>
      <c r="L272" s="37" t="s">
        <v>1856</v>
      </c>
      <c r="M272" s="37" t="s">
        <v>1856</v>
      </c>
      <c r="N272" s="35" t="b">
        <f>IF(_xlfn.UNICODE( Table1[[#This Row],[Check]])=9745,TRUE,FALSE)</f>
        <v>0</v>
      </c>
    </row>
    <row r="273" spans="1:14" ht="30" customHeight="1" x14ac:dyDescent="0.25">
      <c r="A273" s="27" t="s">
        <v>1634</v>
      </c>
      <c r="B273" s="42" t="s">
        <v>625</v>
      </c>
      <c r="C273" s="27" t="s">
        <v>214</v>
      </c>
      <c r="D273" s="28">
        <v>3290991655</v>
      </c>
      <c r="E273" s="27"/>
      <c r="F273" s="27" t="s">
        <v>212</v>
      </c>
      <c r="G273" s="29">
        <v>27264</v>
      </c>
      <c r="H273" s="95" t="s">
        <v>1855</v>
      </c>
      <c r="I273" s="27"/>
      <c r="J273" s="52" t="s">
        <v>1112</v>
      </c>
      <c r="K273" s="51">
        <f>IF(Table1[[#This Row],[Preferenza telefono]]="Casa",Table1[[#This Row],[Telefono casa]],IF(Table1[[#This Row],[Preferenza telefono]]="Primario",Table1[[#This Row],[Telefono primario]],"-"))</f>
        <v>3290991655</v>
      </c>
      <c r="L273" s="37" t="s">
        <v>1856</v>
      </c>
      <c r="M273" s="37" t="s">
        <v>1856</v>
      </c>
      <c r="N273" s="35" t="b">
        <f>IF(_xlfn.UNICODE( Table1[[#This Row],[Check]])=9745,TRUE,FALSE)</f>
        <v>0</v>
      </c>
    </row>
    <row r="274" spans="1:14" ht="30" customHeight="1" x14ac:dyDescent="0.25">
      <c r="A274" s="27" t="s">
        <v>1634</v>
      </c>
      <c r="B274" s="42" t="s">
        <v>612</v>
      </c>
      <c r="C274" s="27" t="s">
        <v>147</v>
      </c>
      <c r="D274" s="28"/>
      <c r="E274" s="27"/>
      <c r="F274" s="27" t="s">
        <v>613</v>
      </c>
      <c r="G274" s="29" t="s">
        <v>113</v>
      </c>
      <c r="H274" s="95" t="s">
        <v>1854</v>
      </c>
      <c r="I274" s="27"/>
      <c r="J274" s="52" t="s">
        <v>1112</v>
      </c>
      <c r="K274" s="51">
        <f>IF(Table1[[#This Row],[Preferenza telefono]]="Casa",Table1[[#This Row],[Telefono casa]],IF(Table1[[#This Row],[Preferenza telefono]]="Primario",Table1[[#This Row],[Telefono primario]],"-"))</f>
        <v>0</v>
      </c>
      <c r="L274" s="37" t="s">
        <v>1856</v>
      </c>
      <c r="M274" s="37" t="s">
        <v>1856</v>
      </c>
      <c r="N274" s="35" t="b">
        <f>IF(_xlfn.UNICODE( Table1[[#This Row],[Check]])=9745,TRUE,FALSE)</f>
        <v>0</v>
      </c>
    </row>
    <row r="275" spans="1:14" ht="30" customHeight="1" x14ac:dyDescent="0.25">
      <c r="A275" s="27" t="s">
        <v>1634</v>
      </c>
      <c r="B275" s="42" t="s">
        <v>1716</v>
      </c>
      <c r="C275" s="27" t="s">
        <v>147</v>
      </c>
      <c r="D275" s="28"/>
      <c r="E275" s="27"/>
      <c r="F275" s="27" t="s">
        <v>613</v>
      </c>
      <c r="G275" s="29" t="s">
        <v>113</v>
      </c>
      <c r="H275" s="95" t="s">
        <v>1854</v>
      </c>
      <c r="I275" s="27"/>
      <c r="J275" s="52" t="s">
        <v>1112</v>
      </c>
      <c r="K275" s="51">
        <f>IF(Table1[[#This Row],[Preferenza telefono]]="Casa",Table1[[#This Row],[Telefono casa]],IF(Table1[[#This Row],[Preferenza telefono]]="Primario",Table1[[#This Row],[Telefono primario]],"-"))</f>
        <v>0</v>
      </c>
      <c r="L275" s="37" t="s">
        <v>1856</v>
      </c>
      <c r="M275" s="37" t="s">
        <v>1856</v>
      </c>
      <c r="N275" s="35" t="b">
        <f>IF(_xlfn.UNICODE( Table1[[#This Row],[Check]])=9745,TRUE,FALSE)</f>
        <v>0</v>
      </c>
    </row>
    <row r="276" spans="1:14" ht="30" customHeight="1" x14ac:dyDescent="0.25">
      <c r="A276" s="27" t="s">
        <v>1634</v>
      </c>
      <c r="B276" s="42" t="s">
        <v>633</v>
      </c>
      <c r="C276" s="27" t="s">
        <v>246</v>
      </c>
      <c r="D276" s="28">
        <v>3287956453</v>
      </c>
      <c r="E276" s="27"/>
      <c r="F276" s="27" t="s">
        <v>200</v>
      </c>
      <c r="G276" s="29"/>
      <c r="H276" s="95" t="s">
        <v>1855</v>
      </c>
      <c r="I276" s="27"/>
      <c r="J276" s="52" t="s">
        <v>1112</v>
      </c>
      <c r="K276" s="51">
        <f>IF(Table1[[#This Row],[Preferenza telefono]]="Casa",Table1[[#This Row],[Telefono casa]],IF(Table1[[#This Row],[Preferenza telefono]]="Primario",Table1[[#This Row],[Telefono primario]],"-"))</f>
        <v>3287956453</v>
      </c>
      <c r="L276" s="37" t="s">
        <v>1856</v>
      </c>
      <c r="M276" s="37" t="s">
        <v>1856</v>
      </c>
      <c r="N276" s="35" t="b">
        <f>IF(_xlfn.UNICODE( Table1[[#This Row],[Check]])=9745,TRUE,FALSE)</f>
        <v>0</v>
      </c>
    </row>
    <row r="277" spans="1:14" ht="30" customHeight="1" x14ac:dyDescent="0.25">
      <c r="A277" s="27" t="s">
        <v>1634</v>
      </c>
      <c r="B277" s="42" t="s">
        <v>632</v>
      </c>
      <c r="C277" s="27" t="s">
        <v>246</v>
      </c>
      <c r="D277" s="28">
        <v>3287956453</v>
      </c>
      <c r="E277" s="27"/>
      <c r="F277" s="27" t="s">
        <v>200</v>
      </c>
      <c r="G277" s="29">
        <v>22838</v>
      </c>
      <c r="H277" s="95" t="s">
        <v>1854</v>
      </c>
      <c r="I277" s="27"/>
      <c r="J277" s="52" t="s">
        <v>1112</v>
      </c>
      <c r="K277" s="51">
        <f>IF(Table1[[#This Row],[Preferenza telefono]]="Casa",Table1[[#This Row],[Telefono casa]],IF(Table1[[#This Row],[Preferenza telefono]]="Primario",Table1[[#This Row],[Telefono primario]],"-"))</f>
        <v>3287956453</v>
      </c>
      <c r="L277" s="37" t="s">
        <v>1856</v>
      </c>
      <c r="M277" s="37" t="s">
        <v>1856</v>
      </c>
      <c r="N277" s="35" t="b">
        <f>IF(_xlfn.UNICODE( Table1[[#This Row],[Check]])=9745,TRUE,FALSE)</f>
        <v>0</v>
      </c>
    </row>
    <row r="278" spans="1:14" ht="30" customHeight="1" x14ac:dyDescent="0.25">
      <c r="A278" s="27" t="s">
        <v>1634</v>
      </c>
      <c r="B278" s="32" t="s">
        <v>634</v>
      </c>
      <c r="C278" s="27" t="s">
        <v>1</v>
      </c>
      <c r="D278" s="28">
        <v>3385815835</v>
      </c>
      <c r="E278" s="27"/>
      <c r="F278" s="27" t="s">
        <v>635</v>
      </c>
      <c r="G278" s="29">
        <v>27350</v>
      </c>
      <c r="H278" s="95" t="s">
        <v>1854</v>
      </c>
      <c r="I278" s="27"/>
      <c r="J278" s="52" t="s">
        <v>1112</v>
      </c>
      <c r="K278" s="51">
        <f>IF(Table1[[#This Row],[Preferenza telefono]]="Casa",Table1[[#This Row],[Telefono casa]],IF(Table1[[#This Row],[Preferenza telefono]]="Primario",Table1[[#This Row],[Telefono primario]],"-"))</f>
        <v>3385815835</v>
      </c>
      <c r="L278" s="37" t="s">
        <v>1856</v>
      </c>
      <c r="M278" s="37" t="s">
        <v>1856</v>
      </c>
      <c r="N278" s="35" t="b">
        <f>IF(_xlfn.UNICODE( Table1[[#This Row],[Check]])=9745,TRUE,FALSE)</f>
        <v>0</v>
      </c>
    </row>
    <row r="279" spans="1:14" ht="30" customHeight="1" x14ac:dyDescent="0.25">
      <c r="A279" s="27" t="s">
        <v>1634</v>
      </c>
      <c r="B279" s="42" t="s">
        <v>636</v>
      </c>
      <c r="C279" s="27" t="s">
        <v>277</v>
      </c>
      <c r="D279" s="28">
        <v>3385004980</v>
      </c>
      <c r="E279" s="27"/>
      <c r="F279" s="27" t="s">
        <v>278</v>
      </c>
      <c r="G279" s="29">
        <v>23866</v>
      </c>
      <c r="H279" s="95" t="s">
        <v>1855</v>
      </c>
      <c r="I279" s="27"/>
      <c r="J279" s="52" t="s">
        <v>1112</v>
      </c>
      <c r="K279" s="51">
        <f>IF(Table1[[#This Row],[Preferenza telefono]]="Casa",Table1[[#This Row],[Telefono casa]],IF(Table1[[#This Row],[Preferenza telefono]]="Primario",Table1[[#This Row],[Telefono primario]],"-"))</f>
        <v>3385004980</v>
      </c>
      <c r="L279" s="37" t="s">
        <v>1856</v>
      </c>
      <c r="M279" s="37" t="s">
        <v>1856</v>
      </c>
      <c r="N279" s="35" t="b">
        <f>IF(_xlfn.UNICODE( Table1[[#This Row],[Check]])=9745,TRUE,FALSE)</f>
        <v>0</v>
      </c>
    </row>
    <row r="280" spans="1:14" ht="30" customHeight="1" x14ac:dyDescent="0.25">
      <c r="A280" s="27" t="s">
        <v>1634</v>
      </c>
      <c r="B280" s="42" t="s">
        <v>638</v>
      </c>
      <c r="C280" s="27" t="s">
        <v>103</v>
      </c>
      <c r="D280" s="28">
        <v>3493841408</v>
      </c>
      <c r="E280" s="27"/>
      <c r="F280" s="27" t="s">
        <v>244</v>
      </c>
      <c r="G280" s="29">
        <v>24958</v>
      </c>
      <c r="H280" s="95" t="s">
        <v>1854</v>
      </c>
      <c r="I280" s="27"/>
      <c r="J280" s="52" t="s">
        <v>1112</v>
      </c>
      <c r="K280" s="51">
        <f>IF(Table1[[#This Row],[Preferenza telefono]]="Casa",Table1[[#This Row],[Telefono casa]],IF(Table1[[#This Row],[Preferenza telefono]]="Primario",Table1[[#This Row],[Telefono primario]],"-"))</f>
        <v>3493841408</v>
      </c>
      <c r="L280" s="37" t="s">
        <v>1856</v>
      </c>
      <c r="M280" s="37" t="s">
        <v>1856</v>
      </c>
      <c r="N280" s="35" t="b">
        <f>IF(_xlfn.UNICODE( Table1[[#This Row],[Check]])=9745,TRUE,FALSE)</f>
        <v>0</v>
      </c>
    </row>
    <row r="281" spans="1:14" ht="30" customHeight="1" x14ac:dyDescent="0.25">
      <c r="A281" s="27" t="s">
        <v>1634</v>
      </c>
      <c r="B281" s="42" t="s">
        <v>637</v>
      </c>
      <c r="C281" s="27" t="s">
        <v>90</v>
      </c>
      <c r="D281" s="28">
        <v>3315474576</v>
      </c>
      <c r="E281" s="27"/>
      <c r="F281" s="27" t="s">
        <v>259</v>
      </c>
      <c r="G281" s="29">
        <v>22972</v>
      </c>
      <c r="H281" s="95" t="s">
        <v>1854</v>
      </c>
      <c r="I281" s="27"/>
      <c r="J281" s="52" t="s">
        <v>1112</v>
      </c>
      <c r="K281" s="51">
        <f>IF(Table1[[#This Row],[Preferenza telefono]]="Casa",Table1[[#This Row],[Telefono casa]],IF(Table1[[#This Row],[Preferenza telefono]]="Primario",Table1[[#This Row],[Telefono primario]],"-"))</f>
        <v>3315474576</v>
      </c>
      <c r="L281" s="37" t="s">
        <v>1856</v>
      </c>
      <c r="M281" s="37" t="s">
        <v>1856</v>
      </c>
      <c r="N281" s="35" t="b">
        <f>IF(_xlfn.UNICODE( Table1[[#This Row],[Check]])=9745,TRUE,FALSE)</f>
        <v>0</v>
      </c>
    </row>
    <row r="282" spans="1:14" ht="30" customHeight="1" x14ac:dyDescent="0.25">
      <c r="A282" s="27" t="s">
        <v>1634</v>
      </c>
      <c r="B282" s="42" t="s">
        <v>639</v>
      </c>
      <c r="C282" s="27" t="s">
        <v>237</v>
      </c>
      <c r="D282" s="28">
        <v>3332667956</v>
      </c>
      <c r="E282" s="27"/>
      <c r="F282" s="27" t="s">
        <v>124</v>
      </c>
      <c r="G282" s="29">
        <v>27577</v>
      </c>
      <c r="H282" s="95" t="s">
        <v>1855</v>
      </c>
      <c r="I282" s="27"/>
      <c r="J282" s="52" t="s">
        <v>1112</v>
      </c>
      <c r="K282" s="51">
        <f>IF(Table1[[#This Row],[Preferenza telefono]]="Casa",Table1[[#This Row],[Telefono casa]],IF(Table1[[#This Row],[Preferenza telefono]]="Primario",Table1[[#This Row],[Telefono primario]],"-"))</f>
        <v>3332667956</v>
      </c>
      <c r="L282" s="37" t="s">
        <v>1856</v>
      </c>
      <c r="M282" s="37" t="s">
        <v>1856</v>
      </c>
      <c r="N282" s="35" t="b">
        <f>IF(_xlfn.UNICODE( Table1[[#This Row],[Check]])=9745,TRUE,FALSE)</f>
        <v>0</v>
      </c>
    </row>
    <row r="283" spans="1:14" ht="30" customHeight="1" x14ac:dyDescent="0.25">
      <c r="A283" s="27" t="s">
        <v>1634</v>
      </c>
      <c r="B283" s="42" t="s">
        <v>640</v>
      </c>
      <c r="C283" s="27" t="s">
        <v>342</v>
      </c>
      <c r="D283" s="28">
        <v>3343672351</v>
      </c>
      <c r="E283" s="27"/>
      <c r="F283" s="27" t="s">
        <v>641</v>
      </c>
      <c r="G283" s="29">
        <v>35520</v>
      </c>
      <c r="H283" s="95" t="s">
        <v>1854</v>
      </c>
      <c r="I283" s="27"/>
      <c r="J283" s="52" t="s">
        <v>1112</v>
      </c>
      <c r="K283" s="51">
        <f>IF(Table1[[#This Row],[Preferenza telefono]]="Casa",Table1[[#This Row],[Telefono casa]],IF(Table1[[#This Row],[Preferenza telefono]]="Primario",Table1[[#This Row],[Telefono primario]],"-"))</f>
        <v>3343672351</v>
      </c>
      <c r="L283" s="37" t="s">
        <v>1856</v>
      </c>
      <c r="M283" s="37" t="s">
        <v>1856</v>
      </c>
      <c r="N283" s="35" t="b">
        <f>IF(_xlfn.UNICODE( Table1[[#This Row],[Check]])=9745,TRUE,FALSE)</f>
        <v>0</v>
      </c>
    </row>
    <row r="284" spans="1:14" ht="30" customHeight="1" x14ac:dyDescent="0.25">
      <c r="A284" s="27" t="s">
        <v>1634</v>
      </c>
      <c r="B284" s="42" t="s">
        <v>642</v>
      </c>
      <c r="C284" s="43" t="s">
        <v>141</v>
      </c>
      <c r="D284" s="28">
        <v>3389157320</v>
      </c>
      <c r="E284" s="27"/>
      <c r="F284" s="27" t="s">
        <v>196</v>
      </c>
      <c r="G284" s="29">
        <v>23419</v>
      </c>
      <c r="H284" s="95" t="s">
        <v>1854</v>
      </c>
      <c r="I284" s="27"/>
      <c r="J284" s="52" t="s">
        <v>1112</v>
      </c>
      <c r="K284" s="51">
        <f>IF(Table1[[#This Row],[Preferenza telefono]]="Casa",Table1[[#This Row],[Telefono casa]],IF(Table1[[#This Row],[Preferenza telefono]]="Primario",Table1[[#This Row],[Telefono primario]],"-"))</f>
        <v>3389157320</v>
      </c>
      <c r="L284" s="37" t="s">
        <v>1856</v>
      </c>
      <c r="M284" s="37" t="s">
        <v>1856</v>
      </c>
      <c r="N284" s="35" t="b">
        <f>IF(_xlfn.UNICODE( Table1[[#This Row],[Check]])=9745,TRUE,FALSE)</f>
        <v>0</v>
      </c>
    </row>
    <row r="285" spans="1:14" ht="30" customHeight="1" x14ac:dyDescent="0.25">
      <c r="A285" s="27" t="s">
        <v>1634</v>
      </c>
      <c r="B285" s="42" t="s">
        <v>643</v>
      </c>
      <c r="C285" s="43" t="s">
        <v>141</v>
      </c>
      <c r="D285" s="28">
        <v>3389157320</v>
      </c>
      <c r="E285" s="43" t="s">
        <v>644</v>
      </c>
      <c r="F285" s="43" t="s">
        <v>645</v>
      </c>
      <c r="G285" s="44" t="s">
        <v>113</v>
      </c>
      <c r="H285" s="95" t="s">
        <v>1855</v>
      </c>
      <c r="I285" s="27"/>
      <c r="J285" s="52" t="s">
        <v>1112</v>
      </c>
      <c r="K285" s="51">
        <f>IF(Table1[[#This Row],[Preferenza telefono]]="Casa",Table1[[#This Row],[Telefono casa]],IF(Table1[[#This Row],[Preferenza telefono]]="Primario",Table1[[#This Row],[Telefono primario]],"-"))</f>
        <v>3389157320</v>
      </c>
      <c r="L285" s="37" t="s">
        <v>1856</v>
      </c>
      <c r="M285" s="37" t="s">
        <v>1856</v>
      </c>
      <c r="N285" s="35" t="b">
        <f>IF(_xlfn.UNICODE( Table1[[#This Row],[Check]])=9745,TRUE,FALSE)</f>
        <v>0</v>
      </c>
    </row>
    <row r="286" spans="1:14" ht="30" customHeight="1" x14ac:dyDescent="0.25">
      <c r="A286" s="27" t="s">
        <v>1634</v>
      </c>
      <c r="B286" s="42" t="s">
        <v>646</v>
      </c>
      <c r="C286" s="27" t="s">
        <v>103</v>
      </c>
      <c r="D286" s="28">
        <v>3470592084</v>
      </c>
      <c r="E286" s="27"/>
      <c r="F286" s="27" t="s">
        <v>647</v>
      </c>
      <c r="G286" s="29">
        <v>23743</v>
      </c>
      <c r="H286" s="95" t="s">
        <v>1854</v>
      </c>
      <c r="I286" s="27"/>
      <c r="J286" s="52" t="s">
        <v>1112</v>
      </c>
      <c r="K286" s="51">
        <f>IF(Table1[[#This Row],[Preferenza telefono]]="Casa",Table1[[#This Row],[Telefono casa]],IF(Table1[[#This Row],[Preferenza telefono]]="Primario",Table1[[#This Row],[Telefono primario]],"-"))</f>
        <v>3470592084</v>
      </c>
      <c r="L286" s="37" t="s">
        <v>1856</v>
      </c>
      <c r="M286" s="37" t="s">
        <v>1856</v>
      </c>
      <c r="N286" s="35" t="b">
        <f>IF(_xlfn.UNICODE( Table1[[#This Row],[Check]])=9745,TRUE,FALSE)</f>
        <v>0</v>
      </c>
    </row>
    <row r="287" spans="1:14" ht="30" customHeight="1" x14ac:dyDescent="0.25">
      <c r="A287" s="27" t="s">
        <v>1634</v>
      </c>
      <c r="B287" s="31" t="s">
        <v>648</v>
      </c>
      <c r="C287" s="27" t="s">
        <v>109</v>
      </c>
      <c r="D287" s="28">
        <v>3772190648</v>
      </c>
      <c r="E287" s="27"/>
      <c r="F287" s="27" t="s">
        <v>649</v>
      </c>
      <c r="G287" s="29">
        <v>12562</v>
      </c>
      <c r="H287" s="95" t="s">
        <v>1854</v>
      </c>
      <c r="I287" s="27"/>
      <c r="J287" s="52" t="s">
        <v>1112</v>
      </c>
      <c r="K287" s="51">
        <f>IF(Table1[[#This Row],[Preferenza telefono]]="Casa",Table1[[#This Row],[Telefono casa]],IF(Table1[[#This Row],[Preferenza telefono]]="Primario",Table1[[#This Row],[Telefono primario]],"-"))</f>
        <v>3772190648</v>
      </c>
      <c r="L287" s="37" t="s">
        <v>1856</v>
      </c>
      <c r="M287" s="37" t="s">
        <v>1856</v>
      </c>
      <c r="N287" s="35" t="b">
        <f>IF(_xlfn.UNICODE( Table1[[#This Row],[Check]])=9745,TRUE,FALSE)</f>
        <v>0</v>
      </c>
    </row>
    <row r="288" spans="1:14" ht="30" customHeight="1" x14ac:dyDescent="0.25">
      <c r="A288" s="27" t="s">
        <v>1634</v>
      </c>
      <c r="B288" s="31" t="s">
        <v>650</v>
      </c>
      <c r="C288" s="27" t="s">
        <v>651</v>
      </c>
      <c r="D288" s="28">
        <v>3391560033</v>
      </c>
      <c r="E288" s="27"/>
      <c r="F288" s="27" t="s">
        <v>623</v>
      </c>
      <c r="G288" s="29">
        <v>15904</v>
      </c>
      <c r="H288" s="95" t="s">
        <v>1855</v>
      </c>
      <c r="I288" s="27"/>
      <c r="J288" s="52" t="s">
        <v>1112</v>
      </c>
      <c r="K288" s="51">
        <f>IF(Table1[[#This Row],[Preferenza telefono]]="Casa",Table1[[#This Row],[Telefono casa]],IF(Table1[[#This Row],[Preferenza telefono]]="Primario",Table1[[#This Row],[Telefono primario]],"-"))</f>
        <v>3391560033</v>
      </c>
      <c r="L288" s="37" t="s">
        <v>1856</v>
      </c>
      <c r="M288" s="37" t="s">
        <v>1856</v>
      </c>
      <c r="N288" s="35" t="b">
        <f>IF(_xlfn.UNICODE( Table1[[#This Row],[Check]])=9745,TRUE,FALSE)</f>
        <v>0</v>
      </c>
    </row>
    <row r="289" spans="1:14" ht="30" customHeight="1" x14ac:dyDescent="0.25">
      <c r="A289" s="27" t="s">
        <v>1634</v>
      </c>
      <c r="B289" s="42" t="s">
        <v>652</v>
      </c>
      <c r="C289" s="27" t="s">
        <v>123</v>
      </c>
      <c r="D289" s="28">
        <v>3496041467</v>
      </c>
      <c r="E289" s="27"/>
      <c r="F289" s="27" t="s">
        <v>592</v>
      </c>
      <c r="G289" s="29">
        <v>22920</v>
      </c>
      <c r="H289" s="95" t="s">
        <v>1854</v>
      </c>
      <c r="I289" s="27"/>
      <c r="J289" s="52" t="s">
        <v>1112</v>
      </c>
      <c r="K289" s="51">
        <f>IF(Table1[[#This Row],[Preferenza telefono]]="Casa",Table1[[#This Row],[Telefono casa]],IF(Table1[[#This Row],[Preferenza telefono]]="Primario",Table1[[#This Row],[Telefono primario]],"-"))</f>
        <v>3496041467</v>
      </c>
      <c r="L289" s="37" t="s">
        <v>1856</v>
      </c>
      <c r="M289" s="37" t="s">
        <v>1856</v>
      </c>
      <c r="N289" s="35" t="b">
        <f>IF(_xlfn.UNICODE( Table1[[#This Row],[Check]])=9745,TRUE,FALSE)</f>
        <v>0</v>
      </c>
    </row>
    <row r="290" spans="1:14" ht="30" customHeight="1" x14ac:dyDescent="0.25">
      <c r="A290" s="27" t="s">
        <v>1634</v>
      </c>
      <c r="B290" s="34" t="s">
        <v>657</v>
      </c>
      <c r="C290" s="27" t="s">
        <v>658</v>
      </c>
      <c r="D290" s="28">
        <v>3339343190</v>
      </c>
      <c r="E290" s="27"/>
      <c r="F290" s="27" t="s">
        <v>400</v>
      </c>
      <c r="G290" s="29">
        <v>25208</v>
      </c>
      <c r="H290" s="95" t="s">
        <v>1854</v>
      </c>
      <c r="I290" s="27"/>
      <c r="J290" s="52" t="s">
        <v>1112</v>
      </c>
      <c r="K290" s="51">
        <f>IF(Table1[[#This Row],[Preferenza telefono]]="Casa",Table1[[#This Row],[Telefono casa]],IF(Table1[[#This Row],[Preferenza telefono]]="Primario",Table1[[#This Row],[Telefono primario]],"-"))</f>
        <v>3339343190</v>
      </c>
      <c r="L290" s="37" t="s">
        <v>1856</v>
      </c>
      <c r="M290" s="37" t="s">
        <v>1856</v>
      </c>
      <c r="N290" s="35" t="b">
        <f>IF(_xlfn.UNICODE( Table1[[#This Row],[Check]])=9745,TRUE,FALSE)</f>
        <v>0</v>
      </c>
    </row>
    <row r="291" spans="1:14" ht="30" customHeight="1" x14ac:dyDescent="0.25">
      <c r="A291" s="27" t="s">
        <v>1634</v>
      </c>
      <c r="B291" s="42" t="s">
        <v>655</v>
      </c>
      <c r="C291" s="27" t="s">
        <v>109</v>
      </c>
      <c r="D291" s="28" t="s">
        <v>113</v>
      </c>
      <c r="E291" s="27"/>
      <c r="F291" s="27" t="s">
        <v>656</v>
      </c>
      <c r="G291" s="29">
        <v>24989</v>
      </c>
      <c r="H291" s="95" t="s">
        <v>1855</v>
      </c>
      <c r="I291" s="27"/>
      <c r="J291" s="52" t="s">
        <v>1112</v>
      </c>
      <c r="K291" s="51" t="str">
        <f>IF(Table1[[#This Row],[Preferenza telefono]]="Casa",Table1[[#This Row],[Telefono casa]],IF(Table1[[#This Row],[Preferenza telefono]]="Primario",Table1[[#This Row],[Telefono primario]],"-"))</f>
        <v>-</v>
      </c>
      <c r="L291" s="37" t="s">
        <v>1856</v>
      </c>
      <c r="M291" s="37" t="s">
        <v>1856</v>
      </c>
      <c r="N291" s="35" t="b">
        <f>IF(_xlfn.UNICODE( Table1[[#This Row],[Check]])=9745,TRUE,FALSE)</f>
        <v>0</v>
      </c>
    </row>
    <row r="292" spans="1:14" ht="30" customHeight="1" x14ac:dyDescent="0.25">
      <c r="A292" s="27" t="s">
        <v>1634</v>
      </c>
      <c r="B292" s="34" t="s">
        <v>659</v>
      </c>
      <c r="C292" s="27" t="s">
        <v>311</v>
      </c>
      <c r="D292" s="28">
        <v>3496635799</v>
      </c>
      <c r="E292" s="27"/>
      <c r="F292" s="27" t="s">
        <v>407</v>
      </c>
      <c r="G292" s="29">
        <v>22875</v>
      </c>
      <c r="H292" s="95" t="s">
        <v>1854</v>
      </c>
      <c r="I292" s="27"/>
      <c r="J292" s="52" t="s">
        <v>1112</v>
      </c>
      <c r="K292" s="51">
        <f>IF(Table1[[#This Row],[Preferenza telefono]]="Casa",Table1[[#This Row],[Telefono casa]],IF(Table1[[#This Row],[Preferenza telefono]]="Primario",Table1[[#This Row],[Telefono primario]],"-"))</f>
        <v>3496635799</v>
      </c>
      <c r="L292" s="37" t="s">
        <v>1856</v>
      </c>
      <c r="M292" s="37" t="s">
        <v>1856</v>
      </c>
      <c r="N292" s="35" t="b">
        <f>IF(_xlfn.UNICODE( Table1[[#This Row],[Check]])=9745,TRUE,FALSE)</f>
        <v>0</v>
      </c>
    </row>
    <row r="293" spans="1:14" ht="30" customHeight="1" x14ac:dyDescent="0.25">
      <c r="A293" s="27" t="s">
        <v>1634</v>
      </c>
      <c r="B293" s="34" t="s">
        <v>660</v>
      </c>
      <c r="C293" s="27" t="s">
        <v>1</v>
      </c>
      <c r="D293" s="28">
        <v>3923968063</v>
      </c>
      <c r="E293" s="27"/>
      <c r="F293" s="27" t="s">
        <v>304</v>
      </c>
      <c r="G293" s="29">
        <v>22976</v>
      </c>
      <c r="H293" s="95" t="s">
        <v>1854</v>
      </c>
      <c r="I293" s="27"/>
      <c r="J293" s="52" t="s">
        <v>1112</v>
      </c>
      <c r="K293" s="51">
        <f>IF(Table1[[#This Row],[Preferenza telefono]]="Casa",Table1[[#This Row],[Telefono casa]],IF(Table1[[#This Row],[Preferenza telefono]]="Primario",Table1[[#This Row],[Telefono primario]],"-"))</f>
        <v>3923968063</v>
      </c>
      <c r="L293" s="37" t="s">
        <v>1856</v>
      </c>
      <c r="M293" s="37" t="s">
        <v>1856</v>
      </c>
      <c r="N293" s="35" t="b">
        <f>IF(_xlfn.UNICODE( Table1[[#This Row],[Check]])=9745,TRUE,FALSE)</f>
        <v>0</v>
      </c>
    </row>
    <row r="294" spans="1:14" ht="30" customHeight="1" x14ac:dyDescent="0.25">
      <c r="A294" s="27" t="s">
        <v>1634</v>
      </c>
      <c r="B294" s="42" t="s">
        <v>661</v>
      </c>
      <c r="C294" s="27" t="s">
        <v>282</v>
      </c>
      <c r="D294" s="28">
        <v>3469864961</v>
      </c>
      <c r="E294" s="27"/>
      <c r="F294" s="27" t="s">
        <v>118</v>
      </c>
      <c r="G294" s="29">
        <v>23087</v>
      </c>
      <c r="H294" s="95" t="s">
        <v>1855</v>
      </c>
      <c r="I294" s="27"/>
      <c r="J294" s="52" t="s">
        <v>1112</v>
      </c>
      <c r="K294" s="51">
        <f>IF(Table1[[#This Row],[Preferenza telefono]]="Casa",Table1[[#This Row],[Telefono casa]],IF(Table1[[#This Row],[Preferenza telefono]]="Primario",Table1[[#This Row],[Telefono primario]],"-"))</f>
        <v>3469864961</v>
      </c>
      <c r="L294" s="37" t="s">
        <v>1856</v>
      </c>
      <c r="M294" s="37" t="s">
        <v>1856</v>
      </c>
      <c r="N294" s="35" t="b">
        <f>IF(_xlfn.UNICODE( Table1[[#This Row],[Check]])=9745,TRUE,FALSE)</f>
        <v>0</v>
      </c>
    </row>
    <row r="295" spans="1:14" ht="30" customHeight="1" x14ac:dyDescent="0.25">
      <c r="A295" s="27" t="s">
        <v>1634</v>
      </c>
      <c r="B295" s="42" t="s">
        <v>653</v>
      </c>
      <c r="C295" s="43" t="s">
        <v>1</v>
      </c>
      <c r="D295" s="28">
        <v>3392276697</v>
      </c>
      <c r="E295" s="27"/>
      <c r="F295" s="43" t="s">
        <v>654</v>
      </c>
      <c r="G295" s="29">
        <v>22335</v>
      </c>
      <c r="H295" s="95" t="s">
        <v>1854</v>
      </c>
      <c r="I295" s="27"/>
      <c r="J295" s="52" t="s">
        <v>1112</v>
      </c>
      <c r="K295" s="51">
        <f>IF(Table1[[#This Row],[Preferenza telefono]]="Casa",Table1[[#This Row],[Telefono casa]],IF(Table1[[#This Row],[Preferenza telefono]]="Primario",Table1[[#This Row],[Telefono primario]],"-"))</f>
        <v>3392276697</v>
      </c>
      <c r="L295" s="37" t="s">
        <v>1856</v>
      </c>
      <c r="M295" s="37" t="s">
        <v>1856</v>
      </c>
      <c r="N295" s="35" t="b">
        <f>IF(_xlfn.UNICODE( Table1[[#This Row],[Check]])=9745,TRUE,FALSE)</f>
        <v>0</v>
      </c>
    </row>
    <row r="296" spans="1:14" ht="30" customHeight="1" x14ac:dyDescent="0.25">
      <c r="A296" s="27" t="s">
        <v>1634</v>
      </c>
      <c r="B296" s="42" t="s">
        <v>1717</v>
      </c>
      <c r="C296" s="27" t="s">
        <v>1718</v>
      </c>
      <c r="D296" s="28">
        <v>3347881724</v>
      </c>
      <c r="E296" s="27"/>
      <c r="F296" s="27" t="s">
        <v>1719</v>
      </c>
      <c r="G296" s="29" t="s">
        <v>113</v>
      </c>
      <c r="H296" s="95" t="s">
        <v>1854</v>
      </c>
      <c r="I296" s="27"/>
      <c r="J296" s="52" t="s">
        <v>1112</v>
      </c>
      <c r="K296" s="51">
        <f>IF(Table1[[#This Row],[Preferenza telefono]]="Casa",Table1[[#This Row],[Telefono casa]],IF(Table1[[#This Row],[Preferenza telefono]]="Primario",Table1[[#This Row],[Telefono primario]],"-"))</f>
        <v>3347881724</v>
      </c>
      <c r="L296" s="37" t="s">
        <v>1856</v>
      </c>
      <c r="M296" s="37" t="s">
        <v>1856</v>
      </c>
      <c r="N296" s="35" t="b">
        <f>IF(_xlfn.UNICODE( Table1[[#This Row],[Check]])=9745,TRUE,FALSE)</f>
        <v>0</v>
      </c>
    </row>
    <row r="297" spans="1:14" ht="30" customHeight="1" x14ac:dyDescent="0.25">
      <c r="A297" s="27" t="s">
        <v>1634</v>
      </c>
      <c r="B297" s="42" t="s">
        <v>662</v>
      </c>
      <c r="C297" s="27"/>
      <c r="D297" s="28"/>
      <c r="E297" s="27"/>
      <c r="F297" s="27"/>
      <c r="G297" s="29"/>
      <c r="H297" s="95" t="s">
        <v>1855</v>
      </c>
      <c r="I297" s="27"/>
      <c r="J297" s="52" t="s">
        <v>1112</v>
      </c>
      <c r="K297" s="51">
        <f>IF(Table1[[#This Row],[Preferenza telefono]]="Casa",Table1[[#This Row],[Telefono casa]],IF(Table1[[#This Row],[Preferenza telefono]]="Primario",Table1[[#This Row],[Telefono primario]],"-"))</f>
        <v>0</v>
      </c>
      <c r="L297" s="37" t="s">
        <v>1856</v>
      </c>
      <c r="M297" s="37" t="s">
        <v>1856</v>
      </c>
      <c r="N297" s="35" t="b">
        <f>IF(_xlfn.UNICODE( Table1[[#This Row],[Check]])=9745,TRUE,FALSE)</f>
        <v>0</v>
      </c>
    </row>
    <row r="298" spans="1:14" ht="30" customHeight="1" x14ac:dyDescent="0.25">
      <c r="A298" s="27" t="s">
        <v>1634</v>
      </c>
      <c r="B298" s="42" t="s">
        <v>1768</v>
      </c>
      <c r="C298" s="27"/>
      <c r="D298" s="28"/>
      <c r="E298" s="27"/>
      <c r="F298" s="27"/>
      <c r="G298" s="29" t="s">
        <v>113</v>
      </c>
      <c r="H298" s="95" t="s">
        <v>1854</v>
      </c>
      <c r="I298" s="27"/>
      <c r="J298" s="52" t="s">
        <v>1112</v>
      </c>
      <c r="K298" s="51">
        <f>IF(Table1[[#This Row],[Preferenza telefono]]="Casa",Table1[[#This Row],[Telefono casa]],IF(Table1[[#This Row],[Preferenza telefono]]="Primario",Table1[[#This Row],[Telefono primario]],"-"))</f>
        <v>0</v>
      </c>
      <c r="L298" s="37" t="s">
        <v>1856</v>
      </c>
      <c r="M298" s="37" t="s">
        <v>1856</v>
      </c>
      <c r="N298" s="35" t="b">
        <f>IF(_xlfn.UNICODE( Table1[[#This Row],[Check]])=9745,TRUE,FALSE)</f>
        <v>0</v>
      </c>
    </row>
    <row r="299" spans="1:14" ht="30" customHeight="1" x14ac:dyDescent="0.25">
      <c r="A299" s="27" t="s">
        <v>1634</v>
      </c>
      <c r="B299" s="42" t="s">
        <v>1796</v>
      </c>
      <c r="C299" s="27" t="s">
        <v>150</v>
      </c>
      <c r="D299" s="28"/>
      <c r="E299" s="28"/>
      <c r="F299" s="27"/>
      <c r="G299" s="29"/>
      <c r="H299" s="95" t="s">
        <v>1854</v>
      </c>
      <c r="I299" s="101"/>
      <c r="J299" s="52" t="s">
        <v>1112</v>
      </c>
      <c r="K299" s="51">
        <f>IF(Table1[[#This Row],[Preferenza telefono]]="Casa",Table1[[#This Row],[Telefono casa]],IF(Table1[[#This Row],[Preferenza telefono]]="Primario",Table1[[#This Row],[Telefono primario]],"-"))</f>
        <v>0</v>
      </c>
      <c r="L299" s="37" t="s">
        <v>1856</v>
      </c>
      <c r="M299" s="37" t="s">
        <v>1856</v>
      </c>
      <c r="N299" s="35" t="b">
        <f>IF(_xlfn.UNICODE( Table1[[#This Row],[Check]])=9745,TRUE,FALSE)</f>
        <v>0</v>
      </c>
    </row>
    <row r="300" spans="1:14" ht="30" customHeight="1" x14ac:dyDescent="0.25">
      <c r="A300" s="27" t="s">
        <v>1634</v>
      </c>
      <c r="B300" s="42" t="s">
        <v>1789</v>
      </c>
      <c r="C300" s="27" t="s">
        <v>282</v>
      </c>
      <c r="D300" s="28"/>
      <c r="E300" s="28"/>
      <c r="F300" s="27"/>
      <c r="G300" s="29"/>
      <c r="H300" s="95" t="s">
        <v>1855</v>
      </c>
      <c r="I300" s="101"/>
      <c r="J300" s="52" t="s">
        <v>1112</v>
      </c>
      <c r="K300" s="51">
        <f>IF(Table1[[#This Row],[Preferenza telefono]]="Casa",Table1[[#This Row],[Telefono casa]],IF(Table1[[#This Row],[Preferenza telefono]]="Primario",Table1[[#This Row],[Telefono primario]],"-"))</f>
        <v>0</v>
      </c>
      <c r="L300" s="37" t="s">
        <v>1856</v>
      </c>
      <c r="M300" s="37" t="s">
        <v>1856</v>
      </c>
      <c r="N300" s="35" t="b">
        <f>IF(_xlfn.UNICODE( Table1[[#This Row],[Check]])=9745,TRUE,FALSE)</f>
        <v>0</v>
      </c>
    </row>
    <row r="301" spans="1:14" ht="30" customHeight="1" x14ac:dyDescent="0.25">
      <c r="A301" s="27" t="s">
        <v>1634</v>
      </c>
      <c r="B301" s="42" t="s">
        <v>666</v>
      </c>
      <c r="C301" s="27" t="s">
        <v>4</v>
      </c>
      <c r="D301" s="28">
        <v>3472547303</v>
      </c>
      <c r="E301" s="27"/>
      <c r="F301" s="27" t="s">
        <v>667</v>
      </c>
      <c r="G301" s="29">
        <v>32661</v>
      </c>
      <c r="H301" s="95" t="s">
        <v>1854</v>
      </c>
      <c r="I301" s="27"/>
      <c r="J301" s="52" t="s">
        <v>1112</v>
      </c>
      <c r="K301" s="51">
        <f>IF(Table1[[#This Row],[Preferenza telefono]]="Casa",Table1[[#This Row],[Telefono casa]],IF(Table1[[#This Row],[Preferenza telefono]]="Primario",Table1[[#This Row],[Telefono primario]],"-"))</f>
        <v>3472547303</v>
      </c>
      <c r="L301" s="37" t="s">
        <v>1856</v>
      </c>
      <c r="M301" s="37" t="s">
        <v>1856</v>
      </c>
      <c r="N301" s="35" t="b">
        <f>IF(_xlfn.UNICODE( Table1[[#This Row],[Check]])=9745,TRUE,FALSE)</f>
        <v>0</v>
      </c>
    </row>
    <row r="302" spans="1:14" ht="30" customHeight="1" x14ac:dyDescent="0.25">
      <c r="A302" s="27" t="s">
        <v>1634</v>
      </c>
      <c r="B302" s="42" t="s">
        <v>668</v>
      </c>
      <c r="C302" s="27" t="s">
        <v>109</v>
      </c>
      <c r="D302" s="28">
        <v>3334702780</v>
      </c>
      <c r="E302" s="27"/>
      <c r="F302" s="27" t="s">
        <v>669</v>
      </c>
      <c r="G302" s="29">
        <v>18816</v>
      </c>
      <c r="H302" s="95" t="s">
        <v>1854</v>
      </c>
      <c r="I302" s="27"/>
      <c r="J302" s="52" t="s">
        <v>1112</v>
      </c>
      <c r="K302" s="51">
        <f>IF(Table1[[#This Row],[Preferenza telefono]]="Casa",Table1[[#This Row],[Telefono casa]],IF(Table1[[#This Row],[Preferenza telefono]]="Primario",Table1[[#This Row],[Telefono primario]],"-"))</f>
        <v>3334702780</v>
      </c>
      <c r="L302" s="37" t="s">
        <v>1856</v>
      </c>
      <c r="M302" s="37" t="s">
        <v>1856</v>
      </c>
      <c r="N302" s="35" t="b">
        <f>IF(_xlfn.UNICODE( Table1[[#This Row],[Check]])=9745,TRUE,FALSE)</f>
        <v>0</v>
      </c>
    </row>
    <row r="303" spans="1:14" ht="30" customHeight="1" x14ac:dyDescent="0.25">
      <c r="A303" s="27" t="s">
        <v>1634</v>
      </c>
      <c r="B303" s="42" t="s">
        <v>1782</v>
      </c>
      <c r="C303" s="27" t="s">
        <v>1783</v>
      </c>
      <c r="D303" s="28"/>
      <c r="E303" s="28"/>
      <c r="F303" s="27"/>
      <c r="G303" s="29"/>
      <c r="H303" s="95" t="s">
        <v>1855</v>
      </c>
      <c r="I303" s="101"/>
      <c r="J303" s="52" t="s">
        <v>1112</v>
      </c>
      <c r="K303" s="51">
        <f>IF(Table1[[#This Row],[Preferenza telefono]]="Casa",Table1[[#This Row],[Telefono casa]],IF(Table1[[#This Row],[Preferenza telefono]]="Primario",Table1[[#This Row],[Telefono primario]],"-"))</f>
        <v>0</v>
      </c>
      <c r="L303" s="37" t="s">
        <v>1856</v>
      </c>
      <c r="M303" s="37" t="s">
        <v>1856</v>
      </c>
      <c r="N303" s="35" t="b">
        <f>IF(_xlfn.UNICODE( Table1[[#This Row],[Check]])=9745,TRUE,FALSE)</f>
        <v>0</v>
      </c>
    </row>
    <row r="304" spans="1:14" ht="30" customHeight="1" x14ac:dyDescent="0.25">
      <c r="A304" s="27" t="s">
        <v>1634</v>
      </c>
      <c r="B304" s="42" t="s">
        <v>672</v>
      </c>
      <c r="C304" s="27" t="s">
        <v>4</v>
      </c>
      <c r="D304" s="28">
        <v>3382260490</v>
      </c>
      <c r="E304" s="27"/>
      <c r="F304" s="27" t="s">
        <v>139</v>
      </c>
      <c r="G304" s="29">
        <v>22566</v>
      </c>
      <c r="H304" s="95" t="s">
        <v>1854</v>
      </c>
      <c r="I304" s="27"/>
      <c r="J304" s="52" t="s">
        <v>1112</v>
      </c>
      <c r="K304" s="51">
        <f>IF(Table1[[#This Row],[Preferenza telefono]]="Casa",Table1[[#This Row],[Telefono casa]],IF(Table1[[#This Row],[Preferenza telefono]]="Primario",Table1[[#This Row],[Telefono primario]],"-"))</f>
        <v>3382260490</v>
      </c>
      <c r="L304" s="37" t="s">
        <v>1856</v>
      </c>
      <c r="M304" s="37" t="s">
        <v>1856</v>
      </c>
      <c r="N304" s="35" t="b">
        <f>IF(_xlfn.UNICODE( Table1[[#This Row],[Check]])=9745,TRUE,FALSE)</f>
        <v>0</v>
      </c>
    </row>
    <row r="305" spans="1:14" ht="30" customHeight="1" x14ac:dyDescent="0.25">
      <c r="A305" s="27" t="s">
        <v>1634</v>
      </c>
      <c r="B305" s="42" t="s">
        <v>670</v>
      </c>
      <c r="C305" s="27" t="s">
        <v>4</v>
      </c>
      <c r="D305" s="28">
        <v>3349496507</v>
      </c>
      <c r="E305" s="27"/>
      <c r="F305" s="27" t="s">
        <v>671</v>
      </c>
      <c r="G305" s="29">
        <v>34957</v>
      </c>
      <c r="H305" s="95" t="s">
        <v>1854</v>
      </c>
      <c r="I305" s="27"/>
      <c r="J305" s="52" t="s">
        <v>1112</v>
      </c>
      <c r="K305" s="51">
        <f>IF(Table1[[#This Row],[Preferenza telefono]]="Casa",Table1[[#This Row],[Telefono casa]],IF(Table1[[#This Row],[Preferenza telefono]]="Primario",Table1[[#This Row],[Telefono primario]],"-"))</f>
        <v>3349496507</v>
      </c>
      <c r="L305" s="37" t="s">
        <v>1856</v>
      </c>
      <c r="M305" s="37" t="s">
        <v>1856</v>
      </c>
      <c r="N305" s="35" t="b">
        <f>IF(_xlfn.UNICODE( Table1[[#This Row],[Check]])=9745,TRUE,FALSE)</f>
        <v>0</v>
      </c>
    </row>
    <row r="306" spans="1:14" ht="30" customHeight="1" x14ac:dyDescent="0.25">
      <c r="A306" s="27" t="s">
        <v>1634</v>
      </c>
      <c r="B306" s="42" t="s">
        <v>673</v>
      </c>
      <c r="C306" s="27" t="s">
        <v>103</v>
      </c>
      <c r="D306" s="28">
        <v>3485309760</v>
      </c>
      <c r="E306" s="27"/>
      <c r="F306" s="27" t="s">
        <v>674</v>
      </c>
      <c r="G306" s="29">
        <v>24008</v>
      </c>
      <c r="H306" s="95" t="s">
        <v>1855</v>
      </c>
      <c r="I306" s="27"/>
      <c r="J306" s="52" t="s">
        <v>1112</v>
      </c>
      <c r="K306" s="51">
        <f>IF(Table1[[#This Row],[Preferenza telefono]]="Casa",Table1[[#This Row],[Telefono casa]],IF(Table1[[#This Row],[Preferenza telefono]]="Primario",Table1[[#This Row],[Telefono primario]],"-"))</f>
        <v>3485309760</v>
      </c>
      <c r="L306" s="37" t="s">
        <v>1856</v>
      </c>
      <c r="M306" s="37" t="s">
        <v>1856</v>
      </c>
      <c r="N306" s="35" t="b">
        <f>IF(_xlfn.UNICODE( Table1[[#This Row],[Check]])=9745,TRUE,FALSE)</f>
        <v>0</v>
      </c>
    </row>
    <row r="307" spans="1:14" ht="30" customHeight="1" x14ac:dyDescent="0.25">
      <c r="A307" s="27" t="s">
        <v>1634</v>
      </c>
      <c r="B307" s="42" t="s">
        <v>676</v>
      </c>
      <c r="C307" s="27" t="s">
        <v>1</v>
      </c>
      <c r="D307" s="28">
        <v>3356309738</v>
      </c>
      <c r="E307" s="27"/>
      <c r="F307" s="27" t="s">
        <v>259</v>
      </c>
      <c r="G307" s="29">
        <v>14244</v>
      </c>
      <c r="H307" s="95" t="s">
        <v>1854</v>
      </c>
      <c r="I307" s="27"/>
      <c r="J307" s="52" t="s">
        <v>1112</v>
      </c>
      <c r="K307" s="51">
        <f>IF(Table1[[#This Row],[Preferenza telefono]]="Casa",Table1[[#This Row],[Telefono casa]],IF(Table1[[#This Row],[Preferenza telefono]]="Primario",Table1[[#This Row],[Telefono primario]],"-"))</f>
        <v>3356309738</v>
      </c>
      <c r="L307" s="37" t="s">
        <v>1856</v>
      </c>
      <c r="M307" s="37" t="s">
        <v>1856</v>
      </c>
      <c r="N307" s="35" t="b">
        <f>IF(_xlfn.UNICODE( Table1[[#This Row],[Check]])=9745,TRUE,FALSE)</f>
        <v>0</v>
      </c>
    </row>
    <row r="308" spans="1:14" ht="30" customHeight="1" x14ac:dyDescent="0.25">
      <c r="A308" s="27" t="s">
        <v>1634</v>
      </c>
      <c r="B308" s="42" t="s">
        <v>675</v>
      </c>
      <c r="C308" s="27" t="s">
        <v>1</v>
      </c>
      <c r="D308" s="28">
        <v>3337376672</v>
      </c>
      <c r="E308" s="27"/>
      <c r="F308" s="27" t="s">
        <v>184</v>
      </c>
      <c r="G308" s="29"/>
      <c r="H308" s="95" t="s">
        <v>1854</v>
      </c>
      <c r="I308" s="27"/>
      <c r="J308" s="52" t="s">
        <v>1112</v>
      </c>
      <c r="K308" s="51">
        <f>IF(Table1[[#This Row],[Preferenza telefono]]="Casa",Table1[[#This Row],[Telefono casa]],IF(Table1[[#This Row],[Preferenza telefono]]="Primario",Table1[[#This Row],[Telefono primario]],"-"))</f>
        <v>3337376672</v>
      </c>
      <c r="L308" s="37" t="s">
        <v>1856</v>
      </c>
      <c r="M308" s="37" t="s">
        <v>1856</v>
      </c>
      <c r="N308" s="35" t="b">
        <f>IF(_xlfn.UNICODE( Table1[[#This Row],[Check]])=9745,TRUE,FALSE)</f>
        <v>0</v>
      </c>
    </row>
    <row r="309" spans="1:14" ht="30" customHeight="1" x14ac:dyDescent="0.25">
      <c r="A309" s="27" t="s">
        <v>1634</v>
      </c>
      <c r="B309" s="42" t="s">
        <v>1818</v>
      </c>
      <c r="C309" s="27" t="s">
        <v>90</v>
      </c>
      <c r="D309" s="28"/>
      <c r="E309" s="28"/>
      <c r="F309" s="27"/>
      <c r="G309" s="29"/>
      <c r="H309" s="95" t="s">
        <v>1855</v>
      </c>
      <c r="I309" s="101"/>
      <c r="J309" s="52" t="s">
        <v>1112</v>
      </c>
      <c r="K309" s="51">
        <f>IF(Table1[[#This Row],[Preferenza telefono]]="Casa",Table1[[#This Row],[Telefono casa]],IF(Table1[[#This Row],[Preferenza telefono]]="Primario",Table1[[#This Row],[Telefono primario]],"-"))</f>
        <v>0</v>
      </c>
      <c r="L309" s="37" t="s">
        <v>1856</v>
      </c>
      <c r="M309" s="37" t="s">
        <v>1856</v>
      </c>
      <c r="N309" s="35" t="b">
        <f>IF(_xlfn.UNICODE( Table1[[#This Row],[Check]])=9745,TRUE,FALSE)</f>
        <v>0</v>
      </c>
    </row>
    <row r="310" spans="1:14" ht="30" customHeight="1" x14ac:dyDescent="0.25">
      <c r="A310" s="27" t="s">
        <v>1634</v>
      </c>
      <c r="B310" s="42" t="s">
        <v>677</v>
      </c>
      <c r="C310" s="27" t="s">
        <v>459</v>
      </c>
      <c r="D310" s="28">
        <v>3282237744</v>
      </c>
      <c r="E310" s="27"/>
      <c r="F310" s="27" t="s">
        <v>678</v>
      </c>
      <c r="G310" s="29">
        <v>22954</v>
      </c>
      <c r="H310" s="95" t="s">
        <v>1854</v>
      </c>
      <c r="I310" s="27"/>
      <c r="J310" s="52" t="s">
        <v>1112</v>
      </c>
      <c r="K310" s="51">
        <f>IF(Table1[[#This Row],[Preferenza telefono]]="Casa",Table1[[#This Row],[Telefono casa]],IF(Table1[[#This Row],[Preferenza telefono]]="Primario",Table1[[#This Row],[Telefono primario]],"-"))</f>
        <v>3282237744</v>
      </c>
      <c r="L310" s="37" t="s">
        <v>1856</v>
      </c>
      <c r="M310" s="37" t="s">
        <v>1856</v>
      </c>
      <c r="N310" s="35" t="b">
        <f>IF(_xlfn.UNICODE( Table1[[#This Row],[Check]])=9745,TRUE,FALSE)</f>
        <v>0</v>
      </c>
    </row>
    <row r="311" spans="1:14" ht="30" customHeight="1" x14ac:dyDescent="0.25">
      <c r="A311" s="27" t="s">
        <v>1634</v>
      </c>
      <c r="B311" s="42" t="s">
        <v>679</v>
      </c>
      <c r="C311" s="27" t="s">
        <v>680</v>
      </c>
      <c r="D311" s="28">
        <v>3282237744</v>
      </c>
      <c r="E311" s="27"/>
      <c r="F311" s="27"/>
      <c r="G311" s="29"/>
      <c r="H311" s="95" t="s">
        <v>1854</v>
      </c>
      <c r="I311" s="27"/>
      <c r="J311" s="52" t="s">
        <v>1112</v>
      </c>
      <c r="K311" s="51">
        <f>IF(Table1[[#This Row],[Preferenza telefono]]="Casa",Table1[[#This Row],[Telefono casa]],IF(Table1[[#This Row],[Preferenza telefono]]="Primario",Table1[[#This Row],[Telefono primario]],"-"))</f>
        <v>3282237744</v>
      </c>
      <c r="L311" s="37" t="s">
        <v>1856</v>
      </c>
      <c r="M311" s="37" t="s">
        <v>1856</v>
      </c>
      <c r="N311" s="35" t="b">
        <f>IF(_xlfn.UNICODE( Table1[[#This Row],[Check]])=9745,TRUE,FALSE)</f>
        <v>0</v>
      </c>
    </row>
    <row r="312" spans="1:14" ht="30" customHeight="1" x14ac:dyDescent="0.25">
      <c r="A312" s="27" t="s">
        <v>1634</v>
      </c>
      <c r="B312" s="42" t="s">
        <v>663</v>
      </c>
      <c r="C312" s="27" t="s">
        <v>664</v>
      </c>
      <c r="D312" s="28">
        <v>3929200282</v>
      </c>
      <c r="E312" s="27"/>
      <c r="F312" s="27" t="s">
        <v>665</v>
      </c>
      <c r="G312" s="29">
        <v>21136</v>
      </c>
      <c r="H312" s="95" t="s">
        <v>1855</v>
      </c>
      <c r="I312" s="27"/>
      <c r="J312" s="52" t="s">
        <v>1112</v>
      </c>
      <c r="K312" s="51">
        <f>IF(Table1[[#This Row],[Preferenza telefono]]="Casa",Table1[[#This Row],[Telefono casa]],IF(Table1[[#This Row],[Preferenza telefono]]="Primario",Table1[[#This Row],[Telefono primario]],"-"))</f>
        <v>3929200282</v>
      </c>
      <c r="L312" s="37" t="s">
        <v>1856</v>
      </c>
      <c r="M312" s="37" t="s">
        <v>1856</v>
      </c>
      <c r="N312" s="35" t="b">
        <f>IF(_xlfn.UNICODE( Table1[[#This Row],[Check]])=9745,TRUE,FALSE)</f>
        <v>0</v>
      </c>
    </row>
    <row r="313" spans="1:14" ht="30" customHeight="1" x14ac:dyDescent="0.25">
      <c r="A313" s="27" t="s">
        <v>1634</v>
      </c>
      <c r="B313" s="42" t="s">
        <v>686</v>
      </c>
      <c r="C313" s="27" t="s">
        <v>109</v>
      </c>
      <c r="D313" s="28">
        <v>3334702780</v>
      </c>
      <c r="E313" s="27"/>
      <c r="F313" s="27" t="s">
        <v>687</v>
      </c>
      <c r="G313" s="29">
        <v>29057</v>
      </c>
      <c r="H313" s="95" t="s">
        <v>1854</v>
      </c>
      <c r="I313" s="27"/>
      <c r="J313" s="52" t="s">
        <v>1112</v>
      </c>
      <c r="K313" s="51">
        <f>IF(Table1[[#This Row],[Preferenza telefono]]="Casa",Table1[[#This Row],[Telefono casa]],IF(Table1[[#This Row],[Preferenza telefono]]="Primario",Table1[[#This Row],[Telefono primario]],"-"))</f>
        <v>3334702780</v>
      </c>
      <c r="L313" s="37" t="s">
        <v>1856</v>
      </c>
      <c r="M313" s="37" t="s">
        <v>1856</v>
      </c>
      <c r="N313" s="35" t="b">
        <f>IF(_xlfn.UNICODE( Table1[[#This Row],[Check]])=9745,TRUE,FALSE)</f>
        <v>0</v>
      </c>
    </row>
    <row r="314" spans="1:14" ht="30" customHeight="1" x14ac:dyDescent="0.25">
      <c r="A314" s="27" t="s">
        <v>1634</v>
      </c>
      <c r="B314" s="32" t="s">
        <v>689</v>
      </c>
      <c r="C314" s="27" t="s">
        <v>4</v>
      </c>
      <c r="D314" s="28">
        <v>3804779715</v>
      </c>
      <c r="E314" s="27"/>
      <c r="F314" s="27" t="s">
        <v>690</v>
      </c>
      <c r="G314" s="29">
        <v>29389</v>
      </c>
      <c r="H314" s="95" t="s">
        <v>1854</v>
      </c>
      <c r="I314" s="27"/>
      <c r="J314" s="52" t="s">
        <v>1112</v>
      </c>
      <c r="K314" s="51">
        <f>IF(Table1[[#This Row],[Preferenza telefono]]="Casa",Table1[[#This Row],[Telefono casa]],IF(Table1[[#This Row],[Preferenza telefono]]="Primario",Table1[[#This Row],[Telefono primario]],"-"))</f>
        <v>3804779715</v>
      </c>
      <c r="L314" s="37" t="s">
        <v>1856</v>
      </c>
      <c r="M314" s="37" t="s">
        <v>1856</v>
      </c>
      <c r="N314" s="35" t="b">
        <f>IF(_xlfn.UNICODE( Table1[[#This Row],[Check]])=9745,TRUE,FALSE)</f>
        <v>0</v>
      </c>
    </row>
    <row r="315" spans="1:14" ht="30" customHeight="1" x14ac:dyDescent="0.25">
      <c r="A315" s="27" t="s">
        <v>1634</v>
      </c>
      <c r="B315" s="42" t="s">
        <v>691</v>
      </c>
      <c r="C315" s="27"/>
      <c r="D315" s="28"/>
      <c r="E315" s="27"/>
      <c r="F315" s="27"/>
      <c r="G315" s="29"/>
      <c r="H315" s="95" t="s">
        <v>1855</v>
      </c>
      <c r="I315" s="27"/>
      <c r="J315" s="52" t="s">
        <v>1112</v>
      </c>
      <c r="K315" s="51">
        <f>IF(Table1[[#This Row],[Preferenza telefono]]="Casa",Table1[[#This Row],[Telefono casa]],IF(Table1[[#This Row],[Preferenza telefono]]="Primario",Table1[[#This Row],[Telefono primario]],"-"))</f>
        <v>0</v>
      </c>
      <c r="L315" s="37" t="s">
        <v>1856</v>
      </c>
      <c r="M315" s="37" t="s">
        <v>1856</v>
      </c>
      <c r="N315" s="35" t="b">
        <f>IF(_xlfn.UNICODE( Table1[[#This Row],[Check]])=9745,TRUE,FALSE)</f>
        <v>0</v>
      </c>
    </row>
    <row r="316" spans="1:14" ht="30" customHeight="1" x14ac:dyDescent="0.25">
      <c r="A316" s="27" t="s">
        <v>1634</v>
      </c>
      <c r="B316" s="42" t="s">
        <v>695</v>
      </c>
      <c r="C316" s="27" t="s">
        <v>150</v>
      </c>
      <c r="D316" s="28">
        <v>3451234555</v>
      </c>
      <c r="E316" s="27"/>
      <c r="F316" s="27" t="s">
        <v>696</v>
      </c>
      <c r="G316" s="29">
        <v>27108</v>
      </c>
      <c r="H316" s="95" t="s">
        <v>1854</v>
      </c>
      <c r="I316" s="27"/>
      <c r="J316" s="52" t="s">
        <v>1112</v>
      </c>
      <c r="K316" s="51">
        <f>IF(Table1[[#This Row],[Preferenza telefono]]="Casa",Table1[[#This Row],[Telefono casa]],IF(Table1[[#This Row],[Preferenza telefono]]="Primario",Table1[[#This Row],[Telefono primario]],"-"))</f>
        <v>3451234555</v>
      </c>
      <c r="L316" s="37" t="s">
        <v>1856</v>
      </c>
      <c r="M316" s="37" t="s">
        <v>1856</v>
      </c>
      <c r="N316" s="35" t="b">
        <f>IF(_xlfn.UNICODE( Table1[[#This Row],[Check]])=9745,TRUE,FALSE)</f>
        <v>0</v>
      </c>
    </row>
    <row r="317" spans="1:14" ht="30" customHeight="1" x14ac:dyDescent="0.25">
      <c r="A317" s="27" t="s">
        <v>1634</v>
      </c>
      <c r="B317" s="42" t="s">
        <v>693</v>
      </c>
      <c r="C317" s="27" t="s">
        <v>364</v>
      </c>
      <c r="D317" s="28">
        <v>3451234555</v>
      </c>
      <c r="E317" s="27"/>
      <c r="F317" s="27" t="s">
        <v>694</v>
      </c>
      <c r="G317" s="29">
        <v>16008</v>
      </c>
      <c r="H317" s="95" t="s">
        <v>1854</v>
      </c>
      <c r="I317" s="27"/>
      <c r="J317" s="52" t="s">
        <v>1112</v>
      </c>
      <c r="K317" s="51">
        <f>IF(Table1[[#This Row],[Preferenza telefono]]="Casa",Table1[[#This Row],[Telefono casa]],IF(Table1[[#This Row],[Preferenza telefono]]="Primario",Table1[[#This Row],[Telefono primario]],"-"))</f>
        <v>3451234555</v>
      </c>
      <c r="L317" s="37" t="s">
        <v>1856</v>
      </c>
      <c r="M317" s="37" t="s">
        <v>1856</v>
      </c>
      <c r="N317" s="35" t="b">
        <f>IF(_xlfn.UNICODE( Table1[[#This Row],[Check]])=9745,TRUE,FALSE)</f>
        <v>0</v>
      </c>
    </row>
    <row r="318" spans="1:14" ht="30" customHeight="1" x14ac:dyDescent="0.25">
      <c r="A318" s="27" t="s">
        <v>1634</v>
      </c>
      <c r="B318" s="42" t="s">
        <v>1840</v>
      </c>
      <c r="C318" s="27" t="s">
        <v>159</v>
      </c>
      <c r="D318" s="28"/>
      <c r="E318" s="28"/>
      <c r="F318" s="27"/>
      <c r="G318" s="29"/>
      <c r="H318" s="95" t="s">
        <v>1855</v>
      </c>
      <c r="I318" s="101"/>
      <c r="J318" s="52" t="s">
        <v>1112</v>
      </c>
      <c r="K318" s="51">
        <f>IF(Table1[[#This Row],[Preferenza telefono]]="Casa",Table1[[#This Row],[Telefono casa]],IF(Table1[[#This Row],[Preferenza telefono]]="Primario",Table1[[#This Row],[Telefono primario]],"-"))</f>
        <v>0</v>
      </c>
      <c r="L318" s="37" t="s">
        <v>1856</v>
      </c>
      <c r="M318" s="37" t="s">
        <v>1856</v>
      </c>
      <c r="N318" s="35" t="b">
        <f>IF(_xlfn.UNICODE( Table1[[#This Row],[Check]])=9745,TRUE,FALSE)</f>
        <v>0</v>
      </c>
    </row>
    <row r="319" spans="1:14" ht="30" customHeight="1" x14ac:dyDescent="0.25">
      <c r="A319" s="27" t="s">
        <v>1634</v>
      </c>
      <c r="B319" s="42" t="s">
        <v>1720</v>
      </c>
      <c r="C319" s="43" t="s">
        <v>4</v>
      </c>
      <c r="D319" s="28"/>
      <c r="E319" s="27"/>
      <c r="F319" s="27"/>
      <c r="G319" s="29">
        <v>24719</v>
      </c>
      <c r="H319" s="95" t="s">
        <v>1854</v>
      </c>
      <c r="I319" s="27"/>
      <c r="J319" s="52" t="s">
        <v>1112</v>
      </c>
      <c r="K319" s="51">
        <f>IF(Table1[[#This Row],[Preferenza telefono]]="Casa",Table1[[#This Row],[Telefono casa]],IF(Table1[[#This Row],[Preferenza telefono]]="Primario",Table1[[#This Row],[Telefono primario]],"-"))</f>
        <v>0</v>
      </c>
      <c r="L319" s="37" t="s">
        <v>1856</v>
      </c>
      <c r="M319" s="37" t="s">
        <v>1856</v>
      </c>
      <c r="N319" s="35" t="b">
        <f>IF(_xlfn.UNICODE( Table1[[#This Row],[Check]])=9745,TRUE,FALSE)</f>
        <v>0</v>
      </c>
    </row>
    <row r="320" spans="1:14" ht="30" customHeight="1" x14ac:dyDescent="0.25">
      <c r="A320" s="27" t="s">
        <v>1634</v>
      </c>
      <c r="B320" s="42" t="s">
        <v>697</v>
      </c>
      <c r="C320" s="27" t="s">
        <v>117</v>
      </c>
      <c r="D320" s="28"/>
      <c r="E320" s="27"/>
      <c r="F320" s="27" t="s">
        <v>698</v>
      </c>
      <c r="G320" s="29" t="s">
        <v>113</v>
      </c>
      <c r="H320" s="95" t="s">
        <v>1854</v>
      </c>
      <c r="I320" s="27"/>
      <c r="J320" s="52" t="s">
        <v>1112</v>
      </c>
      <c r="K320" s="51">
        <f>IF(Table1[[#This Row],[Preferenza telefono]]="Casa",Table1[[#This Row],[Telefono casa]],IF(Table1[[#This Row],[Preferenza telefono]]="Primario",Table1[[#This Row],[Telefono primario]],"-"))</f>
        <v>0</v>
      </c>
      <c r="L320" s="37" t="s">
        <v>1856</v>
      </c>
      <c r="M320" s="37" t="s">
        <v>1856</v>
      </c>
      <c r="N320" s="35" t="b">
        <f>IF(_xlfn.UNICODE( Table1[[#This Row],[Check]])=9745,TRUE,FALSE)</f>
        <v>0</v>
      </c>
    </row>
    <row r="321" spans="1:14" ht="30" customHeight="1" x14ac:dyDescent="0.25">
      <c r="A321" s="27" t="s">
        <v>1634</v>
      </c>
      <c r="B321" s="42" t="s">
        <v>684</v>
      </c>
      <c r="C321" s="27" t="s">
        <v>459</v>
      </c>
      <c r="D321" s="28" t="s">
        <v>113</v>
      </c>
      <c r="E321" s="27"/>
      <c r="F321" s="27"/>
      <c r="G321" s="29">
        <v>30840</v>
      </c>
      <c r="H321" s="95" t="s">
        <v>1855</v>
      </c>
      <c r="I321" s="27"/>
      <c r="J321" s="52" t="s">
        <v>1112</v>
      </c>
      <c r="K321" s="51" t="str">
        <f>IF(Table1[[#This Row],[Preferenza telefono]]="Casa",Table1[[#This Row],[Telefono casa]],IF(Table1[[#This Row],[Preferenza telefono]]="Primario",Table1[[#This Row],[Telefono primario]],"-"))</f>
        <v>-</v>
      </c>
      <c r="L321" s="37" t="s">
        <v>1856</v>
      </c>
      <c r="M321" s="37" t="s">
        <v>1856</v>
      </c>
      <c r="N321" s="35" t="b">
        <f>IF(_xlfn.UNICODE( Table1[[#This Row],[Check]])=9745,TRUE,FALSE)</f>
        <v>0</v>
      </c>
    </row>
    <row r="322" spans="1:14" ht="30" customHeight="1" x14ac:dyDescent="0.25">
      <c r="A322" s="27" t="s">
        <v>1634</v>
      </c>
      <c r="B322" s="42" t="s">
        <v>685</v>
      </c>
      <c r="C322" s="27" t="s">
        <v>459</v>
      </c>
      <c r="D322" s="28" t="s">
        <v>113</v>
      </c>
      <c r="E322" s="27"/>
      <c r="F322" s="27"/>
      <c r="G322" s="29">
        <v>21246</v>
      </c>
      <c r="H322" s="95" t="s">
        <v>1854</v>
      </c>
      <c r="I322" s="27"/>
      <c r="J322" s="52" t="s">
        <v>1112</v>
      </c>
      <c r="K322" s="51" t="str">
        <f>IF(Table1[[#This Row],[Preferenza telefono]]="Casa",Table1[[#This Row],[Telefono casa]],IF(Table1[[#This Row],[Preferenza telefono]]="Primario",Table1[[#This Row],[Telefono primario]],"-"))</f>
        <v>-</v>
      </c>
      <c r="L322" s="37" t="s">
        <v>1856</v>
      </c>
      <c r="M322" s="37" t="s">
        <v>1856</v>
      </c>
      <c r="N322" s="35" t="b">
        <f>IF(_xlfn.UNICODE( Table1[[#This Row],[Check]])=9745,TRUE,FALSE)</f>
        <v>0</v>
      </c>
    </row>
    <row r="323" spans="1:14" ht="30" customHeight="1" x14ac:dyDescent="0.25">
      <c r="A323" s="27" t="s">
        <v>1634</v>
      </c>
      <c r="B323" s="42" t="s">
        <v>681</v>
      </c>
      <c r="C323" s="27" t="s">
        <v>682</v>
      </c>
      <c r="D323" s="28">
        <v>3469864961</v>
      </c>
      <c r="E323" s="27"/>
      <c r="F323" s="27" t="s">
        <v>683</v>
      </c>
      <c r="G323" s="29">
        <v>23208</v>
      </c>
      <c r="H323" s="95" t="s">
        <v>1854</v>
      </c>
      <c r="I323" s="27"/>
      <c r="J323" s="52" t="s">
        <v>1112</v>
      </c>
      <c r="K323" s="51">
        <f>IF(Table1[[#This Row],[Preferenza telefono]]="Casa",Table1[[#This Row],[Telefono casa]],IF(Table1[[#This Row],[Preferenza telefono]]="Primario",Table1[[#This Row],[Telefono primario]],"-"))</f>
        <v>3469864961</v>
      </c>
      <c r="L323" s="37" t="s">
        <v>1856</v>
      </c>
      <c r="M323" s="37" t="s">
        <v>1856</v>
      </c>
      <c r="N323" s="35" t="b">
        <f>IF(_xlfn.UNICODE( Table1[[#This Row],[Check]])=9745,TRUE,FALSE)</f>
        <v>0</v>
      </c>
    </row>
    <row r="324" spans="1:14" ht="30" customHeight="1" x14ac:dyDescent="0.25">
      <c r="A324" s="27" t="s">
        <v>1634</v>
      </c>
      <c r="B324" s="42" t="s">
        <v>699</v>
      </c>
      <c r="C324" s="27" t="s">
        <v>1</v>
      </c>
      <c r="D324" s="28">
        <v>3398729787</v>
      </c>
      <c r="E324" s="27"/>
      <c r="F324" s="27" t="s">
        <v>344</v>
      </c>
      <c r="G324" s="29">
        <v>26680</v>
      </c>
      <c r="H324" s="95" t="s">
        <v>1855</v>
      </c>
      <c r="I324" s="27"/>
      <c r="J324" s="52" t="s">
        <v>1112</v>
      </c>
      <c r="K324" s="51">
        <f>IF(Table1[[#This Row],[Preferenza telefono]]="Casa",Table1[[#This Row],[Telefono casa]],IF(Table1[[#This Row],[Preferenza telefono]]="Primario",Table1[[#This Row],[Telefono primario]],"-"))</f>
        <v>3398729787</v>
      </c>
      <c r="L324" s="37" t="s">
        <v>1856</v>
      </c>
      <c r="M324" s="37" t="s">
        <v>1856</v>
      </c>
      <c r="N324" s="35" t="b">
        <f>IF(_xlfn.UNICODE( Table1[[#This Row],[Check]])=9745,TRUE,FALSE)</f>
        <v>0</v>
      </c>
    </row>
    <row r="325" spans="1:14" ht="30" customHeight="1" x14ac:dyDescent="0.25">
      <c r="A325" s="27" t="s">
        <v>1634</v>
      </c>
      <c r="B325" s="42" t="s">
        <v>688</v>
      </c>
      <c r="C325" s="27" t="s">
        <v>1</v>
      </c>
      <c r="D325" s="28">
        <v>3393403620</v>
      </c>
      <c r="E325" s="27"/>
      <c r="F325" s="27" t="s">
        <v>572</v>
      </c>
      <c r="G325" s="29">
        <v>34405</v>
      </c>
      <c r="H325" s="95" t="s">
        <v>1854</v>
      </c>
      <c r="I325" s="27"/>
      <c r="J325" s="52" t="s">
        <v>1112</v>
      </c>
      <c r="K325" s="51">
        <f>IF(Table1[[#This Row],[Preferenza telefono]]="Casa",Table1[[#This Row],[Telefono casa]],IF(Table1[[#This Row],[Preferenza telefono]]="Primario",Table1[[#This Row],[Telefono primario]],"-"))</f>
        <v>3393403620</v>
      </c>
      <c r="L325" s="37" t="s">
        <v>1856</v>
      </c>
      <c r="M325" s="37" t="s">
        <v>1856</v>
      </c>
      <c r="N325" s="35" t="b">
        <f>IF(_xlfn.UNICODE( Table1[[#This Row],[Check]])=9745,TRUE,FALSE)</f>
        <v>0</v>
      </c>
    </row>
    <row r="326" spans="1:14" ht="30" customHeight="1" x14ac:dyDescent="0.25">
      <c r="A326" s="27" t="s">
        <v>1634</v>
      </c>
      <c r="B326" s="42" t="s">
        <v>700</v>
      </c>
      <c r="C326" s="27" t="s">
        <v>150</v>
      </c>
      <c r="D326" s="28" t="s">
        <v>701</v>
      </c>
      <c r="E326" s="27"/>
      <c r="F326" s="27" t="s">
        <v>110</v>
      </c>
      <c r="G326" s="29">
        <v>22915</v>
      </c>
      <c r="H326" s="95" t="s">
        <v>1854</v>
      </c>
      <c r="I326" s="27"/>
      <c r="J326" s="52" t="s">
        <v>1112</v>
      </c>
      <c r="K326" s="51" t="str">
        <f>IF(Table1[[#This Row],[Preferenza telefono]]="Casa",Table1[[#This Row],[Telefono casa]],IF(Table1[[#This Row],[Preferenza telefono]]="Primario",Table1[[#This Row],[Telefono primario]],"-"))</f>
        <v>340-0510138</v>
      </c>
      <c r="L326" s="37" t="s">
        <v>1856</v>
      </c>
      <c r="M326" s="37" t="s">
        <v>1856</v>
      </c>
      <c r="N326" s="35" t="b">
        <f>IF(_xlfn.UNICODE( Table1[[#This Row],[Check]])=9745,TRUE,FALSE)</f>
        <v>0</v>
      </c>
    </row>
    <row r="327" spans="1:14" ht="30" customHeight="1" x14ac:dyDescent="0.25">
      <c r="A327" s="27" t="s">
        <v>1634</v>
      </c>
      <c r="B327" s="42" t="s">
        <v>128</v>
      </c>
      <c r="C327" s="27" t="s">
        <v>1</v>
      </c>
      <c r="D327" s="28">
        <v>3392905813</v>
      </c>
      <c r="E327" s="27"/>
      <c r="F327" s="43" t="s">
        <v>129</v>
      </c>
      <c r="G327" s="29">
        <v>13079</v>
      </c>
      <c r="H327" s="95" t="s">
        <v>1855</v>
      </c>
      <c r="I327" s="27"/>
      <c r="J327" s="52" t="s">
        <v>1112</v>
      </c>
      <c r="K327" s="51">
        <f>IF(Table1[[#This Row],[Preferenza telefono]]="Casa",Table1[[#This Row],[Telefono casa]],IF(Table1[[#This Row],[Preferenza telefono]]="Primario",Table1[[#This Row],[Telefono primario]],"-"))</f>
        <v>3392905813</v>
      </c>
      <c r="L327" s="37" t="s">
        <v>1856</v>
      </c>
      <c r="M327" s="37" t="s">
        <v>1856</v>
      </c>
      <c r="N327" s="35" t="b">
        <f>IF(_xlfn.UNICODE( Table1[[#This Row],[Check]])=9745,TRUE,FALSE)</f>
        <v>0</v>
      </c>
    </row>
    <row r="328" spans="1:14" ht="30" customHeight="1" x14ac:dyDescent="0.25">
      <c r="A328" s="27" t="s">
        <v>1634</v>
      </c>
      <c r="B328" s="42" t="s">
        <v>702</v>
      </c>
      <c r="C328" s="27" t="s">
        <v>1</v>
      </c>
      <c r="D328" s="28">
        <v>3479623688</v>
      </c>
      <c r="E328" s="27"/>
      <c r="F328" s="27" t="s">
        <v>703</v>
      </c>
      <c r="G328" s="29">
        <v>19323</v>
      </c>
      <c r="H328" s="95" t="s">
        <v>1854</v>
      </c>
      <c r="I328" s="27"/>
      <c r="J328" s="52" t="s">
        <v>1112</v>
      </c>
      <c r="K328" s="51">
        <f>IF(Table1[[#This Row],[Preferenza telefono]]="Casa",Table1[[#This Row],[Telefono casa]],IF(Table1[[#This Row],[Preferenza telefono]]="Primario",Table1[[#This Row],[Telefono primario]],"-"))</f>
        <v>3479623688</v>
      </c>
      <c r="L328" s="37" t="s">
        <v>1856</v>
      </c>
      <c r="M328" s="37" t="s">
        <v>1856</v>
      </c>
      <c r="N328" s="35" t="b">
        <f>IF(_xlfn.UNICODE( Table1[[#This Row],[Check]])=9745,TRUE,FALSE)</f>
        <v>0</v>
      </c>
    </row>
    <row r="329" spans="1:14" ht="30" customHeight="1" x14ac:dyDescent="0.25">
      <c r="A329" s="27" t="s">
        <v>1634</v>
      </c>
      <c r="B329" s="42" t="s">
        <v>704</v>
      </c>
      <c r="C329" s="27" t="s">
        <v>1</v>
      </c>
      <c r="D329" s="28">
        <v>3892762546</v>
      </c>
      <c r="E329" s="27"/>
      <c r="F329" s="27" t="s">
        <v>705</v>
      </c>
      <c r="G329" s="29">
        <v>31668</v>
      </c>
      <c r="H329" s="95" t="s">
        <v>1854</v>
      </c>
      <c r="I329" s="27"/>
      <c r="J329" s="52" t="s">
        <v>1112</v>
      </c>
      <c r="K329" s="51">
        <f>IF(Table1[[#This Row],[Preferenza telefono]]="Casa",Table1[[#This Row],[Telefono casa]],IF(Table1[[#This Row],[Preferenza telefono]]="Primario",Table1[[#This Row],[Telefono primario]],"-"))</f>
        <v>3892762546</v>
      </c>
      <c r="L329" s="37" t="s">
        <v>1856</v>
      </c>
      <c r="M329" s="37" t="s">
        <v>1856</v>
      </c>
      <c r="N329" s="35" t="b">
        <f>IF(_xlfn.UNICODE( Table1[[#This Row],[Check]])=9745,TRUE,FALSE)</f>
        <v>0</v>
      </c>
    </row>
    <row r="330" spans="1:14" ht="30" customHeight="1" x14ac:dyDescent="0.25">
      <c r="A330" s="27" t="s">
        <v>1634</v>
      </c>
      <c r="B330" s="94" t="s">
        <v>692</v>
      </c>
      <c r="C330" s="27" t="s">
        <v>90</v>
      </c>
      <c r="D330" s="28">
        <v>3475377275</v>
      </c>
      <c r="E330" s="27"/>
      <c r="F330" s="27" t="s">
        <v>327</v>
      </c>
      <c r="G330" s="29">
        <v>19436</v>
      </c>
      <c r="H330" s="95" t="s">
        <v>1855</v>
      </c>
      <c r="I330" s="27"/>
      <c r="J330" s="52" t="s">
        <v>1112</v>
      </c>
      <c r="K330" s="51">
        <f>IF(Table1[[#This Row],[Preferenza telefono]]="Casa",Table1[[#This Row],[Telefono casa]],IF(Table1[[#This Row],[Preferenza telefono]]="Primario",Table1[[#This Row],[Telefono primario]],"-"))</f>
        <v>3475377275</v>
      </c>
      <c r="L330" s="37" t="s">
        <v>1856</v>
      </c>
      <c r="M330" s="37" t="s">
        <v>1856</v>
      </c>
      <c r="N330" s="35" t="b">
        <f>IF(_xlfn.UNICODE( Table1[[#This Row],[Check]])=9745,TRUE,FALSE)</f>
        <v>0</v>
      </c>
    </row>
    <row r="331" spans="1:14" ht="30" customHeight="1" x14ac:dyDescent="0.25">
      <c r="A331" s="27" t="s">
        <v>1634</v>
      </c>
      <c r="B331" s="46" t="s">
        <v>706</v>
      </c>
      <c r="C331" s="27" t="s">
        <v>90</v>
      </c>
      <c r="D331" s="28">
        <v>3475845691</v>
      </c>
      <c r="E331" s="27"/>
      <c r="F331" s="27" t="s">
        <v>299</v>
      </c>
      <c r="G331" s="29">
        <v>21567</v>
      </c>
      <c r="H331" s="95" t="s">
        <v>1854</v>
      </c>
      <c r="I331" s="27"/>
      <c r="J331" s="52" t="s">
        <v>1112</v>
      </c>
      <c r="K331" s="51">
        <f>IF(Table1[[#This Row],[Preferenza telefono]]="Casa",Table1[[#This Row],[Telefono casa]],IF(Table1[[#This Row],[Preferenza telefono]]="Primario",Table1[[#This Row],[Telefono primario]],"-"))</f>
        <v>3475845691</v>
      </c>
      <c r="L331" s="37" t="s">
        <v>1856</v>
      </c>
      <c r="M331" s="37" t="s">
        <v>1856</v>
      </c>
      <c r="N331" s="35" t="b">
        <f>IF(_xlfn.UNICODE( Table1[[#This Row],[Check]])=9745,TRUE,FALSE)</f>
        <v>0</v>
      </c>
    </row>
    <row r="332" spans="1:14" ht="30" customHeight="1" x14ac:dyDescent="0.25">
      <c r="A332" s="27" t="s">
        <v>1634</v>
      </c>
      <c r="B332" s="42" t="s">
        <v>130</v>
      </c>
      <c r="C332" s="27" t="s">
        <v>131</v>
      </c>
      <c r="D332" s="28">
        <v>3392837449</v>
      </c>
      <c r="E332" s="27"/>
      <c r="F332" s="27" t="s">
        <v>132</v>
      </c>
      <c r="G332" s="29">
        <v>15423</v>
      </c>
      <c r="H332" s="95" t="s">
        <v>1854</v>
      </c>
      <c r="I332" s="27"/>
      <c r="J332" s="52" t="s">
        <v>1112</v>
      </c>
      <c r="K332" s="51">
        <f>IF(Table1[[#This Row],[Preferenza telefono]]="Casa",Table1[[#This Row],[Telefono casa]],IF(Table1[[#This Row],[Preferenza telefono]]="Primario",Table1[[#This Row],[Telefono primario]],"-"))</f>
        <v>3392837449</v>
      </c>
      <c r="L332" s="37" t="s">
        <v>1856</v>
      </c>
      <c r="M332" s="37" t="s">
        <v>1856</v>
      </c>
      <c r="N332" s="35" t="b">
        <f>IF(_xlfn.UNICODE( Table1[[#This Row],[Check]])=9745,TRUE,FALSE)</f>
        <v>0</v>
      </c>
    </row>
    <row r="333" spans="1:14" ht="30" customHeight="1" x14ac:dyDescent="0.25">
      <c r="A333" s="27" t="s">
        <v>1634</v>
      </c>
      <c r="B333" s="42" t="s">
        <v>707</v>
      </c>
      <c r="C333" s="43" t="s">
        <v>708</v>
      </c>
      <c r="D333" s="28">
        <v>3888157100</v>
      </c>
      <c r="E333" s="27"/>
      <c r="F333" s="27" t="s">
        <v>709</v>
      </c>
      <c r="G333" s="29">
        <v>33534</v>
      </c>
      <c r="H333" s="95" t="s">
        <v>1855</v>
      </c>
      <c r="I333" s="27"/>
      <c r="J333" s="52" t="s">
        <v>1112</v>
      </c>
      <c r="K333" s="51">
        <f>IF(Table1[[#This Row],[Preferenza telefono]]="Casa",Table1[[#This Row],[Telefono casa]],IF(Table1[[#This Row],[Preferenza telefono]]="Primario",Table1[[#This Row],[Telefono primario]],"-"))</f>
        <v>3888157100</v>
      </c>
      <c r="L333" s="37" t="s">
        <v>1856</v>
      </c>
      <c r="M333" s="37" t="s">
        <v>1856</v>
      </c>
      <c r="N333" s="35" t="b">
        <f>IF(_xlfn.UNICODE( Table1[[#This Row],[Check]])=9745,TRUE,FALSE)</f>
        <v>0</v>
      </c>
    </row>
    <row r="334" spans="1:14" ht="30" customHeight="1" x14ac:dyDescent="0.25">
      <c r="A334" s="27" t="s">
        <v>1634</v>
      </c>
      <c r="B334" s="42" t="s">
        <v>710</v>
      </c>
      <c r="C334" s="43" t="s">
        <v>93</v>
      </c>
      <c r="D334" s="45">
        <v>3889514722</v>
      </c>
      <c r="E334" s="43"/>
      <c r="F334" s="43" t="s">
        <v>711</v>
      </c>
      <c r="G334" s="44">
        <v>22888</v>
      </c>
      <c r="H334" s="95" t="s">
        <v>1854</v>
      </c>
      <c r="I334" s="43"/>
      <c r="J334" s="52" t="s">
        <v>1112</v>
      </c>
      <c r="K334" s="51">
        <f>IF(Table1[[#This Row],[Preferenza telefono]]="Casa",Table1[[#This Row],[Telefono casa]],IF(Table1[[#This Row],[Preferenza telefono]]="Primario",Table1[[#This Row],[Telefono primario]],"-"))</f>
        <v>3889514722</v>
      </c>
      <c r="L334" s="37" t="s">
        <v>1856</v>
      </c>
      <c r="M334" s="37" t="s">
        <v>1856</v>
      </c>
      <c r="N334" s="35" t="b">
        <f>IF(_xlfn.UNICODE( Table1[[#This Row],[Check]])=9745,TRUE,FALSE)</f>
        <v>0</v>
      </c>
    </row>
    <row r="335" spans="1:14" ht="30" customHeight="1" x14ac:dyDescent="0.25">
      <c r="A335" s="27" t="s">
        <v>1634</v>
      </c>
      <c r="B335" s="42" t="s">
        <v>715</v>
      </c>
      <c r="C335" s="27" t="s">
        <v>716</v>
      </c>
      <c r="D335" s="28"/>
      <c r="E335" s="27"/>
      <c r="F335" s="27"/>
      <c r="G335" s="29">
        <v>20606</v>
      </c>
      <c r="H335" s="95" t="s">
        <v>1854</v>
      </c>
      <c r="I335" s="27"/>
      <c r="J335" s="52" t="s">
        <v>1112</v>
      </c>
      <c r="K335" s="51">
        <f>IF(Table1[[#This Row],[Preferenza telefono]]="Casa",Table1[[#This Row],[Telefono casa]],IF(Table1[[#This Row],[Preferenza telefono]]="Primario",Table1[[#This Row],[Telefono primario]],"-"))</f>
        <v>0</v>
      </c>
      <c r="L335" s="37" t="s">
        <v>1856</v>
      </c>
      <c r="M335" s="37" t="s">
        <v>1856</v>
      </c>
      <c r="N335" s="35" t="b">
        <f>IF(_xlfn.UNICODE( Table1[[#This Row],[Check]])=9745,TRUE,FALSE)</f>
        <v>0</v>
      </c>
    </row>
    <row r="336" spans="1:14" ht="30" customHeight="1" x14ac:dyDescent="0.25">
      <c r="A336" s="27" t="s">
        <v>1634</v>
      </c>
      <c r="B336" s="42" t="s">
        <v>712</v>
      </c>
      <c r="C336" s="43" t="s">
        <v>713</v>
      </c>
      <c r="D336" s="45">
        <v>3898918696</v>
      </c>
      <c r="E336" s="43"/>
      <c r="F336" s="43" t="s">
        <v>714</v>
      </c>
      <c r="G336" s="44">
        <v>32556</v>
      </c>
      <c r="H336" s="95" t="s">
        <v>1855</v>
      </c>
      <c r="I336" s="43"/>
      <c r="J336" s="52" t="s">
        <v>1112</v>
      </c>
      <c r="K336" s="51">
        <f>IF(Table1[[#This Row],[Preferenza telefono]]="Casa",Table1[[#This Row],[Telefono casa]],IF(Table1[[#This Row],[Preferenza telefono]]="Primario",Table1[[#This Row],[Telefono primario]],"-"))</f>
        <v>3898918696</v>
      </c>
      <c r="L336" s="37" t="s">
        <v>1856</v>
      </c>
      <c r="M336" s="37" t="s">
        <v>1856</v>
      </c>
      <c r="N336" s="35" t="b">
        <f>IF(_xlfn.UNICODE( Table1[[#This Row],[Check]])=9745,TRUE,FALSE)</f>
        <v>0</v>
      </c>
    </row>
    <row r="337" spans="1:14" ht="30" customHeight="1" x14ac:dyDescent="0.25">
      <c r="A337" s="27" t="s">
        <v>1634</v>
      </c>
      <c r="B337" s="42" t="s">
        <v>717</v>
      </c>
      <c r="C337" s="27" t="s">
        <v>1</v>
      </c>
      <c r="D337" s="28">
        <v>3356617487</v>
      </c>
      <c r="E337" s="27"/>
      <c r="F337" s="27"/>
      <c r="G337" s="29">
        <v>23618</v>
      </c>
      <c r="H337" s="95" t="s">
        <v>1854</v>
      </c>
      <c r="I337" s="27"/>
      <c r="J337" s="52" t="s">
        <v>1112</v>
      </c>
      <c r="K337" s="51">
        <f>IF(Table1[[#This Row],[Preferenza telefono]]="Casa",Table1[[#This Row],[Telefono casa]],IF(Table1[[#This Row],[Preferenza telefono]]="Primario",Table1[[#This Row],[Telefono primario]],"-"))</f>
        <v>3356617487</v>
      </c>
      <c r="L337" s="37" t="s">
        <v>1856</v>
      </c>
      <c r="M337" s="37" t="s">
        <v>1856</v>
      </c>
      <c r="N337" s="35" t="b">
        <f>IF(_xlfn.UNICODE( Table1[[#This Row],[Check]])=9745,TRUE,FALSE)</f>
        <v>0</v>
      </c>
    </row>
    <row r="338" spans="1:14" ht="30" customHeight="1" x14ac:dyDescent="0.25">
      <c r="A338" s="27" t="s">
        <v>1634</v>
      </c>
      <c r="B338" s="42" t="s">
        <v>1769</v>
      </c>
      <c r="C338" s="43" t="s">
        <v>117</v>
      </c>
      <c r="D338" s="28"/>
      <c r="E338" s="27"/>
      <c r="F338" s="27"/>
      <c r="G338" s="29"/>
      <c r="H338" s="95" t="s">
        <v>1854</v>
      </c>
      <c r="I338" s="27"/>
      <c r="J338" s="52" t="s">
        <v>1112</v>
      </c>
      <c r="K338" s="51">
        <f>IF(Table1[[#This Row],[Preferenza telefono]]="Casa",Table1[[#This Row],[Telefono casa]],IF(Table1[[#This Row],[Preferenza telefono]]="Primario",Table1[[#This Row],[Telefono primario]],"-"))</f>
        <v>0</v>
      </c>
      <c r="L338" s="37" t="s">
        <v>1856</v>
      </c>
      <c r="M338" s="37" t="s">
        <v>1856</v>
      </c>
      <c r="N338" s="35" t="b">
        <f>IF(_xlfn.UNICODE( Table1[[#This Row],[Check]])=9745,TRUE,FALSE)</f>
        <v>0</v>
      </c>
    </row>
    <row r="339" spans="1:14" ht="30" customHeight="1" x14ac:dyDescent="0.25">
      <c r="A339" s="27" t="s">
        <v>1634</v>
      </c>
      <c r="B339" s="47" t="s">
        <v>134</v>
      </c>
      <c r="C339" s="27" t="s">
        <v>135</v>
      </c>
      <c r="D339" s="28">
        <v>3394191530</v>
      </c>
      <c r="E339" s="43" t="s">
        <v>136</v>
      </c>
      <c r="F339" s="27" t="s">
        <v>184</v>
      </c>
      <c r="G339" s="29">
        <v>19488</v>
      </c>
      <c r="H339" s="95" t="s">
        <v>1855</v>
      </c>
      <c r="I339" s="27"/>
      <c r="J339" s="52" t="s">
        <v>1112</v>
      </c>
      <c r="K339" s="51">
        <f>IF(Table1[[#This Row],[Preferenza telefono]]="Casa",Table1[[#This Row],[Telefono casa]],IF(Table1[[#This Row],[Preferenza telefono]]="Primario",Table1[[#This Row],[Telefono primario]],"-"))</f>
        <v>3394191530</v>
      </c>
      <c r="L339" s="37" t="s">
        <v>1856</v>
      </c>
      <c r="M339" s="37" t="s">
        <v>1856</v>
      </c>
      <c r="N339" s="35" t="b">
        <f>IF(_xlfn.UNICODE( Table1[[#This Row],[Check]])=9745,TRUE,FALSE)</f>
        <v>0</v>
      </c>
    </row>
    <row r="340" spans="1:14" ht="30" customHeight="1" x14ac:dyDescent="0.25">
      <c r="A340" s="27" t="s">
        <v>1634</v>
      </c>
      <c r="B340" s="42" t="s">
        <v>1830</v>
      </c>
      <c r="C340" s="27" t="s">
        <v>159</v>
      </c>
      <c r="D340" s="28"/>
      <c r="E340" s="28"/>
      <c r="F340" s="27"/>
      <c r="G340" s="29"/>
      <c r="H340" s="95" t="s">
        <v>1854</v>
      </c>
      <c r="I340" s="101"/>
      <c r="J340" s="52" t="s">
        <v>1112</v>
      </c>
      <c r="K340" s="51">
        <f>IF(Table1[[#This Row],[Preferenza telefono]]="Casa",Table1[[#This Row],[Telefono casa]],IF(Table1[[#This Row],[Preferenza telefono]]="Primario",Table1[[#This Row],[Telefono primario]],"-"))</f>
        <v>0</v>
      </c>
      <c r="L340" s="37" t="s">
        <v>1856</v>
      </c>
      <c r="M340" s="37" t="s">
        <v>1856</v>
      </c>
      <c r="N340" s="35" t="b">
        <f>IF(_xlfn.UNICODE( Table1[[#This Row],[Check]])=9745,TRUE,FALSE)</f>
        <v>0</v>
      </c>
    </row>
    <row r="341" spans="1:14" ht="30" customHeight="1" x14ac:dyDescent="0.25">
      <c r="A341" s="27" t="s">
        <v>1634</v>
      </c>
      <c r="B341" s="42" t="s">
        <v>720</v>
      </c>
      <c r="C341" s="27" t="s">
        <v>1</v>
      </c>
      <c r="D341" s="28">
        <v>3208154499</v>
      </c>
      <c r="E341" s="27"/>
      <c r="F341" s="27" t="s">
        <v>721</v>
      </c>
      <c r="G341" s="29" t="s">
        <v>113</v>
      </c>
      <c r="H341" s="95" t="s">
        <v>1854</v>
      </c>
      <c r="I341" s="27"/>
      <c r="J341" s="52" t="s">
        <v>1112</v>
      </c>
      <c r="K341" s="51">
        <f>IF(Table1[[#This Row],[Preferenza telefono]]="Casa",Table1[[#This Row],[Telefono casa]],IF(Table1[[#This Row],[Preferenza telefono]]="Primario",Table1[[#This Row],[Telefono primario]],"-"))</f>
        <v>3208154499</v>
      </c>
      <c r="L341" s="37" t="s">
        <v>1856</v>
      </c>
      <c r="M341" s="37" t="s">
        <v>1856</v>
      </c>
      <c r="N341" s="35" t="b">
        <f>IF(_xlfn.UNICODE( Table1[[#This Row],[Check]])=9745,TRUE,FALSE)</f>
        <v>0</v>
      </c>
    </row>
    <row r="342" spans="1:14" ht="30" customHeight="1" x14ac:dyDescent="0.25">
      <c r="A342" s="27" t="s">
        <v>1634</v>
      </c>
      <c r="B342" s="42" t="s">
        <v>1677</v>
      </c>
      <c r="C342" s="43" t="s">
        <v>459</v>
      </c>
      <c r="D342" s="28">
        <v>3396011052</v>
      </c>
      <c r="E342" s="27"/>
      <c r="F342" s="43" t="s">
        <v>1678</v>
      </c>
      <c r="G342" s="29" t="s">
        <v>113</v>
      </c>
      <c r="H342" s="95" t="s">
        <v>1855</v>
      </c>
      <c r="I342" s="27"/>
      <c r="J342" s="52" t="s">
        <v>1112</v>
      </c>
      <c r="K342" s="51">
        <f>IF(Table1[[#This Row],[Preferenza telefono]]="Casa",Table1[[#This Row],[Telefono casa]],IF(Table1[[#This Row],[Preferenza telefono]]="Primario",Table1[[#This Row],[Telefono primario]],"-"))</f>
        <v>3396011052</v>
      </c>
      <c r="L342" s="37" t="s">
        <v>1856</v>
      </c>
      <c r="M342" s="37" t="s">
        <v>1856</v>
      </c>
      <c r="N342" s="35" t="b">
        <f>IF(_xlfn.UNICODE( Table1[[#This Row],[Check]])=9745,TRUE,FALSE)</f>
        <v>0</v>
      </c>
    </row>
    <row r="343" spans="1:14" ht="30" customHeight="1" x14ac:dyDescent="0.25">
      <c r="A343" s="27" t="s">
        <v>1634</v>
      </c>
      <c r="B343" s="42" t="s">
        <v>718</v>
      </c>
      <c r="C343" s="43" t="s">
        <v>719</v>
      </c>
      <c r="D343" s="28">
        <v>3279052873</v>
      </c>
      <c r="E343" s="27"/>
      <c r="F343" s="43" t="s">
        <v>718</v>
      </c>
      <c r="G343" s="29">
        <v>32983</v>
      </c>
      <c r="H343" s="95" t="s">
        <v>1854</v>
      </c>
      <c r="I343" s="27"/>
      <c r="J343" s="52" t="s">
        <v>1112</v>
      </c>
      <c r="K343" s="51">
        <f>IF(Table1[[#This Row],[Preferenza telefono]]="Casa",Table1[[#This Row],[Telefono casa]],IF(Table1[[#This Row],[Preferenza telefono]]="Primario",Table1[[#This Row],[Telefono primario]],"-"))</f>
        <v>3279052873</v>
      </c>
      <c r="L343" s="37" t="s">
        <v>1856</v>
      </c>
      <c r="M343" s="37" t="s">
        <v>1856</v>
      </c>
      <c r="N343" s="35" t="b">
        <f>IF(_xlfn.UNICODE( Table1[[#This Row],[Check]])=9745,TRUE,FALSE)</f>
        <v>0</v>
      </c>
    </row>
    <row r="344" spans="1:14" ht="30" customHeight="1" x14ac:dyDescent="0.25">
      <c r="A344" s="27" t="s">
        <v>1634</v>
      </c>
      <c r="B344" s="42" t="s">
        <v>723</v>
      </c>
      <c r="C344" s="27" t="s">
        <v>651</v>
      </c>
      <c r="D344" s="28">
        <v>3357022443</v>
      </c>
      <c r="E344" s="27"/>
      <c r="F344" s="27" t="s">
        <v>724</v>
      </c>
      <c r="G344" s="29" t="s">
        <v>113</v>
      </c>
      <c r="H344" s="95" t="s">
        <v>1854</v>
      </c>
      <c r="I344" s="27"/>
      <c r="J344" s="52" t="s">
        <v>1112</v>
      </c>
      <c r="K344" s="51">
        <f>IF(Table1[[#This Row],[Preferenza telefono]]="Casa",Table1[[#This Row],[Telefono casa]],IF(Table1[[#This Row],[Preferenza telefono]]="Primario",Table1[[#This Row],[Telefono primario]],"-"))</f>
        <v>3357022443</v>
      </c>
      <c r="L344" s="37" t="s">
        <v>1856</v>
      </c>
      <c r="M344" s="37" t="s">
        <v>1856</v>
      </c>
      <c r="N344" s="35" t="b">
        <f>IF(_xlfn.UNICODE( Table1[[#This Row],[Check]])=9745,TRUE,FALSE)</f>
        <v>0</v>
      </c>
    </row>
    <row r="345" spans="1:14" ht="30" customHeight="1" x14ac:dyDescent="0.25">
      <c r="A345" s="27" t="s">
        <v>1634</v>
      </c>
      <c r="B345" s="42" t="s">
        <v>725</v>
      </c>
      <c r="C345" s="27" t="s">
        <v>651</v>
      </c>
      <c r="D345" s="28">
        <v>3357022443</v>
      </c>
      <c r="E345" s="27"/>
      <c r="F345" s="27" t="s">
        <v>724</v>
      </c>
      <c r="G345" s="29" t="s">
        <v>113</v>
      </c>
      <c r="H345" s="95" t="s">
        <v>1855</v>
      </c>
      <c r="I345" s="27"/>
      <c r="J345" s="52" t="s">
        <v>1112</v>
      </c>
      <c r="K345" s="51">
        <f>IF(Table1[[#This Row],[Preferenza telefono]]="Casa",Table1[[#This Row],[Telefono casa]],IF(Table1[[#This Row],[Preferenza telefono]]="Primario",Table1[[#This Row],[Telefono primario]],"-"))</f>
        <v>3357022443</v>
      </c>
      <c r="L345" s="37" t="s">
        <v>1856</v>
      </c>
      <c r="M345" s="37" t="s">
        <v>1856</v>
      </c>
      <c r="N345" s="35" t="b">
        <f>IF(_xlfn.UNICODE( Table1[[#This Row],[Check]])=9745,TRUE,FALSE)</f>
        <v>0</v>
      </c>
    </row>
    <row r="346" spans="1:14" ht="30" customHeight="1" x14ac:dyDescent="0.25">
      <c r="A346" s="27" t="s">
        <v>1634</v>
      </c>
      <c r="B346" s="42" t="s">
        <v>722</v>
      </c>
      <c r="C346" s="27" t="s">
        <v>459</v>
      </c>
      <c r="D346" s="28">
        <v>3281266228</v>
      </c>
      <c r="E346" s="27"/>
      <c r="F346" s="27" t="s">
        <v>631</v>
      </c>
      <c r="G346" s="29" t="s">
        <v>113</v>
      </c>
      <c r="H346" s="95" t="s">
        <v>1854</v>
      </c>
      <c r="I346" s="27"/>
      <c r="J346" s="52" t="s">
        <v>1112</v>
      </c>
      <c r="K346" s="51">
        <f>IF(Table1[[#This Row],[Preferenza telefono]]="Casa",Table1[[#This Row],[Telefono casa]],IF(Table1[[#This Row],[Preferenza telefono]]="Primario",Table1[[#This Row],[Telefono primario]],"-"))</f>
        <v>3281266228</v>
      </c>
      <c r="L346" s="37" t="s">
        <v>1856</v>
      </c>
      <c r="M346" s="37" t="s">
        <v>1856</v>
      </c>
      <c r="N346" s="35" t="b">
        <f>IF(_xlfn.UNICODE( Table1[[#This Row],[Check]])=9745,TRUE,FALSE)</f>
        <v>0</v>
      </c>
    </row>
    <row r="347" spans="1:14" ht="30" customHeight="1" x14ac:dyDescent="0.25">
      <c r="A347" s="27" t="s">
        <v>1634</v>
      </c>
      <c r="B347" s="42" t="s">
        <v>726</v>
      </c>
      <c r="C347" s="27" t="s">
        <v>4</v>
      </c>
      <c r="D347" s="28">
        <v>3393403620</v>
      </c>
      <c r="E347" s="27"/>
      <c r="F347" s="27" t="s">
        <v>572</v>
      </c>
      <c r="G347" s="29" t="s">
        <v>113</v>
      </c>
      <c r="H347" s="95" t="s">
        <v>1854</v>
      </c>
      <c r="I347" s="27"/>
      <c r="J347" s="52" t="s">
        <v>1112</v>
      </c>
      <c r="K347" s="51">
        <f>IF(Table1[[#This Row],[Preferenza telefono]]="Casa",Table1[[#This Row],[Telefono casa]],IF(Table1[[#This Row],[Preferenza telefono]]="Primario",Table1[[#This Row],[Telefono primario]],"-"))</f>
        <v>3393403620</v>
      </c>
      <c r="L347" s="37" t="s">
        <v>1856</v>
      </c>
      <c r="M347" s="37" t="s">
        <v>1856</v>
      </c>
      <c r="N347" s="35" t="b">
        <f>IF(_xlfn.UNICODE( Table1[[#This Row],[Check]])=9745,TRUE,FALSE)</f>
        <v>0</v>
      </c>
    </row>
    <row r="348" spans="1:14" ht="30" customHeight="1" x14ac:dyDescent="0.25">
      <c r="A348" s="27" t="s">
        <v>1634</v>
      </c>
      <c r="B348" s="42" t="s">
        <v>743</v>
      </c>
      <c r="C348" s="27" t="s">
        <v>1</v>
      </c>
      <c r="D348" s="28">
        <v>3454529775</v>
      </c>
      <c r="E348" s="27"/>
      <c r="F348" s="27" t="s">
        <v>411</v>
      </c>
      <c r="G348" s="29">
        <v>25663</v>
      </c>
      <c r="H348" s="95" t="s">
        <v>1855</v>
      </c>
      <c r="I348" s="27"/>
      <c r="J348" s="52" t="s">
        <v>1112</v>
      </c>
      <c r="K348" s="51">
        <f>IF(Table1[[#This Row],[Preferenza telefono]]="Casa",Table1[[#This Row],[Telefono casa]],IF(Table1[[#This Row],[Preferenza telefono]]="Primario",Table1[[#This Row],[Telefono primario]],"-"))</f>
        <v>3454529775</v>
      </c>
      <c r="L348" s="37" t="s">
        <v>1856</v>
      </c>
      <c r="M348" s="37" t="s">
        <v>1856</v>
      </c>
      <c r="N348" s="35" t="b">
        <f>IF(_xlfn.UNICODE( Table1[[#This Row],[Check]])=9745,TRUE,FALSE)</f>
        <v>0</v>
      </c>
    </row>
    <row r="349" spans="1:14" ht="30" customHeight="1" x14ac:dyDescent="0.25">
      <c r="A349" s="27" t="s">
        <v>1634</v>
      </c>
      <c r="B349" s="31" t="s">
        <v>137</v>
      </c>
      <c r="C349" s="27" t="s">
        <v>138</v>
      </c>
      <c r="D349" s="28">
        <v>3339485507</v>
      </c>
      <c r="E349" s="27"/>
      <c r="F349" s="27" t="s">
        <v>139</v>
      </c>
      <c r="G349" s="29" t="s">
        <v>113</v>
      </c>
      <c r="H349" s="95" t="s">
        <v>1854</v>
      </c>
      <c r="I349" s="27"/>
      <c r="J349" s="52" t="s">
        <v>1112</v>
      </c>
      <c r="K349" s="51">
        <f>IF(Table1[[#This Row],[Preferenza telefono]]="Casa",Table1[[#This Row],[Telefono casa]],IF(Table1[[#This Row],[Preferenza telefono]]="Primario",Table1[[#This Row],[Telefono primario]],"-"))</f>
        <v>3339485507</v>
      </c>
      <c r="L349" s="37" t="s">
        <v>1856</v>
      </c>
      <c r="M349" s="37" t="s">
        <v>1856</v>
      </c>
      <c r="N349" s="35" t="b">
        <f>IF(_xlfn.UNICODE( Table1[[#This Row],[Check]])=9745,TRUE,FALSE)</f>
        <v>0</v>
      </c>
    </row>
    <row r="350" spans="1:14" ht="30" customHeight="1" x14ac:dyDescent="0.25">
      <c r="A350" s="27" t="s">
        <v>1634</v>
      </c>
      <c r="B350" s="32" t="s">
        <v>729</v>
      </c>
      <c r="C350" s="27" t="s">
        <v>316</v>
      </c>
      <c r="D350" s="28">
        <v>3478730222</v>
      </c>
      <c r="E350" s="27"/>
      <c r="F350" s="27" t="s">
        <v>730</v>
      </c>
      <c r="G350" s="29">
        <v>24188</v>
      </c>
      <c r="H350" s="95" t="s">
        <v>1854</v>
      </c>
      <c r="I350" s="27"/>
      <c r="J350" s="52" t="s">
        <v>1112</v>
      </c>
      <c r="K350" s="51">
        <f>IF(Table1[[#This Row],[Preferenza telefono]]="Casa",Table1[[#This Row],[Telefono casa]],IF(Table1[[#This Row],[Preferenza telefono]]="Primario",Table1[[#This Row],[Telefono primario]],"-"))</f>
        <v>3478730222</v>
      </c>
      <c r="L350" s="37" t="s">
        <v>1856</v>
      </c>
      <c r="M350" s="37" t="s">
        <v>1856</v>
      </c>
      <c r="N350" s="35" t="b">
        <f>IF(_xlfn.UNICODE( Table1[[#This Row],[Check]])=9745,TRUE,FALSE)</f>
        <v>0</v>
      </c>
    </row>
    <row r="351" spans="1:14" ht="30" customHeight="1" x14ac:dyDescent="0.25">
      <c r="A351" s="27" t="s">
        <v>1634</v>
      </c>
      <c r="B351" s="32" t="s">
        <v>727</v>
      </c>
      <c r="C351" s="27" t="s">
        <v>291</v>
      </c>
      <c r="D351" s="28">
        <v>3394706077</v>
      </c>
      <c r="E351" s="27"/>
      <c r="F351" s="27" t="s">
        <v>728</v>
      </c>
      <c r="G351" s="29">
        <v>24827</v>
      </c>
      <c r="H351" s="95" t="s">
        <v>1855</v>
      </c>
      <c r="I351" s="27"/>
      <c r="J351" s="52" t="s">
        <v>1112</v>
      </c>
      <c r="K351" s="51">
        <f>IF(Table1[[#This Row],[Preferenza telefono]]="Casa",Table1[[#This Row],[Telefono casa]],IF(Table1[[#This Row],[Preferenza telefono]]="Primario",Table1[[#This Row],[Telefono primario]],"-"))</f>
        <v>3394706077</v>
      </c>
      <c r="L351" s="37" t="s">
        <v>1856</v>
      </c>
      <c r="M351" s="37" t="s">
        <v>1856</v>
      </c>
      <c r="N351" s="35" t="b">
        <f>IF(_xlfn.UNICODE( Table1[[#This Row],[Check]])=9745,TRUE,FALSE)</f>
        <v>0</v>
      </c>
    </row>
    <row r="352" spans="1:14" ht="30" customHeight="1" x14ac:dyDescent="0.25">
      <c r="A352" s="27" t="s">
        <v>1634</v>
      </c>
      <c r="B352" s="42" t="s">
        <v>731</v>
      </c>
      <c r="C352" s="27" t="s">
        <v>282</v>
      </c>
      <c r="D352" s="28">
        <v>3896780360</v>
      </c>
      <c r="E352" s="27"/>
      <c r="F352" s="27"/>
      <c r="G352" s="29"/>
      <c r="H352" s="95" t="s">
        <v>1854</v>
      </c>
      <c r="I352" s="27"/>
      <c r="J352" s="52" t="s">
        <v>1112</v>
      </c>
      <c r="K352" s="51">
        <f>IF(Table1[[#This Row],[Preferenza telefono]]="Casa",Table1[[#This Row],[Telefono casa]],IF(Table1[[#This Row],[Preferenza telefono]]="Primario",Table1[[#This Row],[Telefono primario]],"-"))</f>
        <v>3896780360</v>
      </c>
      <c r="L352" s="37" t="s">
        <v>1856</v>
      </c>
      <c r="M352" s="37" t="s">
        <v>1856</v>
      </c>
      <c r="N352" s="35" t="b">
        <f>IF(_xlfn.UNICODE( Table1[[#This Row],[Check]])=9745,TRUE,FALSE)</f>
        <v>0</v>
      </c>
    </row>
    <row r="353" spans="1:14" ht="30" customHeight="1" x14ac:dyDescent="0.25">
      <c r="A353" s="27" t="s">
        <v>1634</v>
      </c>
      <c r="B353" s="42" t="s">
        <v>736</v>
      </c>
      <c r="C353" s="27" t="s">
        <v>459</v>
      </c>
      <c r="D353" s="28">
        <v>3389800492</v>
      </c>
      <c r="E353" s="27"/>
      <c r="F353" s="27" t="s">
        <v>737</v>
      </c>
      <c r="G353" s="29">
        <v>22361</v>
      </c>
      <c r="H353" s="95" t="s">
        <v>1854</v>
      </c>
      <c r="I353" s="27"/>
      <c r="J353" s="52" t="s">
        <v>1112</v>
      </c>
      <c r="K353" s="51">
        <f>IF(Table1[[#This Row],[Preferenza telefono]]="Casa",Table1[[#This Row],[Telefono casa]],IF(Table1[[#This Row],[Preferenza telefono]]="Primario",Table1[[#This Row],[Telefono primario]],"-"))</f>
        <v>3389800492</v>
      </c>
      <c r="L353" s="37" t="s">
        <v>1856</v>
      </c>
      <c r="M353" s="37" t="s">
        <v>1856</v>
      </c>
      <c r="N353" s="35" t="b">
        <f>IF(_xlfn.UNICODE( Table1[[#This Row],[Check]])=9745,TRUE,FALSE)</f>
        <v>0</v>
      </c>
    </row>
    <row r="354" spans="1:14" ht="30" customHeight="1" x14ac:dyDescent="0.25">
      <c r="A354" s="27" t="s">
        <v>1634</v>
      </c>
      <c r="B354" s="31" t="s">
        <v>738</v>
      </c>
      <c r="C354" s="27" t="s">
        <v>241</v>
      </c>
      <c r="D354" s="28">
        <v>3319736870</v>
      </c>
      <c r="E354" s="27"/>
      <c r="F354" s="27" t="s">
        <v>438</v>
      </c>
      <c r="G354" s="29" t="s">
        <v>113</v>
      </c>
      <c r="H354" s="95" t="s">
        <v>1855</v>
      </c>
      <c r="I354" s="27"/>
      <c r="J354" s="52" t="s">
        <v>1112</v>
      </c>
      <c r="K354" s="51">
        <f>IF(Table1[[#This Row],[Preferenza telefono]]="Casa",Table1[[#This Row],[Telefono casa]],IF(Table1[[#This Row],[Preferenza telefono]]="Primario",Table1[[#This Row],[Telefono primario]],"-"))</f>
        <v>3319736870</v>
      </c>
      <c r="L354" s="37" t="s">
        <v>1856</v>
      </c>
      <c r="M354" s="37" t="s">
        <v>1856</v>
      </c>
      <c r="N354" s="35" t="b">
        <f>IF(_xlfn.UNICODE( Table1[[#This Row],[Check]])=9745,TRUE,FALSE)</f>
        <v>0</v>
      </c>
    </row>
    <row r="355" spans="1:14" ht="30" customHeight="1" x14ac:dyDescent="0.25">
      <c r="A355" s="27" t="s">
        <v>1634</v>
      </c>
      <c r="B355" s="42" t="s">
        <v>749</v>
      </c>
      <c r="C355" s="27" t="s">
        <v>147</v>
      </c>
      <c r="D355" s="28">
        <v>3440613036</v>
      </c>
      <c r="E355" s="27"/>
      <c r="F355" s="27" t="s">
        <v>124</v>
      </c>
      <c r="G355" s="29">
        <v>24724</v>
      </c>
      <c r="H355" s="95" t="s">
        <v>1854</v>
      </c>
      <c r="I355" s="27"/>
      <c r="J355" s="52" t="s">
        <v>1112</v>
      </c>
      <c r="K355" s="51">
        <f>IF(Table1[[#This Row],[Preferenza telefono]]="Casa",Table1[[#This Row],[Telefono casa]],IF(Table1[[#This Row],[Preferenza telefono]]="Primario",Table1[[#This Row],[Telefono primario]],"-"))</f>
        <v>3440613036</v>
      </c>
      <c r="L355" s="37" t="s">
        <v>1856</v>
      </c>
      <c r="M355" s="37" t="s">
        <v>1856</v>
      </c>
      <c r="N355" s="35" t="b">
        <f>IF(_xlfn.UNICODE( Table1[[#This Row],[Check]])=9745,TRUE,FALSE)</f>
        <v>0</v>
      </c>
    </row>
    <row r="356" spans="1:14" ht="30" customHeight="1" x14ac:dyDescent="0.25">
      <c r="A356" s="27" t="s">
        <v>1634</v>
      </c>
      <c r="B356" s="42" t="s">
        <v>739</v>
      </c>
      <c r="C356" s="27" t="s">
        <v>1</v>
      </c>
      <c r="D356" s="28">
        <v>3347881724</v>
      </c>
      <c r="E356" s="27"/>
      <c r="F356" s="27" t="s">
        <v>740</v>
      </c>
      <c r="G356" s="29">
        <v>32184</v>
      </c>
      <c r="H356" s="95" t="s">
        <v>1854</v>
      </c>
      <c r="I356" s="27"/>
      <c r="J356" s="52" t="s">
        <v>1112</v>
      </c>
      <c r="K356" s="51">
        <f>IF(Table1[[#This Row],[Preferenza telefono]]="Casa",Table1[[#This Row],[Telefono casa]],IF(Table1[[#This Row],[Preferenza telefono]]="Primario",Table1[[#This Row],[Telefono primario]],"-"))</f>
        <v>3347881724</v>
      </c>
      <c r="L356" s="37" t="s">
        <v>1856</v>
      </c>
      <c r="M356" s="37" t="s">
        <v>1856</v>
      </c>
      <c r="N356" s="35" t="b">
        <f>IF(_xlfn.UNICODE( Table1[[#This Row],[Check]])=9745,TRUE,FALSE)</f>
        <v>0</v>
      </c>
    </row>
    <row r="357" spans="1:14" ht="30" customHeight="1" x14ac:dyDescent="0.25">
      <c r="A357" s="27" t="s">
        <v>1634</v>
      </c>
      <c r="B357" s="42" t="s">
        <v>1721</v>
      </c>
      <c r="C357" s="27" t="s">
        <v>1</v>
      </c>
      <c r="D357" s="28">
        <v>3318189824</v>
      </c>
      <c r="E357" s="27"/>
      <c r="F357" s="27" t="s">
        <v>1722</v>
      </c>
      <c r="G357" s="29" t="s">
        <v>113</v>
      </c>
      <c r="H357" s="95" t="s">
        <v>1855</v>
      </c>
      <c r="I357" s="27"/>
      <c r="J357" s="52" t="s">
        <v>1112</v>
      </c>
      <c r="K357" s="51">
        <f>IF(Table1[[#This Row],[Preferenza telefono]]="Casa",Table1[[#This Row],[Telefono casa]],IF(Table1[[#This Row],[Preferenza telefono]]="Primario",Table1[[#This Row],[Telefono primario]],"-"))</f>
        <v>3318189824</v>
      </c>
      <c r="L357" s="37" t="s">
        <v>1856</v>
      </c>
      <c r="M357" s="37" t="s">
        <v>1856</v>
      </c>
      <c r="N357" s="35" t="b">
        <f>IF(_xlfn.UNICODE( Table1[[#This Row],[Check]])=9745,TRUE,FALSE)</f>
        <v>0</v>
      </c>
    </row>
    <row r="358" spans="1:14" ht="30" customHeight="1" x14ac:dyDescent="0.25">
      <c r="A358" s="27" t="s">
        <v>1634</v>
      </c>
      <c r="B358" s="42" t="s">
        <v>741</v>
      </c>
      <c r="C358" s="27" t="s">
        <v>1</v>
      </c>
      <c r="D358" s="28">
        <v>3493334450</v>
      </c>
      <c r="E358" s="27"/>
      <c r="F358" s="27" t="s">
        <v>742</v>
      </c>
      <c r="G358" s="29">
        <v>29606</v>
      </c>
      <c r="H358" s="95" t="s">
        <v>1854</v>
      </c>
      <c r="I358" s="27"/>
      <c r="J358" s="52" t="s">
        <v>1112</v>
      </c>
      <c r="K358" s="51">
        <f>IF(Table1[[#This Row],[Preferenza telefono]]="Casa",Table1[[#This Row],[Telefono casa]],IF(Table1[[#This Row],[Preferenza telefono]]="Primario",Table1[[#This Row],[Telefono primario]],"-"))</f>
        <v>3493334450</v>
      </c>
      <c r="L358" s="37" t="s">
        <v>1856</v>
      </c>
      <c r="M358" s="37" t="s">
        <v>1856</v>
      </c>
      <c r="N358" s="35" t="b">
        <f>IF(_xlfn.UNICODE( Table1[[#This Row],[Check]])=9745,TRUE,FALSE)</f>
        <v>0</v>
      </c>
    </row>
    <row r="359" spans="1:14" ht="30" customHeight="1" x14ac:dyDescent="0.25">
      <c r="A359" s="27" t="s">
        <v>1634</v>
      </c>
      <c r="B359" s="42" t="s">
        <v>1723</v>
      </c>
      <c r="C359" s="27"/>
      <c r="D359" s="28"/>
      <c r="E359" s="27"/>
      <c r="F359" s="27" t="s">
        <v>1724</v>
      </c>
      <c r="G359" s="29" t="s">
        <v>113</v>
      </c>
      <c r="H359" s="95" t="s">
        <v>1854</v>
      </c>
      <c r="I359" s="27"/>
      <c r="J359" s="52" t="s">
        <v>1112</v>
      </c>
      <c r="K359" s="51">
        <f>IF(Table1[[#This Row],[Preferenza telefono]]="Casa",Table1[[#This Row],[Telefono casa]],IF(Table1[[#This Row],[Preferenza telefono]]="Primario",Table1[[#This Row],[Telefono primario]],"-"))</f>
        <v>0</v>
      </c>
      <c r="L359" s="37" t="s">
        <v>1856</v>
      </c>
      <c r="M359" s="37" t="s">
        <v>1856</v>
      </c>
      <c r="N359" s="35" t="b">
        <f>IF(_xlfn.UNICODE( Table1[[#This Row],[Check]])=9745,TRUE,FALSE)</f>
        <v>0</v>
      </c>
    </row>
    <row r="360" spans="1:14" ht="30" customHeight="1" x14ac:dyDescent="0.25">
      <c r="A360" s="27" t="s">
        <v>1634</v>
      </c>
      <c r="B360" s="42" t="s">
        <v>745</v>
      </c>
      <c r="C360" s="27" t="s">
        <v>193</v>
      </c>
      <c r="D360" s="28">
        <v>3479385841</v>
      </c>
      <c r="E360" s="27"/>
      <c r="F360" s="27" t="s">
        <v>746</v>
      </c>
      <c r="G360" s="29">
        <v>26527</v>
      </c>
      <c r="H360" s="95" t="s">
        <v>1855</v>
      </c>
      <c r="I360" s="27"/>
      <c r="J360" s="52" t="s">
        <v>1112</v>
      </c>
      <c r="K360" s="51">
        <f>IF(Table1[[#This Row],[Preferenza telefono]]="Casa",Table1[[#This Row],[Telefono casa]],IF(Table1[[#This Row],[Preferenza telefono]]="Primario",Table1[[#This Row],[Telefono primario]],"-"))</f>
        <v>3479385841</v>
      </c>
      <c r="L360" s="37" t="s">
        <v>1856</v>
      </c>
      <c r="M360" s="37" t="s">
        <v>1856</v>
      </c>
      <c r="N360" s="35" t="b">
        <f>IF(_xlfn.UNICODE( Table1[[#This Row],[Check]])=9745,TRUE,FALSE)</f>
        <v>0</v>
      </c>
    </row>
    <row r="361" spans="1:14" ht="30" customHeight="1" x14ac:dyDescent="0.25">
      <c r="A361" s="27" t="s">
        <v>1634</v>
      </c>
      <c r="B361" s="42" t="s">
        <v>744</v>
      </c>
      <c r="C361" s="27" t="s">
        <v>123</v>
      </c>
      <c r="D361" s="28">
        <v>3341218316</v>
      </c>
      <c r="E361" s="27"/>
      <c r="F361" s="27" t="s">
        <v>381</v>
      </c>
      <c r="G361" s="29">
        <v>24985</v>
      </c>
      <c r="H361" s="95" t="s">
        <v>1854</v>
      </c>
      <c r="I361" s="27"/>
      <c r="J361" s="52" t="s">
        <v>1112</v>
      </c>
      <c r="K361" s="51">
        <f>IF(Table1[[#This Row],[Preferenza telefono]]="Casa",Table1[[#This Row],[Telefono casa]],IF(Table1[[#This Row],[Preferenza telefono]]="Primario",Table1[[#This Row],[Telefono primario]],"-"))</f>
        <v>3341218316</v>
      </c>
      <c r="L361" s="37" t="s">
        <v>1856</v>
      </c>
      <c r="M361" s="37" t="s">
        <v>1856</v>
      </c>
      <c r="N361" s="35" t="b">
        <f>IF(_xlfn.UNICODE( Table1[[#This Row],[Check]])=9745,TRUE,FALSE)</f>
        <v>0</v>
      </c>
    </row>
    <row r="362" spans="1:14" ht="30" customHeight="1" x14ac:dyDescent="0.25">
      <c r="A362" s="27" t="s">
        <v>1634</v>
      </c>
      <c r="B362" s="42" t="s">
        <v>747</v>
      </c>
      <c r="C362" s="27" t="s">
        <v>342</v>
      </c>
      <c r="D362" s="28" t="s">
        <v>113</v>
      </c>
      <c r="E362" s="27"/>
      <c r="F362" s="27" t="s">
        <v>748</v>
      </c>
      <c r="G362" s="29">
        <v>28962</v>
      </c>
      <c r="H362" s="95" t="s">
        <v>1854</v>
      </c>
      <c r="I362" s="27"/>
      <c r="J362" s="52" t="s">
        <v>1112</v>
      </c>
      <c r="K362" s="51" t="str">
        <f>IF(Table1[[#This Row],[Preferenza telefono]]="Casa",Table1[[#This Row],[Telefono casa]],IF(Table1[[#This Row],[Preferenza telefono]]="Primario",Table1[[#This Row],[Telefono primario]],"-"))</f>
        <v>-</v>
      </c>
      <c r="L362" s="37" t="s">
        <v>1856</v>
      </c>
      <c r="M362" s="37" t="s">
        <v>1856</v>
      </c>
      <c r="N362" s="35" t="b">
        <f>IF(_xlfn.UNICODE( Table1[[#This Row],[Check]])=9745,TRUE,FALSE)</f>
        <v>0</v>
      </c>
    </row>
    <row r="363" spans="1:14" ht="30" customHeight="1" x14ac:dyDescent="0.25">
      <c r="A363" s="27" t="s">
        <v>1634</v>
      </c>
      <c r="B363" s="42" t="s">
        <v>750</v>
      </c>
      <c r="C363" s="27" t="s">
        <v>90</v>
      </c>
      <c r="D363" s="28">
        <v>3393577545</v>
      </c>
      <c r="E363" s="27"/>
      <c r="F363" s="27" t="s">
        <v>104</v>
      </c>
      <c r="G363" s="29">
        <v>18556</v>
      </c>
      <c r="H363" s="95" t="s">
        <v>1855</v>
      </c>
      <c r="I363" s="27"/>
      <c r="J363" s="52" t="s">
        <v>1112</v>
      </c>
      <c r="K363" s="51">
        <f>IF(Table1[[#This Row],[Preferenza telefono]]="Casa",Table1[[#This Row],[Telefono casa]],IF(Table1[[#This Row],[Preferenza telefono]]="Primario",Table1[[#This Row],[Telefono primario]],"-"))</f>
        <v>3393577545</v>
      </c>
      <c r="L363" s="37" t="s">
        <v>1856</v>
      </c>
      <c r="M363" s="37" t="s">
        <v>1856</v>
      </c>
      <c r="N363" s="35" t="b">
        <f>IF(_xlfn.UNICODE( Table1[[#This Row],[Check]])=9745,TRUE,FALSE)</f>
        <v>0</v>
      </c>
    </row>
    <row r="364" spans="1:14" ht="30" customHeight="1" x14ac:dyDescent="0.25">
      <c r="A364" s="27" t="s">
        <v>1634</v>
      </c>
      <c r="B364" s="42" t="s">
        <v>735</v>
      </c>
      <c r="C364" s="27" t="s">
        <v>117</v>
      </c>
      <c r="D364" s="28">
        <v>3347167238</v>
      </c>
      <c r="E364" s="27"/>
      <c r="F364" s="27" t="s">
        <v>118</v>
      </c>
      <c r="G364" s="29">
        <v>30750</v>
      </c>
      <c r="H364" s="95" t="s">
        <v>1854</v>
      </c>
      <c r="I364" s="27"/>
      <c r="J364" s="52" t="s">
        <v>1112</v>
      </c>
      <c r="K364" s="51">
        <f>IF(Table1[[#This Row],[Preferenza telefono]]="Casa",Table1[[#This Row],[Telefono casa]],IF(Table1[[#This Row],[Preferenza telefono]]="Primario",Table1[[#This Row],[Telefono primario]],"-"))</f>
        <v>3347167238</v>
      </c>
      <c r="L364" s="37" t="s">
        <v>1856</v>
      </c>
      <c r="M364" s="37" t="s">
        <v>1856</v>
      </c>
      <c r="N364" s="35" t="b">
        <f>IF(_xlfn.UNICODE( Table1[[#This Row],[Check]])=9745,TRUE,FALSE)</f>
        <v>0</v>
      </c>
    </row>
    <row r="365" spans="1:14" ht="30" customHeight="1" x14ac:dyDescent="0.25">
      <c r="A365" s="27" t="s">
        <v>1634</v>
      </c>
      <c r="B365" s="42" t="s">
        <v>732</v>
      </c>
      <c r="C365" s="27" t="s">
        <v>733</v>
      </c>
      <c r="D365" s="28">
        <v>3889514722</v>
      </c>
      <c r="E365" s="27"/>
      <c r="F365" s="27" t="s">
        <v>734</v>
      </c>
      <c r="G365" s="29">
        <v>31969</v>
      </c>
      <c r="H365" s="95" t="s">
        <v>1854</v>
      </c>
      <c r="I365" s="27"/>
      <c r="J365" s="52" t="s">
        <v>1112</v>
      </c>
      <c r="K365" s="51">
        <f>IF(Table1[[#This Row],[Preferenza telefono]]="Casa",Table1[[#This Row],[Telefono casa]],IF(Table1[[#This Row],[Preferenza telefono]]="Primario",Table1[[#This Row],[Telefono primario]],"-"))</f>
        <v>3889514722</v>
      </c>
      <c r="L365" s="37" t="s">
        <v>1856</v>
      </c>
      <c r="M365" s="37" t="s">
        <v>1856</v>
      </c>
      <c r="N365" s="35" t="b">
        <f>IF(_xlfn.UNICODE( Table1[[#This Row],[Check]])=9745,TRUE,FALSE)</f>
        <v>0</v>
      </c>
    </row>
    <row r="366" spans="1:14" ht="30" customHeight="1" x14ac:dyDescent="0.25">
      <c r="A366" s="27" t="s">
        <v>1634</v>
      </c>
      <c r="B366" s="42" t="s">
        <v>1839</v>
      </c>
      <c r="C366" s="27" t="s">
        <v>1829</v>
      </c>
      <c r="D366" s="28"/>
      <c r="E366" s="28"/>
      <c r="F366" s="27"/>
      <c r="G366" s="29"/>
      <c r="H366" s="95" t="s">
        <v>1855</v>
      </c>
      <c r="I366" s="101"/>
      <c r="J366" s="52" t="s">
        <v>1112</v>
      </c>
      <c r="K366" s="51">
        <f>IF(Table1[[#This Row],[Preferenza telefono]]="Casa",Table1[[#This Row],[Telefono casa]],IF(Table1[[#This Row],[Preferenza telefono]]="Primario",Table1[[#This Row],[Telefono primario]],"-"))</f>
        <v>0</v>
      </c>
      <c r="L366" s="37" t="s">
        <v>1856</v>
      </c>
      <c r="M366" s="37" t="s">
        <v>1856</v>
      </c>
      <c r="N366" s="35" t="b">
        <f>IF(_xlfn.UNICODE( Table1[[#This Row],[Check]])=9745,TRUE,FALSE)</f>
        <v>0</v>
      </c>
    </row>
    <row r="367" spans="1:14" ht="30" customHeight="1" x14ac:dyDescent="0.25">
      <c r="A367" s="27" t="s">
        <v>1634</v>
      </c>
      <c r="B367" s="42" t="s">
        <v>1821</v>
      </c>
      <c r="C367" s="27" t="s">
        <v>1822</v>
      </c>
      <c r="D367" s="28"/>
      <c r="E367" s="28"/>
      <c r="F367" s="27"/>
      <c r="G367" s="29"/>
      <c r="H367" s="95" t="s">
        <v>1854</v>
      </c>
      <c r="I367" s="101"/>
      <c r="J367" s="52" t="s">
        <v>1112</v>
      </c>
      <c r="K367" s="51">
        <f>IF(Table1[[#This Row],[Preferenza telefono]]="Casa",Table1[[#This Row],[Telefono casa]],IF(Table1[[#This Row],[Preferenza telefono]]="Primario",Table1[[#This Row],[Telefono primario]],"-"))</f>
        <v>0</v>
      </c>
      <c r="L367" s="37" t="s">
        <v>1856</v>
      </c>
      <c r="M367" s="37" t="s">
        <v>1856</v>
      </c>
      <c r="N367" s="35" t="b">
        <f>IF(_xlfn.UNICODE( Table1[[#This Row],[Check]])=9745,TRUE,FALSE)</f>
        <v>0</v>
      </c>
    </row>
    <row r="368" spans="1:14" ht="30" customHeight="1" x14ac:dyDescent="0.25">
      <c r="A368" s="27" t="s">
        <v>1634</v>
      </c>
      <c r="B368" s="42" t="s">
        <v>1725</v>
      </c>
      <c r="C368" s="27" t="s">
        <v>1</v>
      </c>
      <c r="D368" s="28"/>
      <c r="E368" s="27"/>
      <c r="F368" s="27" t="s">
        <v>751</v>
      </c>
      <c r="G368" s="29" t="s">
        <v>113</v>
      </c>
      <c r="H368" s="95" t="s">
        <v>1854</v>
      </c>
      <c r="I368" s="27"/>
      <c r="J368" s="52" t="s">
        <v>1112</v>
      </c>
      <c r="K368" s="51">
        <f>IF(Table1[[#This Row],[Preferenza telefono]]="Casa",Table1[[#This Row],[Telefono casa]],IF(Table1[[#This Row],[Preferenza telefono]]="Primario",Table1[[#This Row],[Telefono primario]],"-"))</f>
        <v>0</v>
      </c>
      <c r="L368" s="37" t="s">
        <v>1856</v>
      </c>
      <c r="M368" s="37" t="s">
        <v>1856</v>
      </c>
      <c r="N368" s="35" t="b">
        <f>IF(_xlfn.UNICODE( Table1[[#This Row],[Check]])=9745,TRUE,FALSE)</f>
        <v>0</v>
      </c>
    </row>
    <row r="369" spans="1:14" ht="30" customHeight="1" x14ac:dyDescent="0.25">
      <c r="A369" s="27" t="s">
        <v>1634</v>
      </c>
      <c r="B369" s="42" t="s">
        <v>752</v>
      </c>
      <c r="C369" s="27" t="s">
        <v>103</v>
      </c>
      <c r="D369" s="28">
        <v>3897853320</v>
      </c>
      <c r="E369" s="27"/>
      <c r="F369" s="27" t="s">
        <v>753</v>
      </c>
      <c r="G369" s="29">
        <v>29482</v>
      </c>
      <c r="H369" s="95" t="s">
        <v>1855</v>
      </c>
      <c r="I369" s="27"/>
      <c r="J369" s="52" t="s">
        <v>1112</v>
      </c>
      <c r="K369" s="51">
        <f>IF(Table1[[#This Row],[Preferenza telefono]]="Casa",Table1[[#This Row],[Telefono casa]],IF(Table1[[#This Row],[Preferenza telefono]]="Primario",Table1[[#This Row],[Telefono primario]],"-"))</f>
        <v>3897853320</v>
      </c>
      <c r="L369" s="37" t="s">
        <v>1856</v>
      </c>
      <c r="M369" s="37" t="s">
        <v>1856</v>
      </c>
      <c r="N369" s="35" t="b">
        <f>IF(_xlfn.UNICODE( Table1[[#This Row],[Check]])=9745,TRUE,FALSE)</f>
        <v>0</v>
      </c>
    </row>
    <row r="370" spans="1:14" ht="30" customHeight="1" x14ac:dyDescent="0.25">
      <c r="A370" s="27" t="s">
        <v>1634</v>
      </c>
      <c r="B370" s="42" t="s">
        <v>754</v>
      </c>
      <c r="C370" s="27" t="s">
        <v>291</v>
      </c>
      <c r="D370" s="28">
        <v>3349497146</v>
      </c>
      <c r="E370" s="27"/>
      <c r="F370" s="27" t="s">
        <v>755</v>
      </c>
      <c r="G370" s="29">
        <v>30808</v>
      </c>
      <c r="H370" s="95" t="s">
        <v>1854</v>
      </c>
      <c r="I370" s="27"/>
      <c r="J370" s="52" t="s">
        <v>1112</v>
      </c>
      <c r="K370" s="51">
        <f>IF(Table1[[#This Row],[Preferenza telefono]]="Casa",Table1[[#This Row],[Telefono casa]],IF(Table1[[#This Row],[Preferenza telefono]]="Primario",Table1[[#This Row],[Telefono primario]],"-"))</f>
        <v>3349497146</v>
      </c>
      <c r="L370" s="37" t="s">
        <v>1856</v>
      </c>
      <c r="M370" s="37" t="s">
        <v>1856</v>
      </c>
      <c r="N370" s="35" t="b">
        <f>IF(_xlfn.UNICODE( Table1[[#This Row],[Check]])=9745,TRUE,FALSE)</f>
        <v>0</v>
      </c>
    </row>
    <row r="371" spans="1:14" ht="30" customHeight="1" x14ac:dyDescent="0.25">
      <c r="A371" s="27" t="s">
        <v>1634</v>
      </c>
      <c r="B371" s="42" t="s">
        <v>756</v>
      </c>
      <c r="C371" s="27" t="s">
        <v>103</v>
      </c>
      <c r="D371" s="28">
        <v>3341956166</v>
      </c>
      <c r="E371" s="27"/>
      <c r="F371" s="27" t="s">
        <v>757</v>
      </c>
      <c r="G371" s="29" t="s">
        <v>113</v>
      </c>
      <c r="H371" s="95" t="s">
        <v>1854</v>
      </c>
      <c r="I371" s="27"/>
      <c r="J371" s="52" t="s">
        <v>1112</v>
      </c>
      <c r="K371" s="51">
        <f>IF(Table1[[#This Row],[Preferenza telefono]]="Casa",Table1[[#This Row],[Telefono casa]],IF(Table1[[#This Row],[Preferenza telefono]]="Primario",Table1[[#This Row],[Telefono primario]],"-"))</f>
        <v>3341956166</v>
      </c>
      <c r="L371" s="37" t="s">
        <v>1856</v>
      </c>
      <c r="M371" s="37" t="s">
        <v>1856</v>
      </c>
      <c r="N371" s="35" t="b">
        <f>IF(_xlfn.UNICODE( Table1[[#This Row],[Check]])=9745,TRUE,FALSE)</f>
        <v>0</v>
      </c>
    </row>
    <row r="372" spans="1:14" ht="30" customHeight="1" x14ac:dyDescent="0.25">
      <c r="A372" s="27" t="s">
        <v>1634</v>
      </c>
      <c r="B372" s="42" t="s">
        <v>397</v>
      </c>
      <c r="C372" s="27" t="s">
        <v>103</v>
      </c>
      <c r="D372" s="28">
        <v>3488624795</v>
      </c>
      <c r="E372" s="27"/>
      <c r="F372" s="27" t="s">
        <v>397</v>
      </c>
      <c r="G372" s="29">
        <v>24517</v>
      </c>
      <c r="H372" s="95" t="s">
        <v>1855</v>
      </c>
      <c r="I372" s="27"/>
      <c r="J372" s="52" t="s">
        <v>1112</v>
      </c>
      <c r="K372" s="51">
        <f>IF(Table1[[#This Row],[Preferenza telefono]]="Casa",Table1[[#This Row],[Telefono casa]],IF(Table1[[#This Row],[Preferenza telefono]]="Primario",Table1[[#This Row],[Telefono primario]],"-"))</f>
        <v>3488624795</v>
      </c>
      <c r="L372" s="37" t="s">
        <v>1856</v>
      </c>
      <c r="M372" s="37" t="s">
        <v>1856</v>
      </c>
      <c r="N372" s="35" t="b">
        <f>IF(_xlfn.UNICODE( Table1[[#This Row],[Check]])=9745,TRUE,FALSE)</f>
        <v>0</v>
      </c>
    </row>
    <row r="373" spans="1:14" ht="30" customHeight="1" x14ac:dyDescent="0.25">
      <c r="A373" s="27" t="s">
        <v>1634</v>
      </c>
      <c r="B373" s="42" t="s">
        <v>760</v>
      </c>
      <c r="C373" s="27" t="s">
        <v>103</v>
      </c>
      <c r="D373" s="28">
        <v>3488624795</v>
      </c>
      <c r="E373" s="27"/>
      <c r="F373" s="27" t="s">
        <v>397</v>
      </c>
      <c r="G373" s="29" t="s">
        <v>113</v>
      </c>
      <c r="H373" s="95" t="s">
        <v>1854</v>
      </c>
      <c r="I373" s="27"/>
      <c r="J373" s="52" t="s">
        <v>1112</v>
      </c>
      <c r="K373" s="51">
        <f>IF(Table1[[#This Row],[Preferenza telefono]]="Casa",Table1[[#This Row],[Telefono casa]],IF(Table1[[#This Row],[Preferenza telefono]]="Primario",Table1[[#This Row],[Telefono primario]],"-"))</f>
        <v>3488624795</v>
      </c>
      <c r="L373" s="37" t="s">
        <v>1856</v>
      </c>
      <c r="M373" s="37" t="s">
        <v>1856</v>
      </c>
      <c r="N373" s="35" t="b">
        <f>IF(_xlfn.UNICODE( Table1[[#This Row],[Check]])=9745,TRUE,FALSE)</f>
        <v>0</v>
      </c>
    </row>
    <row r="374" spans="1:14" ht="30" customHeight="1" x14ac:dyDescent="0.25">
      <c r="A374" s="27" t="s">
        <v>1634</v>
      </c>
      <c r="B374" s="42" t="s">
        <v>758</v>
      </c>
      <c r="C374" s="43" t="s">
        <v>159</v>
      </c>
      <c r="D374" s="28"/>
      <c r="E374" s="27"/>
      <c r="F374" s="27"/>
      <c r="G374" s="44" t="s">
        <v>113</v>
      </c>
      <c r="H374" s="95" t="s">
        <v>1854</v>
      </c>
      <c r="I374" s="27"/>
      <c r="J374" s="52" t="s">
        <v>1112</v>
      </c>
      <c r="K374" s="51">
        <f>IF(Table1[[#This Row],[Preferenza telefono]]="Casa",Table1[[#This Row],[Telefono casa]],IF(Table1[[#This Row],[Preferenza telefono]]="Primario",Table1[[#This Row],[Telefono primario]],"-"))</f>
        <v>0</v>
      </c>
      <c r="L374" s="37" t="s">
        <v>1856</v>
      </c>
      <c r="M374" s="37" t="s">
        <v>1856</v>
      </c>
      <c r="N374" s="35" t="b">
        <f>IF(_xlfn.UNICODE( Table1[[#This Row],[Check]])=9745,TRUE,FALSE)</f>
        <v>0</v>
      </c>
    </row>
    <row r="375" spans="1:14" ht="30" customHeight="1" x14ac:dyDescent="0.25">
      <c r="A375" s="27" t="s">
        <v>1634</v>
      </c>
      <c r="B375" s="42" t="s">
        <v>759</v>
      </c>
      <c r="C375" s="27"/>
      <c r="D375" s="28"/>
      <c r="E375" s="27"/>
      <c r="F375" s="27"/>
      <c r="G375" s="29"/>
      <c r="H375" s="95" t="s">
        <v>1855</v>
      </c>
      <c r="I375" s="27"/>
      <c r="J375" s="52" t="s">
        <v>1112</v>
      </c>
      <c r="K375" s="51">
        <f>IF(Table1[[#This Row],[Preferenza telefono]]="Casa",Table1[[#This Row],[Telefono casa]],IF(Table1[[#This Row],[Preferenza telefono]]="Primario",Table1[[#This Row],[Telefono primario]],"-"))</f>
        <v>0</v>
      </c>
      <c r="L375" s="37" t="s">
        <v>1856</v>
      </c>
      <c r="M375" s="37" t="s">
        <v>1856</v>
      </c>
      <c r="N375" s="35" t="b">
        <f>IF(_xlfn.UNICODE( Table1[[#This Row],[Check]])=9745,TRUE,FALSE)</f>
        <v>0</v>
      </c>
    </row>
    <row r="376" spans="1:14" ht="30" customHeight="1" x14ac:dyDescent="0.25">
      <c r="A376" s="27" t="s">
        <v>1634</v>
      </c>
      <c r="B376" s="47" t="s">
        <v>761</v>
      </c>
      <c r="C376" s="27" t="s">
        <v>4</v>
      </c>
      <c r="D376" s="28">
        <v>3391399801</v>
      </c>
      <c r="E376" s="27"/>
      <c r="F376" s="27" t="s">
        <v>259</v>
      </c>
      <c r="G376" s="29">
        <v>23522</v>
      </c>
      <c r="H376" s="95" t="s">
        <v>1854</v>
      </c>
      <c r="I376" s="27"/>
      <c r="J376" s="52" t="s">
        <v>1112</v>
      </c>
      <c r="K376" s="51">
        <f>IF(Table1[[#This Row],[Preferenza telefono]]="Casa",Table1[[#This Row],[Telefono casa]],IF(Table1[[#This Row],[Preferenza telefono]]="Primario",Table1[[#This Row],[Telefono primario]],"-"))</f>
        <v>3391399801</v>
      </c>
      <c r="L376" s="37" t="s">
        <v>1856</v>
      </c>
      <c r="M376" s="37" t="s">
        <v>1856</v>
      </c>
      <c r="N376" s="35" t="b">
        <f>IF(_xlfn.UNICODE( Table1[[#This Row],[Check]])=9745,TRUE,FALSE)</f>
        <v>0</v>
      </c>
    </row>
    <row r="377" spans="1:14" ht="30" customHeight="1" x14ac:dyDescent="0.25">
      <c r="A377" s="27" t="s">
        <v>1634</v>
      </c>
      <c r="B377" s="42" t="s">
        <v>772</v>
      </c>
      <c r="C377" s="27" t="s">
        <v>106</v>
      </c>
      <c r="D377" s="28">
        <v>3466839841</v>
      </c>
      <c r="E377" s="27"/>
      <c r="F377" s="27" t="s">
        <v>773</v>
      </c>
      <c r="G377" s="29">
        <v>20252</v>
      </c>
      <c r="H377" s="95" t="s">
        <v>1854</v>
      </c>
      <c r="I377" s="27" t="s">
        <v>774</v>
      </c>
      <c r="J377" s="52" t="s">
        <v>1112</v>
      </c>
      <c r="K377" s="51">
        <f>IF(Table1[[#This Row],[Preferenza telefono]]="Casa",Table1[[#This Row],[Telefono casa]],IF(Table1[[#This Row],[Preferenza telefono]]="Primario",Table1[[#This Row],[Telefono primario]],"-"))</f>
        <v>3466839841</v>
      </c>
      <c r="L377" s="37" t="s">
        <v>1856</v>
      </c>
      <c r="M377" s="37" t="s">
        <v>1856</v>
      </c>
      <c r="N377" s="35" t="b">
        <f>IF(_xlfn.UNICODE( Table1[[#This Row],[Check]])=9745,TRUE,FALSE)</f>
        <v>0</v>
      </c>
    </row>
    <row r="378" spans="1:14" ht="30" customHeight="1" x14ac:dyDescent="0.25">
      <c r="A378" s="27" t="s">
        <v>1634</v>
      </c>
      <c r="B378" s="42" t="s">
        <v>775</v>
      </c>
      <c r="C378" s="27" t="s">
        <v>106</v>
      </c>
      <c r="D378" s="28">
        <v>3338845106</v>
      </c>
      <c r="E378" s="27"/>
      <c r="F378" s="27" t="s">
        <v>776</v>
      </c>
      <c r="G378" s="29">
        <v>32872</v>
      </c>
      <c r="H378" s="95" t="s">
        <v>1855</v>
      </c>
      <c r="I378" s="27" t="s">
        <v>777</v>
      </c>
      <c r="J378" s="52" t="s">
        <v>1112</v>
      </c>
      <c r="K378" s="51">
        <f>IF(Table1[[#This Row],[Preferenza telefono]]="Casa",Table1[[#This Row],[Telefono casa]],IF(Table1[[#This Row],[Preferenza telefono]]="Primario",Table1[[#This Row],[Telefono primario]],"-"))</f>
        <v>3338845106</v>
      </c>
      <c r="L378" s="37" t="s">
        <v>1856</v>
      </c>
      <c r="M378" s="37" t="s">
        <v>1856</v>
      </c>
      <c r="N378" s="35" t="b">
        <f>IF(_xlfn.UNICODE( Table1[[#This Row],[Check]])=9745,TRUE,FALSE)</f>
        <v>0</v>
      </c>
    </row>
    <row r="379" spans="1:14" ht="30" customHeight="1" x14ac:dyDescent="0.25">
      <c r="A379" s="27" t="s">
        <v>1634</v>
      </c>
      <c r="B379" s="42" t="s">
        <v>762</v>
      </c>
      <c r="C379" s="27"/>
      <c r="D379" s="28"/>
      <c r="E379" s="27"/>
      <c r="F379" s="27"/>
      <c r="G379" s="29"/>
      <c r="H379" s="95" t="s">
        <v>1854</v>
      </c>
      <c r="I379" s="27"/>
      <c r="J379" s="52" t="s">
        <v>1112</v>
      </c>
      <c r="K379" s="51">
        <f>IF(Table1[[#This Row],[Preferenza telefono]]="Casa",Table1[[#This Row],[Telefono casa]],IF(Table1[[#This Row],[Preferenza telefono]]="Primario",Table1[[#This Row],[Telefono primario]],"-"))</f>
        <v>0</v>
      </c>
      <c r="L379" s="37" t="s">
        <v>1856</v>
      </c>
      <c r="M379" s="37" t="s">
        <v>1856</v>
      </c>
      <c r="N379" s="35" t="b">
        <f>IF(_xlfn.UNICODE( Table1[[#This Row],[Check]])=9745,TRUE,FALSE)</f>
        <v>0</v>
      </c>
    </row>
    <row r="380" spans="1:14" ht="30" customHeight="1" x14ac:dyDescent="0.25">
      <c r="A380" s="27" t="s">
        <v>1634</v>
      </c>
      <c r="B380" s="42" t="s">
        <v>763</v>
      </c>
      <c r="C380" s="27"/>
      <c r="D380" s="28"/>
      <c r="E380" s="27"/>
      <c r="F380" s="27"/>
      <c r="G380" s="29"/>
      <c r="H380" s="95" t="s">
        <v>1854</v>
      </c>
      <c r="I380" s="27"/>
      <c r="J380" s="52" t="s">
        <v>1112</v>
      </c>
      <c r="K380" s="51">
        <f>IF(Table1[[#This Row],[Preferenza telefono]]="Casa",Table1[[#This Row],[Telefono casa]],IF(Table1[[#This Row],[Preferenza telefono]]="Primario",Table1[[#This Row],[Telefono primario]],"-"))</f>
        <v>0</v>
      </c>
      <c r="L380" s="37" t="s">
        <v>1856</v>
      </c>
      <c r="M380" s="37" t="s">
        <v>1856</v>
      </c>
      <c r="N380" s="35" t="b">
        <f>IF(_xlfn.UNICODE( Table1[[#This Row],[Check]])=9745,TRUE,FALSE)</f>
        <v>0</v>
      </c>
    </row>
    <row r="381" spans="1:14" ht="30" customHeight="1" x14ac:dyDescent="0.25">
      <c r="A381" s="27" t="s">
        <v>1634</v>
      </c>
      <c r="B381" s="42" t="s">
        <v>764</v>
      </c>
      <c r="C381" s="27" t="s">
        <v>4</v>
      </c>
      <c r="D381" s="28">
        <v>3480142323</v>
      </c>
      <c r="E381" s="27"/>
      <c r="F381" s="27" t="s">
        <v>765</v>
      </c>
      <c r="G381" s="29">
        <v>23801</v>
      </c>
      <c r="H381" s="95" t="s">
        <v>1855</v>
      </c>
      <c r="I381" s="27"/>
      <c r="J381" s="52" t="s">
        <v>1112</v>
      </c>
      <c r="K381" s="51">
        <f>IF(Table1[[#This Row],[Preferenza telefono]]="Casa",Table1[[#This Row],[Telefono casa]],IF(Table1[[#This Row],[Preferenza telefono]]="Primario",Table1[[#This Row],[Telefono primario]],"-"))</f>
        <v>3480142323</v>
      </c>
      <c r="L381" s="37" t="s">
        <v>1856</v>
      </c>
      <c r="M381" s="37" t="s">
        <v>1856</v>
      </c>
      <c r="N381" s="35" t="b">
        <f>IF(_xlfn.UNICODE( Table1[[#This Row],[Check]])=9745,TRUE,FALSE)</f>
        <v>0</v>
      </c>
    </row>
    <row r="382" spans="1:14" ht="30" customHeight="1" x14ac:dyDescent="0.25">
      <c r="A382" s="27" t="s">
        <v>1634</v>
      </c>
      <c r="B382" s="42" t="s">
        <v>766</v>
      </c>
      <c r="C382" s="27" t="s">
        <v>767</v>
      </c>
      <c r="D382" s="28">
        <v>3423588747</v>
      </c>
      <c r="E382" s="27"/>
      <c r="F382" s="27" t="s">
        <v>768</v>
      </c>
      <c r="G382" s="29">
        <v>33741</v>
      </c>
      <c r="H382" s="95" t="s">
        <v>1854</v>
      </c>
      <c r="I382" s="27"/>
      <c r="J382" s="52" t="s">
        <v>1112</v>
      </c>
      <c r="K382" s="51">
        <f>IF(Table1[[#This Row],[Preferenza telefono]]="Casa",Table1[[#This Row],[Telefono casa]],IF(Table1[[#This Row],[Preferenza telefono]]="Primario",Table1[[#This Row],[Telefono primario]],"-"))</f>
        <v>3423588747</v>
      </c>
      <c r="L382" s="37" t="s">
        <v>1856</v>
      </c>
      <c r="M382" s="37" t="s">
        <v>1856</v>
      </c>
      <c r="N382" s="35" t="b">
        <f>IF(_xlfn.UNICODE( Table1[[#This Row],[Check]])=9745,TRUE,FALSE)</f>
        <v>0</v>
      </c>
    </row>
    <row r="383" spans="1:14" ht="30" customHeight="1" x14ac:dyDescent="0.25">
      <c r="A383" s="27" t="s">
        <v>1634</v>
      </c>
      <c r="B383" s="42" t="s">
        <v>771</v>
      </c>
      <c r="C383" s="27"/>
      <c r="D383" s="28"/>
      <c r="E383" s="27"/>
      <c r="F383" s="27"/>
      <c r="G383" s="29"/>
      <c r="H383" s="95" t="s">
        <v>1854</v>
      </c>
      <c r="I383" s="27"/>
      <c r="J383" s="52" t="s">
        <v>1112</v>
      </c>
      <c r="K383" s="51">
        <f>IF(Table1[[#This Row],[Preferenza telefono]]="Casa",Table1[[#This Row],[Telefono casa]],IF(Table1[[#This Row],[Preferenza telefono]]="Primario",Table1[[#This Row],[Telefono primario]],"-"))</f>
        <v>0</v>
      </c>
      <c r="L383" s="37" t="s">
        <v>1856</v>
      </c>
      <c r="M383" s="37" t="s">
        <v>1856</v>
      </c>
      <c r="N383" s="35" t="b">
        <f>IF(_xlfn.UNICODE( Table1[[#This Row],[Check]])=9745,TRUE,FALSE)</f>
        <v>0</v>
      </c>
    </row>
    <row r="384" spans="1:14" ht="30" customHeight="1" x14ac:dyDescent="0.25">
      <c r="A384" s="27" t="s">
        <v>1634</v>
      </c>
      <c r="B384" s="42" t="s">
        <v>1681</v>
      </c>
      <c r="C384" s="27" t="s">
        <v>342</v>
      </c>
      <c r="D384" s="28">
        <v>3346101395</v>
      </c>
      <c r="E384" s="27">
        <v>3294752711</v>
      </c>
      <c r="F384" s="27" t="s">
        <v>107</v>
      </c>
      <c r="G384" s="29" t="s">
        <v>113</v>
      </c>
      <c r="H384" s="95" t="s">
        <v>1855</v>
      </c>
      <c r="I384" s="27"/>
      <c r="J384" s="52" t="s">
        <v>1112</v>
      </c>
      <c r="K384" s="51">
        <f>IF(Table1[[#This Row],[Preferenza telefono]]="Casa",Table1[[#This Row],[Telefono casa]],IF(Table1[[#This Row],[Preferenza telefono]]="Primario",Table1[[#This Row],[Telefono primario]],"-"))</f>
        <v>3346101395</v>
      </c>
      <c r="L384" s="37" t="s">
        <v>1856</v>
      </c>
      <c r="M384" s="37" t="s">
        <v>1856</v>
      </c>
      <c r="N384" s="35" t="b">
        <f>IF(_xlfn.UNICODE( Table1[[#This Row],[Check]])=9745,TRUE,FALSE)</f>
        <v>0</v>
      </c>
    </row>
    <row r="385" spans="1:14" ht="30" customHeight="1" x14ac:dyDescent="0.25">
      <c r="A385" s="27" t="s">
        <v>1634</v>
      </c>
      <c r="B385" s="42" t="s">
        <v>1679</v>
      </c>
      <c r="C385" s="27" t="s">
        <v>103</v>
      </c>
      <c r="D385" s="28">
        <v>3339237720</v>
      </c>
      <c r="E385" s="27"/>
      <c r="F385" s="27" t="s">
        <v>1680</v>
      </c>
      <c r="G385" s="29">
        <v>33804</v>
      </c>
      <c r="H385" s="95" t="s">
        <v>1854</v>
      </c>
      <c r="I385" s="27"/>
      <c r="J385" s="52" t="s">
        <v>1112</v>
      </c>
      <c r="K385" s="51">
        <f>IF(Table1[[#This Row],[Preferenza telefono]]="Casa",Table1[[#This Row],[Telefono casa]],IF(Table1[[#This Row],[Preferenza telefono]]="Primario",Table1[[#This Row],[Telefono primario]],"-"))</f>
        <v>3339237720</v>
      </c>
      <c r="L385" s="37" t="s">
        <v>1856</v>
      </c>
      <c r="M385" s="37" t="s">
        <v>1856</v>
      </c>
      <c r="N385" s="35" t="b">
        <f>IF(_xlfn.UNICODE( Table1[[#This Row],[Check]])=9745,TRUE,FALSE)</f>
        <v>0</v>
      </c>
    </row>
    <row r="386" spans="1:14" ht="30" customHeight="1" x14ac:dyDescent="0.25">
      <c r="A386" s="27" t="s">
        <v>1634</v>
      </c>
      <c r="B386" s="42" t="s">
        <v>769</v>
      </c>
      <c r="C386" s="27" t="s">
        <v>103</v>
      </c>
      <c r="D386" s="28">
        <v>3395009638</v>
      </c>
      <c r="E386" s="27"/>
      <c r="F386" s="27" t="s">
        <v>770</v>
      </c>
      <c r="G386" s="29"/>
      <c r="H386" s="95" t="s">
        <v>1854</v>
      </c>
      <c r="I386" s="27"/>
      <c r="J386" s="52" t="s">
        <v>1112</v>
      </c>
      <c r="K386" s="51">
        <f>IF(Table1[[#This Row],[Preferenza telefono]]="Casa",Table1[[#This Row],[Telefono casa]],IF(Table1[[#This Row],[Preferenza telefono]]="Primario",Table1[[#This Row],[Telefono primario]],"-"))</f>
        <v>3395009638</v>
      </c>
      <c r="L386" s="37" t="s">
        <v>1856</v>
      </c>
      <c r="M386" s="37" t="s">
        <v>1856</v>
      </c>
      <c r="N386" s="35" t="b">
        <f>IF(_xlfn.UNICODE( Table1[[#This Row],[Check]])=9745,TRUE,FALSE)</f>
        <v>0</v>
      </c>
    </row>
    <row r="387" spans="1:14" ht="30" customHeight="1" x14ac:dyDescent="0.25">
      <c r="A387" s="27" t="s">
        <v>1634</v>
      </c>
      <c r="B387" s="42" t="s">
        <v>1726</v>
      </c>
      <c r="C387" s="27" t="s">
        <v>1</v>
      </c>
      <c r="D387" s="28">
        <v>3318189824</v>
      </c>
      <c r="E387" s="27"/>
      <c r="F387" s="27" t="s">
        <v>1722</v>
      </c>
      <c r="G387" s="29">
        <v>19624</v>
      </c>
      <c r="H387" s="95" t="s">
        <v>1855</v>
      </c>
      <c r="I387" s="27"/>
      <c r="J387" s="52" t="s">
        <v>1112</v>
      </c>
      <c r="K387" s="51">
        <f>IF(Table1[[#This Row],[Preferenza telefono]]="Casa",Table1[[#This Row],[Telefono casa]],IF(Table1[[#This Row],[Preferenza telefono]]="Primario",Table1[[#This Row],[Telefono primario]],"-"))</f>
        <v>3318189824</v>
      </c>
      <c r="L387" s="37" t="s">
        <v>1856</v>
      </c>
      <c r="M387" s="37" t="s">
        <v>1856</v>
      </c>
      <c r="N387" s="35" t="b">
        <f>IF(_xlfn.UNICODE( Table1[[#This Row],[Check]])=9745,TRUE,FALSE)</f>
        <v>0</v>
      </c>
    </row>
    <row r="388" spans="1:14" ht="30" customHeight="1" x14ac:dyDescent="0.25">
      <c r="A388" s="27" t="s">
        <v>1634</v>
      </c>
      <c r="B388" s="42" t="s">
        <v>778</v>
      </c>
      <c r="C388" s="27" t="s">
        <v>1</v>
      </c>
      <c r="D388" s="28">
        <v>3315054306</v>
      </c>
      <c r="E388" s="27">
        <v>3347263876</v>
      </c>
      <c r="F388" s="27" t="s">
        <v>779</v>
      </c>
      <c r="G388" s="29" t="s">
        <v>113</v>
      </c>
      <c r="H388" s="95" t="s">
        <v>1854</v>
      </c>
      <c r="I388" s="27"/>
      <c r="J388" s="52" t="s">
        <v>1112</v>
      </c>
      <c r="K388" s="51">
        <f>IF(Table1[[#This Row],[Preferenza telefono]]="Casa",Table1[[#This Row],[Telefono casa]],IF(Table1[[#This Row],[Preferenza telefono]]="Primario",Table1[[#This Row],[Telefono primario]],"-"))</f>
        <v>3315054306</v>
      </c>
      <c r="L388" s="37" t="s">
        <v>1856</v>
      </c>
      <c r="M388" s="37" t="s">
        <v>1856</v>
      </c>
      <c r="N388" s="35" t="b">
        <f>IF(_xlfn.UNICODE( Table1[[#This Row],[Check]])=9745,TRUE,FALSE)</f>
        <v>0</v>
      </c>
    </row>
    <row r="389" spans="1:14" ht="30" customHeight="1" x14ac:dyDescent="0.25">
      <c r="A389" s="27" t="s">
        <v>1634</v>
      </c>
      <c r="B389" s="42" t="s">
        <v>780</v>
      </c>
      <c r="C389" s="27" t="s">
        <v>1</v>
      </c>
      <c r="D389" s="28">
        <v>3392140776</v>
      </c>
      <c r="E389" s="27"/>
      <c r="F389" s="27" t="s">
        <v>781</v>
      </c>
      <c r="G389" s="29">
        <v>33109</v>
      </c>
      <c r="H389" s="95" t="s">
        <v>1854</v>
      </c>
      <c r="I389" s="27"/>
      <c r="J389" s="52" t="s">
        <v>1112</v>
      </c>
      <c r="K389" s="51">
        <f>IF(Table1[[#This Row],[Preferenza telefono]]="Casa",Table1[[#This Row],[Telefono casa]],IF(Table1[[#This Row],[Preferenza telefono]]="Primario",Table1[[#This Row],[Telefono primario]],"-"))</f>
        <v>3392140776</v>
      </c>
      <c r="L389" s="37" t="s">
        <v>1856</v>
      </c>
      <c r="M389" s="37" t="s">
        <v>1856</v>
      </c>
      <c r="N389" s="35" t="b">
        <f>IF(_xlfn.UNICODE( Table1[[#This Row],[Check]])=9745,TRUE,FALSE)</f>
        <v>0</v>
      </c>
    </row>
    <row r="390" spans="1:14" ht="30" customHeight="1" x14ac:dyDescent="0.25">
      <c r="A390" s="27" t="s">
        <v>1634</v>
      </c>
      <c r="B390" s="42" t="s">
        <v>782</v>
      </c>
      <c r="C390" s="27" t="s">
        <v>103</v>
      </c>
      <c r="D390" s="28">
        <v>3313007456</v>
      </c>
      <c r="E390" s="27"/>
      <c r="F390" s="27" t="s">
        <v>783</v>
      </c>
      <c r="G390" s="29">
        <v>22687</v>
      </c>
      <c r="H390" s="95" t="s">
        <v>1855</v>
      </c>
      <c r="I390" s="27"/>
      <c r="J390" s="52" t="s">
        <v>1112</v>
      </c>
      <c r="K390" s="51">
        <f>IF(Table1[[#This Row],[Preferenza telefono]]="Casa",Table1[[#This Row],[Telefono casa]],IF(Table1[[#This Row],[Preferenza telefono]]="Primario",Table1[[#This Row],[Telefono primario]],"-"))</f>
        <v>3313007456</v>
      </c>
      <c r="L390" s="37" t="s">
        <v>1856</v>
      </c>
      <c r="M390" s="37" t="s">
        <v>1856</v>
      </c>
      <c r="N390" s="35" t="b">
        <f>IF(_xlfn.UNICODE( Table1[[#This Row],[Check]])=9745,TRUE,FALSE)</f>
        <v>0</v>
      </c>
    </row>
    <row r="391" spans="1:14" ht="30" customHeight="1" x14ac:dyDescent="0.25">
      <c r="A391" s="27" t="s">
        <v>1634</v>
      </c>
      <c r="B391" s="42" t="s">
        <v>784</v>
      </c>
      <c r="C391" s="27" t="s">
        <v>249</v>
      </c>
      <c r="D391" s="28">
        <v>3881414438</v>
      </c>
      <c r="E391" s="27"/>
      <c r="F391" s="27" t="s">
        <v>785</v>
      </c>
      <c r="G391" s="29">
        <v>31852</v>
      </c>
      <c r="H391" s="95" t="s">
        <v>1854</v>
      </c>
      <c r="I391" s="27"/>
      <c r="J391" s="52" t="s">
        <v>1112</v>
      </c>
      <c r="K391" s="51">
        <f>IF(Table1[[#This Row],[Preferenza telefono]]="Casa",Table1[[#This Row],[Telefono casa]],IF(Table1[[#This Row],[Preferenza telefono]]="Primario",Table1[[#This Row],[Telefono primario]],"-"))</f>
        <v>3881414438</v>
      </c>
      <c r="L391" s="37" t="s">
        <v>1856</v>
      </c>
      <c r="M391" s="37" t="s">
        <v>1856</v>
      </c>
      <c r="N391" s="35" t="b">
        <f>IF(_xlfn.UNICODE( Table1[[#This Row],[Check]])=9745,TRUE,FALSE)</f>
        <v>0</v>
      </c>
    </row>
    <row r="392" spans="1:14" ht="30" customHeight="1" x14ac:dyDescent="0.25">
      <c r="A392" s="27" t="s">
        <v>1634</v>
      </c>
      <c r="B392" s="42" t="s">
        <v>566</v>
      </c>
      <c r="C392" s="27" t="s">
        <v>141</v>
      </c>
      <c r="D392" s="28">
        <v>3400018106</v>
      </c>
      <c r="E392" s="28" t="s">
        <v>786</v>
      </c>
      <c r="F392" s="27" t="s">
        <v>787</v>
      </c>
      <c r="G392" s="29">
        <v>23967</v>
      </c>
      <c r="H392" s="95" t="s">
        <v>1854</v>
      </c>
      <c r="I392" s="27"/>
      <c r="J392" s="52" t="s">
        <v>1112</v>
      </c>
      <c r="K392" s="51">
        <f>IF(Table1[[#This Row],[Preferenza telefono]]="Casa",Table1[[#This Row],[Telefono casa]],IF(Table1[[#This Row],[Preferenza telefono]]="Primario",Table1[[#This Row],[Telefono primario]],"-"))</f>
        <v>3400018106</v>
      </c>
      <c r="L392" s="37" t="s">
        <v>1856</v>
      </c>
      <c r="M392" s="37" t="s">
        <v>1856</v>
      </c>
      <c r="N392" s="35" t="b">
        <f>IF(_xlfn.UNICODE( Table1[[#This Row],[Check]])=9745,TRUE,FALSE)</f>
        <v>0</v>
      </c>
    </row>
    <row r="393" spans="1:14" ht="30" customHeight="1" x14ac:dyDescent="0.25">
      <c r="A393" s="27" t="s">
        <v>1634</v>
      </c>
      <c r="B393" s="42" t="s">
        <v>788</v>
      </c>
      <c r="C393" s="27" t="s">
        <v>141</v>
      </c>
      <c r="D393" s="28">
        <v>3347719354</v>
      </c>
      <c r="E393" s="27"/>
      <c r="F393" s="27" t="s">
        <v>373</v>
      </c>
      <c r="G393" s="29" t="s">
        <v>113</v>
      </c>
      <c r="H393" s="95" t="s">
        <v>1855</v>
      </c>
      <c r="I393" s="27"/>
      <c r="J393" s="52" t="s">
        <v>1112</v>
      </c>
      <c r="K393" s="51">
        <f>IF(Table1[[#This Row],[Preferenza telefono]]="Casa",Table1[[#This Row],[Telefono casa]],IF(Table1[[#This Row],[Preferenza telefono]]="Primario",Table1[[#This Row],[Telefono primario]],"-"))</f>
        <v>3347719354</v>
      </c>
      <c r="L393" s="37" t="s">
        <v>1856</v>
      </c>
      <c r="M393" s="37" t="s">
        <v>1856</v>
      </c>
      <c r="N393" s="35" t="b">
        <f>IF(_xlfn.UNICODE( Table1[[#This Row],[Check]])=9745,TRUE,FALSE)</f>
        <v>0</v>
      </c>
    </row>
    <row r="394" spans="1:14" ht="30" customHeight="1" x14ac:dyDescent="0.25">
      <c r="A394" s="27" t="s">
        <v>1634</v>
      </c>
      <c r="B394" s="42" t="s">
        <v>140</v>
      </c>
      <c r="C394" s="27" t="s">
        <v>141</v>
      </c>
      <c r="D394" s="28">
        <v>3356714388</v>
      </c>
      <c r="E394" s="27"/>
      <c r="F394" s="27" t="s">
        <v>142</v>
      </c>
      <c r="G394" s="29">
        <v>24081</v>
      </c>
      <c r="H394" s="95" t="s">
        <v>1854</v>
      </c>
      <c r="I394" s="27"/>
      <c r="J394" s="52" t="s">
        <v>1112</v>
      </c>
      <c r="K394" s="51">
        <f>IF(Table1[[#This Row],[Preferenza telefono]]="Casa",Table1[[#This Row],[Telefono casa]],IF(Table1[[#This Row],[Preferenza telefono]]="Primario",Table1[[#This Row],[Telefono primario]],"-"))</f>
        <v>3356714388</v>
      </c>
      <c r="L394" s="37" t="s">
        <v>1856</v>
      </c>
      <c r="M394" s="37" t="s">
        <v>1856</v>
      </c>
      <c r="N394" s="35" t="b">
        <f>IF(_xlfn.UNICODE( Table1[[#This Row],[Check]])=9745,TRUE,FALSE)</f>
        <v>0</v>
      </c>
    </row>
    <row r="395" spans="1:14" ht="30" customHeight="1" x14ac:dyDescent="0.25">
      <c r="A395" s="27" t="s">
        <v>1634</v>
      </c>
      <c r="B395" s="42" t="s">
        <v>1727</v>
      </c>
      <c r="C395" s="27" t="s">
        <v>182</v>
      </c>
      <c r="D395" s="28">
        <v>3663638550</v>
      </c>
      <c r="E395" s="27"/>
      <c r="F395" s="27" t="s">
        <v>1728</v>
      </c>
      <c r="G395" s="29" t="s">
        <v>113</v>
      </c>
      <c r="H395" s="95" t="s">
        <v>1854</v>
      </c>
      <c r="I395" s="27"/>
      <c r="J395" s="52" t="s">
        <v>1112</v>
      </c>
      <c r="K395" s="51">
        <f>IF(Table1[[#This Row],[Preferenza telefono]]="Casa",Table1[[#This Row],[Telefono casa]],IF(Table1[[#This Row],[Preferenza telefono]]="Primario",Table1[[#This Row],[Telefono primario]],"-"))</f>
        <v>3663638550</v>
      </c>
      <c r="L395" s="37" t="s">
        <v>1856</v>
      </c>
      <c r="M395" s="37" t="s">
        <v>1856</v>
      </c>
      <c r="N395" s="35" t="b">
        <f>IF(_xlfn.UNICODE( Table1[[#This Row],[Check]])=9745,TRUE,FALSE)</f>
        <v>0</v>
      </c>
    </row>
    <row r="396" spans="1:14" ht="30" customHeight="1" x14ac:dyDescent="0.25">
      <c r="A396" s="27" t="s">
        <v>1634</v>
      </c>
      <c r="B396" s="42" t="s">
        <v>789</v>
      </c>
      <c r="C396" s="27" t="s">
        <v>364</v>
      </c>
      <c r="D396" s="28">
        <v>3203161467</v>
      </c>
      <c r="E396" s="27"/>
      <c r="F396" s="27" t="s">
        <v>621</v>
      </c>
      <c r="G396" s="29">
        <v>22433</v>
      </c>
      <c r="H396" s="95" t="s">
        <v>1855</v>
      </c>
      <c r="I396" s="27"/>
      <c r="J396" s="52" t="s">
        <v>1112</v>
      </c>
      <c r="K396" s="51">
        <f>IF(Table1[[#This Row],[Preferenza telefono]]="Casa",Table1[[#This Row],[Telefono casa]],IF(Table1[[#This Row],[Preferenza telefono]]="Primario",Table1[[#This Row],[Telefono primario]],"-"))</f>
        <v>3203161467</v>
      </c>
      <c r="L396" s="37" t="s">
        <v>1856</v>
      </c>
      <c r="M396" s="37" t="s">
        <v>1856</v>
      </c>
      <c r="N396" s="35" t="b">
        <f>IF(_xlfn.UNICODE( Table1[[#This Row],[Check]])=9745,TRUE,FALSE)</f>
        <v>0</v>
      </c>
    </row>
    <row r="397" spans="1:14" ht="30" customHeight="1" x14ac:dyDescent="0.25">
      <c r="A397" s="27" t="s">
        <v>1634</v>
      </c>
      <c r="B397" s="42" t="s">
        <v>801</v>
      </c>
      <c r="C397" s="27" t="s">
        <v>120</v>
      </c>
      <c r="D397" s="28">
        <v>3383070628</v>
      </c>
      <c r="E397" s="27"/>
      <c r="F397" s="27" t="s">
        <v>411</v>
      </c>
      <c r="G397" s="29">
        <v>24860</v>
      </c>
      <c r="H397" s="95" t="s">
        <v>1854</v>
      </c>
      <c r="I397" s="27"/>
      <c r="J397" s="52" t="s">
        <v>1112</v>
      </c>
      <c r="K397" s="51">
        <f>IF(Table1[[#This Row],[Preferenza telefono]]="Casa",Table1[[#This Row],[Telefono casa]],IF(Table1[[#This Row],[Preferenza telefono]]="Primario",Table1[[#This Row],[Telefono primario]],"-"))</f>
        <v>3383070628</v>
      </c>
      <c r="L397" s="37" t="s">
        <v>1856</v>
      </c>
      <c r="M397" s="37" t="s">
        <v>1856</v>
      </c>
      <c r="N397" s="35" t="b">
        <f>IF(_xlfn.UNICODE( Table1[[#This Row],[Check]])=9745,TRUE,FALSE)</f>
        <v>0</v>
      </c>
    </row>
    <row r="398" spans="1:14" ht="30" customHeight="1" x14ac:dyDescent="0.25">
      <c r="A398" s="27" t="s">
        <v>1634</v>
      </c>
      <c r="B398" s="42" t="s">
        <v>800</v>
      </c>
      <c r="C398" s="27" t="s">
        <v>609</v>
      </c>
      <c r="D398" s="28">
        <v>3398924177</v>
      </c>
      <c r="E398" s="27"/>
      <c r="F398" s="27" t="s">
        <v>118</v>
      </c>
      <c r="G398" s="29">
        <v>30118</v>
      </c>
      <c r="H398" s="95" t="s">
        <v>1854</v>
      </c>
      <c r="I398" s="27"/>
      <c r="J398" s="52" t="s">
        <v>1112</v>
      </c>
      <c r="K398" s="51">
        <f>IF(Table1[[#This Row],[Preferenza telefono]]="Casa",Table1[[#This Row],[Telefono casa]],IF(Table1[[#This Row],[Preferenza telefono]]="Primario",Table1[[#This Row],[Telefono primario]],"-"))</f>
        <v>3398924177</v>
      </c>
      <c r="L398" s="37" t="s">
        <v>1856</v>
      </c>
      <c r="M398" s="37" t="s">
        <v>1856</v>
      </c>
      <c r="N398" s="35" t="b">
        <f>IF(_xlfn.UNICODE( Table1[[#This Row],[Check]])=9745,TRUE,FALSE)</f>
        <v>0</v>
      </c>
    </row>
    <row r="399" spans="1:14" ht="30" customHeight="1" x14ac:dyDescent="0.25">
      <c r="A399" s="27" t="s">
        <v>1634</v>
      </c>
      <c r="B399" s="42" t="s">
        <v>1729</v>
      </c>
      <c r="C399" s="27" t="s">
        <v>609</v>
      </c>
      <c r="D399" s="28">
        <v>3398924177</v>
      </c>
      <c r="E399" s="27"/>
      <c r="F399" s="27" t="s">
        <v>118</v>
      </c>
      <c r="G399" s="29">
        <v>30118</v>
      </c>
      <c r="H399" s="95" t="s">
        <v>1855</v>
      </c>
      <c r="I399" s="27"/>
      <c r="J399" s="52" t="s">
        <v>1112</v>
      </c>
      <c r="K399" s="51">
        <f>IF(Table1[[#This Row],[Preferenza telefono]]="Casa",Table1[[#This Row],[Telefono casa]],IF(Table1[[#This Row],[Preferenza telefono]]="Primario",Table1[[#This Row],[Telefono primario]],"-"))</f>
        <v>3398924177</v>
      </c>
      <c r="L399" s="37" t="s">
        <v>1856</v>
      </c>
      <c r="M399" s="37" t="s">
        <v>1856</v>
      </c>
      <c r="N399" s="35" t="b">
        <f>IF(_xlfn.UNICODE( Table1[[#This Row],[Check]])=9745,TRUE,FALSE)</f>
        <v>0</v>
      </c>
    </row>
    <row r="400" spans="1:14" ht="30" customHeight="1" x14ac:dyDescent="0.25">
      <c r="A400" s="27" t="s">
        <v>1634</v>
      </c>
      <c r="B400" s="42" t="s">
        <v>791</v>
      </c>
      <c r="C400" s="27" t="s">
        <v>1</v>
      </c>
      <c r="D400" s="28" t="s">
        <v>792</v>
      </c>
      <c r="E400" s="27"/>
      <c r="F400" s="27" t="s">
        <v>793</v>
      </c>
      <c r="G400" s="29" t="s">
        <v>113</v>
      </c>
      <c r="H400" s="95" t="s">
        <v>1854</v>
      </c>
      <c r="I400" s="27"/>
      <c r="J400" s="52" t="s">
        <v>1112</v>
      </c>
      <c r="K400" s="51" t="str">
        <f>IF(Table1[[#This Row],[Preferenza telefono]]="Casa",Table1[[#This Row],[Telefono casa]],IF(Table1[[#This Row],[Preferenza telefono]]="Primario",Table1[[#This Row],[Telefono primario]],"-"))</f>
        <v>.0382.960237</v>
      </c>
      <c r="L400" s="37" t="s">
        <v>1856</v>
      </c>
      <c r="M400" s="37" t="s">
        <v>1856</v>
      </c>
      <c r="N400" s="35" t="b">
        <f>IF(_xlfn.UNICODE( Table1[[#This Row],[Check]])=9745,TRUE,FALSE)</f>
        <v>0</v>
      </c>
    </row>
    <row r="401" spans="1:14" ht="30" customHeight="1" x14ac:dyDescent="0.25">
      <c r="A401" s="27" t="s">
        <v>1634</v>
      </c>
      <c r="B401" s="42" t="s">
        <v>790</v>
      </c>
      <c r="C401" s="27" t="s">
        <v>90</v>
      </c>
      <c r="D401" s="28">
        <v>3663216564</v>
      </c>
      <c r="E401" s="27"/>
      <c r="F401" s="27" t="s">
        <v>623</v>
      </c>
      <c r="G401" s="29">
        <v>23036</v>
      </c>
      <c r="H401" s="95" t="s">
        <v>1854</v>
      </c>
      <c r="I401" s="27"/>
      <c r="J401" s="52" t="s">
        <v>1112</v>
      </c>
      <c r="K401" s="51">
        <f>IF(Table1[[#This Row],[Preferenza telefono]]="Casa",Table1[[#This Row],[Telefono casa]],IF(Table1[[#This Row],[Preferenza telefono]]="Primario",Table1[[#This Row],[Telefono primario]],"-"))</f>
        <v>3663216564</v>
      </c>
      <c r="L401" s="37" t="s">
        <v>1856</v>
      </c>
      <c r="M401" s="37" t="s">
        <v>1856</v>
      </c>
      <c r="N401" s="35" t="b">
        <f>IF(_xlfn.UNICODE( Table1[[#This Row],[Check]])=9745,TRUE,FALSE)</f>
        <v>0</v>
      </c>
    </row>
    <row r="402" spans="1:14" ht="30" customHeight="1" x14ac:dyDescent="0.25">
      <c r="A402" s="27" t="s">
        <v>1634</v>
      </c>
      <c r="B402" s="42" t="s">
        <v>143</v>
      </c>
      <c r="C402" s="27" t="s">
        <v>1</v>
      </c>
      <c r="D402" s="28">
        <v>3396789410</v>
      </c>
      <c r="E402" s="27"/>
      <c r="F402" s="27" t="s">
        <v>97</v>
      </c>
      <c r="G402" s="29">
        <v>33908</v>
      </c>
      <c r="H402" s="95" t="s">
        <v>1855</v>
      </c>
      <c r="I402" s="27"/>
      <c r="J402" s="52" t="s">
        <v>1112</v>
      </c>
      <c r="K402" s="51">
        <f>IF(Table1[[#This Row],[Preferenza telefono]]="Casa",Table1[[#This Row],[Telefono casa]],IF(Table1[[#This Row],[Preferenza telefono]]="Primario",Table1[[#This Row],[Telefono primario]],"-"))</f>
        <v>3396789410</v>
      </c>
      <c r="L402" s="37" t="s">
        <v>1856</v>
      </c>
      <c r="M402" s="37" t="s">
        <v>1856</v>
      </c>
      <c r="N402" s="35" t="b">
        <f>IF(_xlfn.UNICODE( Table1[[#This Row],[Check]])=9745,TRUE,FALSE)</f>
        <v>0</v>
      </c>
    </row>
    <row r="403" spans="1:14" ht="30" customHeight="1" x14ac:dyDescent="0.25">
      <c r="A403" s="27" t="s">
        <v>1634</v>
      </c>
      <c r="B403" s="42" t="s">
        <v>1120</v>
      </c>
      <c r="C403" s="27" t="s">
        <v>117</v>
      </c>
      <c r="D403" s="28"/>
      <c r="E403" s="27"/>
      <c r="F403" s="27" t="s">
        <v>698</v>
      </c>
      <c r="G403" s="29" t="s">
        <v>113</v>
      </c>
      <c r="H403" s="95" t="s">
        <v>1854</v>
      </c>
      <c r="I403" s="27"/>
      <c r="J403" s="52" t="s">
        <v>1112</v>
      </c>
      <c r="K403" s="51">
        <f>IF(Table1[[#This Row],[Preferenza telefono]]="Casa",Table1[[#This Row],[Telefono casa]],IF(Table1[[#This Row],[Preferenza telefono]]="Primario",Table1[[#This Row],[Telefono primario]],"-"))</f>
        <v>0</v>
      </c>
      <c r="L403" s="37" t="s">
        <v>1856</v>
      </c>
      <c r="M403" s="37" t="s">
        <v>1856</v>
      </c>
      <c r="N403" s="35" t="b">
        <f>IF(_xlfn.UNICODE( Table1[[#This Row],[Check]])=9745,TRUE,FALSE)</f>
        <v>0</v>
      </c>
    </row>
    <row r="404" spans="1:14" ht="30" customHeight="1" x14ac:dyDescent="0.25">
      <c r="A404" s="27" t="s">
        <v>1634</v>
      </c>
      <c r="B404" s="47" t="s">
        <v>794</v>
      </c>
      <c r="C404" s="43" t="s">
        <v>117</v>
      </c>
      <c r="D404" s="28"/>
      <c r="E404" s="27"/>
      <c r="F404" s="43" t="s">
        <v>698</v>
      </c>
      <c r="G404" s="44" t="s">
        <v>113</v>
      </c>
      <c r="H404" s="95" t="s">
        <v>1854</v>
      </c>
      <c r="I404" s="27"/>
      <c r="J404" s="52" t="s">
        <v>1112</v>
      </c>
      <c r="K404" s="51">
        <f>IF(Table1[[#This Row],[Preferenza telefono]]="Casa",Table1[[#This Row],[Telefono casa]],IF(Table1[[#This Row],[Preferenza telefono]]="Primario",Table1[[#This Row],[Telefono primario]],"-"))</f>
        <v>0</v>
      </c>
      <c r="L404" s="37" t="s">
        <v>1856</v>
      </c>
      <c r="M404" s="37" t="s">
        <v>1856</v>
      </c>
      <c r="N404" s="35" t="b">
        <f>IF(_xlfn.UNICODE( Table1[[#This Row],[Check]])=9745,TRUE,FALSE)</f>
        <v>0</v>
      </c>
    </row>
    <row r="405" spans="1:14" ht="30" customHeight="1" x14ac:dyDescent="0.25">
      <c r="A405" s="27" t="s">
        <v>1634</v>
      </c>
      <c r="B405" s="42" t="s">
        <v>795</v>
      </c>
      <c r="C405" s="27" t="s">
        <v>1</v>
      </c>
      <c r="D405" s="28">
        <v>3317762704</v>
      </c>
      <c r="E405" s="27"/>
      <c r="F405" s="27" t="s">
        <v>301</v>
      </c>
      <c r="G405" s="29">
        <v>31284</v>
      </c>
      <c r="H405" s="95" t="s">
        <v>1855</v>
      </c>
      <c r="I405" s="27"/>
      <c r="J405" s="52" t="s">
        <v>1112</v>
      </c>
      <c r="K405" s="51">
        <f>IF(Table1[[#This Row],[Preferenza telefono]]="Casa",Table1[[#This Row],[Telefono casa]],IF(Table1[[#This Row],[Preferenza telefono]]="Primario",Table1[[#This Row],[Telefono primario]],"-"))</f>
        <v>3317762704</v>
      </c>
      <c r="L405" s="37" t="s">
        <v>1856</v>
      </c>
      <c r="M405" s="37" t="s">
        <v>1856</v>
      </c>
      <c r="N405" s="35" t="b">
        <f>IF(_xlfn.UNICODE( Table1[[#This Row],[Check]])=9745,TRUE,FALSE)</f>
        <v>0</v>
      </c>
    </row>
    <row r="406" spans="1:14" ht="30" customHeight="1" x14ac:dyDescent="0.25">
      <c r="A406" s="27" t="s">
        <v>1634</v>
      </c>
      <c r="B406" s="47" t="s">
        <v>797</v>
      </c>
      <c r="C406" s="27" t="s">
        <v>1</v>
      </c>
      <c r="D406" s="28">
        <v>3478572342</v>
      </c>
      <c r="E406" s="27"/>
      <c r="F406" s="27" t="s">
        <v>798</v>
      </c>
      <c r="G406" s="29">
        <v>30076</v>
      </c>
      <c r="H406" s="95" t="s">
        <v>1854</v>
      </c>
      <c r="I406" s="27"/>
      <c r="J406" s="52" t="s">
        <v>1112</v>
      </c>
      <c r="K406" s="51">
        <f>IF(Table1[[#This Row],[Preferenza telefono]]="Casa",Table1[[#This Row],[Telefono casa]],IF(Table1[[#This Row],[Preferenza telefono]]="Primario",Table1[[#This Row],[Telefono primario]],"-"))</f>
        <v>3478572342</v>
      </c>
      <c r="L406" s="37" t="s">
        <v>1856</v>
      </c>
      <c r="M406" s="37" t="s">
        <v>1856</v>
      </c>
      <c r="N406" s="35" t="b">
        <f>IF(_xlfn.UNICODE( Table1[[#This Row],[Check]])=9745,TRUE,FALSE)</f>
        <v>0</v>
      </c>
    </row>
    <row r="407" spans="1:14" ht="30" customHeight="1" x14ac:dyDescent="0.25">
      <c r="A407" s="27" t="s">
        <v>1634</v>
      </c>
      <c r="B407" s="42" t="s">
        <v>796</v>
      </c>
      <c r="C407" s="27" t="s">
        <v>1</v>
      </c>
      <c r="D407" s="28">
        <v>3317762704</v>
      </c>
      <c r="E407" s="27"/>
      <c r="F407" s="27" t="s">
        <v>301</v>
      </c>
      <c r="G407" s="29">
        <v>31284</v>
      </c>
      <c r="H407" s="95" t="s">
        <v>1854</v>
      </c>
      <c r="I407" s="27"/>
      <c r="J407" s="52" t="s">
        <v>1112</v>
      </c>
      <c r="K407" s="51">
        <f>IF(Table1[[#This Row],[Preferenza telefono]]="Casa",Table1[[#This Row],[Telefono casa]],IF(Table1[[#This Row],[Preferenza telefono]]="Primario",Table1[[#This Row],[Telefono primario]],"-"))</f>
        <v>3317762704</v>
      </c>
      <c r="L407" s="37" t="s">
        <v>1856</v>
      </c>
      <c r="M407" s="37" t="s">
        <v>1856</v>
      </c>
      <c r="N407" s="35" t="b">
        <f>IF(_xlfn.UNICODE( Table1[[#This Row],[Check]])=9745,TRUE,FALSE)</f>
        <v>0</v>
      </c>
    </row>
    <row r="408" spans="1:14" ht="30" customHeight="1" x14ac:dyDescent="0.25">
      <c r="A408" s="27" t="s">
        <v>1634</v>
      </c>
      <c r="B408" s="42" t="s">
        <v>799</v>
      </c>
      <c r="C408" s="27"/>
      <c r="D408" s="28"/>
      <c r="E408" s="27"/>
      <c r="F408" s="27"/>
      <c r="G408" s="29"/>
      <c r="H408" s="95" t="s">
        <v>1855</v>
      </c>
      <c r="I408" s="27"/>
      <c r="J408" s="52" t="s">
        <v>1112</v>
      </c>
      <c r="K408" s="51">
        <f>IF(Table1[[#This Row],[Preferenza telefono]]="Casa",Table1[[#This Row],[Telefono casa]],IF(Table1[[#This Row],[Preferenza telefono]]="Primario",Table1[[#This Row],[Telefono primario]],"-"))</f>
        <v>0</v>
      </c>
      <c r="L408" s="37" t="s">
        <v>1856</v>
      </c>
      <c r="M408" s="37" t="s">
        <v>1856</v>
      </c>
      <c r="N408" s="35" t="b">
        <f>IF(_xlfn.UNICODE( Table1[[#This Row],[Check]])=9745,TRUE,FALSE)</f>
        <v>0</v>
      </c>
    </row>
    <row r="409" spans="1:14" ht="30" customHeight="1" x14ac:dyDescent="0.25">
      <c r="A409" s="27" t="s">
        <v>1634</v>
      </c>
      <c r="B409" s="47" t="s">
        <v>802</v>
      </c>
      <c r="C409" s="27" t="s">
        <v>126</v>
      </c>
      <c r="D409" s="28">
        <v>3383386853</v>
      </c>
      <c r="E409" s="27"/>
      <c r="F409" s="27" t="s">
        <v>803</v>
      </c>
      <c r="G409" s="29">
        <v>26233</v>
      </c>
      <c r="H409" s="95" t="s">
        <v>1854</v>
      </c>
      <c r="I409" s="27"/>
      <c r="J409" s="52" t="s">
        <v>1112</v>
      </c>
      <c r="K409" s="51">
        <f>IF(Table1[[#This Row],[Preferenza telefono]]="Casa",Table1[[#This Row],[Telefono casa]],IF(Table1[[#This Row],[Preferenza telefono]]="Primario",Table1[[#This Row],[Telefono primario]],"-"))</f>
        <v>3383386853</v>
      </c>
      <c r="L409" s="37" t="s">
        <v>1856</v>
      </c>
      <c r="M409" s="37" t="s">
        <v>1856</v>
      </c>
      <c r="N409" s="35" t="b">
        <f>IF(_xlfn.UNICODE( Table1[[#This Row],[Check]])=9745,TRUE,FALSE)</f>
        <v>0</v>
      </c>
    </row>
    <row r="410" spans="1:14" ht="30" customHeight="1" x14ac:dyDescent="0.25">
      <c r="A410" s="27" t="s">
        <v>1634</v>
      </c>
      <c r="B410" s="42" t="s">
        <v>804</v>
      </c>
      <c r="C410" s="27" t="s">
        <v>291</v>
      </c>
      <c r="D410" s="28"/>
      <c r="E410" s="27"/>
      <c r="F410" s="27"/>
      <c r="G410" s="29" t="s">
        <v>113</v>
      </c>
      <c r="H410" s="95" t="s">
        <v>1854</v>
      </c>
      <c r="I410" s="27"/>
      <c r="J410" s="52" t="s">
        <v>1112</v>
      </c>
      <c r="K410" s="51">
        <f>IF(Table1[[#This Row],[Preferenza telefono]]="Casa",Table1[[#This Row],[Telefono casa]],IF(Table1[[#This Row],[Preferenza telefono]]="Primario",Table1[[#This Row],[Telefono primario]],"-"))</f>
        <v>0</v>
      </c>
      <c r="L410" s="37" t="s">
        <v>1856</v>
      </c>
      <c r="M410" s="37" t="s">
        <v>1856</v>
      </c>
      <c r="N410" s="35" t="b">
        <f>IF(_xlfn.UNICODE( Table1[[#This Row],[Check]])=9745,TRUE,FALSE)</f>
        <v>0</v>
      </c>
    </row>
    <row r="411" spans="1:14" ht="30" customHeight="1" x14ac:dyDescent="0.25">
      <c r="A411" s="27" t="s">
        <v>1634</v>
      </c>
      <c r="B411" s="42" t="s">
        <v>805</v>
      </c>
      <c r="C411" s="27" t="s">
        <v>303</v>
      </c>
      <c r="D411" s="28">
        <v>3661978776</v>
      </c>
      <c r="E411" s="27"/>
      <c r="F411" s="27" t="s">
        <v>1730</v>
      </c>
      <c r="G411" s="29">
        <v>24727</v>
      </c>
      <c r="H411" s="95" t="s">
        <v>1855</v>
      </c>
      <c r="I411" s="27"/>
      <c r="J411" s="52" t="s">
        <v>1112</v>
      </c>
      <c r="K411" s="51">
        <f>IF(Table1[[#This Row],[Preferenza telefono]]="Casa",Table1[[#This Row],[Telefono casa]],IF(Table1[[#This Row],[Preferenza telefono]]="Primario",Table1[[#This Row],[Telefono primario]],"-"))</f>
        <v>3661978776</v>
      </c>
      <c r="L411" s="37" t="s">
        <v>1856</v>
      </c>
      <c r="M411" s="37" t="s">
        <v>1856</v>
      </c>
      <c r="N411" s="35" t="b">
        <f>IF(_xlfn.UNICODE( Table1[[#This Row],[Check]])=9745,TRUE,FALSE)</f>
        <v>0</v>
      </c>
    </row>
    <row r="412" spans="1:14" ht="30" customHeight="1" x14ac:dyDescent="0.25">
      <c r="A412" s="27" t="s">
        <v>1634</v>
      </c>
      <c r="B412" s="42" t="s">
        <v>806</v>
      </c>
      <c r="C412" s="27"/>
      <c r="D412" s="28"/>
      <c r="E412" s="27"/>
      <c r="F412" s="27"/>
      <c r="G412" s="29"/>
      <c r="H412" s="95" t="s">
        <v>1854</v>
      </c>
      <c r="I412" s="27"/>
      <c r="J412" s="52" t="s">
        <v>1112</v>
      </c>
      <c r="K412" s="51">
        <f>IF(Table1[[#This Row],[Preferenza telefono]]="Casa",Table1[[#This Row],[Telefono casa]],IF(Table1[[#This Row],[Preferenza telefono]]="Primario",Table1[[#This Row],[Telefono primario]],"-"))</f>
        <v>0</v>
      </c>
      <c r="L412" s="37" t="s">
        <v>1856</v>
      </c>
      <c r="M412" s="37" t="s">
        <v>1856</v>
      </c>
      <c r="N412" s="35" t="b">
        <f>IF(_xlfn.UNICODE( Table1[[#This Row],[Check]])=9745,TRUE,FALSE)</f>
        <v>0</v>
      </c>
    </row>
    <row r="413" spans="1:14" ht="30" customHeight="1" x14ac:dyDescent="0.25">
      <c r="A413" s="27" t="s">
        <v>1634</v>
      </c>
      <c r="B413" s="42" t="s">
        <v>1827</v>
      </c>
      <c r="C413" s="27" t="s">
        <v>342</v>
      </c>
      <c r="D413" s="28"/>
      <c r="E413" s="28"/>
      <c r="F413" s="27"/>
      <c r="G413" s="29"/>
      <c r="H413" s="95" t="s">
        <v>1854</v>
      </c>
      <c r="I413" s="101"/>
      <c r="J413" s="52" t="s">
        <v>1112</v>
      </c>
      <c r="K413" s="51">
        <f>IF(Table1[[#This Row],[Preferenza telefono]]="Casa",Table1[[#This Row],[Telefono casa]],IF(Table1[[#This Row],[Preferenza telefono]]="Primario",Table1[[#This Row],[Telefono primario]],"-"))</f>
        <v>0</v>
      </c>
      <c r="L413" s="37" t="s">
        <v>1856</v>
      </c>
      <c r="M413" s="37" t="s">
        <v>1856</v>
      </c>
      <c r="N413" s="35" t="b">
        <f>IF(_xlfn.UNICODE( Table1[[#This Row],[Check]])=9745,TRUE,FALSE)</f>
        <v>0</v>
      </c>
    </row>
    <row r="414" spans="1:14" ht="30" customHeight="1" x14ac:dyDescent="0.25">
      <c r="A414" s="27" t="s">
        <v>1634</v>
      </c>
      <c r="B414" s="42" t="s">
        <v>807</v>
      </c>
      <c r="C414" s="27" t="s">
        <v>159</v>
      </c>
      <c r="D414" s="28">
        <v>3899890812</v>
      </c>
      <c r="E414" s="27"/>
      <c r="F414" s="27"/>
      <c r="G414" s="29">
        <v>26036</v>
      </c>
      <c r="H414" s="95" t="s">
        <v>1855</v>
      </c>
      <c r="I414" s="27"/>
      <c r="J414" s="52" t="s">
        <v>1112</v>
      </c>
      <c r="K414" s="51">
        <f>IF(Table1[[#This Row],[Preferenza telefono]]="Casa",Table1[[#This Row],[Telefono casa]],IF(Table1[[#This Row],[Preferenza telefono]]="Primario",Table1[[#This Row],[Telefono primario]],"-"))</f>
        <v>3899890812</v>
      </c>
      <c r="L414" s="37" t="s">
        <v>1856</v>
      </c>
      <c r="M414" s="37" t="s">
        <v>1856</v>
      </c>
      <c r="N414" s="35" t="b">
        <f>IF(_xlfn.UNICODE( Table1[[#This Row],[Check]])=9745,TRUE,FALSE)</f>
        <v>0</v>
      </c>
    </row>
    <row r="415" spans="1:14" ht="30" customHeight="1" x14ac:dyDescent="0.25">
      <c r="A415" s="27" t="s">
        <v>1634</v>
      </c>
      <c r="B415" s="42" t="s">
        <v>812</v>
      </c>
      <c r="C415" s="27" t="s">
        <v>3</v>
      </c>
      <c r="D415" s="28">
        <v>3356609130</v>
      </c>
      <c r="E415" s="27" t="s">
        <v>813</v>
      </c>
      <c r="F415" s="27" t="s">
        <v>252</v>
      </c>
      <c r="G415" s="29" t="s">
        <v>113</v>
      </c>
      <c r="H415" s="95" t="s">
        <v>1854</v>
      </c>
      <c r="I415" s="27"/>
      <c r="J415" s="52" t="s">
        <v>1112</v>
      </c>
      <c r="K415" s="51">
        <f>IF(Table1[[#This Row],[Preferenza telefono]]="Casa",Table1[[#This Row],[Telefono casa]],IF(Table1[[#This Row],[Preferenza telefono]]="Primario",Table1[[#This Row],[Telefono primario]],"-"))</f>
        <v>3356609130</v>
      </c>
      <c r="L415" s="37" t="s">
        <v>1856</v>
      </c>
      <c r="M415" s="37" t="s">
        <v>1856</v>
      </c>
      <c r="N415" s="35" t="b">
        <f>IF(_xlfn.UNICODE( Table1[[#This Row],[Check]])=9745,TRUE,FALSE)</f>
        <v>0</v>
      </c>
    </row>
    <row r="416" spans="1:14" ht="30" customHeight="1" x14ac:dyDescent="0.25">
      <c r="A416" s="27" t="s">
        <v>1634</v>
      </c>
      <c r="B416" s="42" t="s">
        <v>808</v>
      </c>
      <c r="C416" s="27"/>
      <c r="D416" s="28">
        <v>3407172542</v>
      </c>
      <c r="E416" s="27"/>
      <c r="F416" s="27" t="s">
        <v>809</v>
      </c>
      <c r="G416" s="29"/>
      <c r="H416" s="95" t="s">
        <v>1854</v>
      </c>
      <c r="I416" s="27"/>
      <c r="J416" s="52" t="s">
        <v>1112</v>
      </c>
      <c r="K416" s="51">
        <f>IF(Table1[[#This Row],[Preferenza telefono]]="Casa",Table1[[#This Row],[Telefono casa]],IF(Table1[[#This Row],[Preferenza telefono]]="Primario",Table1[[#This Row],[Telefono primario]],"-"))</f>
        <v>3407172542</v>
      </c>
      <c r="L416" s="37" t="s">
        <v>1856</v>
      </c>
      <c r="M416" s="37" t="s">
        <v>1856</v>
      </c>
      <c r="N416" s="35" t="b">
        <f>IF(_xlfn.UNICODE( Table1[[#This Row],[Check]])=9745,TRUE,FALSE)</f>
        <v>0</v>
      </c>
    </row>
    <row r="417" spans="1:14" ht="30" customHeight="1" x14ac:dyDescent="0.25">
      <c r="A417" s="27" t="s">
        <v>1634</v>
      </c>
      <c r="B417" s="42" t="s">
        <v>810</v>
      </c>
      <c r="C417" s="27" t="s">
        <v>4</v>
      </c>
      <c r="D417" s="28">
        <v>3398401587</v>
      </c>
      <c r="E417" s="27"/>
      <c r="F417" s="27" t="s">
        <v>811</v>
      </c>
      <c r="G417" s="29">
        <v>27588</v>
      </c>
      <c r="H417" s="95" t="s">
        <v>1855</v>
      </c>
      <c r="I417" s="27"/>
      <c r="J417" s="52" t="s">
        <v>1112</v>
      </c>
      <c r="K417" s="51">
        <f>IF(Table1[[#This Row],[Preferenza telefono]]="Casa",Table1[[#This Row],[Telefono casa]],IF(Table1[[#This Row],[Preferenza telefono]]="Primario",Table1[[#This Row],[Telefono primario]],"-"))</f>
        <v>3398401587</v>
      </c>
      <c r="L417" s="37" t="s">
        <v>1856</v>
      </c>
      <c r="M417" s="37" t="s">
        <v>1856</v>
      </c>
      <c r="N417" s="35" t="b">
        <f>IF(_xlfn.UNICODE( Table1[[#This Row],[Check]])=9745,TRUE,FALSE)</f>
        <v>0</v>
      </c>
    </row>
    <row r="418" spans="1:14" ht="30" customHeight="1" x14ac:dyDescent="0.25">
      <c r="A418" s="27" t="s">
        <v>1634</v>
      </c>
      <c r="B418" s="42" t="s">
        <v>814</v>
      </c>
      <c r="C418" s="27" t="s">
        <v>3</v>
      </c>
      <c r="D418" s="28">
        <v>3348637396</v>
      </c>
      <c r="E418" s="27"/>
      <c r="F418" s="27" t="s">
        <v>815</v>
      </c>
      <c r="G418" s="29">
        <v>29971</v>
      </c>
      <c r="H418" s="95" t="s">
        <v>1854</v>
      </c>
      <c r="I418" s="27"/>
      <c r="J418" s="52" t="s">
        <v>1112</v>
      </c>
      <c r="K418" s="51">
        <f>IF(Table1[[#This Row],[Preferenza telefono]]="Casa",Table1[[#This Row],[Telefono casa]],IF(Table1[[#This Row],[Preferenza telefono]]="Primario",Table1[[#This Row],[Telefono primario]],"-"))</f>
        <v>3348637396</v>
      </c>
      <c r="L418" s="37" t="s">
        <v>1856</v>
      </c>
      <c r="M418" s="37" t="s">
        <v>1856</v>
      </c>
      <c r="N418" s="35" t="b">
        <f>IF(_xlfn.UNICODE( Table1[[#This Row],[Check]])=9745,TRUE,FALSE)</f>
        <v>0</v>
      </c>
    </row>
    <row r="419" spans="1:14" ht="30" customHeight="1" x14ac:dyDescent="0.25">
      <c r="A419" s="27" t="s">
        <v>1634</v>
      </c>
      <c r="B419" s="42" t="s">
        <v>144</v>
      </c>
      <c r="C419" s="27" t="s">
        <v>3</v>
      </c>
      <c r="D419" s="28">
        <v>3355730106</v>
      </c>
      <c r="E419" s="27"/>
      <c r="F419" s="27" t="s">
        <v>145</v>
      </c>
      <c r="G419" s="29"/>
      <c r="H419" s="95" t="s">
        <v>1854</v>
      </c>
      <c r="I419" s="27"/>
      <c r="J419" s="52" t="s">
        <v>1112</v>
      </c>
      <c r="K419" s="51">
        <f>IF(Table1[[#This Row],[Preferenza telefono]]="Casa",Table1[[#This Row],[Telefono casa]],IF(Table1[[#This Row],[Preferenza telefono]]="Primario",Table1[[#This Row],[Telefono primario]],"-"))</f>
        <v>3355730106</v>
      </c>
      <c r="L419" s="37" t="s">
        <v>1856</v>
      </c>
      <c r="M419" s="37" t="s">
        <v>1856</v>
      </c>
      <c r="N419" s="35" t="b">
        <f>IF(_xlfn.UNICODE( Table1[[#This Row],[Check]])=9745,TRUE,FALSE)</f>
        <v>0</v>
      </c>
    </row>
    <row r="420" spans="1:14" ht="30" customHeight="1" x14ac:dyDescent="0.25">
      <c r="A420" s="27" t="s">
        <v>1634</v>
      </c>
      <c r="B420" s="42" t="s">
        <v>816</v>
      </c>
      <c r="C420" s="27" t="s">
        <v>1</v>
      </c>
      <c r="D420" s="28">
        <v>3343192879</v>
      </c>
      <c r="E420" s="27" t="s">
        <v>817</v>
      </c>
      <c r="F420" s="27" t="s">
        <v>259</v>
      </c>
      <c r="G420" s="29">
        <v>23888</v>
      </c>
      <c r="H420" s="95" t="s">
        <v>1855</v>
      </c>
      <c r="I420" s="27"/>
      <c r="J420" s="52" t="s">
        <v>1112</v>
      </c>
      <c r="K420" s="51">
        <f>IF(Table1[[#This Row],[Preferenza telefono]]="Casa",Table1[[#This Row],[Telefono casa]],IF(Table1[[#This Row],[Preferenza telefono]]="Primario",Table1[[#This Row],[Telefono primario]],"-"))</f>
        <v>3343192879</v>
      </c>
      <c r="L420" s="37" t="s">
        <v>1856</v>
      </c>
      <c r="M420" s="37" t="s">
        <v>1856</v>
      </c>
      <c r="N420" s="35" t="b">
        <f>IF(_xlfn.UNICODE( Table1[[#This Row],[Check]])=9745,TRUE,FALSE)</f>
        <v>0</v>
      </c>
    </row>
    <row r="421" spans="1:14" ht="30" customHeight="1" x14ac:dyDescent="0.25">
      <c r="A421" s="27" t="s">
        <v>1634</v>
      </c>
      <c r="B421" s="42" t="s">
        <v>818</v>
      </c>
      <c r="C421" s="27" t="s">
        <v>819</v>
      </c>
      <c r="D421" s="28"/>
      <c r="E421" s="27"/>
      <c r="F421" s="27"/>
      <c r="G421" s="29">
        <v>26481</v>
      </c>
      <c r="H421" s="95" t="s">
        <v>1854</v>
      </c>
      <c r="I421" s="27"/>
      <c r="J421" s="52" t="s">
        <v>1112</v>
      </c>
      <c r="K421" s="51">
        <f>IF(Table1[[#This Row],[Preferenza telefono]]="Casa",Table1[[#This Row],[Telefono casa]],IF(Table1[[#This Row],[Preferenza telefono]]="Primario",Table1[[#This Row],[Telefono primario]],"-"))</f>
        <v>0</v>
      </c>
      <c r="L421" s="37" t="s">
        <v>1856</v>
      </c>
      <c r="M421" s="37" t="s">
        <v>1856</v>
      </c>
      <c r="N421" s="35" t="b">
        <f>IF(_xlfn.UNICODE( Table1[[#This Row],[Check]])=9745,TRUE,FALSE)</f>
        <v>0</v>
      </c>
    </row>
    <row r="422" spans="1:14" ht="30" customHeight="1" x14ac:dyDescent="0.25">
      <c r="A422" s="27" t="s">
        <v>1634</v>
      </c>
      <c r="B422" s="42" t="s">
        <v>820</v>
      </c>
      <c r="C422" s="27"/>
      <c r="D422" s="28"/>
      <c r="E422" s="27"/>
      <c r="F422" s="27"/>
      <c r="G422" s="29"/>
      <c r="H422" s="95" t="s">
        <v>1854</v>
      </c>
      <c r="I422" s="27"/>
      <c r="J422" s="52" t="s">
        <v>1112</v>
      </c>
      <c r="K422" s="51">
        <f>IF(Table1[[#This Row],[Preferenza telefono]]="Casa",Table1[[#This Row],[Telefono casa]],IF(Table1[[#This Row],[Preferenza telefono]]="Primario",Table1[[#This Row],[Telefono primario]],"-"))</f>
        <v>0</v>
      </c>
      <c r="L422" s="37" t="s">
        <v>1856</v>
      </c>
      <c r="M422" s="37" t="s">
        <v>1856</v>
      </c>
      <c r="N422" s="35" t="b">
        <f>IF(_xlfn.UNICODE( Table1[[#This Row],[Check]])=9745,TRUE,FALSE)</f>
        <v>0</v>
      </c>
    </row>
    <row r="423" spans="1:14" ht="30" customHeight="1" x14ac:dyDescent="0.25">
      <c r="A423" s="27" t="s">
        <v>1634</v>
      </c>
      <c r="B423" s="42" t="s">
        <v>821</v>
      </c>
      <c r="C423" s="27" t="s">
        <v>153</v>
      </c>
      <c r="D423" s="28">
        <v>3333286593</v>
      </c>
      <c r="E423" s="27"/>
      <c r="F423" s="27" t="s">
        <v>822</v>
      </c>
      <c r="G423" s="29">
        <v>20926</v>
      </c>
      <c r="H423" s="95" t="s">
        <v>1855</v>
      </c>
      <c r="I423" s="27"/>
      <c r="J423" s="52" t="s">
        <v>1112</v>
      </c>
      <c r="K423" s="51">
        <f>IF(Table1[[#This Row],[Preferenza telefono]]="Casa",Table1[[#This Row],[Telefono casa]],IF(Table1[[#This Row],[Preferenza telefono]]="Primario",Table1[[#This Row],[Telefono primario]],"-"))</f>
        <v>3333286593</v>
      </c>
      <c r="L423" s="37" t="s">
        <v>1856</v>
      </c>
      <c r="M423" s="37" t="s">
        <v>1856</v>
      </c>
      <c r="N423" s="35" t="b">
        <f>IF(_xlfn.UNICODE( Table1[[#This Row],[Check]])=9745,TRUE,FALSE)</f>
        <v>0</v>
      </c>
    </row>
    <row r="424" spans="1:14" ht="30" customHeight="1" x14ac:dyDescent="0.25">
      <c r="A424" s="27" t="s">
        <v>1634</v>
      </c>
      <c r="B424" s="42" t="s">
        <v>146</v>
      </c>
      <c r="C424" s="27" t="s">
        <v>147</v>
      </c>
      <c r="D424" s="28">
        <v>3665895859</v>
      </c>
      <c r="E424" s="27"/>
      <c r="F424" s="27" t="s">
        <v>148</v>
      </c>
      <c r="G424" s="29">
        <v>28400</v>
      </c>
      <c r="H424" s="95" t="s">
        <v>1854</v>
      </c>
      <c r="I424" s="27"/>
      <c r="J424" s="52" t="s">
        <v>1112</v>
      </c>
      <c r="K424" s="51">
        <f>IF(Table1[[#This Row],[Preferenza telefono]]="Casa",Table1[[#This Row],[Telefono casa]],IF(Table1[[#This Row],[Preferenza telefono]]="Primario",Table1[[#This Row],[Telefono primario]],"-"))</f>
        <v>3665895859</v>
      </c>
      <c r="L424" s="37" t="s">
        <v>1856</v>
      </c>
      <c r="M424" s="37" t="s">
        <v>1856</v>
      </c>
      <c r="N424" s="35" t="b">
        <f>IF(_xlfn.UNICODE( Table1[[#This Row],[Check]])=9745,TRUE,FALSE)</f>
        <v>0</v>
      </c>
    </row>
    <row r="425" spans="1:14" ht="30" customHeight="1" x14ac:dyDescent="0.25">
      <c r="A425" s="27" t="s">
        <v>1634</v>
      </c>
      <c r="B425" s="42" t="s">
        <v>824</v>
      </c>
      <c r="C425" s="27" t="s">
        <v>1</v>
      </c>
      <c r="D425" s="28">
        <v>3343763892</v>
      </c>
      <c r="E425" s="27"/>
      <c r="F425" s="27" t="s">
        <v>588</v>
      </c>
      <c r="G425" s="29" t="s">
        <v>113</v>
      </c>
      <c r="H425" s="95" t="s">
        <v>1854</v>
      </c>
      <c r="I425" s="27"/>
      <c r="J425" s="52" t="s">
        <v>1112</v>
      </c>
      <c r="K425" s="51">
        <f>IF(Table1[[#This Row],[Preferenza telefono]]="Casa",Table1[[#This Row],[Telefono casa]],IF(Table1[[#This Row],[Preferenza telefono]]="Primario",Table1[[#This Row],[Telefono primario]],"-"))</f>
        <v>3343763892</v>
      </c>
      <c r="L425" s="37" t="s">
        <v>1856</v>
      </c>
      <c r="M425" s="37" t="s">
        <v>1856</v>
      </c>
      <c r="N425" s="35" t="b">
        <f>IF(_xlfn.UNICODE( Table1[[#This Row],[Check]])=9745,TRUE,FALSE)</f>
        <v>0</v>
      </c>
    </row>
    <row r="426" spans="1:14" ht="30" customHeight="1" x14ac:dyDescent="0.25">
      <c r="A426" s="27" t="s">
        <v>1634</v>
      </c>
      <c r="B426" s="42" t="s">
        <v>826</v>
      </c>
      <c r="C426" s="27" t="s">
        <v>117</v>
      </c>
      <c r="D426" s="28">
        <v>3338174780</v>
      </c>
      <c r="E426" s="27"/>
      <c r="F426" s="27" t="s">
        <v>803</v>
      </c>
      <c r="G426" s="29">
        <v>19914</v>
      </c>
      <c r="H426" s="95" t="s">
        <v>1855</v>
      </c>
      <c r="I426" s="27"/>
      <c r="J426" s="52" t="s">
        <v>1112</v>
      </c>
      <c r="K426" s="51">
        <f>IF(Table1[[#This Row],[Preferenza telefono]]="Casa",Table1[[#This Row],[Telefono casa]],IF(Table1[[#This Row],[Preferenza telefono]]="Primario",Table1[[#This Row],[Telefono primario]],"-"))</f>
        <v>3338174780</v>
      </c>
      <c r="L426" s="37" t="s">
        <v>1856</v>
      </c>
      <c r="M426" s="37" t="s">
        <v>1856</v>
      </c>
      <c r="N426" s="35" t="b">
        <f>IF(_xlfn.UNICODE( Table1[[#This Row],[Check]])=9745,TRUE,FALSE)</f>
        <v>0</v>
      </c>
    </row>
    <row r="427" spans="1:14" ht="30" customHeight="1" x14ac:dyDescent="0.25">
      <c r="A427" s="27" t="s">
        <v>1634</v>
      </c>
      <c r="B427" s="42" t="s">
        <v>825</v>
      </c>
      <c r="C427" s="27"/>
      <c r="D427" s="28"/>
      <c r="E427" s="27"/>
      <c r="F427" s="27"/>
      <c r="G427" s="29"/>
      <c r="H427" s="95" t="s">
        <v>1854</v>
      </c>
      <c r="I427" s="27"/>
      <c r="J427" s="52" t="s">
        <v>1112</v>
      </c>
      <c r="K427" s="51">
        <f>IF(Table1[[#This Row],[Preferenza telefono]]="Casa",Table1[[#This Row],[Telefono casa]],IF(Table1[[#This Row],[Preferenza telefono]]="Primario",Table1[[#This Row],[Telefono primario]],"-"))</f>
        <v>0</v>
      </c>
      <c r="L427" s="37" t="s">
        <v>1856</v>
      </c>
      <c r="M427" s="37" t="s">
        <v>1856</v>
      </c>
      <c r="N427" s="35" t="b">
        <f>IF(_xlfn.UNICODE( Table1[[#This Row],[Check]])=9745,TRUE,FALSE)</f>
        <v>0</v>
      </c>
    </row>
    <row r="428" spans="1:14" ht="30" customHeight="1" x14ac:dyDescent="0.25">
      <c r="A428" s="27" t="s">
        <v>1634</v>
      </c>
      <c r="B428" s="42" t="s">
        <v>830</v>
      </c>
      <c r="C428" s="27"/>
      <c r="D428" s="28"/>
      <c r="E428" s="27"/>
      <c r="F428" s="27"/>
      <c r="G428" s="29"/>
      <c r="H428" s="95" t="s">
        <v>1854</v>
      </c>
      <c r="I428" s="27"/>
      <c r="J428" s="52" t="s">
        <v>1112</v>
      </c>
      <c r="K428" s="51">
        <f>IF(Table1[[#This Row],[Preferenza telefono]]="Casa",Table1[[#This Row],[Telefono casa]],IF(Table1[[#This Row],[Preferenza telefono]]="Primario",Table1[[#This Row],[Telefono primario]],"-"))</f>
        <v>0</v>
      </c>
      <c r="L428" s="37" t="s">
        <v>1856</v>
      </c>
      <c r="M428" s="37" t="s">
        <v>1856</v>
      </c>
      <c r="N428" s="35" t="b">
        <f>IF(_xlfn.UNICODE( Table1[[#This Row],[Check]])=9745,TRUE,FALSE)</f>
        <v>0</v>
      </c>
    </row>
    <row r="429" spans="1:14" ht="30" customHeight="1" x14ac:dyDescent="0.25">
      <c r="A429" s="27" t="s">
        <v>1634</v>
      </c>
      <c r="B429" s="42" t="s">
        <v>831</v>
      </c>
      <c r="C429" s="27"/>
      <c r="D429" s="28"/>
      <c r="E429" s="27"/>
      <c r="F429" s="27"/>
      <c r="G429" s="29"/>
      <c r="H429" s="95" t="s">
        <v>1855</v>
      </c>
      <c r="I429" s="27"/>
      <c r="J429" s="52" t="s">
        <v>1112</v>
      </c>
      <c r="K429" s="51">
        <f>IF(Table1[[#This Row],[Preferenza telefono]]="Casa",Table1[[#This Row],[Telefono casa]],IF(Table1[[#This Row],[Preferenza telefono]]="Primario",Table1[[#This Row],[Telefono primario]],"-"))</f>
        <v>0</v>
      </c>
      <c r="L429" s="37" t="s">
        <v>1856</v>
      </c>
      <c r="M429" s="37" t="s">
        <v>1856</v>
      </c>
      <c r="N429" s="35" t="b">
        <f>IF(_xlfn.UNICODE( Table1[[#This Row],[Check]])=9745,TRUE,FALSE)</f>
        <v>0</v>
      </c>
    </row>
    <row r="430" spans="1:14" ht="30" customHeight="1" x14ac:dyDescent="0.25">
      <c r="A430" s="27" t="s">
        <v>1634</v>
      </c>
      <c r="B430" s="42" t="s">
        <v>1828</v>
      </c>
      <c r="C430" s="27" t="s">
        <v>1829</v>
      </c>
      <c r="D430" s="28"/>
      <c r="E430" s="28"/>
      <c r="F430" s="27"/>
      <c r="G430" s="29"/>
      <c r="H430" s="95" t="s">
        <v>1854</v>
      </c>
      <c r="I430" s="101"/>
      <c r="J430" s="52" t="s">
        <v>1112</v>
      </c>
      <c r="K430" s="51">
        <f>IF(Table1[[#This Row],[Preferenza telefono]]="Casa",Table1[[#This Row],[Telefono casa]],IF(Table1[[#This Row],[Preferenza telefono]]="Primario",Table1[[#This Row],[Telefono primario]],"-"))</f>
        <v>0</v>
      </c>
      <c r="L430" s="37" t="s">
        <v>1856</v>
      </c>
      <c r="M430" s="37" t="s">
        <v>1856</v>
      </c>
      <c r="N430" s="35" t="b">
        <f>IF(_xlfn.UNICODE( Table1[[#This Row],[Check]])=9745,TRUE,FALSE)</f>
        <v>0</v>
      </c>
    </row>
    <row r="431" spans="1:14" ht="30" customHeight="1" x14ac:dyDescent="0.25">
      <c r="A431" s="27" t="s">
        <v>1634</v>
      </c>
      <c r="B431" s="42" t="s">
        <v>832</v>
      </c>
      <c r="C431" s="27" t="s">
        <v>150</v>
      </c>
      <c r="D431" s="28">
        <v>3384487188</v>
      </c>
      <c r="E431" s="27"/>
      <c r="F431" s="27" t="s">
        <v>623</v>
      </c>
      <c r="G431" s="29">
        <v>17348</v>
      </c>
      <c r="H431" s="95" t="s">
        <v>1854</v>
      </c>
      <c r="I431" s="27"/>
      <c r="J431" s="52" t="s">
        <v>1112</v>
      </c>
      <c r="K431" s="51">
        <f>IF(Table1[[#This Row],[Preferenza telefono]]="Casa",Table1[[#This Row],[Telefono casa]],IF(Table1[[#This Row],[Preferenza telefono]]="Primario",Table1[[#This Row],[Telefono primario]],"-"))</f>
        <v>3384487188</v>
      </c>
      <c r="L431" s="37" t="s">
        <v>1856</v>
      </c>
      <c r="M431" s="37" t="s">
        <v>1856</v>
      </c>
      <c r="N431" s="35" t="b">
        <f>IF(_xlfn.UNICODE( Table1[[#This Row],[Check]])=9745,TRUE,FALSE)</f>
        <v>0</v>
      </c>
    </row>
    <row r="432" spans="1:14" ht="30" customHeight="1" x14ac:dyDescent="0.25">
      <c r="A432" s="27" t="s">
        <v>1634</v>
      </c>
      <c r="B432" s="42" t="s">
        <v>149</v>
      </c>
      <c r="C432" s="27" t="s">
        <v>150</v>
      </c>
      <c r="D432" s="28"/>
      <c r="E432" s="96" t="s">
        <v>151</v>
      </c>
      <c r="F432" s="27" t="s">
        <v>139</v>
      </c>
      <c r="G432" s="29">
        <v>18018</v>
      </c>
      <c r="H432" s="95" t="s">
        <v>1855</v>
      </c>
      <c r="I432" s="27"/>
      <c r="J432" s="52" t="s">
        <v>1112</v>
      </c>
      <c r="K432" s="51">
        <f>IF(Table1[[#This Row],[Preferenza telefono]]="Casa",Table1[[#This Row],[Telefono casa]],IF(Table1[[#This Row],[Preferenza telefono]]="Primario",Table1[[#This Row],[Telefono primario]],"-"))</f>
        <v>0</v>
      </c>
      <c r="L432" s="37" t="s">
        <v>1856</v>
      </c>
      <c r="M432" s="37" t="s">
        <v>1856</v>
      </c>
      <c r="N432" s="35" t="b">
        <f>IF(_xlfn.UNICODE( Table1[[#This Row],[Check]])=9745,TRUE,FALSE)</f>
        <v>0</v>
      </c>
    </row>
    <row r="433" spans="1:14" ht="30" customHeight="1" x14ac:dyDescent="0.25">
      <c r="A433" s="27" t="s">
        <v>1634</v>
      </c>
      <c r="B433" s="42" t="s">
        <v>835</v>
      </c>
      <c r="C433" s="27"/>
      <c r="D433" s="28"/>
      <c r="E433" s="27"/>
      <c r="F433" s="27"/>
      <c r="G433" s="29"/>
      <c r="H433" s="95" t="s">
        <v>1854</v>
      </c>
      <c r="I433" s="27"/>
      <c r="J433" s="52" t="s">
        <v>1112</v>
      </c>
      <c r="K433" s="51">
        <f>IF(Table1[[#This Row],[Preferenza telefono]]="Casa",Table1[[#This Row],[Telefono casa]],IF(Table1[[#This Row],[Preferenza telefono]]="Primario",Table1[[#This Row],[Telefono primario]],"-"))</f>
        <v>0</v>
      </c>
      <c r="L433" s="37" t="s">
        <v>1856</v>
      </c>
      <c r="M433" s="37" t="s">
        <v>1856</v>
      </c>
      <c r="N433" s="35" t="b">
        <f>IF(_xlfn.UNICODE( Table1[[#This Row],[Check]])=9745,TRUE,FALSE)</f>
        <v>0</v>
      </c>
    </row>
    <row r="434" spans="1:14" ht="30" customHeight="1" x14ac:dyDescent="0.25">
      <c r="A434" s="27" t="s">
        <v>1634</v>
      </c>
      <c r="B434" s="42" t="s">
        <v>833</v>
      </c>
      <c r="C434" s="27" t="s">
        <v>150</v>
      </c>
      <c r="D434" s="28">
        <v>3335855459</v>
      </c>
      <c r="E434" s="27"/>
      <c r="F434" s="27" t="s">
        <v>776</v>
      </c>
      <c r="G434" s="29">
        <v>34113</v>
      </c>
      <c r="H434" s="95" t="s">
        <v>1854</v>
      </c>
      <c r="I434" s="27"/>
      <c r="J434" s="52" t="s">
        <v>1112</v>
      </c>
      <c r="K434" s="51">
        <f>IF(Table1[[#This Row],[Preferenza telefono]]="Casa",Table1[[#This Row],[Telefono casa]],IF(Table1[[#This Row],[Preferenza telefono]]="Primario",Table1[[#This Row],[Telefono primario]],"-"))</f>
        <v>3335855459</v>
      </c>
      <c r="L434" s="37" t="s">
        <v>1856</v>
      </c>
      <c r="M434" s="37" t="s">
        <v>1856</v>
      </c>
      <c r="N434" s="35" t="b">
        <f>IF(_xlfn.UNICODE( Table1[[#This Row],[Check]])=9745,TRUE,FALSE)</f>
        <v>0</v>
      </c>
    </row>
    <row r="435" spans="1:14" ht="30" customHeight="1" x14ac:dyDescent="0.25">
      <c r="A435" s="27" t="s">
        <v>1634</v>
      </c>
      <c r="B435" s="42" t="s">
        <v>834</v>
      </c>
      <c r="C435" s="27"/>
      <c r="D435" s="28">
        <v>3349108740</v>
      </c>
      <c r="E435" s="27"/>
      <c r="F435" s="27" t="s">
        <v>201</v>
      </c>
      <c r="G435" s="29"/>
      <c r="H435" s="95" t="s">
        <v>1855</v>
      </c>
      <c r="I435" s="27"/>
      <c r="J435" s="52" t="s">
        <v>1112</v>
      </c>
      <c r="K435" s="51">
        <f>IF(Table1[[#This Row],[Preferenza telefono]]="Casa",Table1[[#This Row],[Telefono casa]],IF(Table1[[#This Row],[Preferenza telefono]]="Primario",Table1[[#This Row],[Telefono primario]],"-"))</f>
        <v>3349108740</v>
      </c>
      <c r="L435" s="37" t="s">
        <v>1856</v>
      </c>
      <c r="M435" s="37" t="s">
        <v>1856</v>
      </c>
      <c r="N435" s="35" t="b">
        <f>IF(_xlfn.UNICODE( Table1[[#This Row],[Check]])=9745,TRUE,FALSE)</f>
        <v>0</v>
      </c>
    </row>
    <row r="436" spans="1:14" ht="30" customHeight="1" x14ac:dyDescent="0.25">
      <c r="A436" s="27" t="s">
        <v>1634</v>
      </c>
      <c r="B436" s="42" t="s">
        <v>836</v>
      </c>
      <c r="C436" s="27" t="s">
        <v>153</v>
      </c>
      <c r="D436" s="28">
        <v>3356574725</v>
      </c>
      <c r="E436" s="27"/>
      <c r="F436" s="27" t="s">
        <v>327</v>
      </c>
      <c r="G436" s="29">
        <v>28297</v>
      </c>
      <c r="H436" s="95" t="s">
        <v>1854</v>
      </c>
      <c r="I436" s="27"/>
      <c r="J436" s="52" t="s">
        <v>1112</v>
      </c>
      <c r="K436" s="51">
        <f>IF(Table1[[#This Row],[Preferenza telefono]]="Casa",Table1[[#This Row],[Telefono casa]],IF(Table1[[#This Row],[Preferenza telefono]]="Primario",Table1[[#This Row],[Telefono primario]],"-"))</f>
        <v>3356574725</v>
      </c>
      <c r="L436" s="37" t="s">
        <v>1856</v>
      </c>
      <c r="M436" s="37" t="s">
        <v>1856</v>
      </c>
      <c r="N436" s="35" t="b">
        <f>IF(_xlfn.UNICODE( Table1[[#This Row],[Check]])=9745,TRUE,FALSE)</f>
        <v>0</v>
      </c>
    </row>
    <row r="437" spans="1:14" ht="30" customHeight="1" x14ac:dyDescent="0.25">
      <c r="A437" s="27" t="s">
        <v>1634</v>
      </c>
      <c r="B437" s="42" t="s">
        <v>152</v>
      </c>
      <c r="C437" s="27" t="s">
        <v>153</v>
      </c>
      <c r="D437" s="28">
        <v>3338323623</v>
      </c>
      <c r="E437" s="27"/>
      <c r="F437" s="27" t="s">
        <v>154</v>
      </c>
      <c r="G437" s="29">
        <v>29581</v>
      </c>
      <c r="H437" s="95" t="s">
        <v>1854</v>
      </c>
      <c r="I437" s="27"/>
      <c r="J437" s="52" t="s">
        <v>1112</v>
      </c>
      <c r="K437" s="51">
        <f>IF(Table1[[#This Row],[Preferenza telefono]]="Casa",Table1[[#This Row],[Telefono casa]],IF(Table1[[#This Row],[Preferenza telefono]]="Primario",Table1[[#This Row],[Telefono primario]],"-"))</f>
        <v>3338323623</v>
      </c>
      <c r="L437" s="37" t="s">
        <v>1856</v>
      </c>
      <c r="M437" s="37" t="s">
        <v>1856</v>
      </c>
      <c r="N437" s="35" t="b">
        <f>IF(_xlfn.UNICODE( Table1[[#This Row],[Check]])=9745,TRUE,FALSE)</f>
        <v>0</v>
      </c>
    </row>
    <row r="438" spans="1:14" ht="30" customHeight="1" x14ac:dyDescent="0.25">
      <c r="A438" s="27" t="s">
        <v>1634</v>
      </c>
      <c r="B438" s="42" t="s">
        <v>837</v>
      </c>
      <c r="C438" s="27" t="s">
        <v>193</v>
      </c>
      <c r="D438" s="28">
        <v>3315992468</v>
      </c>
      <c r="E438" s="27"/>
      <c r="F438" s="27" t="s">
        <v>838</v>
      </c>
      <c r="G438" s="29">
        <v>27737</v>
      </c>
      <c r="H438" s="95" t="s">
        <v>1855</v>
      </c>
      <c r="I438" s="27"/>
      <c r="J438" s="52" t="s">
        <v>1112</v>
      </c>
      <c r="K438" s="51">
        <f>IF(Table1[[#This Row],[Preferenza telefono]]="Casa",Table1[[#This Row],[Telefono casa]],IF(Table1[[#This Row],[Preferenza telefono]]="Primario",Table1[[#This Row],[Telefono primario]],"-"))</f>
        <v>3315992468</v>
      </c>
      <c r="L438" s="37" t="s">
        <v>1856</v>
      </c>
      <c r="M438" s="37" t="s">
        <v>1856</v>
      </c>
      <c r="N438" s="35" t="b">
        <f>IF(_xlfn.UNICODE( Table1[[#This Row],[Check]])=9745,TRUE,FALSE)</f>
        <v>0</v>
      </c>
    </row>
    <row r="439" spans="1:14" ht="30" customHeight="1" x14ac:dyDescent="0.25">
      <c r="A439" s="27" t="s">
        <v>1634</v>
      </c>
      <c r="B439" s="42" t="s">
        <v>1785</v>
      </c>
      <c r="C439" s="27" t="s">
        <v>4</v>
      </c>
      <c r="D439" s="28">
        <v>3315992468</v>
      </c>
      <c r="E439" s="28"/>
      <c r="F439" s="27" t="s">
        <v>838</v>
      </c>
      <c r="G439" s="29"/>
      <c r="H439" s="95" t="s">
        <v>1854</v>
      </c>
      <c r="I439" s="101"/>
      <c r="J439" s="52" t="s">
        <v>1112</v>
      </c>
      <c r="K439" s="51">
        <f>IF(Table1[[#This Row],[Preferenza telefono]]="Casa",Table1[[#This Row],[Telefono casa]],IF(Table1[[#This Row],[Preferenza telefono]]="Primario",Table1[[#This Row],[Telefono primario]],"-"))</f>
        <v>3315992468</v>
      </c>
      <c r="L439" s="37" t="s">
        <v>1856</v>
      </c>
      <c r="M439" s="37" t="s">
        <v>1856</v>
      </c>
      <c r="N439" s="35" t="b">
        <f>IF(_xlfn.UNICODE( Table1[[#This Row],[Check]])=9745,TRUE,FALSE)</f>
        <v>0</v>
      </c>
    </row>
    <row r="440" spans="1:14" ht="30" customHeight="1" x14ac:dyDescent="0.25">
      <c r="A440" s="27" t="s">
        <v>1634</v>
      </c>
      <c r="B440" s="42" t="s">
        <v>839</v>
      </c>
      <c r="C440" s="27" t="s">
        <v>1</v>
      </c>
      <c r="D440" s="28">
        <v>3454529775</v>
      </c>
      <c r="E440" s="27"/>
      <c r="F440" s="27" t="s">
        <v>91</v>
      </c>
      <c r="G440" s="29">
        <v>21745</v>
      </c>
      <c r="H440" s="95" t="s">
        <v>1854</v>
      </c>
      <c r="I440" s="27"/>
      <c r="J440" s="52" t="s">
        <v>1112</v>
      </c>
      <c r="K440" s="51">
        <f>IF(Table1[[#This Row],[Preferenza telefono]]="Casa",Table1[[#This Row],[Telefono casa]],IF(Table1[[#This Row],[Preferenza telefono]]="Primario",Table1[[#This Row],[Telefono primario]],"-"))</f>
        <v>3454529775</v>
      </c>
      <c r="L440" s="37" t="s">
        <v>1856</v>
      </c>
      <c r="M440" s="37" t="s">
        <v>1856</v>
      </c>
      <c r="N440" s="35" t="b">
        <f>IF(_xlfn.UNICODE( Table1[[#This Row],[Check]])=9745,TRUE,FALSE)</f>
        <v>0</v>
      </c>
    </row>
    <row r="441" spans="1:14" ht="30" customHeight="1" x14ac:dyDescent="0.25">
      <c r="A441" s="27" t="s">
        <v>1634</v>
      </c>
      <c r="B441" s="42" t="s">
        <v>828</v>
      </c>
      <c r="C441" s="27"/>
      <c r="D441" s="28">
        <v>3208154499</v>
      </c>
      <c r="E441" s="27"/>
      <c r="F441" s="27" t="s">
        <v>829</v>
      </c>
      <c r="G441" s="29"/>
      <c r="H441" s="95" t="s">
        <v>1855</v>
      </c>
      <c r="I441" s="27"/>
      <c r="J441" s="52" t="s">
        <v>1112</v>
      </c>
      <c r="K441" s="51">
        <f>IF(Table1[[#This Row],[Preferenza telefono]]="Casa",Table1[[#This Row],[Telefono casa]],IF(Table1[[#This Row],[Preferenza telefono]]="Primario",Table1[[#This Row],[Telefono primario]],"-"))</f>
        <v>3208154499</v>
      </c>
      <c r="L441" s="37" t="s">
        <v>1856</v>
      </c>
      <c r="M441" s="37" t="s">
        <v>1856</v>
      </c>
      <c r="N441" s="35" t="b">
        <f>IF(_xlfn.UNICODE( Table1[[#This Row],[Check]])=9745,TRUE,FALSE)</f>
        <v>0</v>
      </c>
    </row>
    <row r="442" spans="1:14" ht="30" customHeight="1" x14ac:dyDescent="0.25">
      <c r="A442" s="27" t="s">
        <v>1634</v>
      </c>
      <c r="B442" s="42" t="s">
        <v>1731</v>
      </c>
      <c r="C442" s="27" t="s">
        <v>1732</v>
      </c>
      <c r="D442" s="28">
        <v>347870702</v>
      </c>
      <c r="E442" s="27"/>
      <c r="F442" s="27" t="s">
        <v>154</v>
      </c>
      <c r="G442" s="29">
        <v>30585</v>
      </c>
      <c r="H442" s="95" t="s">
        <v>1854</v>
      </c>
      <c r="I442" s="27"/>
      <c r="J442" s="52" t="s">
        <v>1112</v>
      </c>
      <c r="K442" s="51">
        <f>IF(Table1[[#This Row],[Preferenza telefono]]="Casa",Table1[[#This Row],[Telefono casa]],IF(Table1[[#This Row],[Preferenza telefono]]="Primario",Table1[[#This Row],[Telefono primario]],"-"))</f>
        <v>347870702</v>
      </c>
      <c r="L442" s="37" t="s">
        <v>1856</v>
      </c>
      <c r="M442" s="37" t="s">
        <v>1856</v>
      </c>
      <c r="N442" s="35" t="b">
        <f>IF(_xlfn.UNICODE( Table1[[#This Row],[Check]])=9745,TRUE,FALSE)</f>
        <v>0</v>
      </c>
    </row>
    <row r="443" spans="1:14" ht="30" customHeight="1" x14ac:dyDescent="0.25">
      <c r="A443" s="27" t="s">
        <v>1634</v>
      </c>
      <c r="B443" s="42" t="s">
        <v>827</v>
      </c>
      <c r="C443" s="27"/>
      <c r="D443" s="28"/>
      <c r="E443" s="27"/>
      <c r="F443" s="27"/>
      <c r="G443" s="29"/>
      <c r="H443" s="95" t="s">
        <v>1854</v>
      </c>
      <c r="I443" s="27"/>
      <c r="J443" s="52" t="s">
        <v>1112</v>
      </c>
      <c r="K443" s="51">
        <f>IF(Table1[[#This Row],[Preferenza telefono]]="Casa",Table1[[#This Row],[Telefono casa]],IF(Table1[[#This Row],[Preferenza telefono]]="Primario",Table1[[#This Row],[Telefono primario]],"-"))</f>
        <v>0</v>
      </c>
      <c r="L443" s="37" t="s">
        <v>1856</v>
      </c>
      <c r="M443" s="37" t="s">
        <v>1856</v>
      </c>
      <c r="N443" s="35" t="b">
        <f>IF(_xlfn.UNICODE( Table1[[#This Row],[Check]])=9745,TRUE,FALSE)</f>
        <v>0</v>
      </c>
    </row>
    <row r="444" spans="1:14" ht="30" customHeight="1" x14ac:dyDescent="0.25">
      <c r="A444" s="27" t="s">
        <v>1634</v>
      </c>
      <c r="B444" s="42" t="s">
        <v>840</v>
      </c>
      <c r="C444" s="27" t="s">
        <v>1</v>
      </c>
      <c r="D444" s="28">
        <v>3200526004</v>
      </c>
      <c r="E444" s="27"/>
      <c r="F444" s="27" t="s">
        <v>841</v>
      </c>
      <c r="G444" s="29">
        <v>28295</v>
      </c>
      <c r="H444" s="95" t="s">
        <v>1855</v>
      </c>
      <c r="I444" s="27"/>
      <c r="J444" s="52" t="s">
        <v>1112</v>
      </c>
      <c r="K444" s="51">
        <f>IF(Table1[[#This Row],[Preferenza telefono]]="Casa",Table1[[#This Row],[Telefono casa]],IF(Table1[[#This Row],[Preferenza telefono]]="Primario",Table1[[#This Row],[Telefono primario]],"-"))</f>
        <v>3200526004</v>
      </c>
      <c r="L444" s="37" t="s">
        <v>1856</v>
      </c>
      <c r="M444" s="37" t="s">
        <v>1856</v>
      </c>
      <c r="N444" s="35" t="b">
        <f>IF(_xlfn.UNICODE( Table1[[#This Row],[Check]])=9745,TRUE,FALSE)</f>
        <v>0</v>
      </c>
    </row>
    <row r="445" spans="1:14" ht="30" customHeight="1" x14ac:dyDescent="0.25">
      <c r="A445" s="27" t="s">
        <v>1634</v>
      </c>
      <c r="B445" s="42" t="s">
        <v>842</v>
      </c>
      <c r="C445" s="27" t="s">
        <v>1</v>
      </c>
      <c r="D445" s="28">
        <v>3922051090</v>
      </c>
      <c r="E445" s="27"/>
      <c r="F445" s="27" t="s">
        <v>104</v>
      </c>
      <c r="G445" s="29">
        <v>31140</v>
      </c>
      <c r="H445" s="95" t="s">
        <v>1854</v>
      </c>
      <c r="I445" s="27"/>
      <c r="J445" s="52" t="s">
        <v>1112</v>
      </c>
      <c r="K445" s="51">
        <f>IF(Table1[[#This Row],[Preferenza telefono]]="Casa",Table1[[#This Row],[Telefono casa]],IF(Table1[[#This Row],[Preferenza telefono]]="Primario",Table1[[#This Row],[Telefono primario]],"-"))</f>
        <v>3922051090</v>
      </c>
      <c r="L445" s="37" t="s">
        <v>1856</v>
      </c>
      <c r="M445" s="37" t="s">
        <v>1856</v>
      </c>
      <c r="N445" s="35" t="b">
        <f>IF(_xlfn.UNICODE( Table1[[#This Row],[Check]])=9745,TRUE,FALSE)</f>
        <v>0</v>
      </c>
    </row>
    <row r="446" spans="1:14" ht="30" customHeight="1" x14ac:dyDescent="0.25">
      <c r="A446" s="27" t="s">
        <v>1634</v>
      </c>
      <c r="B446" s="42" t="s">
        <v>823</v>
      </c>
      <c r="C446" s="27"/>
      <c r="D446" s="28"/>
      <c r="E446" s="27"/>
      <c r="F446" s="27"/>
      <c r="G446" s="29"/>
      <c r="H446" s="95" t="s">
        <v>1854</v>
      </c>
      <c r="I446" s="27"/>
      <c r="J446" s="52" t="s">
        <v>1112</v>
      </c>
      <c r="K446" s="51">
        <f>IF(Table1[[#This Row],[Preferenza telefono]]="Casa",Table1[[#This Row],[Telefono casa]],IF(Table1[[#This Row],[Preferenza telefono]]="Primario",Table1[[#This Row],[Telefono primario]],"-"))</f>
        <v>0</v>
      </c>
      <c r="L446" s="37" t="s">
        <v>1856</v>
      </c>
      <c r="M446" s="37" t="s">
        <v>1856</v>
      </c>
      <c r="N446" s="35" t="b">
        <f>IF(_xlfn.UNICODE( Table1[[#This Row],[Check]])=9745,TRUE,FALSE)</f>
        <v>0</v>
      </c>
    </row>
    <row r="447" spans="1:14" ht="30" customHeight="1" x14ac:dyDescent="0.25">
      <c r="A447" s="27" t="s">
        <v>1634</v>
      </c>
      <c r="B447" s="42" t="s">
        <v>843</v>
      </c>
      <c r="C447" s="27" t="s">
        <v>844</v>
      </c>
      <c r="D447" s="28">
        <v>3347981655</v>
      </c>
      <c r="E447" s="27"/>
      <c r="F447" s="27" t="s">
        <v>748</v>
      </c>
      <c r="G447" s="29" t="s">
        <v>113</v>
      </c>
      <c r="H447" s="95" t="s">
        <v>1855</v>
      </c>
      <c r="I447" s="27"/>
      <c r="J447" s="52" t="s">
        <v>1112</v>
      </c>
      <c r="K447" s="51">
        <f>IF(Table1[[#This Row],[Preferenza telefono]]="Casa",Table1[[#This Row],[Telefono casa]],IF(Table1[[#This Row],[Preferenza telefono]]="Primario",Table1[[#This Row],[Telefono primario]],"-"))</f>
        <v>3347981655</v>
      </c>
      <c r="L447" s="37" t="s">
        <v>1856</v>
      </c>
      <c r="M447" s="37" t="s">
        <v>1856</v>
      </c>
      <c r="N447" s="35" t="b">
        <f>IF(_xlfn.UNICODE( Table1[[#This Row],[Check]])=9745,TRUE,FALSE)</f>
        <v>0</v>
      </c>
    </row>
    <row r="448" spans="1:14" ht="30" customHeight="1" x14ac:dyDescent="0.25">
      <c r="A448" s="27" t="s">
        <v>1634</v>
      </c>
      <c r="B448" s="42" t="s">
        <v>845</v>
      </c>
      <c r="C448" s="27" t="s">
        <v>844</v>
      </c>
      <c r="D448" s="28">
        <v>3347981655</v>
      </c>
      <c r="E448" s="27"/>
      <c r="F448" s="27" t="s">
        <v>748</v>
      </c>
      <c r="G448" s="29" t="s">
        <v>113</v>
      </c>
      <c r="H448" s="95" t="s">
        <v>1854</v>
      </c>
      <c r="I448" s="27"/>
      <c r="J448" s="52" t="s">
        <v>1112</v>
      </c>
      <c r="K448" s="51">
        <f>IF(Table1[[#This Row],[Preferenza telefono]]="Casa",Table1[[#This Row],[Telefono casa]],IF(Table1[[#This Row],[Preferenza telefono]]="Primario",Table1[[#This Row],[Telefono primario]],"-"))</f>
        <v>3347981655</v>
      </c>
      <c r="L448" s="37" t="s">
        <v>1856</v>
      </c>
      <c r="M448" s="37" t="s">
        <v>1856</v>
      </c>
      <c r="N448" s="35" t="b">
        <f>IF(_xlfn.UNICODE( Table1[[#This Row],[Check]])=9745,TRUE,FALSE)</f>
        <v>0</v>
      </c>
    </row>
    <row r="449" spans="1:14" ht="30" customHeight="1" x14ac:dyDescent="0.25">
      <c r="A449" s="27" t="s">
        <v>1634</v>
      </c>
      <c r="B449" s="42" t="s">
        <v>846</v>
      </c>
      <c r="C449" s="27" t="s">
        <v>316</v>
      </c>
      <c r="D449" s="28">
        <v>3888344880</v>
      </c>
      <c r="E449" s="27"/>
      <c r="F449" s="27" t="s">
        <v>847</v>
      </c>
      <c r="G449" s="29" t="s">
        <v>113</v>
      </c>
      <c r="H449" s="95" t="s">
        <v>1854</v>
      </c>
      <c r="I449" s="27"/>
      <c r="J449" s="52" t="s">
        <v>1112</v>
      </c>
      <c r="K449" s="51">
        <f>IF(Table1[[#This Row],[Preferenza telefono]]="Casa",Table1[[#This Row],[Telefono casa]],IF(Table1[[#This Row],[Preferenza telefono]]="Primario",Table1[[#This Row],[Telefono primario]],"-"))</f>
        <v>3888344880</v>
      </c>
      <c r="L449" s="37" t="s">
        <v>1856</v>
      </c>
      <c r="M449" s="37" t="s">
        <v>1856</v>
      </c>
      <c r="N449" s="35" t="b">
        <f>IF(_xlfn.UNICODE( Table1[[#This Row],[Check]])=9745,TRUE,FALSE)</f>
        <v>0</v>
      </c>
    </row>
    <row r="450" spans="1:14" ht="30" customHeight="1" x14ac:dyDescent="0.25">
      <c r="A450" s="27" t="s">
        <v>1634</v>
      </c>
      <c r="B450" s="42" t="s">
        <v>850</v>
      </c>
      <c r="C450" s="27" t="s">
        <v>106</v>
      </c>
      <c r="D450" s="28">
        <v>3395312532</v>
      </c>
      <c r="E450" s="27"/>
      <c r="F450" s="27" t="s">
        <v>803</v>
      </c>
      <c r="G450" s="29" t="s">
        <v>113</v>
      </c>
      <c r="H450" s="95" t="s">
        <v>1855</v>
      </c>
      <c r="I450" s="27"/>
      <c r="J450" s="52" t="s">
        <v>1112</v>
      </c>
      <c r="K450" s="51">
        <f>IF(Table1[[#This Row],[Preferenza telefono]]="Casa",Table1[[#This Row],[Telefono casa]],IF(Table1[[#This Row],[Preferenza telefono]]="Primario",Table1[[#This Row],[Telefono primario]],"-"))</f>
        <v>3395312532</v>
      </c>
      <c r="L450" s="37" t="s">
        <v>1856</v>
      </c>
      <c r="M450" s="37" t="s">
        <v>1856</v>
      </c>
      <c r="N450" s="35" t="b">
        <f>IF(_xlfn.UNICODE( Table1[[#This Row],[Check]])=9745,TRUE,FALSE)</f>
        <v>0</v>
      </c>
    </row>
    <row r="451" spans="1:14" ht="30" customHeight="1" x14ac:dyDescent="0.25">
      <c r="A451" s="27" t="s">
        <v>1634</v>
      </c>
      <c r="B451" s="42" t="s">
        <v>855</v>
      </c>
      <c r="C451" s="27" t="s">
        <v>856</v>
      </c>
      <c r="D451" s="28">
        <v>3485248779</v>
      </c>
      <c r="E451" s="27"/>
      <c r="F451" s="27" t="s">
        <v>418</v>
      </c>
      <c r="G451" s="29">
        <v>20190</v>
      </c>
      <c r="H451" s="95" t="s">
        <v>1854</v>
      </c>
      <c r="I451" s="27"/>
      <c r="J451" s="52" t="s">
        <v>1112</v>
      </c>
      <c r="K451" s="51">
        <f>IF(Table1[[#This Row],[Preferenza telefono]]="Casa",Table1[[#This Row],[Telefono casa]],IF(Table1[[#This Row],[Preferenza telefono]]="Primario",Table1[[#This Row],[Telefono primario]],"-"))</f>
        <v>3485248779</v>
      </c>
      <c r="L451" s="37" t="s">
        <v>1856</v>
      </c>
      <c r="M451" s="37" t="s">
        <v>1856</v>
      </c>
      <c r="N451" s="35" t="b">
        <f>IF(_xlfn.UNICODE( Table1[[#This Row],[Check]])=9745,TRUE,FALSE)</f>
        <v>0</v>
      </c>
    </row>
    <row r="452" spans="1:14" ht="30" customHeight="1" x14ac:dyDescent="0.25">
      <c r="A452" s="27" t="s">
        <v>1634</v>
      </c>
      <c r="B452" s="42" t="s">
        <v>853</v>
      </c>
      <c r="C452" s="27" t="s">
        <v>854</v>
      </c>
      <c r="D452" s="28">
        <v>3493363382</v>
      </c>
      <c r="E452" s="27"/>
      <c r="F452" s="27" t="s">
        <v>464</v>
      </c>
      <c r="G452" s="29" t="s">
        <v>113</v>
      </c>
      <c r="H452" s="95" t="s">
        <v>1854</v>
      </c>
      <c r="I452" s="27"/>
      <c r="J452" s="52" t="s">
        <v>1112</v>
      </c>
      <c r="K452" s="51">
        <f>IF(Table1[[#This Row],[Preferenza telefono]]="Casa",Table1[[#This Row],[Telefono casa]],IF(Table1[[#This Row],[Preferenza telefono]]="Primario",Table1[[#This Row],[Telefono primario]],"-"))</f>
        <v>3493363382</v>
      </c>
      <c r="L452" s="37" t="s">
        <v>1856</v>
      </c>
      <c r="M452" s="37" t="s">
        <v>1856</v>
      </c>
      <c r="N452" s="35" t="b">
        <f>IF(_xlfn.UNICODE( Table1[[#This Row],[Check]])=9745,TRUE,FALSE)</f>
        <v>0</v>
      </c>
    </row>
    <row r="453" spans="1:14" ht="30" customHeight="1" x14ac:dyDescent="0.25">
      <c r="A453" s="27" t="s">
        <v>1634</v>
      </c>
      <c r="B453" s="42" t="s">
        <v>851</v>
      </c>
      <c r="C453" s="27" t="s">
        <v>425</v>
      </c>
      <c r="D453" s="28">
        <v>3383760423</v>
      </c>
      <c r="E453" s="27"/>
      <c r="F453" s="27" t="s">
        <v>852</v>
      </c>
      <c r="G453" s="29" t="s">
        <v>113</v>
      </c>
      <c r="H453" s="95" t="s">
        <v>1855</v>
      </c>
      <c r="I453" s="27"/>
      <c r="J453" s="52" t="s">
        <v>1112</v>
      </c>
      <c r="K453" s="51">
        <f>IF(Table1[[#This Row],[Preferenza telefono]]="Casa",Table1[[#This Row],[Telefono casa]],IF(Table1[[#This Row],[Preferenza telefono]]="Primario",Table1[[#This Row],[Telefono primario]],"-"))</f>
        <v>3383760423</v>
      </c>
      <c r="L453" s="37" t="s">
        <v>1856</v>
      </c>
      <c r="M453" s="37" t="s">
        <v>1856</v>
      </c>
      <c r="N453" s="35" t="b">
        <f>IF(_xlfn.UNICODE( Table1[[#This Row],[Check]])=9745,TRUE,FALSE)</f>
        <v>0</v>
      </c>
    </row>
    <row r="454" spans="1:14" ht="30" customHeight="1" x14ac:dyDescent="0.25">
      <c r="A454" s="27" t="s">
        <v>1634</v>
      </c>
      <c r="B454" s="42" t="s">
        <v>848</v>
      </c>
      <c r="C454" s="27" t="s">
        <v>282</v>
      </c>
      <c r="D454" s="28">
        <v>3389379156</v>
      </c>
      <c r="E454" s="27"/>
      <c r="F454" s="27" t="s">
        <v>849</v>
      </c>
      <c r="G454" s="29" t="s">
        <v>113</v>
      </c>
      <c r="H454" s="95" t="s">
        <v>1854</v>
      </c>
      <c r="I454" s="27"/>
      <c r="J454" s="52" t="s">
        <v>1112</v>
      </c>
      <c r="K454" s="51">
        <f>IF(Table1[[#This Row],[Preferenza telefono]]="Casa",Table1[[#This Row],[Telefono casa]],IF(Table1[[#This Row],[Preferenza telefono]]="Primario",Table1[[#This Row],[Telefono primario]],"-"))</f>
        <v>3389379156</v>
      </c>
      <c r="L454" s="37" t="s">
        <v>1856</v>
      </c>
      <c r="M454" s="37" t="s">
        <v>1856</v>
      </c>
      <c r="N454" s="35" t="b">
        <f>IF(_xlfn.UNICODE( Table1[[#This Row],[Check]])=9745,TRUE,FALSE)</f>
        <v>0</v>
      </c>
    </row>
    <row r="455" spans="1:14" ht="30" customHeight="1" x14ac:dyDescent="0.25">
      <c r="A455" s="27" t="s">
        <v>1634</v>
      </c>
      <c r="B455" s="42" t="s">
        <v>857</v>
      </c>
      <c r="C455" s="27" t="s">
        <v>858</v>
      </c>
      <c r="D455" s="28">
        <v>3383386853</v>
      </c>
      <c r="E455" s="27"/>
      <c r="F455" s="27" t="s">
        <v>859</v>
      </c>
      <c r="G455" s="29" t="s">
        <v>113</v>
      </c>
      <c r="H455" s="95" t="s">
        <v>1854</v>
      </c>
      <c r="I455" s="27"/>
      <c r="J455" s="52" t="s">
        <v>1112</v>
      </c>
      <c r="K455" s="51">
        <f>IF(Table1[[#This Row],[Preferenza telefono]]="Casa",Table1[[#This Row],[Telefono casa]],IF(Table1[[#This Row],[Preferenza telefono]]="Primario",Table1[[#This Row],[Telefono primario]],"-"))</f>
        <v>3383386853</v>
      </c>
      <c r="L455" s="37" t="s">
        <v>1856</v>
      </c>
      <c r="M455" s="37" t="s">
        <v>1856</v>
      </c>
      <c r="N455" s="35" t="b">
        <f>IF(_xlfn.UNICODE( Table1[[#This Row],[Check]])=9745,TRUE,FALSE)</f>
        <v>0</v>
      </c>
    </row>
    <row r="456" spans="1:14" ht="30" customHeight="1" x14ac:dyDescent="0.25">
      <c r="A456" s="27" t="s">
        <v>1634</v>
      </c>
      <c r="B456" s="47" t="s">
        <v>861</v>
      </c>
      <c r="C456" s="27" t="s">
        <v>854</v>
      </c>
      <c r="D456" s="28">
        <v>3426812115</v>
      </c>
      <c r="E456" s="27"/>
      <c r="F456" s="27" t="s">
        <v>862</v>
      </c>
      <c r="G456" s="29" t="s">
        <v>113</v>
      </c>
      <c r="H456" s="95" t="s">
        <v>1855</v>
      </c>
      <c r="I456" s="27"/>
      <c r="J456" s="52" t="s">
        <v>1112</v>
      </c>
      <c r="K456" s="51">
        <f>IF(Table1[[#This Row],[Preferenza telefono]]="Casa",Table1[[#This Row],[Telefono casa]],IF(Table1[[#This Row],[Preferenza telefono]]="Primario",Table1[[#This Row],[Telefono primario]],"-"))</f>
        <v>3426812115</v>
      </c>
      <c r="L456" s="37" t="s">
        <v>1856</v>
      </c>
      <c r="M456" s="37" t="s">
        <v>1856</v>
      </c>
      <c r="N456" s="35" t="b">
        <f>IF(_xlfn.UNICODE( Table1[[#This Row],[Check]])=9745,TRUE,FALSE)</f>
        <v>0</v>
      </c>
    </row>
    <row r="457" spans="1:14" ht="30" customHeight="1" x14ac:dyDescent="0.25">
      <c r="A457" s="27" t="s">
        <v>1634</v>
      </c>
      <c r="B457" s="42" t="s">
        <v>863</v>
      </c>
      <c r="C457" s="27" t="s">
        <v>448</v>
      </c>
      <c r="D457" s="28"/>
      <c r="E457" s="27"/>
      <c r="F457" s="27" t="s">
        <v>133</v>
      </c>
      <c r="G457" s="29" t="s">
        <v>113</v>
      </c>
      <c r="H457" s="95" t="s">
        <v>1854</v>
      </c>
      <c r="I457" s="27"/>
      <c r="J457" s="52" t="s">
        <v>1112</v>
      </c>
      <c r="K457" s="51">
        <f>IF(Table1[[#This Row],[Preferenza telefono]]="Casa",Table1[[#This Row],[Telefono casa]],IF(Table1[[#This Row],[Preferenza telefono]]="Primario",Table1[[#This Row],[Telefono primario]],"-"))</f>
        <v>0</v>
      </c>
      <c r="L457" s="37" t="s">
        <v>1856</v>
      </c>
      <c r="M457" s="37" t="s">
        <v>1856</v>
      </c>
      <c r="N457" s="35" t="b">
        <f>IF(_xlfn.UNICODE( Table1[[#This Row],[Check]])=9745,TRUE,FALSE)</f>
        <v>0</v>
      </c>
    </row>
    <row r="458" spans="1:14" ht="30" customHeight="1" x14ac:dyDescent="0.25">
      <c r="A458" s="27" t="s">
        <v>1634</v>
      </c>
      <c r="B458" s="42" t="s">
        <v>860</v>
      </c>
      <c r="C458" s="27" t="s">
        <v>103</v>
      </c>
      <c r="D458" s="28">
        <v>3470111682</v>
      </c>
      <c r="E458" s="27">
        <v>3493841408</v>
      </c>
      <c r="F458" s="27"/>
      <c r="G458" s="29"/>
      <c r="H458" s="95" t="s">
        <v>1854</v>
      </c>
      <c r="I458" s="27"/>
      <c r="J458" s="52" t="s">
        <v>1112</v>
      </c>
      <c r="K458" s="51">
        <f>IF(Table1[[#This Row],[Preferenza telefono]]="Casa",Table1[[#This Row],[Telefono casa]],IF(Table1[[#This Row],[Preferenza telefono]]="Primario",Table1[[#This Row],[Telefono primario]],"-"))</f>
        <v>3470111682</v>
      </c>
      <c r="L458" s="37" t="s">
        <v>1856</v>
      </c>
      <c r="M458" s="37" t="s">
        <v>1856</v>
      </c>
      <c r="N458" s="35" t="b">
        <f>IF(_xlfn.UNICODE( Table1[[#This Row],[Check]])=9745,TRUE,FALSE)</f>
        <v>0</v>
      </c>
    </row>
    <row r="459" spans="1:14" ht="30" customHeight="1" x14ac:dyDescent="0.25">
      <c r="A459" s="27" t="s">
        <v>1634</v>
      </c>
      <c r="B459" s="42" t="s">
        <v>864</v>
      </c>
      <c r="C459" s="27" t="s">
        <v>3</v>
      </c>
      <c r="D459" s="28" t="s">
        <v>113</v>
      </c>
      <c r="E459" s="27" t="s">
        <v>865</v>
      </c>
      <c r="F459" s="27" t="s">
        <v>113</v>
      </c>
      <c r="G459" s="29" t="s">
        <v>113</v>
      </c>
      <c r="H459" s="95" t="s">
        <v>1855</v>
      </c>
      <c r="I459" s="27"/>
      <c r="J459" s="52" t="s">
        <v>1112</v>
      </c>
      <c r="K459" s="51" t="str">
        <f>IF(Table1[[#This Row],[Preferenza telefono]]="Casa",Table1[[#This Row],[Telefono casa]],IF(Table1[[#This Row],[Preferenza telefono]]="Primario",Table1[[#This Row],[Telefono primario]],"-"))</f>
        <v>-</v>
      </c>
      <c r="L459" s="37" t="s">
        <v>1856</v>
      </c>
      <c r="M459" s="37" t="s">
        <v>1856</v>
      </c>
      <c r="N459" s="35" t="b">
        <f>IF(_xlfn.UNICODE( Table1[[#This Row],[Check]])=9745,TRUE,FALSE)</f>
        <v>0</v>
      </c>
    </row>
    <row r="460" spans="1:14" ht="30" customHeight="1" x14ac:dyDescent="0.25">
      <c r="A460" s="27" t="s">
        <v>1634</v>
      </c>
      <c r="B460" s="42" t="s">
        <v>1733</v>
      </c>
      <c r="C460" s="27" t="s">
        <v>1734</v>
      </c>
      <c r="D460" s="28">
        <v>3492171354</v>
      </c>
      <c r="E460" s="27"/>
      <c r="F460" s="27" t="s">
        <v>941</v>
      </c>
      <c r="G460" s="29" t="s">
        <v>113</v>
      </c>
      <c r="H460" s="95" t="s">
        <v>1854</v>
      </c>
      <c r="I460" s="27"/>
      <c r="J460" s="52" t="s">
        <v>1112</v>
      </c>
      <c r="K460" s="51">
        <f>IF(Table1[[#This Row],[Preferenza telefono]]="Casa",Table1[[#This Row],[Telefono casa]],IF(Table1[[#This Row],[Preferenza telefono]]="Primario",Table1[[#This Row],[Telefono primario]],"-"))</f>
        <v>3492171354</v>
      </c>
      <c r="L460" s="37" t="s">
        <v>1856</v>
      </c>
      <c r="M460" s="37" t="s">
        <v>1856</v>
      </c>
      <c r="N460" s="35" t="b">
        <f>IF(_xlfn.UNICODE( Table1[[#This Row],[Check]])=9745,TRUE,FALSE)</f>
        <v>0</v>
      </c>
    </row>
    <row r="461" spans="1:14" ht="30" customHeight="1" x14ac:dyDescent="0.25">
      <c r="A461" s="27" t="s">
        <v>1634</v>
      </c>
      <c r="B461" s="42" t="s">
        <v>866</v>
      </c>
      <c r="C461" s="27" t="s">
        <v>90</v>
      </c>
      <c r="D461" s="28">
        <v>3494312748</v>
      </c>
      <c r="E461" s="27"/>
      <c r="F461" s="27" t="s">
        <v>278</v>
      </c>
      <c r="G461" s="29" t="s">
        <v>113</v>
      </c>
      <c r="H461" s="95" t="s">
        <v>1854</v>
      </c>
      <c r="I461" s="27"/>
      <c r="J461" s="52" t="s">
        <v>1112</v>
      </c>
      <c r="K461" s="51">
        <f>IF(Table1[[#This Row],[Preferenza telefono]]="Casa",Table1[[#This Row],[Telefono casa]],IF(Table1[[#This Row],[Preferenza telefono]]="Primario",Table1[[#This Row],[Telefono primario]],"-"))</f>
        <v>3494312748</v>
      </c>
      <c r="L461" s="37" t="s">
        <v>1856</v>
      </c>
      <c r="M461" s="37" t="s">
        <v>1856</v>
      </c>
      <c r="N461" s="35" t="b">
        <f>IF(_xlfn.UNICODE( Table1[[#This Row],[Check]])=9745,TRUE,FALSE)</f>
        <v>0</v>
      </c>
    </row>
    <row r="462" spans="1:14" ht="30" customHeight="1" x14ac:dyDescent="0.25">
      <c r="A462" s="27" t="s">
        <v>1634</v>
      </c>
      <c r="B462" s="42" t="s">
        <v>867</v>
      </c>
      <c r="C462" s="27" t="s">
        <v>4</v>
      </c>
      <c r="D462" s="28">
        <v>3472547303</v>
      </c>
      <c r="E462" s="27"/>
      <c r="F462" s="27" t="s">
        <v>667</v>
      </c>
      <c r="G462" s="29">
        <v>31245</v>
      </c>
      <c r="H462" s="95" t="s">
        <v>1855</v>
      </c>
      <c r="I462" s="27"/>
      <c r="J462" s="52" t="s">
        <v>1112</v>
      </c>
      <c r="K462" s="51">
        <f>IF(Table1[[#This Row],[Preferenza telefono]]="Casa",Table1[[#This Row],[Telefono casa]],IF(Table1[[#This Row],[Preferenza telefono]]="Primario",Table1[[#This Row],[Telefono primario]],"-"))</f>
        <v>3472547303</v>
      </c>
      <c r="L462" s="37" t="s">
        <v>1856</v>
      </c>
      <c r="M462" s="37" t="s">
        <v>1856</v>
      </c>
      <c r="N462" s="35" t="b">
        <f>IF(_xlfn.UNICODE( Table1[[#This Row],[Check]])=9745,TRUE,FALSE)</f>
        <v>0</v>
      </c>
    </row>
    <row r="463" spans="1:14" ht="30" customHeight="1" x14ac:dyDescent="0.25">
      <c r="A463" s="27" t="s">
        <v>1634</v>
      </c>
      <c r="B463" s="42" t="s">
        <v>868</v>
      </c>
      <c r="C463" s="27" t="s">
        <v>4</v>
      </c>
      <c r="D463" s="28">
        <v>3201549885</v>
      </c>
      <c r="E463" s="27"/>
      <c r="F463" s="27" t="s">
        <v>869</v>
      </c>
      <c r="G463" s="29">
        <v>30935</v>
      </c>
      <c r="H463" s="95" t="s">
        <v>1854</v>
      </c>
      <c r="I463" s="27"/>
      <c r="J463" s="52" t="s">
        <v>1112</v>
      </c>
      <c r="K463" s="51">
        <f>IF(Table1[[#This Row],[Preferenza telefono]]="Casa",Table1[[#This Row],[Telefono casa]],IF(Table1[[#This Row],[Preferenza telefono]]="Primario",Table1[[#This Row],[Telefono primario]],"-"))</f>
        <v>3201549885</v>
      </c>
      <c r="L463" s="37" t="s">
        <v>1856</v>
      </c>
      <c r="M463" s="37" t="s">
        <v>1856</v>
      </c>
      <c r="N463" s="35" t="b">
        <f>IF(_xlfn.UNICODE( Table1[[#This Row],[Check]])=9745,TRUE,FALSE)</f>
        <v>0</v>
      </c>
    </row>
    <row r="464" spans="1:14" ht="30" customHeight="1" x14ac:dyDescent="0.25">
      <c r="A464" s="27" t="s">
        <v>1634</v>
      </c>
      <c r="B464" s="42" t="s">
        <v>872</v>
      </c>
      <c r="C464" s="27" t="s">
        <v>1</v>
      </c>
      <c r="D464" s="28">
        <v>3389247566</v>
      </c>
      <c r="E464" s="27"/>
      <c r="F464" s="27" t="s">
        <v>623</v>
      </c>
      <c r="G464" s="29">
        <v>24008</v>
      </c>
      <c r="H464" s="95" t="s">
        <v>1854</v>
      </c>
      <c r="I464" s="27"/>
      <c r="J464" s="52" t="s">
        <v>1112</v>
      </c>
      <c r="K464" s="51">
        <f>IF(Table1[[#This Row],[Preferenza telefono]]="Casa",Table1[[#This Row],[Telefono casa]],IF(Table1[[#This Row],[Preferenza telefono]]="Primario",Table1[[#This Row],[Telefono primario]],"-"))</f>
        <v>3389247566</v>
      </c>
      <c r="L464" s="37" t="s">
        <v>1856</v>
      </c>
      <c r="M464" s="37" t="s">
        <v>1856</v>
      </c>
      <c r="N464" s="35" t="b">
        <f>IF(_xlfn.UNICODE( Table1[[#This Row],[Check]])=9745,TRUE,FALSE)</f>
        <v>0</v>
      </c>
    </row>
    <row r="465" spans="1:14" ht="30" customHeight="1" x14ac:dyDescent="0.25">
      <c r="A465" s="27" t="s">
        <v>1634</v>
      </c>
      <c r="B465" s="42" t="s">
        <v>155</v>
      </c>
      <c r="C465" s="27" t="s">
        <v>156</v>
      </c>
      <c r="D465" s="28">
        <v>3384694699</v>
      </c>
      <c r="E465" s="27"/>
      <c r="F465" s="27" t="s">
        <v>157</v>
      </c>
      <c r="G465" s="29">
        <v>32409</v>
      </c>
      <c r="H465" s="95" t="s">
        <v>1855</v>
      </c>
      <c r="I465" s="27"/>
      <c r="J465" s="52" t="s">
        <v>1112</v>
      </c>
      <c r="K465" s="51">
        <f>IF(Table1[[#This Row],[Preferenza telefono]]="Casa",Table1[[#This Row],[Telefono casa]],IF(Table1[[#This Row],[Preferenza telefono]]="Primario",Table1[[#This Row],[Telefono primario]],"-"))</f>
        <v>3384694699</v>
      </c>
      <c r="L465" s="37" t="s">
        <v>1856</v>
      </c>
      <c r="M465" s="37" t="s">
        <v>1856</v>
      </c>
      <c r="N465" s="35" t="b">
        <f>IF(_xlfn.UNICODE( Table1[[#This Row],[Check]])=9745,TRUE,FALSE)</f>
        <v>0</v>
      </c>
    </row>
    <row r="466" spans="1:14" ht="30" customHeight="1" x14ac:dyDescent="0.25">
      <c r="A466" s="27" t="s">
        <v>1634</v>
      </c>
      <c r="B466" s="42" t="s">
        <v>874</v>
      </c>
      <c r="C466" s="27" t="s">
        <v>875</v>
      </c>
      <c r="D466" s="28" t="s">
        <v>113</v>
      </c>
      <c r="E466" s="27"/>
      <c r="F466" s="27" t="s">
        <v>876</v>
      </c>
      <c r="G466" s="29">
        <v>22106</v>
      </c>
      <c r="H466" s="95" t="s">
        <v>1854</v>
      </c>
      <c r="I466" s="27"/>
      <c r="J466" s="52" t="s">
        <v>1112</v>
      </c>
      <c r="K466" s="51" t="str">
        <f>IF(Table1[[#This Row],[Preferenza telefono]]="Casa",Table1[[#This Row],[Telefono casa]],IF(Table1[[#This Row],[Preferenza telefono]]="Primario",Table1[[#This Row],[Telefono primario]],"-"))</f>
        <v>-</v>
      </c>
      <c r="L466" s="37" t="s">
        <v>1856</v>
      </c>
      <c r="M466" s="37" t="s">
        <v>1856</v>
      </c>
      <c r="N466" s="35" t="b">
        <f>IF(_xlfn.UNICODE( Table1[[#This Row],[Check]])=9745,TRUE,FALSE)</f>
        <v>0</v>
      </c>
    </row>
    <row r="467" spans="1:14" ht="30" customHeight="1" x14ac:dyDescent="0.25">
      <c r="A467" s="27" t="s">
        <v>1634</v>
      </c>
      <c r="B467" s="42" t="s">
        <v>877</v>
      </c>
      <c r="C467" s="27" t="s">
        <v>4</v>
      </c>
      <c r="D467" s="28" t="s">
        <v>113</v>
      </c>
      <c r="E467" s="27"/>
      <c r="F467" s="27" t="s">
        <v>878</v>
      </c>
      <c r="G467" s="29">
        <v>30282</v>
      </c>
      <c r="H467" s="95" t="s">
        <v>1854</v>
      </c>
      <c r="I467" s="27"/>
      <c r="J467" s="52" t="s">
        <v>1112</v>
      </c>
      <c r="K467" s="51" t="str">
        <f>IF(Table1[[#This Row],[Preferenza telefono]]="Casa",Table1[[#This Row],[Telefono casa]],IF(Table1[[#This Row],[Preferenza telefono]]="Primario",Table1[[#This Row],[Telefono primario]],"-"))</f>
        <v>-</v>
      </c>
      <c r="L467" s="37" t="s">
        <v>1856</v>
      </c>
      <c r="M467" s="37" t="s">
        <v>1856</v>
      </c>
      <c r="N467" s="35" t="b">
        <f>IF(_xlfn.UNICODE( Table1[[#This Row],[Check]])=9745,TRUE,FALSE)</f>
        <v>0</v>
      </c>
    </row>
    <row r="468" spans="1:14" ht="30" customHeight="1" x14ac:dyDescent="0.25">
      <c r="A468" s="27" t="s">
        <v>1634</v>
      </c>
      <c r="B468" s="42" t="s">
        <v>873</v>
      </c>
      <c r="C468" s="27" t="s">
        <v>4</v>
      </c>
      <c r="D468" s="28">
        <v>3388483676</v>
      </c>
      <c r="E468" s="27"/>
      <c r="F468" s="27" t="s">
        <v>491</v>
      </c>
      <c r="G468" s="29" t="s">
        <v>113</v>
      </c>
      <c r="H468" s="95" t="s">
        <v>1855</v>
      </c>
      <c r="I468" s="27"/>
      <c r="J468" s="52" t="s">
        <v>1112</v>
      </c>
      <c r="K468" s="51">
        <f>IF(Table1[[#This Row],[Preferenza telefono]]="Casa",Table1[[#This Row],[Telefono casa]],IF(Table1[[#This Row],[Preferenza telefono]]="Primario",Table1[[#This Row],[Telefono primario]],"-"))</f>
        <v>3388483676</v>
      </c>
      <c r="L468" s="37" t="s">
        <v>1856</v>
      </c>
      <c r="M468" s="37" t="s">
        <v>1856</v>
      </c>
      <c r="N468" s="35" t="b">
        <f>IF(_xlfn.UNICODE( Table1[[#This Row],[Check]])=9745,TRUE,FALSE)</f>
        <v>0</v>
      </c>
    </row>
    <row r="469" spans="1:14" ht="30" customHeight="1" x14ac:dyDescent="0.25">
      <c r="A469" s="27" t="s">
        <v>1634</v>
      </c>
      <c r="B469" s="42" t="s">
        <v>870</v>
      </c>
      <c r="C469" s="27" t="s">
        <v>4</v>
      </c>
      <c r="D469" s="28">
        <v>3356818133</v>
      </c>
      <c r="E469" s="27"/>
      <c r="F469" s="27" t="s">
        <v>871</v>
      </c>
      <c r="G469" s="29">
        <v>15077</v>
      </c>
      <c r="H469" s="95" t="s">
        <v>1854</v>
      </c>
      <c r="I469" s="27"/>
      <c r="J469" s="52" t="s">
        <v>1112</v>
      </c>
      <c r="K469" s="51">
        <f>IF(Table1[[#This Row],[Preferenza telefono]]="Casa",Table1[[#This Row],[Telefono casa]],IF(Table1[[#This Row],[Preferenza telefono]]="Primario",Table1[[#This Row],[Telefono primario]],"-"))</f>
        <v>3356818133</v>
      </c>
      <c r="L469" s="37" t="s">
        <v>1856</v>
      </c>
      <c r="M469" s="37" t="s">
        <v>1856</v>
      </c>
      <c r="N469" s="35" t="b">
        <f>IF(_xlfn.UNICODE( Table1[[#This Row],[Check]])=9745,TRUE,FALSE)</f>
        <v>0</v>
      </c>
    </row>
    <row r="470" spans="1:14" ht="30" customHeight="1" x14ac:dyDescent="0.25">
      <c r="A470" s="27" t="s">
        <v>1634</v>
      </c>
      <c r="B470" s="42" t="s">
        <v>1770</v>
      </c>
      <c r="C470" s="27" t="s">
        <v>90</v>
      </c>
      <c r="D470" s="28"/>
      <c r="E470" s="27"/>
      <c r="F470" s="27"/>
      <c r="G470" s="29" t="s">
        <v>113</v>
      </c>
      <c r="H470" s="95" t="s">
        <v>1854</v>
      </c>
      <c r="I470" s="27"/>
      <c r="J470" s="52" t="s">
        <v>1112</v>
      </c>
      <c r="K470" s="51">
        <f>IF(Table1[[#This Row],[Preferenza telefono]]="Casa",Table1[[#This Row],[Telefono casa]],IF(Table1[[#This Row],[Preferenza telefono]]="Primario",Table1[[#This Row],[Telefono primario]],"-"))</f>
        <v>0</v>
      </c>
      <c r="L470" s="37" t="s">
        <v>1856</v>
      </c>
      <c r="M470" s="37" t="s">
        <v>1856</v>
      </c>
      <c r="N470" s="35" t="b">
        <f>IF(_xlfn.UNICODE( Table1[[#This Row],[Check]])=9745,TRUE,FALSE)</f>
        <v>0</v>
      </c>
    </row>
    <row r="471" spans="1:14" ht="30" customHeight="1" x14ac:dyDescent="0.25">
      <c r="A471" s="27" t="s">
        <v>1634</v>
      </c>
      <c r="B471" s="42" t="s">
        <v>158</v>
      </c>
      <c r="C471" s="27" t="s">
        <v>159</v>
      </c>
      <c r="D471" s="28">
        <v>3477130975</v>
      </c>
      <c r="E471" s="27"/>
      <c r="F471" s="27" t="s">
        <v>160</v>
      </c>
      <c r="G471" s="29">
        <v>24814</v>
      </c>
      <c r="H471" s="95" t="s">
        <v>1855</v>
      </c>
      <c r="I471" s="27"/>
      <c r="J471" s="52" t="s">
        <v>1112</v>
      </c>
      <c r="K471" s="51">
        <f>IF(Table1[[#This Row],[Preferenza telefono]]="Casa",Table1[[#This Row],[Telefono casa]],IF(Table1[[#This Row],[Preferenza telefono]]="Primario",Table1[[#This Row],[Telefono primario]],"-"))</f>
        <v>3477130975</v>
      </c>
      <c r="L471" s="37" t="s">
        <v>1856</v>
      </c>
      <c r="M471" s="37" t="s">
        <v>1856</v>
      </c>
      <c r="N471" s="35" t="b">
        <f>IF(_xlfn.UNICODE( Table1[[#This Row],[Check]])=9745,TRUE,FALSE)</f>
        <v>0</v>
      </c>
    </row>
    <row r="472" spans="1:14" ht="30" customHeight="1" x14ac:dyDescent="0.25">
      <c r="A472" s="27" t="s">
        <v>1634</v>
      </c>
      <c r="B472" s="42" t="s">
        <v>879</v>
      </c>
      <c r="C472" s="27" t="s">
        <v>1</v>
      </c>
      <c r="D472" s="28">
        <v>3404617981</v>
      </c>
      <c r="E472" s="27"/>
      <c r="F472" s="27" t="s">
        <v>880</v>
      </c>
      <c r="G472" s="29">
        <v>31423</v>
      </c>
      <c r="H472" s="95" t="s">
        <v>1854</v>
      </c>
      <c r="I472" s="27"/>
      <c r="J472" s="52" t="s">
        <v>1112</v>
      </c>
      <c r="K472" s="51">
        <f>IF(Table1[[#This Row],[Preferenza telefono]]="Casa",Table1[[#This Row],[Telefono casa]],IF(Table1[[#This Row],[Preferenza telefono]]="Primario",Table1[[#This Row],[Telefono primario]],"-"))</f>
        <v>3404617981</v>
      </c>
      <c r="L472" s="37" t="s">
        <v>1856</v>
      </c>
      <c r="M472" s="37" t="s">
        <v>1856</v>
      </c>
      <c r="N472" s="35" t="b">
        <f>IF(_xlfn.UNICODE( Table1[[#This Row],[Check]])=9745,TRUE,FALSE)</f>
        <v>0</v>
      </c>
    </row>
    <row r="473" spans="1:14" ht="30" customHeight="1" x14ac:dyDescent="0.25">
      <c r="A473" s="27" t="s">
        <v>1634</v>
      </c>
      <c r="B473" s="42" t="s">
        <v>1809</v>
      </c>
      <c r="C473" s="27" t="s">
        <v>153</v>
      </c>
      <c r="D473" s="28"/>
      <c r="E473" s="28"/>
      <c r="F473" s="27"/>
      <c r="G473" s="29"/>
      <c r="H473" s="95" t="s">
        <v>1854</v>
      </c>
      <c r="I473" s="101"/>
      <c r="J473" s="52" t="s">
        <v>1112</v>
      </c>
      <c r="K473" s="51">
        <f>IF(Table1[[#This Row],[Preferenza telefono]]="Casa",Table1[[#This Row],[Telefono casa]],IF(Table1[[#This Row],[Preferenza telefono]]="Primario",Table1[[#This Row],[Telefono primario]],"-"))</f>
        <v>0</v>
      </c>
      <c r="L473" s="37" t="s">
        <v>1856</v>
      </c>
      <c r="M473" s="37" t="s">
        <v>1856</v>
      </c>
      <c r="N473" s="35" t="b">
        <f>IF(_xlfn.UNICODE( Table1[[#This Row],[Check]])=9745,TRUE,FALSE)</f>
        <v>0</v>
      </c>
    </row>
    <row r="474" spans="1:14" ht="30" customHeight="1" x14ac:dyDescent="0.25">
      <c r="A474" s="27" t="s">
        <v>1634</v>
      </c>
      <c r="B474" s="42" t="s">
        <v>883</v>
      </c>
      <c r="C474" s="27" t="s">
        <v>1</v>
      </c>
      <c r="D474" s="28">
        <v>3398123635</v>
      </c>
      <c r="E474" s="27"/>
      <c r="F474" s="27" t="s">
        <v>884</v>
      </c>
      <c r="G474" s="29">
        <v>26300</v>
      </c>
      <c r="H474" s="95" t="s">
        <v>1855</v>
      </c>
      <c r="I474" s="27"/>
      <c r="J474" s="52" t="s">
        <v>1112</v>
      </c>
      <c r="K474" s="51">
        <f>IF(Table1[[#This Row],[Preferenza telefono]]="Casa",Table1[[#This Row],[Telefono casa]],IF(Table1[[#This Row],[Preferenza telefono]]="Primario",Table1[[#This Row],[Telefono primario]],"-"))</f>
        <v>3398123635</v>
      </c>
      <c r="L474" s="37" t="s">
        <v>1856</v>
      </c>
      <c r="M474" s="37" t="s">
        <v>1856</v>
      </c>
      <c r="N474" s="35" t="b">
        <f>IF(_xlfn.UNICODE( Table1[[#This Row],[Check]])=9745,TRUE,FALSE)</f>
        <v>0</v>
      </c>
    </row>
    <row r="475" spans="1:14" ht="30" customHeight="1" x14ac:dyDescent="0.25">
      <c r="A475" s="27" t="s">
        <v>1634</v>
      </c>
      <c r="B475" s="42" t="s">
        <v>885</v>
      </c>
      <c r="C475" s="27" t="s">
        <v>459</v>
      </c>
      <c r="D475" s="28" t="s">
        <v>113</v>
      </c>
      <c r="E475" s="27"/>
      <c r="F475" s="27"/>
      <c r="G475" s="29" t="s">
        <v>113</v>
      </c>
      <c r="H475" s="95" t="s">
        <v>1854</v>
      </c>
      <c r="I475" s="27"/>
      <c r="J475" s="52" t="s">
        <v>1112</v>
      </c>
      <c r="K475" s="51" t="str">
        <f>IF(Table1[[#This Row],[Preferenza telefono]]="Casa",Table1[[#This Row],[Telefono casa]],IF(Table1[[#This Row],[Preferenza telefono]]="Primario",Table1[[#This Row],[Telefono primario]],"-"))</f>
        <v>-</v>
      </c>
      <c r="L475" s="37" t="s">
        <v>1856</v>
      </c>
      <c r="M475" s="37" t="s">
        <v>1856</v>
      </c>
      <c r="N475" s="35" t="b">
        <f>IF(_xlfn.UNICODE( Table1[[#This Row],[Check]])=9745,TRUE,FALSE)</f>
        <v>0</v>
      </c>
    </row>
    <row r="476" spans="1:14" ht="30" customHeight="1" x14ac:dyDescent="0.25">
      <c r="A476" s="27" t="s">
        <v>1634</v>
      </c>
      <c r="B476" s="42" t="s">
        <v>889</v>
      </c>
      <c r="C476" s="27" t="s">
        <v>1</v>
      </c>
      <c r="D476" s="28" t="s">
        <v>113</v>
      </c>
      <c r="E476" s="27"/>
      <c r="F476" s="27" t="s">
        <v>890</v>
      </c>
      <c r="G476" s="29" t="s">
        <v>113</v>
      </c>
      <c r="H476" s="95" t="s">
        <v>1854</v>
      </c>
      <c r="I476" s="27"/>
      <c r="J476" s="52" t="s">
        <v>1112</v>
      </c>
      <c r="K476" s="51" t="str">
        <f>IF(Table1[[#This Row],[Preferenza telefono]]="Casa",Table1[[#This Row],[Telefono casa]],IF(Table1[[#This Row],[Preferenza telefono]]="Primario",Table1[[#This Row],[Telefono primario]],"-"))</f>
        <v>-</v>
      </c>
      <c r="L476" s="37" t="s">
        <v>1856</v>
      </c>
      <c r="M476" s="37" t="s">
        <v>1856</v>
      </c>
      <c r="N476" s="35" t="b">
        <f>IF(_xlfn.UNICODE( Table1[[#This Row],[Check]])=9745,TRUE,FALSE)</f>
        <v>0</v>
      </c>
    </row>
    <row r="477" spans="1:14" ht="30" customHeight="1" x14ac:dyDescent="0.25">
      <c r="A477" s="27" t="s">
        <v>1634</v>
      </c>
      <c r="B477" s="42" t="s">
        <v>161</v>
      </c>
      <c r="C477" s="27" t="s">
        <v>162</v>
      </c>
      <c r="D477" s="28" t="s">
        <v>113</v>
      </c>
      <c r="E477" s="27"/>
      <c r="F477" s="27"/>
      <c r="G477" s="29">
        <v>23287</v>
      </c>
      <c r="H477" s="95" t="s">
        <v>1855</v>
      </c>
      <c r="I477" s="27"/>
      <c r="J477" s="52" t="s">
        <v>1112</v>
      </c>
      <c r="K477" s="51" t="str">
        <f>IF(Table1[[#This Row],[Preferenza telefono]]="Casa",Table1[[#This Row],[Telefono casa]],IF(Table1[[#This Row],[Preferenza telefono]]="Primario",Table1[[#This Row],[Telefono primario]],"-"))</f>
        <v>-</v>
      </c>
      <c r="L477" s="37" t="s">
        <v>1856</v>
      </c>
      <c r="M477" s="37" t="s">
        <v>1856</v>
      </c>
      <c r="N477" s="35" t="b">
        <f>IF(_xlfn.UNICODE( Table1[[#This Row],[Check]])=9745,TRUE,FALSE)</f>
        <v>0</v>
      </c>
    </row>
    <row r="478" spans="1:14" ht="30" customHeight="1" x14ac:dyDescent="0.25">
      <c r="A478" s="27" t="s">
        <v>1634</v>
      </c>
      <c r="B478" s="47" t="s">
        <v>893</v>
      </c>
      <c r="C478" s="27" t="s">
        <v>141</v>
      </c>
      <c r="D478" s="28">
        <v>3665928426</v>
      </c>
      <c r="E478" s="27"/>
      <c r="F478" s="27" t="s">
        <v>894</v>
      </c>
      <c r="G478" s="29">
        <v>27162</v>
      </c>
      <c r="H478" s="95" t="s">
        <v>1854</v>
      </c>
      <c r="I478" s="27"/>
      <c r="J478" s="52" t="s">
        <v>1112</v>
      </c>
      <c r="K478" s="51">
        <f>IF(Table1[[#This Row],[Preferenza telefono]]="Casa",Table1[[#This Row],[Telefono casa]],IF(Table1[[#This Row],[Preferenza telefono]]="Primario",Table1[[#This Row],[Telefono primario]],"-"))</f>
        <v>3665928426</v>
      </c>
      <c r="L478" s="37" t="s">
        <v>1856</v>
      </c>
      <c r="M478" s="37" t="s">
        <v>1856</v>
      </c>
      <c r="N478" s="35" t="b">
        <f>IF(_xlfn.UNICODE( Table1[[#This Row],[Check]])=9745,TRUE,FALSE)</f>
        <v>0</v>
      </c>
    </row>
    <row r="479" spans="1:14" ht="30" customHeight="1" x14ac:dyDescent="0.25">
      <c r="A479" s="27" t="s">
        <v>1634</v>
      </c>
      <c r="B479" s="47" t="s">
        <v>892</v>
      </c>
      <c r="C479" s="27" t="s">
        <v>875</v>
      </c>
      <c r="D479" s="28">
        <v>3451234568</v>
      </c>
      <c r="E479" s="27"/>
      <c r="F479" s="27" t="s">
        <v>124</v>
      </c>
      <c r="G479" s="29">
        <v>28909</v>
      </c>
      <c r="H479" s="95" t="s">
        <v>1854</v>
      </c>
      <c r="I479" s="27"/>
      <c r="J479" s="52" t="s">
        <v>1112</v>
      </c>
      <c r="K479" s="51">
        <f>IF(Table1[[#This Row],[Preferenza telefono]]="Casa",Table1[[#This Row],[Telefono casa]],IF(Table1[[#This Row],[Preferenza telefono]]="Primario",Table1[[#This Row],[Telefono primario]],"-"))</f>
        <v>3451234568</v>
      </c>
      <c r="L479" s="37" t="s">
        <v>1856</v>
      </c>
      <c r="M479" s="37" t="s">
        <v>1856</v>
      </c>
      <c r="N479" s="35" t="b">
        <f>IF(_xlfn.UNICODE( Table1[[#This Row],[Check]])=9745,TRUE,FALSE)</f>
        <v>0</v>
      </c>
    </row>
    <row r="480" spans="1:14" ht="30" customHeight="1" x14ac:dyDescent="0.25">
      <c r="A480" s="27" t="s">
        <v>1634</v>
      </c>
      <c r="B480" s="42" t="s">
        <v>888</v>
      </c>
      <c r="C480" s="27" t="s">
        <v>887</v>
      </c>
      <c r="D480" s="28">
        <v>3355341894</v>
      </c>
      <c r="E480" s="27"/>
      <c r="F480" s="27" t="s">
        <v>483</v>
      </c>
      <c r="G480" s="29">
        <v>21544</v>
      </c>
      <c r="H480" s="95" t="s">
        <v>1855</v>
      </c>
      <c r="I480" s="27"/>
      <c r="J480" s="52" t="s">
        <v>1112</v>
      </c>
      <c r="K480" s="51">
        <f>IF(Table1[[#This Row],[Preferenza telefono]]="Casa",Table1[[#This Row],[Telefono casa]],IF(Table1[[#This Row],[Preferenza telefono]]="Primario",Table1[[#This Row],[Telefono primario]],"-"))</f>
        <v>3355341894</v>
      </c>
      <c r="L480" s="37" t="s">
        <v>1856</v>
      </c>
      <c r="M480" s="37" t="s">
        <v>1856</v>
      </c>
      <c r="N480" s="35" t="b">
        <f>IF(_xlfn.UNICODE( Table1[[#This Row],[Check]])=9745,TRUE,FALSE)</f>
        <v>0</v>
      </c>
    </row>
    <row r="481" spans="1:14" ht="30" customHeight="1" x14ac:dyDescent="0.25">
      <c r="A481" s="27" t="s">
        <v>1634</v>
      </c>
      <c r="B481" s="42" t="s">
        <v>886</v>
      </c>
      <c r="C481" s="27" t="s">
        <v>887</v>
      </c>
      <c r="D481" s="28">
        <v>3355341894</v>
      </c>
      <c r="E481" s="27"/>
      <c r="F481" s="27" t="s">
        <v>483</v>
      </c>
      <c r="G481" s="29" t="s">
        <v>113</v>
      </c>
      <c r="H481" s="95" t="s">
        <v>1854</v>
      </c>
      <c r="I481" s="27"/>
      <c r="J481" s="52" t="s">
        <v>1112</v>
      </c>
      <c r="K481" s="51">
        <f>IF(Table1[[#This Row],[Preferenza telefono]]="Casa",Table1[[#This Row],[Telefono casa]],IF(Table1[[#This Row],[Preferenza telefono]]="Primario",Table1[[#This Row],[Telefono primario]],"-"))</f>
        <v>3355341894</v>
      </c>
      <c r="L481" s="37" t="s">
        <v>1856</v>
      </c>
      <c r="M481" s="37" t="s">
        <v>1856</v>
      </c>
      <c r="N481" s="35" t="b">
        <f>IF(_xlfn.UNICODE( Table1[[#This Row],[Check]])=9745,TRUE,FALSE)</f>
        <v>0</v>
      </c>
    </row>
    <row r="482" spans="1:14" ht="30" customHeight="1" x14ac:dyDescent="0.25">
      <c r="A482" s="27" t="s">
        <v>1634</v>
      </c>
      <c r="B482" s="47" t="s">
        <v>898</v>
      </c>
      <c r="C482" s="27" t="s">
        <v>103</v>
      </c>
      <c r="D482" s="28">
        <v>3280018061</v>
      </c>
      <c r="E482" s="27"/>
      <c r="F482" s="27" t="s">
        <v>899</v>
      </c>
      <c r="G482" s="29">
        <v>24664</v>
      </c>
      <c r="H482" s="95" t="s">
        <v>1854</v>
      </c>
      <c r="I482" s="27"/>
      <c r="J482" s="52" t="s">
        <v>1112</v>
      </c>
      <c r="K482" s="51">
        <f>IF(Table1[[#This Row],[Preferenza telefono]]="Casa",Table1[[#This Row],[Telefono casa]],IF(Table1[[#This Row],[Preferenza telefono]]="Primario",Table1[[#This Row],[Telefono primario]],"-"))</f>
        <v>3280018061</v>
      </c>
      <c r="L482" s="37" t="s">
        <v>1856</v>
      </c>
      <c r="M482" s="37" t="s">
        <v>1856</v>
      </c>
      <c r="N482" s="35" t="b">
        <f>IF(_xlfn.UNICODE( Table1[[#This Row],[Check]])=9745,TRUE,FALSE)</f>
        <v>0</v>
      </c>
    </row>
    <row r="483" spans="1:14" ht="30" customHeight="1" x14ac:dyDescent="0.25">
      <c r="A483" s="27" t="s">
        <v>1634</v>
      </c>
      <c r="B483" s="47" t="s">
        <v>1735</v>
      </c>
      <c r="C483" s="27" t="s">
        <v>103</v>
      </c>
      <c r="D483" s="28">
        <v>3280018061</v>
      </c>
      <c r="E483" s="27">
        <v>3208829057</v>
      </c>
      <c r="F483" s="27" t="s">
        <v>899</v>
      </c>
      <c r="G483" s="29">
        <v>25900</v>
      </c>
      <c r="H483" s="95" t="s">
        <v>1855</v>
      </c>
      <c r="I483" s="27"/>
      <c r="J483" s="52" t="s">
        <v>1112</v>
      </c>
      <c r="K483" s="51">
        <f>IF(Table1[[#This Row],[Preferenza telefono]]="Casa",Table1[[#This Row],[Telefono casa]],IF(Table1[[#This Row],[Preferenza telefono]]="Primario",Table1[[#This Row],[Telefono primario]],"-"))</f>
        <v>3280018061</v>
      </c>
      <c r="L483" s="37" t="s">
        <v>1856</v>
      </c>
      <c r="M483" s="37" t="s">
        <v>1856</v>
      </c>
      <c r="N483" s="35" t="b">
        <f>IF(_xlfn.UNICODE( Table1[[#This Row],[Check]])=9745,TRUE,FALSE)</f>
        <v>0</v>
      </c>
    </row>
    <row r="484" spans="1:14" ht="30" customHeight="1" x14ac:dyDescent="0.25">
      <c r="A484" s="27" t="s">
        <v>1634</v>
      </c>
      <c r="B484" s="47" t="s">
        <v>897</v>
      </c>
      <c r="C484" s="27" t="s">
        <v>103</v>
      </c>
      <c r="D484" s="28">
        <v>3452341918</v>
      </c>
      <c r="E484" s="27"/>
      <c r="F484" s="27" t="s">
        <v>785</v>
      </c>
      <c r="G484" s="29">
        <v>35488</v>
      </c>
      <c r="H484" s="95" t="s">
        <v>1854</v>
      </c>
      <c r="I484" s="27"/>
      <c r="J484" s="52" t="s">
        <v>1112</v>
      </c>
      <c r="K484" s="51">
        <f>IF(Table1[[#This Row],[Preferenza telefono]]="Casa",Table1[[#This Row],[Telefono casa]],IF(Table1[[#This Row],[Preferenza telefono]]="Primario",Table1[[#This Row],[Telefono primario]],"-"))</f>
        <v>3452341918</v>
      </c>
      <c r="L484" s="37" t="s">
        <v>1856</v>
      </c>
      <c r="M484" s="37" t="s">
        <v>1856</v>
      </c>
      <c r="N484" s="35" t="b">
        <f>IF(_xlfn.UNICODE( Table1[[#This Row],[Check]])=9745,TRUE,FALSE)</f>
        <v>0</v>
      </c>
    </row>
    <row r="485" spans="1:14" ht="30" customHeight="1" x14ac:dyDescent="0.25">
      <c r="A485" s="27" t="s">
        <v>1634</v>
      </c>
      <c r="B485" s="47" t="s">
        <v>891</v>
      </c>
      <c r="C485" s="27"/>
      <c r="D485" s="28" t="s">
        <v>113</v>
      </c>
      <c r="E485" s="27"/>
      <c r="F485" s="27"/>
      <c r="G485" s="29">
        <v>23287</v>
      </c>
      <c r="H485" s="95" t="s">
        <v>1854</v>
      </c>
      <c r="I485" s="27"/>
      <c r="J485" s="52" t="s">
        <v>1112</v>
      </c>
      <c r="K485" s="51" t="str">
        <f>IF(Table1[[#This Row],[Preferenza telefono]]="Casa",Table1[[#This Row],[Telefono casa]],IF(Table1[[#This Row],[Preferenza telefono]]="Primario",Table1[[#This Row],[Telefono primario]],"-"))</f>
        <v>-</v>
      </c>
      <c r="L485" s="37" t="s">
        <v>1856</v>
      </c>
      <c r="M485" s="37" t="s">
        <v>1856</v>
      </c>
      <c r="N485" s="35" t="b">
        <f>IF(_xlfn.UNICODE( Table1[[#This Row],[Check]])=9745,TRUE,FALSE)</f>
        <v>0</v>
      </c>
    </row>
    <row r="486" spans="1:14" ht="30" customHeight="1" x14ac:dyDescent="0.25">
      <c r="A486" s="27" t="s">
        <v>1634</v>
      </c>
      <c r="B486" s="42" t="s">
        <v>881</v>
      </c>
      <c r="C486" s="43" t="s">
        <v>459</v>
      </c>
      <c r="D486" s="28">
        <v>3286195300</v>
      </c>
      <c r="E486" s="27"/>
      <c r="F486" s="43" t="s">
        <v>882</v>
      </c>
      <c r="G486" s="29">
        <v>33245</v>
      </c>
      <c r="H486" s="95" t="s">
        <v>1855</v>
      </c>
      <c r="I486" s="27"/>
      <c r="J486" s="52" t="s">
        <v>1112</v>
      </c>
      <c r="K486" s="51">
        <f>IF(Table1[[#This Row],[Preferenza telefono]]="Casa",Table1[[#This Row],[Telefono casa]],IF(Table1[[#This Row],[Preferenza telefono]]="Primario",Table1[[#This Row],[Telefono primario]],"-"))</f>
        <v>3286195300</v>
      </c>
      <c r="L486" s="37" t="s">
        <v>1856</v>
      </c>
      <c r="M486" s="37" t="s">
        <v>1856</v>
      </c>
      <c r="N486" s="35" t="b">
        <f>IF(_xlfn.UNICODE( Table1[[#This Row],[Check]])=9745,TRUE,FALSE)</f>
        <v>0</v>
      </c>
    </row>
    <row r="487" spans="1:14" ht="30" customHeight="1" x14ac:dyDescent="0.25">
      <c r="A487" s="27" t="s">
        <v>1634</v>
      </c>
      <c r="B487" s="42" t="s">
        <v>163</v>
      </c>
      <c r="C487" s="27" t="s">
        <v>164</v>
      </c>
      <c r="D487" s="28">
        <v>3393050453</v>
      </c>
      <c r="E487" s="27" t="s">
        <v>165</v>
      </c>
      <c r="F487" s="27" t="s">
        <v>166</v>
      </c>
      <c r="G487" s="29">
        <v>28731</v>
      </c>
      <c r="H487" s="95" t="s">
        <v>1854</v>
      </c>
      <c r="I487" s="27"/>
      <c r="J487" s="52" t="s">
        <v>1112</v>
      </c>
      <c r="K487" s="51">
        <f>IF(Table1[[#This Row],[Preferenza telefono]]="Casa",Table1[[#This Row],[Telefono casa]],IF(Table1[[#This Row],[Preferenza telefono]]="Primario",Table1[[#This Row],[Telefono primario]],"-"))</f>
        <v>3393050453</v>
      </c>
      <c r="L487" s="37" t="s">
        <v>1856</v>
      </c>
      <c r="M487" s="37" t="s">
        <v>1856</v>
      </c>
      <c r="N487" s="35" t="b">
        <f>IF(_xlfn.UNICODE( Table1[[#This Row],[Check]])=9745,TRUE,FALSE)</f>
        <v>0</v>
      </c>
    </row>
    <row r="488" spans="1:14" ht="30" customHeight="1" x14ac:dyDescent="0.25">
      <c r="A488" s="27" t="s">
        <v>1634</v>
      </c>
      <c r="B488" s="42" t="s">
        <v>900</v>
      </c>
      <c r="C488" s="27" t="s">
        <v>164</v>
      </c>
      <c r="D488" s="28">
        <v>3393050453</v>
      </c>
      <c r="E488" s="27" t="s">
        <v>165</v>
      </c>
      <c r="F488" s="27" t="s">
        <v>166</v>
      </c>
      <c r="G488" s="29">
        <v>28731</v>
      </c>
      <c r="H488" s="95" t="s">
        <v>1854</v>
      </c>
      <c r="I488" s="27"/>
      <c r="J488" s="52" t="s">
        <v>1112</v>
      </c>
      <c r="K488" s="51">
        <f>IF(Table1[[#This Row],[Preferenza telefono]]="Casa",Table1[[#This Row],[Telefono casa]],IF(Table1[[#This Row],[Preferenza telefono]]="Primario",Table1[[#This Row],[Telefono primario]],"-"))</f>
        <v>3393050453</v>
      </c>
      <c r="L488" s="37" t="s">
        <v>1856</v>
      </c>
      <c r="M488" s="37" t="s">
        <v>1856</v>
      </c>
      <c r="N488" s="35" t="b">
        <f>IF(_xlfn.UNICODE( Table1[[#This Row],[Check]])=9745,TRUE,FALSE)</f>
        <v>0</v>
      </c>
    </row>
    <row r="489" spans="1:14" ht="30" customHeight="1" x14ac:dyDescent="0.25">
      <c r="A489" s="27" t="s">
        <v>1634</v>
      </c>
      <c r="B489" s="42" t="s">
        <v>901</v>
      </c>
      <c r="C489" s="27" t="s">
        <v>164</v>
      </c>
      <c r="D489" s="28">
        <v>3393050453</v>
      </c>
      <c r="E489" s="27" t="s">
        <v>165</v>
      </c>
      <c r="F489" s="27" t="s">
        <v>166</v>
      </c>
      <c r="G489" s="29">
        <v>28731</v>
      </c>
      <c r="H489" s="95" t="s">
        <v>1855</v>
      </c>
      <c r="I489" s="27"/>
      <c r="J489" s="52" t="s">
        <v>1112</v>
      </c>
      <c r="K489" s="51">
        <f>IF(Table1[[#This Row],[Preferenza telefono]]="Casa",Table1[[#This Row],[Telefono casa]],IF(Table1[[#This Row],[Preferenza telefono]]="Primario",Table1[[#This Row],[Telefono primario]],"-"))</f>
        <v>3393050453</v>
      </c>
      <c r="L489" s="37" t="s">
        <v>1856</v>
      </c>
      <c r="M489" s="37" t="s">
        <v>1856</v>
      </c>
      <c r="N489" s="35" t="b">
        <f>IF(_xlfn.UNICODE( Table1[[#This Row],[Check]])=9745,TRUE,FALSE)</f>
        <v>0</v>
      </c>
    </row>
    <row r="490" spans="1:14" ht="30" customHeight="1" x14ac:dyDescent="0.25">
      <c r="A490" s="27" t="s">
        <v>1634</v>
      </c>
      <c r="B490" s="42" t="s">
        <v>909</v>
      </c>
      <c r="C490" s="27" t="s">
        <v>4</v>
      </c>
      <c r="D490" s="28">
        <v>3338345412</v>
      </c>
      <c r="E490" s="27"/>
      <c r="F490" s="27" t="s">
        <v>910</v>
      </c>
      <c r="G490" s="29">
        <v>12944</v>
      </c>
      <c r="H490" s="95" t="s">
        <v>1854</v>
      </c>
      <c r="I490" s="27"/>
      <c r="J490" s="52" t="s">
        <v>1112</v>
      </c>
      <c r="K490" s="51">
        <f>IF(Table1[[#This Row],[Preferenza telefono]]="Casa",Table1[[#This Row],[Telefono casa]],IF(Table1[[#This Row],[Preferenza telefono]]="Primario",Table1[[#This Row],[Telefono primario]],"-"))</f>
        <v>3338345412</v>
      </c>
      <c r="L490" s="37" t="s">
        <v>1856</v>
      </c>
      <c r="M490" s="37" t="s">
        <v>1856</v>
      </c>
      <c r="N490" s="35" t="b">
        <f>IF(_xlfn.UNICODE( Table1[[#This Row],[Check]])=9745,TRUE,FALSE)</f>
        <v>0</v>
      </c>
    </row>
    <row r="491" spans="1:14" ht="30" customHeight="1" x14ac:dyDescent="0.25">
      <c r="A491" s="27" t="s">
        <v>1634</v>
      </c>
      <c r="B491" s="42" t="s">
        <v>911</v>
      </c>
      <c r="C491" s="27" t="s">
        <v>4</v>
      </c>
      <c r="D491" s="28">
        <v>3336287794</v>
      </c>
      <c r="E491" s="27"/>
      <c r="F491" s="27" t="s">
        <v>912</v>
      </c>
      <c r="G491" s="29" t="s">
        <v>113</v>
      </c>
      <c r="H491" s="95" t="s">
        <v>1854</v>
      </c>
      <c r="I491" s="27"/>
      <c r="J491" s="52" t="s">
        <v>1112</v>
      </c>
      <c r="K491" s="51">
        <f>IF(Table1[[#This Row],[Preferenza telefono]]="Casa",Table1[[#This Row],[Telefono casa]],IF(Table1[[#This Row],[Preferenza telefono]]="Primario",Table1[[#This Row],[Telefono primario]],"-"))</f>
        <v>3336287794</v>
      </c>
      <c r="L491" s="37" t="s">
        <v>1856</v>
      </c>
      <c r="M491" s="37" t="s">
        <v>1856</v>
      </c>
      <c r="N491" s="35" t="b">
        <f>IF(_xlfn.UNICODE( Table1[[#This Row],[Check]])=9745,TRUE,FALSE)</f>
        <v>0</v>
      </c>
    </row>
    <row r="492" spans="1:14" ht="30" customHeight="1" x14ac:dyDescent="0.25">
      <c r="A492" s="27" t="s">
        <v>1634</v>
      </c>
      <c r="B492" s="42" t="s">
        <v>905</v>
      </c>
      <c r="C492" s="27" t="s">
        <v>903</v>
      </c>
      <c r="D492" s="28">
        <v>3209337768</v>
      </c>
      <c r="E492" s="27"/>
      <c r="F492" s="27" t="s">
        <v>904</v>
      </c>
      <c r="G492" s="29">
        <v>27648</v>
      </c>
      <c r="H492" s="95" t="s">
        <v>1855</v>
      </c>
      <c r="I492" s="27"/>
      <c r="J492" s="52" t="s">
        <v>1112</v>
      </c>
      <c r="K492" s="51">
        <f>IF(Table1[[#This Row],[Preferenza telefono]]="Casa",Table1[[#This Row],[Telefono casa]],IF(Table1[[#This Row],[Preferenza telefono]]="Primario",Table1[[#This Row],[Telefono primario]],"-"))</f>
        <v>3209337768</v>
      </c>
      <c r="L492" s="37" t="s">
        <v>1856</v>
      </c>
      <c r="M492" s="37" t="s">
        <v>1856</v>
      </c>
      <c r="N492" s="35" t="b">
        <f>IF(_xlfn.UNICODE( Table1[[#This Row],[Check]])=9745,TRUE,FALSE)</f>
        <v>0</v>
      </c>
    </row>
    <row r="493" spans="1:14" ht="30" customHeight="1" x14ac:dyDescent="0.25">
      <c r="A493" s="27" t="s">
        <v>1634</v>
      </c>
      <c r="B493" s="42" t="s">
        <v>902</v>
      </c>
      <c r="C493" s="27" t="s">
        <v>903</v>
      </c>
      <c r="D493" s="28">
        <v>3209337768</v>
      </c>
      <c r="E493" s="27"/>
      <c r="F493" s="27" t="s">
        <v>904</v>
      </c>
      <c r="G493" s="29">
        <v>27648</v>
      </c>
      <c r="H493" s="95" t="s">
        <v>1854</v>
      </c>
      <c r="I493" s="27"/>
      <c r="J493" s="52" t="s">
        <v>1112</v>
      </c>
      <c r="K493" s="51">
        <f>IF(Table1[[#This Row],[Preferenza telefono]]="Casa",Table1[[#This Row],[Telefono casa]],IF(Table1[[#This Row],[Preferenza telefono]]="Primario",Table1[[#This Row],[Telefono primario]],"-"))</f>
        <v>3209337768</v>
      </c>
      <c r="L493" s="37" t="s">
        <v>1856</v>
      </c>
      <c r="M493" s="37" t="s">
        <v>1856</v>
      </c>
      <c r="N493" s="35" t="b">
        <f>IF(_xlfn.UNICODE( Table1[[#This Row],[Check]])=9745,TRUE,FALSE)</f>
        <v>0</v>
      </c>
    </row>
    <row r="494" spans="1:14" ht="30" customHeight="1" x14ac:dyDescent="0.25">
      <c r="A494" s="27" t="s">
        <v>1634</v>
      </c>
      <c r="B494" s="42" t="s">
        <v>913</v>
      </c>
      <c r="C494" s="27" t="s">
        <v>103</v>
      </c>
      <c r="D494" s="28">
        <v>3337139436</v>
      </c>
      <c r="E494" s="27"/>
      <c r="F494" s="27" t="s">
        <v>803</v>
      </c>
      <c r="G494" s="29">
        <v>26776</v>
      </c>
      <c r="H494" s="95" t="s">
        <v>1854</v>
      </c>
      <c r="I494" s="27"/>
      <c r="J494" s="52" t="s">
        <v>1112</v>
      </c>
      <c r="K494" s="51">
        <f>IF(Table1[[#This Row],[Preferenza telefono]]="Casa",Table1[[#This Row],[Telefono casa]],IF(Table1[[#This Row],[Preferenza telefono]]="Primario",Table1[[#This Row],[Telefono primario]],"-"))</f>
        <v>3337139436</v>
      </c>
      <c r="L494" s="37" t="s">
        <v>1856</v>
      </c>
      <c r="M494" s="37" t="s">
        <v>1856</v>
      </c>
      <c r="N494" s="35" t="b">
        <f>IF(_xlfn.UNICODE( Table1[[#This Row],[Check]])=9745,TRUE,FALSE)</f>
        <v>0</v>
      </c>
    </row>
    <row r="495" spans="1:14" ht="30" customHeight="1" x14ac:dyDescent="0.25">
      <c r="A495" s="27" t="s">
        <v>1634</v>
      </c>
      <c r="B495" s="42" t="s">
        <v>906</v>
      </c>
      <c r="C495" s="27" t="s">
        <v>1</v>
      </c>
      <c r="D495" s="28"/>
      <c r="E495" s="27" t="s">
        <v>907</v>
      </c>
      <c r="F495" s="27" t="s">
        <v>908</v>
      </c>
      <c r="G495" s="29">
        <v>23502</v>
      </c>
      <c r="H495" s="95" t="s">
        <v>1855</v>
      </c>
      <c r="I495" s="27"/>
      <c r="J495" s="52" t="s">
        <v>1112</v>
      </c>
      <c r="K495" s="51">
        <f>IF(Table1[[#This Row],[Preferenza telefono]]="Casa",Table1[[#This Row],[Telefono casa]],IF(Table1[[#This Row],[Preferenza telefono]]="Primario",Table1[[#This Row],[Telefono primario]],"-"))</f>
        <v>0</v>
      </c>
      <c r="L495" s="37" t="s">
        <v>1856</v>
      </c>
      <c r="M495" s="37" t="s">
        <v>1856</v>
      </c>
      <c r="N495" s="35" t="b">
        <f>IF(_xlfn.UNICODE( Table1[[#This Row],[Check]])=9745,TRUE,FALSE)</f>
        <v>0</v>
      </c>
    </row>
    <row r="496" spans="1:14" ht="30" customHeight="1" x14ac:dyDescent="0.25">
      <c r="A496" s="27" t="s">
        <v>1634</v>
      </c>
      <c r="B496" s="42" t="s">
        <v>914</v>
      </c>
      <c r="C496" s="27" t="s">
        <v>1</v>
      </c>
      <c r="D496" s="28">
        <v>3271711044</v>
      </c>
      <c r="E496" s="27">
        <v>3428948004</v>
      </c>
      <c r="F496" s="27" t="s">
        <v>915</v>
      </c>
      <c r="G496" s="29">
        <v>25856</v>
      </c>
      <c r="H496" s="95" t="s">
        <v>1854</v>
      </c>
      <c r="I496" s="27"/>
      <c r="J496" s="52" t="s">
        <v>1112</v>
      </c>
      <c r="K496" s="51">
        <f>IF(Table1[[#This Row],[Preferenza telefono]]="Casa",Table1[[#This Row],[Telefono casa]],IF(Table1[[#This Row],[Preferenza telefono]]="Primario",Table1[[#This Row],[Telefono primario]],"-"))</f>
        <v>3271711044</v>
      </c>
      <c r="L496" s="37" t="s">
        <v>1856</v>
      </c>
      <c r="M496" s="37" t="s">
        <v>1856</v>
      </c>
      <c r="N496" s="35" t="b">
        <f>IF(_xlfn.UNICODE( Table1[[#This Row],[Check]])=9745,TRUE,FALSE)</f>
        <v>0</v>
      </c>
    </row>
    <row r="497" spans="1:14" ht="30" customHeight="1" x14ac:dyDescent="0.25">
      <c r="A497" s="27" t="s">
        <v>1634</v>
      </c>
      <c r="B497" s="47" t="s">
        <v>1121</v>
      </c>
      <c r="C497" s="27" t="s">
        <v>103</v>
      </c>
      <c r="D497" s="28">
        <v>3356099850</v>
      </c>
      <c r="E497" s="27" t="s">
        <v>1736</v>
      </c>
      <c r="F497" s="27" t="s">
        <v>1682</v>
      </c>
      <c r="G497" s="29">
        <v>14481</v>
      </c>
      <c r="H497" s="95" t="s">
        <v>1854</v>
      </c>
      <c r="I497" s="27"/>
      <c r="J497" s="52" t="s">
        <v>1112</v>
      </c>
      <c r="K497" s="51">
        <f>IF(Table1[[#This Row],[Preferenza telefono]]="Casa",Table1[[#This Row],[Telefono casa]],IF(Table1[[#This Row],[Preferenza telefono]]="Primario",Table1[[#This Row],[Telefono primario]],"-"))</f>
        <v>3356099850</v>
      </c>
      <c r="L497" s="37" t="s">
        <v>1856</v>
      </c>
      <c r="M497" s="37" t="s">
        <v>1856</v>
      </c>
      <c r="N497" s="35" t="b">
        <f>IF(_xlfn.UNICODE( Table1[[#This Row],[Check]])=9745,TRUE,FALSE)</f>
        <v>0</v>
      </c>
    </row>
    <row r="498" spans="1:14" ht="30" customHeight="1" x14ac:dyDescent="0.25">
      <c r="A498" s="27" t="s">
        <v>1634</v>
      </c>
      <c r="B498" s="42" t="s">
        <v>916</v>
      </c>
      <c r="C498" s="27" t="s">
        <v>282</v>
      </c>
      <c r="D498" s="28">
        <v>3381718553</v>
      </c>
      <c r="E498" s="27"/>
      <c r="F498" s="27" t="s">
        <v>917</v>
      </c>
      <c r="G498" s="29">
        <v>28976</v>
      </c>
      <c r="H498" s="95" t="s">
        <v>1855</v>
      </c>
      <c r="I498" s="27"/>
      <c r="J498" s="52" t="s">
        <v>1112</v>
      </c>
      <c r="K498" s="51">
        <f>IF(Table1[[#This Row],[Preferenza telefono]]="Casa",Table1[[#This Row],[Telefono casa]],IF(Table1[[#This Row],[Preferenza telefono]]="Primario",Table1[[#This Row],[Telefono primario]],"-"))</f>
        <v>3381718553</v>
      </c>
      <c r="L498" s="37" t="s">
        <v>1856</v>
      </c>
      <c r="M498" s="37" t="s">
        <v>1856</v>
      </c>
      <c r="N498" s="35" t="b">
        <f>IF(_xlfn.UNICODE( Table1[[#This Row],[Check]])=9745,TRUE,FALSE)</f>
        <v>0</v>
      </c>
    </row>
    <row r="499" spans="1:14" ht="30" customHeight="1" x14ac:dyDescent="0.25">
      <c r="A499" s="27" t="s">
        <v>1634</v>
      </c>
      <c r="B499" s="47" t="s">
        <v>918</v>
      </c>
      <c r="C499" s="27" t="s">
        <v>4</v>
      </c>
      <c r="D499" s="28">
        <v>3386065179</v>
      </c>
      <c r="E499" s="27"/>
      <c r="F499" s="27" t="s">
        <v>696</v>
      </c>
      <c r="G499" s="29">
        <v>26240</v>
      </c>
      <c r="H499" s="95" t="s">
        <v>1854</v>
      </c>
      <c r="I499" s="27"/>
      <c r="J499" s="52" t="s">
        <v>1112</v>
      </c>
      <c r="K499" s="51">
        <f>IF(Table1[[#This Row],[Preferenza telefono]]="Casa",Table1[[#This Row],[Telefono casa]],IF(Table1[[#This Row],[Preferenza telefono]]="Primario",Table1[[#This Row],[Telefono primario]],"-"))</f>
        <v>3386065179</v>
      </c>
      <c r="L499" s="37" t="s">
        <v>1856</v>
      </c>
      <c r="M499" s="37" t="s">
        <v>1856</v>
      </c>
      <c r="N499" s="35" t="b">
        <f>IF(_xlfn.UNICODE( Table1[[#This Row],[Check]])=9745,TRUE,FALSE)</f>
        <v>0</v>
      </c>
    </row>
    <row r="500" spans="1:14" ht="30" customHeight="1" x14ac:dyDescent="0.25">
      <c r="A500" s="27" t="s">
        <v>1634</v>
      </c>
      <c r="B500" s="42" t="s">
        <v>919</v>
      </c>
      <c r="C500" s="27" t="s">
        <v>1</v>
      </c>
      <c r="D500" s="28">
        <v>3357223808</v>
      </c>
      <c r="E500" s="27"/>
      <c r="F500" s="27" t="s">
        <v>920</v>
      </c>
      <c r="G500" s="29">
        <v>18259</v>
      </c>
      <c r="H500" s="95" t="s">
        <v>1854</v>
      </c>
      <c r="I500" s="27"/>
      <c r="J500" s="52" t="s">
        <v>1112</v>
      </c>
      <c r="K500" s="51">
        <f>IF(Table1[[#This Row],[Preferenza telefono]]="Casa",Table1[[#This Row],[Telefono casa]],IF(Table1[[#This Row],[Preferenza telefono]]="Primario",Table1[[#This Row],[Telefono primario]],"-"))</f>
        <v>3357223808</v>
      </c>
      <c r="L500" s="37" t="s">
        <v>1856</v>
      </c>
      <c r="M500" s="37" t="s">
        <v>1856</v>
      </c>
      <c r="N500" s="35" t="b">
        <f>IF(_xlfn.UNICODE( Table1[[#This Row],[Check]])=9745,TRUE,FALSE)</f>
        <v>0</v>
      </c>
    </row>
    <row r="501" spans="1:14" ht="30" customHeight="1" x14ac:dyDescent="0.25">
      <c r="A501" s="27" t="s">
        <v>1634</v>
      </c>
      <c r="B501" s="42" t="s">
        <v>927</v>
      </c>
      <c r="C501" s="27" t="s">
        <v>502</v>
      </c>
      <c r="D501" s="28">
        <v>3392875306</v>
      </c>
      <c r="E501" s="27"/>
      <c r="F501" s="27" t="s">
        <v>928</v>
      </c>
      <c r="G501" s="29">
        <v>28217</v>
      </c>
      <c r="H501" s="95" t="s">
        <v>1855</v>
      </c>
      <c r="I501" s="27"/>
      <c r="J501" s="52" t="s">
        <v>1112</v>
      </c>
      <c r="K501" s="51">
        <f>IF(Table1[[#This Row],[Preferenza telefono]]="Casa",Table1[[#This Row],[Telefono casa]],IF(Table1[[#This Row],[Preferenza telefono]]="Primario",Table1[[#This Row],[Telefono primario]],"-"))</f>
        <v>3392875306</v>
      </c>
      <c r="L501" s="37" t="s">
        <v>1856</v>
      </c>
      <c r="M501" s="37" t="s">
        <v>1856</v>
      </c>
      <c r="N501" s="35" t="b">
        <f>IF(_xlfn.UNICODE( Table1[[#This Row],[Check]])=9745,TRUE,FALSE)</f>
        <v>0</v>
      </c>
    </row>
    <row r="502" spans="1:14" ht="30" customHeight="1" x14ac:dyDescent="0.25">
      <c r="A502" s="27" t="s">
        <v>1634</v>
      </c>
      <c r="B502" s="42" t="s">
        <v>929</v>
      </c>
      <c r="C502" s="27" t="s">
        <v>930</v>
      </c>
      <c r="D502" s="28">
        <v>3498511216</v>
      </c>
      <c r="E502" s="27"/>
      <c r="F502" s="27" t="s">
        <v>931</v>
      </c>
      <c r="G502" s="29">
        <v>20884</v>
      </c>
      <c r="H502" s="95" t="s">
        <v>1854</v>
      </c>
      <c r="I502" s="27"/>
      <c r="J502" s="52" t="s">
        <v>1112</v>
      </c>
      <c r="K502" s="51">
        <f>IF(Table1[[#This Row],[Preferenza telefono]]="Casa",Table1[[#This Row],[Telefono casa]],IF(Table1[[#This Row],[Preferenza telefono]]="Primario",Table1[[#This Row],[Telefono primario]],"-"))</f>
        <v>3498511216</v>
      </c>
      <c r="L502" s="37" t="s">
        <v>1856</v>
      </c>
      <c r="M502" s="37" t="s">
        <v>1856</v>
      </c>
      <c r="N502" s="35" t="b">
        <f>IF(_xlfn.UNICODE( Table1[[#This Row],[Check]])=9745,TRUE,FALSE)</f>
        <v>0</v>
      </c>
    </row>
    <row r="503" spans="1:14" ht="30" customHeight="1" x14ac:dyDescent="0.25">
      <c r="A503" s="27" t="s">
        <v>1634</v>
      </c>
      <c r="B503" s="42" t="s">
        <v>921</v>
      </c>
      <c r="C503" s="27" t="s">
        <v>922</v>
      </c>
      <c r="D503" s="28">
        <v>3207542472</v>
      </c>
      <c r="E503" s="27"/>
      <c r="F503" s="27" t="s">
        <v>923</v>
      </c>
      <c r="G503" s="29" t="s">
        <v>113</v>
      </c>
      <c r="H503" s="95" t="s">
        <v>1854</v>
      </c>
      <c r="I503" s="27"/>
      <c r="J503" s="52" t="s">
        <v>1112</v>
      </c>
      <c r="K503" s="51">
        <f>IF(Table1[[#This Row],[Preferenza telefono]]="Casa",Table1[[#This Row],[Telefono casa]],IF(Table1[[#This Row],[Preferenza telefono]]="Primario",Table1[[#This Row],[Telefono primario]],"-"))</f>
        <v>3207542472</v>
      </c>
      <c r="L503" s="37" t="s">
        <v>1856</v>
      </c>
      <c r="M503" s="37" t="s">
        <v>1856</v>
      </c>
      <c r="N503" s="35" t="b">
        <f>IF(_xlfn.UNICODE( Table1[[#This Row],[Check]])=9745,TRUE,FALSE)</f>
        <v>0</v>
      </c>
    </row>
    <row r="504" spans="1:14" ht="30" customHeight="1" x14ac:dyDescent="0.25">
      <c r="A504" s="27" t="s">
        <v>1634</v>
      </c>
      <c r="B504" s="42" t="s">
        <v>926</v>
      </c>
      <c r="C504" s="27"/>
      <c r="D504" s="28"/>
      <c r="E504" s="27"/>
      <c r="F504" s="27"/>
      <c r="G504" s="29"/>
      <c r="H504" s="95" t="s">
        <v>1855</v>
      </c>
      <c r="I504" s="27"/>
      <c r="J504" s="52" t="s">
        <v>1112</v>
      </c>
      <c r="K504" s="51">
        <f>IF(Table1[[#This Row],[Preferenza telefono]]="Casa",Table1[[#This Row],[Telefono casa]],IF(Table1[[#This Row],[Preferenza telefono]]="Primario",Table1[[#This Row],[Telefono primario]],"-"))</f>
        <v>0</v>
      </c>
      <c r="L504" s="37" t="s">
        <v>1856</v>
      </c>
      <c r="M504" s="37" t="s">
        <v>1856</v>
      </c>
      <c r="N504" s="35" t="b">
        <f>IF(_xlfn.UNICODE( Table1[[#This Row],[Check]])=9745,TRUE,FALSE)</f>
        <v>0</v>
      </c>
    </row>
    <row r="505" spans="1:14" ht="30" customHeight="1" x14ac:dyDescent="0.25">
      <c r="A505" s="27" t="s">
        <v>1634</v>
      </c>
      <c r="B505" s="42" t="s">
        <v>924</v>
      </c>
      <c r="C505" s="27" t="s">
        <v>925</v>
      </c>
      <c r="D505" s="28">
        <v>3928417722</v>
      </c>
      <c r="E505" s="27"/>
      <c r="F505" s="27" t="s">
        <v>124</v>
      </c>
      <c r="G505" s="29">
        <v>26445</v>
      </c>
      <c r="H505" s="95" t="s">
        <v>1854</v>
      </c>
      <c r="I505" s="27"/>
      <c r="J505" s="52" t="s">
        <v>1112</v>
      </c>
      <c r="K505" s="51">
        <f>IF(Table1[[#This Row],[Preferenza telefono]]="Casa",Table1[[#This Row],[Telefono casa]],IF(Table1[[#This Row],[Preferenza telefono]]="Primario",Table1[[#This Row],[Telefono primario]],"-"))</f>
        <v>3928417722</v>
      </c>
      <c r="L505" s="37" t="s">
        <v>1856</v>
      </c>
      <c r="M505" s="37" t="s">
        <v>1856</v>
      </c>
      <c r="N505" s="35" t="b">
        <f>IF(_xlfn.UNICODE( Table1[[#This Row],[Check]])=9745,TRUE,FALSE)</f>
        <v>0</v>
      </c>
    </row>
    <row r="506" spans="1:14" ht="30" customHeight="1" x14ac:dyDescent="0.25">
      <c r="A506" s="27" t="s">
        <v>1634</v>
      </c>
      <c r="B506" s="47" t="s">
        <v>895</v>
      </c>
      <c r="C506" s="27" t="s">
        <v>609</v>
      </c>
      <c r="D506" s="28">
        <v>3491216077</v>
      </c>
      <c r="E506" s="27"/>
      <c r="F506" s="27" t="s">
        <v>896</v>
      </c>
      <c r="G506" s="29">
        <v>25418</v>
      </c>
      <c r="H506" s="95" t="s">
        <v>1854</v>
      </c>
      <c r="I506" s="27"/>
      <c r="J506" s="52" t="s">
        <v>1112</v>
      </c>
      <c r="K506" s="51">
        <f>IF(Table1[[#This Row],[Preferenza telefono]]="Casa",Table1[[#This Row],[Telefono casa]],IF(Table1[[#This Row],[Preferenza telefono]]="Primario",Table1[[#This Row],[Telefono primario]],"-"))</f>
        <v>3491216077</v>
      </c>
      <c r="L506" s="37" t="s">
        <v>1856</v>
      </c>
      <c r="M506" s="37" t="s">
        <v>1856</v>
      </c>
      <c r="N506" s="35" t="b">
        <f>IF(_xlfn.UNICODE( Table1[[#This Row],[Check]])=9745,TRUE,FALSE)</f>
        <v>0</v>
      </c>
    </row>
    <row r="507" spans="1:14" ht="30" customHeight="1" x14ac:dyDescent="0.25">
      <c r="A507" s="27" t="s">
        <v>1634</v>
      </c>
      <c r="B507" s="42" t="s">
        <v>932</v>
      </c>
      <c r="C507" s="27"/>
      <c r="D507" s="28"/>
      <c r="E507" s="27"/>
      <c r="F507" s="27"/>
      <c r="G507" s="29"/>
      <c r="H507" s="95" t="s">
        <v>1855</v>
      </c>
      <c r="I507" s="27"/>
      <c r="J507" s="52" t="s">
        <v>1112</v>
      </c>
      <c r="K507" s="51">
        <f>IF(Table1[[#This Row],[Preferenza telefono]]="Casa",Table1[[#This Row],[Telefono casa]],IF(Table1[[#This Row],[Preferenza telefono]]="Primario",Table1[[#This Row],[Telefono primario]],"-"))</f>
        <v>0</v>
      </c>
      <c r="L507" s="37" t="s">
        <v>1856</v>
      </c>
      <c r="M507" s="37" t="s">
        <v>1856</v>
      </c>
      <c r="N507" s="35" t="b">
        <f>IF(_xlfn.UNICODE( Table1[[#This Row],[Check]])=9745,TRUE,FALSE)</f>
        <v>0</v>
      </c>
    </row>
    <row r="508" spans="1:14" ht="30" customHeight="1" x14ac:dyDescent="0.25">
      <c r="A508" s="27" t="s">
        <v>1634</v>
      </c>
      <c r="B508" s="42" t="s">
        <v>167</v>
      </c>
      <c r="C508" s="27" t="s">
        <v>103</v>
      </c>
      <c r="D508" s="28">
        <v>3396557141</v>
      </c>
      <c r="E508" s="27" t="s">
        <v>113</v>
      </c>
      <c r="F508" s="27" t="s">
        <v>168</v>
      </c>
      <c r="G508" s="29">
        <v>25422</v>
      </c>
      <c r="H508" s="95" t="s">
        <v>1854</v>
      </c>
      <c r="I508" s="27"/>
      <c r="J508" s="52" t="s">
        <v>1112</v>
      </c>
      <c r="K508" s="51">
        <f>IF(Table1[[#This Row],[Preferenza telefono]]="Casa",Table1[[#This Row],[Telefono casa]],IF(Table1[[#This Row],[Preferenza telefono]]="Primario",Table1[[#This Row],[Telefono primario]],"-"))</f>
        <v>3396557141</v>
      </c>
      <c r="L508" s="37" t="s">
        <v>1856</v>
      </c>
      <c r="M508" s="37" t="s">
        <v>1856</v>
      </c>
      <c r="N508" s="35" t="b">
        <f>IF(_xlfn.UNICODE( Table1[[#This Row],[Check]])=9745,TRUE,FALSE)</f>
        <v>0</v>
      </c>
    </row>
    <row r="509" spans="1:14" ht="30" customHeight="1" x14ac:dyDescent="0.25">
      <c r="A509" s="27" t="s">
        <v>1634</v>
      </c>
      <c r="B509" s="42" t="s">
        <v>933</v>
      </c>
      <c r="C509" s="27" t="s">
        <v>103</v>
      </c>
      <c r="D509" s="28">
        <v>3395009638</v>
      </c>
      <c r="E509" s="27"/>
      <c r="F509" s="27" t="s">
        <v>934</v>
      </c>
      <c r="G509" s="29">
        <v>26041</v>
      </c>
      <c r="H509" s="95" t="s">
        <v>1854</v>
      </c>
      <c r="I509" s="27"/>
      <c r="J509" s="52" t="s">
        <v>1112</v>
      </c>
      <c r="K509" s="51">
        <f>IF(Table1[[#This Row],[Preferenza telefono]]="Casa",Table1[[#This Row],[Telefono casa]],IF(Table1[[#This Row],[Preferenza telefono]]="Primario",Table1[[#This Row],[Telefono primario]],"-"))</f>
        <v>3395009638</v>
      </c>
      <c r="L509" s="37" t="s">
        <v>1856</v>
      </c>
      <c r="M509" s="37" t="s">
        <v>1856</v>
      </c>
      <c r="N509" s="35" t="b">
        <f>IF(_xlfn.UNICODE( Table1[[#This Row],[Check]])=9745,TRUE,FALSE)</f>
        <v>0</v>
      </c>
    </row>
    <row r="510" spans="1:14" ht="30" customHeight="1" x14ac:dyDescent="0.25">
      <c r="A510" s="27" t="s">
        <v>1634</v>
      </c>
      <c r="B510" s="42" t="s">
        <v>169</v>
      </c>
      <c r="C510" s="27" t="s">
        <v>103</v>
      </c>
      <c r="D510" s="28">
        <v>3345012240</v>
      </c>
      <c r="E510" s="27" t="s">
        <v>113</v>
      </c>
      <c r="F510" s="27"/>
      <c r="G510" s="29">
        <v>25422</v>
      </c>
      <c r="H510" s="95" t="s">
        <v>1855</v>
      </c>
      <c r="I510" s="27"/>
      <c r="J510" s="52" t="s">
        <v>1112</v>
      </c>
      <c r="K510" s="51">
        <f>IF(Table1[[#This Row],[Preferenza telefono]]="Casa",Table1[[#This Row],[Telefono casa]],IF(Table1[[#This Row],[Preferenza telefono]]="Primario",Table1[[#This Row],[Telefono primario]],"-"))</f>
        <v>3345012240</v>
      </c>
      <c r="L510" s="37" t="s">
        <v>1856</v>
      </c>
      <c r="M510" s="37" t="s">
        <v>1856</v>
      </c>
      <c r="N510" s="35" t="b">
        <f>IF(_xlfn.UNICODE( Table1[[#This Row],[Check]])=9745,TRUE,FALSE)</f>
        <v>0</v>
      </c>
    </row>
    <row r="511" spans="1:14" ht="30" customHeight="1" x14ac:dyDescent="0.25">
      <c r="A511" s="27" t="s">
        <v>1634</v>
      </c>
      <c r="B511" s="42" t="s">
        <v>935</v>
      </c>
      <c r="C511" s="27" t="s">
        <v>103</v>
      </c>
      <c r="D511" s="28" t="s">
        <v>936</v>
      </c>
      <c r="E511" s="27"/>
      <c r="F511" s="27" t="s">
        <v>104</v>
      </c>
      <c r="G511" s="29">
        <v>28533</v>
      </c>
      <c r="H511" s="95" t="s">
        <v>1854</v>
      </c>
      <c r="I511" s="27"/>
      <c r="J511" s="52" t="s">
        <v>1112</v>
      </c>
      <c r="K511" s="51" t="str">
        <f>IF(Table1[[#This Row],[Preferenza telefono]]="Casa",Table1[[#This Row],[Telefono casa]],IF(Table1[[#This Row],[Preferenza telefono]]="Primario",Table1[[#This Row],[Telefono primario]],"-"))</f>
        <v>.0382969837</v>
      </c>
      <c r="L511" s="37" t="s">
        <v>1856</v>
      </c>
      <c r="M511" s="37" t="s">
        <v>1856</v>
      </c>
      <c r="N511" s="35" t="b">
        <f>IF(_xlfn.UNICODE( Table1[[#This Row],[Check]])=9745,TRUE,FALSE)</f>
        <v>0</v>
      </c>
    </row>
    <row r="512" spans="1:14" ht="30" customHeight="1" x14ac:dyDescent="0.25">
      <c r="A512" s="27" t="s">
        <v>1634</v>
      </c>
      <c r="B512" s="42" t="s">
        <v>937</v>
      </c>
      <c r="C512" s="27" t="s">
        <v>1</v>
      </c>
      <c r="D512" s="28"/>
      <c r="E512" s="27"/>
      <c r="F512" s="27" t="s">
        <v>1737</v>
      </c>
      <c r="G512" s="29">
        <v>24291</v>
      </c>
      <c r="H512" s="95" t="s">
        <v>1854</v>
      </c>
      <c r="I512" s="27"/>
      <c r="J512" s="52" t="s">
        <v>1112</v>
      </c>
      <c r="K512" s="51">
        <f>IF(Table1[[#This Row],[Preferenza telefono]]="Casa",Table1[[#This Row],[Telefono casa]],IF(Table1[[#This Row],[Preferenza telefono]]="Primario",Table1[[#This Row],[Telefono primario]],"-"))</f>
        <v>0</v>
      </c>
      <c r="L512" s="37" t="s">
        <v>1856</v>
      </c>
      <c r="M512" s="37" t="s">
        <v>1856</v>
      </c>
      <c r="N512" s="35" t="b">
        <f>IF(_xlfn.UNICODE( Table1[[#This Row],[Check]])=9745,TRUE,FALSE)</f>
        <v>0</v>
      </c>
    </row>
    <row r="513" spans="1:14" ht="30" customHeight="1" x14ac:dyDescent="0.25">
      <c r="A513" s="27" t="s">
        <v>1634</v>
      </c>
      <c r="B513" s="42" t="s">
        <v>938</v>
      </c>
      <c r="C513" s="37"/>
      <c r="D513" s="39"/>
      <c r="E513" s="37"/>
      <c r="F513" s="37"/>
      <c r="G513" s="38"/>
      <c r="H513" s="95" t="s">
        <v>1855</v>
      </c>
      <c r="I513" s="37"/>
      <c r="J513" s="52" t="s">
        <v>1112</v>
      </c>
      <c r="K513" s="51">
        <f>IF(Table1[[#This Row],[Preferenza telefono]]="Casa",Table1[[#This Row],[Telefono casa]],IF(Table1[[#This Row],[Preferenza telefono]]="Primario",Table1[[#This Row],[Telefono primario]],"-"))</f>
        <v>0</v>
      </c>
      <c r="L513" s="37" t="s">
        <v>1856</v>
      </c>
      <c r="M513" s="37" t="s">
        <v>1856</v>
      </c>
      <c r="N513" s="35" t="b">
        <f>IF(_xlfn.UNICODE( Table1[[#This Row],[Check]])=9745,TRUE,FALSE)</f>
        <v>0</v>
      </c>
    </row>
    <row r="514" spans="1:14" ht="30" customHeight="1" x14ac:dyDescent="0.25">
      <c r="A514" s="27" t="s">
        <v>1634</v>
      </c>
      <c r="B514" s="46" t="s">
        <v>939</v>
      </c>
      <c r="C514" s="37"/>
      <c r="D514" s="39"/>
      <c r="E514" s="37"/>
      <c r="F514" s="37"/>
      <c r="G514" s="38"/>
      <c r="H514" s="95" t="s">
        <v>1854</v>
      </c>
      <c r="I514" s="37"/>
      <c r="J514" s="52" t="s">
        <v>1112</v>
      </c>
      <c r="K514" s="51">
        <f>IF(Table1[[#This Row],[Preferenza telefono]]="Casa",Table1[[#This Row],[Telefono casa]],IF(Table1[[#This Row],[Preferenza telefono]]="Primario",Table1[[#This Row],[Telefono primario]],"-"))</f>
        <v>0</v>
      </c>
      <c r="L514" s="37" t="s">
        <v>1856</v>
      </c>
      <c r="M514" s="37" t="s">
        <v>1856</v>
      </c>
      <c r="N514" s="35" t="b">
        <f>IF(_xlfn.UNICODE( Table1[[#This Row],[Check]])=9745,TRUE,FALSE)</f>
        <v>0</v>
      </c>
    </row>
    <row r="515" spans="1:14" ht="30" customHeight="1" x14ac:dyDescent="0.25">
      <c r="A515" s="27" t="s">
        <v>1634</v>
      </c>
      <c r="B515" s="46" t="s">
        <v>409</v>
      </c>
      <c r="C515" s="37"/>
      <c r="D515" s="39">
        <v>330211666</v>
      </c>
      <c r="E515" s="37"/>
      <c r="F515" s="37" t="s">
        <v>941</v>
      </c>
      <c r="G515" s="38"/>
      <c r="H515" s="95" t="s">
        <v>1854</v>
      </c>
      <c r="I515" s="37"/>
      <c r="J515" s="52" t="s">
        <v>1112</v>
      </c>
      <c r="K515" s="51">
        <f>IF(Table1[[#This Row],[Preferenza telefono]]="Casa",Table1[[#This Row],[Telefono casa]],IF(Table1[[#This Row],[Preferenza telefono]]="Primario",Table1[[#This Row],[Telefono primario]],"-"))</f>
        <v>330211666</v>
      </c>
      <c r="L515" s="37" t="s">
        <v>1856</v>
      </c>
      <c r="M515" s="37" t="s">
        <v>1856</v>
      </c>
      <c r="N515" s="35" t="b">
        <f>IF(_xlfn.UNICODE( Table1[[#This Row],[Check]])=9745,TRUE,FALSE)</f>
        <v>0</v>
      </c>
    </row>
    <row r="516" spans="1:14" ht="30" customHeight="1" x14ac:dyDescent="0.25">
      <c r="A516" s="27" t="s">
        <v>1634</v>
      </c>
      <c r="B516" s="42" t="s">
        <v>940</v>
      </c>
      <c r="C516" s="27" t="s">
        <v>106</v>
      </c>
      <c r="D516" s="28">
        <v>3392018507</v>
      </c>
      <c r="E516" s="27">
        <v>3385350653</v>
      </c>
      <c r="F516" s="27" t="s">
        <v>154</v>
      </c>
      <c r="G516" s="29">
        <v>24074</v>
      </c>
      <c r="H516" s="95" t="s">
        <v>1855</v>
      </c>
      <c r="I516" s="27"/>
      <c r="J516" s="52" t="s">
        <v>1112</v>
      </c>
      <c r="K516" s="51">
        <f>IF(Table1[[#This Row],[Preferenza telefono]]="Casa",Table1[[#This Row],[Telefono casa]],IF(Table1[[#This Row],[Preferenza telefono]]="Primario",Table1[[#This Row],[Telefono primario]],"-"))</f>
        <v>3392018507</v>
      </c>
      <c r="L516" s="37" t="s">
        <v>1856</v>
      </c>
      <c r="M516" s="37" t="s">
        <v>1856</v>
      </c>
      <c r="N516" s="35" t="b">
        <f>IF(_xlfn.UNICODE( Table1[[#This Row],[Check]])=9745,TRUE,FALSE)</f>
        <v>0</v>
      </c>
    </row>
    <row r="517" spans="1:14" ht="30" customHeight="1" x14ac:dyDescent="0.25">
      <c r="A517" s="27" t="s">
        <v>1634</v>
      </c>
      <c r="B517" s="42" t="s">
        <v>942</v>
      </c>
      <c r="C517" s="27"/>
      <c r="D517" s="28"/>
      <c r="E517" s="27"/>
      <c r="F517" s="27"/>
      <c r="G517" s="29"/>
      <c r="H517" s="95" t="s">
        <v>1854</v>
      </c>
      <c r="I517" s="27"/>
      <c r="J517" s="52" t="s">
        <v>1112</v>
      </c>
      <c r="K517" s="51">
        <f>IF(Table1[[#This Row],[Preferenza telefono]]="Casa",Table1[[#This Row],[Telefono casa]],IF(Table1[[#This Row],[Preferenza telefono]]="Primario",Table1[[#This Row],[Telefono primario]],"-"))</f>
        <v>0</v>
      </c>
      <c r="L517" s="37" t="s">
        <v>1856</v>
      </c>
      <c r="M517" s="37" t="s">
        <v>1856</v>
      </c>
      <c r="N517" s="35" t="b">
        <f>IF(_xlfn.UNICODE( Table1[[#This Row],[Check]])=9745,TRUE,FALSE)</f>
        <v>0</v>
      </c>
    </row>
    <row r="518" spans="1:14" ht="30" customHeight="1" x14ac:dyDescent="0.25">
      <c r="A518" s="27" t="s">
        <v>1634</v>
      </c>
      <c r="B518" s="42" t="s">
        <v>944</v>
      </c>
      <c r="C518" s="27" t="s">
        <v>922</v>
      </c>
      <c r="D518" s="28">
        <v>3333247897</v>
      </c>
      <c r="E518" s="27">
        <v>3207542472</v>
      </c>
      <c r="F518" s="27" t="s">
        <v>923</v>
      </c>
      <c r="G518" s="29">
        <v>29548</v>
      </c>
      <c r="H518" s="95" t="s">
        <v>1854</v>
      </c>
      <c r="I518" s="27"/>
      <c r="J518" s="52" t="s">
        <v>1112</v>
      </c>
      <c r="K518" s="51">
        <f>IF(Table1[[#This Row],[Preferenza telefono]]="Casa",Table1[[#This Row],[Telefono casa]],IF(Table1[[#This Row],[Preferenza telefono]]="Primario",Table1[[#This Row],[Telefono primario]],"-"))</f>
        <v>3333247897</v>
      </c>
      <c r="L518" s="37" t="s">
        <v>1856</v>
      </c>
      <c r="M518" s="37" t="s">
        <v>1856</v>
      </c>
      <c r="N518" s="35" t="b">
        <f>IF(_xlfn.UNICODE( Table1[[#This Row],[Check]])=9745,TRUE,FALSE)</f>
        <v>0</v>
      </c>
    </row>
    <row r="519" spans="1:14" ht="30" customHeight="1" x14ac:dyDescent="0.25">
      <c r="A519" s="27" t="s">
        <v>1634</v>
      </c>
      <c r="B519" s="42" t="s">
        <v>943</v>
      </c>
      <c r="C519" s="27" t="s">
        <v>117</v>
      </c>
      <c r="D519" s="28" t="s">
        <v>113</v>
      </c>
      <c r="E519" s="27"/>
      <c r="F519" s="27"/>
      <c r="G519" s="29">
        <v>19317</v>
      </c>
      <c r="H519" s="95" t="s">
        <v>1855</v>
      </c>
      <c r="I519" s="27"/>
      <c r="J519" s="52" t="s">
        <v>1112</v>
      </c>
      <c r="K519" s="51" t="str">
        <f>IF(Table1[[#This Row],[Preferenza telefono]]="Casa",Table1[[#This Row],[Telefono casa]],IF(Table1[[#This Row],[Preferenza telefono]]="Primario",Table1[[#This Row],[Telefono primario]],"-"))</f>
        <v>-</v>
      </c>
      <c r="L519" s="37" t="s">
        <v>1856</v>
      </c>
      <c r="M519" s="37" t="s">
        <v>1856</v>
      </c>
      <c r="N519" s="35" t="b">
        <f>IF(_xlfn.UNICODE( Table1[[#This Row],[Check]])=9745,TRUE,FALSE)</f>
        <v>0</v>
      </c>
    </row>
    <row r="520" spans="1:14" ht="30" customHeight="1" x14ac:dyDescent="0.25">
      <c r="A520" s="27" t="s">
        <v>1634</v>
      </c>
      <c r="B520" s="47" t="s">
        <v>945</v>
      </c>
      <c r="C520" s="27" t="s">
        <v>120</v>
      </c>
      <c r="D520" s="28">
        <v>3312230243</v>
      </c>
      <c r="E520" s="27">
        <v>3774931123</v>
      </c>
      <c r="F520" s="27" t="s">
        <v>97</v>
      </c>
      <c r="G520" s="29">
        <v>25249</v>
      </c>
      <c r="H520" s="95" t="s">
        <v>1854</v>
      </c>
      <c r="I520" s="27"/>
      <c r="J520" s="52" t="s">
        <v>1112</v>
      </c>
      <c r="K520" s="51">
        <f>IF(Table1[[#This Row],[Preferenza telefono]]="Casa",Table1[[#This Row],[Telefono casa]],IF(Table1[[#This Row],[Preferenza telefono]]="Primario",Table1[[#This Row],[Telefono primario]],"-"))</f>
        <v>3312230243</v>
      </c>
      <c r="L520" s="37" t="s">
        <v>1856</v>
      </c>
      <c r="M520" s="37" t="s">
        <v>1856</v>
      </c>
      <c r="N520" s="35" t="b">
        <f>IF(_xlfn.UNICODE( Table1[[#This Row],[Check]])=9745,TRUE,FALSE)</f>
        <v>0</v>
      </c>
    </row>
    <row r="521" spans="1:14" ht="30" customHeight="1" x14ac:dyDescent="0.25">
      <c r="A521" s="27" t="s">
        <v>1634</v>
      </c>
      <c r="B521" s="42" t="s">
        <v>949</v>
      </c>
      <c r="C521" s="27" t="s">
        <v>106</v>
      </c>
      <c r="D521" s="28"/>
      <c r="E521" s="27"/>
      <c r="F521" s="27"/>
      <c r="G521" s="29"/>
      <c r="H521" s="95" t="s">
        <v>1854</v>
      </c>
      <c r="I521" s="27"/>
      <c r="J521" s="52" t="s">
        <v>1112</v>
      </c>
      <c r="K521" s="51">
        <f>IF(Table1[[#This Row],[Preferenza telefono]]="Casa",Table1[[#This Row],[Telefono casa]],IF(Table1[[#This Row],[Preferenza telefono]]="Primario",Table1[[#This Row],[Telefono primario]],"-"))</f>
        <v>0</v>
      </c>
      <c r="L521" s="37" t="s">
        <v>1856</v>
      </c>
      <c r="M521" s="37" t="s">
        <v>1856</v>
      </c>
      <c r="N521" s="35" t="b">
        <f>IF(_xlfn.UNICODE( Table1[[#This Row],[Check]])=9745,TRUE,FALSE)</f>
        <v>0</v>
      </c>
    </row>
    <row r="522" spans="1:14" ht="30" customHeight="1" x14ac:dyDescent="0.25">
      <c r="A522" s="27" t="s">
        <v>1634</v>
      </c>
      <c r="B522" s="42" t="s">
        <v>946</v>
      </c>
      <c r="C522" s="27" t="s">
        <v>150</v>
      </c>
      <c r="D522" s="28">
        <v>3661659231</v>
      </c>
      <c r="E522" s="27"/>
      <c r="F522" s="27" t="s">
        <v>947</v>
      </c>
      <c r="G522" s="29">
        <v>33313</v>
      </c>
      <c r="H522" s="95" t="s">
        <v>1855</v>
      </c>
      <c r="I522" s="27"/>
      <c r="J522" s="52" t="s">
        <v>1112</v>
      </c>
      <c r="K522" s="51">
        <f>IF(Table1[[#This Row],[Preferenza telefono]]="Casa",Table1[[#This Row],[Telefono casa]],IF(Table1[[#This Row],[Preferenza telefono]]="Primario",Table1[[#This Row],[Telefono primario]],"-"))</f>
        <v>3661659231</v>
      </c>
      <c r="L522" s="37" t="s">
        <v>1856</v>
      </c>
      <c r="M522" s="37" t="s">
        <v>1856</v>
      </c>
      <c r="N522" s="35" t="b">
        <f>IF(_xlfn.UNICODE( Table1[[#This Row],[Check]])=9745,TRUE,FALSE)</f>
        <v>0</v>
      </c>
    </row>
    <row r="523" spans="1:14" ht="30" customHeight="1" x14ac:dyDescent="0.25">
      <c r="A523" s="27" t="s">
        <v>1634</v>
      </c>
      <c r="B523" s="42" t="s">
        <v>948</v>
      </c>
      <c r="C523" s="27" t="s">
        <v>193</v>
      </c>
      <c r="D523" s="28">
        <v>3315992468</v>
      </c>
      <c r="E523" s="27"/>
      <c r="F523" s="27" t="s">
        <v>838</v>
      </c>
      <c r="G523" s="29">
        <v>27737</v>
      </c>
      <c r="H523" s="95" t="s">
        <v>1854</v>
      </c>
      <c r="I523" s="27"/>
      <c r="J523" s="52" t="s">
        <v>1112</v>
      </c>
      <c r="K523" s="51">
        <f>IF(Table1[[#This Row],[Preferenza telefono]]="Casa",Table1[[#This Row],[Telefono casa]],IF(Table1[[#This Row],[Preferenza telefono]]="Primario",Table1[[#This Row],[Telefono primario]],"-"))</f>
        <v>3315992468</v>
      </c>
      <c r="L523" s="37" t="s">
        <v>1856</v>
      </c>
      <c r="M523" s="37" t="s">
        <v>1856</v>
      </c>
      <c r="N523" s="35" t="b">
        <f>IF(_xlfn.UNICODE( Table1[[#This Row],[Check]])=9745,TRUE,FALSE)</f>
        <v>0</v>
      </c>
    </row>
    <row r="524" spans="1:14" ht="30" customHeight="1" x14ac:dyDescent="0.25">
      <c r="A524" s="27" t="s">
        <v>1634</v>
      </c>
      <c r="B524" s="42" t="s">
        <v>170</v>
      </c>
      <c r="C524" s="27" t="s">
        <v>1</v>
      </c>
      <c r="D524" s="28">
        <v>3487271552</v>
      </c>
      <c r="E524" s="27"/>
      <c r="F524" s="27" t="s">
        <v>171</v>
      </c>
      <c r="G524" s="29"/>
      <c r="H524" s="95" t="s">
        <v>1854</v>
      </c>
      <c r="I524" s="27"/>
      <c r="J524" s="52" t="s">
        <v>1112</v>
      </c>
      <c r="K524" s="51">
        <f>IF(Table1[[#This Row],[Preferenza telefono]]="Casa",Table1[[#This Row],[Telefono casa]],IF(Table1[[#This Row],[Preferenza telefono]]="Primario",Table1[[#This Row],[Telefono primario]],"-"))</f>
        <v>3487271552</v>
      </c>
      <c r="L524" s="37" t="s">
        <v>1856</v>
      </c>
      <c r="M524" s="37" t="s">
        <v>1856</v>
      </c>
      <c r="N524" s="35" t="b">
        <f>IF(_xlfn.UNICODE( Table1[[#This Row],[Check]])=9745,TRUE,FALSE)</f>
        <v>0</v>
      </c>
    </row>
    <row r="525" spans="1:14" ht="30" customHeight="1" x14ac:dyDescent="0.25">
      <c r="A525" s="27" t="s">
        <v>1634</v>
      </c>
      <c r="B525" s="42" t="s">
        <v>171</v>
      </c>
      <c r="C525" s="27" t="s">
        <v>1</v>
      </c>
      <c r="D525" s="28">
        <v>3487271552</v>
      </c>
      <c r="E525" s="27"/>
      <c r="F525" s="27" t="s">
        <v>172</v>
      </c>
      <c r="G525" s="29"/>
      <c r="H525" s="95" t="s">
        <v>1855</v>
      </c>
      <c r="I525" s="27"/>
      <c r="J525" s="52" t="s">
        <v>1112</v>
      </c>
      <c r="K525" s="51">
        <f>IF(Table1[[#This Row],[Preferenza telefono]]="Casa",Table1[[#This Row],[Telefono casa]],IF(Table1[[#This Row],[Preferenza telefono]]="Primario",Table1[[#This Row],[Telefono primario]],"-"))</f>
        <v>3487271552</v>
      </c>
      <c r="L525" s="37" t="s">
        <v>1856</v>
      </c>
      <c r="M525" s="37" t="s">
        <v>1856</v>
      </c>
      <c r="N525" s="35" t="b">
        <f>IF(_xlfn.UNICODE( Table1[[#This Row],[Check]])=9745,TRUE,FALSE)</f>
        <v>0</v>
      </c>
    </row>
    <row r="526" spans="1:14" ht="30" customHeight="1" x14ac:dyDescent="0.25">
      <c r="A526" s="27" t="s">
        <v>1634</v>
      </c>
      <c r="B526" s="42" t="s">
        <v>173</v>
      </c>
      <c r="C526" s="27" t="s">
        <v>1</v>
      </c>
      <c r="D526" s="28">
        <v>3487271552</v>
      </c>
      <c r="E526" s="27"/>
      <c r="F526" s="27" t="s">
        <v>174</v>
      </c>
      <c r="G526" s="29"/>
      <c r="H526" s="95" t="s">
        <v>1854</v>
      </c>
      <c r="I526" s="27"/>
      <c r="J526" s="52" t="s">
        <v>1112</v>
      </c>
      <c r="K526" s="51">
        <f>IF(Table1[[#This Row],[Preferenza telefono]]="Casa",Table1[[#This Row],[Telefono casa]],IF(Table1[[#This Row],[Preferenza telefono]]="Primario",Table1[[#This Row],[Telefono primario]],"-"))</f>
        <v>3487271552</v>
      </c>
      <c r="L526" s="37" t="s">
        <v>1856</v>
      </c>
      <c r="M526" s="37" t="s">
        <v>1856</v>
      </c>
      <c r="N526" s="35" t="b">
        <f>IF(_xlfn.UNICODE( Table1[[#This Row],[Check]])=9745,TRUE,FALSE)</f>
        <v>0</v>
      </c>
    </row>
    <row r="527" spans="1:14" ht="30" customHeight="1" x14ac:dyDescent="0.25">
      <c r="A527" s="27" t="s">
        <v>1634</v>
      </c>
      <c r="B527" s="42" t="s">
        <v>950</v>
      </c>
      <c r="C527" s="27" t="s">
        <v>3</v>
      </c>
      <c r="D527" s="28"/>
      <c r="E527" s="27"/>
      <c r="F527" s="27"/>
      <c r="G527" s="29">
        <v>24048</v>
      </c>
      <c r="H527" s="95" t="s">
        <v>1854</v>
      </c>
      <c r="I527" s="27"/>
      <c r="J527" s="52" t="s">
        <v>1112</v>
      </c>
      <c r="K527" s="51">
        <f>IF(Table1[[#This Row],[Preferenza telefono]]="Casa",Table1[[#This Row],[Telefono casa]],IF(Table1[[#This Row],[Preferenza telefono]]="Primario",Table1[[#This Row],[Telefono primario]],"-"))</f>
        <v>0</v>
      </c>
      <c r="L527" s="37" t="s">
        <v>1856</v>
      </c>
      <c r="M527" s="37" t="s">
        <v>1856</v>
      </c>
      <c r="N527" s="35" t="b">
        <f>IF(_xlfn.UNICODE( Table1[[#This Row],[Check]])=9745,TRUE,FALSE)</f>
        <v>0</v>
      </c>
    </row>
    <row r="528" spans="1:14" ht="30" customHeight="1" x14ac:dyDescent="0.25">
      <c r="A528" s="27" t="s">
        <v>1634</v>
      </c>
      <c r="B528" s="42" t="s">
        <v>951</v>
      </c>
      <c r="C528" s="27" t="s">
        <v>442</v>
      </c>
      <c r="D528" s="28">
        <v>3460601744</v>
      </c>
      <c r="E528" s="27"/>
      <c r="F528" s="27" t="s">
        <v>621</v>
      </c>
      <c r="G528" s="29">
        <v>29005</v>
      </c>
      <c r="H528" s="95" t="s">
        <v>1855</v>
      </c>
      <c r="I528" s="27"/>
      <c r="J528" s="52" t="s">
        <v>1112</v>
      </c>
      <c r="K528" s="51">
        <f>IF(Table1[[#This Row],[Preferenza telefono]]="Casa",Table1[[#This Row],[Telefono casa]],IF(Table1[[#This Row],[Preferenza telefono]]="Primario",Table1[[#This Row],[Telefono primario]],"-"))</f>
        <v>3460601744</v>
      </c>
      <c r="L528" s="37" t="s">
        <v>1856</v>
      </c>
      <c r="M528" s="37" t="s">
        <v>1856</v>
      </c>
      <c r="N528" s="35" t="b">
        <f>IF(_xlfn.UNICODE( Table1[[#This Row],[Check]])=9745,TRUE,FALSE)</f>
        <v>0</v>
      </c>
    </row>
    <row r="529" spans="1:14" ht="30" customHeight="1" x14ac:dyDescent="0.25">
      <c r="A529" s="27" t="s">
        <v>1634</v>
      </c>
      <c r="B529" s="42" t="s">
        <v>965</v>
      </c>
      <c r="C529" s="27" t="s">
        <v>966</v>
      </c>
      <c r="D529" s="28" t="s">
        <v>96</v>
      </c>
      <c r="E529" s="27"/>
      <c r="F529" s="27" t="s">
        <v>967</v>
      </c>
      <c r="G529" s="29"/>
      <c r="H529" s="95" t="s">
        <v>1854</v>
      </c>
      <c r="I529" s="27"/>
      <c r="J529" s="52" t="s">
        <v>1112</v>
      </c>
      <c r="K529" s="51" t="str">
        <f>IF(Table1[[#This Row],[Preferenza telefono]]="Casa",Table1[[#This Row],[Telefono casa]],IF(Table1[[#This Row],[Preferenza telefono]]="Primario",Table1[[#This Row],[Telefono primario]],"-"))</f>
        <v>.038235456</v>
      </c>
      <c r="L529" s="37" t="s">
        <v>1856</v>
      </c>
      <c r="M529" s="37" t="s">
        <v>1856</v>
      </c>
      <c r="N529" s="35" t="b">
        <f>IF(_xlfn.UNICODE( Table1[[#This Row],[Check]])=9745,TRUE,FALSE)</f>
        <v>0</v>
      </c>
    </row>
    <row r="530" spans="1:14" ht="30" customHeight="1" x14ac:dyDescent="0.25">
      <c r="A530" s="27" t="s">
        <v>1634</v>
      </c>
      <c r="B530" s="42" t="s">
        <v>964</v>
      </c>
      <c r="C530" s="27"/>
      <c r="D530" s="28"/>
      <c r="E530" s="27"/>
      <c r="F530" s="27"/>
      <c r="G530" s="29"/>
      <c r="H530" s="95" t="s">
        <v>1854</v>
      </c>
      <c r="I530" s="27"/>
      <c r="J530" s="52" t="s">
        <v>1112</v>
      </c>
      <c r="K530" s="51">
        <f>IF(Table1[[#This Row],[Preferenza telefono]]="Casa",Table1[[#This Row],[Telefono casa]],IF(Table1[[#This Row],[Preferenza telefono]]="Primario",Table1[[#This Row],[Telefono primario]],"-"))</f>
        <v>0</v>
      </c>
      <c r="L530" s="37" t="s">
        <v>1856</v>
      </c>
      <c r="M530" s="37" t="s">
        <v>1856</v>
      </c>
      <c r="N530" s="35" t="b">
        <f>IF(_xlfn.UNICODE( Table1[[#This Row],[Check]])=9745,TRUE,FALSE)</f>
        <v>0</v>
      </c>
    </row>
    <row r="531" spans="1:14" ht="30" customHeight="1" x14ac:dyDescent="0.25">
      <c r="A531" s="27" t="s">
        <v>1634</v>
      </c>
      <c r="B531" s="42" t="s">
        <v>952</v>
      </c>
      <c r="C531" s="27" t="s">
        <v>131</v>
      </c>
      <c r="D531" s="28" t="s">
        <v>113</v>
      </c>
      <c r="E531" s="27"/>
      <c r="F531" s="27" t="s">
        <v>113</v>
      </c>
      <c r="G531" s="29">
        <v>16439</v>
      </c>
      <c r="H531" s="95" t="s">
        <v>1855</v>
      </c>
      <c r="I531" s="27"/>
      <c r="J531" s="52" t="s">
        <v>1112</v>
      </c>
      <c r="K531" s="51" t="str">
        <f>IF(Table1[[#This Row],[Preferenza telefono]]="Casa",Table1[[#This Row],[Telefono casa]],IF(Table1[[#This Row],[Preferenza telefono]]="Primario",Table1[[#This Row],[Telefono primario]],"-"))</f>
        <v>-</v>
      </c>
      <c r="L531" s="37" t="s">
        <v>1856</v>
      </c>
      <c r="M531" s="37" t="s">
        <v>1856</v>
      </c>
      <c r="N531" s="35" t="b">
        <f>IF(_xlfn.UNICODE( Table1[[#This Row],[Check]])=9745,TRUE,FALSE)</f>
        <v>0</v>
      </c>
    </row>
    <row r="532" spans="1:14" ht="30" customHeight="1" x14ac:dyDescent="0.25">
      <c r="A532" s="27" t="s">
        <v>1634</v>
      </c>
      <c r="B532" s="42" t="s">
        <v>955</v>
      </c>
      <c r="C532" s="27" t="s">
        <v>1</v>
      </c>
      <c r="D532" s="28">
        <v>3343122404</v>
      </c>
      <c r="E532" s="27"/>
      <c r="F532" s="27" t="s">
        <v>956</v>
      </c>
      <c r="G532" s="29" t="s">
        <v>113</v>
      </c>
      <c r="H532" s="95" t="s">
        <v>1854</v>
      </c>
      <c r="I532" s="27"/>
      <c r="J532" s="52" t="s">
        <v>1112</v>
      </c>
      <c r="K532" s="51">
        <f>IF(Table1[[#This Row],[Preferenza telefono]]="Casa",Table1[[#This Row],[Telefono casa]],IF(Table1[[#This Row],[Preferenza telefono]]="Primario",Table1[[#This Row],[Telefono primario]],"-"))</f>
        <v>3343122404</v>
      </c>
      <c r="L532" s="37" t="s">
        <v>1856</v>
      </c>
      <c r="M532" s="37" t="s">
        <v>1856</v>
      </c>
      <c r="N532" s="35" t="b">
        <f>IF(_xlfn.UNICODE( Table1[[#This Row],[Check]])=9745,TRUE,FALSE)</f>
        <v>0</v>
      </c>
    </row>
    <row r="533" spans="1:14" ht="30" customHeight="1" x14ac:dyDescent="0.25">
      <c r="A533" s="27" t="s">
        <v>1634</v>
      </c>
      <c r="B533" s="42" t="s">
        <v>953</v>
      </c>
      <c r="C533" s="27" t="s">
        <v>459</v>
      </c>
      <c r="D533" s="28">
        <v>3293358094</v>
      </c>
      <c r="E533" s="27">
        <v>0</v>
      </c>
      <c r="F533" s="27" t="s">
        <v>118</v>
      </c>
      <c r="G533" s="29">
        <v>31228</v>
      </c>
      <c r="H533" s="95" t="s">
        <v>1854</v>
      </c>
      <c r="I533" s="27"/>
      <c r="J533" s="52" t="s">
        <v>1112</v>
      </c>
      <c r="K533" s="51">
        <f>IF(Table1[[#This Row],[Preferenza telefono]]="Casa",Table1[[#This Row],[Telefono casa]],IF(Table1[[#This Row],[Preferenza telefono]]="Primario",Table1[[#This Row],[Telefono primario]],"-"))</f>
        <v>3293358094</v>
      </c>
      <c r="L533" s="37" t="s">
        <v>1856</v>
      </c>
      <c r="M533" s="37" t="s">
        <v>1856</v>
      </c>
      <c r="N533" s="35" t="b">
        <f>IF(_xlfn.UNICODE( Table1[[#This Row],[Check]])=9745,TRUE,FALSE)</f>
        <v>0</v>
      </c>
    </row>
    <row r="534" spans="1:14" ht="30" customHeight="1" x14ac:dyDescent="0.25">
      <c r="A534" s="27" t="s">
        <v>1634</v>
      </c>
      <c r="B534" s="42" t="s">
        <v>954</v>
      </c>
      <c r="C534" s="27"/>
      <c r="D534" s="28"/>
      <c r="E534" s="27"/>
      <c r="F534" s="27"/>
      <c r="G534" s="29"/>
      <c r="H534" s="95" t="s">
        <v>1855</v>
      </c>
      <c r="I534" s="27"/>
      <c r="J534" s="52" t="s">
        <v>1112</v>
      </c>
      <c r="K534" s="51">
        <f>IF(Table1[[#This Row],[Preferenza telefono]]="Casa",Table1[[#This Row],[Telefono casa]],IF(Table1[[#This Row],[Preferenza telefono]]="Primario",Table1[[#This Row],[Telefono primario]],"-"))</f>
        <v>0</v>
      </c>
      <c r="L534" s="37" t="s">
        <v>1856</v>
      </c>
      <c r="M534" s="37" t="s">
        <v>1856</v>
      </c>
      <c r="N534" s="35" t="b">
        <f>IF(_xlfn.UNICODE( Table1[[#This Row],[Check]])=9745,TRUE,FALSE)</f>
        <v>0</v>
      </c>
    </row>
    <row r="535" spans="1:14" ht="30" customHeight="1" x14ac:dyDescent="0.25">
      <c r="A535" s="27" t="s">
        <v>1634</v>
      </c>
      <c r="B535" s="47" t="s">
        <v>175</v>
      </c>
      <c r="C535" s="27"/>
      <c r="D535" s="28">
        <v>3489034170</v>
      </c>
      <c r="E535" s="27"/>
      <c r="F535" s="27" t="s">
        <v>176</v>
      </c>
      <c r="G535" s="29"/>
      <c r="H535" s="95" t="s">
        <v>1854</v>
      </c>
      <c r="I535" s="27"/>
      <c r="J535" s="52" t="s">
        <v>1112</v>
      </c>
      <c r="K535" s="51">
        <f>IF(Table1[[#This Row],[Preferenza telefono]]="Casa",Table1[[#This Row],[Telefono casa]],IF(Table1[[#This Row],[Preferenza telefono]]="Primario",Table1[[#This Row],[Telefono primario]],"-"))</f>
        <v>3489034170</v>
      </c>
      <c r="L535" s="37" t="s">
        <v>1856</v>
      </c>
      <c r="M535" s="37" t="s">
        <v>1856</v>
      </c>
      <c r="N535" s="35" t="b">
        <f>IF(_xlfn.UNICODE( Table1[[#This Row],[Check]])=9745,TRUE,FALSE)</f>
        <v>0</v>
      </c>
    </row>
    <row r="536" spans="1:14" ht="30" customHeight="1" x14ac:dyDescent="0.25">
      <c r="A536" s="27" t="s">
        <v>1634</v>
      </c>
      <c r="B536" s="42" t="s">
        <v>957</v>
      </c>
      <c r="C536" s="27" t="s">
        <v>159</v>
      </c>
      <c r="D536" s="28">
        <v>3477130975</v>
      </c>
      <c r="E536" s="27">
        <v>3474137980</v>
      </c>
      <c r="F536" s="27" t="s">
        <v>958</v>
      </c>
      <c r="G536" s="29" t="s">
        <v>113</v>
      </c>
      <c r="H536" s="95" t="s">
        <v>1854</v>
      </c>
      <c r="I536" s="27"/>
      <c r="J536" s="52" t="s">
        <v>1112</v>
      </c>
      <c r="K536" s="51">
        <f>IF(Table1[[#This Row],[Preferenza telefono]]="Casa",Table1[[#This Row],[Telefono casa]],IF(Table1[[#This Row],[Preferenza telefono]]="Primario",Table1[[#This Row],[Telefono primario]],"-"))</f>
        <v>3477130975</v>
      </c>
      <c r="L536" s="37" t="s">
        <v>1856</v>
      </c>
      <c r="M536" s="37" t="s">
        <v>1856</v>
      </c>
      <c r="N536" s="35" t="b">
        <f>IF(_xlfn.UNICODE( Table1[[#This Row],[Check]])=9745,TRUE,FALSE)</f>
        <v>0</v>
      </c>
    </row>
    <row r="537" spans="1:14" ht="30" customHeight="1" x14ac:dyDescent="0.25">
      <c r="A537" s="27" t="s">
        <v>1634</v>
      </c>
      <c r="B537" s="42" t="s">
        <v>177</v>
      </c>
      <c r="C537" s="27"/>
      <c r="D537" s="28">
        <v>3356981579</v>
      </c>
      <c r="E537" s="27"/>
      <c r="F537" s="27" t="s">
        <v>178</v>
      </c>
      <c r="G537" s="29"/>
      <c r="H537" s="95" t="s">
        <v>1855</v>
      </c>
      <c r="I537" s="27"/>
      <c r="J537" s="52" t="s">
        <v>1112</v>
      </c>
      <c r="K537" s="51">
        <f>IF(Table1[[#This Row],[Preferenza telefono]]="Casa",Table1[[#This Row],[Telefono casa]],IF(Table1[[#This Row],[Preferenza telefono]]="Primario",Table1[[#This Row],[Telefono primario]],"-"))</f>
        <v>3356981579</v>
      </c>
      <c r="L537" s="37" t="s">
        <v>1856</v>
      </c>
      <c r="M537" s="37" t="s">
        <v>1856</v>
      </c>
      <c r="N537" s="35" t="b">
        <f>IF(_xlfn.UNICODE( Table1[[#This Row],[Check]])=9745,TRUE,FALSE)</f>
        <v>0</v>
      </c>
    </row>
    <row r="538" spans="1:14" ht="30" customHeight="1" x14ac:dyDescent="0.25">
      <c r="A538" s="27" t="s">
        <v>1634</v>
      </c>
      <c r="B538" s="42" t="s">
        <v>959</v>
      </c>
      <c r="C538" s="27"/>
      <c r="D538" s="28">
        <v>33974656103</v>
      </c>
      <c r="E538" s="27"/>
      <c r="F538" s="27"/>
      <c r="G538" s="29"/>
      <c r="H538" s="95" t="s">
        <v>1854</v>
      </c>
      <c r="I538" s="27"/>
      <c r="J538" s="52" t="s">
        <v>1112</v>
      </c>
      <c r="K538" s="51">
        <f>IF(Table1[[#This Row],[Preferenza telefono]]="Casa",Table1[[#This Row],[Telefono casa]],IF(Table1[[#This Row],[Preferenza telefono]]="Primario",Table1[[#This Row],[Telefono primario]],"-"))</f>
        <v>33974656103</v>
      </c>
      <c r="L538" s="37" t="s">
        <v>1856</v>
      </c>
      <c r="M538" s="37" t="s">
        <v>1856</v>
      </c>
      <c r="N538" s="35" t="b">
        <f>IF(_xlfn.UNICODE( Table1[[#This Row],[Check]])=9745,TRUE,FALSE)</f>
        <v>0</v>
      </c>
    </row>
    <row r="539" spans="1:14" ht="30" customHeight="1" x14ac:dyDescent="0.25">
      <c r="A539" s="27" t="s">
        <v>1634</v>
      </c>
      <c r="B539" s="42" t="s">
        <v>960</v>
      </c>
      <c r="C539" s="27" t="s">
        <v>459</v>
      </c>
      <c r="D539" s="28">
        <v>3281266228</v>
      </c>
      <c r="E539" s="27"/>
      <c r="F539" s="27" t="s">
        <v>961</v>
      </c>
      <c r="G539" s="29">
        <v>31062</v>
      </c>
      <c r="H539" s="95" t="s">
        <v>1854</v>
      </c>
      <c r="I539" s="27"/>
      <c r="J539" s="52" t="s">
        <v>1112</v>
      </c>
      <c r="K539" s="51">
        <f>IF(Table1[[#This Row],[Preferenza telefono]]="Casa",Table1[[#This Row],[Telefono casa]],IF(Table1[[#This Row],[Preferenza telefono]]="Primario",Table1[[#This Row],[Telefono primario]],"-"))</f>
        <v>3281266228</v>
      </c>
      <c r="L539" s="37" t="s">
        <v>1856</v>
      </c>
      <c r="M539" s="37" t="s">
        <v>1856</v>
      </c>
      <c r="N539" s="35" t="b">
        <f>IF(_xlfn.UNICODE( Table1[[#This Row],[Check]])=9745,TRUE,FALSE)</f>
        <v>0</v>
      </c>
    </row>
    <row r="540" spans="1:14" ht="30" customHeight="1" x14ac:dyDescent="0.25">
      <c r="A540" s="27" t="s">
        <v>1634</v>
      </c>
      <c r="B540" s="42" t="s">
        <v>962</v>
      </c>
      <c r="C540" s="27"/>
      <c r="D540" s="28"/>
      <c r="E540" s="27"/>
      <c r="F540" s="27"/>
      <c r="G540" s="29"/>
      <c r="H540" s="95" t="s">
        <v>1855</v>
      </c>
      <c r="I540" s="27"/>
      <c r="J540" s="52" t="s">
        <v>1112</v>
      </c>
      <c r="K540" s="51">
        <f>IF(Table1[[#This Row],[Preferenza telefono]]="Casa",Table1[[#This Row],[Telefono casa]],IF(Table1[[#This Row],[Preferenza telefono]]="Primario",Table1[[#This Row],[Telefono primario]],"-"))</f>
        <v>0</v>
      </c>
      <c r="L540" s="37" t="s">
        <v>1856</v>
      </c>
      <c r="M540" s="37" t="s">
        <v>1856</v>
      </c>
      <c r="N540" s="35" t="b">
        <f>IF(_xlfn.UNICODE( Table1[[#This Row],[Check]])=9745,TRUE,FALSE)</f>
        <v>0</v>
      </c>
    </row>
    <row r="541" spans="1:14" ht="30" customHeight="1" x14ac:dyDescent="0.25">
      <c r="A541" s="27" t="s">
        <v>1634</v>
      </c>
      <c r="B541" s="42" t="s">
        <v>963</v>
      </c>
      <c r="C541" s="27" t="s">
        <v>1</v>
      </c>
      <c r="D541" s="28">
        <v>3400801892</v>
      </c>
      <c r="E541" s="27"/>
      <c r="F541" s="27" t="s">
        <v>656</v>
      </c>
      <c r="G541" s="29"/>
      <c r="H541" s="95" t="s">
        <v>1854</v>
      </c>
      <c r="I541" s="27"/>
      <c r="J541" s="52" t="s">
        <v>1112</v>
      </c>
      <c r="K541" s="51">
        <f>IF(Table1[[#This Row],[Preferenza telefono]]="Casa",Table1[[#This Row],[Telefono casa]],IF(Table1[[#This Row],[Preferenza telefono]]="Primario",Table1[[#This Row],[Telefono primario]],"-"))</f>
        <v>3400801892</v>
      </c>
      <c r="L541" s="37" t="s">
        <v>1856</v>
      </c>
      <c r="M541" s="37" t="s">
        <v>1856</v>
      </c>
      <c r="N541" s="35" t="b">
        <f>IF(_xlfn.UNICODE( Table1[[#This Row],[Check]])=9745,TRUE,FALSE)</f>
        <v>0</v>
      </c>
    </row>
    <row r="542" spans="1:14" ht="30" customHeight="1" x14ac:dyDescent="0.25">
      <c r="A542" s="27" t="s">
        <v>1634</v>
      </c>
      <c r="B542" s="42" t="s">
        <v>968</v>
      </c>
      <c r="C542" s="27"/>
      <c r="D542" s="28"/>
      <c r="E542" s="27"/>
      <c r="F542" s="27"/>
      <c r="G542" s="29"/>
      <c r="H542" s="95" t="s">
        <v>1854</v>
      </c>
      <c r="I542" s="27"/>
      <c r="J542" s="52" t="s">
        <v>1112</v>
      </c>
      <c r="K542" s="51">
        <f>IF(Table1[[#This Row],[Preferenza telefono]]="Casa",Table1[[#This Row],[Telefono casa]],IF(Table1[[#This Row],[Preferenza telefono]]="Primario",Table1[[#This Row],[Telefono primario]],"-"))</f>
        <v>0</v>
      </c>
      <c r="L542" s="37" t="s">
        <v>1856</v>
      </c>
      <c r="M542" s="37" t="s">
        <v>1856</v>
      </c>
      <c r="N542" s="35" t="b">
        <f>IF(_xlfn.UNICODE( Table1[[#This Row],[Check]])=9745,TRUE,FALSE)</f>
        <v>0</v>
      </c>
    </row>
    <row r="543" spans="1:14" ht="30" customHeight="1" x14ac:dyDescent="0.25">
      <c r="A543" s="27" t="s">
        <v>1634</v>
      </c>
      <c r="B543" s="47" t="s">
        <v>969</v>
      </c>
      <c r="C543" s="27"/>
      <c r="D543" s="28"/>
      <c r="E543" s="27"/>
      <c r="F543" s="27"/>
      <c r="G543" s="29"/>
      <c r="H543" s="95" t="s">
        <v>1855</v>
      </c>
      <c r="I543" s="27"/>
      <c r="J543" s="52" t="s">
        <v>1112</v>
      </c>
      <c r="K543" s="51">
        <f>IF(Table1[[#This Row],[Preferenza telefono]]="Casa",Table1[[#This Row],[Telefono casa]],IF(Table1[[#This Row],[Preferenza telefono]]="Primario",Table1[[#This Row],[Telefono primario]],"-"))</f>
        <v>0</v>
      </c>
      <c r="L543" s="37" t="s">
        <v>1856</v>
      </c>
      <c r="M543" s="37" t="s">
        <v>1856</v>
      </c>
      <c r="N543" s="35" t="b">
        <f>IF(_xlfn.UNICODE( Table1[[#This Row],[Check]])=9745,TRUE,FALSE)</f>
        <v>0</v>
      </c>
    </row>
    <row r="544" spans="1:14" ht="30" customHeight="1" x14ac:dyDescent="0.25">
      <c r="A544" s="27" t="s">
        <v>1634</v>
      </c>
      <c r="B544" s="42" t="s">
        <v>970</v>
      </c>
      <c r="C544" s="27" t="s">
        <v>117</v>
      </c>
      <c r="D544" s="28"/>
      <c r="E544" s="27"/>
      <c r="F544" s="27" t="s">
        <v>698</v>
      </c>
      <c r="G544" s="29" t="s">
        <v>113</v>
      </c>
      <c r="H544" s="95" t="s">
        <v>1854</v>
      </c>
      <c r="I544" s="27"/>
      <c r="J544" s="52" t="s">
        <v>1112</v>
      </c>
      <c r="K544" s="51">
        <f>IF(Table1[[#This Row],[Preferenza telefono]]="Casa",Table1[[#This Row],[Telefono casa]],IF(Table1[[#This Row],[Preferenza telefono]]="Primario",Table1[[#This Row],[Telefono primario]],"-"))</f>
        <v>0</v>
      </c>
      <c r="L544" s="37" t="s">
        <v>1856</v>
      </c>
      <c r="M544" s="37" t="s">
        <v>1856</v>
      </c>
      <c r="N544" s="35" t="b">
        <f>IF(_xlfn.UNICODE( Table1[[#This Row],[Check]])=9745,TRUE,FALSE)</f>
        <v>0</v>
      </c>
    </row>
    <row r="545" spans="1:14" ht="30" customHeight="1" x14ac:dyDescent="0.25">
      <c r="A545" s="27" t="s">
        <v>1634</v>
      </c>
      <c r="B545" s="42" t="s">
        <v>971</v>
      </c>
      <c r="C545" s="27" t="s">
        <v>153</v>
      </c>
      <c r="D545" s="28">
        <v>3405210195</v>
      </c>
      <c r="E545" s="27"/>
      <c r="F545" s="27" t="s">
        <v>145</v>
      </c>
      <c r="G545" s="29" t="s">
        <v>113</v>
      </c>
      <c r="H545" s="95" t="s">
        <v>1854</v>
      </c>
      <c r="I545" s="27"/>
      <c r="J545" s="52" t="s">
        <v>1112</v>
      </c>
      <c r="K545" s="51">
        <f>IF(Table1[[#This Row],[Preferenza telefono]]="Casa",Table1[[#This Row],[Telefono casa]],IF(Table1[[#This Row],[Preferenza telefono]]="Primario",Table1[[#This Row],[Telefono primario]],"-"))</f>
        <v>3405210195</v>
      </c>
      <c r="L545" s="37" t="s">
        <v>1856</v>
      </c>
      <c r="M545" s="37" t="s">
        <v>1856</v>
      </c>
      <c r="N545" s="35" t="b">
        <f>IF(_xlfn.UNICODE( Table1[[#This Row],[Check]])=9745,TRUE,FALSE)</f>
        <v>0</v>
      </c>
    </row>
    <row r="546" spans="1:14" ht="30" customHeight="1" x14ac:dyDescent="0.25">
      <c r="A546" s="27" t="s">
        <v>1634</v>
      </c>
      <c r="B546" s="47" t="s">
        <v>972</v>
      </c>
      <c r="C546" s="27" t="s">
        <v>90</v>
      </c>
      <c r="D546" s="28">
        <v>3297815244</v>
      </c>
      <c r="E546" s="27"/>
      <c r="F546" s="27" t="s">
        <v>198</v>
      </c>
      <c r="G546" s="29">
        <v>30985</v>
      </c>
      <c r="H546" s="95" t="s">
        <v>1855</v>
      </c>
      <c r="I546" s="27"/>
      <c r="J546" s="52" t="s">
        <v>1112</v>
      </c>
      <c r="K546" s="51">
        <f>IF(Table1[[#This Row],[Preferenza telefono]]="Casa",Table1[[#This Row],[Telefono casa]],IF(Table1[[#This Row],[Preferenza telefono]]="Primario",Table1[[#This Row],[Telefono primario]],"-"))</f>
        <v>3297815244</v>
      </c>
      <c r="L546" s="37" t="s">
        <v>1856</v>
      </c>
      <c r="M546" s="37" t="s">
        <v>1856</v>
      </c>
      <c r="N546" s="35" t="b">
        <f>IF(_xlfn.UNICODE( Table1[[#This Row],[Check]])=9745,TRUE,FALSE)</f>
        <v>0</v>
      </c>
    </row>
    <row r="547" spans="1:14" ht="30" customHeight="1" x14ac:dyDescent="0.25">
      <c r="A547" s="27" t="s">
        <v>1634</v>
      </c>
      <c r="B547" s="42" t="s">
        <v>179</v>
      </c>
      <c r="C547" s="27" t="s">
        <v>117</v>
      </c>
      <c r="D547" s="28"/>
      <c r="E547" s="27"/>
      <c r="F547" s="27"/>
      <c r="G547" s="29"/>
      <c r="H547" s="95" t="s">
        <v>1854</v>
      </c>
      <c r="I547" s="27"/>
      <c r="J547" s="52" t="s">
        <v>1112</v>
      </c>
      <c r="K547" s="51">
        <f>IF(Table1[[#This Row],[Preferenza telefono]]="Casa",Table1[[#This Row],[Telefono casa]],IF(Table1[[#This Row],[Preferenza telefono]]="Primario",Table1[[#This Row],[Telefono primario]],"-"))</f>
        <v>0</v>
      </c>
      <c r="L547" s="37" t="s">
        <v>1856</v>
      </c>
      <c r="M547" s="37" t="s">
        <v>1856</v>
      </c>
      <c r="N547" s="35" t="b">
        <f>IF(_xlfn.UNICODE( Table1[[#This Row],[Check]])=9745,TRUE,FALSE)</f>
        <v>0</v>
      </c>
    </row>
    <row r="548" spans="1:14" ht="30" customHeight="1" x14ac:dyDescent="0.25">
      <c r="A548" s="27" t="s">
        <v>1634</v>
      </c>
      <c r="B548" s="42" t="s">
        <v>180</v>
      </c>
      <c r="C548" s="27" t="s">
        <v>117</v>
      </c>
      <c r="D548" s="28">
        <v>3200573752</v>
      </c>
      <c r="E548" s="27" t="s">
        <v>1738</v>
      </c>
      <c r="F548" s="27" t="s">
        <v>133</v>
      </c>
      <c r="G548" s="29">
        <v>22529</v>
      </c>
      <c r="H548" s="95" t="s">
        <v>1854</v>
      </c>
      <c r="I548" s="27"/>
      <c r="J548" s="52" t="s">
        <v>1112</v>
      </c>
      <c r="K548" s="51">
        <f>IF(Table1[[#This Row],[Preferenza telefono]]="Casa",Table1[[#This Row],[Telefono casa]],IF(Table1[[#This Row],[Preferenza telefono]]="Primario",Table1[[#This Row],[Telefono primario]],"-"))</f>
        <v>3200573752</v>
      </c>
      <c r="L548" s="37" t="s">
        <v>1856</v>
      </c>
      <c r="M548" s="37" t="s">
        <v>1856</v>
      </c>
      <c r="N548" s="35" t="b">
        <f>IF(_xlfn.UNICODE( Table1[[#This Row],[Check]])=9745,TRUE,FALSE)</f>
        <v>0</v>
      </c>
    </row>
    <row r="549" spans="1:14" ht="30" customHeight="1" x14ac:dyDescent="0.25">
      <c r="A549" s="27" t="s">
        <v>1634</v>
      </c>
      <c r="B549" s="42" t="s">
        <v>980</v>
      </c>
      <c r="C549" s="27" t="s">
        <v>981</v>
      </c>
      <c r="D549" s="28">
        <v>3336959116</v>
      </c>
      <c r="E549" s="27"/>
      <c r="F549" s="27" t="s">
        <v>621</v>
      </c>
      <c r="G549" s="29">
        <v>24234</v>
      </c>
      <c r="H549" s="95" t="s">
        <v>1855</v>
      </c>
      <c r="I549" s="27"/>
      <c r="J549" s="52" t="s">
        <v>1112</v>
      </c>
      <c r="K549" s="51">
        <f>IF(Table1[[#This Row],[Preferenza telefono]]="Casa",Table1[[#This Row],[Telefono casa]],IF(Table1[[#This Row],[Preferenza telefono]]="Primario",Table1[[#This Row],[Telefono primario]],"-"))</f>
        <v>3336959116</v>
      </c>
      <c r="L549" s="37" t="s">
        <v>1856</v>
      </c>
      <c r="M549" s="37" t="s">
        <v>1856</v>
      </c>
      <c r="N549" s="35" t="b">
        <f>IF(_xlfn.UNICODE( Table1[[#This Row],[Check]])=9745,TRUE,FALSE)</f>
        <v>0</v>
      </c>
    </row>
    <row r="550" spans="1:14" ht="30" customHeight="1" x14ac:dyDescent="0.25">
      <c r="A550" s="27" t="s">
        <v>1634</v>
      </c>
      <c r="B550" s="42" t="s">
        <v>982</v>
      </c>
      <c r="C550" s="27" t="s">
        <v>875</v>
      </c>
      <c r="D550" s="28"/>
      <c r="E550" s="27"/>
      <c r="F550" s="27"/>
      <c r="G550" s="29"/>
      <c r="H550" s="95" t="s">
        <v>1854</v>
      </c>
      <c r="I550" s="27"/>
      <c r="J550" s="52" t="s">
        <v>1112</v>
      </c>
      <c r="K550" s="51">
        <f>IF(Table1[[#This Row],[Preferenza telefono]]="Casa",Table1[[#This Row],[Telefono casa]],IF(Table1[[#This Row],[Preferenza telefono]]="Primario",Table1[[#This Row],[Telefono primario]],"-"))</f>
        <v>0</v>
      </c>
      <c r="L550" s="37" t="s">
        <v>1856</v>
      </c>
      <c r="M550" s="37" t="s">
        <v>1856</v>
      </c>
      <c r="N550" s="35" t="b">
        <f>IF(_xlfn.UNICODE( Table1[[#This Row],[Check]])=9745,TRUE,FALSE)</f>
        <v>0</v>
      </c>
    </row>
    <row r="551" spans="1:14" ht="30" customHeight="1" x14ac:dyDescent="0.25">
      <c r="A551" s="27" t="s">
        <v>1634</v>
      </c>
      <c r="B551" s="42" t="s">
        <v>975</v>
      </c>
      <c r="C551" s="27" t="s">
        <v>1</v>
      </c>
      <c r="D551" s="28">
        <v>3343654093</v>
      </c>
      <c r="E551" s="27"/>
      <c r="F551" s="27" t="s">
        <v>976</v>
      </c>
      <c r="G551" s="29">
        <v>28545</v>
      </c>
      <c r="H551" s="95" t="s">
        <v>1854</v>
      </c>
      <c r="I551" s="27"/>
      <c r="J551" s="52" t="s">
        <v>1112</v>
      </c>
      <c r="K551" s="51">
        <f>IF(Table1[[#This Row],[Preferenza telefono]]="Casa",Table1[[#This Row],[Telefono casa]],IF(Table1[[#This Row],[Preferenza telefono]]="Primario",Table1[[#This Row],[Telefono primario]],"-"))</f>
        <v>3343654093</v>
      </c>
      <c r="L551" s="37" t="s">
        <v>1856</v>
      </c>
      <c r="M551" s="37" t="s">
        <v>1856</v>
      </c>
      <c r="N551" s="35" t="b">
        <f>IF(_xlfn.UNICODE( Table1[[#This Row],[Check]])=9745,TRUE,FALSE)</f>
        <v>0</v>
      </c>
    </row>
    <row r="552" spans="1:14" ht="30" customHeight="1" x14ac:dyDescent="0.25">
      <c r="A552" s="27" t="s">
        <v>1634</v>
      </c>
      <c r="B552" s="42" t="s">
        <v>979</v>
      </c>
      <c r="C552" s="27" t="s">
        <v>402</v>
      </c>
      <c r="D552" s="28">
        <v>3498426784</v>
      </c>
      <c r="E552" s="27"/>
      <c r="F552" s="27" t="s">
        <v>978</v>
      </c>
      <c r="G552" s="29">
        <v>32672</v>
      </c>
      <c r="H552" s="95" t="s">
        <v>1855</v>
      </c>
      <c r="I552" s="27"/>
      <c r="J552" s="52" t="s">
        <v>1112</v>
      </c>
      <c r="K552" s="51">
        <f>IF(Table1[[#This Row],[Preferenza telefono]]="Casa",Table1[[#This Row],[Telefono casa]],IF(Table1[[#This Row],[Preferenza telefono]]="Primario",Table1[[#This Row],[Telefono primario]],"-"))</f>
        <v>3498426784</v>
      </c>
      <c r="L552" s="37" t="s">
        <v>1856</v>
      </c>
      <c r="M552" s="37" t="s">
        <v>1856</v>
      </c>
      <c r="N552" s="35" t="b">
        <f>IF(_xlfn.UNICODE( Table1[[#This Row],[Check]])=9745,TRUE,FALSE)</f>
        <v>0</v>
      </c>
    </row>
    <row r="553" spans="1:14" ht="30" customHeight="1" x14ac:dyDescent="0.25">
      <c r="A553" s="27" t="s">
        <v>1634</v>
      </c>
      <c r="B553" s="42" t="s">
        <v>977</v>
      </c>
      <c r="C553" s="27" t="s">
        <v>402</v>
      </c>
      <c r="D553" s="28">
        <v>3498426784</v>
      </c>
      <c r="E553" s="27"/>
      <c r="F553" s="27" t="s">
        <v>978</v>
      </c>
      <c r="G553" s="29">
        <v>21206</v>
      </c>
      <c r="H553" s="95" t="s">
        <v>1854</v>
      </c>
      <c r="I553" s="27"/>
      <c r="J553" s="52" t="s">
        <v>1112</v>
      </c>
      <c r="K553" s="51">
        <f>IF(Table1[[#This Row],[Preferenza telefono]]="Casa",Table1[[#This Row],[Telefono casa]],IF(Table1[[#This Row],[Preferenza telefono]]="Primario",Table1[[#This Row],[Telefono primario]],"-"))</f>
        <v>3498426784</v>
      </c>
      <c r="L553" s="37" t="s">
        <v>1856</v>
      </c>
      <c r="M553" s="37" t="s">
        <v>1856</v>
      </c>
      <c r="N553" s="35" t="b">
        <f>IF(_xlfn.UNICODE( Table1[[#This Row],[Check]])=9745,TRUE,FALSE)</f>
        <v>0</v>
      </c>
    </row>
    <row r="554" spans="1:14" ht="30" customHeight="1" x14ac:dyDescent="0.25">
      <c r="A554" s="27" t="s">
        <v>1634</v>
      </c>
      <c r="B554" s="42" t="s">
        <v>973</v>
      </c>
      <c r="C554" s="27" t="s">
        <v>974</v>
      </c>
      <c r="D554" s="28">
        <v>3923926466</v>
      </c>
      <c r="E554" s="27"/>
      <c r="F554" s="27" t="s">
        <v>793</v>
      </c>
      <c r="G554" s="29">
        <v>29340</v>
      </c>
      <c r="H554" s="95" t="s">
        <v>1854</v>
      </c>
      <c r="I554" s="27"/>
      <c r="J554" s="52" t="s">
        <v>1112</v>
      </c>
      <c r="K554" s="51">
        <f>IF(Table1[[#This Row],[Preferenza telefono]]="Casa",Table1[[#This Row],[Telefono casa]],IF(Table1[[#This Row],[Preferenza telefono]]="Primario",Table1[[#This Row],[Telefono primario]],"-"))</f>
        <v>3923926466</v>
      </c>
      <c r="L554" s="37" t="s">
        <v>1856</v>
      </c>
      <c r="M554" s="37" t="s">
        <v>1856</v>
      </c>
      <c r="N554" s="35" t="b">
        <f>IF(_xlfn.UNICODE( Table1[[#This Row],[Check]])=9745,TRUE,FALSE)</f>
        <v>0</v>
      </c>
    </row>
    <row r="555" spans="1:14" ht="30" customHeight="1" x14ac:dyDescent="0.25">
      <c r="A555" s="27" t="s">
        <v>1634</v>
      </c>
      <c r="B555" s="42" t="s">
        <v>988</v>
      </c>
      <c r="C555" s="27" t="s">
        <v>117</v>
      </c>
      <c r="D555" s="28"/>
      <c r="E555" s="27"/>
      <c r="F555" s="27"/>
      <c r="G555" s="29"/>
      <c r="H555" s="95" t="s">
        <v>1855</v>
      </c>
      <c r="I555" s="27" t="s">
        <v>989</v>
      </c>
      <c r="J555" s="52" t="s">
        <v>1112</v>
      </c>
      <c r="K555" s="51">
        <f>IF(Table1[[#This Row],[Preferenza telefono]]="Casa",Table1[[#This Row],[Telefono casa]],IF(Table1[[#This Row],[Preferenza telefono]]="Primario",Table1[[#This Row],[Telefono primario]],"-"))</f>
        <v>0</v>
      </c>
      <c r="L555" s="37" t="s">
        <v>1856</v>
      </c>
      <c r="M555" s="37" t="s">
        <v>1856</v>
      </c>
      <c r="N555" s="35" t="b">
        <f>IF(_xlfn.UNICODE( Table1[[#This Row],[Check]])=9745,TRUE,FALSE)</f>
        <v>0</v>
      </c>
    </row>
    <row r="556" spans="1:14" ht="30" customHeight="1" x14ac:dyDescent="0.25">
      <c r="A556" s="27" t="s">
        <v>1634</v>
      </c>
      <c r="B556" s="42" t="s">
        <v>983</v>
      </c>
      <c r="C556" s="27" t="s">
        <v>1</v>
      </c>
      <c r="D556" s="28">
        <v>3397224416</v>
      </c>
      <c r="E556" s="27"/>
      <c r="F556" s="27" t="s">
        <v>984</v>
      </c>
      <c r="G556" s="29">
        <v>29913</v>
      </c>
      <c r="H556" s="95" t="s">
        <v>1854</v>
      </c>
      <c r="I556" s="27"/>
      <c r="J556" s="52" t="s">
        <v>1112</v>
      </c>
      <c r="K556" s="51">
        <f>IF(Table1[[#This Row],[Preferenza telefono]]="Casa",Table1[[#This Row],[Telefono casa]],IF(Table1[[#This Row],[Preferenza telefono]]="Primario",Table1[[#This Row],[Telefono primario]],"-"))</f>
        <v>3397224416</v>
      </c>
      <c r="L556" s="37" t="s">
        <v>1856</v>
      </c>
      <c r="M556" s="37" t="s">
        <v>1856</v>
      </c>
      <c r="N556" s="35" t="b">
        <f>IF(_xlfn.UNICODE( Table1[[#This Row],[Check]])=9745,TRUE,FALSE)</f>
        <v>0</v>
      </c>
    </row>
    <row r="557" spans="1:14" ht="30" customHeight="1" x14ac:dyDescent="0.25">
      <c r="A557" s="27" t="s">
        <v>1634</v>
      </c>
      <c r="B557" s="42" t="s">
        <v>985</v>
      </c>
      <c r="C557" s="43" t="s">
        <v>1</v>
      </c>
      <c r="D557" s="28">
        <v>3396325901</v>
      </c>
      <c r="E557" s="27">
        <v>3342869607</v>
      </c>
      <c r="F557" s="27" t="s">
        <v>904</v>
      </c>
      <c r="G557" s="29">
        <v>20944</v>
      </c>
      <c r="H557" s="95" t="s">
        <v>1854</v>
      </c>
      <c r="I557" s="27"/>
      <c r="J557" s="52" t="s">
        <v>1112</v>
      </c>
      <c r="K557" s="51">
        <f>IF(Table1[[#This Row],[Preferenza telefono]]="Casa",Table1[[#This Row],[Telefono casa]],IF(Table1[[#This Row],[Preferenza telefono]]="Primario",Table1[[#This Row],[Telefono primario]],"-"))</f>
        <v>3396325901</v>
      </c>
      <c r="L557" s="37" t="s">
        <v>1856</v>
      </c>
      <c r="M557" s="37" t="s">
        <v>1856</v>
      </c>
      <c r="N557" s="35" t="b">
        <f>IF(_xlfn.UNICODE( Table1[[#This Row],[Check]])=9745,TRUE,FALSE)</f>
        <v>0</v>
      </c>
    </row>
    <row r="558" spans="1:14" ht="30" customHeight="1" x14ac:dyDescent="0.25">
      <c r="A558" s="27" t="s">
        <v>1634</v>
      </c>
      <c r="B558" s="42" t="s">
        <v>986</v>
      </c>
      <c r="C558" s="27" t="s">
        <v>153</v>
      </c>
      <c r="D558" s="28">
        <v>3281537491</v>
      </c>
      <c r="E558" s="27"/>
      <c r="F558" s="27" t="s">
        <v>987</v>
      </c>
      <c r="G558" s="29">
        <v>24269</v>
      </c>
      <c r="H558" s="95" t="s">
        <v>1855</v>
      </c>
      <c r="I558" s="27"/>
      <c r="J558" s="52" t="s">
        <v>1112</v>
      </c>
      <c r="K558" s="51">
        <f>IF(Table1[[#This Row],[Preferenza telefono]]="Casa",Table1[[#This Row],[Telefono casa]],IF(Table1[[#This Row],[Preferenza telefono]]="Primario",Table1[[#This Row],[Telefono primario]],"-"))</f>
        <v>3281537491</v>
      </c>
      <c r="L558" s="37" t="s">
        <v>1856</v>
      </c>
      <c r="M558" s="37" t="s">
        <v>1856</v>
      </c>
      <c r="N558" s="35" t="b">
        <f>IF(_xlfn.UNICODE( Table1[[#This Row],[Check]])=9745,TRUE,FALSE)</f>
        <v>0</v>
      </c>
    </row>
    <row r="559" spans="1:14" ht="30" customHeight="1" x14ac:dyDescent="0.25">
      <c r="A559" s="27" t="s">
        <v>1634</v>
      </c>
      <c r="B559" s="42" t="s">
        <v>994</v>
      </c>
      <c r="C559" s="27" t="s">
        <v>141</v>
      </c>
      <c r="D559" s="28">
        <v>3385018681</v>
      </c>
      <c r="E559" s="27"/>
      <c r="F559" s="27" t="s">
        <v>728</v>
      </c>
      <c r="G559" s="29">
        <v>30176</v>
      </c>
      <c r="H559" s="95" t="s">
        <v>1854</v>
      </c>
      <c r="I559" s="27"/>
      <c r="J559" s="52" t="s">
        <v>1112</v>
      </c>
      <c r="K559" s="51">
        <f>IF(Table1[[#This Row],[Preferenza telefono]]="Casa",Table1[[#This Row],[Telefono casa]],IF(Table1[[#This Row],[Preferenza telefono]]="Primario",Table1[[#This Row],[Telefono primario]],"-"))</f>
        <v>3385018681</v>
      </c>
      <c r="L559" s="37" t="s">
        <v>1856</v>
      </c>
      <c r="M559" s="37" t="s">
        <v>1856</v>
      </c>
      <c r="N559" s="35" t="b">
        <f>IF(_xlfn.UNICODE( Table1[[#This Row],[Check]])=9745,TRUE,FALSE)</f>
        <v>0</v>
      </c>
    </row>
    <row r="560" spans="1:14" ht="30" customHeight="1" x14ac:dyDescent="0.25">
      <c r="A560" s="27" t="s">
        <v>1634</v>
      </c>
      <c r="B560" s="42" t="s">
        <v>990</v>
      </c>
      <c r="C560" s="27" t="s">
        <v>117</v>
      </c>
      <c r="D560" s="28"/>
      <c r="E560" s="27"/>
      <c r="F560" s="27"/>
      <c r="G560" s="29"/>
      <c r="H560" s="95" t="s">
        <v>1854</v>
      </c>
      <c r="I560" s="27"/>
      <c r="J560" s="52" t="s">
        <v>1112</v>
      </c>
      <c r="K560" s="51">
        <f>IF(Table1[[#This Row],[Preferenza telefono]]="Casa",Table1[[#This Row],[Telefono casa]],IF(Table1[[#This Row],[Preferenza telefono]]="Primario",Table1[[#This Row],[Telefono primario]],"-"))</f>
        <v>0</v>
      </c>
      <c r="L560" s="37" t="s">
        <v>1856</v>
      </c>
      <c r="M560" s="37" t="s">
        <v>1856</v>
      </c>
      <c r="N560" s="35" t="b">
        <f>IF(_xlfn.UNICODE( Table1[[#This Row],[Check]])=9745,TRUE,FALSE)</f>
        <v>0</v>
      </c>
    </row>
    <row r="561" spans="1:14" ht="30" customHeight="1" x14ac:dyDescent="0.25">
      <c r="A561" s="27" t="s">
        <v>1634</v>
      </c>
      <c r="B561" s="42" t="s">
        <v>991</v>
      </c>
      <c r="C561" s="27" t="s">
        <v>992</v>
      </c>
      <c r="D561" s="28">
        <v>3337379811</v>
      </c>
      <c r="E561" s="27"/>
      <c r="F561" s="27" t="s">
        <v>993</v>
      </c>
      <c r="G561" s="29">
        <v>24613</v>
      </c>
      <c r="H561" s="95" t="s">
        <v>1855</v>
      </c>
      <c r="I561" s="27"/>
      <c r="J561" s="52" t="s">
        <v>1112</v>
      </c>
      <c r="K561" s="51">
        <f>IF(Table1[[#This Row],[Preferenza telefono]]="Casa",Table1[[#This Row],[Telefono casa]],IF(Table1[[#This Row],[Preferenza telefono]]="Primario",Table1[[#This Row],[Telefono primario]],"-"))</f>
        <v>3337379811</v>
      </c>
      <c r="L561" s="37" t="s">
        <v>1856</v>
      </c>
      <c r="M561" s="37" t="s">
        <v>1856</v>
      </c>
      <c r="N561" s="35" t="b">
        <f>IF(_xlfn.UNICODE( Table1[[#This Row],[Check]])=9745,TRUE,FALSE)</f>
        <v>0</v>
      </c>
    </row>
    <row r="562" spans="1:14" ht="30" customHeight="1" x14ac:dyDescent="0.25">
      <c r="A562" s="27" t="s">
        <v>1634</v>
      </c>
      <c r="B562" s="42" t="s">
        <v>181</v>
      </c>
      <c r="C562" s="27" t="s">
        <v>182</v>
      </c>
      <c r="D562" s="28" t="s">
        <v>113</v>
      </c>
      <c r="E562" s="27"/>
      <c r="F562" s="27"/>
      <c r="G562" s="29">
        <v>29692</v>
      </c>
      <c r="H562" s="95" t="s">
        <v>1854</v>
      </c>
      <c r="I562" s="27"/>
      <c r="J562" s="52" t="s">
        <v>1112</v>
      </c>
      <c r="K562" s="51" t="str">
        <f>IF(Table1[[#This Row],[Preferenza telefono]]="Casa",Table1[[#This Row],[Telefono casa]],IF(Table1[[#This Row],[Preferenza telefono]]="Primario",Table1[[#This Row],[Telefono primario]],"-"))</f>
        <v>-</v>
      </c>
      <c r="L562" s="37" t="s">
        <v>1856</v>
      </c>
      <c r="M562" s="37" t="s">
        <v>1856</v>
      </c>
      <c r="N562" s="35" t="b">
        <f>IF(_xlfn.UNICODE( Table1[[#This Row],[Check]])=9745,TRUE,FALSE)</f>
        <v>0</v>
      </c>
    </row>
    <row r="563" spans="1:14" ht="30" customHeight="1" x14ac:dyDescent="0.25">
      <c r="A563" s="27" t="s">
        <v>1634</v>
      </c>
      <c r="B563" s="42" t="s">
        <v>995</v>
      </c>
      <c r="C563" s="27"/>
      <c r="D563" s="28"/>
      <c r="E563" s="27"/>
      <c r="F563" s="27"/>
      <c r="G563" s="29"/>
      <c r="H563" s="95" t="s">
        <v>1854</v>
      </c>
      <c r="I563" s="27"/>
      <c r="J563" s="52" t="s">
        <v>1112</v>
      </c>
      <c r="K563" s="51">
        <f>IF(Table1[[#This Row],[Preferenza telefono]]="Casa",Table1[[#This Row],[Telefono casa]],IF(Table1[[#This Row],[Preferenza telefono]]="Primario",Table1[[#This Row],[Telefono primario]],"-"))</f>
        <v>0</v>
      </c>
      <c r="L563" s="37" t="s">
        <v>1856</v>
      </c>
      <c r="M563" s="37" t="s">
        <v>1856</v>
      </c>
      <c r="N563" s="35" t="b">
        <f>IF(_xlfn.UNICODE( Table1[[#This Row],[Check]])=9745,TRUE,FALSE)</f>
        <v>0</v>
      </c>
    </row>
    <row r="564" spans="1:14" ht="30" customHeight="1" x14ac:dyDescent="0.25">
      <c r="A564" s="27" t="s">
        <v>1634</v>
      </c>
      <c r="B564" s="42" t="s">
        <v>999</v>
      </c>
      <c r="C564" s="27" t="s">
        <v>459</v>
      </c>
      <c r="D564" s="28">
        <v>3331246750</v>
      </c>
      <c r="E564" s="27"/>
      <c r="F564" s="27" t="s">
        <v>233</v>
      </c>
      <c r="G564" s="29"/>
      <c r="H564" s="95" t="s">
        <v>1855</v>
      </c>
      <c r="I564" s="27"/>
      <c r="J564" s="52" t="s">
        <v>1112</v>
      </c>
      <c r="K564" s="51">
        <f>IF(Table1[[#This Row],[Preferenza telefono]]="Casa",Table1[[#This Row],[Telefono casa]],IF(Table1[[#This Row],[Preferenza telefono]]="Primario",Table1[[#This Row],[Telefono primario]],"-"))</f>
        <v>3331246750</v>
      </c>
      <c r="L564" s="37" t="s">
        <v>1856</v>
      </c>
      <c r="M564" s="37" t="s">
        <v>1856</v>
      </c>
      <c r="N564" s="35" t="b">
        <f>IF(_xlfn.UNICODE( Table1[[#This Row],[Check]])=9745,TRUE,FALSE)</f>
        <v>0</v>
      </c>
    </row>
    <row r="565" spans="1:14" ht="30" customHeight="1" x14ac:dyDescent="0.25">
      <c r="A565" s="27" t="s">
        <v>1634</v>
      </c>
      <c r="B565" s="42" t="s">
        <v>1683</v>
      </c>
      <c r="C565" s="27" t="s">
        <v>459</v>
      </c>
      <c r="D565" s="28">
        <v>3281266228</v>
      </c>
      <c r="E565" s="27"/>
      <c r="F565" s="27" t="s">
        <v>631</v>
      </c>
      <c r="G565" s="29" t="s">
        <v>113</v>
      </c>
      <c r="H565" s="95" t="s">
        <v>1854</v>
      </c>
      <c r="I565" s="27"/>
      <c r="J565" s="52" t="s">
        <v>1112</v>
      </c>
      <c r="K565" s="51">
        <f>IF(Table1[[#This Row],[Preferenza telefono]]="Casa",Table1[[#This Row],[Telefono casa]],IF(Table1[[#This Row],[Preferenza telefono]]="Primario",Table1[[#This Row],[Telefono primario]],"-"))</f>
        <v>3281266228</v>
      </c>
      <c r="L565" s="37" t="s">
        <v>1856</v>
      </c>
      <c r="M565" s="37" t="s">
        <v>1856</v>
      </c>
      <c r="N565" s="35" t="b">
        <f>IF(_xlfn.UNICODE( Table1[[#This Row],[Check]])=9745,TRUE,FALSE)</f>
        <v>0</v>
      </c>
    </row>
    <row r="566" spans="1:14" ht="30" customHeight="1" x14ac:dyDescent="0.25">
      <c r="A566" s="27" t="s">
        <v>1634</v>
      </c>
      <c r="B566" s="42" t="s">
        <v>997</v>
      </c>
      <c r="C566" s="27" t="s">
        <v>998</v>
      </c>
      <c r="D566" s="28">
        <v>3281266228</v>
      </c>
      <c r="E566" s="27"/>
      <c r="F566" s="27" t="s">
        <v>631</v>
      </c>
      <c r="G566" s="29">
        <v>24983</v>
      </c>
      <c r="H566" s="95" t="s">
        <v>1854</v>
      </c>
      <c r="I566" s="27"/>
      <c r="J566" s="52" t="s">
        <v>1112</v>
      </c>
      <c r="K566" s="51">
        <f>IF(Table1[[#This Row],[Preferenza telefono]]="Casa",Table1[[#This Row],[Telefono casa]],IF(Table1[[#This Row],[Preferenza telefono]]="Primario",Table1[[#This Row],[Telefono primario]],"-"))</f>
        <v>3281266228</v>
      </c>
      <c r="L566" s="37" t="s">
        <v>1856</v>
      </c>
      <c r="M566" s="37" t="s">
        <v>1856</v>
      </c>
      <c r="N566" s="35" t="b">
        <f>IF(_xlfn.UNICODE( Table1[[#This Row],[Check]])=9745,TRUE,FALSE)</f>
        <v>0</v>
      </c>
    </row>
    <row r="567" spans="1:14" ht="30" customHeight="1" x14ac:dyDescent="0.25">
      <c r="A567" s="27" t="s">
        <v>1634</v>
      </c>
      <c r="B567" s="47" t="s">
        <v>1001</v>
      </c>
      <c r="C567" s="27" t="s">
        <v>4</v>
      </c>
      <c r="D567" s="28">
        <v>3478269548</v>
      </c>
      <c r="E567" s="27"/>
      <c r="F567" s="27" t="s">
        <v>1002</v>
      </c>
      <c r="G567" s="29"/>
      <c r="H567" s="95" t="s">
        <v>1855</v>
      </c>
      <c r="I567" s="27"/>
      <c r="J567" s="52" t="s">
        <v>1112</v>
      </c>
      <c r="K567" s="51">
        <f>IF(Table1[[#This Row],[Preferenza telefono]]="Casa",Table1[[#This Row],[Telefono casa]],IF(Table1[[#This Row],[Preferenza telefono]]="Primario",Table1[[#This Row],[Telefono primario]],"-"))</f>
        <v>3478269548</v>
      </c>
      <c r="L567" s="37" t="s">
        <v>1856</v>
      </c>
      <c r="M567" s="37" t="s">
        <v>1856</v>
      </c>
      <c r="N567" s="35" t="b">
        <f>IF(_xlfn.UNICODE( Table1[[#This Row],[Check]])=9745,TRUE,FALSE)</f>
        <v>0</v>
      </c>
    </row>
    <row r="568" spans="1:14" ht="30" customHeight="1" x14ac:dyDescent="0.25">
      <c r="A568" s="27" t="s">
        <v>1634</v>
      </c>
      <c r="B568" s="42" t="s">
        <v>183</v>
      </c>
      <c r="C568" s="27"/>
      <c r="D568" s="28">
        <v>3283896707</v>
      </c>
      <c r="E568" s="27"/>
      <c r="F568" s="27" t="s">
        <v>184</v>
      </c>
      <c r="G568" s="29"/>
      <c r="H568" s="95" t="s">
        <v>1854</v>
      </c>
      <c r="I568" s="27"/>
      <c r="J568" s="52" t="s">
        <v>1112</v>
      </c>
      <c r="K568" s="51">
        <f>IF(Table1[[#This Row],[Preferenza telefono]]="Casa",Table1[[#This Row],[Telefono casa]],IF(Table1[[#This Row],[Preferenza telefono]]="Primario",Table1[[#This Row],[Telefono primario]],"-"))</f>
        <v>3283896707</v>
      </c>
      <c r="L568" s="37" t="s">
        <v>1856</v>
      </c>
      <c r="M568" s="37" t="s">
        <v>1856</v>
      </c>
      <c r="N568" s="35" t="b">
        <f>IF(_xlfn.UNICODE( Table1[[#This Row],[Check]])=9745,TRUE,FALSE)</f>
        <v>0</v>
      </c>
    </row>
    <row r="569" spans="1:14" ht="30" customHeight="1" x14ac:dyDescent="0.25">
      <c r="A569" s="27" t="s">
        <v>1634</v>
      </c>
      <c r="B569" s="42" t="s">
        <v>1000</v>
      </c>
      <c r="C569" s="27" t="s">
        <v>1</v>
      </c>
      <c r="D569" s="28">
        <v>3494765162</v>
      </c>
      <c r="E569" s="27"/>
      <c r="F569" s="27" t="s">
        <v>976</v>
      </c>
      <c r="G569" s="29">
        <v>27905</v>
      </c>
      <c r="H569" s="95" t="s">
        <v>1854</v>
      </c>
      <c r="I569" s="27"/>
      <c r="J569" s="52" t="s">
        <v>1112</v>
      </c>
      <c r="K569" s="51">
        <f>IF(Table1[[#This Row],[Preferenza telefono]]="Casa",Table1[[#This Row],[Telefono casa]],IF(Table1[[#This Row],[Preferenza telefono]]="Primario",Table1[[#This Row],[Telefono primario]],"-"))</f>
        <v>3494765162</v>
      </c>
      <c r="L569" s="37" t="s">
        <v>1856</v>
      </c>
      <c r="M569" s="37" t="s">
        <v>1856</v>
      </c>
      <c r="N569" s="35" t="b">
        <f>IF(_xlfn.UNICODE( Table1[[#This Row],[Check]])=9745,TRUE,FALSE)</f>
        <v>0</v>
      </c>
    </row>
    <row r="570" spans="1:14" ht="30" customHeight="1" x14ac:dyDescent="0.25">
      <c r="A570" s="27" t="s">
        <v>1634</v>
      </c>
      <c r="B570" s="42" t="s">
        <v>1003</v>
      </c>
      <c r="C570" s="27" t="s">
        <v>3</v>
      </c>
      <c r="D570" s="28">
        <v>3357539888</v>
      </c>
      <c r="E570" s="27"/>
      <c r="F570" s="27" t="s">
        <v>1004</v>
      </c>
      <c r="G570" s="29">
        <v>25581</v>
      </c>
      <c r="H570" s="95" t="s">
        <v>1855</v>
      </c>
      <c r="I570" s="27"/>
      <c r="J570" s="52" t="s">
        <v>1112</v>
      </c>
      <c r="K570" s="51">
        <f>IF(Table1[[#This Row],[Preferenza telefono]]="Casa",Table1[[#This Row],[Telefono casa]],IF(Table1[[#This Row],[Preferenza telefono]]="Primario",Table1[[#This Row],[Telefono primario]],"-"))</f>
        <v>3357539888</v>
      </c>
      <c r="L570" s="37" t="s">
        <v>1856</v>
      </c>
      <c r="M570" s="37" t="s">
        <v>1856</v>
      </c>
      <c r="N570" s="35" t="b">
        <f>IF(_xlfn.UNICODE( Table1[[#This Row],[Check]])=9745,TRUE,FALSE)</f>
        <v>0</v>
      </c>
    </row>
    <row r="571" spans="1:14" ht="30" customHeight="1" x14ac:dyDescent="0.25">
      <c r="A571" s="27" t="s">
        <v>1634</v>
      </c>
      <c r="B571" s="42" t="s">
        <v>996</v>
      </c>
      <c r="C571" s="27" t="s">
        <v>3</v>
      </c>
      <c r="D571" s="28"/>
      <c r="E571" s="27"/>
      <c r="F571" s="27"/>
      <c r="G571" s="29">
        <v>20433</v>
      </c>
      <c r="H571" s="95" t="s">
        <v>1854</v>
      </c>
      <c r="I571" s="27"/>
      <c r="J571" s="52" t="s">
        <v>1112</v>
      </c>
      <c r="K571" s="51">
        <f>IF(Table1[[#This Row],[Preferenza telefono]]="Casa",Table1[[#This Row],[Telefono casa]],IF(Table1[[#This Row],[Preferenza telefono]]="Primario",Table1[[#This Row],[Telefono primario]],"-"))</f>
        <v>0</v>
      </c>
      <c r="L571" s="37" t="s">
        <v>1856</v>
      </c>
      <c r="M571" s="37" t="s">
        <v>1856</v>
      </c>
      <c r="N571" s="35" t="b">
        <f>IF(_xlfn.UNICODE( Table1[[#This Row],[Check]])=9745,TRUE,FALSE)</f>
        <v>0</v>
      </c>
    </row>
    <row r="572" spans="1:14" ht="30" customHeight="1" x14ac:dyDescent="0.25">
      <c r="A572" s="27" t="s">
        <v>1634</v>
      </c>
      <c r="B572" s="42" t="s">
        <v>1005</v>
      </c>
      <c r="C572" s="27" t="s">
        <v>1</v>
      </c>
      <c r="D572" s="28"/>
      <c r="E572" s="27"/>
      <c r="F572" s="27"/>
      <c r="G572" s="29" t="s">
        <v>113</v>
      </c>
      <c r="H572" s="95" t="s">
        <v>1854</v>
      </c>
      <c r="I572" s="27"/>
      <c r="J572" s="52" t="s">
        <v>1112</v>
      </c>
      <c r="K572" s="51">
        <f>IF(Table1[[#This Row],[Preferenza telefono]]="Casa",Table1[[#This Row],[Telefono casa]],IF(Table1[[#This Row],[Preferenza telefono]]="Primario",Table1[[#This Row],[Telefono primario]],"-"))</f>
        <v>0</v>
      </c>
      <c r="L572" s="37" t="s">
        <v>1856</v>
      </c>
      <c r="M572" s="37" t="s">
        <v>1856</v>
      </c>
      <c r="N572" s="35" t="b">
        <f>IF(_xlfn.UNICODE( Table1[[#This Row],[Check]])=9745,TRUE,FALSE)</f>
        <v>0</v>
      </c>
    </row>
    <row r="573" spans="1:14" ht="30" customHeight="1" x14ac:dyDescent="0.25">
      <c r="A573" s="27" t="s">
        <v>1634</v>
      </c>
      <c r="B573" s="42" t="s">
        <v>1006</v>
      </c>
      <c r="C573" s="27" t="s">
        <v>117</v>
      </c>
      <c r="D573" s="28">
        <v>3397693953</v>
      </c>
      <c r="E573" s="27"/>
      <c r="F573" s="27" t="s">
        <v>1007</v>
      </c>
      <c r="G573" s="29"/>
      <c r="H573" s="95" t="s">
        <v>1855</v>
      </c>
      <c r="I573" s="27"/>
      <c r="J573" s="52" t="s">
        <v>1112</v>
      </c>
      <c r="K573" s="51">
        <f>IF(Table1[[#This Row],[Preferenza telefono]]="Casa",Table1[[#This Row],[Telefono casa]],IF(Table1[[#This Row],[Preferenza telefono]]="Primario",Table1[[#This Row],[Telefono primario]],"-"))</f>
        <v>3397693953</v>
      </c>
      <c r="L573" s="37" t="s">
        <v>1856</v>
      </c>
      <c r="M573" s="37" t="s">
        <v>1856</v>
      </c>
      <c r="N573" s="35" t="b">
        <f>IF(_xlfn.UNICODE( Table1[[#This Row],[Check]])=9745,TRUE,FALSE)</f>
        <v>0</v>
      </c>
    </row>
    <row r="574" spans="1:14" ht="30" customHeight="1" x14ac:dyDescent="0.25">
      <c r="A574" s="27" t="s">
        <v>1634</v>
      </c>
      <c r="B574" s="42" t="s">
        <v>1008</v>
      </c>
      <c r="C574" s="27"/>
      <c r="D574" s="28">
        <v>3397834410</v>
      </c>
      <c r="E574" s="27"/>
      <c r="F574" s="27" t="s">
        <v>259</v>
      </c>
      <c r="G574" s="29"/>
      <c r="H574" s="95" t="s">
        <v>1854</v>
      </c>
      <c r="I574" s="27"/>
      <c r="J574" s="52" t="s">
        <v>1112</v>
      </c>
      <c r="K574" s="51">
        <f>IF(Table1[[#This Row],[Preferenza telefono]]="Casa",Table1[[#This Row],[Telefono casa]],IF(Table1[[#This Row],[Preferenza telefono]]="Primario",Table1[[#This Row],[Telefono primario]],"-"))</f>
        <v>3397834410</v>
      </c>
      <c r="L574" s="37" t="s">
        <v>1856</v>
      </c>
      <c r="M574" s="37" t="s">
        <v>1856</v>
      </c>
      <c r="N574" s="35" t="b">
        <f>IF(_xlfn.UNICODE( Table1[[#This Row],[Check]])=9745,TRUE,FALSE)</f>
        <v>0</v>
      </c>
    </row>
    <row r="575" spans="1:14" ht="30" customHeight="1" x14ac:dyDescent="0.25">
      <c r="A575" s="27" t="s">
        <v>1634</v>
      </c>
      <c r="B575" s="42" t="s">
        <v>188</v>
      </c>
      <c r="C575" s="27" t="s">
        <v>1739</v>
      </c>
      <c r="D575" s="28">
        <v>3494693197</v>
      </c>
      <c r="E575" s="27"/>
      <c r="F575" s="27" t="s">
        <v>154</v>
      </c>
      <c r="G575" s="29">
        <v>24139</v>
      </c>
      <c r="H575" s="95" t="s">
        <v>1854</v>
      </c>
      <c r="I575" s="27"/>
      <c r="J575" s="52" t="s">
        <v>1112</v>
      </c>
      <c r="K575" s="51">
        <f>IF(Table1[[#This Row],[Preferenza telefono]]="Casa",Table1[[#This Row],[Telefono casa]],IF(Table1[[#This Row],[Preferenza telefono]]="Primario",Table1[[#This Row],[Telefono primario]],"-"))</f>
        <v>3494693197</v>
      </c>
      <c r="L575" s="37" t="s">
        <v>1856</v>
      </c>
      <c r="M575" s="37" t="s">
        <v>1856</v>
      </c>
      <c r="N575" s="35" t="b">
        <f>IF(_xlfn.UNICODE( Table1[[#This Row],[Check]])=9745,TRUE,FALSE)</f>
        <v>0</v>
      </c>
    </row>
    <row r="576" spans="1:14" ht="30" customHeight="1" x14ac:dyDescent="0.25">
      <c r="A576" s="27" t="s">
        <v>1634</v>
      </c>
      <c r="B576" s="42" t="s">
        <v>1771</v>
      </c>
      <c r="C576" s="43" t="s">
        <v>190</v>
      </c>
      <c r="D576" s="28">
        <v>3272393969</v>
      </c>
      <c r="E576" s="27"/>
      <c r="F576" s="27"/>
      <c r="G576" s="29" t="s">
        <v>113</v>
      </c>
      <c r="H576" s="95" t="s">
        <v>1855</v>
      </c>
      <c r="I576" s="27"/>
      <c r="J576" s="52" t="s">
        <v>1112</v>
      </c>
      <c r="K576" s="51">
        <f>IF(Table1[[#This Row],[Preferenza telefono]]="Casa",Table1[[#This Row],[Telefono casa]],IF(Table1[[#This Row],[Preferenza telefono]]="Primario",Table1[[#This Row],[Telefono primario]],"-"))</f>
        <v>3272393969</v>
      </c>
      <c r="L576" s="37" t="s">
        <v>1856</v>
      </c>
      <c r="M576" s="37" t="s">
        <v>1856</v>
      </c>
      <c r="N576" s="35" t="b">
        <f>IF(_xlfn.UNICODE( Table1[[#This Row],[Check]])=9745,TRUE,FALSE)</f>
        <v>0</v>
      </c>
    </row>
    <row r="577" spans="1:14" ht="30" customHeight="1" x14ac:dyDescent="0.25">
      <c r="A577" s="27" t="s">
        <v>1634</v>
      </c>
      <c r="B577" s="47" t="s">
        <v>1009</v>
      </c>
      <c r="C577" s="27" t="s">
        <v>651</v>
      </c>
      <c r="D577" s="28">
        <v>330464059</v>
      </c>
      <c r="E577" s="27">
        <v>3351022443</v>
      </c>
      <c r="F577" s="27" t="s">
        <v>1010</v>
      </c>
      <c r="G577" s="29">
        <v>16365</v>
      </c>
      <c r="H577" s="95" t="s">
        <v>1854</v>
      </c>
      <c r="I577" s="27"/>
      <c r="J577" s="52" t="s">
        <v>1112</v>
      </c>
      <c r="K577" s="51">
        <f>IF(Table1[[#This Row],[Preferenza telefono]]="Casa",Table1[[#This Row],[Telefono casa]],IF(Table1[[#This Row],[Preferenza telefono]]="Primario",Table1[[#This Row],[Telefono primario]],"-"))</f>
        <v>330464059</v>
      </c>
      <c r="L577" s="37" t="s">
        <v>1856</v>
      </c>
      <c r="M577" s="37" t="s">
        <v>1856</v>
      </c>
      <c r="N577" s="35" t="b">
        <f>IF(_xlfn.UNICODE( Table1[[#This Row],[Check]])=9745,TRUE,FALSE)</f>
        <v>0</v>
      </c>
    </row>
    <row r="578" spans="1:14" ht="30" customHeight="1" x14ac:dyDescent="0.25">
      <c r="A578" s="27" t="s">
        <v>1634</v>
      </c>
      <c r="B578" s="42" t="s">
        <v>1011</v>
      </c>
      <c r="C578" s="27" t="s">
        <v>109</v>
      </c>
      <c r="D578" s="28">
        <v>3246184290</v>
      </c>
      <c r="E578" s="27">
        <v>3428431807</v>
      </c>
      <c r="F578" s="27"/>
      <c r="G578" s="29">
        <v>12506</v>
      </c>
      <c r="H578" s="95" t="s">
        <v>1854</v>
      </c>
      <c r="I578" s="27"/>
      <c r="J578" s="52" t="s">
        <v>1112</v>
      </c>
      <c r="K578" s="51">
        <f>IF(Table1[[#This Row],[Preferenza telefono]]="Casa",Table1[[#This Row],[Telefono casa]],IF(Table1[[#This Row],[Preferenza telefono]]="Primario",Table1[[#This Row],[Telefono primario]],"-"))</f>
        <v>3246184290</v>
      </c>
      <c r="L578" s="37" t="s">
        <v>1856</v>
      </c>
      <c r="M578" s="37" t="s">
        <v>1856</v>
      </c>
      <c r="N578" s="35" t="b">
        <f>IF(_xlfn.UNICODE( Table1[[#This Row],[Check]])=9745,TRUE,FALSE)</f>
        <v>0</v>
      </c>
    </row>
    <row r="579" spans="1:14" ht="30" customHeight="1" x14ac:dyDescent="0.25">
      <c r="A579" s="27" t="s">
        <v>1634</v>
      </c>
      <c r="B579" s="42" t="s">
        <v>1014</v>
      </c>
      <c r="C579" s="27"/>
      <c r="D579" s="28"/>
      <c r="E579" s="27" t="s">
        <v>1015</v>
      </c>
      <c r="F579" s="27" t="s">
        <v>1016</v>
      </c>
      <c r="G579" s="29"/>
      <c r="H579" s="95" t="s">
        <v>1855</v>
      </c>
      <c r="I579" s="27"/>
      <c r="J579" s="52" t="s">
        <v>1112</v>
      </c>
      <c r="K579" s="51">
        <f>IF(Table1[[#This Row],[Preferenza telefono]]="Casa",Table1[[#This Row],[Telefono casa]],IF(Table1[[#This Row],[Preferenza telefono]]="Primario",Table1[[#This Row],[Telefono primario]],"-"))</f>
        <v>0</v>
      </c>
      <c r="L579" s="37" t="s">
        <v>1856</v>
      </c>
      <c r="M579" s="37" t="s">
        <v>1856</v>
      </c>
      <c r="N579" s="35" t="b">
        <f>IF(_xlfn.UNICODE( Table1[[#This Row],[Check]])=9745,TRUE,FALSE)</f>
        <v>0</v>
      </c>
    </row>
    <row r="580" spans="1:14" ht="30" customHeight="1" x14ac:dyDescent="0.25">
      <c r="A580" s="27" t="s">
        <v>1634</v>
      </c>
      <c r="B580" s="42" t="s">
        <v>189</v>
      </c>
      <c r="C580" s="27" t="s">
        <v>190</v>
      </c>
      <c r="D580" s="28">
        <v>3292479022</v>
      </c>
      <c r="E580" s="27"/>
      <c r="F580" s="27" t="s">
        <v>191</v>
      </c>
      <c r="G580" s="29" t="s">
        <v>113</v>
      </c>
      <c r="H580" s="95" t="s">
        <v>1854</v>
      </c>
      <c r="I580" s="27"/>
      <c r="J580" s="52" t="s">
        <v>1112</v>
      </c>
      <c r="K580" s="51">
        <f>IF(Table1[[#This Row],[Preferenza telefono]]="Casa",Table1[[#This Row],[Telefono casa]],IF(Table1[[#This Row],[Preferenza telefono]]="Primario",Table1[[#This Row],[Telefono primario]],"-"))</f>
        <v>3292479022</v>
      </c>
      <c r="L580" s="37" t="s">
        <v>1856</v>
      </c>
      <c r="M580" s="37" t="s">
        <v>1856</v>
      </c>
      <c r="N580" s="35" t="b">
        <f>IF(_xlfn.UNICODE( Table1[[#This Row],[Check]])=9745,TRUE,FALSE)</f>
        <v>0</v>
      </c>
    </row>
    <row r="581" spans="1:14" ht="30" customHeight="1" x14ac:dyDescent="0.25">
      <c r="A581" s="27" t="s">
        <v>1634</v>
      </c>
      <c r="B581" s="42" t="s">
        <v>1012</v>
      </c>
      <c r="C581" s="27" t="s">
        <v>1013</v>
      </c>
      <c r="D581" s="28">
        <v>3470522453</v>
      </c>
      <c r="E581" s="27"/>
      <c r="F581" s="27" t="s">
        <v>196</v>
      </c>
      <c r="G581" s="29"/>
      <c r="H581" s="95" t="s">
        <v>1854</v>
      </c>
      <c r="I581" s="27"/>
      <c r="J581" s="52" t="s">
        <v>1112</v>
      </c>
      <c r="K581" s="51">
        <f>IF(Table1[[#This Row],[Preferenza telefono]]="Casa",Table1[[#This Row],[Telefono casa]],IF(Table1[[#This Row],[Preferenza telefono]]="Primario",Table1[[#This Row],[Telefono primario]],"-"))</f>
        <v>3470522453</v>
      </c>
      <c r="L581" s="37" t="s">
        <v>1856</v>
      </c>
      <c r="M581" s="37" t="s">
        <v>1856</v>
      </c>
      <c r="N581" s="35" t="b">
        <f>IF(_xlfn.UNICODE( Table1[[#This Row],[Check]])=9745,TRUE,FALSE)</f>
        <v>0</v>
      </c>
    </row>
    <row r="582" spans="1:14" ht="30" customHeight="1" x14ac:dyDescent="0.25">
      <c r="A582" s="27" t="s">
        <v>1634</v>
      </c>
      <c r="B582" s="42" t="s">
        <v>1017</v>
      </c>
      <c r="C582" s="43" t="s">
        <v>109</v>
      </c>
      <c r="D582" s="45">
        <v>3293473669</v>
      </c>
      <c r="E582" s="43"/>
      <c r="F582" s="43" t="s">
        <v>1018</v>
      </c>
      <c r="G582" s="44">
        <v>28672</v>
      </c>
      <c r="H582" s="95" t="s">
        <v>1855</v>
      </c>
      <c r="I582" s="43"/>
      <c r="J582" s="52" t="s">
        <v>1112</v>
      </c>
      <c r="K582" s="51">
        <f>IF(Table1[[#This Row],[Preferenza telefono]]="Casa",Table1[[#This Row],[Telefono casa]],IF(Table1[[#This Row],[Preferenza telefono]]="Primario",Table1[[#This Row],[Telefono primario]],"-"))</f>
        <v>3293473669</v>
      </c>
      <c r="L582" s="37" t="s">
        <v>1856</v>
      </c>
      <c r="M582" s="37" t="s">
        <v>1856</v>
      </c>
      <c r="N582" s="35" t="b">
        <f>IF(_xlfn.UNICODE( Table1[[#This Row],[Check]])=9745,TRUE,FALSE)</f>
        <v>0</v>
      </c>
    </row>
    <row r="583" spans="1:14" ht="30" customHeight="1" x14ac:dyDescent="0.25">
      <c r="A583" s="27" t="s">
        <v>1634</v>
      </c>
      <c r="B583" s="42" t="s">
        <v>187</v>
      </c>
      <c r="C583" s="27" t="s">
        <v>3</v>
      </c>
      <c r="D583" s="28">
        <v>3491814596</v>
      </c>
      <c r="E583" s="27"/>
      <c r="F583" s="27" t="s">
        <v>186</v>
      </c>
      <c r="G583" s="29" t="s">
        <v>113</v>
      </c>
      <c r="H583" s="95" t="s">
        <v>1854</v>
      </c>
      <c r="I583" s="27"/>
      <c r="J583" s="52" t="s">
        <v>1112</v>
      </c>
      <c r="K583" s="51">
        <f>IF(Table1[[#This Row],[Preferenza telefono]]="Casa",Table1[[#This Row],[Telefono casa]],IF(Table1[[#This Row],[Preferenza telefono]]="Primario",Table1[[#This Row],[Telefono primario]],"-"))</f>
        <v>3491814596</v>
      </c>
      <c r="L583" s="37" t="s">
        <v>1856</v>
      </c>
      <c r="M583" s="37" t="s">
        <v>1856</v>
      </c>
      <c r="N583" s="35" t="b">
        <f>IF(_xlfn.UNICODE( Table1[[#This Row],[Check]])=9745,TRUE,FALSE)</f>
        <v>0</v>
      </c>
    </row>
    <row r="584" spans="1:14" ht="30" customHeight="1" x14ac:dyDescent="0.25">
      <c r="A584" s="27" t="s">
        <v>1634</v>
      </c>
      <c r="B584" s="42" t="s">
        <v>185</v>
      </c>
      <c r="C584" s="27" t="s">
        <v>3</v>
      </c>
      <c r="D584" s="28">
        <v>3485739034</v>
      </c>
      <c r="E584" s="27"/>
      <c r="F584" s="27" t="s">
        <v>1740</v>
      </c>
      <c r="G584" s="29" t="s">
        <v>113</v>
      </c>
      <c r="H584" s="95" t="s">
        <v>1854</v>
      </c>
      <c r="I584" s="27"/>
      <c r="J584" s="52" t="s">
        <v>1112</v>
      </c>
      <c r="K584" s="51">
        <f>IF(Table1[[#This Row],[Preferenza telefono]]="Casa",Table1[[#This Row],[Telefono casa]],IF(Table1[[#This Row],[Preferenza telefono]]="Primario",Table1[[#This Row],[Telefono primario]],"-"))</f>
        <v>3485739034</v>
      </c>
      <c r="L584" s="37" t="s">
        <v>1856</v>
      </c>
      <c r="M584" s="37" t="s">
        <v>1856</v>
      </c>
      <c r="N584" s="35" t="b">
        <f>IF(_xlfn.UNICODE( Table1[[#This Row],[Check]])=9745,TRUE,FALSE)</f>
        <v>0</v>
      </c>
    </row>
    <row r="585" spans="1:14" ht="30" customHeight="1" x14ac:dyDescent="0.25">
      <c r="A585" s="27" t="s">
        <v>1634</v>
      </c>
      <c r="B585" s="42" t="s">
        <v>1019</v>
      </c>
      <c r="C585" s="27" t="s">
        <v>342</v>
      </c>
      <c r="D585" s="28">
        <v>3383120338</v>
      </c>
      <c r="E585" s="27"/>
      <c r="F585" s="27" t="s">
        <v>1020</v>
      </c>
      <c r="G585" s="29">
        <v>26696</v>
      </c>
      <c r="H585" s="95" t="s">
        <v>1855</v>
      </c>
      <c r="I585" s="27"/>
      <c r="J585" s="52" t="s">
        <v>1112</v>
      </c>
      <c r="K585" s="51">
        <f>IF(Table1[[#This Row],[Preferenza telefono]]="Casa",Table1[[#This Row],[Telefono casa]],IF(Table1[[#This Row],[Preferenza telefono]]="Primario",Table1[[#This Row],[Telefono primario]],"-"))</f>
        <v>3383120338</v>
      </c>
      <c r="L585" s="37" t="s">
        <v>1856</v>
      </c>
      <c r="M585" s="37" t="s">
        <v>1856</v>
      </c>
      <c r="N585" s="35" t="b">
        <f>IF(_xlfn.UNICODE( Table1[[#This Row],[Check]])=9745,TRUE,FALSE)</f>
        <v>0</v>
      </c>
    </row>
    <row r="586" spans="1:14" ht="30" customHeight="1" x14ac:dyDescent="0.25">
      <c r="A586" s="27" t="s">
        <v>1634</v>
      </c>
      <c r="B586" s="42" t="s">
        <v>1021</v>
      </c>
      <c r="C586" s="27" t="s">
        <v>150</v>
      </c>
      <c r="D586" s="28">
        <v>3334989863</v>
      </c>
      <c r="E586" s="27"/>
      <c r="F586" s="27" t="s">
        <v>1022</v>
      </c>
      <c r="G586" s="29">
        <v>29665</v>
      </c>
      <c r="H586" s="95" t="s">
        <v>1854</v>
      </c>
      <c r="I586" s="27"/>
      <c r="J586" s="52" t="s">
        <v>1112</v>
      </c>
      <c r="K586" s="51">
        <f>IF(Table1[[#This Row],[Preferenza telefono]]="Casa",Table1[[#This Row],[Telefono casa]],IF(Table1[[#This Row],[Preferenza telefono]]="Primario",Table1[[#This Row],[Telefono primario]],"-"))</f>
        <v>3334989863</v>
      </c>
      <c r="L586" s="37" t="s">
        <v>1856</v>
      </c>
      <c r="M586" s="37" t="s">
        <v>1856</v>
      </c>
      <c r="N586" s="35" t="b">
        <f>IF(_xlfn.UNICODE( Table1[[#This Row],[Check]])=9745,TRUE,FALSE)</f>
        <v>0</v>
      </c>
    </row>
    <row r="587" spans="1:14" ht="30" customHeight="1" x14ac:dyDescent="0.25">
      <c r="A587" s="27" t="s">
        <v>1634</v>
      </c>
      <c r="B587" s="42" t="s">
        <v>192</v>
      </c>
      <c r="C587" s="27" t="s">
        <v>193</v>
      </c>
      <c r="D587" s="28">
        <v>3389318754</v>
      </c>
      <c r="E587" s="27"/>
      <c r="F587" s="27" t="s">
        <v>194</v>
      </c>
      <c r="G587" s="29">
        <v>22684</v>
      </c>
      <c r="H587" s="95" t="s">
        <v>1854</v>
      </c>
      <c r="I587" s="27"/>
      <c r="J587" s="52" t="s">
        <v>1112</v>
      </c>
      <c r="K587" s="51">
        <f>IF(Table1[[#This Row],[Preferenza telefono]]="Casa",Table1[[#This Row],[Telefono casa]],IF(Table1[[#This Row],[Preferenza telefono]]="Primario",Table1[[#This Row],[Telefono primario]],"-"))</f>
        <v>3389318754</v>
      </c>
      <c r="L587" s="37" t="s">
        <v>1856</v>
      </c>
      <c r="M587" s="37" t="s">
        <v>1856</v>
      </c>
      <c r="N587" s="35" t="b">
        <f>IF(_xlfn.UNICODE( Table1[[#This Row],[Check]])=9745,TRUE,FALSE)</f>
        <v>0</v>
      </c>
    </row>
    <row r="588" spans="1:14" ht="30" customHeight="1" x14ac:dyDescent="0.25">
      <c r="A588" s="27" t="s">
        <v>1634</v>
      </c>
      <c r="B588" s="42" t="s">
        <v>1684</v>
      </c>
      <c r="C588" s="27" t="s">
        <v>135</v>
      </c>
      <c r="D588" s="28">
        <v>3474374239</v>
      </c>
      <c r="E588" s="27"/>
      <c r="F588" s="27" t="s">
        <v>1685</v>
      </c>
      <c r="G588" s="29">
        <v>20143</v>
      </c>
      <c r="H588" s="95" t="s">
        <v>1855</v>
      </c>
      <c r="I588" s="27"/>
      <c r="J588" s="52" t="s">
        <v>1112</v>
      </c>
      <c r="K588" s="51">
        <f>IF(Table1[[#This Row],[Preferenza telefono]]="Casa",Table1[[#This Row],[Telefono casa]],IF(Table1[[#This Row],[Preferenza telefono]]="Primario",Table1[[#This Row],[Telefono primario]],"-"))</f>
        <v>3474374239</v>
      </c>
      <c r="L588" s="37" t="s">
        <v>1856</v>
      </c>
      <c r="M588" s="37" t="s">
        <v>1856</v>
      </c>
      <c r="N588" s="35" t="b">
        <f>IF(_xlfn.UNICODE( Table1[[#This Row],[Check]])=9745,TRUE,FALSE)</f>
        <v>0</v>
      </c>
    </row>
    <row r="589" spans="1:14" ht="30" customHeight="1" x14ac:dyDescent="0.25">
      <c r="A589" s="27" t="s">
        <v>1634</v>
      </c>
      <c r="B589" s="42" t="s">
        <v>1028</v>
      </c>
      <c r="C589" s="27" t="s">
        <v>1</v>
      </c>
      <c r="D589" s="28">
        <v>3343924533</v>
      </c>
      <c r="E589" s="27"/>
      <c r="F589" s="27" t="s">
        <v>1029</v>
      </c>
      <c r="G589" s="29">
        <v>27532</v>
      </c>
      <c r="H589" s="95" t="s">
        <v>1854</v>
      </c>
      <c r="I589" s="27"/>
      <c r="J589" s="52" t="s">
        <v>1112</v>
      </c>
      <c r="K589" s="51">
        <f>IF(Table1[[#This Row],[Preferenza telefono]]="Casa",Table1[[#This Row],[Telefono casa]],IF(Table1[[#This Row],[Preferenza telefono]]="Primario",Table1[[#This Row],[Telefono primario]],"-"))</f>
        <v>3343924533</v>
      </c>
      <c r="L589" s="37" t="s">
        <v>1856</v>
      </c>
      <c r="M589" s="37" t="s">
        <v>1856</v>
      </c>
      <c r="N589" s="35" t="b">
        <f>IF(_xlfn.UNICODE( Table1[[#This Row],[Check]])=9745,TRUE,FALSE)</f>
        <v>0</v>
      </c>
    </row>
    <row r="590" spans="1:14" ht="30" customHeight="1" x14ac:dyDescent="0.25">
      <c r="A590" s="27" t="s">
        <v>1634</v>
      </c>
      <c r="B590" s="42" t="s">
        <v>654</v>
      </c>
      <c r="C590" s="27" t="s">
        <v>1</v>
      </c>
      <c r="D590" s="28">
        <v>3392276697</v>
      </c>
      <c r="E590" s="27"/>
      <c r="F590" s="27" t="s">
        <v>748</v>
      </c>
      <c r="G590" s="29">
        <v>20417</v>
      </c>
      <c r="H590" s="95" t="s">
        <v>1854</v>
      </c>
      <c r="I590" s="27"/>
      <c r="J590" s="52" t="s">
        <v>1112</v>
      </c>
      <c r="K590" s="51">
        <f>IF(Table1[[#This Row],[Preferenza telefono]]="Casa",Table1[[#This Row],[Telefono casa]],IF(Table1[[#This Row],[Preferenza telefono]]="Primario",Table1[[#This Row],[Telefono primario]],"-"))</f>
        <v>3392276697</v>
      </c>
      <c r="L590" s="37" t="s">
        <v>1856</v>
      </c>
      <c r="M590" s="37" t="s">
        <v>1856</v>
      </c>
      <c r="N590" s="35" t="b">
        <f>IF(_xlfn.UNICODE( Table1[[#This Row],[Check]])=9745,TRUE,FALSE)</f>
        <v>0</v>
      </c>
    </row>
    <row r="591" spans="1:14" ht="30" customHeight="1" x14ac:dyDescent="0.25">
      <c r="A591" s="27" t="s">
        <v>1634</v>
      </c>
      <c r="B591" s="47" t="s">
        <v>1032</v>
      </c>
      <c r="C591" s="27" t="s">
        <v>1</v>
      </c>
      <c r="D591" s="28">
        <v>3664415008</v>
      </c>
      <c r="E591" s="27"/>
      <c r="F591" s="27" t="s">
        <v>1033</v>
      </c>
      <c r="G591" s="29">
        <v>29537</v>
      </c>
      <c r="H591" s="95" t="s">
        <v>1855</v>
      </c>
      <c r="I591" s="27"/>
      <c r="J591" s="52" t="s">
        <v>1112</v>
      </c>
      <c r="K591" s="51">
        <f>IF(Table1[[#This Row],[Preferenza telefono]]="Casa",Table1[[#This Row],[Telefono casa]],IF(Table1[[#This Row],[Preferenza telefono]]="Primario",Table1[[#This Row],[Telefono primario]],"-"))</f>
        <v>3664415008</v>
      </c>
      <c r="L591" s="37" t="s">
        <v>1856</v>
      </c>
      <c r="M591" s="37" t="s">
        <v>1856</v>
      </c>
      <c r="N591" s="35" t="b">
        <f>IF(_xlfn.UNICODE( Table1[[#This Row],[Check]])=9745,TRUE,FALSE)</f>
        <v>0</v>
      </c>
    </row>
    <row r="592" spans="1:14" ht="30" customHeight="1" x14ac:dyDescent="0.25">
      <c r="A592" s="27" t="s">
        <v>1634</v>
      </c>
      <c r="B592" s="42" t="s">
        <v>1036</v>
      </c>
      <c r="C592" s="27"/>
      <c r="D592" s="28"/>
      <c r="E592" s="27"/>
      <c r="F592" s="27"/>
      <c r="G592" s="29"/>
      <c r="H592" s="95" t="s">
        <v>1854</v>
      </c>
      <c r="I592" s="27"/>
      <c r="J592" s="52" t="s">
        <v>1112</v>
      </c>
      <c r="K592" s="51">
        <f>IF(Table1[[#This Row],[Preferenza telefono]]="Casa",Table1[[#This Row],[Telefono casa]],IF(Table1[[#This Row],[Preferenza telefono]]="Primario",Table1[[#This Row],[Telefono primario]],"-"))</f>
        <v>0</v>
      </c>
      <c r="L592" s="37" t="s">
        <v>1856</v>
      </c>
      <c r="M592" s="37" t="s">
        <v>1856</v>
      </c>
      <c r="N592" s="35" t="b">
        <f>IF(_xlfn.UNICODE( Table1[[#This Row],[Check]])=9745,TRUE,FALSE)</f>
        <v>0</v>
      </c>
    </row>
    <row r="593" spans="1:14" ht="30" customHeight="1" x14ac:dyDescent="0.25">
      <c r="A593" s="27" t="s">
        <v>1634</v>
      </c>
      <c r="B593" s="42" t="s">
        <v>1037</v>
      </c>
      <c r="C593" s="27" t="s">
        <v>4</v>
      </c>
      <c r="D593" s="28">
        <v>3480037190</v>
      </c>
      <c r="E593" s="27"/>
      <c r="F593" s="27" t="s">
        <v>97</v>
      </c>
      <c r="G593" s="29">
        <v>8761</v>
      </c>
      <c r="H593" s="95" t="s">
        <v>1854</v>
      </c>
      <c r="I593" s="27"/>
      <c r="J593" s="52" t="s">
        <v>1112</v>
      </c>
      <c r="K593" s="51">
        <f>IF(Table1[[#This Row],[Preferenza telefono]]="Casa",Table1[[#This Row],[Telefono casa]],IF(Table1[[#This Row],[Preferenza telefono]]="Primario",Table1[[#This Row],[Telefono primario]],"-"))</f>
        <v>3480037190</v>
      </c>
      <c r="L593" s="37" t="s">
        <v>1856</v>
      </c>
      <c r="M593" s="37" t="s">
        <v>1856</v>
      </c>
      <c r="N593" s="35" t="b">
        <f>IF(_xlfn.UNICODE( Table1[[#This Row],[Check]])=9745,TRUE,FALSE)</f>
        <v>0</v>
      </c>
    </row>
    <row r="594" spans="1:14" ht="30" customHeight="1" x14ac:dyDescent="0.25">
      <c r="A594" s="27" t="s">
        <v>1634</v>
      </c>
      <c r="B594" s="42" t="s">
        <v>1039</v>
      </c>
      <c r="C594" s="27" t="s">
        <v>141</v>
      </c>
      <c r="D594" s="28">
        <v>3356947473</v>
      </c>
      <c r="E594" s="27"/>
      <c r="F594" s="27" t="s">
        <v>139</v>
      </c>
      <c r="G594" s="29">
        <v>28293</v>
      </c>
      <c r="H594" s="95" t="s">
        <v>1855</v>
      </c>
      <c r="I594" s="27"/>
      <c r="J594" s="52" t="s">
        <v>1112</v>
      </c>
      <c r="K594" s="51">
        <f>IF(Table1[[#This Row],[Preferenza telefono]]="Casa",Table1[[#This Row],[Telefono casa]],IF(Table1[[#This Row],[Preferenza telefono]]="Primario",Table1[[#This Row],[Telefono primario]],"-"))</f>
        <v>3356947473</v>
      </c>
      <c r="L594" s="37" t="s">
        <v>1856</v>
      </c>
      <c r="M594" s="37" t="s">
        <v>1856</v>
      </c>
      <c r="N594" s="35" t="b">
        <f>IF(_xlfn.UNICODE( Table1[[#This Row],[Check]])=9745,TRUE,FALSE)</f>
        <v>0</v>
      </c>
    </row>
    <row r="595" spans="1:14" ht="30" customHeight="1" x14ac:dyDescent="0.25">
      <c r="A595" s="27" t="s">
        <v>1634</v>
      </c>
      <c r="B595" s="42" t="s">
        <v>1024</v>
      </c>
      <c r="C595" s="27" t="s">
        <v>182</v>
      </c>
      <c r="D595" s="28">
        <v>3200529968</v>
      </c>
      <c r="E595" s="27"/>
      <c r="F595" s="27"/>
      <c r="G595" s="29" t="s">
        <v>113</v>
      </c>
      <c r="H595" s="95" t="s">
        <v>1854</v>
      </c>
      <c r="I595" s="27"/>
      <c r="J595" s="52" t="s">
        <v>1112</v>
      </c>
      <c r="K595" s="51">
        <f>IF(Table1[[#This Row],[Preferenza telefono]]="Casa",Table1[[#This Row],[Telefono casa]],IF(Table1[[#This Row],[Preferenza telefono]]="Primario",Table1[[#This Row],[Telefono primario]],"-"))</f>
        <v>3200529968</v>
      </c>
      <c r="L595" s="37" t="s">
        <v>1856</v>
      </c>
      <c r="M595" s="37" t="s">
        <v>1856</v>
      </c>
      <c r="N595" s="35" t="b">
        <f>IF(_xlfn.UNICODE( Table1[[#This Row],[Check]])=9745,TRUE,FALSE)</f>
        <v>0</v>
      </c>
    </row>
    <row r="596" spans="1:14" ht="30" customHeight="1" x14ac:dyDescent="0.25">
      <c r="A596" s="27" t="s">
        <v>1634</v>
      </c>
      <c r="B596" s="42" t="s">
        <v>1025</v>
      </c>
      <c r="C596" s="27" t="s">
        <v>182</v>
      </c>
      <c r="D596" s="28">
        <v>3205640179</v>
      </c>
      <c r="E596" s="27"/>
      <c r="F596" s="27"/>
      <c r="G596" s="29" t="s">
        <v>113</v>
      </c>
      <c r="H596" s="95" t="s">
        <v>1854</v>
      </c>
      <c r="I596" s="27"/>
      <c r="J596" s="52" t="s">
        <v>1112</v>
      </c>
      <c r="K596" s="51">
        <f>IF(Table1[[#This Row],[Preferenza telefono]]="Casa",Table1[[#This Row],[Telefono casa]],IF(Table1[[#This Row],[Preferenza telefono]]="Primario",Table1[[#This Row],[Telefono primario]],"-"))</f>
        <v>3205640179</v>
      </c>
      <c r="L596" s="37" t="s">
        <v>1856</v>
      </c>
      <c r="M596" s="37" t="s">
        <v>1856</v>
      </c>
      <c r="N596" s="35" t="b">
        <f>IF(_xlfn.UNICODE( Table1[[#This Row],[Check]])=9745,TRUE,FALSE)</f>
        <v>0</v>
      </c>
    </row>
    <row r="597" spans="1:14" ht="30" customHeight="1" x14ac:dyDescent="0.25">
      <c r="A597" s="27" t="s">
        <v>1634</v>
      </c>
      <c r="B597" s="42" t="s">
        <v>1026</v>
      </c>
      <c r="C597" s="27" t="s">
        <v>1027</v>
      </c>
      <c r="D597" s="28">
        <v>3298684544</v>
      </c>
      <c r="E597" s="27"/>
      <c r="F597" s="27" t="s">
        <v>411</v>
      </c>
      <c r="G597" s="29" t="s">
        <v>113</v>
      </c>
      <c r="H597" s="95" t="s">
        <v>1855</v>
      </c>
      <c r="I597" s="27"/>
      <c r="J597" s="52" t="s">
        <v>1112</v>
      </c>
      <c r="K597" s="51">
        <f>IF(Table1[[#This Row],[Preferenza telefono]]="Casa",Table1[[#This Row],[Telefono casa]],IF(Table1[[#This Row],[Preferenza telefono]]="Primario",Table1[[#This Row],[Telefono primario]],"-"))</f>
        <v>3298684544</v>
      </c>
      <c r="L597" s="37" t="s">
        <v>1856</v>
      </c>
      <c r="M597" s="37" t="s">
        <v>1856</v>
      </c>
      <c r="N597" s="35" t="b">
        <f>IF(_xlfn.UNICODE( Table1[[#This Row],[Check]])=9745,TRUE,FALSE)</f>
        <v>0</v>
      </c>
    </row>
    <row r="598" spans="1:14" ht="30" customHeight="1" x14ac:dyDescent="0.25">
      <c r="A598" s="27" t="s">
        <v>1634</v>
      </c>
      <c r="B598" s="42" t="s">
        <v>1686</v>
      </c>
      <c r="C598" s="27" t="s">
        <v>117</v>
      </c>
      <c r="D598" s="28">
        <v>3295432375</v>
      </c>
      <c r="E598" s="27"/>
      <c r="F598" s="27"/>
      <c r="G598" s="29" t="s">
        <v>113</v>
      </c>
      <c r="H598" s="95" t="s">
        <v>1854</v>
      </c>
      <c r="I598" s="27"/>
      <c r="J598" s="52" t="s">
        <v>1112</v>
      </c>
      <c r="K598" s="51">
        <f>IF(Table1[[#This Row],[Preferenza telefono]]="Casa",Table1[[#This Row],[Telefono casa]],IF(Table1[[#This Row],[Preferenza telefono]]="Primario",Table1[[#This Row],[Telefono primario]],"-"))</f>
        <v>3295432375</v>
      </c>
      <c r="L598" s="37" t="s">
        <v>1856</v>
      </c>
      <c r="M598" s="37" t="s">
        <v>1856</v>
      </c>
      <c r="N598" s="35" t="b">
        <f>IF(_xlfn.UNICODE( Table1[[#This Row],[Check]])=9745,TRUE,FALSE)</f>
        <v>0</v>
      </c>
    </row>
    <row r="599" spans="1:14" ht="30" customHeight="1" x14ac:dyDescent="0.25">
      <c r="A599" s="27" t="s">
        <v>1634</v>
      </c>
      <c r="B599" s="42" t="s">
        <v>1049</v>
      </c>
      <c r="C599" s="27" t="s">
        <v>1</v>
      </c>
      <c r="D599" s="28">
        <v>3341133430</v>
      </c>
      <c r="E599" s="27"/>
      <c r="F599" s="27" t="s">
        <v>1050</v>
      </c>
      <c r="G599" s="29">
        <v>27590</v>
      </c>
      <c r="H599" s="95" t="s">
        <v>1854</v>
      </c>
      <c r="I599" s="27"/>
      <c r="J599" s="52" t="s">
        <v>1112</v>
      </c>
      <c r="K599" s="51">
        <f>IF(Table1[[#This Row],[Preferenza telefono]]="Casa",Table1[[#This Row],[Telefono casa]],IF(Table1[[#This Row],[Preferenza telefono]]="Primario",Table1[[#This Row],[Telefono primario]],"-"))</f>
        <v>3341133430</v>
      </c>
      <c r="L599" s="37" t="s">
        <v>1856</v>
      </c>
      <c r="M599" s="37" t="s">
        <v>1856</v>
      </c>
      <c r="N599" s="35" t="b">
        <f>IF(_xlfn.UNICODE( Table1[[#This Row],[Check]])=9745,TRUE,FALSE)</f>
        <v>0</v>
      </c>
    </row>
    <row r="600" spans="1:14" ht="30" customHeight="1" x14ac:dyDescent="0.25">
      <c r="A600" s="27" t="s">
        <v>1634</v>
      </c>
      <c r="B600" s="47" t="s">
        <v>1052</v>
      </c>
      <c r="C600" s="43" t="s">
        <v>1</v>
      </c>
      <c r="D600" s="45">
        <v>3356432764</v>
      </c>
      <c r="E600" s="43"/>
      <c r="F600" s="43" t="s">
        <v>132</v>
      </c>
      <c r="G600" s="44">
        <v>18789</v>
      </c>
      <c r="H600" s="95" t="s">
        <v>1855</v>
      </c>
      <c r="I600" s="43"/>
      <c r="J600" s="52" t="s">
        <v>1112</v>
      </c>
      <c r="K600" s="51">
        <f>IF(Table1[[#This Row],[Preferenza telefono]]="Casa",Table1[[#This Row],[Telefono casa]],IF(Table1[[#This Row],[Preferenza telefono]]="Primario",Table1[[#This Row],[Telefono primario]],"-"))</f>
        <v>3356432764</v>
      </c>
      <c r="L600" s="37" t="s">
        <v>1856</v>
      </c>
      <c r="M600" s="37" t="s">
        <v>1856</v>
      </c>
      <c r="N600" s="35" t="b">
        <f>IF(_xlfn.UNICODE( Table1[[#This Row],[Check]])=9745,TRUE,FALSE)</f>
        <v>0</v>
      </c>
    </row>
    <row r="601" spans="1:14" ht="30" customHeight="1" x14ac:dyDescent="0.25">
      <c r="A601" s="27" t="s">
        <v>1634</v>
      </c>
      <c r="B601" s="42" t="s">
        <v>1051</v>
      </c>
      <c r="C601" s="27" t="s">
        <v>1</v>
      </c>
      <c r="D601" s="28">
        <v>3349206558</v>
      </c>
      <c r="E601" s="27"/>
      <c r="F601" s="27" t="s">
        <v>259</v>
      </c>
      <c r="G601" s="29">
        <v>32225</v>
      </c>
      <c r="H601" s="95" t="s">
        <v>1854</v>
      </c>
      <c r="I601" s="27"/>
      <c r="J601" s="52" t="s">
        <v>1112</v>
      </c>
      <c r="K601" s="51">
        <f>IF(Table1[[#This Row],[Preferenza telefono]]="Casa",Table1[[#This Row],[Telefono casa]],IF(Table1[[#This Row],[Preferenza telefono]]="Primario",Table1[[#This Row],[Telefono primario]],"-"))</f>
        <v>3349206558</v>
      </c>
      <c r="L601" s="37" t="s">
        <v>1856</v>
      </c>
      <c r="M601" s="37" t="s">
        <v>1856</v>
      </c>
      <c r="N601" s="35" t="b">
        <f>IF(_xlfn.UNICODE( Table1[[#This Row],[Check]])=9745,TRUE,FALSE)</f>
        <v>0</v>
      </c>
    </row>
    <row r="602" spans="1:14" ht="30" customHeight="1" x14ac:dyDescent="0.25">
      <c r="A602" s="27" t="s">
        <v>1634</v>
      </c>
      <c r="B602" s="42" t="s">
        <v>197</v>
      </c>
      <c r="C602" s="27" t="s">
        <v>1</v>
      </c>
      <c r="D602" s="28">
        <v>3385082826</v>
      </c>
      <c r="E602" s="27"/>
      <c r="F602" s="27" t="s">
        <v>198</v>
      </c>
      <c r="G602" s="29">
        <v>28477</v>
      </c>
      <c r="H602" s="95" t="s">
        <v>1854</v>
      </c>
      <c r="I602" s="27"/>
      <c r="J602" s="52" t="s">
        <v>1112</v>
      </c>
      <c r="K602" s="51">
        <f>IF(Table1[[#This Row],[Preferenza telefono]]="Casa",Table1[[#This Row],[Telefono casa]],IF(Table1[[#This Row],[Preferenza telefono]]="Primario",Table1[[#This Row],[Telefono primario]],"-"))</f>
        <v>3385082826</v>
      </c>
      <c r="L602" s="37" t="s">
        <v>1856</v>
      </c>
      <c r="M602" s="37" t="s">
        <v>1856</v>
      </c>
      <c r="N602" s="35" t="b">
        <f>IF(_xlfn.UNICODE( Table1[[#This Row],[Check]])=9745,TRUE,FALSE)</f>
        <v>0</v>
      </c>
    </row>
    <row r="603" spans="1:14" ht="30" customHeight="1" x14ac:dyDescent="0.25">
      <c r="A603" s="27" t="s">
        <v>1634</v>
      </c>
      <c r="B603" s="42" t="s">
        <v>1042</v>
      </c>
      <c r="C603" s="27" t="s">
        <v>658</v>
      </c>
      <c r="D603" s="28">
        <v>335245118</v>
      </c>
      <c r="E603" s="27"/>
      <c r="F603" s="27" t="s">
        <v>368</v>
      </c>
      <c r="G603" s="29" t="s">
        <v>113</v>
      </c>
      <c r="H603" s="95" t="s">
        <v>1855</v>
      </c>
      <c r="I603" s="27"/>
      <c r="J603" s="52" t="s">
        <v>1112</v>
      </c>
      <c r="K603" s="51">
        <f>IF(Table1[[#This Row],[Preferenza telefono]]="Casa",Table1[[#This Row],[Telefono casa]],IF(Table1[[#This Row],[Preferenza telefono]]="Primario",Table1[[#This Row],[Telefono primario]],"-"))</f>
        <v>335245118</v>
      </c>
      <c r="L603" s="37" t="s">
        <v>1856</v>
      </c>
      <c r="M603" s="37" t="s">
        <v>1856</v>
      </c>
      <c r="N603" s="35" t="b">
        <f>IF(_xlfn.UNICODE( Table1[[#This Row],[Check]])=9745,TRUE,FALSE)</f>
        <v>0</v>
      </c>
    </row>
    <row r="604" spans="1:14" ht="30" customHeight="1" x14ac:dyDescent="0.25">
      <c r="A604" s="27" t="s">
        <v>1634</v>
      </c>
      <c r="B604" s="42" t="s">
        <v>1023</v>
      </c>
      <c r="C604" s="27"/>
      <c r="D604" s="28">
        <v>3889753670</v>
      </c>
      <c r="E604" s="27"/>
      <c r="F604" s="27" t="s">
        <v>327</v>
      </c>
      <c r="G604" s="29"/>
      <c r="H604" s="95" t="s">
        <v>1854</v>
      </c>
      <c r="I604" s="27"/>
      <c r="J604" s="52" t="s">
        <v>1112</v>
      </c>
      <c r="K604" s="51">
        <f>IF(Table1[[#This Row],[Preferenza telefono]]="Casa",Table1[[#This Row],[Telefono casa]],IF(Table1[[#This Row],[Preferenza telefono]]="Primario",Table1[[#This Row],[Telefono primario]],"-"))</f>
        <v>3889753670</v>
      </c>
      <c r="L604" s="37" t="s">
        <v>1856</v>
      </c>
      <c r="M604" s="37" t="s">
        <v>1856</v>
      </c>
      <c r="N604" s="35" t="b">
        <f>IF(_xlfn.UNICODE( Table1[[#This Row],[Check]])=9745,TRUE,FALSE)</f>
        <v>0</v>
      </c>
    </row>
    <row r="605" spans="1:14" ht="30" customHeight="1" x14ac:dyDescent="0.25">
      <c r="A605" s="27" t="s">
        <v>1634</v>
      </c>
      <c r="B605" s="42" t="s">
        <v>1030</v>
      </c>
      <c r="C605" s="27" t="s">
        <v>1031</v>
      </c>
      <c r="D605" s="28">
        <v>3357436982</v>
      </c>
      <c r="E605" s="27"/>
      <c r="F605" s="27" t="s">
        <v>178</v>
      </c>
      <c r="G605" s="29">
        <v>27178</v>
      </c>
      <c r="H605" s="95" t="s">
        <v>1854</v>
      </c>
      <c r="I605" s="27"/>
      <c r="J605" s="52" t="s">
        <v>1112</v>
      </c>
      <c r="K605" s="51">
        <f>IF(Table1[[#This Row],[Preferenza telefono]]="Casa",Table1[[#This Row],[Telefono casa]],IF(Table1[[#This Row],[Preferenza telefono]]="Primario",Table1[[#This Row],[Telefono primario]],"-"))</f>
        <v>3357436982</v>
      </c>
      <c r="L605" s="37" t="s">
        <v>1856</v>
      </c>
      <c r="M605" s="37" t="s">
        <v>1856</v>
      </c>
      <c r="N605" s="35" t="b">
        <f>IF(_xlfn.UNICODE( Table1[[#This Row],[Check]])=9745,TRUE,FALSE)</f>
        <v>0</v>
      </c>
    </row>
    <row r="606" spans="1:14" ht="30" customHeight="1" x14ac:dyDescent="0.25">
      <c r="A606" s="27" t="s">
        <v>1634</v>
      </c>
      <c r="B606" s="42" t="s">
        <v>1034</v>
      </c>
      <c r="C606" s="27" t="s">
        <v>1031</v>
      </c>
      <c r="D606" s="28">
        <v>3356818133</v>
      </c>
      <c r="E606" s="27"/>
      <c r="F606" s="27" t="s">
        <v>1035</v>
      </c>
      <c r="G606" s="29">
        <v>15077</v>
      </c>
      <c r="H606" s="95" t="s">
        <v>1855</v>
      </c>
      <c r="I606" s="27"/>
      <c r="J606" s="52" t="s">
        <v>1112</v>
      </c>
      <c r="K606" s="51">
        <f>IF(Table1[[#This Row],[Preferenza telefono]]="Casa",Table1[[#This Row],[Telefono casa]],IF(Table1[[#This Row],[Preferenza telefono]]="Primario",Table1[[#This Row],[Telefono primario]],"-"))</f>
        <v>3356818133</v>
      </c>
      <c r="L606" s="37" t="s">
        <v>1856</v>
      </c>
      <c r="M606" s="37" t="s">
        <v>1856</v>
      </c>
      <c r="N606" s="35" t="b">
        <f>IF(_xlfn.UNICODE( Table1[[#This Row],[Check]])=9745,TRUE,FALSE)</f>
        <v>0</v>
      </c>
    </row>
    <row r="607" spans="1:14" ht="30" customHeight="1" x14ac:dyDescent="0.25">
      <c r="A607" s="27" t="s">
        <v>1634</v>
      </c>
      <c r="B607" s="42" t="s">
        <v>195</v>
      </c>
      <c r="C607" s="27" t="s">
        <v>103</v>
      </c>
      <c r="D607" s="28">
        <v>3421401946</v>
      </c>
      <c r="E607" s="27"/>
      <c r="F607" s="27" t="s">
        <v>196</v>
      </c>
      <c r="G607" s="29">
        <v>22140</v>
      </c>
      <c r="H607" s="95" t="s">
        <v>1854</v>
      </c>
      <c r="I607" s="27"/>
      <c r="J607" s="52" t="s">
        <v>1112</v>
      </c>
      <c r="K607" s="51">
        <f>IF(Table1[[#This Row],[Preferenza telefono]]="Casa",Table1[[#This Row],[Telefono casa]],IF(Table1[[#This Row],[Preferenza telefono]]="Primario",Table1[[#This Row],[Telefono primario]],"-"))</f>
        <v>3421401946</v>
      </c>
      <c r="L607" s="37" t="s">
        <v>1856</v>
      </c>
      <c r="M607" s="37" t="s">
        <v>1856</v>
      </c>
      <c r="N607" s="35" t="b">
        <f>IF(_xlfn.UNICODE( Table1[[#This Row],[Check]])=9745,TRUE,FALSE)</f>
        <v>0</v>
      </c>
    </row>
    <row r="608" spans="1:14" ht="30" customHeight="1" x14ac:dyDescent="0.25">
      <c r="A608" s="27" t="s">
        <v>1634</v>
      </c>
      <c r="B608" s="42" t="s">
        <v>1046</v>
      </c>
      <c r="C608" s="27" t="s">
        <v>1</v>
      </c>
      <c r="D608" s="28">
        <v>3203142142</v>
      </c>
      <c r="E608" s="27"/>
      <c r="F608" s="27" t="s">
        <v>1047</v>
      </c>
      <c r="G608" s="29">
        <v>30846</v>
      </c>
      <c r="H608" s="95" t="s">
        <v>1854</v>
      </c>
      <c r="I608" s="27"/>
      <c r="J608" s="52" t="s">
        <v>1112</v>
      </c>
      <c r="K608" s="51">
        <f>IF(Table1[[#This Row],[Preferenza telefono]]="Casa",Table1[[#This Row],[Telefono casa]],IF(Table1[[#This Row],[Preferenza telefono]]="Primario",Table1[[#This Row],[Telefono primario]],"-"))</f>
        <v>3203142142</v>
      </c>
      <c r="L608" s="37" t="s">
        <v>1856</v>
      </c>
      <c r="M608" s="37" t="s">
        <v>1856</v>
      </c>
      <c r="N608" s="35" t="b">
        <f>IF(_xlfn.UNICODE( Table1[[#This Row],[Check]])=9745,TRUE,FALSE)</f>
        <v>0</v>
      </c>
    </row>
    <row r="609" spans="1:14" ht="30" customHeight="1" x14ac:dyDescent="0.25">
      <c r="A609" s="27" t="s">
        <v>1634</v>
      </c>
      <c r="B609" s="42" t="s">
        <v>1043</v>
      </c>
      <c r="C609" s="27" t="s">
        <v>3</v>
      </c>
      <c r="D609" s="28" t="s">
        <v>1044</v>
      </c>
      <c r="E609" s="27"/>
      <c r="F609" s="27" t="s">
        <v>1045</v>
      </c>
      <c r="G609" s="29" t="s">
        <v>113</v>
      </c>
      <c r="H609" s="95" t="s">
        <v>1855</v>
      </c>
      <c r="I609" s="27"/>
      <c r="J609" s="52" t="s">
        <v>1112</v>
      </c>
      <c r="K609" s="51" t="str">
        <f>IF(Table1[[#This Row],[Preferenza telefono]]="Casa",Table1[[#This Row],[Telefono casa]],IF(Table1[[#This Row],[Preferenza telefono]]="Primario",Table1[[#This Row],[Telefono primario]],"-"))</f>
        <v>335-1567440</v>
      </c>
      <c r="L609" s="37" t="s">
        <v>1856</v>
      </c>
      <c r="M609" s="37" t="s">
        <v>1856</v>
      </c>
      <c r="N609" s="35" t="b">
        <f>IF(_xlfn.UNICODE( Table1[[#This Row],[Check]])=9745,TRUE,FALSE)</f>
        <v>0</v>
      </c>
    </row>
    <row r="610" spans="1:14" ht="30" customHeight="1" x14ac:dyDescent="0.25">
      <c r="A610" s="27" t="s">
        <v>1634</v>
      </c>
      <c r="B610" s="42" t="s">
        <v>1048</v>
      </c>
      <c r="C610" s="27" t="s">
        <v>4</v>
      </c>
      <c r="D610" s="28">
        <v>3398401587</v>
      </c>
      <c r="E610" s="27"/>
      <c r="F610" s="27" t="s">
        <v>139</v>
      </c>
      <c r="G610" s="29">
        <v>24825</v>
      </c>
      <c r="H610" s="95" t="s">
        <v>1854</v>
      </c>
      <c r="I610" s="27"/>
      <c r="J610" s="52" t="s">
        <v>1112</v>
      </c>
      <c r="K610" s="51">
        <f>IF(Table1[[#This Row],[Preferenza telefono]]="Casa",Table1[[#This Row],[Telefono casa]],IF(Table1[[#This Row],[Preferenza telefono]]="Primario",Table1[[#This Row],[Telefono primario]],"-"))</f>
        <v>3398401587</v>
      </c>
      <c r="L610" s="37" t="s">
        <v>1856</v>
      </c>
      <c r="M610" s="37" t="s">
        <v>1856</v>
      </c>
      <c r="N610" s="35" t="b">
        <f>IF(_xlfn.UNICODE( Table1[[#This Row],[Check]])=9745,TRUE,FALSE)</f>
        <v>0</v>
      </c>
    </row>
    <row r="611" spans="1:14" ht="30" customHeight="1" x14ac:dyDescent="0.25">
      <c r="A611" s="27" t="s">
        <v>1634</v>
      </c>
      <c r="B611" s="42" t="s">
        <v>1040</v>
      </c>
      <c r="C611" s="27" t="s">
        <v>402</v>
      </c>
      <c r="D611" s="28">
        <v>3381278254</v>
      </c>
      <c r="E611" s="27"/>
      <c r="F611" s="27" t="s">
        <v>1041</v>
      </c>
      <c r="G611" s="29" t="s">
        <v>113</v>
      </c>
      <c r="H611" s="95" t="s">
        <v>1854</v>
      </c>
      <c r="I611" s="27"/>
      <c r="J611" s="52" t="s">
        <v>1112</v>
      </c>
      <c r="K611" s="51">
        <f>IF(Table1[[#This Row],[Preferenza telefono]]="Casa",Table1[[#This Row],[Telefono casa]],IF(Table1[[#This Row],[Preferenza telefono]]="Primario",Table1[[#This Row],[Telefono primario]],"-"))</f>
        <v>3381278254</v>
      </c>
      <c r="L611" s="37" t="s">
        <v>1856</v>
      </c>
      <c r="M611" s="37" t="s">
        <v>1856</v>
      </c>
      <c r="N611" s="35" t="b">
        <f>IF(_xlfn.UNICODE( Table1[[#This Row],[Check]])=9745,TRUE,FALSE)</f>
        <v>0</v>
      </c>
    </row>
    <row r="612" spans="1:14" ht="30" customHeight="1" x14ac:dyDescent="0.25">
      <c r="A612" s="27" t="s">
        <v>1634</v>
      </c>
      <c r="B612" s="42" t="s">
        <v>1038</v>
      </c>
      <c r="C612" s="27" t="s">
        <v>858</v>
      </c>
      <c r="D612" s="28">
        <v>3400626447</v>
      </c>
      <c r="E612" s="27"/>
      <c r="F612" s="27" t="s">
        <v>381</v>
      </c>
      <c r="G612" s="29">
        <v>19479</v>
      </c>
      <c r="H612" s="95" t="s">
        <v>1855</v>
      </c>
      <c r="I612" s="27"/>
      <c r="J612" s="52" t="s">
        <v>1112</v>
      </c>
      <c r="K612" s="51">
        <f>IF(Table1[[#This Row],[Preferenza telefono]]="Casa",Table1[[#This Row],[Telefono casa]],IF(Table1[[#This Row],[Preferenza telefono]]="Primario",Table1[[#This Row],[Telefono primario]],"-"))</f>
        <v>3400626447</v>
      </c>
      <c r="L612" s="37" t="s">
        <v>1856</v>
      </c>
      <c r="M612" s="37" t="s">
        <v>1856</v>
      </c>
      <c r="N612" s="35" t="b">
        <f>IF(_xlfn.UNICODE( Table1[[#This Row],[Check]])=9745,TRUE,FALSE)</f>
        <v>0</v>
      </c>
    </row>
    <row r="613" spans="1:14" ht="30" customHeight="1" x14ac:dyDescent="0.25">
      <c r="A613" s="27" t="s">
        <v>1634</v>
      </c>
      <c r="B613" s="42" t="s">
        <v>1053</v>
      </c>
      <c r="C613" s="27" t="s">
        <v>1054</v>
      </c>
      <c r="D613" s="28"/>
      <c r="E613" s="27"/>
      <c r="F613" s="27"/>
      <c r="G613" s="29">
        <v>20711</v>
      </c>
      <c r="H613" s="95" t="s">
        <v>1854</v>
      </c>
      <c r="I613" s="27"/>
      <c r="J613" s="52" t="s">
        <v>1112</v>
      </c>
      <c r="K613" s="51">
        <f>IF(Table1[[#This Row],[Preferenza telefono]]="Casa",Table1[[#This Row],[Telefono casa]],IF(Table1[[#This Row],[Preferenza telefono]]="Primario",Table1[[#This Row],[Telefono primario]],"-"))</f>
        <v>0</v>
      </c>
      <c r="L613" s="37" t="s">
        <v>1856</v>
      </c>
      <c r="M613" s="37" t="s">
        <v>1856</v>
      </c>
      <c r="N613" s="35" t="b">
        <f>IF(_xlfn.UNICODE( Table1[[#This Row],[Check]])=9745,TRUE,FALSE)</f>
        <v>0</v>
      </c>
    </row>
    <row r="614" spans="1:14" ht="30" customHeight="1" x14ac:dyDescent="0.25">
      <c r="A614" s="27" t="s">
        <v>1634</v>
      </c>
      <c r="B614" s="42" t="s">
        <v>199</v>
      </c>
      <c r="C614" s="27" t="s">
        <v>1</v>
      </c>
      <c r="D614" s="28">
        <v>3287956453</v>
      </c>
      <c r="E614" s="27"/>
      <c r="F614" s="27" t="s">
        <v>200</v>
      </c>
      <c r="G614" s="29" t="s">
        <v>113</v>
      </c>
      <c r="H614" s="95" t="s">
        <v>1854</v>
      </c>
      <c r="I614" s="27"/>
      <c r="J614" s="52" t="s">
        <v>1112</v>
      </c>
      <c r="K614" s="51">
        <f>IF(Table1[[#This Row],[Preferenza telefono]]="Casa",Table1[[#This Row],[Telefono casa]],IF(Table1[[#This Row],[Preferenza telefono]]="Primario",Table1[[#This Row],[Telefono primario]],"-"))</f>
        <v>3287956453</v>
      </c>
      <c r="L614" s="37" t="s">
        <v>1856</v>
      </c>
      <c r="M614" s="37" t="s">
        <v>1856</v>
      </c>
      <c r="N614" s="35" t="b">
        <f>IF(_xlfn.UNICODE( Table1[[#This Row],[Check]])=9745,TRUE,FALSE)</f>
        <v>0</v>
      </c>
    </row>
    <row r="615" spans="1:14" ht="30" customHeight="1" x14ac:dyDescent="0.25">
      <c r="A615" s="27" t="s">
        <v>1634</v>
      </c>
      <c r="B615" s="42" t="s">
        <v>1057</v>
      </c>
      <c r="C615" s="27" t="s">
        <v>4</v>
      </c>
      <c r="D615" s="28">
        <v>3478950050</v>
      </c>
      <c r="E615" s="27"/>
      <c r="F615" s="27" t="s">
        <v>267</v>
      </c>
      <c r="G615" s="29">
        <v>28819</v>
      </c>
      <c r="H615" s="95" t="s">
        <v>1855</v>
      </c>
      <c r="I615" s="27"/>
      <c r="J615" s="52" t="s">
        <v>1112</v>
      </c>
      <c r="K615" s="51">
        <f>IF(Table1[[#This Row],[Preferenza telefono]]="Casa",Table1[[#This Row],[Telefono casa]],IF(Table1[[#This Row],[Preferenza telefono]]="Primario",Table1[[#This Row],[Telefono primario]],"-"))</f>
        <v>3478950050</v>
      </c>
      <c r="L615" s="37" t="s">
        <v>1856</v>
      </c>
      <c r="M615" s="37" t="s">
        <v>1856</v>
      </c>
      <c r="N615" s="35" t="b">
        <f>IF(_xlfn.UNICODE( Table1[[#This Row],[Check]])=9745,TRUE,FALSE)</f>
        <v>0</v>
      </c>
    </row>
    <row r="616" spans="1:14" ht="30" customHeight="1" x14ac:dyDescent="0.25">
      <c r="A616" s="27" t="s">
        <v>1634</v>
      </c>
      <c r="B616" s="42" t="s">
        <v>229</v>
      </c>
      <c r="C616" s="27" t="s">
        <v>159</v>
      </c>
      <c r="D616" s="28">
        <v>3668154025</v>
      </c>
      <c r="E616" s="27"/>
      <c r="F616" s="27" t="s">
        <v>299</v>
      </c>
      <c r="G616" s="29">
        <v>27516</v>
      </c>
      <c r="H616" s="95" t="s">
        <v>1854</v>
      </c>
      <c r="I616" s="27"/>
      <c r="J616" s="52" t="s">
        <v>1112</v>
      </c>
      <c r="K616" s="51">
        <f>IF(Table1[[#This Row],[Preferenza telefono]]="Casa",Table1[[#This Row],[Telefono casa]],IF(Table1[[#This Row],[Preferenza telefono]]="Primario",Table1[[#This Row],[Telefono primario]],"-"))</f>
        <v>3668154025</v>
      </c>
      <c r="L616" s="37" t="s">
        <v>1856</v>
      </c>
      <c r="M616" s="37" t="s">
        <v>1856</v>
      </c>
      <c r="N616" s="35" t="b">
        <f>IF(_xlfn.UNICODE( Table1[[#This Row],[Check]])=9745,TRUE,FALSE)</f>
        <v>0</v>
      </c>
    </row>
    <row r="617" spans="1:14" ht="30" customHeight="1" x14ac:dyDescent="0.25">
      <c r="A617" s="27" t="s">
        <v>1634</v>
      </c>
      <c r="B617" s="42" t="s">
        <v>1055</v>
      </c>
      <c r="C617" s="27" t="s">
        <v>153</v>
      </c>
      <c r="D617" s="28">
        <v>3313264442</v>
      </c>
      <c r="E617" s="27"/>
      <c r="F617" s="27" t="s">
        <v>1056</v>
      </c>
      <c r="G617" s="29">
        <v>19519</v>
      </c>
      <c r="H617" s="95" t="s">
        <v>1854</v>
      </c>
      <c r="I617" s="27"/>
      <c r="J617" s="52" t="s">
        <v>1112</v>
      </c>
      <c r="K617" s="51">
        <f>IF(Table1[[#This Row],[Preferenza telefono]]="Casa",Table1[[#This Row],[Telefono casa]],IF(Table1[[#This Row],[Preferenza telefono]]="Primario",Table1[[#This Row],[Telefono primario]],"-"))</f>
        <v>3313264442</v>
      </c>
      <c r="L617" s="37" t="s">
        <v>1856</v>
      </c>
      <c r="M617" s="37" t="s">
        <v>1856</v>
      </c>
      <c r="N617" s="35" t="b">
        <f>IF(_xlfn.UNICODE( Table1[[#This Row],[Check]])=9745,TRUE,FALSE)</f>
        <v>0</v>
      </c>
    </row>
    <row r="618" spans="1:14" ht="30" customHeight="1" x14ac:dyDescent="0.25">
      <c r="A618" s="27" t="s">
        <v>1634</v>
      </c>
      <c r="B618" s="42" t="s">
        <v>1064</v>
      </c>
      <c r="C618" s="27" t="s">
        <v>1065</v>
      </c>
      <c r="D618" s="28">
        <v>3294190283</v>
      </c>
      <c r="E618" s="27"/>
      <c r="F618" s="27" t="s">
        <v>1066</v>
      </c>
      <c r="G618" s="29">
        <v>26762</v>
      </c>
      <c r="H618" s="95" t="s">
        <v>1855</v>
      </c>
      <c r="I618" s="27"/>
      <c r="J618" s="52" t="s">
        <v>1112</v>
      </c>
      <c r="K618" s="51">
        <f>IF(Table1[[#This Row],[Preferenza telefono]]="Casa",Table1[[#This Row],[Telefono casa]],IF(Table1[[#This Row],[Preferenza telefono]]="Primario",Table1[[#This Row],[Telefono primario]],"-"))</f>
        <v>3294190283</v>
      </c>
      <c r="L618" s="37" t="s">
        <v>1856</v>
      </c>
      <c r="M618" s="37" t="s">
        <v>1856</v>
      </c>
      <c r="N618" s="35" t="b">
        <f>IF(_xlfn.UNICODE( Table1[[#This Row],[Check]])=9745,TRUE,FALSE)</f>
        <v>0</v>
      </c>
    </row>
    <row r="619" spans="1:14" ht="30" customHeight="1" x14ac:dyDescent="0.25">
      <c r="A619" s="27" t="s">
        <v>1634</v>
      </c>
      <c r="B619" s="42" t="s">
        <v>1060</v>
      </c>
      <c r="C619" s="27"/>
      <c r="D619" s="28">
        <v>3466839841</v>
      </c>
      <c r="E619" s="27"/>
      <c r="F619" s="27" t="s">
        <v>1061</v>
      </c>
      <c r="G619" s="29"/>
      <c r="H619" s="95" t="s">
        <v>1854</v>
      </c>
      <c r="I619" s="27"/>
      <c r="J619" s="52" t="s">
        <v>1112</v>
      </c>
      <c r="K619" s="51">
        <f>IF(Table1[[#This Row],[Preferenza telefono]]="Casa",Table1[[#This Row],[Telefono casa]],IF(Table1[[#This Row],[Preferenza telefono]]="Primario",Table1[[#This Row],[Telefono primario]],"-"))</f>
        <v>3466839841</v>
      </c>
      <c r="L619" s="37" t="s">
        <v>1856</v>
      </c>
      <c r="M619" s="37" t="s">
        <v>1856</v>
      </c>
      <c r="N619" s="35" t="b">
        <f>IF(_xlfn.UNICODE( Table1[[#This Row],[Check]])=9745,TRUE,FALSE)</f>
        <v>0</v>
      </c>
    </row>
    <row r="620" spans="1:14" ht="30" customHeight="1" x14ac:dyDescent="0.25">
      <c r="A620" s="27" t="s">
        <v>1634</v>
      </c>
      <c r="B620" s="42" t="s">
        <v>1058</v>
      </c>
      <c r="C620" s="27" t="s">
        <v>1</v>
      </c>
      <c r="D620" s="28">
        <v>3664097684</v>
      </c>
      <c r="E620" s="27"/>
      <c r="F620" s="27" t="s">
        <v>1059</v>
      </c>
      <c r="G620" s="29">
        <v>30411</v>
      </c>
      <c r="H620" s="95" t="s">
        <v>1854</v>
      </c>
      <c r="I620" s="27"/>
      <c r="J620" s="52" t="s">
        <v>1112</v>
      </c>
      <c r="K620" s="51">
        <f>IF(Table1[[#This Row],[Preferenza telefono]]="Casa",Table1[[#This Row],[Telefono casa]],IF(Table1[[#This Row],[Preferenza telefono]]="Primario",Table1[[#This Row],[Telefono primario]],"-"))</f>
        <v>3664097684</v>
      </c>
      <c r="L620" s="37" t="s">
        <v>1856</v>
      </c>
      <c r="M620" s="37" t="s">
        <v>1856</v>
      </c>
      <c r="N620" s="35" t="b">
        <f>IF(_xlfn.UNICODE( Table1[[#This Row],[Check]])=9745,TRUE,FALSE)</f>
        <v>0</v>
      </c>
    </row>
    <row r="621" spans="1:14" ht="30" customHeight="1" x14ac:dyDescent="0.25">
      <c r="A621" s="27" t="s">
        <v>1634</v>
      </c>
      <c r="B621" s="42" t="s">
        <v>1067</v>
      </c>
      <c r="C621" s="27" t="s">
        <v>1</v>
      </c>
      <c r="D621" s="28">
        <v>3396302390</v>
      </c>
      <c r="E621" s="27"/>
      <c r="F621" s="27" t="s">
        <v>587</v>
      </c>
      <c r="G621" s="29">
        <v>20617</v>
      </c>
      <c r="H621" s="95" t="s">
        <v>1855</v>
      </c>
      <c r="I621" s="27"/>
      <c r="J621" s="52" t="s">
        <v>1112</v>
      </c>
      <c r="K621" s="51">
        <f>IF(Table1[[#This Row],[Preferenza telefono]]="Casa",Table1[[#This Row],[Telefono casa]],IF(Table1[[#This Row],[Preferenza telefono]]="Primario",Table1[[#This Row],[Telefono primario]],"-"))</f>
        <v>3396302390</v>
      </c>
      <c r="L621" s="37" t="s">
        <v>1856</v>
      </c>
      <c r="M621" s="37" t="s">
        <v>1856</v>
      </c>
      <c r="N621" s="35" t="b">
        <f>IF(_xlfn.UNICODE( Table1[[#This Row],[Check]])=9745,TRUE,FALSE)</f>
        <v>0</v>
      </c>
    </row>
    <row r="622" spans="1:14" ht="30" customHeight="1" x14ac:dyDescent="0.25">
      <c r="A622" s="27" t="s">
        <v>1634</v>
      </c>
      <c r="B622" s="42" t="s">
        <v>1068</v>
      </c>
      <c r="C622" s="27" t="s">
        <v>1</v>
      </c>
      <c r="D622" s="28" t="s">
        <v>113</v>
      </c>
      <c r="E622" s="27"/>
      <c r="F622" s="27" t="s">
        <v>1069</v>
      </c>
      <c r="G622" s="29">
        <v>16648</v>
      </c>
      <c r="H622" s="95" t="s">
        <v>1854</v>
      </c>
      <c r="I622" s="27"/>
      <c r="J622" s="52" t="s">
        <v>1112</v>
      </c>
      <c r="K622" s="51" t="str">
        <f>IF(Table1[[#This Row],[Preferenza telefono]]="Casa",Table1[[#This Row],[Telefono casa]],IF(Table1[[#This Row],[Preferenza telefono]]="Primario",Table1[[#This Row],[Telefono primario]],"-"))</f>
        <v>-</v>
      </c>
      <c r="L622" s="37" t="s">
        <v>1856</v>
      </c>
      <c r="M622" s="37" t="s">
        <v>1856</v>
      </c>
      <c r="N622" s="35" t="b">
        <f>IF(_xlfn.UNICODE( Table1[[#This Row],[Check]])=9745,TRUE,FALSE)</f>
        <v>0</v>
      </c>
    </row>
    <row r="623" spans="1:14" ht="30" customHeight="1" x14ac:dyDescent="0.25">
      <c r="A623" s="27" t="s">
        <v>1634</v>
      </c>
      <c r="B623" s="42" t="s">
        <v>1062</v>
      </c>
      <c r="C623" s="27" t="s">
        <v>90</v>
      </c>
      <c r="D623" s="28">
        <v>3663216564</v>
      </c>
      <c r="E623" s="27"/>
      <c r="F623" s="27" t="s">
        <v>1063</v>
      </c>
      <c r="G623" s="29">
        <v>23498</v>
      </c>
      <c r="H623" s="95" t="s">
        <v>1854</v>
      </c>
      <c r="I623" s="27"/>
      <c r="J623" s="52" t="s">
        <v>1112</v>
      </c>
      <c r="K623" s="51">
        <f>IF(Table1[[#This Row],[Preferenza telefono]]="Casa",Table1[[#This Row],[Telefono casa]],IF(Table1[[#This Row],[Preferenza telefono]]="Primario",Table1[[#This Row],[Telefono primario]],"-"))</f>
        <v>3663216564</v>
      </c>
      <c r="L623" s="37" t="s">
        <v>1856</v>
      </c>
      <c r="M623" s="37" t="s">
        <v>1856</v>
      </c>
      <c r="N623" s="35" t="b">
        <f>IF(_xlfn.UNICODE( Table1[[#This Row],[Check]])=9745,TRUE,FALSE)</f>
        <v>0</v>
      </c>
    </row>
    <row r="624" spans="1:14" ht="30" customHeight="1" x14ac:dyDescent="0.25">
      <c r="A624" s="27" t="s">
        <v>1634</v>
      </c>
      <c r="B624" s="42" t="s">
        <v>1070</v>
      </c>
      <c r="C624" s="27" t="s">
        <v>1</v>
      </c>
      <c r="D624" s="28">
        <v>3391278396</v>
      </c>
      <c r="E624" s="27"/>
      <c r="F624" s="27" t="s">
        <v>1071</v>
      </c>
      <c r="G624" s="29">
        <v>23352</v>
      </c>
      <c r="H624" s="95" t="s">
        <v>1855</v>
      </c>
      <c r="I624" s="27"/>
      <c r="J624" s="52" t="s">
        <v>1112</v>
      </c>
      <c r="K624" s="51">
        <f>IF(Table1[[#This Row],[Preferenza telefono]]="Casa",Table1[[#This Row],[Telefono casa]],IF(Table1[[#This Row],[Preferenza telefono]]="Primario",Table1[[#This Row],[Telefono primario]],"-"))</f>
        <v>3391278396</v>
      </c>
      <c r="L624" s="37" t="s">
        <v>1856</v>
      </c>
      <c r="M624" s="37" t="s">
        <v>1856</v>
      </c>
      <c r="N624" s="35" t="b">
        <f>IF(_xlfn.UNICODE( Table1[[#This Row],[Check]])=9745,TRUE,FALSE)</f>
        <v>0</v>
      </c>
    </row>
    <row r="625" spans="1:14" ht="30" customHeight="1" x14ac:dyDescent="0.25">
      <c r="A625" s="27" t="s">
        <v>1634</v>
      </c>
      <c r="B625" s="42" t="s">
        <v>1072</v>
      </c>
      <c r="C625" s="27" t="s">
        <v>1</v>
      </c>
      <c r="D625" s="28">
        <v>3338482677</v>
      </c>
      <c r="E625" s="27"/>
      <c r="F625" s="27" t="s">
        <v>1073</v>
      </c>
      <c r="G625" s="29">
        <v>20369</v>
      </c>
      <c r="H625" s="95" t="s">
        <v>1854</v>
      </c>
      <c r="I625" s="27"/>
      <c r="J625" s="52" t="s">
        <v>1112</v>
      </c>
      <c r="K625" s="51">
        <f>IF(Table1[[#This Row],[Preferenza telefono]]="Casa",Table1[[#This Row],[Telefono casa]],IF(Table1[[#This Row],[Preferenza telefono]]="Primario",Table1[[#This Row],[Telefono primario]],"-"))</f>
        <v>3338482677</v>
      </c>
      <c r="L625" s="37" t="s">
        <v>1856</v>
      </c>
      <c r="M625" s="37" t="s">
        <v>1856</v>
      </c>
      <c r="N625" s="35" t="b">
        <f>IF(_xlfn.UNICODE( Table1[[#This Row],[Check]])=9745,TRUE,FALSE)</f>
        <v>0</v>
      </c>
    </row>
    <row r="626" spans="1:14" ht="30" customHeight="1" x14ac:dyDescent="0.25">
      <c r="A626" s="27" t="s">
        <v>1634</v>
      </c>
      <c r="B626" s="42" t="s">
        <v>1074</v>
      </c>
      <c r="C626" s="27" t="s">
        <v>141</v>
      </c>
      <c r="D626" s="28">
        <v>3494926388</v>
      </c>
      <c r="E626" s="27"/>
      <c r="F626" s="27" t="s">
        <v>1075</v>
      </c>
      <c r="G626" s="29">
        <v>24031</v>
      </c>
      <c r="H626" s="95" t="s">
        <v>1854</v>
      </c>
      <c r="I626" s="27"/>
      <c r="J626" s="52" t="s">
        <v>1112</v>
      </c>
      <c r="K626" s="51">
        <f>IF(Table1[[#This Row],[Preferenza telefono]]="Casa",Table1[[#This Row],[Telefono casa]],IF(Table1[[#This Row],[Preferenza telefono]]="Primario",Table1[[#This Row],[Telefono primario]],"-"))</f>
        <v>3494926388</v>
      </c>
      <c r="L626" s="37" t="s">
        <v>1856</v>
      </c>
      <c r="M626" s="37" t="s">
        <v>1856</v>
      </c>
      <c r="N626" s="35" t="b">
        <f>IF(_xlfn.UNICODE( Table1[[#This Row],[Check]])=9745,TRUE,FALSE)</f>
        <v>0</v>
      </c>
    </row>
    <row r="627" spans="1:14" ht="30" customHeight="1" x14ac:dyDescent="0.25">
      <c r="A627" s="27" t="s">
        <v>1634</v>
      </c>
      <c r="B627" s="42" t="s">
        <v>201</v>
      </c>
      <c r="C627" s="27" t="s">
        <v>202</v>
      </c>
      <c r="D627" s="28">
        <v>3349108740</v>
      </c>
      <c r="E627" s="27"/>
      <c r="F627" s="27" t="s">
        <v>203</v>
      </c>
      <c r="G627" s="29">
        <v>27912</v>
      </c>
      <c r="H627" s="95" t="s">
        <v>1855</v>
      </c>
      <c r="I627" s="27"/>
      <c r="J627" s="52" t="s">
        <v>1112</v>
      </c>
      <c r="K627" s="51">
        <f>IF(Table1[[#This Row],[Preferenza telefono]]="Casa",Table1[[#This Row],[Telefono casa]],IF(Table1[[#This Row],[Preferenza telefono]]="Primario",Table1[[#This Row],[Telefono primario]],"-"))</f>
        <v>3349108740</v>
      </c>
      <c r="L627" s="37" t="s">
        <v>1856</v>
      </c>
      <c r="M627" s="37" t="s">
        <v>1856</v>
      </c>
      <c r="N627" s="35" t="b">
        <f>IF(_xlfn.UNICODE( Table1[[#This Row],[Check]])=9745,TRUE,FALSE)</f>
        <v>0</v>
      </c>
    </row>
    <row r="628" spans="1:14" ht="30" customHeight="1" x14ac:dyDescent="0.25">
      <c r="A628" s="27" t="s">
        <v>1634</v>
      </c>
      <c r="B628" s="42" t="s">
        <v>1076</v>
      </c>
      <c r="C628" s="27" t="s">
        <v>291</v>
      </c>
      <c r="D628" s="28">
        <v>3207543746</v>
      </c>
      <c r="E628" s="27"/>
      <c r="F628" s="27"/>
      <c r="G628" s="29">
        <v>27158</v>
      </c>
      <c r="H628" s="95" t="s">
        <v>1854</v>
      </c>
      <c r="I628" s="27"/>
      <c r="J628" s="52" t="s">
        <v>1112</v>
      </c>
      <c r="K628" s="51">
        <f>IF(Table1[[#This Row],[Preferenza telefono]]="Casa",Table1[[#This Row],[Telefono casa]],IF(Table1[[#This Row],[Preferenza telefono]]="Primario",Table1[[#This Row],[Telefono primario]],"-"))</f>
        <v>3207543746</v>
      </c>
      <c r="L628" s="37" t="s">
        <v>1856</v>
      </c>
      <c r="M628" s="37" t="s">
        <v>1856</v>
      </c>
      <c r="N628" s="35" t="b">
        <f>IF(_xlfn.UNICODE( Table1[[#This Row],[Check]])=9745,TRUE,FALSE)</f>
        <v>0</v>
      </c>
    </row>
    <row r="629" spans="1:14" ht="30" customHeight="1" x14ac:dyDescent="0.25">
      <c r="A629" s="27" t="s">
        <v>1634</v>
      </c>
      <c r="B629" s="42" t="s">
        <v>1077</v>
      </c>
      <c r="C629" s="27"/>
      <c r="D629" s="28"/>
      <c r="E629" s="27"/>
      <c r="F629" s="27"/>
      <c r="G629" s="29"/>
      <c r="H629" s="95" t="s">
        <v>1854</v>
      </c>
      <c r="I629" s="27"/>
      <c r="J629" s="52" t="s">
        <v>1112</v>
      </c>
      <c r="K629" s="51">
        <f>IF(Table1[[#This Row],[Preferenza telefono]]="Casa",Table1[[#This Row],[Telefono casa]],IF(Table1[[#This Row],[Preferenza telefono]]="Primario",Table1[[#This Row],[Telefono primario]],"-"))</f>
        <v>0</v>
      </c>
      <c r="L629" s="37" t="s">
        <v>1856</v>
      </c>
      <c r="M629" s="37" t="s">
        <v>1856</v>
      </c>
      <c r="N629" s="35" t="b">
        <f>IF(_xlfn.UNICODE( Table1[[#This Row],[Check]])=9745,TRUE,FALSE)</f>
        <v>0</v>
      </c>
    </row>
    <row r="630" spans="1:14" ht="30" customHeight="1" x14ac:dyDescent="0.25">
      <c r="A630" s="27" t="s">
        <v>1634</v>
      </c>
      <c r="B630" s="42" t="s">
        <v>204</v>
      </c>
      <c r="C630" s="27" t="s">
        <v>1</v>
      </c>
      <c r="D630" s="28">
        <v>3493192168</v>
      </c>
      <c r="E630" s="27"/>
      <c r="F630" s="27" t="s">
        <v>205</v>
      </c>
      <c r="G630" s="29">
        <v>23334</v>
      </c>
      <c r="H630" s="95" t="s">
        <v>1855</v>
      </c>
      <c r="I630" s="27"/>
      <c r="J630" s="52" t="s">
        <v>1112</v>
      </c>
      <c r="K630" s="51">
        <f>IF(Table1[[#This Row],[Preferenza telefono]]="Casa",Table1[[#This Row],[Telefono casa]],IF(Table1[[#This Row],[Preferenza telefono]]="Primario",Table1[[#This Row],[Telefono primario]],"-"))</f>
        <v>3493192168</v>
      </c>
      <c r="L630" s="37" t="s">
        <v>1856</v>
      </c>
      <c r="M630" s="37" t="s">
        <v>1856</v>
      </c>
      <c r="N630" s="35" t="b">
        <f>IF(_xlfn.UNICODE( Table1[[#This Row],[Check]])=9745,TRUE,FALSE)</f>
        <v>0</v>
      </c>
    </row>
    <row r="631" spans="1:14" ht="30" customHeight="1" x14ac:dyDescent="0.25">
      <c r="A631" s="27" t="s">
        <v>1634</v>
      </c>
      <c r="B631" s="42" t="s">
        <v>1081</v>
      </c>
      <c r="C631" s="27" t="s">
        <v>1079</v>
      </c>
      <c r="D631" s="28">
        <v>3664293149</v>
      </c>
      <c r="E631" s="27"/>
      <c r="F631" s="27" t="s">
        <v>139</v>
      </c>
      <c r="G631" s="29"/>
      <c r="H631" s="95" t="s">
        <v>1854</v>
      </c>
      <c r="I631" s="27"/>
      <c r="J631" s="52" t="s">
        <v>1112</v>
      </c>
      <c r="K631" s="51">
        <f>IF(Table1[[#This Row],[Preferenza telefono]]="Casa",Table1[[#This Row],[Telefono casa]],IF(Table1[[#This Row],[Preferenza telefono]]="Primario",Table1[[#This Row],[Telefono primario]],"-"))</f>
        <v>3664293149</v>
      </c>
      <c r="L631" s="37" t="s">
        <v>1856</v>
      </c>
      <c r="M631" s="37" t="s">
        <v>1856</v>
      </c>
      <c r="N631" s="35" t="b">
        <f>IF(_xlfn.UNICODE( Table1[[#This Row],[Check]])=9745,TRUE,FALSE)</f>
        <v>0</v>
      </c>
    </row>
    <row r="632" spans="1:14" ht="30" customHeight="1" x14ac:dyDescent="0.25">
      <c r="A632" s="27" t="s">
        <v>1634</v>
      </c>
      <c r="B632" s="42" t="s">
        <v>1078</v>
      </c>
      <c r="C632" s="27" t="s">
        <v>1079</v>
      </c>
      <c r="D632" s="28">
        <v>3664293149</v>
      </c>
      <c r="E632" s="27"/>
      <c r="F632" s="27" t="s">
        <v>1080</v>
      </c>
      <c r="G632" s="29" t="s">
        <v>113</v>
      </c>
      <c r="H632" s="95" t="s">
        <v>1854</v>
      </c>
      <c r="I632" s="27"/>
      <c r="J632" s="52" t="s">
        <v>1112</v>
      </c>
      <c r="K632" s="51">
        <f>IF(Table1[[#This Row],[Preferenza telefono]]="Casa",Table1[[#This Row],[Telefono casa]],IF(Table1[[#This Row],[Preferenza telefono]]="Primario",Table1[[#This Row],[Telefono primario]],"-"))</f>
        <v>3664293149</v>
      </c>
      <c r="L632" s="37" t="s">
        <v>1856</v>
      </c>
      <c r="M632" s="37" t="s">
        <v>1856</v>
      </c>
      <c r="N632" s="35" t="b">
        <f>IF(_xlfn.UNICODE( Table1[[#This Row],[Check]])=9745,TRUE,FALSE)</f>
        <v>0</v>
      </c>
    </row>
    <row r="633" spans="1:14" ht="30" customHeight="1" x14ac:dyDescent="0.25">
      <c r="A633" s="27" t="s">
        <v>1634</v>
      </c>
      <c r="B633" s="42" t="s">
        <v>206</v>
      </c>
      <c r="C633" s="27" t="s">
        <v>1</v>
      </c>
      <c r="D633" s="28">
        <v>3393881639</v>
      </c>
      <c r="E633" s="27"/>
      <c r="F633" s="27" t="s">
        <v>207</v>
      </c>
      <c r="G633" s="29">
        <v>24006</v>
      </c>
      <c r="H633" s="95" t="s">
        <v>1855</v>
      </c>
      <c r="I633" s="27"/>
      <c r="J633" s="52" t="s">
        <v>1112</v>
      </c>
      <c r="K633" s="51">
        <f>IF(Table1[[#This Row],[Preferenza telefono]]="Casa",Table1[[#This Row],[Telefono casa]],IF(Table1[[#This Row],[Preferenza telefono]]="Primario",Table1[[#This Row],[Telefono primario]],"-"))</f>
        <v>3393881639</v>
      </c>
      <c r="L633" s="37" t="s">
        <v>1856</v>
      </c>
      <c r="M633" s="37" t="s">
        <v>1856</v>
      </c>
      <c r="N633" s="35" t="b">
        <f>IF(_xlfn.UNICODE( Table1[[#This Row],[Check]])=9745,TRUE,FALSE)</f>
        <v>0</v>
      </c>
    </row>
    <row r="634" spans="1:14" ht="30" customHeight="1" x14ac:dyDescent="0.25">
      <c r="A634" s="27" t="s">
        <v>1634</v>
      </c>
      <c r="B634" s="42" t="s">
        <v>1082</v>
      </c>
      <c r="C634" s="27" t="s">
        <v>1</v>
      </c>
      <c r="D634" s="28">
        <v>3933881639</v>
      </c>
      <c r="E634" s="27"/>
      <c r="F634" s="27" t="s">
        <v>207</v>
      </c>
      <c r="G634" s="29">
        <v>24006</v>
      </c>
      <c r="H634" s="95" t="s">
        <v>1854</v>
      </c>
      <c r="I634" s="27"/>
      <c r="J634" s="52" t="s">
        <v>1112</v>
      </c>
      <c r="K634" s="51">
        <f>IF(Table1[[#This Row],[Preferenza telefono]]="Casa",Table1[[#This Row],[Telefono casa]],IF(Table1[[#This Row],[Preferenza telefono]]="Primario",Table1[[#This Row],[Telefono primario]],"-"))</f>
        <v>3933881639</v>
      </c>
      <c r="L634" s="37" t="s">
        <v>1856</v>
      </c>
      <c r="M634" s="37" t="s">
        <v>1856</v>
      </c>
      <c r="N634" s="35" t="b">
        <f>IF(_xlfn.UNICODE( Table1[[#This Row],[Check]])=9745,TRUE,FALSE)</f>
        <v>0</v>
      </c>
    </row>
    <row r="635" spans="1:14" ht="30" customHeight="1" x14ac:dyDescent="0.25">
      <c r="A635" s="27" t="s">
        <v>1634</v>
      </c>
      <c r="B635" s="42" t="s">
        <v>1083</v>
      </c>
      <c r="C635" s="27"/>
      <c r="D635" s="28"/>
      <c r="E635" s="27"/>
      <c r="F635" s="27"/>
      <c r="G635" s="29"/>
      <c r="H635" s="95" t="s">
        <v>1854</v>
      </c>
      <c r="I635" s="27"/>
      <c r="J635" s="52" t="s">
        <v>1112</v>
      </c>
      <c r="K635" s="51">
        <f>IF(Table1[[#This Row],[Preferenza telefono]]="Casa",Table1[[#This Row],[Telefono casa]],IF(Table1[[#This Row],[Preferenza telefono]]="Primario",Table1[[#This Row],[Telefono primario]],"-"))</f>
        <v>0</v>
      </c>
      <c r="L635" s="37" t="s">
        <v>1856</v>
      </c>
      <c r="M635" s="37" t="s">
        <v>1856</v>
      </c>
      <c r="N635" s="35" t="b">
        <f>IF(_xlfn.UNICODE( Table1[[#This Row],[Check]])=9745,TRUE,FALSE)</f>
        <v>0</v>
      </c>
    </row>
    <row r="636" spans="1:14" ht="30" customHeight="1" x14ac:dyDescent="0.25">
      <c r="A636" s="27" t="s">
        <v>1634</v>
      </c>
      <c r="B636" s="42" t="s">
        <v>1084</v>
      </c>
      <c r="C636" s="27" t="s">
        <v>109</v>
      </c>
      <c r="D636" s="28">
        <v>3336902494</v>
      </c>
      <c r="E636" s="27"/>
      <c r="F636" s="27" t="s">
        <v>746</v>
      </c>
      <c r="G636" s="29">
        <v>24666</v>
      </c>
      <c r="H636" s="95" t="s">
        <v>1855</v>
      </c>
      <c r="I636" s="27"/>
      <c r="J636" s="52" t="s">
        <v>1112</v>
      </c>
      <c r="K636" s="51">
        <f>IF(Table1[[#This Row],[Preferenza telefono]]="Casa",Table1[[#This Row],[Telefono casa]],IF(Table1[[#This Row],[Preferenza telefono]]="Primario",Table1[[#This Row],[Telefono primario]],"-"))</f>
        <v>3336902494</v>
      </c>
      <c r="L636" s="37" t="s">
        <v>1856</v>
      </c>
      <c r="M636" s="37" t="s">
        <v>1856</v>
      </c>
      <c r="N636" s="35" t="b">
        <f>IF(_xlfn.UNICODE( Table1[[#This Row],[Check]])=9745,TRUE,FALSE)</f>
        <v>0</v>
      </c>
    </row>
    <row r="637" spans="1:14" ht="30" customHeight="1" x14ac:dyDescent="0.25">
      <c r="A637" s="27" t="s">
        <v>1634</v>
      </c>
      <c r="B637" s="42" t="s">
        <v>1085</v>
      </c>
      <c r="C637" s="27" t="s">
        <v>1</v>
      </c>
      <c r="D637" s="28">
        <v>3463249908</v>
      </c>
      <c r="E637" s="27"/>
      <c r="F637" s="27" t="s">
        <v>1086</v>
      </c>
      <c r="G637" s="29">
        <v>10311</v>
      </c>
      <c r="H637" s="95" t="s">
        <v>1854</v>
      </c>
      <c r="I637" s="27"/>
      <c r="J637" s="52" t="s">
        <v>1112</v>
      </c>
      <c r="K637" s="51">
        <f>IF(Table1[[#This Row],[Preferenza telefono]]="Casa",Table1[[#This Row],[Telefono casa]],IF(Table1[[#This Row],[Preferenza telefono]]="Primario",Table1[[#This Row],[Telefono primario]],"-"))</f>
        <v>3463249908</v>
      </c>
      <c r="L637" s="37" t="s">
        <v>1856</v>
      </c>
      <c r="M637" s="37" t="s">
        <v>1856</v>
      </c>
      <c r="N637" s="35" t="b">
        <f>IF(_xlfn.UNICODE( Table1[[#This Row],[Check]])=9745,TRUE,FALSE)</f>
        <v>0</v>
      </c>
    </row>
    <row r="638" spans="1:14" ht="30" customHeight="1" x14ac:dyDescent="0.25">
      <c r="A638" s="27" t="s">
        <v>1634</v>
      </c>
      <c r="B638" s="42" t="s">
        <v>1087</v>
      </c>
      <c r="C638" s="27" t="s">
        <v>291</v>
      </c>
      <c r="D638" s="28">
        <v>3688047748</v>
      </c>
      <c r="E638" s="27"/>
      <c r="F638" s="27" t="s">
        <v>1088</v>
      </c>
      <c r="G638" s="29" t="s">
        <v>113</v>
      </c>
      <c r="H638" s="95" t="s">
        <v>1854</v>
      </c>
      <c r="I638" s="27"/>
      <c r="J638" s="52" t="s">
        <v>1112</v>
      </c>
      <c r="K638" s="51">
        <f>IF(Table1[[#This Row],[Preferenza telefono]]="Casa",Table1[[#This Row],[Telefono casa]],IF(Table1[[#This Row],[Preferenza telefono]]="Primario",Table1[[#This Row],[Telefono primario]],"-"))</f>
        <v>3688047748</v>
      </c>
      <c r="L638" s="37" t="s">
        <v>1856</v>
      </c>
      <c r="M638" s="37" t="s">
        <v>1856</v>
      </c>
      <c r="N638" s="35" t="b">
        <f>IF(_xlfn.UNICODE( Table1[[#This Row],[Check]])=9745,TRUE,FALSE)</f>
        <v>0</v>
      </c>
    </row>
    <row r="639" spans="1:14" ht="30" customHeight="1" x14ac:dyDescent="0.25">
      <c r="A639" s="27" t="s">
        <v>1634</v>
      </c>
      <c r="B639" s="42" t="s">
        <v>1089</v>
      </c>
      <c r="C639" s="27" t="s">
        <v>193</v>
      </c>
      <c r="D639" s="28">
        <v>3356947192</v>
      </c>
      <c r="E639" s="27"/>
      <c r="F639" s="27" t="s">
        <v>118</v>
      </c>
      <c r="G639" s="29">
        <v>24368</v>
      </c>
      <c r="H639" s="95" t="s">
        <v>1855</v>
      </c>
      <c r="I639" s="27"/>
      <c r="J639" s="52" t="s">
        <v>1112</v>
      </c>
      <c r="K639" s="51">
        <f>IF(Table1[[#This Row],[Preferenza telefono]]="Casa",Table1[[#This Row],[Telefono casa]],IF(Table1[[#This Row],[Preferenza telefono]]="Primario",Table1[[#This Row],[Telefono primario]],"-"))</f>
        <v>3356947192</v>
      </c>
      <c r="L639" s="37" t="s">
        <v>1856</v>
      </c>
      <c r="M639" s="37" t="s">
        <v>1856</v>
      </c>
      <c r="N639" s="35" t="b">
        <f>IF(_xlfn.UNICODE( Table1[[#This Row],[Check]])=9745,TRUE,FALSE)</f>
        <v>0</v>
      </c>
    </row>
    <row r="640" spans="1:14" ht="30" customHeight="1" x14ac:dyDescent="0.25">
      <c r="A640" s="27" t="s">
        <v>1634</v>
      </c>
      <c r="B640" s="42" t="s">
        <v>1092</v>
      </c>
      <c r="C640" s="27" t="s">
        <v>117</v>
      </c>
      <c r="D640" s="28"/>
      <c r="E640" s="27"/>
      <c r="F640" s="27"/>
      <c r="G640" s="29"/>
      <c r="H640" s="95" t="s">
        <v>1854</v>
      </c>
      <c r="I640" s="27"/>
      <c r="J640" s="52" t="s">
        <v>1112</v>
      </c>
      <c r="K640" s="51">
        <f>IF(Table1[[#This Row],[Preferenza telefono]]="Casa",Table1[[#This Row],[Telefono casa]],IF(Table1[[#This Row],[Preferenza telefono]]="Primario",Table1[[#This Row],[Telefono primario]],"-"))</f>
        <v>0</v>
      </c>
      <c r="L640" s="37" t="s">
        <v>1856</v>
      </c>
      <c r="M640" s="37" t="s">
        <v>1856</v>
      </c>
      <c r="N640" s="35" t="b">
        <f>IF(_xlfn.UNICODE( Table1[[#This Row],[Check]])=9745,TRUE,FALSE)</f>
        <v>0</v>
      </c>
    </row>
    <row r="641" spans="1:14" ht="30" customHeight="1" x14ac:dyDescent="0.25">
      <c r="A641" s="27" t="s">
        <v>1634</v>
      </c>
      <c r="B641" s="42" t="s">
        <v>1090</v>
      </c>
      <c r="C641" s="27"/>
      <c r="D641" s="28">
        <v>3343530929</v>
      </c>
      <c r="E641" s="27"/>
      <c r="F641" s="27" t="s">
        <v>1091</v>
      </c>
      <c r="G641" s="29"/>
      <c r="H641" s="95" t="s">
        <v>1854</v>
      </c>
      <c r="I641" s="27"/>
      <c r="J641" s="52" t="s">
        <v>1112</v>
      </c>
      <c r="K641" s="51">
        <f>IF(Table1[[#This Row],[Preferenza telefono]]="Casa",Table1[[#This Row],[Telefono casa]],IF(Table1[[#This Row],[Preferenza telefono]]="Primario",Table1[[#This Row],[Telefono primario]],"-"))</f>
        <v>3343530929</v>
      </c>
      <c r="L641" s="37" t="s">
        <v>1856</v>
      </c>
      <c r="M641" s="37" t="s">
        <v>1856</v>
      </c>
      <c r="N641" s="35" t="b">
        <f>IF(_xlfn.UNICODE( Table1[[#This Row],[Check]])=9745,TRUE,FALSE)</f>
        <v>0</v>
      </c>
    </row>
    <row r="642" spans="1:14" ht="30" customHeight="1" x14ac:dyDescent="0.25">
      <c r="A642" s="27" t="s">
        <v>1634</v>
      </c>
      <c r="B642" s="42" t="s">
        <v>209</v>
      </c>
      <c r="C642" s="27" t="s">
        <v>123</v>
      </c>
      <c r="D642" s="28">
        <v>3925413072</v>
      </c>
      <c r="E642" s="27"/>
      <c r="F642" s="27" t="s">
        <v>154</v>
      </c>
      <c r="G642" s="29" t="s">
        <v>113</v>
      </c>
      <c r="H642" s="95" t="s">
        <v>1855</v>
      </c>
      <c r="I642" s="27"/>
      <c r="J642" s="52" t="s">
        <v>1112</v>
      </c>
      <c r="K642" s="51">
        <f>IF(Table1[[#This Row],[Preferenza telefono]]="Casa",Table1[[#This Row],[Telefono casa]],IF(Table1[[#This Row],[Preferenza telefono]]="Primario",Table1[[#This Row],[Telefono primario]],"-"))</f>
        <v>3925413072</v>
      </c>
      <c r="L642" s="37" t="s">
        <v>1856</v>
      </c>
      <c r="M642" s="37" t="s">
        <v>1856</v>
      </c>
      <c r="N642" s="35" t="b">
        <f>IF(_xlfn.UNICODE( Table1[[#This Row],[Check]])=9745,TRUE,FALSE)</f>
        <v>0</v>
      </c>
    </row>
    <row r="643" spans="1:14" ht="30" customHeight="1" x14ac:dyDescent="0.25">
      <c r="A643" s="27" t="s">
        <v>1634</v>
      </c>
      <c r="B643" s="42" t="s">
        <v>208</v>
      </c>
      <c r="C643" s="27" t="s">
        <v>103</v>
      </c>
      <c r="D643" s="28">
        <v>3806569255</v>
      </c>
      <c r="E643" s="27"/>
      <c r="F643" s="27" t="s">
        <v>107</v>
      </c>
      <c r="G643" s="29">
        <v>24758</v>
      </c>
      <c r="H643" s="95" t="s">
        <v>1854</v>
      </c>
      <c r="I643" s="27"/>
      <c r="J643" s="52" t="s">
        <v>1112</v>
      </c>
      <c r="K643" s="51">
        <f>IF(Table1[[#This Row],[Preferenza telefono]]="Casa",Table1[[#This Row],[Telefono casa]],IF(Table1[[#This Row],[Preferenza telefono]]="Primario",Table1[[#This Row],[Telefono primario]],"-"))</f>
        <v>3806569255</v>
      </c>
      <c r="L643" s="37" t="s">
        <v>1856</v>
      </c>
      <c r="M643" s="37" t="s">
        <v>1856</v>
      </c>
      <c r="N643" s="35" t="b">
        <f>IF(_xlfn.UNICODE( Table1[[#This Row],[Check]])=9745,TRUE,FALSE)</f>
        <v>0</v>
      </c>
    </row>
    <row r="644" spans="1:14" ht="30" customHeight="1" x14ac:dyDescent="0.25">
      <c r="A644" s="27" t="s">
        <v>1634</v>
      </c>
      <c r="B644" s="42" t="s">
        <v>1093</v>
      </c>
      <c r="C644" s="27" t="s">
        <v>103</v>
      </c>
      <c r="D644" s="28">
        <v>3806569255</v>
      </c>
      <c r="E644" s="27"/>
      <c r="F644" s="27" t="s">
        <v>107</v>
      </c>
      <c r="G644" s="29">
        <v>24760</v>
      </c>
      <c r="H644" s="95" t="s">
        <v>1854</v>
      </c>
      <c r="I644" s="27"/>
      <c r="J644" s="52" t="s">
        <v>1112</v>
      </c>
      <c r="K644" s="51">
        <f>IF(Table1[[#This Row],[Preferenza telefono]]="Casa",Table1[[#This Row],[Telefono casa]],IF(Table1[[#This Row],[Preferenza telefono]]="Primario",Table1[[#This Row],[Telefono primario]],"-"))</f>
        <v>3806569255</v>
      </c>
      <c r="L644" s="37" t="s">
        <v>1856</v>
      </c>
      <c r="M644" s="37" t="s">
        <v>1856</v>
      </c>
      <c r="N644" s="35" t="b">
        <f>IF(_xlfn.UNICODE( Table1[[#This Row],[Check]])=9745,TRUE,FALSE)</f>
        <v>0</v>
      </c>
    </row>
  </sheetData>
  <dataConsolidate/>
  <mergeCells count="2">
    <mergeCell ref="H2:I2"/>
    <mergeCell ref="L2:M2"/>
  </mergeCells>
  <dataValidations count="2">
    <dataValidation type="list" allowBlank="1" showInputMessage="1" showErrorMessage="1" sqref="L5:M644">
      <formula1>"SI,NO"</formula1>
    </dataValidation>
    <dataValidation type="list" allowBlank="1" showInputMessage="1" showErrorMessage="1" sqref="J5:J644">
      <formula1>"Casa,Primario"</formula1>
    </dataValidation>
  </dataValidations>
  <hyperlinks>
    <hyperlink ref="H5" r:id="rId1"/>
    <hyperlink ref="H6" r:id="rId2"/>
    <hyperlink ref="H7" r:id="rId3"/>
    <hyperlink ref="H8" r:id="rId4"/>
    <hyperlink ref="H11" r:id="rId5"/>
    <hyperlink ref="H14" r:id="rId6"/>
    <hyperlink ref="H17" r:id="rId7"/>
    <hyperlink ref="H20" r:id="rId8"/>
    <hyperlink ref="H23" r:id="rId9"/>
    <hyperlink ref="H26" r:id="rId10"/>
    <hyperlink ref="H29" r:id="rId11"/>
    <hyperlink ref="H32" r:id="rId12"/>
    <hyperlink ref="H35" r:id="rId13"/>
    <hyperlink ref="H38" r:id="rId14"/>
    <hyperlink ref="H41" r:id="rId15"/>
    <hyperlink ref="H44" r:id="rId16"/>
    <hyperlink ref="H47" r:id="rId17"/>
    <hyperlink ref="H50" r:id="rId18"/>
    <hyperlink ref="H53" r:id="rId19"/>
    <hyperlink ref="H56" r:id="rId20"/>
    <hyperlink ref="H59" r:id="rId21"/>
    <hyperlink ref="H62" r:id="rId22"/>
    <hyperlink ref="H65" r:id="rId23"/>
    <hyperlink ref="H68" r:id="rId24"/>
    <hyperlink ref="H71" r:id="rId25"/>
    <hyperlink ref="H74" r:id="rId26"/>
    <hyperlink ref="H77" r:id="rId27"/>
    <hyperlink ref="H80" r:id="rId28"/>
    <hyperlink ref="H83" r:id="rId29"/>
    <hyperlink ref="H86" r:id="rId30"/>
    <hyperlink ref="H89" r:id="rId31"/>
    <hyperlink ref="H92" r:id="rId32"/>
    <hyperlink ref="H95" r:id="rId33"/>
    <hyperlink ref="H98" r:id="rId34"/>
    <hyperlink ref="H101" r:id="rId35"/>
    <hyperlink ref="H104" r:id="rId36"/>
    <hyperlink ref="H107" r:id="rId37"/>
    <hyperlink ref="H110" r:id="rId38"/>
    <hyperlink ref="H113" r:id="rId39"/>
    <hyperlink ref="H116" r:id="rId40"/>
    <hyperlink ref="H119" r:id="rId41"/>
    <hyperlink ref="H122" r:id="rId42"/>
    <hyperlink ref="H125" r:id="rId43"/>
    <hyperlink ref="H128" r:id="rId44"/>
    <hyperlink ref="H131" r:id="rId45"/>
    <hyperlink ref="H134" r:id="rId46"/>
    <hyperlink ref="H137" r:id="rId47"/>
    <hyperlink ref="H140" r:id="rId48"/>
    <hyperlink ref="H143" r:id="rId49"/>
    <hyperlink ref="H146" r:id="rId50"/>
    <hyperlink ref="H149" r:id="rId51"/>
    <hyperlink ref="H152" r:id="rId52"/>
    <hyperlink ref="H155" r:id="rId53"/>
    <hyperlink ref="H158" r:id="rId54"/>
    <hyperlink ref="H161" r:id="rId55"/>
    <hyperlink ref="H164" r:id="rId56"/>
    <hyperlink ref="H167" r:id="rId57"/>
    <hyperlink ref="H170" r:id="rId58"/>
    <hyperlink ref="H173" r:id="rId59"/>
    <hyperlink ref="H176" r:id="rId60"/>
    <hyperlink ref="H179" r:id="rId61"/>
    <hyperlink ref="H182" r:id="rId62"/>
    <hyperlink ref="H185" r:id="rId63"/>
    <hyperlink ref="H188" r:id="rId64"/>
    <hyperlink ref="H191" r:id="rId65"/>
    <hyperlink ref="H194" r:id="rId66"/>
    <hyperlink ref="H197" r:id="rId67"/>
    <hyperlink ref="H200" r:id="rId68"/>
    <hyperlink ref="H203" r:id="rId69"/>
    <hyperlink ref="H206" r:id="rId70"/>
    <hyperlink ref="H209" r:id="rId71"/>
    <hyperlink ref="H212" r:id="rId72"/>
    <hyperlink ref="H215" r:id="rId73"/>
    <hyperlink ref="H218" r:id="rId74"/>
    <hyperlink ref="H221" r:id="rId75"/>
    <hyperlink ref="H224" r:id="rId76"/>
    <hyperlink ref="H227" r:id="rId77"/>
    <hyperlink ref="H230" r:id="rId78"/>
    <hyperlink ref="H233" r:id="rId79"/>
    <hyperlink ref="H236" r:id="rId80"/>
    <hyperlink ref="H239" r:id="rId81"/>
    <hyperlink ref="H242" r:id="rId82"/>
    <hyperlink ref="H245" r:id="rId83"/>
    <hyperlink ref="H248" r:id="rId84"/>
    <hyperlink ref="H251" r:id="rId85"/>
    <hyperlink ref="H254" r:id="rId86"/>
    <hyperlink ref="H257" r:id="rId87"/>
    <hyperlink ref="H260" r:id="rId88"/>
    <hyperlink ref="H263" r:id="rId89"/>
    <hyperlink ref="H266" r:id="rId90"/>
    <hyperlink ref="H269" r:id="rId91"/>
    <hyperlink ref="H272" r:id="rId92"/>
    <hyperlink ref="H275" r:id="rId93"/>
    <hyperlink ref="H278" r:id="rId94"/>
    <hyperlink ref="H281" r:id="rId95"/>
    <hyperlink ref="H284" r:id="rId96"/>
    <hyperlink ref="H287" r:id="rId97"/>
    <hyperlink ref="H290" r:id="rId98"/>
    <hyperlink ref="H293" r:id="rId99"/>
    <hyperlink ref="H296" r:id="rId100"/>
    <hyperlink ref="H299" r:id="rId101"/>
    <hyperlink ref="H302" r:id="rId102"/>
    <hyperlink ref="H305" r:id="rId103"/>
    <hyperlink ref="H308" r:id="rId104"/>
    <hyperlink ref="H311" r:id="rId105"/>
    <hyperlink ref="H314" r:id="rId106"/>
    <hyperlink ref="H317" r:id="rId107"/>
    <hyperlink ref="H320" r:id="rId108"/>
    <hyperlink ref="H323" r:id="rId109"/>
    <hyperlink ref="H326" r:id="rId110"/>
    <hyperlink ref="H329" r:id="rId111"/>
    <hyperlink ref="H332" r:id="rId112"/>
    <hyperlink ref="H335" r:id="rId113"/>
    <hyperlink ref="H338" r:id="rId114"/>
    <hyperlink ref="H341" r:id="rId115"/>
    <hyperlink ref="H344" r:id="rId116"/>
    <hyperlink ref="H347" r:id="rId117"/>
    <hyperlink ref="H350" r:id="rId118"/>
    <hyperlink ref="H353" r:id="rId119"/>
    <hyperlink ref="H356" r:id="rId120"/>
    <hyperlink ref="H359" r:id="rId121"/>
    <hyperlink ref="H362" r:id="rId122"/>
    <hyperlink ref="H365" r:id="rId123"/>
    <hyperlink ref="H368" r:id="rId124"/>
    <hyperlink ref="H371" r:id="rId125"/>
    <hyperlink ref="H374" r:id="rId126"/>
    <hyperlink ref="H377" r:id="rId127"/>
    <hyperlink ref="H380" r:id="rId128"/>
    <hyperlink ref="H383" r:id="rId129"/>
    <hyperlink ref="H386" r:id="rId130"/>
    <hyperlink ref="H389" r:id="rId131"/>
    <hyperlink ref="H392" r:id="rId132"/>
    <hyperlink ref="H395" r:id="rId133"/>
    <hyperlink ref="H398" r:id="rId134"/>
    <hyperlink ref="H401" r:id="rId135"/>
    <hyperlink ref="H404" r:id="rId136"/>
    <hyperlink ref="H407" r:id="rId137"/>
    <hyperlink ref="H410" r:id="rId138"/>
    <hyperlink ref="H413" r:id="rId139"/>
    <hyperlink ref="H416" r:id="rId140"/>
    <hyperlink ref="H419" r:id="rId141"/>
    <hyperlink ref="H422" r:id="rId142"/>
    <hyperlink ref="H425" r:id="rId143"/>
    <hyperlink ref="H428" r:id="rId144"/>
    <hyperlink ref="H431" r:id="rId145"/>
    <hyperlink ref="H434" r:id="rId146"/>
    <hyperlink ref="H437" r:id="rId147"/>
    <hyperlink ref="H440" r:id="rId148"/>
    <hyperlink ref="H443" r:id="rId149"/>
    <hyperlink ref="H446" r:id="rId150"/>
    <hyperlink ref="H449" r:id="rId151"/>
    <hyperlink ref="H452" r:id="rId152"/>
    <hyperlink ref="H455" r:id="rId153"/>
    <hyperlink ref="H458" r:id="rId154"/>
    <hyperlink ref="H461" r:id="rId155"/>
    <hyperlink ref="H464" r:id="rId156"/>
    <hyperlink ref="H467" r:id="rId157"/>
    <hyperlink ref="H470" r:id="rId158"/>
    <hyperlink ref="H473" r:id="rId159"/>
    <hyperlink ref="H476" r:id="rId160"/>
    <hyperlink ref="H479" r:id="rId161"/>
    <hyperlink ref="H482" r:id="rId162"/>
    <hyperlink ref="H485" r:id="rId163"/>
    <hyperlink ref="H488" r:id="rId164"/>
    <hyperlink ref="H491" r:id="rId165"/>
    <hyperlink ref="H494" r:id="rId166"/>
    <hyperlink ref="H497" r:id="rId167"/>
    <hyperlink ref="H500" r:id="rId168"/>
    <hyperlink ref="H503" r:id="rId169"/>
    <hyperlink ref="H506" r:id="rId170"/>
    <hyperlink ref="H509" r:id="rId171"/>
    <hyperlink ref="H512" r:id="rId172"/>
    <hyperlink ref="H515" r:id="rId173"/>
    <hyperlink ref="H518" r:id="rId174"/>
    <hyperlink ref="H521" r:id="rId175"/>
    <hyperlink ref="H524" r:id="rId176"/>
    <hyperlink ref="H527" r:id="rId177"/>
    <hyperlink ref="H530" r:id="rId178"/>
    <hyperlink ref="H533" r:id="rId179"/>
    <hyperlink ref="H536" r:id="rId180"/>
    <hyperlink ref="H539" r:id="rId181"/>
    <hyperlink ref="H542" r:id="rId182"/>
    <hyperlink ref="H545" r:id="rId183"/>
    <hyperlink ref="H548" r:id="rId184"/>
    <hyperlink ref="H551" r:id="rId185"/>
    <hyperlink ref="H554" r:id="rId186"/>
    <hyperlink ref="H557" r:id="rId187"/>
    <hyperlink ref="H560" r:id="rId188"/>
    <hyperlink ref="H563" r:id="rId189"/>
    <hyperlink ref="H566" r:id="rId190"/>
    <hyperlink ref="H569" r:id="rId191"/>
    <hyperlink ref="H572" r:id="rId192"/>
    <hyperlink ref="H575" r:id="rId193"/>
    <hyperlink ref="H578" r:id="rId194"/>
    <hyperlink ref="H581" r:id="rId195"/>
    <hyperlink ref="H584" r:id="rId196"/>
    <hyperlink ref="H587" r:id="rId197"/>
    <hyperlink ref="H590" r:id="rId198"/>
    <hyperlink ref="H593" r:id="rId199"/>
    <hyperlink ref="H596" r:id="rId200"/>
    <hyperlink ref="H599" r:id="rId201"/>
    <hyperlink ref="H602" r:id="rId202"/>
    <hyperlink ref="H605" r:id="rId203"/>
    <hyperlink ref="H608" r:id="rId204"/>
    <hyperlink ref="H611" r:id="rId205"/>
    <hyperlink ref="H614" r:id="rId206"/>
    <hyperlink ref="H617" r:id="rId207"/>
    <hyperlink ref="H620" r:id="rId208"/>
    <hyperlink ref="H623" r:id="rId209"/>
    <hyperlink ref="H626" r:id="rId210"/>
    <hyperlink ref="H629" r:id="rId211"/>
    <hyperlink ref="H632" r:id="rId212"/>
    <hyperlink ref="H635" r:id="rId213"/>
    <hyperlink ref="H638" r:id="rId214"/>
    <hyperlink ref="H641" r:id="rId215"/>
    <hyperlink ref="H644" r:id="rId216"/>
    <hyperlink ref="H9" r:id="rId217"/>
    <hyperlink ref="H12" r:id="rId218"/>
    <hyperlink ref="H15" r:id="rId219"/>
    <hyperlink ref="H18" r:id="rId220"/>
    <hyperlink ref="H21" r:id="rId221"/>
    <hyperlink ref="H24" r:id="rId222"/>
    <hyperlink ref="H27" r:id="rId223"/>
    <hyperlink ref="H30" r:id="rId224"/>
    <hyperlink ref="H33" r:id="rId225"/>
    <hyperlink ref="H36" r:id="rId226"/>
    <hyperlink ref="H39" r:id="rId227"/>
    <hyperlink ref="H42" r:id="rId228"/>
    <hyperlink ref="H45" r:id="rId229"/>
    <hyperlink ref="H48" r:id="rId230"/>
    <hyperlink ref="H51" r:id="rId231"/>
    <hyperlink ref="H54" r:id="rId232"/>
    <hyperlink ref="H57" r:id="rId233"/>
    <hyperlink ref="H60" r:id="rId234"/>
    <hyperlink ref="H63" r:id="rId235"/>
    <hyperlink ref="H66" r:id="rId236"/>
    <hyperlink ref="H69" r:id="rId237"/>
    <hyperlink ref="H72" r:id="rId238"/>
    <hyperlink ref="H75" r:id="rId239"/>
    <hyperlink ref="H78" r:id="rId240"/>
    <hyperlink ref="H81" r:id="rId241"/>
    <hyperlink ref="H84" r:id="rId242"/>
    <hyperlink ref="H87" r:id="rId243"/>
    <hyperlink ref="H90" r:id="rId244"/>
    <hyperlink ref="H93" r:id="rId245"/>
    <hyperlink ref="H96" r:id="rId246"/>
    <hyperlink ref="H99" r:id="rId247"/>
    <hyperlink ref="H102" r:id="rId248"/>
    <hyperlink ref="H105" r:id="rId249"/>
    <hyperlink ref="H108" r:id="rId250"/>
    <hyperlink ref="H111" r:id="rId251"/>
    <hyperlink ref="H114" r:id="rId252"/>
    <hyperlink ref="H117" r:id="rId253"/>
    <hyperlink ref="H120" r:id="rId254"/>
    <hyperlink ref="H123" r:id="rId255"/>
    <hyperlink ref="H126" r:id="rId256"/>
    <hyperlink ref="H129" r:id="rId257"/>
    <hyperlink ref="H132" r:id="rId258"/>
    <hyperlink ref="H135" r:id="rId259"/>
    <hyperlink ref="H138" r:id="rId260"/>
    <hyperlink ref="H141" r:id="rId261"/>
    <hyperlink ref="H144" r:id="rId262"/>
    <hyperlink ref="H147" r:id="rId263"/>
    <hyperlink ref="H150" r:id="rId264"/>
    <hyperlink ref="H153" r:id="rId265"/>
    <hyperlink ref="H156" r:id="rId266"/>
    <hyperlink ref="H159" r:id="rId267"/>
    <hyperlink ref="H162" r:id="rId268"/>
    <hyperlink ref="H165" r:id="rId269"/>
    <hyperlink ref="H168" r:id="rId270"/>
    <hyperlink ref="H171" r:id="rId271"/>
    <hyperlink ref="H174" r:id="rId272"/>
    <hyperlink ref="H177" r:id="rId273"/>
    <hyperlink ref="H180" r:id="rId274"/>
    <hyperlink ref="H183" r:id="rId275"/>
    <hyperlink ref="H186" r:id="rId276"/>
    <hyperlink ref="H189" r:id="rId277"/>
    <hyperlink ref="H192" r:id="rId278"/>
    <hyperlink ref="H195" r:id="rId279"/>
    <hyperlink ref="H198" r:id="rId280"/>
    <hyperlink ref="H201" r:id="rId281"/>
    <hyperlink ref="H204" r:id="rId282"/>
    <hyperlink ref="H207" r:id="rId283"/>
    <hyperlink ref="H210" r:id="rId284"/>
    <hyperlink ref="H213" r:id="rId285"/>
    <hyperlink ref="H216" r:id="rId286"/>
    <hyperlink ref="H219" r:id="rId287"/>
    <hyperlink ref="H222" r:id="rId288"/>
    <hyperlink ref="H225" r:id="rId289"/>
    <hyperlink ref="H228" r:id="rId290"/>
    <hyperlink ref="H231" r:id="rId291"/>
    <hyperlink ref="H234" r:id="rId292"/>
    <hyperlink ref="H237" r:id="rId293"/>
    <hyperlink ref="H240" r:id="rId294"/>
    <hyperlink ref="H243" r:id="rId295"/>
    <hyperlink ref="H246" r:id="rId296"/>
    <hyperlink ref="H249" r:id="rId297"/>
    <hyperlink ref="H252" r:id="rId298"/>
    <hyperlink ref="H255" r:id="rId299"/>
    <hyperlink ref="H258" r:id="rId300"/>
    <hyperlink ref="H261" r:id="rId301"/>
    <hyperlink ref="H264" r:id="rId302"/>
    <hyperlink ref="H267" r:id="rId303"/>
    <hyperlink ref="H270" r:id="rId304"/>
    <hyperlink ref="H273" r:id="rId305"/>
    <hyperlink ref="H276" r:id="rId306"/>
    <hyperlink ref="H279" r:id="rId307"/>
    <hyperlink ref="H282" r:id="rId308"/>
    <hyperlink ref="H285" r:id="rId309"/>
    <hyperlink ref="H288" r:id="rId310"/>
    <hyperlink ref="H291" r:id="rId311"/>
    <hyperlink ref="H294" r:id="rId312"/>
    <hyperlink ref="H297" r:id="rId313"/>
    <hyperlink ref="H300" r:id="rId314"/>
    <hyperlink ref="H303" r:id="rId315"/>
    <hyperlink ref="H306" r:id="rId316"/>
    <hyperlink ref="H309" r:id="rId317"/>
    <hyperlink ref="H312" r:id="rId318"/>
    <hyperlink ref="H315" r:id="rId319"/>
    <hyperlink ref="H318" r:id="rId320"/>
    <hyperlink ref="H321" r:id="rId321"/>
    <hyperlink ref="H324" r:id="rId322"/>
    <hyperlink ref="H327" r:id="rId323"/>
    <hyperlink ref="H330" r:id="rId324"/>
    <hyperlink ref="H333" r:id="rId325"/>
    <hyperlink ref="H336" r:id="rId326"/>
    <hyperlink ref="H339" r:id="rId327"/>
    <hyperlink ref="H342" r:id="rId328"/>
    <hyperlink ref="H345" r:id="rId329"/>
    <hyperlink ref="H348" r:id="rId330"/>
    <hyperlink ref="H351" r:id="rId331"/>
    <hyperlink ref="H354" r:id="rId332"/>
    <hyperlink ref="H357" r:id="rId333"/>
    <hyperlink ref="H360" r:id="rId334"/>
    <hyperlink ref="H363" r:id="rId335"/>
    <hyperlink ref="H366" r:id="rId336"/>
    <hyperlink ref="H369" r:id="rId337"/>
    <hyperlink ref="H372" r:id="rId338"/>
    <hyperlink ref="H375" r:id="rId339"/>
    <hyperlink ref="H378" r:id="rId340"/>
    <hyperlink ref="H381" r:id="rId341"/>
    <hyperlink ref="H384" r:id="rId342"/>
    <hyperlink ref="H387" r:id="rId343"/>
    <hyperlink ref="H390" r:id="rId344"/>
    <hyperlink ref="H393" r:id="rId345"/>
    <hyperlink ref="H396" r:id="rId346"/>
    <hyperlink ref="H399" r:id="rId347"/>
    <hyperlink ref="H402" r:id="rId348"/>
    <hyperlink ref="H405" r:id="rId349"/>
    <hyperlink ref="H408" r:id="rId350"/>
    <hyperlink ref="H411" r:id="rId351"/>
    <hyperlink ref="H414" r:id="rId352"/>
    <hyperlink ref="H417" r:id="rId353"/>
    <hyperlink ref="H420" r:id="rId354"/>
    <hyperlink ref="H423" r:id="rId355"/>
    <hyperlink ref="H426" r:id="rId356"/>
    <hyperlink ref="H429" r:id="rId357"/>
    <hyperlink ref="H432" r:id="rId358"/>
    <hyperlink ref="H435" r:id="rId359"/>
    <hyperlink ref="H438" r:id="rId360"/>
    <hyperlink ref="H441" r:id="rId361"/>
    <hyperlink ref="H444" r:id="rId362"/>
    <hyperlink ref="H447" r:id="rId363"/>
    <hyperlink ref="H450" r:id="rId364"/>
    <hyperlink ref="H453" r:id="rId365"/>
    <hyperlink ref="H456" r:id="rId366"/>
    <hyperlink ref="H459" r:id="rId367"/>
    <hyperlink ref="H462" r:id="rId368"/>
    <hyperlink ref="H465" r:id="rId369"/>
    <hyperlink ref="H468" r:id="rId370"/>
    <hyperlink ref="H471" r:id="rId371"/>
    <hyperlink ref="H474" r:id="rId372"/>
    <hyperlink ref="H477" r:id="rId373"/>
    <hyperlink ref="H480" r:id="rId374"/>
    <hyperlink ref="H483" r:id="rId375"/>
    <hyperlink ref="H486" r:id="rId376"/>
    <hyperlink ref="H489" r:id="rId377"/>
    <hyperlink ref="H492" r:id="rId378"/>
    <hyperlink ref="H495" r:id="rId379"/>
    <hyperlink ref="H498" r:id="rId380"/>
    <hyperlink ref="H501" r:id="rId381"/>
    <hyperlink ref="H504" r:id="rId382"/>
    <hyperlink ref="H507" r:id="rId383"/>
    <hyperlink ref="H510" r:id="rId384"/>
    <hyperlink ref="H513" r:id="rId385"/>
    <hyperlink ref="H516" r:id="rId386"/>
    <hyperlink ref="H519" r:id="rId387"/>
    <hyperlink ref="H522" r:id="rId388"/>
    <hyperlink ref="H525" r:id="rId389"/>
    <hyperlink ref="H528" r:id="rId390"/>
    <hyperlink ref="H531" r:id="rId391"/>
    <hyperlink ref="H534" r:id="rId392"/>
    <hyperlink ref="H537" r:id="rId393"/>
    <hyperlink ref="H540" r:id="rId394"/>
    <hyperlink ref="H543" r:id="rId395"/>
    <hyperlink ref="H546" r:id="rId396"/>
    <hyperlink ref="H549" r:id="rId397"/>
    <hyperlink ref="H552" r:id="rId398"/>
    <hyperlink ref="H555" r:id="rId399"/>
    <hyperlink ref="H558" r:id="rId400"/>
    <hyperlink ref="H561" r:id="rId401"/>
    <hyperlink ref="H564" r:id="rId402"/>
    <hyperlink ref="H567" r:id="rId403"/>
    <hyperlink ref="H570" r:id="rId404"/>
    <hyperlink ref="H573" r:id="rId405"/>
    <hyperlink ref="H576" r:id="rId406"/>
    <hyperlink ref="H579" r:id="rId407"/>
    <hyperlink ref="H582" r:id="rId408"/>
    <hyperlink ref="H585" r:id="rId409"/>
    <hyperlink ref="H588" r:id="rId410"/>
    <hyperlink ref="H591" r:id="rId411"/>
    <hyperlink ref="H594" r:id="rId412"/>
    <hyperlink ref="H597" r:id="rId413"/>
    <hyperlink ref="H600" r:id="rId414"/>
    <hyperlink ref="H603" r:id="rId415"/>
    <hyperlink ref="H606" r:id="rId416"/>
    <hyperlink ref="H609" r:id="rId417"/>
    <hyperlink ref="H612" r:id="rId418"/>
    <hyperlink ref="H615" r:id="rId419"/>
    <hyperlink ref="H618" r:id="rId420"/>
    <hyperlink ref="H621" r:id="rId421"/>
    <hyperlink ref="H624" r:id="rId422"/>
    <hyperlink ref="H627" r:id="rId423"/>
    <hyperlink ref="H630" r:id="rId424"/>
    <hyperlink ref="H633" r:id="rId425"/>
    <hyperlink ref="H636" r:id="rId426"/>
    <hyperlink ref="H639" r:id="rId427"/>
    <hyperlink ref="H642" r:id="rId428"/>
    <hyperlink ref="H10" r:id="rId429"/>
    <hyperlink ref="H13" r:id="rId430"/>
    <hyperlink ref="H16" r:id="rId431"/>
    <hyperlink ref="H19" r:id="rId432"/>
    <hyperlink ref="H22" r:id="rId433"/>
    <hyperlink ref="H25" r:id="rId434"/>
    <hyperlink ref="H28" r:id="rId435"/>
    <hyperlink ref="H31" r:id="rId436"/>
    <hyperlink ref="H34" r:id="rId437"/>
    <hyperlink ref="H37" r:id="rId438"/>
    <hyperlink ref="H40" r:id="rId439"/>
    <hyperlink ref="H43" r:id="rId440"/>
    <hyperlink ref="H46" r:id="rId441"/>
    <hyperlink ref="H49" r:id="rId442"/>
    <hyperlink ref="H52" r:id="rId443"/>
    <hyperlink ref="H55" r:id="rId444"/>
    <hyperlink ref="H58" r:id="rId445"/>
    <hyperlink ref="H61" r:id="rId446"/>
    <hyperlink ref="H64" r:id="rId447"/>
    <hyperlink ref="H67" r:id="rId448"/>
    <hyperlink ref="H70" r:id="rId449"/>
    <hyperlink ref="H73" r:id="rId450"/>
    <hyperlink ref="H76" r:id="rId451"/>
    <hyperlink ref="H79" r:id="rId452"/>
    <hyperlink ref="H82" r:id="rId453"/>
    <hyperlink ref="H85" r:id="rId454"/>
    <hyperlink ref="H88" r:id="rId455"/>
    <hyperlink ref="H91" r:id="rId456"/>
    <hyperlink ref="H94" r:id="rId457"/>
    <hyperlink ref="H97" r:id="rId458"/>
    <hyperlink ref="H100" r:id="rId459"/>
    <hyperlink ref="H103" r:id="rId460"/>
    <hyperlink ref="H106" r:id="rId461"/>
    <hyperlink ref="H109" r:id="rId462"/>
    <hyperlink ref="H112" r:id="rId463"/>
    <hyperlink ref="H115" r:id="rId464"/>
    <hyperlink ref="H118" r:id="rId465"/>
    <hyperlink ref="H121" r:id="rId466"/>
    <hyperlink ref="H124" r:id="rId467"/>
    <hyperlink ref="H127" r:id="rId468"/>
    <hyperlink ref="H130" r:id="rId469"/>
    <hyperlink ref="H133" r:id="rId470"/>
    <hyperlink ref="H136" r:id="rId471"/>
    <hyperlink ref="H139" r:id="rId472"/>
    <hyperlink ref="H142" r:id="rId473"/>
    <hyperlink ref="H145" r:id="rId474"/>
    <hyperlink ref="H148" r:id="rId475"/>
    <hyperlink ref="H151" r:id="rId476"/>
    <hyperlink ref="H154" r:id="rId477"/>
    <hyperlink ref="H157" r:id="rId478"/>
    <hyperlink ref="H160" r:id="rId479"/>
    <hyperlink ref="H163" r:id="rId480"/>
    <hyperlink ref="H166" r:id="rId481"/>
    <hyperlink ref="H169" r:id="rId482"/>
    <hyperlink ref="H172" r:id="rId483"/>
    <hyperlink ref="H175" r:id="rId484"/>
    <hyperlink ref="H178" r:id="rId485"/>
    <hyperlink ref="H181" r:id="rId486"/>
    <hyperlink ref="H184" r:id="rId487"/>
    <hyperlink ref="H187" r:id="rId488"/>
    <hyperlink ref="H190" r:id="rId489"/>
    <hyperlink ref="H193" r:id="rId490"/>
    <hyperlink ref="H196" r:id="rId491"/>
    <hyperlink ref="H199" r:id="rId492"/>
    <hyperlink ref="H202" r:id="rId493"/>
    <hyperlink ref="H205" r:id="rId494"/>
    <hyperlink ref="H208" r:id="rId495"/>
    <hyperlink ref="H211" r:id="rId496"/>
    <hyperlink ref="H214" r:id="rId497"/>
    <hyperlink ref="H217" r:id="rId498"/>
    <hyperlink ref="H220" r:id="rId499"/>
    <hyperlink ref="H223" r:id="rId500"/>
    <hyperlink ref="H226" r:id="rId501"/>
    <hyperlink ref="H229" r:id="rId502"/>
    <hyperlink ref="H232" r:id="rId503"/>
    <hyperlink ref="H235" r:id="rId504"/>
    <hyperlink ref="H238" r:id="rId505"/>
    <hyperlink ref="H241" r:id="rId506"/>
    <hyperlink ref="H244" r:id="rId507"/>
    <hyperlink ref="H247" r:id="rId508"/>
    <hyperlink ref="H250" r:id="rId509"/>
    <hyperlink ref="H253" r:id="rId510"/>
    <hyperlink ref="H256" r:id="rId511"/>
    <hyperlink ref="H259" r:id="rId512"/>
    <hyperlink ref="H262" r:id="rId513"/>
    <hyperlink ref="H265" r:id="rId514"/>
    <hyperlink ref="H268" r:id="rId515"/>
    <hyperlink ref="H271" r:id="rId516"/>
    <hyperlink ref="H274" r:id="rId517"/>
    <hyperlink ref="H277" r:id="rId518"/>
    <hyperlink ref="H280" r:id="rId519"/>
    <hyperlink ref="H283" r:id="rId520"/>
    <hyperlink ref="H286" r:id="rId521"/>
    <hyperlink ref="H289" r:id="rId522"/>
    <hyperlink ref="H292" r:id="rId523"/>
    <hyperlink ref="H295" r:id="rId524"/>
    <hyperlink ref="H298" r:id="rId525"/>
    <hyperlink ref="H301" r:id="rId526"/>
    <hyperlink ref="H304" r:id="rId527"/>
    <hyperlink ref="H307" r:id="rId528"/>
    <hyperlink ref="H310" r:id="rId529"/>
    <hyperlink ref="H313" r:id="rId530"/>
    <hyperlink ref="H316" r:id="rId531"/>
    <hyperlink ref="H319" r:id="rId532"/>
    <hyperlink ref="H322" r:id="rId533"/>
    <hyperlink ref="H325" r:id="rId534"/>
    <hyperlink ref="H328" r:id="rId535"/>
    <hyperlink ref="H331" r:id="rId536"/>
    <hyperlink ref="H334" r:id="rId537"/>
    <hyperlink ref="H337" r:id="rId538"/>
    <hyperlink ref="H340" r:id="rId539"/>
    <hyperlink ref="H343" r:id="rId540"/>
    <hyperlink ref="H346" r:id="rId541"/>
    <hyperlink ref="H349" r:id="rId542"/>
    <hyperlink ref="H352" r:id="rId543"/>
    <hyperlink ref="H355" r:id="rId544"/>
    <hyperlink ref="H358" r:id="rId545"/>
    <hyperlink ref="H361" r:id="rId546"/>
    <hyperlink ref="H364" r:id="rId547"/>
    <hyperlink ref="H367" r:id="rId548"/>
    <hyperlink ref="H370" r:id="rId549"/>
    <hyperlink ref="H373" r:id="rId550"/>
    <hyperlink ref="H376" r:id="rId551"/>
    <hyperlink ref="H379" r:id="rId552"/>
    <hyperlink ref="H382" r:id="rId553"/>
    <hyperlink ref="H385" r:id="rId554"/>
    <hyperlink ref="H388" r:id="rId555"/>
    <hyperlink ref="H391" r:id="rId556"/>
    <hyperlink ref="H394" r:id="rId557"/>
    <hyperlink ref="H397" r:id="rId558"/>
    <hyperlink ref="H400" r:id="rId559"/>
    <hyperlink ref="H403" r:id="rId560"/>
    <hyperlink ref="H406" r:id="rId561"/>
    <hyperlink ref="H409" r:id="rId562"/>
    <hyperlink ref="H412" r:id="rId563"/>
    <hyperlink ref="H415" r:id="rId564"/>
    <hyperlink ref="H418" r:id="rId565"/>
    <hyperlink ref="H421" r:id="rId566"/>
    <hyperlink ref="H424" r:id="rId567"/>
    <hyperlink ref="H427" r:id="rId568"/>
    <hyperlink ref="H430" r:id="rId569"/>
    <hyperlink ref="H433" r:id="rId570"/>
    <hyperlink ref="H436" r:id="rId571"/>
    <hyperlink ref="H439" r:id="rId572"/>
    <hyperlink ref="H442" r:id="rId573"/>
    <hyperlink ref="H445" r:id="rId574"/>
    <hyperlink ref="H448" r:id="rId575"/>
    <hyperlink ref="H451" r:id="rId576"/>
    <hyperlink ref="H454" r:id="rId577"/>
    <hyperlink ref="H457" r:id="rId578"/>
    <hyperlink ref="H460" r:id="rId579"/>
    <hyperlink ref="H463" r:id="rId580"/>
    <hyperlink ref="H466" r:id="rId581"/>
    <hyperlink ref="H469" r:id="rId582"/>
    <hyperlink ref="H472" r:id="rId583"/>
    <hyperlink ref="H475" r:id="rId584"/>
    <hyperlink ref="H478" r:id="rId585"/>
    <hyperlink ref="H481" r:id="rId586"/>
    <hyperlink ref="H484" r:id="rId587"/>
    <hyperlink ref="H487" r:id="rId588"/>
    <hyperlink ref="H490" r:id="rId589"/>
    <hyperlink ref="H493" r:id="rId590"/>
    <hyperlink ref="H496" r:id="rId591"/>
    <hyperlink ref="H499" r:id="rId592"/>
    <hyperlink ref="H502" r:id="rId593"/>
    <hyperlink ref="H505" r:id="rId594"/>
    <hyperlink ref="H508" r:id="rId595"/>
    <hyperlink ref="H511" r:id="rId596"/>
    <hyperlink ref="H514" r:id="rId597"/>
    <hyperlink ref="H517" r:id="rId598"/>
    <hyperlink ref="H520" r:id="rId599"/>
    <hyperlink ref="H523" r:id="rId600"/>
    <hyperlink ref="H526" r:id="rId601"/>
    <hyperlink ref="H529" r:id="rId602"/>
    <hyperlink ref="H532" r:id="rId603"/>
    <hyperlink ref="H535" r:id="rId604"/>
    <hyperlink ref="H538" r:id="rId605"/>
    <hyperlink ref="H541" r:id="rId606"/>
    <hyperlink ref="H544" r:id="rId607"/>
    <hyperlink ref="H547" r:id="rId608"/>
    <hyperlink ref="H550" r:id="rId609"/>
    <hyperlink ref="H553" r:id="rId610"/>
    <hyperlink ref="H556" r:id="rId611"/>
    <hyperlink ref="H559" r:id="rId612"/>
    <hyperlink ref="H562" r:id="rId613"/>
    <hyperlink ref="H565" r:id="rId614"/>
    <hyperlink ref="H568" r:id="rId615"/>
    <hyperlink ref="H571" r:id="rId616"/>
    <hyperlink ref="H574" r:id="rId617"/>
    <hyperlink ref="H577" r:id="rId618"/>
    <hyperlink ref="H580" r:id="rId619"/>
    <hyperlink ref="H583" r:id="rId620"/>
    <hyperlink ref="H586" r:id="rId621"/>
    <hyperlink ref="H589" r:id="rId622"/>
    <hyperlink ref="H592" r:id="rId623"/>
    <hyperlink ref="H595" r:id="rId624"/>
    <hyperlink ref="H598" r:id="rId625"/>
    <hyperlink ref="H601" r:id="rId626"/>
    <hyperlink ref="H604" r:id="rId627"/>
    <hyperlink ref="H607" r:id="rId628"/>
    <hyperlink ref="H610" r:id="rId629"/>
    <hyperlink ref="H613" r:id="rId630"/>
    <hyperlink ref="H616" r:id="rId631"/>
    <hyperlink ref="H619" r:id="rId632"/>
    <hyperlink ref="H622" r:id="rId633"/>
    <hyperlink ref="H625" r:id="rId634"/>
    <hyperlink ref="H628" r:id="rId635"/>
    <hyperlink ref="H631" r:id="rId636"/>
    <hyperlink ref="H634" r:id="rId637"/>
    <hyperlink ref="H637" r:id="rId638"/>
    <hyperlink ref="H640" r:id="rId639"/>
    <hyperlink ref="H643" r:id="rId640"/>
  </hyperlinks>
  <pageMargins left="0.7" right="0.7" top="0.75" bottom="0.75" header="0.3" footer="0.3"/>
  <pageSetup paperSize="9" orientation="landscape" r:id="rId641"/>
  <drawing r:id="rId642"/>
  <legacyDrawing r:id="rId643"/>
  <controls>
    <mc:AlternateContent xmlns:mc="http://schemas.openxmlformats.org/markup-compatibility/2006">
      <mc:Choice Requires="x14">
        <control shapeId="1180" r:id="rId644" name="TextBox1">
          <controlPr defaultSize="0" autoLine="0" r:id="rId645">
            <anchor moveWithCells="1">
              <from>
                <xdr:col>3</xdr:col>
                <xdr:colOff>0</xdr:colOff>
                <xdr:row>0</xdr:row>
                <xdr:rowOff>152400</xdr:rowOff>
              </from>
              <to>
                <xdr:col>4</xdr:col>
                <xdr:colOff>2114550</xdr:colOff>
                <xdr:row>1</xdr:row>
                <xdr:rowOff>266700</xdr:rowOff>
              </to>
            </anchor>
          </controlPr>
        </control>
      </mc:Choice>
      <mc:Fallback>
        <control shapeId="1180" r:id="rId644" name="TextBox1"/>
      </mc:Fallback>
    </mc:AlternateContent>
    <mc:AlternateContent xmlns:mc="http://schemas.openxmlformats.org/markup-compatibility/2006">
      <mc:Choice Requires="x14">
        <control shapeId="1026" r:id="rId646" name="Button 2">
          <controlPr defaultSize="0" print="0" autoFill="0" autoPict="0" macro="[0]!DeselezionaTuttiCheckboxAnagraficaClienti">
            <anchor moveWithCells="1" sizeWithCells="1">
              <from>
                <xdr:col>2</xdr:col>
                <xdr:colOff>219075</xdr:colOff>
                <xdr:row>1</xdr:row>
                <xdr:rowOff>180975</xdr:rowOff>
              </from>
              <to>
                <xdr:col>2</xdr:col>
                <xdr:colOff>1638300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647" name="Button 154">
          <controlPr defaultSize="0" print="0" autoFill="0" autoPict="0" macro="[0]!SelezionaTuttiCheckboxAnagraficaClienti">
            <anchor moveWithCells="1" sizeWithCells="1">
              <from>
                <xdr:col>2</xdr:col>
                <xdr:colOff>228600</xdr:colOff>
                <xdr:row>0</xdr:row>
                <xdr:rowOff>76200</xdr:rowOff>
              </from>
              <to>
                <xdr:col>2</xdr:col>
                <xdr:colOff>1457325</xdr:colOff>
                <xdr:row>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648" name="Button 157">
          <controlPr defaultSize="0" print="0" autoFill="0" autoPict="0" macro="[0]!CercaClienti">
            <anchor moveWithCells="1" sizeWithCells="1">
              <from>
                <xdr:col>5</xdr:col>
                <xdr:colOff>247650</xdr:colOff>
                <xdr:row>0</xdr:row>
                <xdr:rowOff>38100</xdr:rowOff>
              </from>
              <to>
                <xdr:col>5</xdr:col>
                <xdr:colOff>1390650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649" name="Button 158">
          <controlPr defaultSize="0" print="0" autoFill="0" autoPict="0" macro="[0]!PulisciFiltriClienti">
            <anchor moveWithCells="1" sizeWithCells="1">
              <from>
                <xdr:col>5</xdr:col>
                <xdr:colOff>247650</xdr:colOff>
                <xdr:row>1</xdr:row>
                <xdr:rowOff>161925</xdr:rowOff>
              </from>
              <to>
                <xdr:col>5</xdr:col>
                <xdr:colOff>1390650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65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147"/>
  <sheetViews>
    <sheetView topLeftCell="AB1" zoomScale="85" zoomScaleNormal="85" workbookViewId="0">
      <pane ySplit="5" topLeftCell="A6" activePane="bottomLeft" state="frozen"/>
      <selection pane="bottomLeft" activeCell="Z246" sqref="Z246"/>
    </sheetView>
  </sheetViews>
  <sheetFormatPr defaultRowHeight="15" outlineLevelCol="1" x14ac:dyDescent="0.25"/>
  <cols>
    <col min="1" max="1" width="3.7109375" customWidth="1"/>
    <col min="2" max="2" width="5.28515625" customWidth="1"/>
    <col min="3" max="3" width="42.28515625" customWidth="1"/>
    <col min="4" max="4" width="15.7109375" bestFit="1" customWidth="1"/>
    <col min="5" max="5" width="13.7109375" bestFit="1" customWidth="1"/>
    <col min="6" max="6" width="16.42578125" bestFit="1" customWidth="1"/>
    <col min="7" max="7" width="22" customWidth="1"/>
    <col min="8" max="8" width="11.42578125" bestFit="1" customWidth="1"/>
    <col min="9" max="9" width="11.28515625" bestFit="1" customWidth="1"/>
    <col min="10" max="10" width="18.28515625" bestFit="1" customWidth="1"/>
    <col min="11" max="11" width="14.28515625" bestFit="1" customWidth="1"/>
    <col min="12" max="12" width="12.42578125" customWidth="1"/>
    <col min="13" max="13" width="10.7109375" customWidth="1"/>
    <col min="16" max="16" width="17.140625" style="115" bestFit="1" customWidth="1"/>
    <col min="17" max="18" width="7" bestFit="1" customWidth="1"/>
    <col min="19" max="19" width="7.5703125" bestFit="1" customWidth="1"/>
    <col min="20" max="20" width="8" bestFit="1" customWidth="1"/>
    <col min="21" max="21" width="16.42578125" bestFit="1" customWidth="1"/>
    <col min="22" max="22" width="15.140625" customWidth="1"/>
    <col min="23" max="23" width="16.7109375" bestFit="1" customWidth="1"/>
    <col min="24" max="24" width="15.7109375" bestFit="1" customWidth="1"/>
    <col min="25" max="25" width="14.140625" bestFit="1" customWidth="1"/>
    <col min="26" max="26" width="25.5703125" customWidth="1"/>
    <col min="27" max="27" width="13.7109375" bestFit="1" customWidth="1"/>
    <col min="28" max="28" width="12.28515625" bestFit="1" customWidth="1"/>
    <col min="29" max="29" width="11.28515625" hidden="1" customWidth="1"/>
    <col min="30" max="30" width="0" hidden="1" customWidth="1"/>
    <col min="31" max="31" width="22" bestFit="1" customWidth="1"/>
    <col min="32" max="32" width="17" bestFit="1" customWidth="1"/>
    <col min="33" max="33" width="19.28515625" bestFit="1" customWidth="1"/>
    <col min="34" max="34" width="15.28515625" style="108" bestFit="1" customWidth="1"/>
    <col min="35" max="35" width="9.140625" customWidth="1" outlineLevel="1"/>
    <col min="36" max="36" width="29.28515625" customWidth="1" outlineLevel="1"/>
    <col min="37" max="37" width="11.85546875" customWidth="1" outlineLevel="1"/>
    <col min="38" max="38" width="12.28515625" customWidth="1" outlineLevel="1"/>
    <col min="39" max="39" width="20.42578125" customWidth="1" outlineLevel="1"/>
    <col min="40" max="40" width="18.85546875" customWidth="1" outlineLevel="1"/>
    <col min="41" max="41" width="9.140625" customWidth="1" outlineLevel="1"/>
    <col min="42" max="42" width="16.42578125" customWidth="1" outlineLevel="1"/>
    <col min="43" max="44" width="9.140625" customWidth="1" outlineLevel="1"/>
    <col min="45" max="45" width="27.140625" customWidth="1"/>
    <col min="46" max="46" width="7" bestFit="1" customWidth="1"/>
    <col min="47" max="47" width="7.5703125" bestFit="1" customWidth="1"/>
    <col min="48" max="48" width="8" bestFit="1" customWidth="1"/>
    <col min="49" max="49" width="8.140625" bestFit="1" customWidth="1"/>
    <col min="50" max="51" width="21.28515625" customWidth="1"/>
    <col min="52" max="52" width="16.42578125" customWidth="1"/>
    <col min="53" max="53" width="16.7109375" bestFit="1" customWidth="1"/>
    <col min="54" max="54" width="16.28515625" bestFit="1" customWidth="1"/>
    <col min="55" max="55" width="11.5703125" bestFit="1" customWidth="1"/>
    <col min="56" max="56" width="29.28515625" customWidth="1" outlineLevel="1"/>
    <col min="57" max="57" width="18" customWidth="1" outlineLevel="1"/>
    <col min="58" max="58" width="21.85546875" customWidth="1" outlineLevel="1"/>
    <col min="59" max="59" width="24.5703125" customWidth="1" outlineLevel="1"/>
    <col min="60" max="60" width="19.140625" bestFit="1" customWidth="1" outlineLevel="1"/>
    <col min="61" max="61" width="19.140625" customWidth="1" outlineLevel="1"/>
    <col min="62" max="62" width="38.28515625" customWidth="1" outlineLevel="1"/>
    <col min="63" max="63" width="38.85546875" customWidth="1" outlineLevel="1"/>
    <col min="64" max="64" width="22.28515625" customWidth="1" outlineLevel="1"/>
    <col min="65" max="65" width="19.28515625" customWidth="1" outlineLevel="1"/>
    <col min="66" max="66" width="18.5703125" customWidth="1"/>
    <col min="67" max="67" width="29.28515625" bestFit="1" customWidth="1"/>
    <col min="68" max="77" width="23" customWidth="1"/>
  </cols>
  <sheetData>
    <row r="1" spans="1:44" x14ac:dyDescent="0.25">
      <c r="AG1" s="108"/>
      <c r="AH1"/>
    </row>
    <row r="2" spans="1:44" x14ac:dyDescent="0.25">
      <c r="AG2" s="108"/>
      <c r="AH2"/>
    </row>
    <row r="3" spans="1:44" x14ac:dyDescent="0.25">
      <c r="AG3" s="108"/>
      <c r="AH3"/>
    </row>
    <row r="4" spans="1:44" x14ac:dyDescent="0.25">
      <c r="AG4" s="108"/>
      <c r="AH4"/>
    </row>
    <row r="5" spans="1:44" ht="43.5" customHeight="1" x14ac:dyDescent="0.25">
      <c r="A5" s="58" t="s">
        <v>64</v>
      </c>
      <c r="B5" s="58" t="s">
        <v>26</v>
      </c>
      <c r="C5" s="58" t="s">
        <v>11</v>
      </c>
      <c r="D5" s="58" t="s">
        <v>35</v>
      </c>
      <c r="E5" s="58" t="s">
        <v>39</v>
      </c>
      <c r="F5" s="58" t="s">
        <v>13</v>
      </c>
      <c r="G5" s="58" t="s">
        <v>14</v>
      </c>
      <c r="H5" s="58" t="s">
        <v>40</v>
      </c>
      <c r="I5" s="58" t="s">
        <v>59</v>
      </c>
      <c r="J5" s="58" t="s">
        <v>61</v>
      </c>
      <c r="K5" s="58" t="s">
        <v>62</v>
      </c>
      <c r="L5" s="58" t="s">
        <v>60</v>
      </c>
      <c r="M5" s="58" t="s">
        <v>47</v>
      </c>
      <c r="N5" s="58" t="s">
        <v>50</v>
      </c>
      <c r="O5" s="58" t="s">
        <v>53</v>
      </c>
      <c r="P5" s="58" t="s">
        <v>12</v>
      </c>
      <c r="Q5" s="58" t="s">
        <v>55</v>
      </c>
      <c r="R5" s="58" t="s">
        <v>56</v>
      </c>
      <c r="S5" s="58" t="s">
        <v>57</v>
      </c>
      <c r="T5" s="58" t="s">
        <v>58</v>
      </c>
      <c r="U5" s="59" t="s">
        <v>1097</v>
      </c>
      <c r="V5" s="58" t="s">
        <v>1107</v>
      </c>
      <c r="W5" s="58" t="s">
        <v>48</v>
      </c>
      <c r="X5" s="58" t="s">
        <v>49</v>
      </c>
      <c r="Y5" s="58" t="s">
        <v>1633</v>
      </c>
      <c r="Z5" s="58" t="s">
        <v>1101</v>
      </c>
      <c r="AA5" s="58" t="s">
        <v>84</v>
      </c>
      <c r="AB5" s="58" t="s">
        <v>1667</v>
      </c>
      <c r="AC5" s="58" t="s">
        <v>1668</v>
      </c>
      <c r="AD5" s="58" t="s">
        <v>25</v>
      </c>
      <c r="AE5" s="58" t="s">
        <v>1803</v>
      </c>
      <c r="AF5" s="58" t="s">
        <v>1804</v>
      </c>
      <c r="AG5" s="107" t="s">
        <v>63</v>
      </c>
      <c r="AH5" s="58" t="s">
        <v>1102</v>
      </c>
      <c r="AI5" s="59" t="s">
        <v>5</v>
      </c>
      <c r="AJ5" s="59" t="s">
        <v>7</v>
      </c>
      <c r="AK5" s="59" t="s">
        <v>6</v>
      </c>
      <c r="AL5" s="59" t="s">
        <v>8</v>
      </c>
      <c r="AM5" s="59" t="s">
        <v>1098</v>
      </c>
      <c r="AN5" s="59" t="s">
        <v>1099</v>
      </c>
      <c r="AO5" s="59" t="s">
        <v>1100</v>
      </c>
      <c r="AP5" s="59" t="s">
        <v>1111</v>
      </c>
      <c r="AQ5" s="59" t="s">
        <v>54</v>
      </c>
      <c r="AR5" s="59" t="s">
        <v>1095</v>
      </c>
    </row>
    <row r="6" spans="1:44" ht="30" hidden="1" customHeight="1" x14ac:dyDescent="0.25">
      <c r="A6" s="60" t="str">
        <f>UPPER(LEFT(Table2[[#This Row],[Contraente]],1))</f>
        <v>A</v>
      </c>
      <c r="B6" s="60" t="s">
        <v>1634</v>
      </c>
      <c r="C6" s="80" t="s">
        <v>210</v>
      </c>
      <c r="D6" s="80" t="s">
        <v>37</v>
      </c>
      <c r="E6" s="85">
        <v>105057185</v>
      </c>
      <c r="F6" s="29">
        <v>42447</v>
      </c>
      <c r="G6" s="64">
        <f>IFERROR(CALCOLASCADENZA(Table2[[#This Row],[Data attivazione]],Table2[[#This Row],[Rateizzazione]],Table2[[#This Row],[Data ultimo pagamento]],Table2[[#This Row],[Data prossima scadenza manuale]]),"-")</f>
        <v>42632</v>
      </c>
      <c r="H6" s="27" t="s">
        <v>31</v>
      </c>
      <c r="I6" s="28" t="s">
        <v>1126</v>
      </c>
      <c r="J6" s="33">
        <f>IFERROR(Table2[[#This Row],[Importo annuale]]/(12/VLOOKUP(Table2[[#This Row],[Rateizzazione]],TIPI_RATEIZZAZIONI,2,FALSE)),"-")</f>
        <v>470</v>
      </c>
      <c r="K6" s="88"/>
      <c r="L6" s="88">
        <v>940</v>
      </c>
      <c r="M6" s="27" t="s">
        <v>43</v>
      </c>
      <c r="N6" s="27" t="s">
        <v>51</v>
      </c>
      <c r="O6" s="27" t="s">
        <v>1631</v>
      </c>
      <c r="P6" s="33" t="s">
        <v>22</v>
      </c>
      <c r="Q6" s="60">
        <f>IFERROR(IF(12 / VLOOKUP(Table2[[#This Row],[Rateizzazione]],TIPI_RATEIZZAZIONI,2,FALSE) &gt;=1,  IF(Table2[[#This Row],[Data attivazione]] = "","-",MONTH(Table2[[#This Row],[Data attivazione]])),"-"),"-")</f>
        <v>9</v>
      </c>
      <c r="R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" s="67" t="s">
        <v>2</v>
      </c>
      <c r="V6" s="29"/>
      <c r="W6" s="64">
        <v>42266</v>
      </c>
      <c r="X6" s="29">
        <f>DATE(YEAR(Table2[[#This Row],[Data attivazione]])+VLOOKUP(Table2[[#This Row],[Durata]],VALORE_DURATA,2,FALSE),MONTH(Table2[[#This Row],[Data attivazione]]),DAY(Table2[[#This Row],[Data attivazione]]))</f>
        <v>42632</v>
      </c>
      <c r="Y6" s="30"/>
      <c r="Z6" s="61"/>
      <c r="AA6" s="64" t="s">
        <v>88</v>
      </c>
      <c r="AB6" s="29" t="str">
        <f>IF(Table2[[#This Row],[Data ultimo versamento temp]]=0/1/1900,"-",Table2[[#This Row],[Data ultimo versamento temp]])</f>
        <v>-</v>
      </c>
      <c r="AC6" s="29">
        <f t="array" ref="AC6">MAX(IF(TableVersamenti[Polizza]=Table2[[#This Row],[Polizza]],TableVersamenti[Data prevista versamento],"-"))</f>
        <v>0</v>
      </c>
      <c r="AD6" s="62"/>
      <c r="AE6" s="106">
        <f>DATE(YEAR(Table2[[#This Row],[Data ultimo pagamento]]),MONTH(Table2[[#This Row],[Data ultimo pagamento]]), 1)</f>
        <v>42430</v>
      </c>
      <c r="AF6" s="106">
        <f>DATE(YEAR(Table2[[#This Row],[Data prossima scadenza]]),MONTH(Table2[[#This Row],[Data prossima scadenza]]), 1)</f>
        <v>42614</v>
      </c>
      <c r="AG6" s="33">
        <f>IFERROR(Table2[[#This Row],[Importo annuale]]*VLOOKUP(Table2[[#This Row],[Ramo]],RAMI_POLIZZA,2,FALSE),0)</f>
        <v>48.879999999999995</v>
      </c>
      <c r="AH6" s="65" t="s">
        <v>113</v>
      </c>
      <c r="AI6" s="61" t="str">
        <f>IFERROR(VLOOKUP(Table2[[#This Row],[Contraente]],Table1[[Nome/Ragione sociale]:[Checkbox selezionato]],2,FALSE),"-")</f>
        <v>ALZANO LOMBARDO</v>
      </c>
      <c r="AJ6" s="61">
        <f>IFERROR(VLOOKUP(Table2[[#This Row],[Contraente]],Table1[[Nome/Ragione sociale]:[Checkbox selezionato]],3,FALSE),"-")</f>
        <v>3663059618</v>
      </c>
      <c r="AK6" s="61">
        <f>IFERROR(VLOOKUP(Table2[[#This Row],[Contraente]],Table1[[Nome/Ragione sociale]:[Checkbox selezionato]],4,FALSE),"-")</f>
        <v>0</v>
      </c>
      <c r="AL6" s="61" t="str">
        <f>IFERROR(VLOOKUP(Table2[[#This Row],[Contraente]],Table1[[Nome/Ragione sociale]:[Checkbox selezionato]],5,FALSE),"-")</f>
        <v>MOHAMED</v>
      </c>
      <c r="AM6" s="62">
        <f>IFERROR(VLOOKUP(Table2[[#This Row],[Contraente]],Table1[[Nome/Ragione sociale]:[Checkbox selezionato]],6,FALSE),"-")</f>
        <v>24658</v>
      </c>
      <c r="AN6" s="63" t="str">
        <f>IFERROR(VLOOKUP(Table2[[#This Row],[Contraente]],Table1[[Nome/Ragione sociale]:[Checkbox selezionato]],7,FALSE),"-")</f>
        <v>papies@libero.it</v>
      </c>
      <c r="AO6" s="63">
        <f>IFERROR(VLOOKUP(Table2[[#This Row],[Contraente]],Table1[[Nome/Ragione sociale]:[Checkbox selezionato]],8,FALSE),"-")</f>
        <v>0</v>
      </c>
      <c r="AP6" s="63">
        <f>IFERROR(VLOOKUP(Table2[[#This Row],[Contraente]],Table1[[Nome/Ragione sociale]:[Checkbox selezionato]],10,FALSE),"-")</f>
        <v>3663059618</v>
      </c>
      <c r="AQ6" s="63" t="str">
        <f>IFERROR(VLOOKUP(Table2[[#This Row],[Contraente]],Table1[[Nome/Ragione sociale]:[Checkbox selezionato]],11,FALSE),"-")</f>
        <v>SI</v>
      </c>
      <c r="AR6" s="63" t="str">
        <f>IFERROR(VLOOKUP(Table2[[#This Row],[Contraente]],Table1[[Nome/Ragione sociale]:[Checkbox selezionato]],12,FALSE),"-")</f>
        <v>SI</v>
      </c>
    </row>
    <row r="7" spans="1:44" ht="30" hidden="1" customHeight="1" x14ac:dyDescent="0.25">
      <c r="A7" s="60" t="str">
        <f>UPPER(LEFT(Table2[[#This Row],[Contraente]],1))</f>
        <v>A</v>
      </c>
      <c r="B7" s="60" t="s">
        <v>1634</v>
      </c>
      <c r="C7" s="89" t="s">
        <v>218</v>
      </c>
      <c r="D7" s="90" t="s">
        <v>37</v>
      </c>
      <c r="E7" s="91">
        <v>105219456</v>
      </c>
      <c r="F7" s="29">
        <v>42389</v>
      </c>
      <c r="G7" s="64">
        <f>IFERROR(CALCOLASCADENZA(Table2[[#This Row],[Data attivazione]],Table2[[#This Row],[Rateizzazione]],Table2[[#This Row],[Data ultimo pagamento]],Table2[[#This Row],[Data prossima scadenza manuale]]),"-")</f>
        <v>42755</v>
      </c>
      <c r="H7" s="67" t="s">
        <v>30</v>
      </c>
      <c r="I7" s="68" t="s">
        <v>113</v>
      </c>
      <c r="J7" s="33">
        <f>IFERROR(Table2[[#This Row],[Importo annuale]]/(12/VLOOKUP(Table2[[#This Row],[Rateizzazione]],TIPI_RATEIZZAZIONI,2,FALSE)),"-")</f>
        <v>177</v>
      </c>
      <c r="K7" s="66"/>
      <c r="L7" s="88">
        <v>177</v>
      </c>
      <c r="M7" s="67" t="s">
        <v>44</v>
      </c>
      <c r="N7" s="67" t="s">
        <v>52</v>
      </c>
      <c r="O7" s="27" t="s">
        <v>1631</v>
      </c>
      <c r="P7" s="92" t="s">
        <v>23</v>
      </c>
      <c r="Q7" s="60">
        <f>IFERROR(IF(12 / VLOOKUP(Table2[[#This Row],[Rateizzazione]],TIPI_RATEIZZAZIONI,2,FALSE) &gt;=1,  IF(Table2[[#This Row],[Data attivazione]] = "","-",MONTH(Table2[[#This Row],[Data attivazione]])),"-"),"-")</f>
        <v>1</v>
      </c>
      <c r="R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" s="67" t="s">
        <v>2</v>
      </c>
      <c r="V7" s="64"/>
      <c r="W7" s="64">
        <v>42389</v>
      </c>
      <c r="X7" s="29">
        <f>DATE(YEAR(Table2[[#This Row],[Data attivazione]])+VLOOKUP(Table2[[#This Row],[Durata]],VALORE_DURATA,2,FALSE),MONTH(Table2[[#This Row],[Data attivazione]]),DAY(Table2[[#This Row],[Data attivazione]]))</f>
        <v>42755</v>
      </c>
      <c r="Y7" s="93"/>
      <c r="Z7" s="61"/>
      <c r="AA7" s="64" t="s">
        <v>88</v>
      </c>
      <c r="AB7" s="29" t="str">
        <f>IF(Table2[[#This Row],[Data ultimo versamento temp]]=0/1/1900,"-",Table2[[#This Row],[Data ultimo versamento temp]])</f>
        <v>-</v>
      </c>
      <c r="AC7" s="29">
        <f t="array" ref="AC7">MAX(IF(TableVersamenti[Polizza]=Table2[[#This Row],[Polizza]],TableVersamenti[Data prevista versamento],"-"))</f>
        <v>0</v>
      </c>
      <c r="AD7" s="62"/>
      <c r="AE7" s="106">
        <f>DATE(YEAR(Table2[[#This Row],[Data ultimo pagamento]]),MONTH(Table2[[#This Row],[Data ultimo pagamento]]), 1)</f>
        <v>42370</v>
      </c>
      <c r="AF7" s="106">
        <f>DATE(YEAR(Table2[[#This Row],[Data prossima scadenza]]),MONTH(Table2[[#This Row],[Data prossima scadenza]]), 1)</f>
        <v>42736</v>
      </c>
      <c r="AG7" s="33">
        <f>IFERROR(Table2[[#This Row],[Importo annuale]]*VLOOKUP(Table2[[#This Row],[Ramo]],RAMI_POLIZZA,2,FALSE),0)</f>
        <v>20.355</v>
      </c>
      <c r="AH7" s="65" t="s">
        <v>113</v>
      </c>
      <c r="AI7" s="63" t="str">
        <f>IFERROR(VLOOKUP(Table2[[#This Row],[Contraente]],Table1[[Nome/Ragione sociale]:[Checkbox selezionato]],2,FALSE),"-")</f>
        <v>BELGIOIOSO</v>
      </c>
      <c r="AJ7" s="63">
        <f>IFERROR(VLOOKUP(Table2[[#This Row],[Contraente]],Table1[[Nome/Ragione sociale]:[Checkbox selezionato]],3,FALSE),"-")</f>
        <v>3922051090</v>
      </c>
      <c r="AK7" s="63">
        <f>IFERROR(VLOOKUP(Table2[[#This Row],[Contraente]],Table1[[Nome/Ragione sociale]:[Checkbox selezionato]],4,FALSE),"-")</f>
        <v>0</v>
      </c>
      <c r="AL7" s="63" t="str">
        <f>IFERROR(VLOOKUP(Table2[[#This Row],[Contraente]],Table1[[Nome/Ragione sociale]:[Checkbox selezionato]],5,FALSE),"-")</f>
        <v>FEDERICA</v>
      </c>
      <c r="AM7" s="62">
        <f>IFERROR(VLOOKUP(Table2[[#This Row],[Contraente]],Table1[[Nome/Ragione sociale]:[Checkbox selezionato]],6,FALSE),"-")</f>
        <v>31140</v>
      </c>
      <c r="AN7" s="63" t="str">
        <f>IFERROR(VLOOKUP(Table2[[#This Row],[Contraente]],Table1[[Nome/Ragione sociale]:[Checkbox selezionato]],7,FALSE),"-")</f>
        <v>papies@email.it</v>
      </c>
      <c r="AO7" s="63">
        <f>IFERROR(VLOOKUP(Table2[[#This Row],[Contraente]],Table1[[Nome/Ragione sociale]:[Checkbox selezionato]],8,FALSE),"-")</f>
        <v>0</v>
      </c>
      <c r="AP7" s="63">
        <f>IFERROR(VLOOKUP(Table2[[#This Row],[Contraente]],Table1[[Nome/Ragione sociale]:[Checkbox selezionato]],10,FALSE),"-")</f>
        <v>3922051090</v>
      </c>
      <c r="AQ7" s="63" t="str">
        <f>IFERROR(VLOOKUP(Table2[[#This Row],[Contraente]],Table1[[Nome/Ragione sociale]:[Checkbox selezionato]],11,FALSE),"-")</f>
        <v>SI</v>
      </c>
      <c r="AR7" s="63" t="str">
        <f>IFERROR(VLOOKUP(Table2[[#This Row],[Contraente]],Table1[[Nome/Ragione sociale]:[Checkbox selezionato]],12,FALSE),"-")</f>
        <v>SI</v>
      </c>
    </row>
    <row r="8" spans="1:44" ht="30" hidden="1" customHeight="1" x14ac:dyDescent="0.25">
      <c r="A8" s="60" t="str">
        <f>UPPER(LEFT(Table2[[#This Row],[Contraente]],1))</f>
        <v>A</v>
      </c>
      <c r="B8" s="60" t="s">
        <v>1634</v>
      </c>
      <c r="C8" s="80" t="s">
        <v>218</v>
      </c>
      <c r="D8" s="80" t="s">
        <v>37</v>
      </c>
      <c r="E8" s="85">
        <v>105308109</v>
      </c>
      <c r="F8" s="64">
        <v>42416</v>
      </c>
      <c r="G8" s="64">
        <f>IFERROR(CALCOLASCADENZA(Table2[[#This Row],[Data attivazione]],Table2[[#This Row],[Rateizzazione]],Table2[[#This Row],[Data ultimo pagamento]],Table2[[#This Row],[Data prossima scadenza manuale]]),"-")</f>
        <v>42782</v>
      </c>
      <c r="H8" s="67" t="s">
        <v>30</v>
      </c>
      <c r="I8" s="67" t="s">
        <v>113</v>
      </c>
      <c r="J8" s="33">
        <f>IFERROR(Table2[[#This Row],[Importo annuale]]/(12/VLOOKUP(Table2[[#This Row],[Rateizzazione]],TIPI_RATEIZZAZIONI,2,FALSE)),"-")</f>
        <v>365</v>
      </c>
      <c r="K8" s="88"/>
      <c r="L8" s="88">
        <v>365</v>
      </c>
      <c r="M8" s="67" t="s">
        <v>44</v>
      </c>
      <c r="N8" s="67" t="s">
        <v>52</v>
      </c>
      <c r="O8" s="27" t="s">
        <v>1631</v>
      </c>
      <c r="P8" s="33" t="s">
        <v>23</v>
      </c>
      <c r="Q8" s="60">
        <f>IFERROR(IF(12 / VLOOKUP(Table2[[#This Row],[Rateizzazione]],TIPI_RATEIZZAZIONI,2,FALSE) &gt;=1,  IF(Table2[[#This Row],[Data attivazione]] = "","-",MONTH(Table2[[#This Row],[Data attivazione]])),"-"),"-")</f>
        <v>2</v>
      </c>
      <c r="R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" s="67" t="s">
        <v>2</v>
      </c>
      <c r="V8" s="62"/>
      <c r="W8" s="64">
        <v>42416</v>
      </c>
      <c r="X8" s="29">
        <f>DATE(YEAR(Table2[[#This Row],[Data attivazione]])+VLOOKUP(Table2[[#This Row],[Durata]],VALORE_DURATA,2,FALSE),MONTH(Table2[[#This Row],[Data attivazione]]),DAY(Table2[[#This Row],[Data attivazione]]))</f>
        <v>42782</v>
      </c>
      <c r="Y8" s="65"/>
      <c r="Z8" s="61"/>
      <c r="AA8" s="64" t="s">
        <v>88</v>
      </c>
      <c r="AB8" s="29" t="str">
        <f>IF(Table2[[#This Row],[Data ultimo versamento temp]]=0/1/1900,"-",Table2[[#This Row],[Data ultimo versamento temp]])</f>
        <v>-</v>
      </c>
      <c r="AC8" s="29">
        <f t="array" ref="AC8">MAX(IF(TableVersamenti[Polizza]=Table2[[#This Row],[Polizza]],TableVersamenti[Data prevista versamento],"-"))</f>
        <v>0</v>
      </c>
      <c r="AD8" s="62"/>
      <c r="AE8" s="106">
        <f>DATE(YEAR(Table2[[#This Row],[Data ultimo pagamento]]),MONTH(Table2[[#This Row],[Data ultimo pagamento]]), 1)</f>
        <v>42401</v>
      </c>
      <c r="AF8" s="106">
        <f>DATE(YEAR(Table2[[#This Row],[Data prossima scadenza]]),MONTH(Table2[[#This Row],[Data prossima scadenza]]), 1)</f>
        <v>42767</v>
      </c>
      <c r="AG8" s="33">
        <f>IFERROR(Table2[[#This Row],[Importo annuale]]*VLOOKUP(Table2[[#This Row],[Ramo]],RAMI_POLIZZA,2,FALSE),0)</f>
        <v>41.975000000000001</v>
      </c>
      <c r="AH8" s="65" t="s">
        <v>113</v>
      </c>
      <c r="AI8" s="63" t="str">
        <f>IFERROR(VLOOKUP(Table2[[#This Row],[Contraente]],Table1[[Nome/Ragione sociale]:[Checkbox selezionato]],2,FALSE),"-")</f>
        <v>BELGIOIOSO</v>
      </c>
      <c r="AJ8" s="63">
        <f>IFERROR(VLOOKUP(Table2[[#This Row],[Contraente]],Table1[[Nome/Ragione sociale]:[Checkbox selezionato]],3,FALSE),"-")</f>
        <v>3922051090</v>
      </c>
      <c r="AK8" s="63">
        <f>IFERROR(VLOOKUP(Table2[[#This Row],[Contraente]],Table1[[Nome/Ragione sociale]:[Checkbox selezionato]],4,FALSE),"-")</f>
        <v>0</v>
      </c>
      <c r="AL8" s="63" t="str">
        <f>IFERROR(VLOOKUP(Table2[[#This Row],[Contraente]],Table1[[Nome/Ragione sociale]:[Checkbox selezionato]],5,FALSE),"-")</f>
        <v>FEDERICA</v>
      </c>
      <c r="AM8" s="62">
        <f>IFERROR(VLOOKUP(Table2[[#This Row],[Contraente]],Table1[[Nome/Ragione sociale]:[Checkbox selezionato]],6,FALSE),"-")</f>
        <v>31140</v>
      </c>
      <c r="AN8" s="63" t="str">
        <f>IFERROR(VLOOKUP(Table2[[#This Row],[Contraente]],Table1[[Nome/Ragione sociale]:[Checkbox selezionato]],7,FALSE),"-")</f>
        <v>papies@email.it</v>
      </c>
      <c r="AO8" s="63">
        <f>IFERROR(VLOOKUP(Table2[[#This Row],[Contraente]],Table1[[Nome/Ragione sociale]:[Checkbox selezionato]],8,FALSE),"-")</f>
        <v>0</v>
      </c>
      <c r="AP8" s="63">
        <f>IFERROR(VLOOKUP(Table2[[#This Row],[Contraente]],Table1[[Nome/Ragione sociale]:[Checkbox selezionato]],10,FALSE),"-")</f>
        <v>3922051090</v>
      </c>
      <c r="AQ8" s="63" t="str">
        <f>IFERROR(VLOOKUP(Table2[[#This Row],[Contraente]],Table1[[Nome/Ragione sociale]:[Checkbox selezionato]],11,FALSE),"-")</f>
        <v>SI</v>
      </c>
      <c r="AR8" s="63" t="str">
        <f>IFERROR(VLOOKUP(Table2[[#This Row],[Contraente]],Table1[[Nome/Ragione sociale]:[Checkbox selezionato]],12,FALSE),"-")</f>
        <v>SI</v>
      </c>
    </row>
    <row r="9" spans="1:44" ht="30" hidden="1" customHeight="1" x14ac:dyDescent="0.25">
      <c r="A9" s="60" t="str">
        <f>UPPER(LEFT(Table2[[#This Row],[Contraente]],1))</f>
        <v>A</v>
      </c>
      <c r="B9" s="60" t="s">
        <v>1634</v>
      </c>
      <c r="C9" s="80" t="s">
        <v>219</v>
      </c>
      <c r="D9" s="80" t="s">
        <v>37</v>
      </c>
      <c r="E9" s="86">
        <v>103960938</v>
      </c>
      <c r="F9" s="64">
        <v>42772</v>
      </c>
      <c r="G9" s="64">
        <f>IFERROR(CALCOLASCADENZA(Table2[[#This Row],[Data attivazione]],Table2[[#This Row],[Rateizzazione]],Table2[[#This Row],[Data ultimo pagamento]],Table2[[#This Row],[Data prossima scadenza manuale]]),"-")</f>
        <v>43154</v>
      </c>
      <c r="H9" s="67" t="s">
        <v>30</v>
      </c>
      <c r="I9" s="67" t="s">
        <v>113</v>
      </c>
      <c r="J9" s="33">
        <f>IFERROR(Table2[[#This Row],[Importo annuale]]/(12/VLOOKUP(Table2[[#This Row],[Rateizzazione]],TIPI_RATEIZZAZIONI,2,FALSE)),"-")</f>
        <v>114</v>
      </c>
      <c r="K9" s="88">
        <v>114</v>
      </c>
      <c r="L9" s="88">
        <v>114</v>
      </c>
      <c r="M9" s="67" t="s">
        <v>43</v>
      </c>
      <c r="N9" s="67" t="s">
        <v>51</v>
      </c>
      <c r="O9" s="27" t="s">
        <v>1631</v>
      </c>
      <c r="P9" s="33" t="s">
        <v>23</v>
      </c>
      <c r="Q9" s="60">
        <f>IFERROR(IF(12 / VLOOKUP(Table2[[#This Row],[Rateizzazione]],TIPI_RATEIZZAZIONI,2,FALSE) &gt;=1,  IF(Table2[[#This Row],[Data attivazione]] = "","-",MONTH(Table2[[#This Row],[Data attivazione]])),"-"),"-")</f>
        <v>2</v>
      </c>
      <c r="R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" s="67" t="s">
        <v>2</v>
      </c>
      <c r="V9" s="62"/>
      <c r="W9" s="64">
        <v>42789</v>
      </c>
      <c r="X9" s="29">
        <f>DATE(YEAR(Table2[[#This Row],[Data attivazione]])+VLOOKUP(Table2[[#This Row],[Durata]],VALORE_DURATA,2,FALSE),MONTH(Table2[[#This Row],[Data attivazione]]),DAY(Table2[[#This Row],[Data attivazione]]))</f>
        <v>43154</v>
      </c>
      <c r="Y9" s="65"/>
      <c r="Z9" s="61"/>
      <c r="AA9" s="64" t="s">
        <v>88</v>
      </c>
      <c r="AB9" s="29" t="str">
        <f>IF(Table2[[#This Row],[Data ultimo versamento temp]]=0/1/1900,"-",Table2[[#This Row],[Data ultimo versamento temp]])</f>
        <v>-</v>
      </c>
      <c r="AC9" s="29">
        <f t="array" ref="AC9">MAX(IF(TableVersamenti[Polizza]=Table2[[#This Row],[Polizza]],TableVersamenti[Data prevista versamento],"-"))</f>
        <v>0</v>
      </c>
      <c r="AD9" s="62"/>
      <c r="AE9" s="106">
        <f>DATE(YEAR(Table2[[#This Row],[Data ultimo pagamento]]),MONTH(Table2[[#This Row],[Data ultimo pagamento]]), 1)</f>
        <v>42767</v>
      </c>
      <c r="AF9" s="106">
        <f>DATE(YEAR(Table2[[#This Row],[Data prossima scadenza]]),MONTH(Table2[[#This Row],[Data prossima scadenza]]), 1)</f>
        <v>43132</v>
      </c>
      <c r="AG9" s="33">
        <f>IFERROR(Table2[[#This Row],[Importo annuale]]*VLOOKUP(Table2[[#This Row],[Ramo]],RAMI_POLIZZA,2,FALSE),0)</f>
        <v>13.110000000000001</v>
      </c>
      <c r="AH9" s="65" t="s">
        <v>113</v>
      </c>
      <c r="AI9" s="63" t="str">
        <f>IFERROR(VLOOKUP(Table2[[#This Row],[Contraente]],Table1[[Nome/Ragione sociale]:[Checkbox selezionato]],2,FALSE),"-")</f>
        <v>CORTEOLONA</v>
      </c>
      <c r="AJ9" s="63">
        <f>IFERROR(VLOOKUP(Table2[[#This Row],[Contraente]],Table1[[Nome/Ragione sociale]:[Checkbox selezionato]],3,FALSE),"-")</f>
        <v>3396557141</v>
      </c>
      <c r="AK9" s="63" t="str">
        <f>IFERROR(VLOOKUP(Table2[[#This Row],[Contraente]],Table1[[Nome/Ragione sociale]:[Checkbox selezionato]],4,FALSE),"-")</f>
        <v>-</v>
      </c>
      <c r="AL9" s="63" t="str">
        <f>IFERROR(VLOOKUP(Table2[[#This Row],[Contraente]],Table1[[Nome/Ragione sociale]:[Checkbox selezionato]],5,FALSE),"-")</f>
        <v>ANNA</v>
      </c>
      <c r="AM9" s="62">
        <f>IFERROR(VLOOKUP(Table2[[#This Row],[Contraente]],Table1[[Nome/Ragione sociale]:[Checkbox selezionato]],6,FALSE),"-")</f>
        <v>17456</v>
      </c>
      <c r="AN9" s="63" t="str">
        <f>IFERROR(VLOOKUP(Table2[[#This Row],[Contraente]],Table1[[Nome/Ragione sociale]:[Checkbox selezionato]],7,FALSE),"-")</f>
        <v>papies@libero.it</v>
      </c>
      <c r="AO9" s="63">
        <f>IFERROR(VLOOKUP(Table2[[#This Row],[Contraente]],Table1[[Nome/Ragione sociale]:[Checkbox selezionato]],8,FALSE),"-")</f>
        <v>0</v>
      </c>
      <c r="AP9" s="63">
        <f>IFERROR(VLOOKUP(Table2[[#This Row],[Contraente]],Table1[[Nome/Ragione sociale]:[Checkbox selezionato]],10,FALSE),"-")</f>
        <v>3396557141</v>
      </c>
      <c r="AQ9" s="63" t="str">
        <f>IFERROR(VLOOKUP(Table2[[#This Row],[Contraente]],Table1[[Nome/Ragione sociale]:[Checkbox selezionato]],11,FALSE),"-")</f>
        <v>SI</v>
      </c>
      <c r="AR9" s="63" t="str">
        <f>IFERROR(VLOOKUP(Table2[[#This Row],[Contraente]],Table1[[Nome/Ragione sociale]:[Checkbox selezionato]],12,FALSE),"-")</f>
        <v>SI</v>
      </c>
    </row>
    <row r="10" spans="1:44" ht="30" hidden="1" customHeight="1" x14ac:dyDescent="0.25">
      <c r="A10" s="60" t="str">
        <f>UPPER(LEFT(Table2[[#This Row],[Contraente]],1))</f>
        <v>A</v>
      </c>
      <c r="B10" s="60" t="s">
        <v>1634</v>
      </c>
      <c r="C10" s="80" t="s">
        <v>219</v>
      </c>
      <c r="D10" s="81" t="s">
        <v>37</v>
      </c>
      <c r="E10" s="86">
        <v>103888087</v>
      </c>
      <c r="F10" s="64">
        <v>42929</v>
      </c>
      <c r="G10" s="64">
        <f>IFERROR(CALCOLASCADENZA(Table2[[#This Row],[Data attivazione]],Table2[[#This Row],[Rateizzazione]],Table2[[#This Row],[Data ultimo pagamento]],Table2[[#This Row],[Data prossima scadenza manuale]]),"-")</f>
        <v>43113</v>
      </c>
      <c r="H10" s="67" t="s">
        <v>30</v>
      </c>
      <c r="I10" s="67" t="s">
        <v>113</v>
      </c>
      <c r="J10" s="92">
        <f>IFERROR(Table2[[#This Row],[Importo annuale]]/(12/VLOOKUP(Table2[[#This Row],[Rateizzazione]],TIPI_RATEIZZAZIONI,2,FALSE)),"-")</f>
        <v>32</v>
      </c>
      <c r="K10" s="88">
        <v>64</v>
      </c>
      <c r="L10" s="88">
        <v>64</v>
      </c>
      <c r="M10" s="67" t="s">
        <v>44</v>
      </c>
      <c r="N10" s="67" t="s">
        <v>51</v>
      </c>
      <c r="O10" s="67" t="s">
        <v>1631</v>
      </c>
      <c r="P10" s="33" t="s">
        <v>22</v>
      </c>
      <c r="Q10" s="60">
        <f>IFERROR(IF(12 / VLOOKUP(Table2[[#This Row],[Rateizzazione]],TIPI_RATEIZZAZIONI,2,FALSE) &gt;=1,  IF(Table2[[#This Row],[Data attivazione]] = "","-",MONTH(Table2[[#This Row],[Data attivazione]])),"-"),"-")</f>
        <v>1</v>
      </c>
      <c r="R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" s="68" t="s">
        <v>2</v>
      </c>
      <c r="V10" s="62"/>
      <c r="W10" s="64">
        <v>42748</v>
      </c>
      <c r="X10" s="29">
        <f>DATE(YEAR(Table2[[#This Row],[Data attivazione]])+VLOOKUP(Table2[[#This Row],[Durata]],VALORE_DURATA,2,FALSE),MONTH(Table2[[#This Row],[Data attivazione]]),DAY(Table2[[#This Row],[Data attivazione]]))</f>
        <v>43113</v>
      </c>
      <c r="Y10" s="65"/>
      <c r="Z10" s="61"/>
      <c r="AA10" s="64" t="s">
        <v>85</v>
      </c>
      <c r="AB10" s="29">
        <f>IF(Table2[[#This Row],[Data ultimo versamento temp]]=0/1/1900,"-",Table2[[#This Row],[Data ultimo versamento temp]])</f>
        <v>42933</v>
      </c>
      <c r="AC10" s="29">
        <f t="array" ref="AC10">MAX(IF(TableVersamenti[Polizza]=Table2[[#This Row],[Polizza]],TableVersamenti[Data prevista versamento],"-"))</f>
        <v>42933</v>
      </c>
      <c r="AD10" s="62"/>
      <c r="AE10" s="105">
        <f>DATE(YEAR(Table2[[#This Row],[Data ultimo pagamento]]),MONTH(Table2[[#This Row],[Data ultimo pagamento]]), 1)</f>
        <v>42917</v>
      </c>
      <c r="AF10" s="106">
        <f>DATE(YEAR(Table2[[#This Row],[Data prossima scadenza]]),MONTH(Table2[[#This Row],[Data prossima scadenza]]), 1)</f>
        <v>43101</v>
      </c>
      <c r="AG10" s="92">
        <f>IFERROR(Table2[[#This Row],[Importo annuale]]*VLOOKUP(Table2[[#This Row],[Ramo]],RAMI_POLIZZA,2,FALSE),0)</f>
        <v>7.36</v>
      </c>
      <c r="AH10" s="65" t="s">
        <v>113</v>
      </c>
      <c r="AI10" s="63" t="str">
        <f>IFERROR(VLOOKUP(Table2[[#This Row],[Contraente]],Table1[[Nome/Ragione sociale]:[Checkbox selezionato]],2,FALSE),"-")</f>
        <v>CORTEOLONA</v>
      </c>
      <c r="AJ10" s="63">
        <f>IFERROR(VLOOKUP(Table2[[#This Row],[Contraente]],Table1[[Nome/Ragione sociale]:[Checkbox selezionato]],3,FALSE),"-")</f>
        <v>3396557141</v>
      </c>
      <c r="AK10" s="63" t="str">
        <f>IFERROR(VLOOKUP(Table2[[#This Row],[Contraente]],Table1[[Nome/Ragione sociale]:[Checkbox selezionato]],4,FALSE),"-")</f>
        <v>-</v>
      </c>
      <c r="AL10" s="63" t="str">
        <f>IFERROR(VLOOKUP(Table2[[#This Row],[Contraente]],Table1[[Nome/Ragione sociale]:[Checkbox selezionato]],5,FALSE),"-")</f>
        <v>ANNA</v>
      </c>
      <c r="AM10" s="62">
        <f>IFERROR(VLOOKUP(Table2[[#This Row],[Contraente]],Table1[[Nome/Ragione sociale]:[Checkbox selezionato]],6,FALSE),"-")</f>
        <v>17456</v>
      </c>
      <c r="AN10" s="63" t="str">
        <f>IFERROR(VLOOKUP(Table2[[#This Row],[Contraente]],Table1[[Nome/Ragione sociale]:[Checkbox selezionato]],7,FALSE),"-")</f>
        <v>papies@libero.it</v>
      </c>
      <c r="AO10" s="63">
        <f>IFERROR(VLOOKUP(Table2[[#This Row],[Contraente]],Table1[[Nome/Ragione sociale]:[Checkbox selezionato]],8,FALSE),"-")</f>
        <v>0</v>
      </c>
      <c r="AP10" s="63">
        <f>IFERROR(VLOOKUP(Table2[[#This Row],[Contraente]],Table1[[Nome/Ragione sociale]:[Checkbox selezionato]],10,FALSE),"-")</f>
        <v>3396557141</v>
      </c>
      <c r="AQ10" s="63" t="str">
        <f>IFERROR(VLOOKUP(Table2[[#This Row],[Contraente]],Table1[[Nome/Ragione sociale]:[Checkbox selezionato]],11,FALSE),"-")</f>
        <v>SI</v>
      </c>
      <c r="AR10" s="63" t="str">
        <f>IFERROR(VLOOKUP(Table2[[#This Row],[Contraente]],Table1[[Nome/Ragione sociale]:[Checkbox selezionato]],12,FALSE),"-")</f>
        <v>SI</v>
      </c>
    </row>
    <row r="11" spans="1:44" ht="30" hidden="1" customHeight="1" x14ac:dyDescent="0.25">
      <c r="A11" s="60" t="str">
        <f>UPPER(LEFT(Table2[[#This Row],[Contraente]],1))</f>
        <v>A</v>
      </c>
      <c r="B11" s="60" t="s">
        <v>1634</v>
      </c>
      <c r="C11" s="80" t="s">
        <v>219</v>
      </c>
      <c r="D11" s="81" t="s">
        <v>37</v>
      </c>
      <c r="E11" s="86">
        <v>106417248</v>
      </c>
      <c r="F11" s="64">
        <v>42929</v>
      </c>
      <c r="G11" s="64">
        <f>IFERROR(CALCOLASCADENZA(Table2[[#This Row],[Data attivazione]],Table2[[#This Row],[Rateizzazione]],Table2[[#This Row],[Data ultimo pagamento]],Table2[[#This Row],[Data prossima scadenza manuale]]),"-")</f>
        <v>43113</v>
      </c>
      <c r="H11" s="67" t="s">
        <v>31</v>
      </c>
      <c r="I11" s="67" t="s">
        <v>1129</v>
      </c>
      <c r="J11" s="92">
        <f>IFERROR(Table2[[#This Row],[Importo annuale]]/(12/VLOOKUP(Table2[[#This Row],[Rateizzazione]],TIPI_RATEIZZAZIONI,2,FALSE)),"-")</f>
        <v>348</v>
      </c>
      <c r="K11" s="88">
        <v>696</v>
      </c>
      <c r="L11" s="88">
        <v>696</v>
      </c>
      <c r="M11" s="67" t="s">
        <v>44</v>
      </c>
      <c r="N11" s="67" t="s">
        <v>51</v>
      </c>
      <c r="O11" s="67" t="s">
        <v>1631</v>
      </c>
      <c r="P11" s="33" t="s">
        <v>22</v>
      </c>
      <c r="Q11" s="60">
        <f>IFERROR(IF(12 / VLOOKUP(Table2[[#This Row],[Rateizzazione]],TIPI_RATEIZZAZIONI,2,FALSE) &gt;=1,  IF(Table2[[#This Row],[Data attivazione]] = "","-",MONTH(Table2[[#This Row],[Data attivazione]])),"-"),"-")</f>
        <v>1</v>
      </c>
      <c r="R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" s="68" t="s">
        <v>2</v>
      </c>
      <c r="V11" s="62"/>
      <c r="W11" s="64">
        <v>42748</v>
      </c>
      <c r="X11" s="29">
        <f>DATE(YEAR(Table2[[#This Row],[Data attivazione]])+VLOOKUP(Table2[[#This Row],[Durata]],VALORE_DURATA,2,FALSE),MONTH(Table2[[#This Row],[Data attivazione]]),DAY(Table2[[#This Row],[Data attivazione]]))</f>
        <v>43113</v>
      </c>
      <c r="Y11" s="65"/>
      <c r="Z11" s="61"/>
      <c r="AA11" s="64" t="s">
        <v>85</v>
      </c>
      <c r="AB11" s="29">
        <f>IF(Table2[[#This Row],[Data ultimo versamento temp]]=0/1/1900,"-",Table2[[#This Row],[Data ultimo versamento temp]])</f>
        <v>42933</v>
      </c>
      <c r="AC11" s="29">
        <f t="array" ref="AC11">MAX(IF(TableVersamenti[Polizza]=Table2[[#This Row],[Polizza]],TableVersamenti[Data prevista versamento],"-"))</f>
        <v>42933</v>
      </c>
      <c r="AD11" s="62"/>
      <c r="AE11" s="105">
        <f>DATE(YEAR(Table2[[#This Row],[Data ultimo pagamento]]),MONTH(Table2[[#This Row],[Data ultimo pagamento]]), 1)</f>
        <v>42917</v>
      </c>
      <c r="AF11" s="106">
        <f>DATE(YEAR(Table2[[#This Row],[Data prossima scadenza]]),MONTH(Table2[[#This Row],[Data prossima scadenza]]), 1)</f>
        <v>43101</v>
      </c>
      <c r="AG11" s="92">
        <f>IFERROR(Table2[[#This Row],[Importo annuale]]*VLOOKUP(Table2[[#This Row],[Ramo]],RAMI_POLIZZA,2,FALSE),0)</f>
        <v>36.192</v>
      </c>
      <c r="AH11" s="65" t="s">
        <v>113</v>
      </c>
      <c r="AI11" s="63" t="str">
        <f>IFERROR(VLOOKUP(Table2[[#This Row],[Contraente]],Table1[[Nome/Ragione sociale]:[Checkbox selezionato]],2,FALSE),"-")</f>
        <v>CORTEOLONA</v>
      </c>
      <c r="AJ11" s="63">
        <f>IFERROR(VLOOKUP(Table2[[#This Row],[Contraente]],Table1[[Nome/Ragione sociale]:[Checkbox selezionato]],3,FALSE),"-")</f>
        <v>3396557141</v>
      </c>
      <c r="AK11" s="63" t="str">
        <f>IFERROR(VLOOKUP(Table2[[#This Row],[Contraente]],Table1[[Nome/Ragione sociale]:[Checkbox selezionato]],4,FALSE),"-")</f>
        <v>-</v>
      </c>
      <c r="AL11" s="63" t="str">
        <f>IFERROR(VLOOKUP(Table2[[#This Row],[Contraente]],Table1[[Nome/Ragione sociale]:[Checkbox selezionato]],5,FALSE),"-")</f>
        <v>ANNA</v>
      </c>
      <c r="AM11" s="62">
        <f>IFERROR(VLOOKUP(Table2[[#This Row],[Contraente]],Table1[[Nome/Ragione sociale]:[Checkbox selezionato]],6,FALSE),"-")</f>
        <v>17456</v>
      </c>
      <c r="AN11" s="63" t="str">
        <f>IFERROR(VLOOKUP(Table2[[#This Row],[Contraente]],Table1[[Nome/Ragione sociale]:[Checkbox selezionato]],7,FALSE),"-")</f>
        <v>papies@libero.it</v>
      </c>
      <c r="AO11" s="63">
        <f>IFERROR(VLOOKUP(Table2[[#This Row],[Contraente]],Table1[[Nome/Ragione sociale]:[Checkbox selezionato]],8,FALSE),"-")</f>
        <v>0</v>
      </c>
      <c r="AP11" s="63">
        <f>IFERROR(VLOOKUP(Table2[[#This Row],[Contraente]],Table1[[Nome/Ragione sociale]:[Checkbox selezionato]],10,FALSE),"-")</f>
        <v>3396557141</v>
      </c>
      <c r="AQ11" s="63" t="str">
        <f>IFERROR(VLOOKUP(Table2[[#This Row],[Contraente]],Table1[[Nome/Ragione sociale]:[Checkbox selezionato]],11,FALSE),"-")</f>
        <v>SI</v>
      </c>
      <c r="AR11" s="63" t="str">
        <f>IFERROR(VLOOKUP(Table2[[#This Row],[Contraente]],Table1[[Nome/Ragione sociale]:[Checkbox selezionato]],12,FALSE),"-")</f>
        <v>SI</v>
      </c>
    </row>
    <row r="12" spans="1:44" ht="30" hidden="1" customHeight="1" x14ac:dyDescent="0.25">
      <c r="A12" s="60" t="str">
        <f>UPPER(LEFT(Table2[[#This Row],[Contraente]],1))</f>
        <v>A</v>
      </c>
      <c r="B12" s="60" t="s">
        <v>1634</v>
      </c>
      <c r="C12" s="80" t="s">
        <v>240</v>
      </c>
      <c r="D12" s="81" t="s">
        <v>37</v>
      </c>
      <c r="E12" s="86">
        <v>105646940</v>
      </c>
      <c r="F12" s="64">
        <v>42870</v>
      </c>
      <c r="G12" s="64">
        <f>IFERROR(CALCOLASCADENZA(Table2[[#This Row],[Data attivazione]],Table2[[#This Row],[Rateizzazione]],Table2[[#This Row],[Data ultimo pagamento]],Table2[[#This Row],[Data prossima scadenza manuale]]),"-")</f>
        <v>43062</v>
      </c>
      <c r="H12" s="67" t="s">
        <v>30</v>
      </c>
      <c r="I12" s="67" t="s">
        <v>113</v>
      </c>
      <c r="J12" s="92">
        <f>IFERROR(Table2[[#This Row],[Importo annuale]]/(12/VLOOKUP(Table2[[#This Row],[Rateizzazione]],TIPI_RATEIZZAZIONI,2,FALSE)),"-")</f>
        <v>521</v>
      </c>
      <c r="K12" s="88">
        <v>521</v>
      </c>
      <c r="L12" s="88">
        <v>1042</v>
      </c>
      <c r="M12" s="67" t="s">
        <v>45</v>
      </c>
      <c r="N12" s="67" t="s">
        <v>51</v>
      </c>
      <c r="O12" s="67" t="s">
        <v>1631</v>
      </c>
      <c r="P12" s="33" t="s">
        <v>22</v>
      </c>
      <c r="Q12" s="60">
        <f>IFERROR(IF(12 / VLOOKUP(Table2[[#This Row],[Rateizzazione]],TIPI_RATEIZZAZIONI,2,FALSE) &gt;=1,  IF(Table2[[#This Row],[Data attivazione]] = "","-",MONTH(Table2[[#This Row],[Data attivazione]])),"-"),"-")</f>
        <v>11</v>
      </c>
      <c r="R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" s="68" t="s">
        <v>2</v>
      </c>
      <c r="V12" s="62"/>
      <c r="W12" s="64">
        <v>42697</v>
      </c>
      <c r="X12" s="29">
        <f>DATE(YEAR(Table2[[#This Row],[Data attivazione]])+VLOOKUP(Table2[[#This Row],[Durata]],VALORE_DURATA,2,FALSE),MONTH(Table2[[#This Row],[Data attivazione]]),DAY(Table2[[#This Row],[Data attivazione]]))</f>
        <v>43062</v>
      </c>
      <c r="Y12" s="65"/>
      <c r="Z12" s="61"/>
      <c r="AA12" s="64" t="s">
        <v>85</v>
      </c>
      <c r="AB12" s="29" t="str">
        <f>IF(Table2[[#This Row],[Data ultimo versamento temp]]=0/1/1900,"-",Table2[[#This Row],[Data ultimo versamento temp]])</f>
        <v>-</v>
      </c>
      <c r="AC12" s="29">
        <f t="array" ref="AC12">MAX(IF(TableVersamenti[Polizza]=Table2[[#This Row],[Polizza]],TableVersamenti[Data prevista versamento],"-"))</f>
        <v>0</v>
      </c>
      <c r="AD12" s="62"/>
      <c r="AE12" s="105">
        <f>DATE(YEAR(Table2[[#This Row],[Data ultimo pagamento]]),MONTH(Table2[[#This Row],[Data ultimo pagamento]]), 1)</f>
        <v>42856</v>
      </c>
      <c r="AF12" s="106">
        <f>DATE(YEAR(Table2[[#This Row],[Data prossima scadenza]]),MONTH(Table2[[#This Row],[Data prossima scadenza]]), 1)</f>
        <v>43040</v>
      </c>
      <c r="AG12" s="92">
        <f>IFERROR(Table2[[#This Row],[Importo annuale]]*VLOOKUP(Table2[[#This Row],[Ramo]],RAMI_POLIZZA,2,FALSE),0)</f>
        <v>119.83</v>
      </c>
      <c r="AH12" s="65" t="s">
        <v>113</v>
      </c>
      <c r="AI12" s="63" t="str">
        <f>IFERROR(VLOOKUP(Table2[[#This Row],[Contraente]],Table1[[Nome/Ragione sociale]:[Checkbox selezionato]],2,FALSE),"-")</f>
        <v>MONTU' BECCARIA</v>
      </c>
      <c r="AJ12" s="63">
        <f>IFERROR(VLOOKUP(Table2[[#This Row],[Contraente]],Table1[[Nome/Ragione sociale]:[Checkbox selezionato]],3,FALSE),"-")</f>
        <v>3388042679</v>
      </c>
      <c r="AK12" s="63">
        <f>IFERROR(VLOOKUP(Table2[[#This Row],[Contraente]],Table1[[Nome/Ragione sociale]:[Checkbox selezionato]],4,FALSE),"-")</f>
        <v>0</v>
      </c>
      <c r="AL12" s="63" t="str">
        <f>IFERROR(VLOOKUP(Table2[[#This Row],[Contraente]],Table1[[Nome/Ragione sociale]:[Checkbox selezionato]],5,FALSE),"-")</f>
        <v>MICHELE</v>
      </c>
      <c r="AM12" s="62" t="str">
        <f>IFERROR(VLOOKUP(Table2[[#This Row],[Contraente]],Table1[[Nome/Ragione sociale]:[Checkbox selezionato]],6,FALSE),"-")</f>
        <v>-</v>
      </c>
      <c r="AN12" s="63" t="str">
        <f>IFERROR(VLOOKUP(Table2[[#This Row],[Contraente]],Table1[[Nome/Ragione sociale]:[Checkbox selezionato]],7,FALSE),"-")</f>
        <v>papies@libero.it</v>
      </c>
      <c r="AO12" s="63">
        <f>IFERROR(VLOOKUP(Table2[[#This Row],[Contraente]],Table1[[Nome/Ragione sociale]:[Checkbox selezionato]],8,FALSE),"-")</f>
        <v>0</v>
      </c>
      <c r="AP12" s="63">
        <f>IFERROR(VLOOKUP(Table2[[#This Row],[Contraente]],Table1[[Nome/Ragione sociale]:[Checkbox selezionato]],10,FALSE),"-")</f>
        <v>3388042679</v>
      </c>
      <c r="AQ12" s="63" t="str">
        <f>IFERROR(VLOOKUP(Table2[[#This Row],[Contraente]],Table1[[Nome/Ragione sociale]:[Checkbox selezionato]],11,FALSE),"-")</f>
        <v>SI</v>
      </c>
      <c r="AR12" s="63" t="str">
        <f>IFERROR(VLOOKUP(Table2[[#This Row],[Contraente]],Table1[[Nome/Ragione sociale]:[Checkbox selezionato]],12,FALSE),"-")</f>
        <v>SI</v>
      </c>
    </row>
    <row r="13" spans="1:44" ht="30" hidden="1" customHeight="1" x14ac:dyDescent="0.25">
      <c r="A13" s="60" t="str">
        <f>UPPER(LEFT(Table2[[#This Row],[Contraente]],1))</f>
        <v>A</v>
      </c>
      <c r="B13" s="60" t="s">
        <v>1634</v>
      </c>
      <c r="C13" s="80" t="s">
        <v>240</v>
      </c>
      <c r="D13" s="80" t="s">
        <v>37</v>
      </c>
      <c r="E13" s="85">
        <v>104436438</v>
      </c>
      <c r="F13" s="64">
        <v>42870</v>
      </c>
      <c r="G13" s="64">
        <f>IFERROR(CALCOLASCADENZA(Table2[[#This Row],[Data attivazione]],Table2[[#This Row],[Rateizzazione]],Table2[[#This Row],[Data ultimo pagamento]],Table2[[#This Row],[Data prossima scadenza manuale]]),"-")</f>
        <v>43062</v>
      </c>
      <c r="H13" s="67" t="s">
        <v>30</v>
      </c>
      <c r="I13" s="67" t="s">
        <v>113</v>
      </c>
      <c r="J13" s="33">
        <f>IFERROR(Table2[[#This Row],[Importo annuale]]/(12/VLOOKUP(Table2[[#This Row],[Rateizzazione]],TIPI_RATEIZZAZIONI,2,FALSE)),"-")</f>
        <v>401</v>
      </c>
      <c r="K13" s="88">
        <v>401</v>
      </c>
      <c r="L13" s="88">
        <v>802</v>
      </c>
      <c r="M13" s="67" t="s">
        <v>45</v>
      </c>
      <c r="N13" s="67" t="s">
        <v>51</v>
      </c>
      <c r="O13" s="27" t="s">
        <v>1631</v>
      </c>
      <c r="P13" s="33" t="s">
        <v>22</v>
      </c>
      <c r="Q13" s="60">
        <f>IFERROR(IF(12 / VLOOKUP(Table2[[#This Row],[Rateizzazione]],TIPI_RATEIZZAZIONI,2,FALSE) &gt;=1,  IF(Table2[[#This Row],[Data attivazione]] = "","-",MONTH(Table2[[#This Row],[Data attivazione]])),"-"),"-")</f>
        <v>11</v>
      </c>
      <c r="R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" s="67" t="s">
        <v>2</v>
      </c>
      <c r="V13" s="62"/>
      <c r="W13" s="64">
        <v>42697</v>
      </c>
      <c r="X13" s="29">
        <f>DATE(YEAR(Table2[[#This Row],[Data attivazione]])+VLOOKUP(Table2[[#This Row],[Durata]],VALORE_DURATA,2,FALSE),MONTH(Table2[[#This Row],[Data attivazione]]),DAY(Table2[[#This Row],[Data attivazione]]))</f>
        <v>43062</v>
      </c>
      <c r="Y13" s="65"/>
      <c r="Z13" s="61"/>
      <c r="AA13" s="64" t="s">
        <v>85</v>
      </c>
      <c r="AB13" s="29" t="str">
        <f>IF(Table2[[#This Row],[Data ultimo versamento temp]]=0/1/1900,"-",Table2[[#This Row],[Data ultimo versamento temp]])</f>
        <v>-</v>
      </c>
      <c r="AC13" s="29">
        <f t="array" ref="AC13">MAX(IF(TableVersamenti[Polizza]=Table2[[#This Row],[Polizza]],TableVersamenti[Data prevista versamento],"-"))</f>
        <v>0</v>
      </c>
      <c r="AD13" s="62"/>
      <c r="AE13" s="106">
        <f>DATE(YEAR(Table2[[#This Row],[Data ultimo pagamento]]),MONTH(Table2[[#This Row],[Data ultimo pagamento]]), 1)</f>
        <v>42856</v>
      </c>
      <c r="AF13" s="106">
        <f>DATE(YEAR(Table2[[#This Row],[Data prossima scadenza]]),MONTH(Table2[[#This Row],[Data prossima scadenza]]), 1)</f>
        <v>43040</v>
      </c>
      <c r="AG13" s="33">
        <f>IFERROR(Table2[[#This Row],[Importo annuale]]*VLOOKUP(Table2[[#This Row],[Ramo]],RAMI_POLIZZA,2,FALSE),0)</f>
        <v>92.23</v>
      </c>
      <c r="AH13" s="65" t="s">
        <v>113</v>
      </c>
      <c r="AI13" s="63" t="str">
        <f>IFERROR(VLOOKUP(Table2[[#This Row],[Contraente]],Table1[[Nome/Ragione sociale]:[Checkbox selezionato]],2,FALSE),"-")</f>
        <v>MONTU' BECCARIA</v>
      </c>
      <c r="AJ13" s="63">
        <f>IFERROR(VLOOKUP(Table2[[#This Row],[Contraente]],Table1[[Nome/Ragione sociale]:[Checkbox selezionato]],3,FALSE),"-")</f>
        <v>3388042679</v>
      </c>
      <c r="AK13" s="63">
        <f>IFERROR(VLOOKUP(Table2[[#This Row],[Contraente]],Table1[[Nome/Ragione sociale]:[Checkbox selezionato]],4,FALSE),"-")</f>
        <v>0</v>
      </c>
      <c r="AL13" s="63" t="str">
        <f>IFERROR(VLOOKUP(Table2[[#This Row],[Contraente]],Table1[[Nome/Ragione sociale]:[Checkbox selezionato]],5,FALSE),"-")</f>
        <v>MICHELE</v>
      </c>
      <c r="AM13" s="62" t="str">
        <f>IFERROR(VLOOKUP(Table2[[#This Row],[Contraente]],Table1[[Nome/Ragione sociale]:[Checkbox selezionato]],6,FALSE),"-")</f>
        <v>-</v>
      </c>
      <c r="AN13" s="63" t="str">
        <f>IFERROR(VLOOKUP(Table2[[#This Row],[Contraente]],Table1[[Nome/Ragione sociale]:[Checkbox selezionato]],7,FALSE),"-")</f>
        <v>papies@libero.it</v>
      </c>
      <c r="AO13" s="63">
        <f>IFERROR(VLOOKUP(Table2[[#This Row],[Contraente]],Table1[[Nome/Ragione sociale]:[Checkbox selezionato]],8,FALSE),"-")</f>
        <v>0</v>
      </c>
      <c r="AP13" s="63">
        <f>IFERROR(VLOOKUP(Table2[[#This Row],[Contraente]],Table1[[Nome/Ragione sociale]:[Checkbox selezionato]],10,FALSE),"-")</f>
        <v>3388042679</v>
      </c>
      <c r="AQ13" s="63" t="str">
        <f>IFERROR(VLOOKUP(Table2[[#This Row],[Contraente]],Table1[[Nome/Ragione sociale]:[Checkbox selezionato]],11,FALSE),"-")</f>
        <v>SI</v>
      </c>
      <c r="AR13" s="63" t="str">
        <f>IFERROR(VLOOKUP(Table2[[#This Row],[Contraente]],Table1[[Nome/Ragione sociale]:[Checkbox selezionato]],12,FALSE),"-")</f>
        <v>SI</v>
      </c>
    </row>
    <row r="14" spans="1:44" ht="30" hidden="1" customHeight="1" x14ac:dyDescent="0.25">
      <c r="A14" s="60" t="str">
        <f>UPPER(LEFT(Table2[[#This Row],[Contraente]],1))</f>
        <v>A</v>
      </c>
      <c r="B14" s="60" t="s">
        <v>1634</v>
      </c>
      <c r="C14" s="80" t="s">
        <v>239</v>
      </c>
      <c r="D14" s="80" t="s">
        <v>37</v>
      </c>
      <c r="E14" s="85">
        <v>104721893</v>
      </c>
      <c r="F14" s="64">
        <v>42592</v>
      </c>
      <c r="G14" s="64">
        <f>IFERROR(CALCOLASCADENZA(Table2[[#This Row],[Data attivazione]],Table2[[#This Row],[Rateizzazione]],Table2[[#This Row],[Data ultimo pagamento]],Table2[[#This Row],[Data prossima scadenza manuale]]),"-")</f>
        <v>42951</v>
      </c>
      <c r="H14" s="67" t="s">
        <v>30</v>
      </c>
      <c r="I14" s="67" t="s">
        <v>113</v>
      </c>
      <c r="J14" s="33">
        <f>IFERROR(Table2[[#This Row],[Importo annuale]]/(12/VLOOKUP(Table2[[#This Row],[Rateizzazione]],TIPI_RATEIZZAZIONI,2,FALSE)),"-")</f>
        <v>61</v>
      </c>
      <c r="K14" s="88"/>
      <c r="L14" s="88">
        <v>61</v>
      </c>
      <c r="M14" s="67" t="s">
        <v>43</v>
      </c>
      <c r="N14" s="67" t="s">
        <v>51</v>
      </c>
      <c r="O14" s="27" t="s">
        <v>1631</v>
      </c>
      <c r="P14" s="33" t="s">
        <v>23</v>
      </c>
      <c r="Q14" s="60">
        <f>IFERROR(IF(12 / VLOOKUP(Table2[[#This Row],[Rateizzazione]],TIPI_RATEIZZAZIONI,2,FALSE) &gt;=1,  IF(Table2[[#This Row],[Data attivazione]] = "","-",MONTH(Table2[[#This Row],[Data attivazione]])),"-"),"-")</f>
        <v>8</v>
      </c>
      <c r="R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" s="67" t="s">
        <v>133</v>
      </c>
      <c r="V14" s="62"/>
      <c r="W14" s="64">
        <v>42586</v>
      </c>
      <c r="X14" s="29">
        <f>DATE(YEAR(Table2[[#This Row],[Data attivazione]])+VLOOKUP(Table2[[#This Row],[Durata]],VALORE_DURATA,2,FALSE),MONTH(Table2[[#This Row],[Data attivazione]]),DAY(Table2[[#This Row],[Data attivazione]]))</f>
        <v>42951</v>
      </c>
      <c r="Y14" s="65"/>
      <c r="Z14" s="61"/>
      <c r="AA14" s="64" t="s">
        <v>85</v>
      </c>
      <c r="AB14" s="29" t="str">
        <f>IF(Table2[[#This Row],[Data ultimo versamento temp]]=0/1/1900,"-",Table2[[#This Row],[Data ultimo versamento temp]])</f>
        <v>-</v>
      </c>
      <c r="AC14" s="29">
        <f t="array" ref="AC14">MAX(IF(TableVersamenti[Polizza]=Table2[[#This Row],[Polizza]],TableVersamenti[Data prevista versamento],"-"))</f>
        <v>0</v>
      </c>
      <c r="AD14" s="62"/>
      <c r="AE14" s="106">
        <f>DATE(YEAR(Table2[[#This Row],[Data ultimo pagamento]]),MONTH(Table2[[#This Row],[Data ultimo pagamento]]), 1)</f>
        <v>42583</v>
      </c>
      <c r="AF14" s="106">
        <f>DATE(YEAR(Table2[[#This Row],[Data prossima scadenza]]),MONTH(Table2[[#This Row],[Data prossima scadenza]]), 1)</f>
        <v>42948</v>
      </c>
      <c r="AG14" s="33">
        <f>IFERROR(Table2[[#This Row],[Importo annuale]]*VLOOKUP(Table2[[#This Row],[Ramo]],RAMI_POLIZZA,2,FALSE),0)</f>
        <v>7.0150000000000006</v>
      </c>
      <c r="AH14" s="65" t="s">
        <v>113</v>
      </c>
      <c r="AI14" s="63" t="str">
        <f>IFERROR(VLOOKUP(Table2[[#This Row],[Contraente]],Table1[[Nome/Ragione sociale]:[Checkbox selezionato]],2,FALSE),"-")</f>
        <v>ARENA PO</v>
      </c>
      <c r="AJ14" s="63" t="str">
        <f>IFERROR(VLOOKUP(Table2[[#This Row],[Contraente]],Table1[[Nome/Ragione sociale]:[Checkbox selezionato]],3,FALSE),"-")</f>
        <v>-</v>
      </c>
      <c r="AK14" s="63">
        <f>IFERROR(VLOOKUP(Table2[[#This Row],[Contraente]],Table1[[Nome/Ragione sociale]:[Checkbox selezionato]],4,FALSE),"-")</f>
        <v>0</v>
      </c>
      <c r="AL14" s="63" t="str">
        <f>IFERROR(VLOOKUP(Table2[[#This Row],[Contraente]],Table1[[Nome/Ragione sociale]:[Checkbox selezionato]],5,FALSE),"-")</f>
        <v>-</v>
      </c>
      <c r="AM14" s="62">
        <f>IFERROR(VLOOKUP(Table2[[#This Row],[Contraente]],Table1[[Nome/Ragione sociale]:[Checkbox selezionato]],6,FALSE),"-")</f>
        <v>31643</v>
      </c>
      <c r="AN14" s="63" t="str">
        <f>IFERROR(VLOOKUP(Table2[[#This Row],[Contraente]],Table1[[Nome/Ragione sociale]:[Checkbox selezionato]],7,FALSE),"-")</f>
        <v>papies@email.it</v>
      </c>
      <c r="AO14" s="63">
        <f>IFERROR(VLOOKUP(Table2[[#This Row],[Contraente]],Table1[[Nome/Ragione sociale]:[Checkbox selezionato]],8,FALSE),"-")</f>
        <v>0</v>
      </c>
      <c r="AP14" s="63" t="str">
        <f>IFERROR(VLOOKUP(Table2[[#This Row],[Contraente]],Table1[[Nome/Ragione sociale]:[Checkbox selezionato]],10,FALSE),"-")</f>
        <v>-</v>
      </c>
      <c r="AQ14" s="63" t="str">
        <f>IFERROR(VLOOKUP(Table2[[#This Row],[Contraente]],Table1[[Nome/Ragione sociale]:[Checkbox selezionato]],11,FALSE),"-")</f>
        <v>NO</v>
      </c>
      <c r="AR14" s="63" t="str">
        <f>IFERROR(VLOOKUP(Table2[[#This Row],[Contraente]],Table1[[Nome/Ragione sociale]:[Checkbox selezionato]],12,FALSE),"-")</f>
        <v>SI</v>
      </c>
    </row>
    <row r="15" spans="1:44" ht="30" hidden="1" customHeight="1" x14ac:dyDescent="0.25">
      <c r="A15" s="60" t="str">
        <f>UPPER(LEFT(Table2[[#This Row],[Contraente]],1))</f>
        <v>A</v>
      </c>
      <c r="B15" s="60" t="s">
        <v>1634</v>
      </c>
      <c r="C15" s="80" t="s">
        <v>238</v>
      </c>
      <c r="D15" s="80" t="s">
        <v>37</v>
      </c>
      <c r="E15" s="85">
        <v>104721845</v>
      </c>
      <c r="F15" s="64">
        <v>42592</v>
      </c>
      <c r="G15" s="64">
        <f>IFERROR(CALCOLASCADENZA(Table2[[#This Row],[Data attivazione]],Table2[[#This Row],[Rateizzazione]],Table2[[#This Row],[Data ultimo pagamento]],Table2[[#This Row],[Data prossima scadenza manuale]]),"-")</f>
        <v>42951</v>
      </c>
      <c r="H15" s="67" t="s">
        <v>30</v>
      </c>
      <c r="I15" s="67" t="s">
        <v>113</v>
      </c>
      <c r="J15" s="33">
        <f>IFERROR(Table2[[#This Row],[Importo annuale]]/(12/VLOOKUP(Table2[[#This Row],[Rateizzazione]],TIPI_RATEIZZAZIONI,2,FALSE)),"-")</f>
        <v>121</v>
      </c>
      <c r="K15" s="88"/>
      <c r="L15" s="88">
        <v>121</v>
      </c>
      <c r="M15" s="67" t="s">
        <v>44</v>
      </c>
      <c r="N15" s="67" t="s">
        <v>51</v>
      </c>
      <c r="O15" s="27" t="s">
        <v>1631</v>
      </c>
      <c r="P15" s="33" t="s">
        <v>23</v>
      </c>
      <c r="Q15" s="60">
        <f>IFERROR(IF(12 / VLOOKUP(Table2[[#This Row],[Rateizzazione]],TIPI_RATEIZZAZIONI,2,FALSE) &gt;=1,  IF(Table2[[#This Row],[Data attivazione]] = "","-",MONTH(Table2[[#This Row],[Data attivazione]])),"-"),"-")</f>
        <v>8</v>
      </c>
      <c r="R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" s="67" t="s">
        <v>133</v>
      </c>
      <c r="V15" s="62"/>
      <c r="W15" s="64">
        <v>42586</v>
      </c>
      <c r="X15" s="29">
        <f>DATE(YEAR(Table2[[#This Row],[Data attivazione]])+VLOOKUP(Table2[[#This Row],[Durata]],VALORE_DURATA,2,FALSE),MONTH(Table2[[#This Row],[Data attivazione]]),DAY(Table2[[#This Row],[Data attivazione]]))</f>
        <v>42951</v>
      </c>
      <c r="Y15" s="65"/>
      <c r="Z15" s="61"/>
      <c r="AA15" s="64" t="s">
        <v>85</v>
      </c>
      <c r="AB15" s="29" t="str">
        <f>IF(Table2[[#This Row],[Data ultimo versamento temp]]=0/1/1900,"-",Table2[[#This Row],[Data ultimo versamento temp]])</f>
        <v>-</v>
      </c>
      <c r="AC15" s="29">
        <f t="array" ref="AC15">MAX(IF(TableVersamenti[Polizza]=Table2[[#This Row],[Polizza]],TableVersamenti[Data prevista versamento],"-"))</f>
        <v>0</v>
      </c>
      <c r="AD15" s="62"/>
      <c r="AE15" s="106">
        <f>DATE(YEAR(Table2[[#This Row],[Data ultimo pagamento]]),MONTH(Table2[[#This Row],[Data ultimo pagamento]]), 1)</f>
        <v>42583</v>
      </c>
      <c r="AF15" s="106">
        <f>DATE(YEAR(Table2[[#This Row],[Data prossima scadenza]]),MONTH(Table2[[#This Row],[Data prossima scadenza]]), 1)</f>
        <v>42948</v>
      </c>
      <c r="AG15" s="33">
        <f>IFERROR(Table2[[#This Row],[Importo annuale]]*VLOOKUP(Table2[[#This Row],[Ramo]],RAMI_POLIZZA,2,FALSE),0)</f>
        <v>13.915000000000001</v>
      </c>
      <c r="AH15" s="65" t="s">
        <v>113</v>
      </c>
      <c r="AI15" s="63" t="str">
        <f>IFERROR(VLOOKUP(Table2[[#This Row],[Contraente]],Table1[[Nome/Ragione sociale]:[Checkbox selezionato]],2,FALSE),"-")</f>
        <v>ARENA PO</v>
      </c>
      <c r="AJ15" s="63" t="str">
        <f>IFERROR(VLOOKUP(Table2[[#This Row],[Contraente]],Table1[[Nome/Ragione sociale]:[Checkbox selezionato]],3,FALSE),"-")</f>
        <v>-</v>
      </c>
      <c r="AK15" s="63">
        <f>IFERROR(VLOOKUP(Table2[[#This Row],[Contraente]],Table1[[Nome/Ragione sociale]:[Checkbox selezionato]],4,FALSE),"-")</f>
        <v>0</v>
      </c>
      <c r="AL15" s="63" t="str">
        <f>IFERROR(VLOOKUP(Table2[[#This Row],[Contraente]],Table1[[Nome/Ragione sociale]:[Checkbox selezionato]],5,FALSE),"-")</f>
        <v>-</v>
      </c>
      <c r="AM15" s="62">
        <f>IFERROR(VLOOKUP(Table2[[#This Row],[Contraente]],Table1[[Nome/Ragione sociale]:[Checkbox selezionato]],6,FALSE),"-")</f>
        <v>19969</v>
      </c>
      <c r="AN15" s="63" t="str">
        <f>IFERROR(VLOOKUP(Table2[[#This Row],[Contraente]],Table1[[Nome/Ragione sociale]:[Checkbox selezionato]],7,FALSE),"-")</f>
        <v>papies@libero.it</v>
      </c>
      <c r="AO15" s="63">
        <f>IFERROR(VLOOKUP(Table2[[#This Row],[Contraente]],Table1[[Nome/Ragione sociale]:[Checkbox selezionato]],8,FALSE),"-")</f>
        <v>0</v>
      </c>
      <c r="AP15" s="63" t="str">
        <f>IFERROR(VLOOKUP(Table2[[#This Row],[Contraente]],Table1[[Nome/Ragione sociale]:[Checkbox selezionato]],10,FALSE),"-")</f>
        <v>-</v>
      </c>
      <c r="AQ15" s="63" t="str">
        <f>IFERROR(VLOOKUP(Table2[[#This Row],[Contraente]],Table1[[Nome/Ragione sociale]:[Checkbox selezionato]],11,FALSE),"-")</f>
        <v>SI</v>
      </c>
      <c r="AR15" s="63" t="str">
        <f>IFERROR(VLOOKUP(Table2[[#This Row],[Contraente]],Table1[[Nome/Ragione sociale]:[Checkbox selezionato]],12,FALSE),"-")</f>
        <v>NO</v>
      </c>
    </row>
    <row r="16" spans="1:44" ht="30" hidden="1" customHeight="1" x14ac:dyDescent="0.25">
      <c r="A16" s="60" t="str">
        <f>UPPER(LEFT(Table2[[#This Row],[Contraente]],1))</f>
        <v>A</v>
      </c>
      <c r="B16" s="60" t="s">
        <v>1634</v>
      </c>
      <c r="C16" s="80" t="s">
        <v>213</v>
      </c>
      <c r="D16" s="80" t="s">
        <v>37</v>
      </c>
      <c r="E16" s="85">
        <v>102687498</v>
      </c>
      <c r="F16" s="64">
        <v>42865</v>
      </c>
      <c r="G16" s="64">
        <f>IFERROR(CALCOLASCADENZA(Table2[[#This Row],[Data attivazione]],Table2[[#This Row],[Rateizzazione]],Table2[[#This Row],[Data ultimo pagamento]],Table2[[#This Row],[Data prossima scadenza manuale]]),"-")</f>
        <v>43033</v>
      </c>
      <c r="H16" s="67" t="s">
        <v>30</v>
      </c>
      <c r="I16" s="67" t="s">
        <v>113</v>
      </c>
      <c r="J16" s="33">
        <f>IFERROR(Table2[[#This Row],[Importo annuale]]/(12/VLOOKUP(Table2[[#This Row],[Rateizzazione]],TIPI_RATEIZZAZIONI,2,FALSE)),"-")</f>
        <v>52</v>
      </c>
      <c r="K16" s="88">
        <v>52</v>
      </c>
      <c r="L16" s="88">
        <v>104</v>
      </c>
      <c r="M16" s="67" t="s">
        <v>45</v>
      </c>
      <c r="N16" s="67" t="s">
        <v>51</v>
      </c>
      <c r="O16" s="27" t="s">
        <v>1631</v>
      </c>
      <c r="P16" s="33" t="s">
        <v>22</v>
      </c>
      <c r="Q16" s="60">
        <f>IFERROR(IF(12 / VLOOKUP(Table2[[#This Row],[Rateizzazione]],TIPI_RATEIZZAZIONI,2,FALSE) &gt;=1,  IF(Table2[[#This Row],[Data attivazione]] = "","-",MONTH(Table2[[#This Row],[Data attivazione]])),"-"),"-")</f>
        <v>10</v>
      </c>
      <c r="R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" s="67" t="s">
        <v>2</v>
      </c>
      <c r="V16" s="62"/>
      <c r="W16" s="64">
        <v>42668</v>
      </c>
      <c r="X16" s="29">
        <f>DATE(YEAR(Table2[[#This Row],[Data attivazione]])+VLOOKUP(Table2[[#This Row],[Durata]],VALORE_DURATA,2,FALSE),MONTH(Table2[[#This Row],[Data attivazione]]),DAY(Table2[[#This Row],[Data attivazione]]))</f>
        <v>43033</v>
      </c>
      <c r="Y16" s="65"/>
      <c r="Z16" s="61"/>
      <c r="AA16" s="64" t="s">
        <v>85</v>
      </c>
      <c r="AB16" s="29" t="str">
        <f>IF(Table2[[#This Row],[Data ultimo versamento temp]]=0/1/1900,"-",Table2[[#This Row],[Data ultimo versamento temp]])</f>
        <v>-</v>
      </c>
      <c r="AC16" s="29">
        <f t="array" ref="AC16">MAX(IF(TableVersamenti[Polizza]=Table2[[#This Row],[Polizza]],TableVersamenti[Data prevista versamento],"-"))</f>
        <v>0</v>
      </c>
      <c r="AD16" s="62"/>
      <c r="AE16" s="106">
        <f>DATE(YEAR(Table2[[#This Row],[Data ultimo pagamento]]),MONTH(Table2[[#This Row],[Data ultimo pagamento]]), 1)</f>
        <v>42856</v>
      </c>
      <c r="AF16" s="106">
        <f>DATE(YEAR(Table2[[#This Row],[Data prossima scadenza]]),MONTH(Table2[[#This Row],[Data prossima scadenza]]), 1)</f>
        <v>43009</v>
      </c>
      <c r="AG16" s="33">
        <f>IFERROR(Table2[[#This Row],[Importo annuale]]*VLOOKUP(Table2[[#This Row],[Ramo]],RAMI_POLIZZA,2,FALSE),0)</f>
        <v>11.96</v>
      </c>
      <c r="AH16" s="65" t="s">
        <v>113</v>
      </c>
      <c r="AI16" s="63" t="str">
        <f>IFERROR(VLOOKUP(Table2[[#This Row],[Contraente]],Table1[[Nome/Ragione sociale]:[Checkbox selezionato]],2,FALSE),"-")</f>
        <v>VIGEVANO</v>
      </c>
      <c r="AJ16" s="63">
        <f>IFERROR(VLOOKUP(Table2[[#This Row],[Contraente]],Table1[[Nome/Ragione sociale]:[Checkbox selezionato]],3,FALSE),"-")</f>
        <v>3290991655</v>
      </c>
      <c r="AK16" s="63">
        <f>IFERROR(VLOOKUP(Table2[[#This Row],[Contraente]],Table1[[Nome/Ragione sociale]:[Checkbox selezionato]],4,FALSE),"-")</f>
        <v>0</v>
      </c>
      <c r="AL16" s="63" t="str">
        <f>IFERROR(VLOOKUP(Table2[[#This Row],[Contraente]],Table1[[Nome/Ragione sociale]:[Checkbox selezionato]],5,FALSE),"-")</f>
        <v>MOHAM ASMAA</v>
      </c>
      <c r="AM16" s="62">
        <f>IFERROR(VLOOKUP(Table2[[#This Row],[Contraente]],Table1[[Nome/Ragione sociale]:[Checkbox selezionato]],6,FALSE),"-")</f>
        <v>30555</v>
      </c>
      <c r="AN16" s="63" t="str">
        <f>IFERROR(VLOOKUP(Table2[[#This Row],[Contraente]],Table1[[Nome/Ragione sociale]:[Checkbox selezionato]],7,FALSE),"-")</f>
        <v>papies@libero.it</v>
      </c>
      <c r="AO16" s="63">
        <f>IFERROR(VLOOKUP(Table2[[#This Row],[Contraente]],Table1[[Nome/Ragione sociale]:[Checkbox selezionato]],8,FALSE),"-")</f>
        <v>0</v>
      </c>
      <c r="AP16" s="63">
        <f>IFERROR(VLOOKUP(Table2[[#This Row],[Contraente]],Table1[[Nome/Ragione sociale]:[Checkbox selezionato]],10,FALSE),"-")</f>
        <v>3290991655</v>
      </c>
      <c r="AQ16" s="63" t="str">
        <f>IFERROR(VLOOKUP(Table2[[#This Row],[Contraente]],Table1[[Nome/Ragione sociale]:[Checkbox selezionato]],11,FALSE),"-")</f>
        <v>SI</v>
      </c>
      <c r="AR16" s="63" t="str">
        <f>IFERROR(VLOOKUP(Table2[[#This Row],[Contraente]],Table1[[Nome/Ragione sociale]:[Checkbox selezionato]],12,FALSE),"-")</f>
        <v>SI</v>
      </c>
    </row>
    <row r="17" spans="1:44" ht="30" hidden="1" customHeight="1" x14ac:dyDescent="0.25">
      <c r="A17" s="60" t="str">
        <f>UPPER(LEFT(Table2[[#This Row],[Contraente]],1))</f>
        <v>A</v>
      </c>
      <c r="B17" s="60" t="s">
        <v>1634</v>
      </c>
      <c r="C17" s="80" t="s">
        <v>213</v>
      </c>
      <c r="D17" s="81" t="s">
        <v>37</v>
      </c>
      <c r="E17" s="86">
        <v>104978638</v>
      </c>
      <c r="F17" s="64">
        <v>42488</v>
      </c>
      <c r="G17" s="64">
        <f>IFERROR(CALCOLASCADENZA(Table2[[#This Row],[Data attivazione]],Table2[[#This Row],[Rateizzazione]],Table2[[#This Row],[Data ultimo pagamento]],Table2[[#This Row],[Data prossima scadenza manuale]]),"-")</f>
        <v>42668</v>
      </c>
      <c r="H17" s="67" t="s">
        <v>31</v>
      </c>
      <c r="I17" s="67" t="s">
        <v>1127</v>
      </c>
      <c r="J17" s="33">
        <f>IFERROR(Table2[[#This Row],[Importo annuale]]/(12/VLOOKUP(Table2[[#This Row],[Rateizzazione]],TIPI_RATEIZZAZIONI,2,FALSE)),"-")</f>
        <v>365</v>
      </c>
      <c r="K17" s="88"/>
      <c r="L17" s="88">
        <v>730</v>
      </c>
      <c r="M17" s="67" t="s">
        <v>44</v>
      </c>
      <c r="N17" s="67" t="s">
        <v>51</v>
      </c>
      <c r="O17" s="27" t="s">
        <v>1631</v>
      </c>
      <c r="P17" s="33" t="s">
        <v>22</v>
      </c>
      <c r="Q17" s="60">
        <f>IFERROR(IF(12 / VLOOKUP(Table2[[#This Row],[Rateizzazione]],TIPI_RATEIZZAZIONI,2,FALSE) &gt;=1,  IF(Table2[[#This Row],[Data attivazione]] = "","-",MONTH(Table2[[#This Row],[Data attivazione]])),"-"),"-")</f>
        <v>10</v>
      </c>
      <c r="R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" s="67" t="s">
        <v>2</v>
      </c>
      <c r="V17" s="62"/>
      <c r="W17" s="64">
        <v>42302</v>
      </c>
      <c r="X17" s="29">
        <f>DATE(YEAR(Table2[[#This Row],[Data attivazione]])+VLOOKUP(Table2[[#This Row],[Durata]],VALORE_DURATA,2,FALSE),MONTH(Table2[[#This Row],[Data attivazione]]),DAY(Table2[[#This Row],[Data attivazione]]))</f>
        <v>42668</v>
      </c>
      <c r="Y17" s="65"/>
      <c r="Z17" s="61"/>
      <c r="AA17" s="64" t="s">
        <v>88</v>
      </c>
      <c r="AB17" s="29" t="str">
        <f>IF(Table2[[#This Row],[Data ultimo versamento temp]]=0/1/1900,"-",Table2[[#This Row],[Data ultimo versamento temp]])</f>
        <v>-</v>
      </c>
      <c r="AC17" s="29">
        <f t="array" ref="AC17">MAX(IF(TableVersamenti[Polizza]=Table2[[#This Row],[Polizza]],TableVersamenti[Data prevista versamento],"-"))</f>
        <v>0</v>
      </c>
      <c r="AD17" s="62"/>
      <c r="AE17" s="106">
        <f>DATE(YEAR(Table2[[#This Row],[Data ultimo pagamento]]),MONTH(Table2[[#This Row],[Data ultimo pagamento]]), 1)</f>
        <v>42461</v>
      </c>
      <c r="AF17" s="106">
        <f>DATE(YEAR(Table2[[#This Row],[Data prossima scadenza]]),MONTH(Table2[[#This Row],[Data prossima scadenza]]), 1)</f>
        <v>42644</v>
      </c>
      <c r="AG17" s="33">
        <f>IFERROR(Table2[[#This Row],[Importo annuale]]*VLOOKUP(Table2[[#This Row],[Ramo]],RAMI_POLIZZA,2,FALSE),0)</f>
        <v>37.96</v>
      </c>
      <c r="AH17" s="65" t="s">
        <v>113</v>
      </c>
      <c r="AI17" s="63" t="str">
        <f>IFERROR(VLOOKUP(Table2[[#This Row],[Contraente]],Table1[[Nome/Ragione sociale]:[Checkbox selezionato]],2,FALSE),"-")</f>
        <v>VIGEVANO</v>
      </c>
      <c r="AJ17" s="63">
        <f>IFERROR(VLOOKUP(Table2[[#This Row],[Contraente]],Table1[[Nome/Ragione sociale]:[Checkbox selezionato]],3,FALSE),"-")</f>
        <v>3290991655</v>
      </c>
      <c r="AK17" s="63">
        <f>IFERROR(VLOOKUP(Table2[[#This Row],[Contraente]],Table1[[Nome/Ragione sociale]:[Checkbox selezionato]],4,FALSE),"-")</f>
        <v>0</v>
      </c>
      <c r="AL17" s="63" t="str">
        <f>IFERROR(VLOOKUP(Table2[[#This Row],[Contraente]],Table1[[Nome/Ragione sociale]:[Checkbox selezionato]],5,FALSE),"-")</f>
        <v>MOHAM ASMAA</v>
      </c>
      <c r="AM17" s="62">
        <f>IFERROR(VLOOKUP(Table2[[#This Row],[Contraente]],Table1[[Nome/Ragione sociale]:[Checkbox selezionato]],6,FALSE),"-")</f>
        <v>30555</v>
      </c>
      <c r="AN17" s="63" t="str">
        <f>IFERROR(VLOOKUP(Table2[[#This Row],[Contraente]],Table1[[Nome/Ragione sociale]:[Checkbox selezionato]],7,FALSE),"-")</f>
        <v>papies@libero.it</v>
      </c>
      <c r="AO17" s="63">
        <f>IFERROR(VLOOKUP(Table2[[#This Row],[Contraente]],Table1[[Nome/Ragione sociale]:[Checkbox selezionato]],8,FALSE),"-")</f>
        <v>0</v>
      </c>
      <c r="AP17" s="63">
        <f>IFERROR(VLOOKUP(Table2[[#This Row],[Contraente]],Table1[[Nome/Ragione sociale]:[Checkbox selezionato]],10,FALSE),"-")</f>
        <v>3290991655</v>
      </c>
      <c r="AQ17" s="63" t="str">
        <f>IFERROR(VLOOKUP(Table2[[#This Row],[Contraente]],Table1[[Nome/Ragione sociale]:[Checkbox selezionato]],11,FALSE),"-")</f>
        <v>SI</v>
      </c>
      <c r="AR17" s="63" t="str">
        <f>IFERROR(VLOOKUP(Table2[[#This Row],[Contraente]],Table1[[Nome/Ragione sociale]:[Checkbox selezionato]],12,FALSE),"-")</f>
        <v>SI</v>
      </c>
    </row>
    <row r="18" spans="1:44" ht="30" hidden="1" customHeight="1" x14ac:dyDescent="0.25">
      <c r="A18" s="60" t="str">
        <f>UPPER(LEFT(Table2[[#This Row],[Contraente]],1))</f>
        <v>A</v>
      </c>
      <c r="B18" s="60" t="s">
        <v>1634</v>
      </c>
      <c r="C18" s="80" t="s">
        <v>216</v>
      </c>
      <c r="D18" s="81" t="s">
        <v>37</v>
      </c>
      <c r="E18" s="86">
        <v>106015650</v>
      </c>
      <c r="F18" s="64">
        <v>42804</v>
      </c>
      <c r="G18" s="64">
        <f>IFERROR(CALCOLASCADENZA(Table2[[#This Row],[Data attivazione]],Table2[[#This Row],[Rateizzazione]],Table2[[#This Row],[Data ultimo pagamento]],Table2[[#This Row],[Data prossima scadenza manuale]]),"-")</f>
        <v>42987</v>
      </c>
      <c r="H18" s="67" t="s">
        <v>31</v>
      </c>
      <c r="I18" s="67" t="s">
        <v>1128</v>
      </c>
      <c r="J18" s="33">
        <f>IFERROR(Table2[[#This Row],[Importo annuale]]/(12/VLOOKUP(Table2[[#This Row],[Rateizzazione]],TIPI_RATEIZZAZIONI,2,FALSE)),"-")</f>
        <v>294</v>
      </c>
      <c r="K18" s="88">
        <v>294</v>
      </c>
      <c r="L18" s="88">
        <v>588</v>
      </c>
      <c r="M18" s="67" t="s">
        <v>43</v>
      </c>
      <c r="N18" s="67" t="s">
        <v>52</v>
      </c>
      <c r="O18" s="27" t="s">
        <v>1631</v>
      </c>
      <c r="P18" s="33" t="s">
        <v>22</v>
      </c>
      <c r="Q18" s="60">
        <f>IFERROR(IF(12 / VLOOKUP(Table2[[#This Row],[Rateizzazione]],TIPI_RATEIZZAZIONI,2,FALSE) &gt;=1,  IF(Table2[[#This Row],[Data attivazione]] = "","-",MONTH(Table2[[#This Row],[Data attivazione]])),"-"),"-")</f>
        <v>9</v>
      </c>
      <c r="R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" s="67" t="s">
        <v>2</v>
      </c>
      <c r="V18" s="62"/>
      <c r="W18" s="64">
        <v>42622</v>
      </c>
      <c r="X18" s="29">
        <f>DATE(YEAR(Table2[[#This Row],[Data attivazione]])+VLOOKUP(Table2[[#This Row],[Durata]],VALORE_DURATA,2,FALSE),MONTH(Table2[[#This Row],[Data attivazione]]),DAY(Table2[[#This Row],[Data attivazione]]))</f>
        <v>42987</v>
      </c>
      <c r="Y18" s="65"/>
      <c r="Z18" s="61"/>
      <c r="AA18" s="64" t="s">
        <v>85</v>
      </c>
      <c r="AB18" s="29" t="str">
        <f>IF(Table2[[#This Row],[Data ultimo versamento temp]]=0/1/1900,"-",Table2[[#This Row],[Data ultimo versamento temp]])</f>
        <v>-</v>
      </c>
      <c r="AC18" s="29">
        <f t="array" ref="AC18">MAX(IF(TableVersamenti[Polizza]=Table2[[#This Row],[Polizza]],TableVersamenti[Data prevista versamento],"-"))</f>
        <v>0</v>
      </c>
      <c r="AD18" s="62"/>
      <c r="AE18" s="106">
        <f>DATE(YEAR(Table2[[#This Row],[Data ultimo pagamento]]),MONTH(Table2[[#This Row],[Data ultimo pagamento]]), 1)</f>
        <v>42795</v>
      </c>
      <c r="AF18" s="106">
        <f>DATE(YEAR(Table2[[#This Row],[Data prossima scadenza]]),MONTH(Table2[[#This Row],[Data prossima scadenza]]), 1)</f>
        <v>42979</v>
      </c>
      <c r="AG18" s="33">
        <f>IFERROR(Table2[[#This Row],[Importo annuale]]*VLOOKUP(Table2[[#This Row],[Ramo]],RAMI_POLIZZA,2,FALSE),0)</f>
        <v>30.575999999999997</v>
      </c>
      <c r="AH18" s="65" t="s">
        <v>113</v>
      </c>
      <c r="AI18" s="63" t="str">
        <f>IFERROR(VLOOKUP(Table2[[#This Row],[Contraente]],Table1[[Nome/Ragione sociale]:[Checkbox selezionato]],2,FALSE),"-")</f>
        <v>CORTEOLONA</v>
      </c>
      <c r="AJ18" s="63">
        <f>IFERROR(VLOOKUP(Table2[[#This Row],[Contraente]],Table1[[Nome/Ragione sociale]:[Checkbox selezionato]],3,FALSE),"-")</f>
        <v>3807988121</v>
      </c>
      <c r="AK18" s="63">
        <f>IFERROR(VLOOKUP(Table2[[#This Row],[Contraente]],Table1[[Nome/Ragione sociale]:[Checkbox selezionato]],4,FALSE),"-")</f>
        <v>0</v>
      </c>
      <c r="AL18" s="63" t="str">
        <f>IFERROR(VLOOKUP(Table2[[#This Row],[Contraente]],Table1[[Nome/Ragione sociale]:[Checkbox selezionato]],5,FALSE),"-")</f>
        <v>ABED</v>
      </c>
      <c r="AM18" s="62">
        <f>IFERROR(VLOOKUP(Table2[[#This Row],[Contraente]],Table1[[Nome/Ragione sociale]:[Checkbox selezionato]],6,FALSE),"-")</f>
        <v>26586</v>
      </c>
      <c r="AN18" s="63" t="str">
        <f>IFERROR(VLOOKUP(Table2[[#This Row],[Contraente]],Table1[[Nome/Ragione sociale]:[Checkbox selezionato]],7,FALSE),"-")</f>
        <v>papies@email.it</v>
      </c>
      <c r="AO18" s="63">
        <f>IFERROR(VLOOKUP(Table2[[#This Row],[Contraente]],Table1[[Nome/Ragione sociale]:[Checkbox selezionato]],8,FALSE),"-")</f>
        <v>0</v>
      </c>
      <c r="AP18" s="63">
        <f>IFERROR(VLOOKUP(Table2[[#This Row],[Contraente]],Table1[[Nome/Ragione sociale]:[Checkbox selezionato]],10,FALSE),"-")</f>
        <v>3807988121</v>
      </c>
      <c r="AQ18" s="63" t="str">
        <f>IFERROR(VLOOKUP(Table2[[#This Row],[Contraente]],Table1[[Nome/Ragione sociale]:[Checkbox selezionato]],11,FALSE),"-")</f>
        <v>SI</v>
      </c>
      <c r="AR18" s="63" t="str">
        <f>IFERROR(VLOOKUP(Table2[[#This Row],[Contraente]],Table1[[Nome/Ragione sociale]:[Checkbox selezionato]],12,FALSE),"-")</f>
        <v>SI</v>
      </c>
    </row>
    <row r="19" spans="1:44" ht="30" hidden="1" customHeight="1" x14ac:dyDescent="0.25">
      <c r="A19" s="60" t="str">
        <f>UPPER(LEFT(Table2[[#This Row],[Contraente]],1))</f>
        <v>A</v>
      </c>
      <c r="B19" s="60" t="s">
        <v>1634</v>
      </c>
      <c r="C19" s="80" t="s">
        <v>248</v>
      </c>
      <c r="D19" s="81" t="s">
        <v>37</v>
      </c>
      <c r="E19" s="86">
        <v>105008911</v>
      </c>
      <c r="F19" s="64">
        <v>42319</v>
      </c>
      <c r="G19" s="64">
        <f>IFERROR(CALCOLASCADENZA(Table2[[#This Row],[Data attivazione]],Table2[[#This Row],[Rateizzazione]],Table2[[#This Row],[Data ultimo pagamento]],Table2[[#This Row],[Data prossima scadenza manuale]]),"-")</f>
        <v>42501</v>
      </c>
      <c r="H19" s="67" t="s">
        <v>31</v>
      </c>
      <c r="I19" s="67" t="s">
        <v>1141</v>
      </c>
      <c r="J19" s="33">
        <f>IFERROR(Table2[[#This Row],[Importo annuale]]/(12/VLOOKUP(Table2[[#This Row],[Rateizzazione]],TIPI_RATEIZZAZIONI,2,FALSE)),"-")</f>
        <v>210</v>
      </c>
      <c r="K19" s="88"/>
      <c r="L19" s="88">
        <v>420</v>
      </c>
      <c r="M19" s="67" t="s">
        <v>43</v>
      </c>
      <c r="N19" s="67" t="s">
        <v>52</v>
      </c>
      <c r="O19" s="27" t="s">
        <v>1631</v>
      </c>
      <c r="P19" s="33" t="s">
        <v>22</v>
      </c>
      <c r="Q19" s="60">
        <f>IFERROR(IF(12 / VLOOKUP(Table2[[#This Row],[Rateizzazione]],TIPI_RATEIZZAZIONI,2,FALSE) &gt;=1,  IF(Table2[[#This Row],[Data attivazione]] = "","-",MONTH(Table2[[#This Row],[Data attivazione]])),"-"),"-")</f>
        <v>5</v>
      </c>
      <c r="R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" s="67" t="s">
        <v>2</v>
      </c>
      <c r="V19" s="62"/>
      <c r="W19" s="64">
        <v>42135</v>
      </c>
      <c r="X19" s="29">
        <f>DATE(YEAR(Table2[[#This Row],[Data attivazione]])+VLOOKUP(Table2[[#This Row],[Durata]],VALORE_DURATA,2,FALSE),MONTH(Table2[[#This Row],[Data attivazione]]),DAY(Table2[[#This Row],[Data attivazione]]))</f>
        <v>42501</v>
      </c>
      <c r="Y19" s="65"/>
      <c r="Z19" s="61"/>
      <c r="AA19" s="64" t="s">
        <v>88</v>
      </c>
      <c r="AB19" s="29" t="str">
        <f>IF(Table2[[#This Row],[Data ultimo versamento temp]]=0/1/1900,"-",Table2[[#This Row],[Data ultimo versamento temp]])</f>
        <v>-</v>
      </c>
      <c r="AC19" s="29">
        <f t="array" ref="AC19">MAX(IF(TableVersamenti[Polizza]=Table2[[#This Row],[Polizza]],TableVersamenti[Data prevista versamento],"-"))</f>
        <v>0</v>
      </c>
      <c r="AD19" s="62"/>
      <c r="AE19" s="106">
        <f>DATE(YEAR(Table2[[#This Row],[Data ultimo pagamento]]),MONTH(Table2[[#This Row],[Data ultimo pagamento]]), 1)</f>
        <v>42309</v>
      </c>
      <c r="AF19" s="106">
        <f>DATE(YEAR(Table2[[#This Row],[Data prossima scadenza]]),MONTH(Table2[[#This Row],[Data prossima scadenza]]), 1)</f>
        <v>42491</v>
      </c>
      <c r="AG19" s="33">
        <f>IFERROR(Table2[[#This Row],[Importo annuale]]*VLOOKUP(Table2[[#This Row],[Ramo]],RAMI_POLIZZA,2,FALSE),0)</f>
        <v>21.84</v>
      </c>
      <c r="AH19" s="65" t="s">
        <v>113</v>
      </c>
      <c r="AI19" s="63" t="str">
        <f>IFERROR(VLOOKUP(Table2[[#This Row],[Contraente]],Table1[[Nome/Ragione sociale]:[Checkbox selezionato]],2,FALSE),"-")</f>
        <v>SPESSA PO</v>
      </c>
      <c r="AJ19" s="63">
        <f>IFERROR(VLOOKUP(Table2[[#This Row],[Contraente]],Table1[[Nome/Ragione sociale]:[Checkbox selezionato]],3,FALSE),"-")</f>
        <v>3278752592</v>
      </c>
      <c r="AK19" s="63">
        <f>IFERROR(VLOOKUP(Table2[[#This Row],[Contraente]],Table1[[Nome/Ragione sociale]:[Checkbox selezionato]],4,FALSE),"-")</f>
        <v>0</v>
      </c>
      <c r="AL19" s="63" t="str">
        <f>IFERROR(VLOOKUP(Table2[[#This Row],[Contraente]],Table1[[Nome/Ragione sociale]:[Checkbox selezionato]],5,FALSE),"-")</f>
        <v>PAPA'</v>
      </c>
      <c r="AM19" s="62">
        <f>IFERROR(VLOOKUP(Table2[[#This Row],[Contraente]],Table1[[Nome/Ragione sociale]:[Checkbox selezionato]],6,FALSE),"-")</f>
        <v>28319</v>
      </c>
      <c r="AN19" s="63" t="str">
        <f>IFERROR(VLOOKUP(Table2[[#This Row],[Contraente]],Table1[[Nome/Ragione sociale]:[Checkbox selezionato]],7,FALSE),"-")</f>
        <v>papies@libero.it</v>
      </c>
      <c r="AO19" s="63">
        <f>IFERROR(VLOOKUP(Table2[[#This Row],[Contraente]],Table1[[Nome/Ragione sociale]:[Checkbox selezionato]],8,FALSE),"-")</f>
        <v>0</v>
      </c>
      <c r="AP19" s="63">
        <f>IFERROR(VLOOKUP(Table2[[#This Row],[Contraente]],Table1[[Nome/Ragione sociale]:[Checkbox selezionato]],10,FALSE),"-")</f>
        <v>3278752592</v>
      </c>
      <c r="AQ19" s="63" t="str">
        <f>IFERROR(VLOOKUP(Table2[[#This Row],[Contraente]],Table1[[Nome/Ragione sociale]:[Checkbox selezionato]],11,FALSE),"-")</f>
        <v>SI</v>
      </c>
      <c r="AR19" s="63" t="str">
        <f>IFERROR(VLOOKUP(Table2[[#This Row],[Contraente]],Table1[[Nome/Ragione sociale]:[Checkbox selezionato]],12,FALSE),"-")</f>
        <v>SI</v>
      </c>
    </row>
    <row r="20" spans="1:44" ht="30" hidden="1" customHeight="1" x14ac:dyDescent="0.25">
      <c r="A20" s="60" t="str">
        <f>UPPER(LEFT(Table2[[#This Row],[Contraente]],1))</f>
        <v>A</v>
      </c>
      <c r="B20" s="60" t="s">
        <v>1634</v>
      </c>
      <c r="C20" s="80" t="s">
        <v>247</v>
      </c>
      <c r="D20" s="81" t="s">
        <v>37</v>
      </c>
      <c r="E20" s="86">
        <v>105384696</v>
      </c>
      <c r="F20" s="64">
        <v>42808</v>
      </c>
      <c r="G20" s="64">
        <f>IFERROR(CALCOLASCADENZA(Table2[[#This Row],[Data attivazione]],Table2[[#This Row],[Rateizzazione]],Table2[[#This Row],[Data ultimo pagamento]],Table2[[#This Row],[Data prossima scadenza manuale]]),"-")</f>
        <v>43172</v>
      </c>
      <c r="H20" s="67" t="s">
        <v>31</v>
      </c>
      <c r="I20" s="67" t="s">
        <v>1140</v>
      </c>
      <c r="J20" s="33">
        <f>IFERROR(Table2[[#This Row],[Importo annuale]]/(12/VLOOKUP(Table2[[#This Row],[Rateizzazione]],TIPI_RATEIZZAZIONI,2,FALSE)),"-")</f>
        <v>344</v>
      </c>
      <c r="K20" s="88">
        <v>344</v>
      </c>
      <c r="L20" s="88">
        <v>344</v>
      </c>
      <c r="M20" s="67" t="s">
        <v>43</v>
      </c>
      <c r="N20" s="67" t="s">
        <v>51</v>
      </c>
      <c r="O20" s="27" t="s">
        <v>1631</v>
      </c>
      <c r="P20" s="33" t="s">
        <v>23</v>
      </c>
      <c r="Q20" s="60">
        <f>IFERROR(IF(12 / VLOOKUP(Table2[[#This Row],[Rateizzazione]],TIPI_RATEIZZAZIONI,2,FALSE) &gt;=1,  IF(Table2[[#This Row],[Data attivazione]] = "","-",MONTH(Table2[[#This Row],[Data attivazione]])),"-"),"-")</f>
        <v>3</v>
      </c>
      <c r="R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" s="67" t="s">
        <v>2</v>
      </c>
      <c r="V20" s="62"/>
      <c r="W20" s="64">
        <v>42807</v>
      </c>
      <c r="X20" s="29">
        <f>DATE(YEAR(Table2[[#This Row],[Data attivazione]])+VLOOKUP(Table2[[#This Row],[Durata]],VALORE_DURATA,2,FALSE),MONTH(Table2[[#This Row],[Data attivazione]]),DAY(Table2[[#This Row],[Data attivazione]]))</f>
        <v>43172</v>
      </c>
      <c r="Y20" s="65"/>
      <c r="Z20" s="61"/>
      <c r="AA20" s="64" t="s">
        <v>85</v>
      </c>
      <c r="AB20" s="29" t="str">
        <f>IF(Table2[[#This Row],[Data ultimo versamento temp]]=0/1/1900,"-",Table2[[#This Row],[Data ultimo versamento temp]])</f>
        <v>-</v>
      </c>
      <c r="AC20" s="29">
        <f t="array" ref="AC20">MAX(IF(TableVersamenti[Polizza]=Table2[[#This Row],[Polizza]],TableVersamenti[Data prevista versamento],"-"))</f>
        <v>0</v>
      </c>
      <c r="AD20" s="62"/>
      <c r="AE20" s="106">
        <f>DATE(YEAR(Table2[[#This Row],[Data ultimo pagamento]]),MONTH(Table2[[#This Row],[Data ultimo pagamento]]), 1)</f>
        <v>42795</v>
      </c>
      <c r="AF20" s="106">
        <f>DATE(YEAR(Table2[[#This Row],[Data prossima scadenza]]),MONTH(Table2[[#This Row],[Data prossima scadenza]]), 1)</f>
        <v>43160</v>
      </c>
      <c r="AG20" s="33">
        <f>IFERROR(Table2[[#This Row],[Importo annuale]]*VLOOKUP(Table2[[#This Row],[Ramo]],RAMI_POLIZZA,2,FALSE),0)</f>
        <v>17.887999999999998</v>
      </c>
      <c r="AH20" s="65" t="s">
        <v>113</v>
      </c>
      <c r="AI20" s="63" t="str">
        <f>IFERROR(VLOOKUP(Table2[[#This Row],[Contraente]],Table1[[Nome/Ragione sociale]:[Checkbox selezionato]],2,FALSE),"-")</f>
        <v>BELGIOIOSO</v>
      </c>
      <c r="AJ20" s="63">
        <f>IFERROR(VLOOKUP(Table2[[#This Row],[Contraente]],Table1[[Nome/Ragione sociale]:[Checkbox selezionato]],3,FALSE),"-")</f>
        <v>0</v>
      </c>
      <c r="AK20" s="63">
        <f>IFERROR(VLOOKUP(Table2[[#This Row],[Contraente]],Table1[[Nome/Ragione sociale]:[Checkbox selezionato]],4,FALSE),"-")</f>
        <v>0</v>
      </c>
      <c r="AL20" s="63">
        <f>IFERROR(VLOOKUP(Table2[[#This Row],[Contraente]],Table1[[Nome/Ragione sociale]:[Checkbox selezionato]],5,FALSE),"-")</f>
        <v>0</v>
      </c>
      <c r="AM20" s="62">
        <f>IFERROR(VLOOKUP(Table2[[#This Row],[Contraente]],Table1[[Nome/Ragione sociale]:[Checkbox selezionato]],6,FALSE),"-")</f>
        <v>12072</v>
      </c>
      <c r="AN20" s="63" t="str">
        <f>IFERROR(VLOOKUP(Table2[[#This Row],[Contraente]],Table1[[Nome/Ragione sociale]:[Checkbox selezionato]],7,FALSE),"-")</f>
        <v>papies@libero.it</v>
      </c>
      <c r="AO20" s="63">
        <f>IFERROR(VLOOKUP(Table2[[#This Row],[Contraente]],Table1[[Nome/Ragione sociale]:[Checkbox selezionato]],8,FALSE),"-")</f>
        <v>0</v>
      </c>
      <c r="AP20" s="63">
        <f>IFERROR(VLOOKUP(Table2[[#This Row],[Contraente]],Table1[[Nome/Ragione sociale]:[Checkbox selezionato]],10,FALSE),"-")</f>
        <v>0</v>
      </c>
      <c r="AQ20" s="63" t="str">
        <f>IFERROR(VLOOKUP(Table2[[#This Row],[Contraente]],Table1[[Nome/Ragione sociale]:[Checkbox selezionato]],11,FALSE),"-")</f>
        <v>SI</v>
      </c>
      <c r="AR20" s="63" t="str">
        <f>IFERROR(VLOOKUP(Table2[[#This Row],[Contraente]],Table1[[Nome/Ragione sociale]:[Checkbox selezionato]],12,FALSE),"-")</f>
        <v>SI</v>
      </c>
    </row>
    <row r="21" spans="1:44" ht="30" hidden="1" customHeight="1" x14ac:dyDescent="0.25">
      <c r="A21" s="60" t="str">
        <f>UPPER(LEFT(Table2[[#This Row],[Contraente]],1))</f>
        <v>A</v>
      </c>
      <c r="B21" s="60" t="s">
        <v>1634</v>
      </c>
      <c r="C21" s="80" t="s">
        <v>221</v>
      </c>
      <c r="D21" s="81" t="s">
        <v>37</v>
      </c>
      <c r="E21" s="86">
        <v>107014148</v>
      </c>
      <c r="F21" s="64">
        <v>42933</v>
      </c>
      <c r="G21" s="64">
        <f>IFERROR(CALCOLASCADENZA(Table2[[#This Row],[Data attivazione]],Table2[[#This Row],[Rateizzazione]],Table2[[#This Row],[Data ultimo pagamento]],Table2[[#This Row],[Data prossima scadenza manuale]]),"-")</f>
        <v>43048</v>
      </c>
      <c r="H21" s="67" t="s">
        <v>31</v>
      </c>
      <c r="I21" s="67" t="s">
        <v>1741</v>
      </c>
      <c r="J21" s="33">
        <v>54</v>
      </c>
      <c r="K21" s="88">
        <v>109</v>
      </c>
      <c r="L21" s="88">
        <v>162</v>
      </c>
      <c r="M21" s="67" t="s">
        <v>43</v>
      </c>
      <c r="N21" s="67" t="s">
        <v>51</v>
      </c>
      <c r="O21" s="27" t="s">
        <v>1631</v>
      </c>
      <c r="P21" s="33" t="s">
        <v>21</v>
      </c>
      <c r="Q21" s="60">
        <f>IFERROR(IF(12 / VLOOKUP(Table2[[#This Row],[Rateizzazione]],TIPI_RATEIZZAZIONI,2,FALSE) &gt;=1,  IF(Table2[[#This Row],[Data attivazione]] = "","-",MONTH(Table2[[#This Row],[Data attivazione]])),"-"),"-")</f>
        <v>11</v>
      </c>
      <c r="R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" s="67" t="s">
        <v>2</v>
      </c>
      <c r="V21" s="62"/>
      <c r="W21" s="64">
        <v>42683</v>
      </c>
      <c r="X21" s="29">
        <f>DATE(YEAR(Table2[[#This Row],[Data attivazione]])+VLOOKUP(Table2[[#This Row],[Durata]],VALORE_DURATA,2,FALSE),MONTH(Table2[[#This Row],[Data attivazione]]),DAY(Table2[[#This Row],[Data attivazione]]))</f>
        <v>43048</v>
      </c>
      <c r="Y21" s="65"/>
      <c r="Z21" s="61"/>
      <c r="AA21" s="64" t="s">
        <v>85</v>
      </c>
      <c r="AB21" s="29">
        <f>IF(Table2[[#This Row],[Data ultimo versamento temp]]=0/1/1900,"-",Table2[[#This Row],[Data ultimo versamento temp]])</f>
        <v>42936</v>
      </c>
      <c r="AC21" s="29">
        <f t="array" ref="AC21">MAX(IF(TableVersamenti[Polizza]=Table2[[#This Row],[Polizza]],TableVersamenti[Data prevista versamento],"-"))</f>
        <v>42936</v>
      </c>
      <c r="AD21" s="62"/>
      <c r="AE21" s="106">
        <f>DATE(YEAR(Table2[[#This Row],[Data ultimo pagamento]]),MONTH(Table2[[#This Row],[Data ultimo pagamento]]), 1)</f>
        <v>42917</v>
      </c>
      <c r="AF21" s="106">
        <f>DATE(YEAR(Table2[[#This Row],[Data prossima scadenza]]),MONTH(Table2[[#This Row],[Data prossima scadenza]]), 1)</f>
        <v>43040</v>
      </c>
      <c r="AG21" s="33">
        <f>IFERROR(Table2[[#This Row],[Importo annuale]]*VLOOKUP(Table2[[#This Row],[Ramo]],RAMI_POLIZZA,2,FALSE),0)</f>
        <v>8.4239999999999995</v>
      </c>
      <c r="AH21" s="65" t="s">
        <v>113</v>
      </c>
      <c r="AI21" s="63" t="str">
        <f>IFERROR(VLOOKUP(Table2[[#This Row],[Contraente]],Table1[[Nome/Ragione sociale]:[Checkbox selezionato]],2,FALSE),"-")</f>
        <v>SAN MARTINO SICCOMARIO</v>
      </c>
      <c r="AJ21" s="63">
        <f>IFERROR(VLOOKUP(Table2[[#This Row],[Contraente]],Table1[[Nome/Ragione sociale]:[Checkbox selezionato]],3,FALSE),"-")</f>
        <v>3899613291</v>
      </c>
      <c r="AK21" s="63">
        <f>IFERROR(VLOOKUP(Table2[[#This Row],[Contraente]],Table1[[Nome/Ragione sociale]:[Checkbox selezionato]],4,FALSE),"-")</f>
        <v>3898826997</v>
      </c>
      <c r="AL21" s="63" t="str">
        <f>IFERROR(VLOOKUP(Table2[[#This Row],[Contraente]],Table1[[Nome/Ragione sociale]:[Checkbox selezionato]],5,FALSE),"-")</f>
        <v>ALAIMO FIGLIO</v>
      </c>
      <c r="AM21" s="62">
        <f>IFERROR(VLOOKUP(Table2[[#This Row],[Contraente]],Table1[[Nome/Ragione sociale]:[Checkbox selezionato]],6,FALSE),"-")</f>
        <v>17608</v>
      </c>
      <c r="AN21" s="63" t="str">
        <f>IFERROR(VLOOKUP(Table2[[#This Row],[Contraente]],Table1[[Nome/Ragione sociale]:[Checkbox selezionato]],7,FALSE),"-")</f>
        <v>papies@email.it</v>
      </c>
      <c r="AO21" s="63">
        <f>IFERROR(VLOOKUP(Table2[[#This Row],[Contraente]],Table1[[Nome/Ragione sociale]:[Checkbox selezionato]],8,FALSE),"-")</f>
        <v>0</v>
      </c>
      <c r="AP21" s="63">
        <f>IFERROR(VLOOKUP(Table2[[#This Row],[Contraente]],Table1[[Nome/Ragione sociale]:[Checkbox selezionato]],10,FALSE),"-")</f>
        <v>3899613291</v>
      </c>
      <c r="AQ21" s="63" t="str">
        <f>IFERROR(VLOOKUP(Table2[[#This Row],[Contraente]],Table1[[Nome/Ragione sociale]:[Checkbox selezionato]],11,FALSE),"-")</f>
        <v>SI</v>
      </c>
      <c r="AR21" s="63" t="str">
        <f>IFERROR(VLOOKUP(Table2[[#This Row],[Contraente]],Table1[[Nome/Ragione sociale]:[Checkbox selezionato]],12,FALSE),"-")</f>
        <v>SI</v>
      </c>
    </row>
    <row r="22" spans="1:44" ht="30" hidden="1" customHeight="1" x14ac:dyDescent="0.25">
      <c r="A22" s="60" t="str">
        <f>UPPER(LEFT(Table2[[#This Row],[Contraente]],1))</f>
        <v>A</v>
      </c>
      <c r="B22" s="60" t="s">
        <v>1634</v>
      </c>
      <c r="C22" s="80" t="s">
        <v>221</v>
      </c>
      <c r="D22" s="81" t="s">
        <v>37</v>
      </c>
      <c r="E22" s="86">
        <v>107014119</v>
      </c>
      <c r="F22" s="64">
        <v>42933</v>
      </c>
      <c r="G22" s="64">
        <v>43048</v>
      </c>
      <c r="H22" s="67" t="s">
        <v>31</v>
      </c>
      <c r="I22" s="67" t="s">
        <v>1741</v>
      </c>
      <c r="J22" s="33">
        <v>200</v>
      </c>
      <c r="K22" s="88">
        <v>398.8</v>
      </c>
      <c r="L22" s="88">
        <v>600</v>
      </c>
      <c r="M22" s="67" t="s">
        <v>43</v>
      </c>
      <c r="N22" s="67" t="s">
        <v>51</v>
      </c>
      <c r="O22" s="27" t="s">
        <v>1631</v>
      </c>
      <c r="P22" s="33" t="s">
        <v>21</v>
      </c>
      <c r="Q22" s="60">
        <f>IFERROR(IF(12 / VLOOKUP(Table2[[#This Row],[Rateizzazione]],TIPI_RATEIZZAZIONI,2,FALSE) &gt;=1,  IF(Table2[[#This Row],[Data attivazione]] = "","-",MONTH(Table2[[#This Row],[Data attivazione]])),"-"),"-")</f>
        <v>11</v>
      </c>
      <c r="R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" s="67" t="s">
        <v>2</v>
      </c>
      <c r="V22" s="62"/>
      <c r="W22" s="64">
        <v>42683</v>
      </c>
      <c r="X22" s="29">
        <f>DATE(YEAR(Table2[[#This Row],[Data attivazione]])+VLOOKUP(Table2[[#This Row],[Durata]],VALORE_DURATA,2,FALSE),MONTH(Table2[[#This Row],[Data attivazione]]),DAY(Table2[[#This Row],[Data attivazione]]))</f>
        <v>43048</v>
      </c>
      <c r="Y22" s="65"/>
      <c r="Z22" s="61"/>
      <c r="AA22" s="64" t="s">
        <v>85</v>
      </c>
      <c r="AB22" s="29">
        <f>IF(Table2[[#This Row],[Data ultimo versamento temp]]=0/1/1900,"-",Table2[[#This Row],[Data ultimo versamento temp]])</f>
        <v>42936</v>
      </c>
      <c r="AC22" s="29">
        <f t="array" ref="AC22">MAX(IF(TableVersamenti[Polizza]=Table2[[#This Row],[Polizza]],TableVersamenti[Data prevista versamento],"-"))</f>
        <v>42936</v>
      </c>
      <c r="AD22" s="62"/>
      <c r="AE22" s="106">
        <f>DATE(YEAR(Table2[[#This Row],[Data ultimo pagamento]]),MONTH(Table2[[#This Row],[Data ultimo pagamento]]), 1)</f>
        <v>42917</v>
      </c>
      <c r="AF22" s="106">
        <f>DATE(YEAR(Table2[[#This Row],[Data prossima scadenza]]),MONTH(Table2[[#This Row],[Data prossima scadenza]]), 1)</f>
        <v>43040</v>
      </c>
      <c r="AG22" s="33">
        <f>IFERROR(Table2[[#This Row],[Importo annuale]]*VLOOKUP(Table2[[#This Row],[Ramo]],RAMI_POLIZZA,2,FALSE),0)</f>
        <v>31.2</v>
      </c>
      <c r="AH22" s="65" t="s">
        <v>113</v>
      </c>
      <c r="AI22" s="63" t="str">
        <f>IFERROR(VLOOKUP(Table2[[#This Row],[Contraente]],Table1[[Nome/Ragione sociale]:[Checkbox selezionato]],2,FALSE),"-")</f>
        <v>SAN MARTINO SICCOMARIO</v>
      </c>
      <c r="AJ22" s="63">
        <f>IFERROR(VLOOKUP(Table2[[#This Row],[Contraente]],Table1[[Nome/Ragione sociale]:[Checkbox selezionato]],3,FALSE),"-")</f>
        <v>3899613291</v>
      </c>
      <c r="AK22" s="63">
        <f>IFERROR(VLOOKUP(Table2[[#This Row],[Contraente]],Table1[[Nome/Ragione sociale]:[Checkbox selezionato]],4,FALSE),"-")</f>
        <v>3898826997</v>
      </c>
      <c r="AL22" s="63" t="str">
        <f>IFERROR(VLOOKUP(Table2[[#This Row],[Contraente]],Table1[[Nome/Ragione sociale]:[Checkbox selezionato]],5,FALSE),"-")</f>
        <v>ALAIMO FIGLIO</v>
      </c>
      <c r="AM22" s="62">
        <f>IFERROR(VLOOKUP(Table2[[#This Row],[Contraente]],Table1[[Nome/Ragione sociale]:[Checkbox selezionato]],6,FALSE),"-")</f>
        <v>17608</v>
      </c>
      <c r="AN22" s="63" t="str">
        <f>IFERROR(VLOOKUP(Table2[[#This Row],[Contraente]],Table1[[Nome/Ragione sociale]:[Checkbox selezionato]],7,FALSE),"-")</f>
        <v>papies@email.it</v>
      </c>
      <c r="AO22" s="63">
        <f>IFERROR(VLOOKUP(Table2[[#This Row],[Contraente]],Table1[[Nome/Ragione sociale]:[Checkbox selezionato]],8,FALSE),"-")</f>
        <v>0</v>
      </c>
      <c r="AP22" s="63">
        <f>IFERROR(VLOOKUP(Table2[[#This Row],[Contraente]],Table1[[Nome/Ragione sociale]:[Checkbox selezionato]],10,FALSE),"-")</f>
        <v>3899613291</v>
      </c>
      <c r="AQ22" s="63" t="str">
        <f>IFERROR(VLOOKUP(Table2[[#This Row],[Contraente]],Table1[[Nome/Ragione sociale]:[Checkbox selezionato]],11,FALSE),"-")</f>
        <v>SI</v>
      </c>
      <c r="AR22" s="63" t="str">
        <f>IFERROR(VLOOKUP(Table2[[#This Row],[Contraente]],Table1[[Nome/Ragione sociale]:[Checkbox selezionato]],12,FALSE),"-")</f>
        <v>SI</v>
      </c>
    </row>
    <row r="23" spans="1:44" ht="30" hidden="1" customHeight="1" x14ac:dyDescent="0.25">
      <c r="A23" s="60" t="str">
        <f>UPPER(LEFT(Table2[[#This Row],[Contraente]],1))</f>
        <v>A</v>
      </c>
      <c r="B23" s="60" t="s">
        <v>1634</v>
      </c>
      <c r="C23" s="80" t="s">
        <v>223</v>
      </c>
      <c r="D23" s="81" t="s">
        <v>37</v>
      </c>
      <c r="E23" s="86">
        <v>105316424</v>
      </c>
      <c r="F23" s="64">
        <v>42668</v>
      </c>
      <c r="G23" s="64">
        <f>IFERROR(CALCOLASCADENZA(Table2[[#This Row],[Data attivazione]],Table2[[#This Row],[Rateizzazione]],Table2[[#This Row],[Data ultimo pagamento]],Table2[[#This Row],[Data prossima scadenza manuale]]),"-")</f>
        <v>42770</v>
      </c>
      <c r="H23" s="67" t="s">
        <v>31</v>
      </c>
      <c r="I23" s="67" t="s">
        <v>1130</v>
      </c>
      <c r="J23" s="33">
        <f>IFERROR(Table2[[#This Row],[Importo annuale]]/(12/VLOOKUP(Table2[[#This Row],[Rateizzazione]],TIPI_RATEIZZAZIONI,2,FALSE)),"-")</f>
        <v>210</v>
      </c>
      <c r="K23" s="88"/>
      <c r="L23" s="88">
        <v>630</v>
      </c>
      <c r="M23" s="67" t="s">
        <v>44</v>
      </c>
      <c r="N23" s="67" t="s">
        <v>51</v>
      </c>
      <c r="O23" s="27" t="s">
        <v>1631</v>
      </c>
      <c r="P23" s="33" t="s">
        <v>21</v>
      </c>
      <c r="Q23" s="60">
        <f>IFERROR(IF(12 / VLOOKUP(Table2[[#This Row],[Rateizzazione]],TIPI_RATEIZZAZIONI,2,FALSE) &gt;=1,  IF(Table2[[#This Row],[Data attivazione]] = "","-",MONTH(Table2[[#This Row],[Data attivazione]])),"-"),"-")</f>
        <v>2</v>
      </c>
      <c r="R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" s="67" t="s">
        <v>2</v>
      </c>
      <c r="V23" s="62"/>
      <c r="W23" s="64">
        <v>42404</v>
      </c>
      <c r="X23" s="29">
        <f>DATE(YEAR(Table2[[#This Row],[Data attivazione]])+VLOOKUP(Table2[[#This Row],[Durata]],VALORE_DURATA,2,FALSE),MONTH(Table2[[#This Row],[Data attivazione]]),DAY(Table2[[#This Row],[Data attivazione]]))</f>
        <v>42770</v>
      </c>
      <c r="Y23" s="65"/>
      <c r="Z23" s="61"/>
      <c r="AA23" s="64" t="s">
        <v>88</v>
      </c>
      <c r="AB23" s="29" t="str">
        <f>IF(Table2[[#This Row],[Data ultimo versamento temp]]=0/1/1900,"-",Table2[[#This Row],[Data ultimo versamento temp]])</f>
        <v>-</v>
      </c>
      <c r="AC23" s="29">
        <f t="array" ref="AC23">MAX(IF(TableVersamenti[Polizza]=Table2[[#This Row],[Polizza]],TableVersamenti[Data prevista versamento],"-"))</f>
        <v>0</v>
      </c>
      <c r="AD23" s="62"/>
      <c r="AE23" s="106">
        <f>DATE(YEAR(Table2[[#This Row],[Data ultimo pagamento]]),MONTH(Table2[[#This Row],[Data ultimo pagamento]]), 1)</f>
        <v>42644</v>
      </c>
      <c r="AF23" s="106">
        <f>DATE(YEAR(Table2[[#This Row],[Data prossima scadenza]]),MONTH(Table2[[#This Row],[Data prossima scadenza]]), 1)</f>
        <v>42767</v>
      </c>
      <c r="AG23" s="33">
        <f>IFERROR(Table2[[#This Row],[Importo annuale]]*VLOOKUP(Table2[[#This Row],[Ramo]],RAMI_POLIZZA,2,FALSE),0)</f>
        <v>32.76</v>
      </c>
      <c r="AH23" s="65" t="s">
        <v>113</v>
      </c>
      <c r="AI23" s="63" t="str">
        <f>IFERROR(VLOOKUP(Table2[[#This Row],[Contraente]],Table1[[Nome/Ragione sociale]:[Checkbox selezionato]],2,FALSE),"-")</f>
        <v xml:space="preserve">PAVIA </v>
      </c>
      <c r="AJ23" s="63">
        <f>IFERROR(VLOOKUP(Table2[[#This Row],[Contraente]],Table1[[Nome/Ragione sociale]:[Checkbox selezionato]],3,FALSE),"-")</f>
        <v>3480142323</v>
      </c>
      <c r="AK23" s="63">
        <f>IFERROR(VLOOKUP(Table2[[#This Row],[Contraente]],Table1[[Nome/Ragione sociale]:[Checkbox selezionato]],4,FALSE),"-")</f>
        <v>0</v>
      </c>
      <c r="AL23" s="63" t="str">
        <f>IFERROR(VLOOKUP(Table2[[#This Row],[Contraente]],Table1[[Nome/Ragione sociale]:[Checkbox selezionato]],5,FALSE),"-")</f>
        <v>ALAIMO</v>
      </c>
      <c r="AM23" s="62">
        <f>IFERROR(VLOOKUP(Table2[[#This Row],[Contraente]],Table1[[Nome/Ragione sociale]:[Checkbox selezionato]],6,FALSE),"-")</f>
        <v>25837</v>
      </c>
      <c r="AN23" s="63" t="str">
        <f>IFERROR(VLOOKUP(Table2[[#This Row],[Contraente]],Table1[[Nome/Ragione sociale]:[Checkbox selezionato]],7,FALSE),"-")</f>
        <v>papies@libero.it</v>
      </c>
      <c r="AO23" s="63">
        <f>IFERROR(VLOOKUP(Table2[[#This Row],[Contraente]],Table1[[Nome/Ragione sociale]:[Checkbox selezionato]],8,FALSE),"-")</f>
        <v>0</v>
      </c>
      <c r="AP23" s="63">
        <f>IFERROR(VLOOKUP(Table2[[#This Row],[Contraente]],Table1[[Nome/Ragione sociale]:[Checkbox selezionato]],10,FALSE),"-")</f>
        <v>3480142323</v>
      </c>
      <c r="AQ23" s="63" t="str">
        <f>IFERROR(VLOOKUP(Table2[[#This Row],[Contraente]],Table1[[Nome/Ragione sociale]:[Checkbox selezionato]],11,FALSE),"-")</f>
        <v>SI</v>
      </c>
      <c r="AR23" s="63" t="str">
        <f>IFERROR(VLOOKUP(Table2[[#This Row],[Contraente]],Table1[[Nome/Ragione sociale]:[Checkbox selezionato]],12,FALSE),"-")</f>
        <v>SI</v>
      </c>
    </row>
    <row r="24" spans="1:44" ht="30" hidden="1" customHeight="1" x14ac:dyDescent="0.25">
      <c r="A24" s="60" t="str">
        <f>UPPER(LEFT(Table2[[#This Row],[Contraente]],1))</f>
        <v>A</v>
      </c>
      <c r="B24" s="60" t="s">
        <v>1634</v>
      </c>
      <c r="C24" s="80" t="s">
        <v>223</v>
      </c>
      <c r="D24" s="80" t="s">
        <v>37</v>
      </c>
      <c r="E24" s="85">
        <v>106700274</v>
      </c>
      <c r="F24" s="64">
        <v>42828</v>
      </c>
      <c r="G24" s="64">
        <f>IFERROR(CALCOLASCADENZA(Table2[[#This Row],[Data attivazione]],Table2[[#This Row],[Rateizzazione]],Table2[[#This Row],[Data ultimo pagamento]],Table2[[#This Row],[Data prossima scadenza manuale]]),"-")</f>
        <v>42950</v>
      </c>
      <c r="H24" s="67" t="s">
        <v>31</v>
      </c>
      <c r="I24" s="67" t="s">
        <v>1687</v>
      </c>
      <c r="J24" s="33">
        <f>IFERROR(Table2[[#This Row],[Importo annuale]]/(12/VLOOKUP(Table2[[#This Row],[Rateizzazione]],TIPI_RATEIZZAZIONI,2,FALSE)),"-")</f>
        <v>200</v>
      </c>
      <c r="K24" s="88">
        <v>200</v>
      </c>
      <c r="L24" s="88">
        <v>600</v>
      </c>
      <c r="M24" s="67" t="s">
        <v>44</v>
      </c>
      <c r="N24" s="67" t="s">
        <v>51</v>
      </c>
      <c r="O24" s="27" t="s">
        <v>1631</v>
      </c>
      <c r="P24" s="33" t="s">
        <v>21</v>
      </c>
      <c r="Q24" s="60">
        <f>IFERROR(IF(12 / VLOOKUP(Table2[[#This Row],[Rateizzazione]],TIPI_RATEIZZAZIONI,2,FALSE) &gt;=1,  IF(Table2[[#This Row],[Data attivazione]] = "","-",MONTH(Table2[[#This Row],[Data attivazione]])),"-"),"-")</f>
        <v>8</v>
      </c>
      <c r="R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" s="67" t="s">
        <v>2</v>
      </c>
      <c r="V24" s="62"/>
      <c r="W24" s="64">
        <v>42585</v>
      </c>
      <c r="X24" s="29">
        <f>DATE(YEAR(Table2[[#This Row],[Data attivazione]])+VLOOKUP(Table2[[#This Row],[Durata]],VALORE_DURATA,2,FALSE),MONTH(Table2[[#This Row],[Data attivazione]]),DAY(Table2[[#This Row],[Data attivazione]]))</f>
        <v>42950</v>
      </c>
      <c r="Y24" s="65"/>
      <c r="Z24" s="61"/>
      <c r="AA24" s="64" t="s">
        <v>85</v>
      </c>
      <c r="AB24" s="29" t="str">
        <f>IF(Table2[[#This Row],[Data ultimo versamento temp]]=0/1/1900,"-",Table2[[#This Row],[Data ultimo versamento temp]])</f>
        <v>-</v>
      </c>
      <c r="AC24" s="29">
        <f t="array" ref="AC24">MAX(IF(TableVersamenti[Polizza]=Table2[[#This Row],[Polizza]],TableVersamenti[Data prevista versamento],"-"))</f>
        <v>0</v>
      </c>
      <c r="AD24" s="62"/>
      <c r="AE24" s="106">
        <f>DATE(YEAR(Table2[[#This Row],[Data ultimo pagamento]]),MONTH(Table2[[#This Row],[Data ultimo pagamento]]), 1)</f>
        <v>42826</v>
      </c>
      <c r="AF24" s="106">
        <f>DATE(YEAR(Table2[[#This Row],[Data prossima scadenza]]),MONTH(Table2[[#This Row],[Data prossima scadenza]]), 1)</f>
        <v>42948</v>
      </c>
      <c r="AG24" s="33">
        <f>IFERROR(Table2[[#This Row],[Importo annuale]]*VLOOKUP(Table2[[#This Row],[Ramo]],RAMI_POLIZZA,2,FALSE),0)</f>
        <v>31.2</v>
      </c>
      <c r="AH24" s="65" t="s">
        <v>113</v>
      </c>
      <c r="AI24" s="63" t="str">
        <f>IFERROR(VLOOKUP(Table2[[#This Row],[Contraente]],Table1[[Nome/Ragione sociale]:[Checkbox selezionato]],2,FALSE),"-")</f>
        <v xml:space="preserve">PAVIA </v>
      </c>
      <c r="AJ24" s="63">
        <f>IFERROR(VLOOKUP(Table2[[#This Row],[Contraente]],Table1[[Nome/Ragione sociale]:[Checkbox selezionato]],3,FALSE),"-")</f>
        <v>3480142323</v>
      </c>
      <c r="AK24" s="63">
        <f>IFERROR(VLOOKUP(Table2[[#This Row],[Contraente]],Table1[[Nome/Ragione sociale]:[Checkbox selezionato]],4,FALSE),"-")</f>
        <v>0</v>
      </c>
      <c r="AL24" s="63" t="str">
        <f>IFERROR(VLOOKUP(Table2[[#This Row],[Contraente]],Table1[[Nome/Ragione sociale]:[Checkbox selezionato]],5,FALSE),"-")</f>
        <v>ALAIMO</v>
      </c>
      <c r="AM24" s="62">
        <f>IFERROR(VLOOKUP(Table2[[#This Row],[Contraente]],Table1[[Nome/Ragione sociale]:[Checkbox selezionato]],6,FALSE),"-")</f>
        <v>25837</v>
      </c>
      <c r="AN24" s="63" t="str">
        <f>IFERROR(VLOOKUP(Table2[[#This Row],[Contraente]],Table1[[Nome/Ragione sociale]:[Checkbox selezionato]],7,FALSE),"-")</f>
        <v>papies@libero.it</v>
      </c>
      <c r="AO24" s="63">
        <f>IFERROR(VLOOKUP(Table2[[#This Row],[Contraente]],Table1[[Nome/Ragione sociale]:[Checkbox selezionato]],8,FALSE),"-")</f>
        <v>0</v>
      </c>
      <c r="AP24" s="63">
        <f>IFERROR(VLOOKUP(Table2[[#This Row],[Contraente]],Table1[[Nome/Ragione sociale]:[Checkbox selezionato]],10,FALSE),"-")</f>
        <v>3480142323</v>
      </c>
      <c r="AQ24" s="63" t="str">
        <f>IFERROR(VLOOKUP(Table2[[#This Row],[Contraente]],Table1[[Nome/Ragione sociale]:[Checkbox selezionato]],11,FALSE),"-")</f>
        <v>SI</v>
      </c>
      <c r="AR24" s="63" t="str">
        <f>IFERROR(VLOOKUP(Table2[[#This Row],[Contraente]],Table1[[Nome/Ragione sociale]:[Checkbox selezionato]],12,FALSE),"-")</f>
        <v>SI</v>
      </c>
    </row>
    <row r="25" spans="1:44" ht="30" hidden="1" customHeight="1" x14ac:dyDescent="0.25">
      <c r="A25" s="60" t="str">
        <f>UPPER(LEFT(Table2[[#This Row],[Contraente]],1))</f>
        <v>A</v>
      </c>
      <c r="B25" s="60" t="s">
        <v>1634</v>
      </c>
      <c r="C25" s="80" t="s">
        <v>228</v>
      </c>
      <c r="D25" s="81" t="s">
        <v>37</v>
      </c>
      <c r="E25" s="86">
        <v>1024204</v>
      </c>
      <c r="F25" s="64">
        <v>42241</v>
      </c>
      <c r="G25" s="64">
        <f>IFERROR(CALCOLASCADENZA(Table2[[#This Row],[Data attivazione]],Table2[[#This Row],[Rateizzazione]],Table2[[#This Row],[Data ultimo pagamento]],Table2[[#This Row],[Data prossima scadenza manuale]]),"-")</f>
        <v>690675</v>
      </c>
      <c r="H25" s="67" t="s">
        <v>32</v>
      </c>
      <c r="I25" s="67" t="s">
        <v>113</v>
      </c>
      <c r="J25" s="33">
        <f>IFERROR(Table2[[#This Row],[Importo annuale]]/(12/VLOOKUP(Table2[[#This Row],[Rateizzazione]],TIPI_RATEIZZAZIONI,2,FALSE)),"-")</f>
        <v>60</v>
      </c>
      <c r="K25" s="88"/>
      <c r="L25" s="88">
        <v>60</v>
      </c>
      <c r="M25" s="67" t="s">
        <v>44</v>
      </c>
      <c r="N25" s="67" t="s">
        <v>51</v>
      </c>
      <c r="O25" s="27" t="s">
        <v>1632</v>
      </c>
      <c r="P25" s="33" t="s">
        <v>23</v>
      </c>
      <c r="Q25" s="60">
        <f>IFERROR(IF(12 / VLOOKUP(Table2[[#This Row],[Rateizzazione]],TIPI_RATEIZZAZIONI,2,FALSE) &gt;=1,  IF(Table2[[#This Row],[Data attivazione]] = "","-",MONTH(Table2[[#This Row],[Data attivazione]])),"-"),"-")</f>
        <v>12</v>
      </c>
      <c r="R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" s="67" t="s">
        <v>2</v>
      </c>
      <c r="V25" s="62"/>
      <c r="W25" s="64">
        <v>690310</v>
      </c>
      <c r="X25" s="29">
        <f>DATE(YEAR(Table2[[#This Row],[Data attivazione]])+VLOOKUP(Table2[[#This Row],[Durata]],VALORE_DURATA,2,FALSE),MONTH(Table2[[#This Row],[Data attivazione]]),DAY(Table2[[#This Row],[Data attivazione]]))</f>
        <v>693962</v>
      </c>
      <c r="Y25" s="65"/>
      <c r="Z25" s="61"/>
      <c r="AA25" s="64" t="s">
        <v>88</v>
      </c>
      <c r="AB25" s="29" t="str">
        <f>IF(Table2[[#This Row],[Data ultimo versamento temp]]=0/1/1900,"-",Table2[[#This Row],[Data ultimo versamento temp]])</f>
        <v>-</v>
      </c>
      <c r="AC25" s="29">
        <f t="array" ref="AC25">MAX(IF(TableVersamenti[Polizza]=Table2[[#This Row],[Polizza]],TableVersamenti[Data prevista versamento],"-"))</f>
        <v>0</v>
      </c>
      <c r="AD25" s="62"/>
      <c r="AE25" s="106">
        <f>DATE(YEAR(Table2[[#This Row],[Data ultimo pagamento]]),MONTH(Table2[[#This Row],[Data ultimo pagamento]]), 1)</f>
        <v>42217</v>
      </c>
      <c r="AF25" s="106">
        <f>DATE(YEAR(Table2[[#This Row],[Data prossima scadenza]]),MONTH(Table2[[#This Row],[Data prossima scadenza]]), 1)</f>
        <v>690645</v>
      </c>
      <c r="AG25" s="33">
        <f>IFERROR(Table2[[#This Row],[Importo annuale]]*VLOOKUP(Table2[[#This Row],[Ramo]],RAMI_POLIZZA,2,FALSE),0)</f>
        <v>0.89999999999999991</v>
      </c>
      <c r="AH25" s="65" t="s">
        <v>113</v>
      </c>
      <c r="AI25" s="63" t="str">
        <f>IFERROR(VLOOKUP(Table2[[#This Row],[Contraente]],Table1[[Nome/Ragione sociale]:[Checkbox selezionato]],2,FALSE),"-")</f>
        <v>PIEVE PORTO MORONE</v>
      </c>
      <c r="AJ25" s="63">
        <f>IFERROR(VLOOKUP(Table2[[#This Row],[Contraente]],Table1[[Nome/Ragione sociale]:[Checkbox selezionato]],3,FALSE),"-")</f>
        <v>3343779815</v>
      </c>
      <c r="AK25" s="63">
        <f>IFERROR(VLOOKUP(Table2[[#This Row],[Contraente]],Table1[[Nome/Ragione sociale]:[Checkbox selezionato]],4,FALSE),"-")</f>
        <v>0</v>
      </c>
      <c r="AL25" s="63" t="str">
        <f>IFERROR(VLOOKUP(Table2[[#This Row],[Contraente]],Table1[[Nome/Ragione sociale]:[Checkbox selezionato]],5,FALSE),"-")</f>
        <v>VAGHI MATTEO</v>
      </c>
      <c r="AM25" s="62">
        <f>IFERROR(VLOOKUP(Table2[[#This Row],[Contraente]],Table1[[Nome/Ragione sociale]:[Checkbox selezionato]],6,FALSE),"-")</f>
        <v>26990</v>
      </c>
      <c r="AN25" s="63" t="str">
        <f>IFERROR(VLOOKUP(Table2[[#This Row],[Contraente]],Table1[[Nome/Ragione sociale]:[Checkbox selezionato]],7,FALSE),"-")</f>
        <v>papies@libero.it</v>
      </c>
      <c r="AO25" s="63">
        <f>IFERROR(VLOOKUP(Table2[[#This Row],[Contraente]],Table1[[Nome/Ragione sociale]:[Checkbox selezionato]],8,FALSE),"-")</f>
        <v>0</v>
      </c>
      <c r="AP25" s="63">
        <f>IFERROR(VLOOKUP(Table2[[#This Row],[Contraente]],Table1[[Nome/Ragione sociale]:[Checkbox selezionato]],10,FALSE),"-")</f>
        <v>3343779815</v>
      </c>
      <c r="AQ25" s="63" t="str">
        <f>IFERROR(VLOOKUP(Table2[[#This Row],[Contraente]],Table1[[Nome/Ragione sociale]:[Checkbox selezionato]],11,FALSE),"-")</f>
        <v>SI</v>
      </c>
      <c r="AR25" s="63" t="str">
        <f>IFERROR(VLOOKUP(Table2[[#This Row],[Contraente]],Table1[[Nome/Ragione sociale]:[Checkbox selezionato]],12,FALSE),"-")</f>
        <v>SI</v>
      </c>
    </row>
    <row r="26" spans="1:44" ht="30" hidden="1" customHeight="1" x14ac:dyDescent="0.25">
      <c r="A26" s="60" t="str">
        <f>UPPER(LEFT(Table2[[#This Row],[Contraente]],1))</f>
        <v>A</v>
      </c>
      <c r="B26" s="60" t="s">
        <v>1634</v>
      </c>
      <c r="C26" s="80" t="s">
        <v>228</v>
      </c>
      <c r="D26" s="80" t="s">
        <v>37</v>
      </c>
      <c r="E26" s="85">
        <v>101330245</v>
      </c>
      <c r="F26" s="64">
        <v>42790</v>
      </c>
      <c r="G26" s="64">
        <f>IFERROR(CALCOLASCADENZA(Table2[[#This Row],[Data attivazione]],Table2[[#This Row],[Rateizzazione]],Table2[[#This Row],[Data ultimo pagamento]],Table2[[#This Row],[Data prossima scadenza manuale]]),"-")</f>
        <v>42958</v>
      </c>
      <c r="H26" s="67" t="s">
        <v>30</v>
      </c>
      <c r="I26" s="67" t="s">
        <v>113</v>
      </c>
      <c r="J26" s="33">
        <f>IFERROR(Table2[[#This Row],[Importo annuale]]/(12/VLOOKUP(Table2[[#This Row],[Rateizzazione]],TIPI_RATEIZZAZIONI,2,FALSE)),"-")</f>
        <v>50</v>
      </c>
      <c r="K26" s="88">
        <v>50</v>
      </c>
      <c r="L26" s="88">
        <v>100</v>
      </c>
      <c r="M26" s="67" t="s">
        <v>44</v>
      </c>
      <c r="N26" s="67" t="s">
        <v>51</v>
      </c>
      <c r="O26" s="27" t="s">
        <v>1631</v>
      </c>
      <c r="P26" s="33" t="s">
        <v>22</v>
      </c>
      <c r="Q26" s="60">
        <f>IFERROR(IF(12 / VLOOKUP(Table2[[#This Row],[Rateizzazione]],TIPI_RATEIZZAZIONI,2,FALSE) &gt;=1,  IF(Table2[[#This Row],[Data attivazione]] = "","-",MONTH(Table2[[#This Row],[Data attivazione]])),"-"),"-")</f>
        <v>8</v>
      </c>
      <c r="R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" s="67" t="s">
        <v>2</v>
      </c>
      <c r="V26" s="62"/>
      <c r="W26" s="64">
        <v>42593</v>
      </c>
      <c r="X26" s="29">
        <f>DATE(YEAR(Table2[[#This Row],[Data attivazione]])+VLOOKUP(Table2[[#This Row],[Durata]],VALORE_DURATA,2,FALSE),MONTH(Table2[[#This Row],[Data attivazione]]),DAY(Table2[[#This Row],[Data attivazione]]))</f>
        <v>42958</v>
      </c>
      <c r="Y26" s="65"/>
      <c r="Z26" s="61"/>
      <c r="AA26" s="64" t="s">
        <v>85</v>
      </c>
      <c r="AB26" s="29" t="str">
        <f>IF(Table2[[#This Row],[Data ultimo versamento temp]]=0/1/1900,"-",Table2[[#This Row],[Data ultimo versamento temp]])</f>
        <v>-</v>
      </c>
      <c r="AC26" s="29">
        <f t="array" ref="AC26">MAX(IF(TableVersamenti[Polizza]=Table2[[#This Row],[Polizza]],TableVersamenti[Data prevista versamento],"-"))</f>
        <v>0</v>
      </c>
      <c r="AD26" s="62"/>
      <c r="AE26" s="106">
        <f>DATE(YEAR(Table2[[#This Row],[Data ultimo pagamento]]),MONTH(Table2[[#This Row],[Data ultimo pagamento]]), 1)</f>
        <v>42767</v>
      </c>
      <c r="AF26" s="106">
        <f>DATE(YEAR(Table2[[#This Row],[Data prossima scadenza]]),MONTH(Table2[[#This Row],[Data prossima scadenza]]), 1)</f>
        <v>42948</v>
      </c>
      <c r="AG26" s="33">
        <f>IFERROR(Table2[[#This Row],[Importo annuale]]*VLOOKUP(Table2[[#This Row],[Ramo]],RAMI_POLIZZA,2,FALSE),0)</f>
        <v>11.5</v>
      </c>
      <c r="AH26" s="65" t="s">
        <v>113</v>
      </c>
      <c r="AI26" s="63" t="str">
        <f>IFERROR(VLOOKUP(Table2[[#This Row],[Contraente]],Table1[[Nome/Ragione sociale]:[Checkbox selezionato]],2,FALSE),"-")</f>
        <v>PIEVE PORTO MORONE</v>
      </c>
      <c r="AJ26" s="63">
        <f>IFERROR(VLOOKUP(Table2[[#This Row],[Contraente]],Table1[[Nome/Ragione sociale]:[Checkbox selezionato]],3,FALSE),"-")</f>
        <v>3343779815</v>
      </c>
      <c r="AK26" s="63">
        <f>IFERROR(VLOOKUP(Table2[[#This Row],[Contraente]],Table1[[Nome/Ragione sociale]:[Checkbox selezionato]],4,FALSE),"-")</f>
        <v>0</v>
      </c>
      <c r="AL26" s="63" t="str">
        <f>IFERROR(VLOOKUP(Table2[[#This Row],[Contraente]],Table1[[Nome/Ragione sociale]:[Checkbox selezionato]],5,FALSE),"-")</f>
        <v>VAGHI MATTEO</v>
      </c>
      <c r="AM26" s="62">
        <f>IFERROR(VLOOKUP(Table2[[#This Row],[Contraente]],Table1[[Nome/Ragione sociale]:[Checkbox selezionato]],6,FALSE),"-")</f>
        <v>26990</v>
      </c>
      <c r="AN26" s="63" t="str">
        <f>IFERROR(VLOOKUP(Table2[[#This Row],[Contraente]],Table1[[Nome/Ragione sociale]:[Checkbox selezionato]],7,FALSE),"-")</f>
        <v>papies@libero.it</v>
      </c>
      <c r="AO26" s="63">
        <f>IFERROR(VLOOKUP(Table2[[#This Row],[Contraente]],Table1[[Nome/Ragione sociale]:[Checkbox selezionato]],8,FALSE),"-")</f>
        <v>0</v>
      </c>
      <c r="AP26" s="63">
        <f>IFERROR(VLOOKUP(Table2[[#This Row],[Contraente]],Table1[[Nome/Ragione sociale]:[Checkbox selezionato]],10,FALSE),"-")</f>
        <v>3343779815</v>
      </c>
      <c r="AQ26" s="63" t="str">
        <f>IFERROR(VLOOKUP(Table2[[#This Row],[Contraente]],Table1[[Nome/Ragione sociale]:[Checkbox selezionato]],11,FALSE),"-")</f>
        <v>SI</v>
      </c>
      <c r="AR26" s="63" t="str">
        <f>IFERROR(VLOOKUP(Table2[[#This Row],[Contraente]],Table1[[Nome/Ragione sociale]:[Checkbox selezionato]],12,FALSE),"-")</f>
        <v>SI</v>
      </c>
    </row>
    <row r="27" spans="1:44" ht="30" hidden="1" customHeight="1" x14ac:dyDescent="0.25">
      <c r="A27" s="60" t="str">
        <f>UPPER(LEFT(Table2[[#This Row],[Contraente]],1))</f>
        <v>A</v>
      </c>
      <c r="B27" s="60" t="s">
        <v>1634</v>
      </c>
      <c r="C27" s="80" t="s">
        <v>228</v>
      </c>
      <c r="D27" s="81" t="s">
        <v>37</v>
      </c>
      <c r="E27" s="86">
        <v>106562730</v>
      </c>
      <c r="F27" s="64">
        <v>42790</v>
      </c>
      <c r="G27" s="64">
        <f>IFERROR(CALCOLASCADENZA(Table2[[#This Row],[Data attivazione]],Table2[[#This Row],[Rateizzazione]],Table2[[#This Row],[Data ultimo pagamento]],Table2[[#This Row],[Data prossima scadenza manuale]]),"-")</f>
        <v>42958</v>
      </c>
      <c r="H27" s="67" t="s">
        <v>31</v>
      </c>
      <c r="I27" s="67" t="s">
        <v>1134</v>
      </c>
      <c r="J27" s="33">
        <f>IFERROR(Table2[[#This Row],[Importo annuale]]/(12/VLOOKUP(Table2[[#This Row],[Rateizzazione]],TIPI_RATEIZZAZIONI,2,FALSE)),"-")</f>
        <v>288</v>
      </c>
      <c r="K27" s="88">
        <v>288</v>
      </c>
      <c r="L27" s="88">
        <v>576</v>
      </c>
      <c r="M27" s="67" t="s">
        <v>44</v>
      </c>
      <c r="N27" s="67" t="s">
        <v>51</v>
      </c>
      <c r="O27" s="27" t="s">
        <v>1631</v>
      </c>
      <c r="P27" s="33" t="s">
        <v>22</v>
      </c>
      <c r="Q27" s="60">
        <f>IFERROR(IF(12 / VLOOKUP(Table2[[#This Row],[Rateizzazione]],TIPI_RATEIZZAZIONI,2,FALSE) &gt;=1,  IF(Table2[[#This Row],[Data attivazione]] = "","-",MONTH(Table2[[#This Row],[Data attivazione]])),"-"),"-")</f>
        <v>8</v>
      </c>
      <c r="R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" s="67" t="s">
        <v>2</v>
      </c>
      <c r="V27" s="62"/>
      <c r="W27" s="64">
        <v>42593</v>
      </c>
      <c r="X27" s="29">
        <f>DATE(YEAR(Table2[[#This Row],[Data attivazione]])+VLOOKUP(Table2[[#This Row],[Durata]],VALORE_DURATA,2,FALSE),MONTH(Table2[[#This Row],[Data attivazione]]),DAY(Table2[[#This Row],[Data attivazione]]))</f>
        <v>42958</v>
      </c>
      <c r="Y27" s="65"/>
      <c r="Z27" s="61"/>
      <c r="AA27" s="64" t="s">
        <v>85</v>
      </c>
      <c r="AB27" s="29" t="str">
        <f>IF(Table2[[#This Row],[Data ultimo versamento temp]]=0/1/1900,"-",Table2[[#This Row],[Data ultimo versamento temp]])</f>
        <v>-</v>
      </c>
      <c r="AC27" s="29">
        <f t="array" ref="AC27">MAX(IF(TableVersamenti[Polizza]=Table2[[#This Row],[Polizza]],TableVersamenti[Data prevista versamento],"-"))</f>
        <v>0</v>
      </c>
      <c r="AD27" s="62"/>
      <c r="AE27" s="106">
        <f>DATE(YEAR(Table2[[#This Row],[Data ultimo pagamento]]),MONTH(Table2[[#This Row],[Data ultimo pagamento]]), 1)</f>
        <v>42767</v>
      </c>
      <c r="AF27" s="106">
        <f>DATE(YEAR(Table2[[#This Row],[Data prossima scadenza]]),MONTH(Table2[[#This Row],[Data prossima scadenza]]), 1)</f>
        <v>42948</v>
      </c>
      <c r="AG27" s="33">
        <f>IFERROR(Table2[[#This Row],[Importo annuale]]*VLOOKUP(Table2[[#This Row],[Ramo]],RAMI_POLIZZA,2,FALSE),0)</f>
        <v>29.951999999999998</v>
      </c>
      <c r="AH27" s="65" t="s">
        <v>113</v>
      </c>
      <c r="AI27" s="63" t="str">
        <f>IFERROR(VLOOKUP(Table2[[#This Row],[Contraente]],Table1[[Nome/Ragione sociale]:[Checkbox selezionato]],2,FALSE),"-")</f>
        <v>PIEVE PORTO MORONE</v>
      </c>
      <c r="AJ27" s="63">
        <f>IFERROR(VLOOKUP(Table2[[#This Row],[Contraente]],Table1[[Nome/Ragione sociale]:[Checkbox selezionato]],3,FALSE),"-")</f>
        <v>3343779815</v>
      </c>
      <c r="AK27" s="63">
        <f>IFERROR(VLOOKUP(Table2[[#This Row],[Contraente]],Table1[[Nome/Ragione sociale]:[Checkbox selezionato]],4,FALSE),"-")</f>
        <v>0</v>
      </c>
      <c r="AL27" s="63" t="str">
        <f>IFERROR(VLOOKUP(Table2[[#This Row],[Contraente]],Table1[[Nome/Ragione sociale]:[Checkbox selezionato]],5,FALSE),"-")</f>
        <v>VAGHI MATTEO</v>
      </c>
      <c r="AM27" s="62">
        <f>IFERROR(VLOOKUP(Table2[[#This Row],[Contraente]],Table1[[Nome/Ragione sociale]:[Checkbox selezionato]],6,FALSE),"-")</f>
        <v>26990</v>
      </c>
      <c r="AN27" s="63" t="str">
        <f>IFERROR(VLOOKUP(Table2[[#This Row],[Contraente]],Table1[[Nome/Ragione sociale]:[Checkbox selezionato]],7,FALSE),"-")</f>
        <v>papies@libero.it</v>
      </c>
      <c r="AO27" s="63">
        <f>IFERROR(VLOOKUP(Table2[[#This Row],[Contraente]],Table1[[Nome/Ragione sociale]:[Checkbox selezionato]],8,FALSE),"-")</f>
        <v>0</v>
      </c>
      <c r="AP27" s="63">
        <f>IFERROR(VLOOKUP(Table2[[#This Row],[Contraente]],Table1[[Nome/Ragione sociale]:[Checkbox selezionato]],10,FALSE),"-")</f>
        <v>3343779815</v>
      </c>
      <c r="AQ27" s="63" t="str">
        <f>IFERROR(VLOOKUP(Table2[[#This Row],[Contraente]],Table1[[Nome/Ragione sociale]:[Checkbox selezionato]],11,FALSE),"-")</f>
        <v>SI</v>
      </c>
      <c r="AR27" s="63" t="str">
        <f>IFERROR(VLOOKUP(Table2[[#This Row],[Contraente]],Table1[[Nome/Ragione sociale]:[Checkbox selezionato]],12,FALSE),"-")</f>
        <v>SI</v>
      </c>
    </row>
    <row r="28" spans="1:44" ht="30" hidden="1" customHeight="1" x14ac:dyDescent="0.25">
      <c r="A28" s="60" t="str">
        <f>UPPER(LEFT(Table2[[#This Row],[Contraente]],1))</f>
        <v>A</v>
      </c>
      <c r="B28" s="60" t="s">
        <v>1634</v>
      </c>
      <c r="C28" s="80" t="s">
        <v>230</v>
      </c>
      <c r="D28" s="81" t="s">
        <v>37</v>
      </c>
      <c r="E28" s="86">
        <v>105683104</v>
      </c>
      <c r="F28" s="64">
        <v>42906</v>
      </c>
      <c r="G28" s="64">
        <f>IFERROR(CALCOLASCADENZA(Table2[[#This Row],[Data attivazione]],Table2[[#This Row],[Rateizzazione]],Table2[[#This Row],[Data ultimo pagamento]],Table2[[#This Row],[Data prossima scadenza manuale]]),"-")</f>
        <v>43257</v>
      </c>
      <c r="H28" s="67" t="s">
        <v>30</v>
      </c>
      <c r="I28" s="67" t="s">
        <v>113</v>
      </c>
      <c r="J28" s="33">
        <f>IFERROR(Table2[[#This Row],[Importo annuale]]/(12/VLOOKUP(Table2[[#This Row],[Rateizzazione]],TIPI_RATEIZZAZIONI,2,FALSE)),"-")</f>
        <v>301</v>
      </c>
      <c r="K28" s="88">
        <v>301</v>
      </c>
      <c r="L28" s="88">
        <v>301</v>
      </c>
      <c r="M28" s="67" t="s">
        <v>44</v>
      </c>
      <c r="N28" s="67" t="s">
        <v>52</v>
      </c>
      <c r="O28" s="27" t="s">
        <v>1631</v>
      </c>
      <c r="P28" s="33" t="s">
        <v>23</v>
      </c>
      <c r="Q28" s="60">
        <f>IFERROR(IF(12 / VLOOKUP(Table2[[#This Row],[Rateizzazione]],TIPI_RATEIZZAZIONI,2,FALSE) &gt;=1,  IF(Table2[[#This Row],[Data attivazione]] = "","-",MONTH(Table2[[#This Row],[Data attivazione]])),"-"),"-")</f>
        <v>6</v>
      </c>
      <c r="R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" s="67" t="s">
        <v>2</v>
      </c>
      <c r="V28" s="62"/>
      <c r="W28" s="64">
        <v>42892</v>
      </c>
      <c r="X28" s="29">
        <f>DATE(YEAR(Table2[[#This Row],[Data attivazione]])+VLOOKUP(Table2[[#This Row],[Durata]],VALORE_DURATA,2,FALSE),MONTH(Table2[[#This Row],[Data attivazione]]),DAY(Table2[[#This Row],[Data attivazione]]))</f>
        <v>43257</v>
      </c>
      <c r="Y28" s="65"/>
      <c r="Z28" s="61"/>
      <c r="AA28" s="64" t="s">
        <v>85</v>
      </c>
      <c r="AB28" s="29" t="str">
        <f>IF(Table2[[#This Row],[Data ultimo versamento temp]]=0/1/1900,"-",Table2[[#This Row],[Data ultimo versamento temp]])</f>
        <v>-</v>
      </c>
      <c r="AC28" s="29">
        <f t="array" ref="AC28">MAX(IF(TableVersamenti[Polizza]=Table2[[#This Row],[Polizza]],TableVersamenti[Data prevista versamento],"-"))</f>
        <v>0</v>
      </c>
      <c r="AD28" s="62"/>
      <c r="AE28" s="106">
        <f>DATE(YEAR(Table2[[#This Row],[Data ultimo pagamento]]),MONTH(Table2[[#This Row],[Data ultimo pagamento]]), 1)</f>
        <v>42887</v>
      </c>
      <c r="AF28" s="106">
        <f>DATE(YEAR(Table2[[#This Row],[Data prossima scadenza]]),MONTH(Table2[[#This Row],[Data prossima scadenza]]), 1)</f>
        <v>43252</v>
      </c>
      <c r="AG28" s="33">
        <f>IFERROR(Table2[[#This Row],[Importo annuale]]*VLOOKUP(Table2[[#This Row],[Ramo]],RAMI_POLIZZA,2,FALSE),0)</f>
        <v>34.615000000000002</v>
      </c>
      <c r="AH28" s="65" t="s">
        <v>113</v>
      </c>
      <c r="AI28" s="63" t="str">
        <f>IFERROR(VLOOKUP(Table2[[#This Row],[Contraente]],Table1[[Nome/Ragione sociale]:[Checkbox selezionato]],2,FALSE),"-")</f>
        <v>CORTEOLONA</v>
      </c>
      <c r="AJ28" s="63">
        <f>IFERROR(VLOOKUP(Table2[[#This Row],[Contraente]],Table1[[Nome/Ragione sociale]:[Checkbox selezionato]],3,FALSE),"-")</f>
        <v>3497187101</v>
      </c>
      <c r="AK28" s="63">
        <f>IFERROR(VLOOKUP(Table2[[#This Row],[Contraente]],Table1[[Nome/Ragione sociale]:[Checkbox selezionato]],4,FALSE),"-")</f>
        <v>0</v>
      </c>
      <c r="AL28" s="63" t="str">
        <f>IFERROR(VLOOKUP(Table2[[#This Row],[Contraente]],Table1[[Nome/Ragione sociale]:[Checkbox selezionato]],5,FALSE),"-")</f>
        <v>BAGOSSI</v>
      </c>
      <c r="AM28" s="62">
        <f>IFERROR(VLOOKUP(Table2[[#This Row],[Contraente]],Table1[[Nome/Ragione sociale]:[Checkbox selezionato]],6,FALSE),"-")</f>
        <v>18457</v>
      </c>
      <c r="AN28" s="63" t="str">
        <f>IFERROR(VLOOKUP(Table2[[#This Row],[Contraente]],Table1[[Nome/Ragione sociale]:[Checkbox selezionato]],7,FALSE),"-")</f>
        <v>papies@email.it</v>
      </c>
      <c r="AO28" s="63">
        <f>IFERROR(VLOOKUP(Table2[[#This Row],[Contraente]],Table1[[Nome/Ragione sociale]:[Checkbox selezionato]],8,FALSE),"-")</f>
        <v>0</v>
      </c>
      <c r="AP28" s="63">
        <f>IFERROR(VLOOKUP(Table2[[#This Row],[Contraente]],Table1[[Nome/Ragione sociale]:[Checkbox selezionato]],10,FALSE),"-")</f>
        <v>3497187101</v>
      </c>
      <c r="AQ28" s="63" t="str">
        <f>IFERROR(VLOOKUP(Table2[[#This Row],[Contraente]],Table1[[Nome/Ragione sociale]:[Checkbox selezionato]],11,FALSE),"-")</f>
        <v>SI</v>
      </c>
      <c r="AR28" s="63" t="str">
        <f>IFERROR(VLOOKUP(Table2[[#This Row],[Contraente]],Table1[[Nome/Ragione sociale]:[Checkbox selezionato]],12,FALSE),"-")</f>
        <v>SI</v>
      </c>
    </row>
    <row r="29" spans="1:44" ht="30" hidden="1" customHeight="1" x14ac:dyDescent="0.25">
      <c r="A29" s="60" t="str">
        <f>UPPER(LEFT(Table2[[#This Row],[Contraente]],1))</f>
        <v>A</v>
      </c>
      <c r="B29" s="60" t="s">
        <v>1634</v>
      </c>
      <c r="C29" s="80" t="s">
        <v>226</v>
      </c>
      <c r="D29" s="81" t="s">
        <v>37</v>
      </c>
      <c r="E29" s="86">
        <v>104908561</v>
      </c>
      <c r="F29" s="64">
        <v>42668</v>
      </c>
      <c r="G29" s="64">
        <f>IFERROR(CALCOLASCADENZA(Table2[[#This Row],[Data attivazione]],Table2[[#This Row],[Rateizzazione]],Table2[[#This Row],[Data ultimo pagamento]],Table2[[#This Row],[Data prossima scadenza manuale]]),"-")</f>
        <v>43017</v>
      </c>
      <c r="H29" s="67" t="s">
        <v>30</v>
      </c>
      <c r="I29" s="67" t="s">
        <v>113</v>
      </c>
      <c r="J29" s="33">
        <f>IFERROR(Table2[[#This Row],[Importo annuale]]/(12/VLOOKUP(Table2[[#This Row],[Rateizzazione]],TIPI_RATEIZZAZIONI,2,FALSE)),"-")</f>
        <v>77</v>
      </c>
      <c r="K29" s="88"/>
      <c r="L29" s="88">
        <v>77</v>
      </c>
      <c r="M29" s="67" t="s">
        <v>43</v>
      </c>
      <c r="N29" s="67" t="s">
        <v>52</v>
      </c>
      <c r="O29" s="27" t="s">
        <v>1631</v>
      </c>
      <c r="P29" s="33" t="s">
        <v>23</v>
      </c>
      <c r="Q29" s="60">
        <f>IFERROR(IF(12 / VLOOKUP(Table2[[#This Row],[Rateizzazione]],TIPI_RATEIZZAZIONI,2,FALSE) &gt;=1,  IF(Table2[[#This Row],[Data attivazione]] = "","-",MONTH(Table2[[#This Row],[Data attivazione]])),"-"),"-")</f>
        <v>10</v>
      </c>
      <c r="R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" s="67" t="s">
        <v>2</v>
      </c>
      <c r="V29" s="62"/>
      <c r="W29" s="64">
        <v>42652</v>
      </c>
      <c r="X29" s="29">
        <f>DATE(YEAR(Table2[[#This Row],[Data attivazione]])+VLOOKUP(Table2[[#This Row],[Durata]],VALORE_DURATA,2,FALSE),MONTH(Table2[[#This Row],[Data attivazione]]),DAY(Table2[[#This Row],[Data attivazione]]))</f>
        <v>43017</v>
      </c>
      <c r="Y29" s="65"/>
      <c r="Z29" s="61"/>
      <c r="AA29" s="64" t="s">
        <v>85</v>
      </c>
      <c r="AB29" s="29" t="str">
        <f>IF(Table2[[#This Row],[Data ultimo versamento temp]]=0/1/1900,"-",Table2[[#This Row],[Data ultimo versamento temp]])</f>
        <v>-</v>
      </c>
      <c r="AC29" s="29">
        <f t="array" ref="AC29">MAX(IF(TableVersamenti[Polizza]=Table2[[#This Row],[Polizza]],TableVersamenti[Data prevista versamento],"-"))</f>
        <v>0</v>
      </c>
      <c r="AD29" s="62"/>
      <c r="AE29" s="106">
        <f>DATE(YEAR(Table2[[#This Row],[Data ultimo pagamento]]),MONTH(Table2[[#This Row],[Data ultimo pagamento]]), 1)</f>
        <v>42644</v>
      </c>
      <c r="AF29" s="106">
        <f>DATE(YEAR(Table2[[#This Row],[Data prossima scadenza]]),MONTH(Table2[[#This Row],[Data prossima scadenza]]), 1)</f>
        <v>43009</v>
      </c>
      <c r="AG29" s="33">
        <f>IFERROR(Table2[[#This Row],[Importo annuale]]*VLOOKUP(Table2[[#This Row],[Ramo]],RAMI_POLIZZA,2,FALSE),0)</f>
        <v>8.8550000000000004</v>
      </c>
      <c r="AH29" s="65" t="s">
        <v>113</v>
      </c>
      <c r="AI29" s="63" t="str">
        <f>IFERROR(VLOOKUP(Table2[[#This Row],[Contraente]],Table1[[Nome/Ragione sociale]:[Checkbox selezionato]],2,FALSE),"-")</f>
        <v>BELGIOIOSO</v>
      </c>
      <c r="AJ29" s="63">
        <f>IFERROR(VLOOKUP(Table2[[#This Row],[Contraente]],Table1[[Nome/Ragione sociale]:[Checkbox selezionato]],3,FALSE),"-")</f>
        <v>3773184721</v>
      </c>
      <c r="AK29" s="63">
        <f>IFERROR(VLOOKUP(Table2[[#This Row],[Contraente]],Table1[[Nome/Ragione sociale]:[Checkbox selezionato]],4,FALSE),"-")</f>
        <v>0</v>
      </c>
      <c r="AL29" s="63" t="str">
        <f>IFERROR(VLOOKUP(Table2[[#This Row],[Contraente]],Table1[[Nome/Ragione sociale]:[Checkbox selezionato]],5,FALSE),"-")</f>
        <v>EMILIANO</v>
      </c>
      <c r="AM29" s="62">
        <f>IFERROR(VLOOKUP(Table2[[#This Row],[Contraente]],Table1[[Nome/Ragione sociale]:[Checkbox selezionato]],6,FALSE),"-")</f>
        <v>21073</v>
      </c>
      <c r="AN29" s="63" t="str">
        <f>IFERROR(VLOOKUP(Table2[[#This Row],[Contraente]],Table1[[Nome/Ragione sociale]:[Checkbox selezionato]],7,FALSE),"-")</f>
        <v>papies@libero.it</v>
      </c>
      <c r="AO29" s="63">
        <f>IFERROR(VLOOKUP(Table2[[#This Row],[Contraente]],Table1[[Nome/Ragione sociale]:[Checkbox selezionato]],8,FALSE),"-")</f>
        <v>0</v>
      </c>
      <c r="AP29" s="63">
        <f>IFERROR(VLOOKUP(Table2[[#This Row],[Contraente]],Table1[[Nome/Ragione sociale]:[Checkbox selezionato]],10,FALSE),"-")</f>
        <v>3773184721</v>
      </c>
      <c r="AQ29" s="63" t="str">
        <f>IFERROR(VLOOKUP(Table2[[#This Row],[Contraente]],Table1[[Nome/Ragione sociale]:[Checkbox selezionato]],11,FALSE),"-")</f>
        <v>SI</v>
      </c>
      <c r="AR29" s="63" t="str">
        <f>IFERROR(VLOOKUP(Table2[[#This Row],[Contraente]],Table1[[Nome/Ragione sociale]:[Checkbox selezionato]],12,FALSE),"-")</f>
        <v>SI</v>
      </c>
    </row>
    <row r="30" spans="1:44" ht="30" hidden="1" customHeight="1" x14ac:dyDescent="0.25">
      <c r="A30" s="60" t="str">
        <f>UPPER(LEFT(Table2[[#This Row],[Contraente]],1))</f>
        <v>A</v>
      </c>
      <c r="B30" s="60" t="s">
        <v>1634</v>
      </c>
      <c r="C30" s="80" t="s">
        <v>226</v>
      </c>
      <c r="D30" s="81" t="s">
        <v>37</v>
      </c>
      <c r="E30" s="86">
        <v>104908073</v>
      </c>
      <c r="F30" s="64">
        <v>42471</v>
      </c>
      <c r="G30" s="64">
        <f>IFERROR(CALCOLASCADENZA(Table2[[#This Row],[Data attivazione]],Table2[[#This Row],[Rateizzazione]],Table2[[#This Row],[Data ultimo pagamento]],Table2[[#This Row],[Data prossima scadenza manuale]]),"-")</f>
        <v>42652</v>
      </c>
      <c r="H30" s="67" t="s">
        <v>31</v>
      </c>
      <c r="I30" s="67" t="s">
        <v>1132</v>
      </c>
      <c r="J30" s="33">
        <f>IFERROR(Table2[[#This Row],[Importo annuale]]/(12/VLOOKUP(Table2[[#This Row],[Rateizzazione]],TIPI_RATEIZZAZIONI,2,FALSE)),"-")</f>
        <v>245</v>
      </c>
      <c r="K30" s="88"/>
      <c r="L30" s="88">
        <v>490</v>
      </c>
      <c r="M30" s="67" t="s">
        <v>43</v>
      </c>
      <c r="N30" s="67" t="s">
        <v>51</v>
      </c>
      <c r="O30" s="27" t="s">
        <v>1631</v>
      </c>
      <c r="P30" s="33" t="s">
        <v>22</v>
      </c>
      <c r="Q30" s="60">
        <f>IFERROR(IF(12 / VLOOKUP(Table2[[#This Row],[Rateizzazione]],TIPI_RATEIZZAZIONI,2,FALSE) &gt;=1,  IF(Table2[[#This Row],[Data attivazione]] = "","-",MONTH(Table2[[#This Row],[Data attivazione]])),"-"),"-")</f>
        <v>10</v>
      </c>
      <c r="R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" s="67" t="s">
        <v>2</v>
      </c>
      <c r="V30" s="62"/>
      <c r="W30" s="64">
        <v>42286</v>
      </c>
      <c r="X30" s="29">
        <f>DATE(YEAR(Table2[[#This Row],[Data attivazione]])+VLOOKUP(Table2[[#This Row],[Durata]],VALORE_DURATA,2,FALSE),MONTH(Table2[[#This Row],[Data attivazione]]),DAY(Table2[[#This Row],[Data attivazione]]))</f>
        <v>42652</v>
      </c>
      <c r="Y30" s="65"/>
      <c r="Z30" s="61"/>
      <c r="AA30" s="64" t="s">
        <v>88</v>
      </c>
      <c r="AB30" s="29" t="str">
        <f>IF(Table2[[#This Row],[Data ultimo versamento temp]]=0/1/1900,"-",Table2[[#This Row],[Data ultimo versamento temp]])</f>
        <v>-</v>
      </c>
      <c r="AC30" s="29">
        <f t="array" ref="AC30">MAX(IF(TableVersamenti[Polizza]=Table2[[#This Row],[Polizza]],TableVersamenti[Data prevista versamento],"-"))</f>
        <v>0</v>
      </c>
      <c r="AD30" s="62"/>
      <c r="AE30" s="106">
        <f>DATE(YEAR(Table2[[#This Row],[Data ultimo pagamento]]),MONTH(Table2[[#This Row],[Data ultimo pagamento]]), 1)</f>
        <v>42461</v>
      </c>
      <c r="AF30" s="106">
        <f>DATE(YEAR(Table2[[#This Row],[Data prossima scadenza]]),MONTH(Table2[[#This Row],[Data prossima scadenza]]), 1)</f>
        <v>42644</v>
      </c>
      <c r="AG30" s="33">
        <f>IFERROR(Table2[[#This Row],[Importo annuale]]*VLOOKUP(Table2[[#This Row],[Ramo]],RAMI_POLIZZA,2,FALSE),0)</f>
        <v>25.48</v>
      </c>
      <c r="AH30" s="65" t="s">
        <v>113</v>
      </c>
      <c r="AI30" s="63" t="str">
        <f>IFERROR(VLOOKUP(Table2[[#This Row],[Contraente]],Table1[[Nome/Ragione sociale]:[Checkbox selezionato]],2,FALSE),"-")</f>
        <v>BELGIOIOSO</v>
      </c>
      <c r="AJ30" s="63">
        <f>IFERROR(VLOOKUP(Table2[[#This Row],[Contraente]],Table1[[Nome/Ragione sociale]:[Checkbox selezionato]],3,FALSE),"-")</f>
        <v>3773184721</v>
      </c>
      <c r="AK30" s="63">
        <f>IFERROR(VLOOKUP(Table2[[#This Row],[Contraente]],Table1[[Nome/Ragione sociale]:[Checkbox selezionato]],4,FALSE),"-")</f>
        <v>0</v>
      </c>
      <c r="AL30" s="63" t="str">
        <f>IFERROR(VLOOKUP(Table2[[#This Row],[Contraente]],Table1[[Nome/Ragione sociale]:[Checkbox selezionato]],5,FALSE),"-")</f>
        <v>EMILIANO</v>
      </c>
      <c r="AM30" s="62">
        <f>IFERROR(VLOOKUP(Table2[[#This Row],[Contraente]],Table1[[Nome/Ragione sociale]:[Checkbox selezionato]],6,FALSE),"-")</f>
        <v>21073</v>
      </c>
      <c r="AN30" s="63" t="str">
        <f>IFERROR(VLOOKUP(Table2[[#This Row],[Contraente]],Table1[[Nome/Ragione sociale]:[Checkbox selezionato]],7,FALSE),"-")</f>
        <v>papies@libero.it</v>
      </c>
      <c r="AO30" s="63">
        <f>IFERROR(VLOOKUP(Table2[[#This Row],[Contraente]],Table1[[Nome/Ragione sociale]:[Checkbox selezionato]],8,FALSE),"-")</f>
        <v>0</v>
      </c>
      <c r="AP30" s="63">
        <f>IFERROR(VLOOKUP(Table2[[#This Row],[Contraente]],Table1[[Nome/Ragione sociale]:[Checkbox selezionato]],10,FALSE),"-")</f>
        <v>3773184721</v>
      </c>
      <c r="AQ30" s="63" t="str">
        <f>IFERROR(VLOOKUP(Table2[[#This Row],[Contraente]],Table1[[Nome/Ragione sociale]:[Checkbox selezionato]],11,FALSE),"-")</f>
        <v>SI</v>
      </c>
      <c r="AR30" s="63" t="str">
        <f>IFERROR(VLOOKUP(Table2[[#This Row],[Contraente]],Table1[[Nome/Ragione sociale]:[Checkbox selezionato]],12,FALSE),"-")</f>
        <v>SI</v>
      </c>
    </row>
    <row r="31" spans="1:44" ht="30" hidden="1" customHeight="1" x14ac:dyDescent="0.25">
      <c r="A31" s="60" t="str">
        <f>UPPER(LEFT(Table2[[#This Row],[Contraente]],1))</f>
        <v>A</v>
      </c>
      <c r="B31" s="60" t="s">
        <v>1634</v>
      </c>
      <c r="C31" s="80" t="s">
        <v>226</v>
      </c>
      <c r="D31" s="80" t="s">
        <v>37</v>
      </c>
      <c r="E31" s="85">
        <v>104908126</v>
      </c>
      <c r="F31" s="64">
        <v>42471</v>
      </c>
      <c r="G31" s="64">
        <f>IFERROR(CALCOLASCADENZA(Table2[[#This Row],[Data attivazione]],Table2[[#This Row],[Rateizzazione]],Table2[[#This Row],[Data ultimo pagamento]],Table2[[#This Row],[Data prossima scadenza manuale]]),"-")</f>
        <v>42652</v>
      </c>
      <c r="H31" s="67" t="s">
        <v>31</v>
      </c>
      <c r="I31" s="67" t="s">
        <v>1133</v>
      </c>
      <c r="J31" s="33">
        <f>IFERROR(Table2[[#This Row],[Importo annuale]]/(12/VLOOKUP(Table2[[#This Row],[Rateizzazione]],TIPI_RATEIZZAZIONI,2,FALSE)),"-")</f>
        <v>245</v>
      </c>
      <c r="K31" s="88"/>
      <c r="L31" s="88">
        <v>490</v>
      </c>
      <c r="M31" s="67" t="s">
        <v>43</v>
      </c>
      <c r="N31" s="67" t="s">
        <v>51</v>
      </c>
      <c r="O31" s="27" t="s">
        <v>1631</v>
      </c>
      <c r="P31" s="33" t="s">
        <v>22</v>
      </c>
      <c r="Q31" s="60">
        <f>IFERROR(IF(12 / VLOOKUP(Table2[[#This Row],[Rateizzazione]],TIPI_RATEIZZAZIONI,2,FALSE) &gt;=1,  IF(Table2[[#This Row],[Data attivazione]] = "","-",MONTH(Table2[[#This Row],[Data attivazione]])),"-"),"-")</f>
        <v>10</v>
      </c>
      <c r="R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" s="67" t="s">
        <v>2</v>
      </c>
      <c r="V31" s="62"/>
      <c r="W31" s="64">
        <v>42286</v>
      </c>
      <c r="X31" s="29">
        <f>DATE(YEAR(Table2[[#This Row],[Data attivazione]])+VLOOKUP(Table2[[#This Row],[Durata]],VALORE_DURATA,2,FALSE),MONTH(Table2[[#This Row],[Data attivazione]]),DAY(Table2[[#This Row],[Data attivazione]]))</f>
        <v>42652</v>
      </c>
      <c r="Y31" s="65"/>
      <c r="Z31" s="61"/>
      <c r="AA31" s="64" t="s">
        <v>88</v>
      </c>
      <c r="AB31" s="29" t="str">
        <f>IF(Table2[[#This Row],[Data ultimo versamento temp]]=0/1/1900,"-",Table2[[#This Row],[Data ultimo versamento temp]])</f>
        <v>-</v>
      </c>
      <c r="AC31" s="29">
        <f t="array" ref="AC31">MAX(IF(TableVersamenti[Polizza]=Table2[[#This Row],[Polizza]],TableVersamenti[Data prevista versamento],"-"))</f>
        <v>0</v>
      </c>
      <c r="AD31" s="62"/>
      <c r="AE31" s="106">
        <f>DATE(YEAR(Table2[[#This Row],[Data ultimo pagamento]]),MONTH(Table2[[#This Row],[Data ultimo pagamento]]), 1)</f>
        <v>42461</v>
      </c>
      <c r="AF31" s="106">
        <f>DATE(YEAR(Table2[[#This Row],[Data prossima scadenza]]),MONTH(Table2[[#This Row],[Data prossima scadenza]]), 1)</f>
        <v>42644</v>
      </c>
      <c r="AG31" s="33">
        <f>IFERROR(Table2[[#This Row],[Importo annuale]]*VLOOKUP(Table2[[#This Row],[Ramo]],RAMI_POLIZZA,2,FALSE),0)</f>
        <v>25.48</v>
      </c>
      <c r="AH31" s="65" t="s">
        <v>113</v>
      </c>
      <c r="AI31" s="63" t="str">
        <f>IFERROR(VLOOKUP(Table2[[#This Row],[Contraente]],Table1[[Nome/Ragione sociale]:[Checkbox selezionato]],2,FALSE),"-")</f>
        <v>BELGIOIOSO</v>
      </c>
      <c r="AJ31" s="63">
        <f>IFERROR(VLOOKUP(Table2[[#This Row],[Contraente]],Table1[[Nome/Ragione sociale]:[Checkbox selezionato]],3,FALSE),"-")</f>
        <v>3773184721</v>
      </c>
      <c r="AK31" s="63">
        <f>IFERROR(VLOOKUP(Table2[[#This Row],[Contraente]],Table1[[Nome/Ragione sociale]:[Checkbox selezionato]],4,FALSE),"-")</f>
        <v>0</v>
      </c>
      <c r="AL31" s="63" t="str">
        <f>IFERROR(VLOOKUP(Table2[[#This Row],[Contraente]],Table1[[Nome/Ragione sociale]:[Checkbox selezionato]],5,FALSE),"-")</f>
        <v>EMILIANO</v>
      </c>
      <c r="AM31" s="62">
        <f>IFERROR(VLOOKUP(Table2[[#This Row],[Contraente]],Table1[[Nome/Ragione sociale]:[Checkbox selezionato]],6,FALSE),"-")</f>
        <v>21073</v>
      </c>
      <c r="AN31" s="63" t="str">
        <f>IFERROR(VLOOKUP(Table2[[#This Row],[Contraente]],Table1[[Nome/Ragione sociale]:[Checkbox selezionato]],7,FALSE),"-")</f>
        <v>papies@libero.it</v>
      </c>
      <c r="AO31" s="63">
        <f>IFERROR(VLOOKUP(Table2[[#This Row],[Contraente]],Table1[[Nome/Ragione sociale]:[Checkbox selezionato]],8,FALSE),"-")</f>
        <v>0</v>
      </c>
      <c r="AP31" s="63">
        <f>IFERROR(VLOOKUP(Table2[[#This Row],[Contraente]],Table1[[Nome/Ragione sociale]:[Checkbox selezionato]],10,FALSE),"-")</f>
        <v>3773184721</v>
      </c>
      <c r="AQ31" s="63" t="str">
        <f>IFERROR(VLOOKUP(Table2[[#This Row],[Contraente]],Table1[[Nome/Ragione sociale]:[Checkbox selezionato]],11,FALSE),"-")</f>
        <v>SI</v>
      </c>
      <c r="AR31" s="63" t="str">
        <f>IFERROR(VLOOKUP(Table2[[#This Row],[Contraente]],Table1[[Nome/Ragione sociale]:[Checkbox selezionato]],12,FALSE),"-")</f>
        <v>SI</v>
      </c>
    </row>
    <row r="32" spans="1:44" ht="30" hidden="1" customHeight="1" x14ac:dyDescent="0.25">
      <c r="A32" s="60" t="str">
        <f>UPPER(LEFT(Table2[[#This Row],[Contraente]],1))</f>
        <v>A</v>
      </c>
      <c r="B32" s="60" t="s">
        <v>1634</v>
      </c>
      <c r="C32" s="80" t="s">
        <v>225</v>
      </c>
      <c r="D32" s="80" t="s">
        <v>37</v>
      </c>
      <c r="E32" s="85">
        <v>105759552</v>
      </c>
      <c r="F32" s="64">
        <v>42927</v>
      </c>
      <c r="G32" s="64">
        <f>IFERROR(CALCOLASCADENZA(Table2[[#This Row],[Data attivazione]],Table2[[#This Row],[Rateizzazione]],Table2[[#This Row],[Data ultimo pagamento]],Table2[[#This Row],[Data prossima scadenza manuale]]),"-")</f>
        <v>43093</v>
      </c>
      <c r="H32" s="67" t="s">
        <v>30</v>
      </c>
      <c r="I32" s="67" t="s">
        <v>113</v>
      </c>
      <c r="J32" s="33">
        <f>IFERROR(Table2[[#This Row],[Importo annuale]]/(12/VLOOKUP(Table2[[#This Row],[Rateizzazione]],TIPI_RATEIZZAZIONI,2,FALSE)),"-")</f>
        <v>75</v>
      </c>
      <c r="K32" s="88">
        <v>75</v>
      </c>
      <c r="L32" s="88">
        <v>150</v>
      </c>
      <c r="M32" s="67" t="s">
        <v>43</v>
      </c>
      <c r="N32" s="67" t="s">
        <v>52</v>
      </c>
      <c r="O32" s="27" t="s">
        <v>1631</v>
      </c>
      <c r="P32" s="33" t="s">
        <v>22</v>
      </c>
      <c r="Q32" s="60">
        <f>IFERROR(IF(12 / VLOOKUP(Table2[[#This Row],[Rateizzazione]],TIPI_RATEIZZAZIONI,2,FALSE) &gt;=1,  IF(Table2[[#This Row],[Data attivazione]] = "","-",MONTH(Table2[[#This Row],[Data attivazione]])),"-"),"-")</f>
        <v>6</v>
      </c>
      <c r="R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" s="67" t="s">
        <v>2</v>
      </c>
      <c r="V32" s="62"/>
      <c r="W32" s="64">
        <v>42910</v>
      </c>
      <c r="X32" s="29">
        <f>DATE(YEAR(Table2[[#This Row],[Data attivazione]])+VLOOKUP(Table2[[#This Row],[Durata]],VALORE_DURATA,2,FALSE),MONTH(Table2[[#This Row],[Data attivazione]]),DAY(Table2[[#This Row],[Data attivazione]]))</f>
        <v>43275</v>
      </c>
      <c r="Y32" s="65"/>
      <c r="Z32" s="61"/>
      <c r="AA32" s="64" t="s">
        <v>88</v>
      </c>
      <c r="AB32" s="29">
        <f>IF(Table2[[#This Row],[Data ultimo versamento temp]]=0/1/1900,"-",Table2[[#This Row],[Data ultimo versamento temp]])</f>
        <v>42930</v>
      </c>
      <c r="AC32" s="29">
        <f t="array" ref="AC32">MAX(IF(TableVersamenti[Polizza]=Table2[[#This Row],[Polizza]],TableVersamenti[Data prevista versamento],"-"))</f>
        <v>42930</v>
      </c>
      <c r="AD32" s="62"/>
      <c r="AE32" s="106">
        <f>DATE(YEAR(Table2[[#This Row],[Data ultimo pagamento]]),MONTH(Table2[[#This Row],[Data ultimo pagamento]]), 1)</f>
        <v>42917</v>
      </c>
      <c r="AF32" s="106">
        <f>DATE(YEAR(Table2[[#This Row],[Data prossima scadenza]]),MONTH(Table2[[#This Row],[Data prossima scadenza]]), 1)</f>
        <v>43070</v>
      </c>
      <c r="AG32" s="33">
        <f>IFERROR(Table2[[#This Row],[Importo annuale]]*VLOOKUP(Table2[[#This Row],[Ramo]],RAMI_POLIZZA,2,FALSE),0)</f>
        <v>17.25</v>
      </c>
      <c r="AH32" s="65" t="s">
        <v>113</v>
      </c>
      <c r="AI32" s="63" t="str">
        <f>IFERROR(VLOOKUP(Table2[[#This Row],[Contraente]],Table1[[Nome/Ragione sociale]:[Checkbox selezionato]],2,FALSE),"-")</f>
        <v>BELGIOIOSO</v>
      </c>
      <c r="AJ32" s="63">
        <f>IFERROR(VLOOKUP(Table2[[#This Row],[Contraente]],Table1[[Nome/Ragione sociale]:[Checkbox selezionato]],3,FALSE),"-")</f>
        <v>3333434071</v>
      </c>
      <c r="AK32" s="63">
        <f>IFERROR(VLOOKUP(Table2[[#This Row],[Contraente]],Table1[[Nome/Ragione sociale]:[Checkbox selezionato]],4,FALSE),"-")</f>
        <v>0</v>
      </c>
      <c r="AL32" s="63" t="str">
        <f>IFERROR(VLOOKUP(Table2[[#This Row],[Contraente]],Table1[[Nome/Ragione sociale]:[Checkbox selezionato]],5,FALSE),"-")</f>
        <v>STEFANO</v>
      </c>
      <c r="AM32" s="62">
        <f>IFERROR(VLOOKUP(Table2[[#This Row],[Contraente]],Table1[[Nome/Ragione sociale]:[Checkbox selezionato]],6,FALSE),"-")</f>
        <v>31479</v>
      </c>
      <c r="AN32" s="63" t="str">
        <f>IFERROR(VLOOKUP(Table2[[#This Row],[Contraente]],Table1[[Nome/Ragione sociale]:[Checkbox selezionato]],7,FALSE),"-")</f>
        <v>papies@libero.it</v>
      </c>
      <c r="AO32" s="63">
        <f>IFERROR(VLOOKUP(Table2[[#This Row],[Contraente]],Table1[[Nome/Ragione sociale]:[Checkbox selezionato]],8,FALSE),"-")</f>
        <v>0</v>
      </c>
      <c r="AP32" s="63">
        <f>IFERROR(VLOOKUP(Table2[[#This Row],[Contraente]],Table1[[Nome/Ragione sociale]:[Checkbox selezionato]],10,FALSE),"-")</f>
        <v>3333434071</v>
      </c>
      <c r="AQ32" s="63" t="str">
        <f>IFERROR(VLOOKUP(Table2[[#This Row],[Contraente]],Table1[[Nome/Ragione sociale]:[Checkbox selezionato]],11,FALSE),"-")</f>
        <v>SI</v>
      </c>
      <c r="AR32" s="63" t="str">
        <f>IFERROR(VLOOKUP(Table2[[#This Row],[Contraente]],Table1[[Nome/Ragione sociale]:[Checkbox selezionato]],12,FALSE),"-")</f>
        <v>SI</v>
      </c>
    </row>
    <row r="33" spans="1:44" ht="30" hidden="1" customHeight="1" x14ac:dyDescent="0.25">
      <c r="A33" s="60" t="str">
        <f>UPPER(LEFT(Table2[[#This Row],[Contraente]],1))</f>
        <v>A</v>
      </c>
      <c r="B33" s="60" t="s">
        <v>1634</v>
      </c>
      <c r="C33" s="80" t="s">
        <v>225</v>
      </c>
      <c r="D33" s="80" t="s">
        <v>37</v>
      </c>
      <c r="E33" s="85">
        <v>107098353</v>
      </c>
      <c r="F33" s="64">
        <v>42927</v>
      </c>
      <c r="G33" s="64">
        <f>IFERROR(CALCOLASCADENZA(Table2[[#This Row],[Data attivazione]],Table2[[#This Row],[Rateizzazione]],Table2[[#This Row],[Data ultimo pagamento]],Table2[[#This Row],[Data prossima scadenza manuale]]),"-")</f>
        <v>43093</v>
      </c>
      <c r="H33" s="67" t="s">
        <v>31</v>
      </c>
      <c r="I33" s="67" t="s">
        <v>1131</v>
      </c>
      <c r="J33" s="33">
        <f>IFERROR(Table2[[#This Row],[Importo annuale]]/(12/VLOOKUP(Table2[[#This Row],[Rateizzazione]],TIPI_RATEIZZAZIONI,2,FALSE)),"-")</f>
        <v>201</v>
      </c>
      <c r="K33" s="88">
        <v>201</v>
      </c>
      <c r="L33" s="88">
        <v>402</v>
      </c>
      <c r="M33" s="67" t="s">
        <v>43</v>
      </c>
      <c r="N33" s="67" t="s">
        <v>51</v>
      </c>
      <c r="O33" s="27" t="s">
        <v>1631</v>
      </c>
      <c r="P33" s="33" t="s">
        <v>22</v>
      </c>
      <c r="Q33" s="60">
        <f>IFERROR(IF(12 / VLOOKUP(Table2[[#This Row],[Rateizzazione]],TIPI_RATEIZZAZIONI,2,FALSE) &gt;=1,  IF(Table2[[#This Row],[Data attivazione]] = "","-",MONTH(Table2[[#This Row],[Data attivazione]])),"-"),"-")</f>
        <v>6</v>
      </c>
      <c r="R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" s="67" t="s">
        <v>2</v>
      </c>
      <c r="V33" s="62"/>
      <c r="W33" s="64">
        <v>42910</v>
      </c>
      <c r="X33" s="29">
        <f>DATE(YEAR(Table2[[#This Row],[Data attivazione]])+VLOOKUP(Table2[[#This Row],[Durata]],VALORE_DURATA,2,FALSE),MONTH(Table2[[#This Row],[Data attivazione]]),DAY(Table2[[#This Row],[Data attivazione]]))</f>
        <v>43275</v>
      </c>
      <c r="Y33" s="65"/>
      <c r="Z33" s="61"/>
      <c r="AA33" s="64" t="s">
        <v>85</v>
      </c>
      <c r="AB33" s="29">
        <f>IF(Table2[[#This Row],[Data ultimo versamento temp]]=0/1/1900,"-",Table2[[#This Row],[Data ultimo versamento temp]])</f>
        <v>42930</v>
      </c>
      <c r="AC33" s="29">
        <f t="array" ref="AC33">MAX(IF(TableVersamenti[Polizza]=Table2[[#This Row],[Polizza]],TableVersamenti[Data prevista versamento],"-"))</f>
        <v>42930</v>
      </c>
      <c r="AD33" s="62"/>
      <c r="AE33" s="106">
        <f>DATE(YEAR(Table2[[#This Row],[Data ultimo pagamento]]),MONTH(Table2[[#This Row],[Data ultimo pagamento]]), 1)</f>
        <v>42917</v>
      </c>
      <c r="AF33" s="106">
        <f>DATE(YEAR(Table2[[#This Row],[Data prossima scadenza]]),MONTH(Table2[[#This Row],[Data prossima scadenza]]), 1)</f>
        <v>43070</v>
      </c>
      <c r="AG33" s="33">
        <f>IFERROR(Table2[[#This Row],[Importo annuale]]*VLOOKUP(Table2[[#This Row],[Ramo]],RAMI_POLIZZA,2,FALSE),0)</f>
        <v>20.904</v>
      </c>
      <c r="AH33" s="65" t="s">
        <v>113</v>
      </c>
      <c r="AI33" s="63" t="str">
        <f>IFERROR(VLOOKUP(Table2[[#This Row],[Contraente]],Table1[[Nome/Ragione sociale]:[Checkbox selezionato]],2,FALSE),"-")</f>
        <v>BELGIOIOSO</v>
      </c>
      <c r="AJ33" s="63">
        <f>IFERROR(VLOOKUP(Table2[[#This Row],[Contraente]],Table1[[Nome/Ragione sociale]:[Checkbox selezionato]],3,FALSE),"-")</f>
        <v>3333434071</v>
      </c>
      <c r="AK33" s="63">
        <f>IFERROR(VLOOKUP(Table2[[#This Row],[Contraente]],Table1[[Nome/Ragione sociale]:[Checkbox selezionato]],4,FALSE),"-")</f>
        <v>0</v>
      </c>
      <c r="AL33" s="63" t="str">
        <f>IFERROR(VLOOKUP(Table2[[#This Row],[Contraente]],Table1[[Nome/Ragione sociale]:[Checkbox selezionato]],5,FALSE),"-")</f>
        <v>STEFANO</v>
      </c>
      <c r="AM33" s="62">
        <f>IFERROR(VLOOKUP(Table2[[#This Row],[Contraente]],Table1[[Nome/Ragione sociale]:[Checkbox selezionato]],6,FALSE),"-")</f>
        <v>31479</v>
      </c>
      <c r="AN33" s="63" t="str">
        <f>IFERROR(VLOOKUP(Table2[[#This Row],[Contraente]],Table1[[Nome/Ragione sociale]:[Checkbox selezionato]],7,FALSE),"-")</f>
        <v>papies@libero.it</v>
      </c>
      <c r="AO33" s="63">
        <f>IFERROR(VLOOKUP(Table2[[#This Row],[Contraente]],Table1[[Nome/Ragione sociale]:[Checkbox selezionato]],8,FALSE),"-")</f>
        <v>0</v>
      </c>
      <c r="AP33" s="63">
        <f>IFERROR(VLOOKUP(Table2[[#This Row],[Contraente]],Table1[[Nome/Ragione sociale]:[Checkbox selezionato]],10,FALSE),"-")</f>
        <v>3333434071</v>
      </c>
      <c r="AQ33" s="63" t="str">
        <f>IFERROR(VLOOKUP(Table2[[#This Row],[Contraente]],Table1[[Nome/Ragione sociale]:[Checkbox selezionato]],11,FALSE),"-")</f>
        <v>SI</v>
      </c>
      <c r="AR33" s="63" t="str">
        <f>IFERROR(VLOOKUP(Table2[[#This Row],[Contraente]],Table1[[Nome/Ragione sociale]:[Checkbox selezionato]],12,FALSE),"-")</f>
        <v>SI</v>
      </c>
    </row>
    <row r="34" spans="1:44" ht="30" hidden="1" customHeight="1" x14ac:dyDescent="0.25">
      <c r="A34" s="60" t="str">
        <f>UPPER(LEFT(Table2[[#This Row],[Contraente]],1))</f>
        <v>A</v>
      </c>
      <c r="B34" s="60" t="s">
        <v>1634</v>
      </c>
      <c r="C34" s="80" t="s">
        <v>232</v>
      </c>
      <c r="D34" s="80" t="s">
        <v>37</v>
      </c>
      <c r="E34" s="85">
        <v>103937223</v>
      </c>
      <c r="F34" s="64">
        <v>42388</v>
      </c>
      <c r="G34" s="64">
        <f>IFERROR(CALCOLASCADENZA(Table2[[#This Row],[Data attivazione]],Table2[[#This Row],[Rateizzazione]],Table2[[#This Row],[Data ultimo pagamento]],Table2[[#This Row],[Data prossima scadenza manuale]]),"-")</f>
        <v>42750</v>
      </c>
      <c r="H34" s="67" t="s">
        <v>30</v>
      </c>
      <c r="I34" s="67" t="s">
        <v>113</v>
      </c>
      <c r="J34" s="33">
        <f>IFERROR(Table2[[#This Row],[Importo annuale]]/(12/VLOOKUP(Table2[[#This Row],[Rateizzazione]],TIPI_RATEIZZAZIONI,2,FALSE)),"-")</f>
        <v>61</v>
      </c>
      <c r="K34" s="88"/>
      <c r="L34" s="88">
        <v>61</v>
      </c>
      <c r="M34" s="67" t="s">
        <v>43</v>
      </c>
      <c r="N34" s="67" t="s">
        <v>51</v>
      </c>
      <c r="O34" s="27" t="s">
        <v>1631</v>
      </c>
      <c r="P34" s="33" t="s">
        <v>23</v>
      </c>
      <c r="Q34" s="60">
        <f>IFERROR(IF(12 / VLOOKUP(Table2[[#This Row],[Rateizzazione]],TIPI_RATEIZZAZIONI,2,FALSE) &gt;=1,  IF(Table2[[#This Row],[Data attivazione]] = "","-",MONTH(Table2[[#This Row],[Data attivazione]])),"-"),"-")</f>
        <v>1</v>
      </c>
      <c r="R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" s="67" t="s">
        <v>2</v>
      </c>
      <c r="V34" s="62"/>
      <c r="W34" s="64">
        <v>42384</v>
      </c>
      <c r="X34" s="29">
        <f>DATE(YEAR(Table2[[#This Row],[Data attivazione]])+VLOOKUP(Table2[[#This Row],[Durata]],VALORE_DURATA,2,FALSE),MONTH(Table2[[#This Row],[Data attivazione]]),DAY(Table2[[#This Row],[Data attivazione]]))</f>
        <v>42750</v>
      </c>
      <c r="Y34" s="65"/>
      <c r="Z34" s="61"/>
      <c r="AA34" s="64" t="s">
        <v>88</v>
      </c>
      <c r="AB34" s="29" t="str">
        <f>IF(Table2[[#This Row],[Data ultimo versamento temp]]=0/1/1900,"-",Table2[[#This Row],[Data ultimo versamento temp]])</f>
        <v>-</v>
      </c>
      <c r="AC34" s="29">
        <f t="array" ref="AC34">MAX(IF(TableVersamenti[Polizza]=Table2[[#This Row],[Polizza]],TableVersamenti[Data prevista versamento],"-"))</f>
        <v>0</v>
      </c>
      <c r="AD34" s="62"/>
      <c r="AE34" s="106">
        <f>DATE(YEAR(Table2[[#This Row],[Data ultimo pagamento]]),MONTH(Table2[[#This Row],[Data ultimo pagamento]]), 1)</f>
        <v>42370</v>
      </c>
      <c r="AF34" s="106">
        <f>DATE(YEAR(Table2[[#This Row],[Data prossima scadenza]]),MONTH(Table2[[#This Row],[Data prossima scadenza]]), 1)</f>
        <v>42736</v>
      </c>
      <c r="AG34" s="33">
        <f>IFERROR(Table2[[#This Row],[Importo annuale]]*VLOOKUP(Table2[[#This Row],[Ramo]],RAMI_POLIZZA,2,FALSE),0)</f>
        <v>7.0150000000000006</v>
      </c>
      <c r="AH34" s="65" t="s">
        <v>113</v>
      </c>
      <c r="AI34" s="63" t="str">
        <f>IFERROR(VLOOKUP(Table2[[#This Row],[Contraente]],Table1[[Nome/Ragione sociale]:[Checkbox selezionato]],2,FALSE),"-")</f>
        <v>BELGIOIOSO</v>
      </c>
      <c r="AJ34" s="63">
        <f>IFERROR(VLOOKUP(Table2[[#This Row],[Contraente]],Table1[[Nome/Ragione sociale]:[Checkbox selezionato]],3,FALSE),"-")</f>
        <v>3331314732</v>
      </c>
      <c r="AK34" s="63">
        <f>IFERROR(VLOOKUP(Table2[[#This Row],[Contraente]],Table1[[Nome/Ragione sociale]:[Checkbox selezionato]],4,FALSE),"-")</f>
        <v>0</v>
      </c>
      <c r="AL34" s="63" t="str">
        <f>IFERROR(VLOOKUP(Table2[[#This Row],[Contraente]],Table1[[Nome/Ragione sociale]:[Checkbox selezionato]],5,FALSE),"-")</f>
        <v>PAOLA</v>
      </c>
      <c r="AM34" s="62">
        <f>IFERROR(VLOOKUP(Table2[[#This Row],[Contraente]],Table1[[Nome/Ragione sociale]:[Checkbox selezionato]],6,FALSE),"-")</f>
        <v>31483</v>
      </c>
      <c r="AN34" s="63" t="str">
        <f>IFERROR(VLOOKUP(Table2[[#This Row],[Contraente]],Table1[[Nome/Ragione sociale]:[Checkbox selezionato]],7,FALSE),"-")</f>
        <v>papies@email.it</v>
      </c>
      <c r="AO34" s="63">
        <f>IFERROR(VLOOKUP(Table2[[#This Row],[Contraente]],Table1[[Nome/Ragione sociale]:[Checkbox selezionato]],8,FALSE),"-")</f>
        <v>0</v>
      </c>
      <c r="AP34" s="63">
        <f>IFERROR(VLOOKUP(Table2[[#This Row],[Contraente]],Table1[[Nome/Ragione sociale]:[Checkbox selezionato]],10,FALSE),"-")</f>
        <v>3331314732</v>
      </c>
      <c r="AQ34" s="63" t="str">
        <f>IFERROR(VLOOKUP(Table2[[#This Row],[Contraente]],Table1[[Nome/Ragione sociale]:[Checkbox selezionato]],11,FALSE),"-")</f>
        <v>SI</v>
      </c>
      <c r="AR34" s="63" t="str">
        <f>IFERROR(VLOOKUP(Table2[[#This Row],[Contraente]],Table1[[Nome/Ragione sociale]:[Checkbox selezionato]],12,FALSE),"-")</f>
        <v>SI</v>
      </c>
    </row>
    <row r="35" spans="1:44" ht="30" hidden="1" customHeight="1" x14ac:dyDescent="0.25">
      <c r="A35" s="60" t="str">
        <f>UPPER(LEFT(Table2[[#This Row],[Contraente]],1))</f>
        <v>A</v>
      </c>
      <c r="B35" s="60" t="s">
        <v>1634</v>
      </c>
      <c r="C35" s="80" t="s">
        <v>251</v>
      </c>
      <c r="D35" s="80" t="s">
        <v>37</v>
      </c>
      <c r="E35" s="85">
        <v>105899891</v>
      </c>
      <c r="F35" s="64">
        <v>42580</v>
      </c>
      <c r="G35" s="64">
        <f>IFERROR(CALCOLASCADENZA(Table2[[#This Row],[Data attivazione]],Table2[[#This Row],[Rateizzazione]],Table2[[#This Row],[Data ultimo pagamento]],Table2[[#This Row],[Data prossima scadenza manuale]]),"-")</f>
        <v>42672</v>
      </c>
      <c r="H35" s="67" t="s">
        <v>31</v>
      </c>
      <c r="I35" s="67" t="s">
        <v>1142</v>
      </c>
      <c r="J35" s="33">
        <f>IFERROR(Table2[[#This Row],[Importo annuale]]/(12/VLOOKUP(Table2[[#This Row],[Rateizzazione]],TIPI_RATEIZZAZIONI,2,FALSE)),"-")</f>
        <v>110</v>
      </c>
      <c r="K35" s="88"/>
      <c r="L35" s="88">
        <v>110</v>
      </c>
      <c r="M35" s="67" t="s">
        <v>43</v>
      </c>
      <c r="N35" s="67" t="s">
        <v>52</v>
      </c>
      <c r="O35" s="27" t="s">
        <v>1631</v>
      </c>
      <c r="P35" s="33" t="s">
        <v>23</v>
      </c>
      <c r="Q35" s="60">
        <f>IFERROR(IF(12 / VLOOKUP(Table2[[#This Row],[Rateizzazione]],TIPI_RATEIZZAZIONI,2,FALSE) &gt;=1,  IF(Table2[[#This Row],[Data attivazione]] = "","-",MONTH(Table2[[#This Row],[Data attivazione]])),"-"),"-")</f>
        <v>10</v>
      </c>
      <c r="R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" s="67" t="s">
        <v>2</v>
      </c>
      <c r="V35" s="62"/>
      <c r="W35" s="64">
        <v>42306</v>
      </c>
      <c r="X35" s="29">
        <f>DATE(YEAR(Table2[[#This Row],[Data attivazione]])+VLOOKUP(Table2[[#This Row],[Durata]],VALORE_DURATA,2,FALSE),MONTH(Table2[[#This Row],[Data attivazione]]),DAY(Table2[[#This Row],[Data attivazione]]))</f>
        <v>42672</v>
      </c>
      <c r="Y35" s="65"/>
      <c r="Z35" s="61"/>
      <c r="AA35" s="64" t="s">
        <v>88</v>
      </c>
      <c r="AB35" s="29" t="str">
        <f>IF(Table2[[#This Row],[Data ultimo versamento temp]]=0/1/1900,"-",Table2[[#This Row],[Data ultimo versamento temp]])</f>
        <v>-</v>
      </c>
      <c r="AC35" s="29">
        <f t="array" ref="AC35">MAX(IF(TableVersamenti[Polizza]=Table2[[#This Row],[Polizza]],TableVersamenti[Data prevista versamento],"-"))</f>
        <v>0</v>
      </c>
      <c r="AD35" s="62"/>
      <c r="AE35" s="106">
        <f>DATE(YEAR(Table2[[#This Row],[Data ultimo pagamento]]),MONTH(Table2[[#This Row],[Data ultimo pagamento]]), 1)</f>
        <v>42552</v>
      </c>
      <c r="AF35" s="106">
        <f>DATE(YEAR(Table2[[#This Row],[Data prossima scadenza]]),MONTH(Table2[[#This Row],[Data prossima scadenza]]), 1)</f>
        <v>42644</v>
      </c>
      <c r="AG35" s="33">
        <f>IFERROR(Table2[[#This Row],[Importo annuale]]*VLOOKUP(Table2[[#This Row],[Ramo]],RAMI_POLIZZA,2,FALSE),0)</f>
        <v>5.72</v>
      </c>
      <c r="AH35" s="65" t="s">
        <v>113</v>
      </c>
      <c r="AI35" s="63" t="str">
        <f>IFERROR(VLOOKUP(Table2[[#This Row],[Contraente]],Table1[[Nome/Ragione sociale]:[Checkbox selezionato]],2,FALSE),"-")</f>
        <v>ARENA PO</v>
      </c>
      <c r="AJ35" s="63">
        <f>IFERROR(VLOOKUP(Table2[[#This Row],[Contraente]],Table1[[Nome/Ragione sociale]:[Checkbox selezionato]],3,FALSE),"-")</f>
        <v>3351806462</v>
      </c>
      <c r="AK35" s="63">
        <f>IFERROR(VLOOKUP(Table2[[#This Row],[Contraente]],Table1[[Nome/Ragione sociale]:[Checkbox selezionato]],4,FALSE),"-")</f>
        <v>0</v>
      </c>
      <c r="AL35" s="63" t="str">
        <f>IFERROR(VLOOKUP(Table2[[#This Row],[Contraente]],Table1[[Nome/Ragione sociale]:[Checkbox selezionato]],5,FALSE),"-")</f>
        <v>ROBERTO</v>
      </c>
      <c r="AM35" s="62">
        <f>IFERROR(VLOOKUP(Table2[[#This Row],[Contraente]],Table1[[Nome/Ragione sociale]:[Checkbox selezionato]],6,FALSE),"-")</f>
        <v>26387</v>
      </c>
      <c r="AN35" s="63" t="str">
        <f>IFERROR(VLOOKUP(Table2[[#This Row],[Contraente]],Table1[[Nome/Ragione sociale]:[Checkbox selezionato]],7,FALSE),"-")</f>
        <v>papies@libero.it</v>
      </c>
      <c r="AO35" s="63">
        <f>IFERROR(VLOOKUP(Table2[[#This Row],[Contraente]],Table1[[Nome/Ragione sociale]:[Checkbox selezionato]],8,FALSE),"-")</f>
        <v>0</v>
      </c>
      <c r="AP35" s="63">
        <f>IFERROR(VLOOKUP(Table2[[#This Row],[Contraente]],Table1[[Nome/Ragione sociale]:[Checkbox selezionato]],10,FALSE),"-")</f>
        <v>3351806462</v>
      </c>
      <c r="AQ35" s="63" t="str">
        <f>IFERROR(VLOOKUP(Table2[[#This Row],[Contraente]],Table1[[Nome/Ragione sociale]:[Checkbox selezionato]],11,FALSE),"-")</f>
        <v>SI</v>
      </c>
      <c r="AR35" s="63" t="str">
        <f>IFERROR(VLOOKUP(Table2[[#This Row],[Contraente]],Table1[[Nome/Ragione sociale]:[Checkbox selezionato]],12,FALSE),"-")</f>
        <v>SI</v>
      </c>
    </row>
    <row r="36" spans="1:44" ht="30" hidden="1" customHeight="1" x14ac:dyDescent="0.25">
      <c r="A36" s="60" t="str">
        <f>UPPER(LEFT(Table2[[#This Row],[Contraente]],1))</f>
        <v>A</v>
      </c>
      <c r="B36" s="60" t="s">
        <v>1634</v>
      </c>
      <c r="C36" s="80" t="s">
        <v>234</v>
      </c>
      <c r="D36" s="80" t="s">
        <v>37</v>
      </c>
      <c r="E36" s="85">
        <v>106662832</v>
      </c>
      <c r="F36" s="64">
        <v>42900</v>
      </c>
      <c r="G36" s="64">
        <f>IFERROR(CALCOLASCADENZA(Table2[[#This Row],[Data attivazione]],Table2[[#This Row],[Rateizzazione]],Table2[[#This Row],[Data ultimo pagamento]],Table2[[#This Row],[Data prossima scadenza manuale]]),"-")</f>
        <v>43084</v>
      </c>
      <c r="H36" s="67" t="s">
        <v>31</v>
      </c>
      <c r="I36" s="67" t="s">
        <v>1135</v>
      </c>
      <c r="J36" s="33">
        <f>IFERROR(Table2[[#This Row],[Importo annuale]]/(12/VLOOKUP(Table2[[#This Row],[Rateizzazione]],TIPI_RATEIZZAZIONI,2,FALSE)),"-")</f>
        <v>179</v>
      </c>
      <c r="K36" s="88">
        <v>179</v>
      </c>
      <c r="L36" s="88">
        <v>358</v>
      </c>
      <c r="M36" s="67" t="s">
        <v>44</v>
      </c>
      <c r="N36" s="67" t="s">
        <v>51</v>
      </c>
      <c r="O36" s="27" t="s">
        <v>1631</v>
      </c>
      <c r="P36" s="33" t="s">
        <v>22</v>
      </c>
      <c r="Q36" s="60">
        <f>IFERROR(IF(12 / VLOOKUP(Table2[[#This Row],[Rateizzazione]],TIPI_RATEIZZAZIONI,2,FALSE) &gt;=1,  IF(Table2[[#This Row],[Data attivazione]] = "","-",MONTH(Table2[[#This Row],[Data attivazione]])),"-"),"-")</f>
        <v>12</v>
      </c>
      <c r="R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" s="67" t="s">
        <v>2</v>
      </c>
      <c r="V36" s="62"/>
      <c r="W36" s="64">
        <v>42719</v>
      </c>
      <c r="X36" s="29">
        <f>DATE(YEAR(Table2[[#This Row],[Data attivazione]])+VLOOKUP(Table2[[#This Row],[Durata]],VALORE_DURATA,2,FALSE),MONTH(Table2[[#This Row],[Data attivazione]]),DAY(Table2[[#This Row],[Data attivazione]]))</f>
        <v>43084</v>
      </c>
      <c r="Y36" s="65"/>
      <c r="Z36" s="61"/>
      <c r="AA36" s="64" t="s">
        <v>85</v>
      </c>
      <c r="AB36" s="29" t="str">
        <f>IF(Table2[[#This Row],[Data ultimo versamento temp]]=0/1/1900,"-",Table2[[#This Row],[Data ultimo versamento temp]])</f>
        <v>-</v>
      </c>
      <c r="AC36" s="29">
        <f t="array" ref="AC36">MAX(IF(TableVersamenti[Polizza]=Table2[[#This Row],[Polizza]],TableVersamenti[Data prevista versamento],"-"))</f>
        <v>0</v>
      </c>
      <c r="AD36" s="62"/>
      <c r="AE36" s="106">
        <f>DATE(YEAR(Table2[[#This Row],[Data ultimo pagamento]]),MONTH(Table2[[#This Row],[Data ultimo pagamento]]), 1)</f>
        <v>42887</v>
      </c>
      <c r="AF36" s="106">
        <f>DATE(YEAR(Table2[[#This Row],[Data prossima scadenza]]),MONTH(Table2[[#This Row],[Data prossima scadenza]]), 1)</f>
        <v>43070</v>
      </c>
      <c r="AG36" s="33">
        <f>IFERROR(Table2[[#This Row],[Importo annuale]]*VLOOKUP(Table2[[#This Row],[Ramo]],RAMI_POLIZZA,2,FALSE),0)</f>
        <v>18.616</v>
      </c>
      <c r="AH36" s="65" t="s">
        <v>113</v>
      </c>
      <c r="AI36" s="63" t="str">
        <f>IFERROR(VLOOKUP(Table2[[#This Row],[Contraente]],Table1[[Nome/Ragione sociale]:[Checkbox selezionato]],2,FALSE),"-")</f>
        <v>BELGIOIOSO</v>
      </c>
      <c r="AJ36" s="63" t="str">
        <f>IFERROR(VLOOKUP(Table2[[#This Row],[Contraente]],Table1[[Nome/Ragione sociale]:[Checkbox selezionato]],3,FALSE),"-")</f>
        <v>.0382969789</v>
      </c>
      <c r="AK36" s="63">
        <f>IFERROR(VLOOKUP(Table2[[#This Row],[Contraente]],Table1[[Nome/Ragione sociale]:[Checkbox selezionato]],4,FALSE),"-")</f>
        <v>0</v>
      </c>
      <c r="AL36" s="63" t="str">
        <f>IFERROR(VLOOKUP(Table2[[#This Row],[Contraente]],Table1[[Nome/Ragione sociale]:[Checkbox selezionato]],5,FALSE),"-")</f>
        <v>LUIGI</v>
      </c>
      <c r="AM36" s="62">
        <f>IFERROR(VLOOKUP(Table2[[#This Row],[Contraente]],Table1[[Nome/Ragione sociale]:[Checkbox selezionato]],6,FALSE),"-")</f>
        <v>15922</v>
      </c>
      <c r="AN36" s="63" t="str">
        <f>IFERROR(VLOOKUP(Table2[[#This Row],[Contraente]],Table1[[Nome/Ragione sociale]:[Checkbox selezionato]],7,FALSE),"-")</f>
        <v>papies@libero.it</v>
      </c>
      <c r="AO36" s="63">
        <f>IFERROR(VLOOKUP(Table2[[#This Row],[Contraente]],Table1[[Nome/Ragione sociale]:[Checkbox selezionato]],8,FALSE),"-")</f>
        <v>0</v>
      </c>
      <c r="AP36" s="63" t="str">
        <f>IFERROR(VLOOKUP(Table2[[#This Row],[Contraente]],Table1[[Nome/Ragione sociale]:[Checkbox selezionato]],10,FALSE),"-")</f>
        <v>.0382969789</v>
      </c>
      <c r="AQ36" s="63" t="str">
        <f>IFERROR(VLOOKUP(Table2[[#This Row],[Contraente]],Table1[[Nome/Ragione sociale]:[Checkbox selezionato]],11,FALSE),"-")</f>
        <v>SI</v>
      </c>
      <c r="AR36" s="63" t="str">
        <f>IFERROR(VLOOKUP(Table2[[#This Row],[Contraente]],Table1[[Nome/Ragione sociale]:[Checkbox selezionato]],12,FALSE),"-")</f>
        <v>SI</v>
      </c>
    </row>
    <row r="37" spans="1:44" ht="30" hidden="1" customHeight="1" x14ac:dyDescent="0.25">
      <c r="A37" s="60" t="str">
        <f>UPPER(LEFT(Table2[[#This Row],[Contraente]],1))</f>
        <v>A</v>
      </c>
      <c r="B37" s="60" t="s">
        <v>1634</v>
      </c>
      <c r="C37" s="80" t="s">
        <v>236</v>
      </c>
      <c r="D37" s="80" t="s">
        <v>37</v>
      </c>
      <c r="E37" s="85">
        <v>102687505</v>
      </c>
      <c r="F37" s="64">
        <v>42415</v>
      </c>
      <c r="G37" s="64">
        <f>IFERROR(CALCOLASCADENZA(Table2[[#This Row],[Data attivazione]],Table2[[#This Row],[Rateizzazione]],Table2[[#This Row],[Data ultimo pagamento]],Table2[[#This Row],[Data prossima scadenza manuale]]),"-")</f>
        <v>42415</v>
      </c>
      <c r="H37" s="67" t="s">
        <v>31</v>
      </c>
      <c r="I37" s="67" t="s">
        <v>1136</v>
      </c>
      <c r="J37" s="33">
        <v>0</v>
      </c>
      <c r="K37" s="88"/>
      <c r="L37" s="88">
        <v>0</v>
      </c>
      <c r="M37" s="67" t="s">
        <v>44</v>
      </c>
      <c r="N37" s="67" t="s">
        <v>51</v>
      </c>
      <c r="O37" s="27" t="s">
        <v>1631</v>
      </c>
      <c r="P37" s="33" t="s">
        <v>24</v>
      </c>
      <c r="Q3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" s="67" t="s">
        <v>2</v>
      </c>
      <c r="V37" s="62"/>
      <c r="W37" s="64">
        <v>42139</v>
      </c>
      <c r="X37" s="29">
        <f>DATE(YEAR(Table2[[#This Row],[Data attivazione]])+VLOOKUP(Table2[[#This Row],[Durata]],VALORE_DURATA,2,FALSE),MONTH(Table2[[#This Row],[Data attivazione]]),DAY(Table2[[#This Row],[Data attivazione]]))</f>
        <v>42505</v>
      </c>
      <c r="Y37" s="65"/>
      <c r="Z37" s="61"/>
      <c r="AA37" s="64" t="s">
        <v>88</v>
      </c>
      <c r="AB37" s="29" t="str">
        <f>IF(Table2[[#This Row],[Data ultimo versamento temp]]=0/1/1900,"-",Table2[[#This Row],[Data ultimo versamento temp]])</f>
        <v>-</v>
      </c>
      <c r="AC37" s="29">
        <f t="array" ref="AC37">MAX(IF(TableVersamenti[Polizza]=Table2[[#This Row],[Polizza]],TableVersamenti[Data prevista versamento],"-"))</f>
        <v>0</v>
      </c>
      <c r="AD37" s="62"/>
      <c r="AE37" s="106">
        <f>DATE(YEAR(Table2[[#This Row],[Data ultimo pagamento]]),MONTH(Table2[[#This Row],[Data ultimo pagamento]]), 1)</f>
        <v>42401</v>
      </c>
      <c r="AF37" s="106">
        <f>DATE(YEAR(Table2[[#This Row],[Data prossima scadenza]]),MONTH(Table2[[#This Row],[Data prossima scadenza]]), 1)</f>
        <v>42401</v>
      </c>
      <c r="AG37" s="33">
        <f>IFERROR(Table2[[#This Row],[Importo annuale]]*VLOOKUP(Table2[[#This Row],[Ramo]],RAMI_POLIZZA,2,FALSE),0)</f>
        <v>0</v>
      </c>
      <c r="AH37" s="65" t="s">
        <v>113</v>
      </c>
      <c r="AI37" s="63" t="str">
        <f>IFERROR(VLOOKUP(Table2[[#This Row],[Contraente]],Table1[[Nome/Ragione sociale]:[Checkbox selezionato]],2,FALSE),"-")</f>
        <v>CORVINO SAN QUIRICO</v>
      </c>
      <c r="AJ37" s="63">
        <f>IFERROR(VLOOKUP(Table2[[#This Row],[Contraente]],Table1[[Nome/Ragione sociale]:[Checkbox selezionato]],3,FALSE),"-")</f>
        <v>3347054301</v>
      </c>
      <c r="AK37" s="63">
        <f>IFERROR(VLOOKUP(Table2[[#This Row],[Contraente]],Table1[[Nome/Ragione sociale]:[Checkbox selezionato]],4,FALSE),"-")</f>
        <v>3332667956</v>
      </c>
      <c r="AL37" s="63" t="str">
        <f>IFERROR(VLOOKUP(Table2[[#This Row],[Contraente]],Table1[[Nome/Ragione sociale]:[Checkbox selezionato]],5,FALSE),"-")</f>
        <v>MARIA</v>
      </c>
      <c r="AM37" s="62">
        <f>IFERROR(VLOOKUP(Table2[[#This Row],[Contraente]],Table1[[Nome/Ragione sociale]:[Checkbox selezionato]],6,FALSE),"-")</f>
        <v>21735</v>
      </c>
      <c r="AN37" s="63" t="str">
        <f>IFERROR(VLOOKUP(Table2[[#This Row],[Contraente]],Table1[[Nome/Ragione sociale]:[Checkbox selezionato]],7,FALSE),"-")</f>
        <v>papies@email.it</v>
      </c>
      <c r="AO37" s="63">
        <f>IFERROR(VLOOKUP(Table2[[#This Row],[Contraente]],Table1[[Nome/Ragione sociale]:[Checkbox selezionato]],8,FALSE),"-")</f>
        <v>0</v>
      </c>
      <c r="AP37" s="63">
        <f>IFERROR(VLOOKUP(Table2[[#This Row],[Contraente]],Table1[[Nome/Ragione sociale]:[Checkbox selezionato]],10,FALSE),"-")</f>
        <v>3347054301</v>
      </c>
      <c r="AQ37" s="63" t="str">
        <f>IFERROR(VLOOKUP(Table2[[#This Row],[Contraente]],Table1[[Nome/Ragione sociale]:[Checkbox selezionato]],11,FALSE),"-")</f>
        <v>SI</v>
      </c>
      <c r="AR37" s="63" t="str">
        <f>IFERROR(VLOOKUP(Table2[[#This Row],[Contraente]],Table1[[Nome/Ragione sociale]:[Checkbox selezionato]],12,FALSE),"-")</f>
        <v>SI</v>
      </c>
    </row>
    <row r="38" spans="1:44" ht="30" hidden="1" customHeight="1" x14ac:dyDescent="0.25">
      <c r="A38" s="60" t="str">
        <f>UPPER(LEFT(Table2[[#This Row],[Contraente]],1))</f>
        <v>A</v>
      </c>
      <c r="B38" s="60" t="s">
        <v>1634</v>
      </c>
      <c r="C38" s="80" t="s">
        <v>242</v>
      </c>
      <c r="D38" s="80" t="s">
        <v>37</v>
      </c>
      <c r="E38" s="85">
        <v>106094670</v>
      </c>
      <c r="F38" s="64">
        <v>42823</v>
      </c>
      <c r="G38" s="64">
        <f>IFERROR(CALCOLASCADENZA(Table2[[#This Row],[Data attivazione]],Table2[[#This Row],[Rateizzazione]],Table2[[#This Row],[Data ultimo pagamento]],Table2[[#This Row],[Data prossima scadenza manuale]]),"-")</f>
        <v>43001</v>
      </c>
      <c r="H38" s="67" t="s">
        <v>31</v>
      </c>
      <c r="I38" s="67" t="s">
        <v>1137</v>
      </c>
      <c r="J38" s="33">
        <f>IFERROR(Table2[[#This Row],[Importo annuale]]/(12/VLOOKUP(Table2[[#This Row],[Rateizzazione]],TIPI_RATEIZZAZIONI,2,FALSE)),"-")</f>
        <v>280</v>
      </c>
      <c r="K38" s="88">
        <v>280</v>
      </c>
      <c r="L38" s="88">
        <v>560</v>
      </c>
      <c r="M38" s="67" t="s">
        <v>44</v>
      </c>
      <c r="N38" s="67" t="s">
        <v>51</v>
      </c>
      <c r="O38" s="27" t="s">
        <v>1631</v>
      </c>
      <c r="P38" s="33" t="s">
        <v>22</v>
      </c>
      <c r="Q38" s="60">
        <f>IFERROR(IF(12 / VLOOKUP(Table2[[#This Row],[Rateizzazione]],TIPI_RATEIZZAZIONI,2,FALSE) &gt;=1,  IF(Table2[[#This Row],[Data attivazione]] = "","-",MONTH(Table2[[#This Row],[Data attivazione]])),"-"),"-")</f>
        <v>9</v>
      </c>
      <c r="R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" s="67" t="s">
        <v>133</v>
      </c>
      <c r="V38" s="62"/>
      <c r="W38" s="64">
        <v>42636</v>
      </c>
      <c r="X38" s="29">
        <f>DATE(YEAR(Table2[[#This Row],[Data attivazione]])+VLOOKUP(Table2[[#This Row],[Durata]],VALORE_DURATA,2,FALSE),MONTH(Table2[[#This Row],[Data attivazione]]),DAY(Table2[[#This Row],[Data attivazione]]))</f>
        <v>43001</v>
      </c>
      <c r="Y38" s="65"/>
      <c r="Z38" s="61"/>
      <c r="AA38" s="64" t="s">
        <v>85</v>
      </c>
      <c r="AB38" s="29" t="str">
        <f>IF(Table2[[#This Row],[Data ultimo versamento temp]]=0/1/1900,"-",Table2[[#This Row],[Data ultimo versamento temp]])</f>
        <v>-</v>
      </c>
      <c r="AC38" s="29">
        <f t="array" ref="AC38">MAX(IF(TableVersamenti[Polizza]=Table2[[#This Row],[Polizza]],TableVersamenti[Data prevista versamento],"-"))</f>
        <v>0</v>
      </c>
      <c r="AD38" s="62"/>
      <c r="AE38" s="106">
        <f>DATE(YEAR(Table2[[#This Row],[Data ultimo pagamento]]),MONTH(Table2[[#This Row],[Data ultimo pagamento]]), 1)</f>
        <v>42795</v>
      </c>
      <c r="AF38" s="106">
        <f>DATE(YEAR(Table2[[#This Row],[Data prossima scadenza]]),MONTH(Table2[[#This Row],[Data prossima scadenza]]), 1)</f>
        <v>42979</v>
      </c>
      <c r="AG38" s="33">
        <f>IFERROR(Table2[[#This Row],[Importo annuale]]*VLOOKUP(Table2[[#This Row],[Ramo]],RAMI_POLIZZA,2,FALSE),0)</f>
        <v>29.119999999999997</v>
      </c>
      <c r="AH38" s="65" t="s">
        <v>113</v>
      </c>
      <c r="AI38" s="63" t="str">
        <f>IFERROR(VLOOKUP(Table2[[#This Row],[Contraente]],Table1[[Nome/Ragione sociale]:[Checkbox selezionato]],2,FALSE),"-")</f>
        <v>ARENA PO</v>
      </c>
      <c r="AJ38" s="63" t="str">
        <f>IFERROR(VLOOKUP(Table2[[#This Row],[Contraente]],Table1[[Nome/Ragione sociale]:[Checkbox selezionato]],3,FALSE),"-")</f>
        <v>-</v>
      </c>
      <c r="AK38" s="63">
        <f>IFERROR(VLOOKUP(Table2[[#This Row],[Contraente]],Table1[[Nome/Ragione sociale]:[Checkbox selezionato]],4,FALSE),"-")</f>
        <v>0</v>
      </c>
      <c r="AL38" s="63" t="str">
        <f>IFERROR(VLOOKUP(Table2[[#This Row],[Contraente]],Table1[[Nome/Ragione sociale]:[Checkbox selezionato]],5,FALSE),"-")</f>
        <v>-</v>
      </c>
      <c r="AM38" s="62">
        <f>IFERROR(VLOOKUP(Table2[[#This Row],[Contraente]],Table1[[Nome/Ragione sociale]:[Checkbox selezionato]],6,FALSE),"-")</f>
        <v>20875</v>
      </c>
      <c r="AN38" s="63" t="str">
        <f>IFERROR(VLOOKUP(Table2[[#This Row],[Contraente]],Table1[[Nome/Ragione sociale]:[Checkbox selezionato]],7,FALSE),"-")</f>
        <v>papies@libero.it</v>
      </c>
      <c r="AO38" s="63">
        <f>IFERROR(VLOOKUP(Table2[[#This Row],[Contraente]],Table1[[Nome/Ragione sociale]:[Checkbox selezionato]],8,FALSE),"-")</f>
        <v>0</v>
      </c>
      <c r="AP38" s="63" t="str">
        <f>IFERROR(VLOOKUP(Table2[[#This Row],[Contraente]],Table1[[Nome/Ragione sociale]:[Checkbox selezionato]],10,FALSE),"-")</f>
        <v>-</v>
      </c>
      <c r="AQ38" s="63" t="str">
        <f>IFERROR(VLOOKUP(Table2[[#This Row],[Contraente]],Table1[[Nome/Ragione sociale]:[Checkbox selezionato]],11,FALSE),"-")</f>
        <v>SI</v>
      </c>
      <c r="AR38" s="63" t="str">
        <f>IFERROR(VLOOKUP(Table2[[#This Row],[Contraente]],Table1[[Nome/Ragione sociale]:[Checkbox selezionato]],12,FALSE),"-")</f>
        <v>SI</v>
      </c>
    </row>
    <row r="39" spans="1:44" ht="30" hidden="1" customHeight="1" x14ac:dyDescent="0.25">
      <c r="A39" s="60" t="str">
        <f>UPPER(LEFT(Table2[[#This Row],[Contraente]],1))</f>
        <v>A</v>
      </c>
      <c r="B39" s="60" t="s">
        <v>1634</v>
      </c>
      <c r="C39" s="80" t="s">
        <v>242</v>
      </c>
      <c r="D39" s="80" t="s">
        <v>37</v>
      </c>
      <c r="E39" s="85">
        <v>105845028</v>
      </c>
      <c r="F39" s="64">
        <v>42761</v>
      </c>
      <c r="G39" s="64">
        <f>IFERROR(CALCOLASCADENZA(Table2[[#This Row],[Data attivazione]],Table2[[#This Row],[Rateizzazione]],Table2[[#This Row],[Data ultimo pagamento]],Table2[[#This Row],[Data prossima scadenza manuale]]),"-")</f>
        <v>42931</v>
      </c>
      <c r="H39" s="67" t="s">
        <v>31</v>
      </c>
      <c r="I39" s="67" t="s">
        <v>1138</v>
      </c>
      <c r="J39" s="33">
        <f>IFERROR(Table2[[#This Row],[Importo annuale]]/(12/VLOOKUP(Table2[[#This Row],[Rateizzazione]],TIPI_RATEIZZAZIONI,2,FALSE)),"-")</f>
        <v>190</v>
      </c>
      <c r="K39" s="88">
        <v>190</v>
      </c>
      <c r="L39" s="88">
        <v>380</v>
      </c>
      <c r="M39" s="67" t="s">
        <v>44</v>
      </c>
      <c r="N39" s="67" t="s">
        <v>52</v>
      </c>
      <c r="O39" s="27" t="s">
        <v>1631</v>
      </c>
      <c r="P39" s="33" t="s">
        <v>22</v>
      </c>
      <c r="Q39" s="60">
        <f>IFERROR(IF(12 / VLOOKUP(Table2[[#This Row],[Rateizzazione]],TIPI_RATEIZZAZIONI,2,FALSE) &gt;=1,  IF(Table2[[#This Row],[Data attivazione]] = "","-",MONTH(Table2[[#This Row],[Data attivazione]])),"-"),"-")</f>
        <v>7</v>
      </c>
      <c r="R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" s="67" t="s">
        <v>133</v>
      </c>
      <c r="V39" s="62"/>
      <c r="W39" s="64">
        <v>42566</v>
      </c>
      <c r="X39" s="29">
        <f>DATE(YEAR(Table2[[#This Row],[Data attivazione]])+VLOOKUP(Table2[[#This Row],[Durata]],VALORE_DURATA,2,FALSE),MONTH(Table2[[#This Row],[Data attivazione]]),DAY(Table2[[#This Row],[Data attivazione]]))</f>
        <v>42931</v>
      </c>
      <c r="Y39" s="65"/>
      <c r="Z39" s="61"/>
      <c r="AA39" s="64" t="s">
        <v>85</v>
      </c>
      <c r="AB39" s="29" t="str">
        <f>IF(Table2[[#This Row],[Data ultimo versamento temp]]=0/1/1900,"-",Table2[[#This Row],[Data ultimo versamento temp]])</f>
        <v>-</v>
      </c>
      <c r="AC39" s="29">
        <f t="array" ref="AC39">MAX(IF(TableVersamenti[Polizza]=Table2[[#This Row],[Polizza]],TableVersamenti[Data prevista versamento],"-"))</f>
        <v>0</v>
      </c>
      <c r="AD39" s="62"/>
      <c r="AE39" s="106">
        <f>DATE(YEAR(Table2[[#This Row],[Data ultimo pagamento]]),MONTH(Table2[[#This Row],[Data ultimo pagamento]]), 1)</f>
        <v>42736</v>
      </c>
      <c r="AF39" s="106">
        <f>DATE(YEAR(Table2[[#This Row],[Data prossima scadenza]]),MONTH(Table2[[#This Row],[Data prossima scadenza]]), 1)</f>
        <v>42917</v>
      </c>
      <c r="AG39" s="33">
        <f>IFERROR(Table2[[#This Row],[Importo annuale]]*VLOOKUP(Table2[[#This Row],[Ramo]],RAMI_POLIZZA,2,FALSE),0)</f>
        <v>19.759999999999998</v>
      </c>
      <c r="AH39" s="65" t="s">
        <v>113</v>
      </c>
      <c r="AI39" s="63" t="str">
        <f>IFERROR(VLOOKUP(Table2[[#This Row],[Contraente]],Table1[[Nome/Ragione sociale]:[Checkbox selezionato]],2,FALSE),"-")</f>
        <v>ARENA PO</v>
      </c>
      <c r="AJ39" s="63" t="str">
        <f>IFERROR(VLOOKUP(Table2[[#This Row],[Contraente]],Table1[[Nome/Ragione sociale]:[Checkbox selezionato]],3,FALSE),"-")</f>
        <v>-</v>
      </c>
      <c r="AK39" s="63">
        <f>IFERROR(VLOOKUP(Table2[[#This Row],[Contraente]],Table1[[Nome/Ragione sociale]:[Checkbox selezionato]],4,FALSE),"-")</f>
        <v>0</v>
      </c>
      <c r="AL39" s="63" t="str">
        <f>IFERROR(VLOOKUP(Table2[[#This Row],[Contraente]],Table1[[Nome/Ragione sociale]:[Checkbox selezionato]],5,FALSE),"-")</f>
        <v>-</v>
      </c>
      <c r="AM39" s="62">
        <f>IFERROR(VLOOKUP(Table2[[#This Row],[Contraente]],Table1[[Nome/Ragione sociale]:[Checkbox selezionato]],6,FALSE),"-")</f>
        <v>20875</v>
      </c>
      <c r="AN39" s="63" t="str">
        <f>IFERROR(VLOOKUP(Table2[[#This Row],[Contraente]],Table1[[Nome/Ragione sociale]:[Checkbox selezionato]],7,FALSE),"-")</f>
        <v>papies@libero.it</v>
      </c>
      <c r="AO39" s="63">
        <f>IFERROR(VLOOKUP(Table2[[#This Row],[Contraente]],Table1[[Nome/Ragione sociale]:[Checkbox selezionato]],8,FALSE),"-")</f>
        <v>0</v>
      </c>
      <c r="AP39" s="63" t="str">
        <f>IFERROR(VLOOKUP(Table2[[#This Row],[Contraente]],Table1[[Nome/Ragione sociale]:[Checkbox selezionato]],10,FALSE),"-")</f>
        <v>-</v>
      </c>
      <c r="AQ39" s="63" t="str">
        <f>IFERROR(VLOOKUP(Table2[[#This Row],[Contraente]],Table1[[Nome/Ragione sociale]:[Checkbox selezionato]],11,FALSE),"-")</f>
        <v>SI</v>
      </c>
      <c r="AR39" s="63" t="str">
        <f>IFERROR(VLOOKUP(Table2[[#This Row],[Contraente]],Table1[[Nome/Ragione sociale]:[Checkbox selezionato]],12,FALSE),"-")</f>
        <v>SI</v>
      </c>
    </row>
    <row r="40" spans="1:44" ht="30" hidden="1" customHeight="1" x14ac:dyDescent="0.25">
      <c r="A40" s="60" t="str">
        <f>UPPER(LEFT(Table2[[#This Row],[Contraente]],1))</f>
        <v>A</v>
      </c>
      <c r="B40" s="60" t="s">
        <v>1634</v>
      </c>
      <c r="C40" s="81" t="s">
        <v>243</v>
      </c>
      <c r="D40" s="80" t="s">
        <v>37</v>
      </c>
      <c r="E40" s="86">
        <v>106783711</v>
      </c>
      <c r="F40" s="64">
        <v>42852</v>
      </c>
      <c r="G40" s="64">
        <f>IFERROR(CALCOLASCADENZA(Table2[[#This Row],[Data attivazione]],Table2[[#This Row],[Rateizzazione]],Table2[[#This Row],[Data ultimo pagamento]],Table2[[#This Row],[Data prossima scadenza manuale]]),"-")</f>
        <v>43030</v>
      </c>
      <c r="H40" s="67" t="s">
        <v>31</v>
      </c>
      <c r="I40" s="67" t="s">
        <v>1139</v>
      </c>
      <c r="J40" s="33">
        <f>IFERROR(Table2[[#This Row],[Importo annuale]]/(12/VLOOKUP(Table2[[#This Row],[Rateizzazione]],TIPI_RATEIZZAZIONI,2,FALSE)),"-")</f>
        <v>563</v>
      </c>
      <c r="K40" s="88">
        <v>563</v>
      </c>
      <c r="L40" s="88">
        <v>1126</v>
      </c>
      <c r="M40" s="67" t="s">
        <v>44</v>
      </c>
      <c r="N40" s="67" t="s">
        <v>51</v>
      </c>
      <c r="O40" s="27" t="s">
        <v>1631</v>
      </c>
      <c r="P40" s="33" t="s">
        <v>22</v>
      </c>
      <c r="Q40" s="60">
        <f>IFERROR(IF(12 / VLOOKUP(Table2[[#This Row],[Rateizzazione]],TIPI_RATEIZZAZIONI,2,FALSE) &gt;=1,  IF(Table2[[#This Row],[Data attivazione]] = "","-",MONTH(Table2[[#This Row],[Data attivazione]])),"-"),"-")</f>
        <v>10</v>
      </c>
      <c r="R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" s="67" t="s">
        <v>2</v>
      </c>
      <c r="V40" s="62"/>
      <c r="W40" s="64">
        <v>42665</v>
      </c>
      <c r="X40" s="29">
        <f>DATE(YEAR(Table2[[#This Row],[Data attivazione]])+VLOOKUP(Table2[[#This Row],[Durata]],VALORE_DURATA,2,FALSE),MONTH(Table2[[#This Row],[Data attivazione]]),DAY(Table2[[#This Row],[Data attivazione]]))</f>
        <v>43030</v>
      </c>
      <c r="Y40" s="65"/>
      <c r="Z40" s="61"/>
      <c r="AA40" s="64" t="s">
        <v>85</v>
      </c>
      <c r="AB40" s="29" t="str">
        <f>IF(Table2[[#This Row],[Data ultimo versamento temp]]=0/1/1900,"-",Table2[[#This Row],[Data ultimo versamento temp]])</f>
        <v>-</v>
      </c>
      <c r="AC40" s="29">
        <f t="array" ref="AC40">MAX(IF(TableVersamenti[Polizza]=Table2[[#This Row],[Polizza]],TableVersamenti[Data prevista versamento],"-"))</f>
        <v>0</v>
      </c>
      <c r="AD40" s="62"/>
      <c r="AE40" s="106">
        <f>DATE(YEAR(Table2[[#This Row],[Data ultimo pagamento]]),MONTH(Table2[[#This Row],[Data ultimo pagamento]]), 1)</f>
        <v>42826</v>
      </c>
      <c r="AF40" s="106">
        <f>DATE(YEAR(Table2[[#This Row],[Data prossima scadenza]]),MONTH(Table2[[#This Row],[Data prossima scadenza]]), 1)</f>
        <v>43009</v>
      </c>
      <c r="AG40" s="33">
        <f>IFERROR(Table2[[#This Row],[Importo annuale]]*VLOOKUP(Table2[[#This Row],[Ramo]],RAMI_POLIZZA,2,FALSE),0)</f>
        <v>58.552</v>
      </c>
      <c r="AH40" s="65" t="s">
        <v>113</v>
      </c>
      <c r="AI40" s="63" t="str">
        <f>IFERROR(VLOOKUP(Table2[[#This Row],[Contraente]],Table1[[Nome/Ragione sociale]:[Checkbox selezionato]],2,FALSE),"-")</f>
        <v>CORTEOLONA</v>
      </c>
      <c r="AJ40" s="63">
        <f>IFERROR(VLOOKUP(Table2[[#This Row],[Contraente]],Table1[[Nome/Ragione sociale]:[Checkbox selezionato]],3,FALSE),"-")</f>
        <v>3493841408</v>
      </c>
      <c r="AK40" s="63">
        <f>IFERROR(VLOOKUP(Table2[[#This Row],[Contraente]],Table1[[Nome/Ragione sociale]:[Checkbox selezionato]],4,FALSE),"-")</f>
        <v>0</v>
      </c>
      <c r="AL40" s="63" t="str">
        <f>IFERROR(VLOOKUP(Table2[[#This Row],[Contraente]],Table1[[Nome/Ragione sociale]:[Checkbox selezionato]],5,FALSE),"-")</f>
        <v>RICCARDO</v>
      </c>
      <c r="AM40" s="62">
        <f>IFERROR(VLOOKUP(Table2[[#This Row],[Contraente]],Table1[[Nome/Ragione sociale]:[Checkbox selezionato]],6,FALSE),"-")</f>
        <v>24987</v>
      </c>
      <c r="AN40" s="63" t="str">
        <f>IFERROR(VLOOKUP(Table2[[#This Row],[Contraente]],Table1[[Nome/Ragione sociale]:[Checkbox selezionato]],7,FALSE),"-")</f>
        <v>papies@libero.it</v>
      </c>
      <c r="AO40" s="63">
        <f>IFERROR(VLOOKUP(Table2[[#This Row],[Contraente]],Table1[[Nome/Ragione sociale]:[Checkbox selezionato]],8,FALSE),"-")</f>
        <v>0</v>
      </c>
      <c r="AP40" s="63">
        <f>IFERROR(VLOOKUP(Table2[[#This Row],[Contraente]],Table1[[Nome/Ragione sociale]:[Checkbox selezionato]],10,FALSE),"-")</f>
        <v>3493841408</v>
      </c>
      <c r="AQ40" s="63" t="str">
        <f>IFERROR(VLOOKUP(Table2[[#This Row],[Contraente]],Table1[[Nome/Ragione sociale]:[Checkbox selezionato]],11,FALSE),"-")</f>
        <v>SI</v>
      </c>
      <c r="AR40" s="63" t="str">
        <f>IFERROR(VLOOKUP(Table2[[#This Row],[Contraente]],Table1[[Nome/Ragione sociale]:[Checkbox selezionato]],12,FALSE),"-")</f>
        <v>SI</v>
      </c>
    </row>
    <row r="41" spans="1:44" ht="30" hidden="1" customHeight="1" x14ac:dyDescent="0.25">
      <c r="A41" s="60" t="str">
        <f>UPPER(LEFT(Table2[[#This Row],[Contraente]],1))</f>
        <v>A</v>
      </c>
      <c r="B41" s="60" t="s">
        <v>1634</v>
      </c>
      <c r="C41" s="81" t="s">
        <v>243</v>
      </c>
      <c r="D41" s="80" t="s">
        <v>37</v>
      </c>
      <c r="E41" s="86">
        <v>104833454</v>
      </c>
      <c r="F41" s="64">
        <v>42852</v>
      </c>
      <c r="G41" s="64">
        <f>IFERROR(CALCOLASCADENZA(Table2[[#This Row],[Data attivazione]],Table2[[#This Row],[Rateizzazione]],Table2[[#This Row],[Data ultimo pagamento]],Table2[[#This Row],[Data prossima scadenza manuale]]),"-")</f>
        <v>43030</v>
      </c>
      <c r="H41" s="67" t="s">
        <v>30</v>
      </c>
      <c r="I41" s="67" t="s">
        <v>113</v>
      </c>
      <c r="J41" s="33">
        <f>IFERROR(Table2[[#This Row],[Importo annuale]]/(12/VLOOKUP(Table2[[#This Row],[Rateizzazione]],TIPI_RATEIZZAZIONI,2,FALSE)),"-")</f>
        <v>34</v>
      </c>
      <c r="K41" s="88">
        <v>34</v>
      </c>
      <c r="L41" s="88">
        <v>68</v>
      </c>
      <c r="M41" s="67" t="s">
        <v>44</v>
      </c>
      <c r="N41" s="67" t="s">
        <v>51</v>
      </c>
      <c r="O41" s="27" t="s">
        <v>1631</v>
      </c>
      <c r="P41" s="33" t="s">
        <v>22</v>
      </c>
      <c r="Q41" s="60">
        <f>IFERROR(IF(12 / VLOOKUP(Table2[[#This Row],[Rateizzazione]],TIPI_RATEIZZAZIONI,2,FALSE) &gt;=1,  IF(Table2[[#This Row],[Data attivazione]] = "","-",MONTH(Table2[[#This Row],[Data attivazione]])),"-"),"-")</f>
        <v>10</v>
      </c>
      <c r="R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" s="67" t="s">
        <v>2</v>
      </c>
      <c r="V41" s="62"/>
      <c r="W41" s="64">
        <v>42665</v>
      </c>
      <c r="X41" s="29">
        <f>DATE(YEAR(Table2[[#This Row],[Data attivazione]])+VLOOKUP(Table2[[#This Row],[Durata]],VALORE_DURATA,2,FALSE),MONTH(Table2[[#This Row],[Data attivazione]]),DAY(Table2[[#This Row],[Data attivazione]]))</f>
        <v>43030</v>
      </c>
      <c r="Y41" s="65"/>
      <c r="Z41" s="61"/>
      <c r="AA41" s="64" t="s">
        <v>85</v>
      </c>
      <c r="AB41" s="29" t="str">
        <f>IF(Table2[[#This Row],[Data ultimo versamento temp]]=0/1/1900,"-",Table2[[#This Row],[Data ultimo versamento temp]])</f>
        <v>-</v>
      </c>
      <c r="AC41" s="29">
        <f t="array" ref="AC41">MAX(IF(TableVersamenti[Polizza]=Table2[[#This Row],[Polizza]],TableVersamenti[Data prevista versamento],"-"))</f>
        <v>0</v>
      </c>
      <c r="AD41" s="62"/>
      <c r="AE41" s="106">
        <f>DATE(YEAR(Table2[[#This Row],[Data ultimo pagamento]]),MONTH(Table2[[#This Row],[Data ultimo pagamento]]), 1)</f>
        <v>42826</v>
      </c>
      <c r="AF41" s="106">
        <f>DATE(YEAR(Table2[[#This Row],[Data prossima scadenza]]),MONTH(Table2[[#This Row],[Data prossima scadenza]]), 1)</f>
        <v>43009</v>
      </c>
      <c r="AG41" s="33">
        <f>IFERROR(Table2[[#This Row],[Importo annuale]]*VLOOKUP(Table2[[#This Row],[Ramo]],RAMI_POLIZZA,2,FALSE),0)</f>
        <v>7.82</v>
      </c>
      <c r="AH41" s="65" t="s">
        <v>113</v>
      </c>
      <c r="AI41" s="63" t="str">
        <f>IFERROR(VLOOKUP(Table2[[#This Row],[Contraente]],Table1[[Nome/Ragione sociale]:[Checkbox selezionato]],2,FALSE),"-")</f>
        <v>CORTEOLONA</v>
      </c>
      <c r="AJ41" s="63">
        <f>IFERROR(VLOOKUP(Table2[[#This Row],[Contraente]],Table1[[Nome/Ragione sociale]:[Checkbox selezionato]],3,FALSE),"-")</f>
        <v>3493841408</v>
      </c>
      <c r="AK41" s="63">
        <f>IFERROR(VLOOKUP(Table2[[#This Row],[Contraente]],Table1[[Nome/Ragione sociale]:[Checkbox selezionato]],4,FALSE),"-")</f>
        <v>0</v>
      </c>
      <c r="AL41" s="63" t="str">
        <f>IFERROR(VLOOKUP(Table2[[#This Row],[Contraente]],Table1[[Nome/Ragione sociale]:[Checkbox selezionato]],5,FALSE),"-")</f>
        <v>RICCARDO</v>
      </c>
      <c r="AM41" s="62">
        <f>IFERROR(VLOOKUP(Table2[[#This Row],[Contraente]],Table1[[Nome/Ragione sociale]:[Checkbox selezionato]],6,FALSE),"-")</f>
        <v>24987</v>
      </c>
      <c r="AN41" s="63" t="str">
        <f>IFERROR(VLOOKUP(Table2[[#This Row],[Contraente]],Table1[[Nome/Ragione sociale]:[Checkbox selezionato]],7,FALSE),"-")</f>
        <v>papies@libero.it</v>
      </c>
      <c r="AO41" s="63">
        <f>IFERROR(VLOOKUP(Table2[[#This Row],[Contraente]],Table1[[Nome/Ragione sociale]:[Checkbox selezionato]],8,FALSE),"-")</f>
        <v>0</v>
      </c>
      <c r="AP41" s="63">
        <f>IFERROR(VLOOKUP(Table2[[#This Row],[Contraente]],Table1[[Nome/Ragione sociale]:[Checkbox selezionato]],10,FALSE),"-")</f>
        <v>3493841408</v>
      </c>
      <c r="AQ41" s="63" t="str">
        <f>IFERROR(VLOOKUP(Table2[[#This Row],[Contraente]],Table1[[Nome/Ragione sociale]:[Checkbox selezionato]],11,FALSE),"-")</f>
        <v>SI</v>
      </c>
      <c r="AR41" s="63" t="str">
        <f>IFERROR(VLOOKUP(Table2[[#This Row],[Contraente]],Table1[[Nome/Ragione sociale]:[Checkbox selezionato]],12,FALSE),"-")</f>
        <v>SI</v>
      </c>
    </row>
    <row r="42" spans="1:44" ht="30" hidden="1" customHeight="1" x14ac:dyDescent="0.25">
      <c r="A42" s="60" t="str">
        <f>UPPER(LEFT(Table2[[#This Row],[Contraente]],1))</f>
        <v>A</v>
      </c>
      <c r="B42" s="60" t="s">
        <v>1634</v>
      </c>
      <c r="C42" s="81" t="s">
        <v>243</v>
      </c>
      <c r="D42" s="80" t="s">
        <v>37</v>
      </c>
      <c r="E42" s="86">
        <v>1088433</v>
      </c>
      <c r="F42" s="64">
        <v>42852</v>
      </c>
      <c r="G42" s="64">
        <f>IFERROR(CALCOLASCADENZA(Table2[[#This Row],[Data attivazione]],Table2[[#This Row],[Rateizzazione]],Table2[[#This Row],[Data ultimo pagamento]],Table2[[#This Row],[Data prossima scadenza manuale]]),"-")</f>
        <v>43035</v>
      </c>
      <c r="H42" s="67" t="s">
        <v>32</v>
      </c>
      <c r="I42" s="67" t="s">
        <v>113</v>
      </c>
      <c r="J42" s="33">
        <f>IFERROR(Table2[[#This Row],[Importo annuale]]/(12/VLOOKUP(Table2[[#This Row],[Rateizzazione]],TIPI_RATEIZZAZIONI,2,FALSE)),"-")</f>
        <v>102.49</v>
      </c>
      <c r="K42" s="88">
        <v>102.49</v>
      </c>
      <c r="L42" s="88">
        <v>204.98</v>
      </c>
      <c r="M42" s="67" t="s">
        <v>44</v>
      </c>
      <c r="N42" s="67" t="s">
        <v>52</v>
      </c>
      <c r="O42" s="27" t="s">
        <v>1631</v>
      </c>
      <c r="P42" s="33" t="s">
        <v>22</v>
      </c>
      <c r="Q42" s="60">
        <f>IFERROR(IF(12 / VLOOKUP(Table2[[#This Row],[Rateizzazione]],TIPI_RATEIZZAZIONI,2,FALSE) &gt;=1,  IF(Table2[[#This Row],[Data attivazione]] = "","-",MONTH(Table2[[#This Row],[Data attivazione]])),"-"),"-")</f>
        <v>10</v>
      </c>
      <c r="R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" s="67" t="s">
        <v>2</v>
      </c>
      <c r="V42" s="62"/>
      <c r="W42" s="64">
        <v>42670</v>
      </c>
      <c r="X42" s="29">
        <f>DATE(YEAR(Table2[[#This Row],[Data attivazione]])+VLOOKUP(Table2[[#This Row],[Durata]],VALORE_DURATA,2,FALSE),MONTH(Table2[[#This Row],[Data attivazione]]),DAY(Table2[[#This Row],[Data attivazione]]))</f>
        <v>43035</v>
      </c>
      <c r="Y42" s="65"/>
      <c r="Z42" s="61"/>
      <c r="AA42" s="64" t="s">
        <v>85</v>
      </c>
      <c r="AB42" s="29" t="str">
        <f>IF(Table2[[#This Row],[Data ultimo versamento temp]]=0/1/1900,"-",Table2[[#This Row],[Data ultimo versamento temp]])</f>
        <v>-</v>
      </c>
      <c r="AC42" s="29">
        <f t="array" ref="AC42">MAX(IF(TableVersamenti[Polizza]=Table2[[#This Row],[Polizza]],TableVersamenti[Data prevista versamento],"-"))</f>
        <v>0</v>
      </c>
      <c r="AD42" s="62"/>
      <c r="AE42" s="106">
        <f>DATE(YEAR(Table2[[#This Row],[Data ultimo pagamento]]),MONTH(Table2[[#This Row],[Data ultimo pagamento]]), 1)</f>
        <v>42826</v>
      </c>
      <c r="AF42" s="106">
        <f>DATE(YEAR(Table2[[#This Row],[Data prossima scadenza]]),MONTH(Table2[[#This Row],[Data prossima scadenza]]), 1)</f>
        <v>43009</v>
      </c>
      <c r="AG42" s="33">
        <f>IFERROR(Table2[[#This Row],[Importo annuale]]*VLOOKUP(Table2[[#This Row],[Ramo]],RAMI_POLIZZA,2,FALSE),0)</f>
        <v>3.0746999999999995</v>
      </c>
      <c r="AH42" s="65" t="s">
        <v>113</v>
      </c>
      <c r="AI42" s="63" t="str">
        <f>IFERROR(VLOOKUP(Table2[[#This Row],[Contraente]],Table1[[Nome/Ragione sociale]:[Checkbox selezionato]],2,FALSE),"-")</f>
        <v>CORTEOLONA</v>
      </c>
      <c r="AJ42" s="63">
        <f>IFERROR(VLOOKUP(Table2[[#This Row],[Contraente]],Table1[[Nome/Ragione sociale]:[Checkbox selezionato]],3,FALSE),"-")</f>
        <v>3493841408</v>
      </c>
      <c r="AK42" s="63">
        <f>IFERROR(VLOOKUP(Table2[[#This Row],[Contraente]],Table1[[Nome/Ragione sociale]:[Checkbox selezionato]],4,FALSE),"-")</f>
        <v>0</v>
      </c>
      <c r="AL42" s="63" t="str">
        <f>IFERROR(VLOOKUP(Table2[[#This Row],[Contraente]],Table1[[Nome/Ragione sociale]:[Checkbox selezionato]],5,FALSE),"-")</f>
        <v>RICCARDO</v>
      </c>
      <c r="AM42" s="62">
        <f>IFERROR(VLOOKUP(Table2[[#This Row],[Contraente]],Table1[[Nome/Ragione sociale]:[Checkbox selezionato]],6,FALSE),"-")</f>
        <v>24987</v>
      </c>
      <c r="AN42" s="63" t="str">
        <f>IFERROR(VLOOKUP(Table2[[#This Row],[Contraente]],Table1[[Nome/Ragione sociale]:[Checkbox selezionato]],7,FALSE),"-")</f>
        <v>papies@libero.it</v>
      </c>
      <c r="AO42" s="63">
        <f>IFERROR(VLOOKUP(Table2[[#This Row],[Contraente]],Table1[[Nome/Ragione sociale]:[Checkbox selezionato]],8,FALSE),"-")</f>
        <v>0</v>
      </c>
      <c r="AP42" s="63">
        <f>IFERROR(VLOOKUP(Table2[[#This Row],[Contraente]],Table1[[Nome/Ragione sociale]:[Checkbox selezionato]],10,FALSE),"-")</f>
        <v>3493841408</v>
      </c>
      <c r="AQ42" s="63" t="str">
        <f>IFERROR(VLOOKUP(Table2[[#This Row],[Contraente]],Table1[[Nome/Ragione sociale]:[Checkbox selezionato]],11,FALSE),"-")</f>
        <v>SI</v>
      </c>
      <c r="AR42" s="63" t="str">
        <f>IFERROR(VLOOKUP(Table2[[#This Row],[Contraente]],Table1[[Nome/Ragione sociale]:[Checkbox selezionato]],12,FALSE),"-")</f>
        <v>SI</v>
      </c>
    </row>
    <row r="43" spans="1:44" ht="30" hidden="1" customHeight="1" x14ac:dyDescent="0.25">
      <c r="A43" s="60" t="str">
        <f>UPPER(LEFT(Table2[[#This Row],[Contraente]],1))</f>
        <v>A</v>
      </c>
      <c r="B43" s="60" t="s">
        <v>1634</v>
      </c>
      <c r="C43" s="81" t="s">
        <v>245</v>
      </c>
      <c r="D43" s="80" t="s">
        <v>37</v>
      </c>
      <c r="E43" s="86">
        <v>1025487</v>
      </c>
      <c r="F43" s="64">
        <v>42656</v>
      </c>
      <c r="G43" s="64">
        <f>IFERROR(CALCOLASCADENZA(Table2[[#This Row],[Data attivazione]],Table2[[#This Row],[Rateizzazione]],Table2[[#This Row],[Data ultimo pagamento]],Table2[[#This Row],[Data prossima scadenza manuale]]),"-")</f>
        <v>42818</v>
      </c>
      <c r="H43" s="67" t="s">
        <v>32</v>
      </c>
      <c r="I43" s="67" t="s">
        <v>113</v>
      </c>
      <c r="J43" s="33">
        <f>IFERROR(Table2[[#This Row],[Importo annuale]]/(12/VLOOKUP(Table2[[#This Row],[Rateizzazione]],TIPI_RATEIZZAZIONI,2,FALSE)),"-")</f>
        <v>62.18</v>
      </c>
      <c r="K43" s="88"/>
      <c r="L43" s="88">
        <v>124.36</v>
      </c>
      <c r="M43" s="67" t="s">
        <v>45</v>
      </c>
      <c r="N43" s="67" t="s">
        <v>51</v>
      </c>
      <c r="O43" s="27" t="s">
        <v>1632</v>
      </c>
      <c r="P43" s="33" t="s">
        <v>22</v>
      </c>
      <c r="Q43" s="60">
        <f>IFERROR(IF(12 / VLOOKUP(Table2[[#This Row],[Rateizzazione]],TIPI_RATEIZZAZIONI,2,FALSE) &gt;=1,  IF(Table2[[#This Row],[Data attivazione]] = "","-",MONTH(Table2[[#This Row],[Data attivazione]])),"-"),"-")</f>
        <v>3</v>
      </c>
      <c r="R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" s="67" t="s">
        <v>2</v>
      </c>
      <c r="V43" s="62"/>
      <c r="W43" s="64">
        <v>39165</v>
      </c>
      <c r="X43" s="29">
        <f>DATE(YEAR(Table2[[#This Row],[Data attivazione]])+VLOOKUP(Table2[[#This Row],[Durata]],VALORE_DURATA,2,FALSE),MONTH(Table2[[#This Row],[Data attivazione]]),DAY(Table2[[#This Row],[Data attivazione]]))</f>
        <v>42818</v>
      </c>
      <c r="Y43" s="65"/>
      <c r="Z43" s="61"/>
      <c r="AA43" s="64" t="s">
        <v>88</v>
      </c>
      <c r="AB43" s="29" t="str">
        <f>IF(Table2[[#This Row],[Data ultimo versamento temp]]=0/1/1900,"-",Table2[[#This Row],[Data ultimo versamento temp]])</f>
        <v>-</v>
      </c>
      <c r="AC43" s="29">
        <f t="array" ref="AC43">MAX(IF(TableVersamenti[Polizza]=Table2[[#This Row],[Polizza]],TableVersamenti[Data prevista versamento],"-"))</f>
        <v>0</v>
      </c>
      <c r="AD43" s="62"/>
      <c r="AE43" s="106">
        <f>DATE(YEAR(Table2[[#This Row],[Data ultimo pagamento]]),MONTH(Table2[[#This Row],[Data ultimo pagamento]]), 1)</f>
        <v>42644</v>
      </c>
      <c r="AF43" s="106">
        <f>DATE(YEAR(Table2[[#This Row],[Data prossima scadenza]]),MONTH(Table2[[#This Row],[Data prossima scadenza]]), 1)</f>
        <v>42795</v>
      </c>
      <c r="AG43" s="33">
        <f>IFERROR(Table2[[#This Row],[Importo annuale]]*VLOOKUP(Table2[[#This Row],[Ramo]],RAMI_POLIZZA,2,FALSE),0)</f>
        <v>1.8653999999999999</v>
      </c>
      <c r="AH43" s="65" t="s">
        <v>113</v>
      </c>
      <c r="AI43" s="63" t="str">
        <f>IFERROR(VLOOKUP(Table2[[#This Row],[Contraente]],Table1[[Nome/Ragione sociale]:[Checkbox selezionato]],2,FALSE),"-")</f>
        <v>VIDIGULFO</v>
      </c>
      <c r="AJ43" s="63">
        <f>IFERROR(VLOOKUP(Table2[[#This Row],[Contraente]],Table1[[Nome/Ragione sociale]:[Checkbox selezionato]],3,FALSE),"-")</f>
        <v>3287956453</v>
      </c>
      <c r="AK43" s="63">
        <f>IFERROR(VLOOKUP(Table2[[#This Row],[Contraente]],Table1[[Nome/Ragione sociale]:[Checkbox selezionato]],4,FALSE),"-")</f>
        <v>0</v>
      </c>
      <c r="AL43" s="63" t="str">
        <f>IFERROR(VLOOKUP(Table2[[#This Row],[Contraente]],Table1[[Nome/Ragione sociale]:[Checkbox selezionato]],5,FALSE),"-")</f>
        <v>SABINA</v>
      </c>
      <c r="AM43" s="62">
        <f>IFERROR(VLOOKUP(Table2[[#This Row],[Contraente]],Table1[[Nome/Ragione sociale]:[Checkbox selezionato]],6,FALSE),"-")</f>
        <v>25536</v>
      </c>
      <c r="AN43" s="63" t="str">
        <f>IFERROR(VLOOKUP(Table2[[#This Row],[Contraente]],Table1[[Nome/Ragione sociale]:[Checkbox selezionato]],7,FALSE),"-")</f>
        <v>papies@email.it</v>
      </c>
      <c r="AO43" s="63">
        <f>IFERROR(VLOOKUP(Table2[[#This Row],[Contraente]],Table1[[Nome/Ragione sociale]:[Checkbox selezionato]],8,FALSE),"-")</f>
        <v>0</v>
      </c>
      <c r="AP43" s="63">
        <f>IFERROR(VLOOKUP(Table2[[#This Row],[Contraente]],Table1[[Nome/Ragione sociale]:[Checkbox selezionato]],10,FALSE),"-")</f>
        <v>3287956453</v>
      </c>
      <c r="AQ43" s="63" t="str">
        <f>IFERROR(VLOOKUP(Table2[[#This Row],[Contraente]],Table1[[Nome/Ragione sociale]:[Checkbox selezionato]],11,FALSE),"-")</f>
        <v>SI</v>
      </c>
      <c r="AR43" s="63" t="str">
        <f>IFERROR(VLOOKUP(Table2[[#This Row],[Contraente]],Table1[[Nome/Ragione sociale]:[Checkbox selezionato]],12,FALSE),"-")</f>
        <v>SI</v>
      </c>
    </row>
    <row r="44" spans="1:44" ht="30" hidden="1" customHeight="1" x14ac:dyDescent="0.25">
      <c r="A44" s="60" t="str">
        <f>UPPER(LEFT(Table2[[#This Row],[Contraente]],1))</f>
        <v>A</v>
      </c>
      <c r="B44" s="60" t="s">
        <v>1634</v>
      </c>
      <c r="C44" s="81" t="s">
        <v>272</v>
      </c>
      <c r="D44" s="80" t="s">
        <v>37</v>
      </c>
      <c r="E44" s="86">
        <v>106929489</v>
      </c>
      <c r="F44" s="64">
        <v>42886</v>
      </c>
      <c r="G44" s="64">
        <f>IFERROR(CALCOLASCADENZA(Table2[[#This Row],[Data attivazione]],Table2[[#This Row],[Rateizzazione]],Table2[[#This Row],[Data ultimo pagamento]],Table2[[#This Row],[Data prossima scadenza manuale]]),"-")</f>
        <v>43251</v>
      </c>
      <c r="H44" s="67" t="s">
        <v>31</v>
      </c>
      <c r="I44" s="67" t="s">
        <v>1742</v>
      </c>
      <c r="J44" s="33">
        <f>IFERROR(Table2[[#This Row],[Importo annuale]]/(12/VLOOKUP(Table2[[#This Row],[Rateizzazione]],TIPI_RATEIZZAZIONI,2,FALSE)),"-")</f>
        <v>420.4</v>
      </c>
      <c r="K44" s="88">
        <v>420.4</v>
      </c>
      <c r="L44" s="88">
        <v>420.4</v>
      </c>
      <c r="M44" s="67" t="s">
        <v>44</v>
      </c>
      <c r="N44" s="67" t="s">
        <v>52</v>
      </c>
      <c r="O44" s="27" t="s">
        <v>1631</v>
      </c>
      <c r="P44" s="33" t="s">
        <v>23</v>
      </c>
      <c r="Q44" s="60">
        <f>IFERROR(IF(12 / VLOOKUP(Table2[[#This Row],[Rateizzazione]],TIPI_RATEIZZAZIONI,2,FALSE) &gt;=1,  IF(Table2[[#This Row],[Data attivazione]] = "","-",MONTH(Table2[[#This Row],[Data attivazione]])),"-"),"-")</f>
        <v>5</v>
      </c>
      <c r="R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" s="67" t="s">
        <v>133</v>
      </c>
      <c r="V44" s="62"/>
      <c r="W44" s="64">
        <v>42886</v>
      </c>
      <c r="X44" s="29">
        <f>DATE(YEAR(Table2[[#This Row],[Data attivazione]])+VLOOKUP(Table2[[#This Row],[Durata]],VALORE_DURATA,2,FALSE),MONTH(Table2[[#This Row],[Data attivazione]]),DAY(Table2[[#This Row],[Data attivazione]]))</f>
        <v>43251</v>
      </c>
      <c r="Y44" s="65"/>
      <c r="Z44" s="61"/>
      <c r="AA44" s="64" t="s">
        <v>85</v>
      </c>
      <c r="AB44" s="29" t="str">
        <f>IF(Table2[[#This Row],[Data ultimo versamento temp]]=0/1/1900,"-",Table2[[#This Row],[Data ultimo versamento temp]])</f>
        <v>-</v>
      </c>
      <c r="AC44" s="29">
        <f t="array" ref="AC44">MAX(IF(TableVersamenti[Polizza]=Table2[[#This Row],[Polizza]],TableVersamenti[Data prevista versamento],"-"))</f>
        <v>0</v>
      </c>
      <c r="AD44" s="62"/>
      <c r="AE44" s="106">
        <f>DATE(YEAR(Table2[[#This Row],[Data ultimo pagamento]]),MONTH(Table2[[#This Row],[Data ultimo pagamento]]), 1)</f>
        <v>42856</v>
      </c>
      <c r="AF44" s="106">
        <f>DATE(YEAR(Table2[[#This Row],[Data prossima scadenza]]),MONTH(Table2[[#This Row],[Data prossima scadenza]]), 1)</f>
        <v>43221</v>
      </c>
      <c r="AG44" s="33">
        <f>IFERROR(Table2[[#This Row],[Importo annuale]]*VLOOKUP(Table2[[#This Row],[Ramo]],RAMI_POLIZZA,2,FALSE),0)</f>
        <v>21.860799999999998</v>
      </c>
      <c r="AH44" s="65" t="s">
        <v>113</v>
      </c>
      <c r="AI44" s="63" t="str">
        <f>IFERROR(VLOOKUP(Table2[[#This Row],[Contraente]],Table1[[Nome/Ragione sociale]:[Checkbox selezionato]],2,FALSE),"-")</f>
        <v>ZIANO PIACENTINO</v>
      </c>
      <c r="AJ44" s="63">
        <f>IFERROR(VLOOKUP(Table2[[#This Row],[Contraente]],Table1[[Nome/Ragione sociale]:[Checkbox selezionato]],3,FALSE),"-")</f>
        <v>3488711029</v>
      </c>
      <c r="AK44" s="63" t="str">
        <f>IFERROR(VLOOKUP(Table2[[#This Row],[Contraente]],Table1[[Nome/Ragione sociale]:[Checkbox selezionato]],4,FALSE),"-")</f>
        <v>.0523863476</v>
      </c>
      <c r="AL44" s="63" t="str">
        <f>IFERROR(VLOOKUP(Table2[[#This Row],[Contraente]],Table1[[Nome/Ragione sociale]:[Checkbox selezionato]],5,FALSE),"-")</f>
        <v>ATTILIO</v>
      </c>
      <c r="AM44" s="62">
        <f>IFERROR(VLOOKUP(Table2[[#This Row],[Contraente]],Table1[[Nome/Ragione sociale]:[Checkbox selezionato]],6,FALSE),"-")</f>
        <v>31219</v>
      </c>
      <c r="AN44" s="63" t="str">
        <f>IFERROR(VLOOKUP(Table2[[#This Row],[Contraente]],Table1[[Nome/Ragione sociale]:[Checkbox selezionato]],7,FALSE),"-")</f>
        <v>papies@libero.it</v>
      </c>
      <c r="AO44" s="63">
        <f>IFERROR(VLOOKUP(Table2[[#This Row],[Contraente]],Table1[[Nome/Ragione sociale]:[Checkbox selezionato]],8,FALSE),"-")</f>
        <v>0</v>
      </c>
      <c r="AP44" s="63">
        <f>IFERROR(VLOOKUP(Table2[[#This Row],[Contraente]],Table1[[Nome/Ragione sociale]:[Checkbox selezionato]],10,FALSE),"-")</f>
        <v>3488711029</v>
      </c>
      <c r="AQ44" s="63" t="str">
        <f>IFERROR(VLOOKUP(Table2[[#This Row],[Contraente]],Table1[[Nome/Ragione sociale]:[Checkbox selezionato]],11,FALSE),"-")</f>
        <v>SI</v>
      </c>
      <c r="AR44" s="63" t="str">
        <f>IFERROR(VLOOKUP(Table2[[#This Row],[Contraente]],Table1[[Nome/Ragione sociale]:[Checkbox selezionato]],12,FALSE),"-")</f>
        <v>SI</v>
      </c>
    </row>
    <row r="45" spans="1:44" ht="30" hidden="1" customHeight="1" x14ac:dyDescent="0.25">
      <c r="A45" s="60" t="str">
        <f>UPPER(LEFT(Table2[[#This Row],[Contraente]],1))</f>
        <v>A</v>
      </c>
      <c r="B45" s="60" t="s">
        <v>1634</v>
      </c>
      <c r="C45" s="81" t="s">
        <v>272</v>
      </c>
      <c r="D45" s="80" t="s">
        <v>37</v>
      </c>
      <c r="E45" s="86">
        <v>1082846</v>
      </c>
      <c r="F45" s="64">
        <v>42901</v>
      </c>
      <c r="G45" s="64">
        <f>IFERROR(CALCOLASCADENZA(Table2[[#This Row],[Data attivazione]],Table2[[#This Row],[Rateizzazione]],Table2[[#This Row],[Data ultimo pagamento]],Table2[[#This Row],[Data prossima scadenza manuale]]),"-")</f>
        <v>43103</v>
      </c>
      <c r="H45" s="67" t="s">
        <v>32</v>
      </c>
      <c r="I45" s="67" t="s">
        <v>113</v>
      </c>
      <c r="J45" s="33">
        <f>IFERROR(Table2[[#This Row],[Importo annuale]]/(12/VLOOKUP(Table2[[#This Row],[Rateizzazione]],TIPI_RATEIZZAZIONI,2,FALSE)),"-")</f>
        <v>102.49</v>
      </c>
      <c r="K45" s="88">
        <v>204.98</v>
      </c>
      <c r="L45" s="88">
        <v>204.98</v>
      </c>
      <c r="M45" s="67" t="s">
        <v>44</v>
      </c>
      <c r="N45" s="67" t="s">
        <v>52</v>
      </c>
      <c r="O45" s="27" t="s">
        <v>1631</v>
      </c>
      <c r="P45" s="33" t="s">
        <v>22</v>
      </c>
      <c r="Q45" s="60">
        <f>IFERROR(IF(12 / VLOOKUP(Table2[[#This Row],[Rateizzazione]],TIPI_RATEIZZAZIONI,2,FALSE) &gt;=1,  IF(Table2[[#This Row],[Data attivazione]] = "","-",MONTH(Table2[[#This Row],[Data attivazione]])),"-"),"-")</f>
        <v>1</v>
      </c>
      <c r="R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" s="67" t="s">
        <v>133</v>
      </c>
      <c r="V45" s="62"/>
      <c r="W45" s="64">
        <v>42738</v>
      </c>
      <c r="X45" s="29">
        <f>DATE(YEAR(Table2[[#This Row],[Data attivazione]])+VLOOKUP(Table2[[#This Row],[Durata]],VALORE_DURATA,2,FALSE),MONTH(Table2[[#This Row],[Data attivazione]]),DAY(Table2[[#This Row],[Data attivazione]]))</f>
        <v>43103</v>
      </c>
      <c r="Y45" s="65"/>
      <c r="Z45" s="61"/>
      <c r="AA45" s="64" t="s">
        <v>85</v>
      </c>
      <c r="AB45" s="29" t="str">
        <f>IF(Table2[[#This Row],[Data ultimo versamento temp]]=0/1/1900,"-",Table2[[#This Row],[Data ultimo versamento temp]])</f>
        <v>-</v>
      </c>
      <c r="AC45" s="29">
        <f t="array" ref="AC45">MAX(IF(TableVersamenti[Polizza]=Table2[[#This Row],[Polizza]],TableVersamenti[Data prevista versamento],"-"))</f>
        <v>0</v>
      </c>
      <c r="AD45" s="62"/>
      <c r="AE45" s="106">
        <f>DATE(YEAR(Table2[[#This Row],[Data ultimo pagamento]]),MONTH(Table2[[#This Row],[Data ultimo pagamento]]), 1)</f>
        <v>42887</v>
      </c>
      <c r="AF45" s="106">
        <f>DATE(YEAR(Table2[[#This Row],[Data prossima scadenza]]),MONTH(Table2[[#This Row],[Data prossima scadenza]]), 1)</f>
        <v>43101</v>
      </c>
      <c r="AG45" s="33">
        <f>IFERROR(Table2[[#This Row],[Importo annuale]]*VLOOKUP(Table2[[#This Row],[Ramo]],RAMI_POLIZZA,2,FALSE),0)</f>
        <v>3.0746999999999995</v>
      </c>
      <c r="AH45" s="65" t="s">
        <v>113</v>
      </c>
      <c r="AI45" s="63" t="str">
        <f>IFERROR(VLOOKUP(Table2[[#This Row],[Contraente]],Table1[[Nome/Ragione sociale]:[Checkbox selezionato]],2,FALSE),"-")</f>
        <v>ZIANO PIACENTINO</v>
      </c>
      <c r="AJ45" s="63">
        <f>IFERROR(VLOOKUP(Table2[[#This Row],[Contraente]],Table1[[Nome/Ragione sociale]:[Checkbox selezionato]],3,FALSE),"-")</f>
        <v>3488711029</v>
      </c>
      <c r="AK45" s="63" t="str">
        <f>IFERROR(VLOOKUP(Table2[[#This Row],[Contraente]],Table1[[Nome/Ragione sociale]:[Checkbox selezionato]],4,FALSE),"-")</f>
        <v>.0523863476</v>
      </c>
      <c r="AL45" s="63" t="str">
        <f>IFERROR(VLOOKUP(Table2[[#This Row],[Contraente]],Table1[[Nome/Ragione sociale]:[Checkbox selezionato]],5,FALSE),"-")</f>
        <v>ATTILIO</v>
      </c>
      <c r="AM45" s="62">
        <f>IFERROR(VLOOKUP(Table2[[#This Row],[Contraente]],Table1[[Nome/Ragione sociale]:[Checkbox selezionato]],6,FALSE),"-")</f>
        <v>31219</v>
      </c>
      <c r="AN45" s="63" t="str">
        <f>IFERROR(VLOOKUP(Table2[[#This Row],[Contraente]],Table1[[Nome/Ragione sociale]:[Checkbox selezionato]],7,FALSE),"-")</f>
        <v>papies@libero.it</v>
      </c>
      <c r="AO45" s="63">
        <f>IFERROR(VLOOKUP(Table2[[#This Row],[Contraente]],Table1[[Nome/Ragione sociale]:[Checkbox selezionato]],8,FALSE),"-")</f>
        <v>0</v>
      </c>
      <c r="AP45" s="63">
        <f>IFERROR(VLOOKUP(Table2[[#This Row],[Contraente]],Table1[[Nome/Ragione sociale]:[Checkbox selezionato]],10,FALSE),"-")</f>
        <v>3488711029</v>
      </c>
      <c r="AQ45" s="63" t="str">
        <f>IFERROR(VLOOKUP(Table2[[#This Row],[Contraente]],Table1[[Nome/Ragione sociale]:[Checkbox selezionato]],11,FALSE),"-")</f>
        <v>SI</v>
      </c>
      <c r="AR45" s="63" t="str">
        <f>IFERROR(VLOOKUP(Table2[[#This Row],[Contraente]],Table1[[Nome/Ragione sociale]:[Checkbox selezionato]],12,FALSE),"-")</f>
        <v>SI</v>
      </c>
    </row>
    <row r="46" spans="1:44" ht="30" hidden="1" customHeight="1" x14ac:dyDescent="0.25">
      <c r="A46" s="60" t="str">
        <f>UPPER(LEFT(Table2[[#This Row],[Contraente]],1))</f>
        <v>A</v>
      </c>
      <c r="B46" s="60" t="s">
        <v>1634</v>
      </c>
      <c r="C46" s="81" t="s">
        <v>272</v>
      </c>
      <c r="D46" s="80" t="s">
        <v>37</v>
      </c>
      <c r="E46" s="86">
        <v>106389160</v>
      </c>
      <c r="F46" s="64">
        <v>42901</v>
      </c>
      <c r="G46" s="64">
        <f>IFERROR(CALCOLASCADENZA(Table2[[#This Row],[Data attivazione]],Table2[[#This Row],[Rateizzazione]],Table2[[#This Row],[Data ultimo pagamento]],Table2[[#This Row],[Data prossima scadenza manuale]]),"-")</f>
        <v>43103</v>
      </c>
      <c r="H46" s="67" t="s">
        <v>30</v>
      </c>
      <c r="I46" s="67" t="s">
        <v>113</v>
      </c>
      <c r="J46" s="33">
        <f>IFERROR(Table2[[#This Row],[Importo annuale]]/(12/VLOOKUP(Table2[[#This Row],[Rateizzazione]],TIPI_RATEIZZAZIONI,2,FALSE)),"-")</f>
        <v>117</v>
      </c>
      <c r="K46" s="88">
        <v>234</v>
      </c>
      <c r="L46" s="88">
        <v>234</v>
      </c>
      <c r="M46" s="67" t="s">
        <v>43</v>
      </c>
      <c r="N46" s="67" t="s">
        <v>52</v>
      </c>
      <c r="O46" s="27" t="s">
        <v>1631</v>
      </c>
      <c r="P46" s="33" t="s">
        <v>22</v>
      </c>
      <c r="Q46" s="60">
        <f>IFERROR(IF(12 / VLOOKUP(Table2[[#This Row],[Rateizzazione]],TIPI_RATEIZZAZIONI,2,FALSE) &gt;=1,  IF(Table2[[#This Row],[Data attivazione]] = "","-",MONTH(Table2[[#This Row],[Data attivazione]])),"-"),"-")</f>
        <v>1</v>
      </c>
      <c r="R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" s="67" t="s">
        <v>133</v>
      </c>
      <c r="V46" s="62"/>
      <c r="W46" s="64">
        <v>42738</v>
      </c>
      <c r="X46" s="29">
        <f>DATE(YEAR(Table2[[#This Row],[Data attivazione]])+VLOOKUP(Table2[[#This Row],[Durata]],VALORE_DURATA,2,FALSE),MONTH(Table2[[#This Row],[Data attivazione]]),DAY(Table2[[#This Row],[Data attivazione]]))</f>
        <v>43103</v>
      </c>
      <c r="Y46" s="65"/>
      <c r="Z46" s="61"/>
      <c r="AA46" s="64" t="s">
        <v>85</v>
      </c>
      <c r="AB46" s="29" t="str">
        <f>IF(Table2[[#This Row],[Data ultimo versamento temp]]=0/1/1900,"-",Table2[[#This Row],[Data ultimo versamento temp]])</f>
        <v>-</v>
      </c>
      <c r="AC46" s="29">
        <f t="array" ref="AC46">MAX(IF(TableVersamenti[Polizza]=Table2[[#This Row],[Polizza]],TableVersamenti[Data prevista versamento],"-"))</f>
        <v>0</v>
      </c>
      <c r="AD46" s="62"/>
      <c r="AE46" s="106">
        <f>DATE(YEAR(Table2[[#This Row],[Data ultimo pagamento]]),MONTH(Table2[[#This Row],[Data ultimo pagamento]]), 1)</f>
        <v>42887</v>
      </c>
      <c r="AF46" s="106">
        <f>DATE(YEAR(Table2[[#This Row],[Data prossima scadenza]]),MONTH(Table2[[#This Row],[Data prossima scadenza]]), 1)</f>
        <v>43101</v>
      </c>
      <c r="AG46" s="33">
        <f>IFERROR(Table2[[#This Row],[Importo annuale]]*VLOOKUP(Table2[[#This Row],[Ramo]],RAMI_POLIZZA,2,FALSE),0)</f>
        <v>26.91</v>
      </c>
      <c r="AH46" s="65" t="s">
        <v>113</v>
      </c>
      <c r="AI46" s="63" t="str">
        <f>IFERROR(VLOOKUP(Table2[[#This Row],[Contraente]],Table1[[Nome/Ragione sociale]:[Checkbox selezionato]],2,FALSE),"-")</f>
        <v>ZIANO PIACENTINO</v>
      </c>
      <c r="AJ46" s="63">
        <f>IFERROR(VLOOKUP(Table2[[#This Row],[Contraente]],Table1[[Nome/Ragione sociale]:[Checkbox selezionato]],3,FALSE),"-")</f>
        <v>3488711029</v>
      </c>
      <c r="AK46" s="63" t="str">
        <f>IFERROR(VLOOKUP(Table2[[#This Row],[Contraente]],Table1[[Nome/Ragione sociale]:[Checkbox selezionato]],4,FALSE),"-")</f>
        <v>.0523863476</v>
      </c>
      <c r="AL46" s="63" t="str">
        <f>IFERROR(VLOOKUP(Table2[[#This Row],[Contraente]],Table1[[Nome/Ragione sociale]:[Checkbox selezionato]],5,FALSE),"-")</f>
        <v>ATTILIO</v>
      </c>
      <c r="AM46" s="62">
        <f>IFERROR(VLOOKUP(Table2[[#This Row],[Contraente]],Table1[[Nome/Ragione sociale]:[Checkbox selezionato]],6,FALSE),"-")</f>
        <v>31219</v>
      </c>
      <c r="AN46" s="63" t="str">
        <f>IFERROR(VLOOKUP(Table2[[#This Row],[Contraente]],Table1[[Nome/Ragione sociale]:[Checkbox selezionato]],7,FALSE),"-")</f>
        <v>papies@libero.it</v>
      </c>
      <c r="AO46" s="63">
        <f>IFERROR(VLOOKUP(Table2[[#This Row],[Contraente]],Table1[[Nome/Ragione sociale]:[Checkbox selezionato]],8,FALSE),"-")</f>
        <v>0</v>
      </c>
      <c r="AP46" s="63">
        <f>IFERROR(VLOOKUP(Table2[[#This Row],[Contraente]],Table1[[Nome/Ragione sociale]:[Checkbox selezionato]],10,FALSE),"-")</f>
        <v>3488711029</v>
      </c>
      <c r="AQ46" s="63" t="str">
        <f>IFERROR(VLOOKUP(Table2[[#This Row],[Contraente]],Table1[[Nome/Ragione sociale]:[Checkbox selezionato]],11,FALSE),"-")</f>
        <v>SI</v>
      </c>
      <c r="AR46" s="63" t="str">
        <f>IFERROR(VLOOKUP(Table2[[#This Row],[Contraente]],Table1[[Nome/Ragione sociale]:[Checkbox selezionato]],12,FALSE),"-")</f>
        <v>SI</v>
      </c>
    </row>
    <row r="47" spans="1:44" ht="30" hidden="1" customHeight="1" x14ac:dyDescent="0.25">
      <c r="A47" s="60" t="str">
        <f>UPPER(LEFT(Table2[[#This Row],[Contraente]],1))</f>
        <v>A</v>
      </c>
      <c r="B47" s="60" t="s">
        <v>1634</v>
      </c>
      <c r="C47" s="81" t="s">
        <v>1703</v>
      </c>
      <c r="D47" s="80" t="s">
        <v>37</v>
      </c>
      <c r="E47" s="86">
        <v>106976174</v>
      </c>
      <c r="F47" s="64">
        <v>42899</v>
      </c>
      <c r="G47" s="64">
        <f>IFERROR(CALCOLASCADENZA(Table2[[#This Row],[Data attivazione]],Table2[[#This Row],[Rateizzazione]],Table2[[#This Row],[Data ultimo pagamento]],Table2[[#This Row],[Data prossima scadenza manuale]]),"-")</f>
        <v>43264</v>
      </c>
      <c r="H47" s="67" t="s">
        <v>31</v>
      </c>
      <c r="I47" s="67" t="s">
        <v>1743</v>
      </c>
      <c r="J47" s="33">
        <f>IFERROR(Table2[[#This Row],[Importo annuale]]/(12/VLOOKUP(Table2[[#This Row],[Rateizzazione]],TIPI_RATEIZZAZIONI,2,FALSE)),"-")</f>
        <v>100</v>
      </c>
      <c r="K47" s="88">
        <v>100</v>
      </c>
      <c r="L47" s="88">
        <v>100</v>
      </c>
      <c r="M47" s="67" t="s">
        <v>44</v>
      </c>
      <c r="N47" s="67" t="s">
        <v>52</v>
      </c>
      <c r="O47" s="27" t="s">
        <v>1631</v>
      </c>
      <c r="P47" s="33" t="s">
        <v>23</v>
      </c>
      <c r="Q47" s="60">
        <f>IFERROR(IF(12 / VLOOKUP(Table2[[#This Row],[Rateizzazione]],TIPI_RATEIZZAZIONI,2,FALSE) &gt;=1,  IF(Table2[[#This Row],[Data attivazione]] = "","-",MONTH(Table2[[#This Row],[Data attivazione]])),"-"),"-")</f>
        <v>6</v>
      </c>
      <c r="R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" s="67" t="s">
        <v>133</v>
      </c>
      <c r="V47" s="62"/>
      <c r="W47" s="64">
        <v>42899</v>
      </c>
      <c r="X47" s="29">
        <f>DATE(YEAR(Table2[[#This Row],[Data attivazione]])+VLOOKUP(Table2[[#This Row],[Durata]],VALORE_DURATA,2,FALSE),MONTH(Table2[[#This Row],[Data attivazione]]),DAY(Table2[[#This Row],[Data attivazione]]))</f>
        <v>43264</v>
      </c>
      <c r="Y47" s="65"/>
      <c r="Z47" s="61"/>
      <c r="AA47" s="64" t="s">
        <v>85</v>
      </c>
      <c r="AB47" s="29" t="str">
        <f>IF(Table2[[#This Row],[Data ultimo versamento temp]]=0/1/1900,"-",Table2[[#This Row],[Data ultimo versamento temp]])</f>
        <v>-</v>
      </c>
      <c r="AC47" s="29">
        <f t="array" ref="AC47">MAX(IF(TableVersamenti[Polizza]=Table2[[#This Row],[Polizza]],TableVersamenti[Data prevista versamento],"-"))</f>
        <v>0</v>
      </c>
      <c r="AD47" s="62"/>
      <c r="AE47" s="106">
        <f>DATE(YEAR(Table2[[#This Row],[Data ultimo pagamento]]),MONTH(Table2[[#This Row],[Data ultimo pagamento]]), 1)</f>
        <v>42887</v>
      </c>
      <c r="AF47" s="106">
        <f>DATE(YEAR(Table2[[#This Row],[Data prossima scadenza]]),MONTH(Table2[[#This Row],[Data prossima scadenza]]), 1)</f>
        <v>43252</v>
      </c>
      <c r="AG47" s="33">
        <f>IFERROR(Table2[[#This Row],[Importo annuale]]*VLOOKUP(Table2[[#This Row],[Ramo]],RAMI_POLIZZA,2,FALSE),0)</f>
        <v>5.2</v>
      </c>
      <c r="AH47" s="65" t="s">
        <v>113</v>
      </c>
      <c r="AI47" s="63" t="str">
        <f>IFERROR(VLOOKUP(Table2[[#This Row],[Contraente]],Table1[[Nome/Ragione sociale]:[Checkbox selezionato]],2,FALSE),"-")</f>
        <v>ZIANO PIACENTINO</v>
      </c>
      <c r="AJ47" s="63">
        <f>IFERROR(VLOOKUP(Table2[[#This Row],[Contraente]],Table1[[Nome/Ragione sociale]:[Checkbox selezionato]],3,FALSE),"-")</f>
        <v>3488711029</v>
      </c>
      <c r="AK47" s="63" t="str">
        <f>IFERROR(VLOOKUP(Table2[[#This Row],[Contraente]],Table1[[Nome/Ragione sociale]:[Checkbox selezionato]],4,FALSE),"-")</f>
        <v>.0523863476</v>
      </c>
      <c r="AL47" s="63" t="str">
        <f>IFERROR(VLOOKUP(Table2[[#This Row],[Contraente]],Table1[[Nome/Ragione sociale]:[Checkbox selezionato]],5,FALSE),"-")</f>
        <v>ATTILIO</v>
      </c>
      <c r="AM47" s="62">
        <f>IFERROR(VLOOKUP(Table2[[#This Row],[Contraente]],Table1[[Nome/Ragione sociale]:[Checkbox selezionato]],6,FALSE),"-")</f>
        <v>31219</v>
      </c>
      <c r="AN47" s="63" t="str">
        <f>IFERROR(VLOOKUP(Table2[[#This Row],[Contraente]],Table1[[Nome/Ragione sociale]:[Checkbox selezionato]],7,FALSE),"-")</f>
        <v>papies@libero.it</v>
      </c>
      <c r="AO47" s="63">
        <f>IFERROR(VLOOKUP(Table2[[#This Row],[Contraente]],Table1[[Nome/Ragione sociale]:[Checkbox selezionato]],8,FALSE),"-")</f>
        <v>0</v>
      </c>
      <c r="AP47" s="63">
        <f>IFERROR(VLOOKUP(Table2[[#This Row],[Contraente]],Table1[[Nome/Ragione sociale]:[Checkbox selezionato]],10,FALSE),"-")</f>
        <v>3488711029</v>
      </c>
      <c r="AQ47" s="63" t="str">
        <f>IFERROR(VLOOKUP(Table2[[#This Row],[Contraente]],Table1[[Nome/Ragione sociale]:[Checkbox selezionato]],11,FALSE),"-")</f>
        <v>SI</v>
      </c>
      <c r="AR47" s="63" t="str">
        <f>IFERROR(VLOOKUP(Table2[[#This Row],[Contraente]],Table1[[Nome/Ragione sociale]:[Checkbox selezionato]],12,FALSE),"-")</f>
        <v>SI</v>
      </c>
    </row>
    <row r="48" spans="1:44" ht="30" hidden="1" customHeight="1" x14ac:dyDescent="0.25">
      <c r="A48" s="60" t="str">
        <f>UPPER(LEFT(Table2[[#This Row],[Contraente]],1))</f>
        <v>A</v>
      </c>
      <c r="B48" s="60" t="s">
        <v>1634</v>
      </c>
      <c r="C48" s="81" t="s">
        <v>252</v>
      </c>
      <c r="D48" s="80" t="s">
        <v>37</v>
      </c>
      <c r="E48" s="86">
        <v>104194759</v>
      </c>
      <c r="F48" s="64">
        <v>42846</v>
      </c>
      <c r="G48" s="64">
        <f>IFERROR(CALCOLASCADENZA(Table2[[#This Row],[Data attivazione]],Table2[[#This Row],[Rateizzazione]],Table2[[#This Row],[Data ultimo pagamento]],Table2[[#This Row],[Data prossima scadenza manuale]]),"-")</f>
        <v>42935</v>
      </c>
      <c r="H48" s="67" t="s">
        <v>30</v>
      </c>
      <c r="I48" s="67" t="s">
        <v>113</v>
      </c>
      <c r="J48" s="33">
        <f>IFERROR(Table2[[#This Row],[Importo annuale]]/(12/VLOOKUP(Table2[[#This Row],[Rateizzazione]],TIPI_RATEIZZAZIONI,2,FALSE)),"-")</f>
        <v>188</v>
      </c>
      <c r="K48" s="88">
        <v>188</v>
      </c>
      <c r="L48" s="88">
        <v>564</v>
      </c>
      <c r="M48" s="67" t="s">
        <v>44</v>
      </c>
      <c r="N48" s="67" t="s">
        <v>51</v>
      </c>
      <c r="O48" s="27" t="s">
        <v>1631</v>
      </c>
      <c r="P48" s="33" t="s">
        <v>21</v>
      </c>
      <c r="Q48" s="60">
        <f>IFERROR(IF(12 / VLOOKUP(Table2[[#This Row],[Rateizzazione]],TIPI_RATEIZZAZIONI,2,FALSE) &gt;=1,  IF(Table2[[#This Row],[Data attivazione]] = "","-",MONTH(Table2[[#This Row],[Data attivazione]])),"-"),"-")</f>
        <v>7</v>
      </c>
      <c r="R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4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" s="67" t="s">
        <v>2</v>
      </c>
      <c r="V48" s="62"/>
      <c r="W48" s="64">
        <v>42570</v>
      </c>
      <c r="X48" s="29">
        <f>DATE(YEAR(Table2[[#This Row],[Data attivazione]])+VLOOKUP(Table2[[#This Row],[Durata]],VALORE_DURATA,2,FALSE),MONTH(Table2[[#This Row],[Data attivazione]]),DAY(Table2[[#This Row],[Data attivazione]]))</f>
        <v>42935</v>
      </c>
      <c r="Y48" s="65"/>
      <c r="Z48" s="61"/>
      <c r="AA48" s="64" t="s">
        <v>85</v>
      </c>
      <c r="AB48" s="29" t="str">
        <f>IF(Table2[[#This Row],[Data ultimo versamento temp]]=0/1/1900,"-",Table2[[#This Row],[Data ultimo versamento temp]])</f>
        <v>-</v>
      </c>
      <c r="AC48" s="29">
        <f t="array" ref="AC48">MAX(IF(TableVersamenti[Polizza]=Table2[[#This Row],[Polizza]],TableVersamenti[Data prevista versamento],"-"))</f>
        <v>0</v>
      </c>
      <c r="AD48" s="62"/>
      <c r="AE48" s="106">
        <f>DATE(YEAR(Table2[[#This Row],[Data ultimo pagamento]]),MONTH(Table2[[#This Row],[Data ultimo pagamento]]), 1)</f>
        <v>42826</v>
      </c>
      <c r="AF48" s="106">
        <f>DATE(YEAR(Table2[[#This Row],[Data prossima scadenza]]),MONTH(Table2[[#This Row],[Data prossima scadenza]]), 1)</f>
        <v>42917</v>
      </c>
      <c r="AG48" s="33">
        <f>IFERROR(Table2[[#This Row],[Importo annuale]]*VLOOKUP(Table2[[#This Row],[Ramo]],RAMI_POLIZZA,2,FALSE),0)</f>
        <v>64.86</v>
      </c>
      <c r="AH48" s="65" t="s">
        <v>113</v>
      </c>
      <c r="AI48" s="63" t="str">
        <f>IFERROR(VLOOKUP(Table2[[#This Row],[Contraente]],Table1[[Nome/Ragione sociale]:[Checkbox selezionato]],2,FALSE),"-")</f>
        <v>SANTA  CRISTINA</v>
      </c>
      <c r="AJ48" s="63">
        <f>IFERROR(VLOOKUP(Table2[[#This Row],[Contraente]],Table1[[Nome/Ragione sociale]:[Checkbox selezionato]],3,FALSE),"-")</f>
        <v>3356609130</v>
      </c>
      <c r="AK48" s="63">
        <f>IFERROR(VLOOKUP(Table2[[#This Row],[Contraente]],Table1[[Nome/Ragione sociale]:[Checkbox selezionato]],4,FALSE),"-")</f>
        <v>0</v>
      </c>
      <c r="AL48" s="63" t="str">
        <f>IFERROR(VLOOKUP(Table2[[#This Row],[Contraente]],Table1[[Nome/Ragione sociale]:[Checkbox selezionato]],5,FALSE),"-")</f>
        <v xml:space="preserve">GABRIELE </v>
      </c>
      <c r="AM48" s="62">
        <f>IFERROR(VLOOKUP(Table2[[#This Row],[Contraente]],Table1[[Nome/Ragione sociale]:[Checkbox selezionato]],6,FALSE),"-")</f>
        <v>24886</v>
      </c>
      <c r="AN48" s="63" t="str">
        <f>IFERROR(VLOOKUP(Table2[[#This Row],[Contraente]],Table1[[Nome/Ragione sociale]:[Checkbox selezionato]],7,FALSE),"-")</f>
        <v>papies@email.it</v>
      </c>
      <c r="AO48" s="63">
        <f>IFERROR(VLOOKUP(Table2[[#This Row],[Contraente]],Table1[[Nome/Ragione sociale]:[Checkbox selezionato]],8,FALSE),"-")</f>
        <v>0</v>
      </c>
      <c r="AP48" s="63">
        <f>IFERROR(VLOOKUP(Table2[[#This Row],[Contraente]],Table1[[Nome/Ragione sociale]:[Checkbox selezionato]],10,FALSE),"-")</f>
        <v>3356609130</v>
      </c>
      <c r="AQ48" s="63" t="str">
        <f>IFERROR(VLOOKUP(Table2[[#This Row],[Contraente]],Table1[[Nome/Ragione sociale]:[Checkbox selezionato]],11,FALSE),"-")</f>
        <v>SI</v>
      </c>
      <c r="AR48" s="63" t="str">
        <f>IFERROR(VLOOKUP(Table2[[#This Row],[Contraente]],Table1[[Nome/Ragione sociale]:[Checkbox selezionato]],12,FALSE),"-")</f>
        <v>SI</v>
      </c>
    </row>
    <row r="49" spans="1:44" ht="30" hidden="1" customHeight="1" x14ac:dyDescent="0.25">
      <c r="A49" s="60" t="str">
        <f>UPPER(LEFT(Table2[[#This Row],[Contraente]],1))</f>
        <v>A</v>
      </c>
      <c r="B49" s="60" t="s">
        <v>1634</v>
      </c>
      <c r="C49" s="81" t="s">
        <v>255</v>
      </c>
      <c r="D49" s="80" t="s">
        <v>37</v>
      </c>
      <c r="E49" s="86">
        <v>106365703</v>
      </c>
      <c r="F49" s="64">
        <v>42916</v>
      </c>
      <c r="G49" s="64">
        <f>IFERROR(CALCOLASCADENZA(Table2[[#This Row],[Data attivazione]],Table2[[#This Row],[Rateizzazione]],Table2[[#This Row],[Data ultimo pagamento]],Table2[[#This Row],[Data prossima scadenza manuale]]),"-")</f>
        <v>43086</v>
      </c>
      <c r="H49" s="67" t="s">
        <v>31</v>
      </c>
      <c r="I49" s="67" t="s">
        <v>1143</v>
      </c>
      <c r="J49" s="33">
        <f>IFERROR(Table2[[#This Row],[Importo annuale]]/(12/VLOOKUP(Table2[[#This Row],[Rateizzazione]],TIPI_RATEIZZAZIONI,2,FALSE)),"-")</f>
        <v>394</v>
      </c>
      <c r="K49" s="88">
        <v>394</v>
      </c>
      <c r="L49" s="88">
        <v>788</v>
      </c>
      <c r="M49" s="67" t="s">
        <v>44</v>
      </c>
      <c r="N49" s="67" t="s">
        <v>51</v>
      </c>
      <c r="O49" s="27" t="s">
        <v>1631</v>
      </c>
      <c r="P49" s="33" t="s">
        <v>22</v>
      </c>
      <c r="Q49" s="60">
        <f>IFERROR(IF(12 / VLOOKUP(Table2[[#This Row],[Rateizzazione]],TIPI_RATEIZZAZIONI,2,FALSE) &gt;=1,  IF(Table2[[#This Row],[Data attivazione]] = "","-",MONTH(Table2[[#This Row],[Data attivazione]])),"-"),"-")</f>
        <v>12</v>
      </c>
      <c r="R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" s="67" t="s">
        <v>2</v>
      </c>
      <c r="V49" s="62"/>
      <c r="W49" s="64">
        <v>42721</v>
      </c>
      <c r="X49" s="29">
        <f>DATE(YEAR(Table2[[#This Row],[Data attivazione]])+VLOOKUP(Table2[[#This Row],[Durata]],VALORE_DURATA,2,FALSE),MONTH(Table2[[#This Row],[Data attivazione]]),DAY(Table2[[#This Row],[Data attivazione]]))</f>
        <v>43086</v>
      </c>
      <c r="Y49" s="65"/>
      <c r="Z49" s="61"/>
      <c r="AA49" s="64" t="s">
        <v>85</v>
      </c>
      <c r="AB49" s="29" t="str">
        <f>IF(Table2[[#This Row],[Data ultimo versamento temp]]=0/1/1900,"-",Table2[[#This Row],[Data ultimo versamento temp]])</f>
        <v>-</v>
      </c>
      <c r="AC49" s="29">
        <f t="array" ref="AC49">MAX(IF(TableVersamenti[Polizza]=Table2[[#This Row],[Polizza]],TableVersamenti[Data prevista versamento],"-"))</f>
        <v>0</v>
      </c>
      <c r="AD49" s="62"/>
      <c r="AE49" s="106">
        <f>DATE(YEAR(Table2[[#This Row],[Data ultimo pagamento]]),MONTH(Table2[[#This Row],[Data ultimo pagamento]]), 1)</f>
        <v>42887</v>
      </c>
      <c r="AF49" s="106">
        <f>DATE(YEAR(Table2[[#This Row],[Data prossima scadenza]]),MONTH(Table2[[#This Row],[Data prossima scadenza]]), 1)</f>
        <v>43070</v>
      </c>
      <c r="AG49" s="33">
        <f>IFERROR(Table2[[#This Row],[Importo annuale]]*VLOOKUP(Table2[[#This Row],[Ramo]],RAMI_POLIZZA,2,FALSE),0)</f>
        <v>40.975999999999999</v>
      </c>
      <c r="AH49" s="65" t="s">
        <v>113</v>
      </c>
      <c r="AI49" s="63" t="str">
        <f>IFERROR(VLOOKUP(Table2[[#This Row],[Contraente]],Table1[[Nome/Ragione sociale]:[Checkbox selezionato]],2,FALSE),"-")</f>
        <v xml:space="preserve">FILIGHERA </v>
      </c>
      <c r="AJ49" s="63">
        <f>IFERROR(VLOOKUP(Table2[[#This Row],[Contraente]],Table1[[Nome/Ragione sociale]:[Checkbox selezionato]],3,FALSE),"-")</f>
        <v>3356609130</v>
      </c>
      <c r="AK49" s="63">
        <f>IFERROR(VLOOKUP(Table2[[#This Row],[Contraente]],Table1[[Nome/Ragione sociale]:[Checkbox selezionato]],4,FALSE),"-")</f>
        <v>0</v>
      </c>
      <c r="AL49" s="63" t="str">
        <f>IFERROR(VLOOKUP(Table2[[#This Row],[Contraente]],Table1[[Nome/Ragione sociale]:[Checkbox selezionato]],5,FALSE),"-")</f>
        <v xml:space="preserve">GABRIELE </v>
      </c>
      <c r="AM49" s="62">
        <f>IFERROR(VLOOKUP(Table2[[#This Row],[Contraente]],Table1[[Nome/Ragione sociale]:[Checkbox selezionato]],6,FALSE),"-")</f>
        <v>14635</v>
      </c>
      <c r="AN49" s="63" t="str">
        <f>IFERROR(VLOOKUP(Table2[[#This Row],[Contraente]],Table1[[Nome/Ragione sociale]:[Checkbox selezionato]],7,FALSE),"-")</f>
        <v>papies@libero.it</v>
      </c>
      <c r="AO49" s="63">
        <f>IFERROR(VLOOKUP(Table2[[#This Row],[Contraente]],Table1[[Nome/Ragione sociale]:[Checkbox selezionato]],8,FALSE),"-")</f>
        <v>0</v>
      </c>
      <c r="AP49" s="63">
        <f>IFERROR(VLOOKUP(Table2[[#This Row],[Contraente]],Table1[[Nome/Ragione sociale]:[Checkbox selezionato]],10,FALSE),"-")</f>
        <v>3356609130</v>
      </c>
      <c r="AQ49" s="63" t="str">
        <f>IFERROR(VLOOKUP(Table2[[#This Row],[Contraente]],Table1[[Nome/Ragione sociale]:[Checkbox selezionato]],11,FALSE),"-")</f>
        <v>SI</v>
      </c>
      <c r="AR49" s="63" t="str">
        <f>IFERROR(VLOOKUP(Table2[[#This Row],[Contraente]],Table1[[Nome/Ragione sociale]:[Checkbox selezionato]],12,FALSE),"-")</f>
        <v>SI</v>
      </c>
    </row>
    <row r="50" spans="1:44" ht="30" hidden="1" customHeight="1" x14ac:dyDescent="0.25">
      <c r="A50" s="60" t="str">
        <f>UPPER(LEFT(Table2[[#This Row],[Contraente]],1))</f>
        <v>A</v>
      </c>
      <c r="B50" s="60" t="s">
        <v>1634</v>
      </c>
      <c r="C50" s="81" t="s">
        <v>255</v>
      </c>
      <c r="D50" s="80" t="s">
        <v>37</v>
      </c>
      <c r="E50" s="86">
        <v>105324873</v>
      </c>
      <c r="F50" s="64">
        <v>42794</v>
      </c>
      <c r="G50" s="64">
        <f>IFERROR(CALCOLASCADENZA(Table2[[#This Row],[Data attivazione]],Table2[[#This Row],[Rateizzazione]],Table2[[#This Row],[Data ultimo pagamento]],Table2[[#This Row],[Data prossima scadenza manuale]]),"-")</f>
        <v>42969</v>
      </c>
      <c r="H50" s="67" t="s">
        <v>31</v>
      </c>
      <c r="I50" s="67" t="s">
        <v>1144</v>
      </c>
      <c r="J50" s="33">
        <f>IFERROR(Table2[[#This Row],[Importo annuale]]/(12/VLOOKUP(Table2[[#This Row],[Rateizzazione]],TIPI_RATEIZZAZIONI,2,FALSE)),"-")</f>
        <v>404</v>
      </c>
      <c r="K50" s="88">
        <v>404</v>
      </c>
      <c r="L50" s="88">
        <v>808</v>
      </c>
      <c r="M50" s="67" t="s">
        <v>44</v>
      </c>
      <c r="N50" s="67" t="s">
        <v>51</v>
      </c>
      <c r="O50" s="27" t="s">
        <v>1631</v>
      </c>
      <c r="P50" s="33" t="s">
        <v>22</v>
      </c>
      <c r="Q50" s="60">
        <f>IFERROR(IF(12 / VLOOKUP(Table2[[#This Row],[Rateizzazione]],TIPI_RATEIZZAZIONI,2,FALSE) &gt;=1,  IF(Table2[[#This Row],[Data attivazione]] = "","-",MONTH(Table2[[#This Row],[Data attivazione]])),"-"),"-")</f>
        <v>8</v>
      </c>
      <c r="R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" s="67" t="s">
        <v>2</v>
      </c>
      <c r="V50" s="62"/>
      <c r="W50" s="64">
        <v>42604</v>
      </c>
      <c r="X50" s="29">
        <f>DATE(YEAR(Table2[[#This Row],[Data attivazione]])+VLOOKUP(Table2[[#This Row],[Durata]],VALORE_DURATA,2,FALSE),MONTH(Table2[[#This Row],[Data attivazione]]),DAY(Table2[[#This Row],[Data attivazione]]))</f>
        <v>42969</v>
      </c>
      <c r="Y50" s="65"/>
      <c r="Z50" s="61"/>
      <c r="AA50" s="64" t="s">
        <v>85</v>
      </c>
      <c r="AB50" s="29" t="str">
        <f>IF(Table2[[#This Row],[Data ultimo versamento temp]]=0/1/1900,"-",Table2[[#This Row],[Data ultimo versamento temp]])</f>
        <v>-</v>
      </c>
      <c r="AC50" s="29">
        <f t="array" ref="AC50">MAX(IF(TableVersamenti[Polizza]=Table2[[#This Row],[Polizza]],TableVersamenti[Data prevista versamento],"-"))</f>
        <v>0</v>
      </c>
      <c r="AD50" s="62"/>
      <c r="AE50" s="106">
        <f>DATE(YEAR(Table2[[#This Row],[Data ultimo pagamento]]),MONTH(Table2[[#This Row],[Data ultimo pagamento]]), 1)</f>
        <v>42767</v>
      </c>
      <c r="AF50" s="106">
        <f>DATE(YEAR(Table2[[#This Row],[Data prossima scadenza]]),MONTH(Table2[[#This Row],[Data prossima scadenza]]), 1)</f>
        <v>42948</v>
      </c>
      <c r="AG50" s="33">
        <f>IFERROR(Table2[[#This Row],[Importo annuale]]*VLOOKUP(Table2[[#This Row],[Ramo]],RAMI_POLIZZA,2,FALSE),0)</f>
        <v>42.015999999999998</v>
      </c>
      <c r="AH50" s="65" t="s">
        <v>113</v>
      </c>
      <c r="AI50" s="63" t="str">
        <f>IFERROR(VLOOKUP(Table2[[#This Row],[Contraente]],Table1[[Nome/Ragione sociale]:[Checkbox selezionato]],2,FALSE),"-")</f>
        <v xml:space="preserve">FILIGHERA </v>
      </c>
      <c r="AJ50" s="63">
        <f>IFERROR(VLOOKUP(Table2[[#This Row],[Contraente]],Table1[[Nome/Ragione sociale]:[Checkbox selezionato]],3,FALSE),"-")</f>
        <v>3356609130</v>
      </c>
      <c r="AK50" s="63">
        <f>IFERROR(VLOOKUP(Table2[[#This Row],[Contraente]],Table1[[Nome/Ragione sociale]:[Checkbox selezionato]],4,FALSE),"-")</f>
        <v>0</v>
      </c>
      <c r="AL50" s="63" t="str">
        <f>IFERROR(VLOOKUP(Table2[[#This Row],[Contraente]],Table1[[Nome/Ragione sociale]:[Checkbox selezionato]],5,FALSE),"-")</f>
        <v xml:space="preserve">GABRIELE </v>
      </c>
      <c r="AM50" s="62">
        <f>IFERROR(VLOOKUP(Table2[[#This Row],[Contraente]],Table1[[Nome/Ragione sociale]:[Checkbox selezionato]],6,FALSE),"-")</f>
        <v>14635</v>
      </c>
      <c r="AN50" s="63" t="str">
        <f>IFERROR(VLOOKUP(Table2[[#This Row],[Contraente]],Table1[[Nome/Ragione sociale]:[Checkbox selezionato]],7,FALSE),"-")</f>
        <v>papies@libero.it</v>
      </c>
      <c r="AO50" s="63">
        <f>IFERROR(VLOOKUP(Table2[[#This Row],[Contraente]],Table1[[Nome/Ragione sociale]:[Checkbox selezionato]],8,FALSE),"-")</f>
        <v>0</v>
      </c>
      <c r="AP50" s="63">
        <f>IFERROR(VLOOKUP(Table2[[#This Row],[Contraente]],Table1[[Nome/Ragione sociale]:[Checkbox selezionato]],10,FALSE),"-")</f>
        <v>3356609130</v>
      </c>
      <c r="AQ50" s="63" t="str">
        <f>IFERROR(VLOOKUP(Table2[[#This Row],[Contraente]],Table1[[Nome/Ragione sociale]:[Checkbox selezionato]],11,FALSE),"-")</f>
        <v>SI</v>
      </c>
      <c r="AR50" s="63" t="str">
        <f>IFERROR(VLOOKUP(Table2[[#This Row],[Contraente]],Table1[[Nome/Ragione sociale]:[Checkbox selezionato]],12,FALSE),"-")</f>
        <v>SI</v>
      </c>
    </row>
    <row r="51" spans="1:44" ht="30" hidden="1" customHeight="1" x14ac:dyDescent="0.25">
      <c r="A51" s="60" t="str">
        <f>UPPER(LEFT(Table2[[#This Row],[Contraente]],1))</f>
        <v>A</v>
      </c>
      <c r="B51" s="60" t="s">
        <v>1634</v>
      </c>
      <c r="C51" s="81" t="s">
        <v>256</v>
      </c>
      <c r="D51" s="80" t="s">
        <v>37</v>
      </c>
      <c r="E51" s="86">
        <v>103379008</v>
      </c>
      <c r="F51" s="64">
        <v>42573</v>
      </c>
      <c r="G51" s="64">
        <f>IFERROR(CALCOLASCADENZA(Table2[[#This Row],[Data attivazione]],Table2[[#This Row],[Rateizzazione]],Table2[[#This Row],[Data ultimo pagamento]],Table2[[#This Row],[Data prossima scadenza manuale]]),"-")</f>
        <v>42938</v>
      </c>
      <c r="H51" s="67" t="s">
        <v>30</v>
      </c>
      <c r="I51" s="67" t="s">
        <v>113</v>
      </c>
      <c r="J51" s="33">
        <f>IFERROR(Table2[[#This Row],[Importo annuale]]/(12/VLOOKUP(Table2[[#This Row],[Rateizzazione]],TIPI_RATEIZZAZIONI,2,FALSE)),"-")</f>
        <v>95</v>
      </c>
      <c r="K51" s="88"/>
      <c r="L51" s="88">
        <v>95</v>
      </c>
      <c r="M51" s="67" t="s">
        <v>44</v>
      </c>
      <c r="N51" s="67" t="s">
        <v>51</v>
      </c>
      <c r="O51" s="27" t="s">
        <v>1631</v>
      </c>
      <c r="P51" s="33" t="s">
        <v>23</v>
      </c>
      <c r="Q51" s="60">
        <f>IFERROR(IF(12 / VLOOKUP(Table2[[#This Row],[Rateizzazione]],TIPI_RATEIZZAZIONI,2,FALSE) &gt;=1,  IF(Table2[[#This Row],[Data attivazione]] = "","-",MONTH(Table2[[#This Row],[Data attivazione]])),"-"),"-")</f>
        <v>7</v>
      </c>
      <c r="R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" s="67" t="s">
        <v>2</v>
      </c>
      <c r="V51" s="62"/>
      <c r="W51" s="64">
        <v>42573</v>
      </c>
      <c r="X51" s="29">
        <f>DATE(YEAR(Table2[[#This Row],[Data attivazione]])+VLOOKUP(Table2[[#This Row],[Durata]],VALORE_DURATA,2,FALSE),MONTH(Table2[[#This Row],[Data attivazione]]),DAY(Table2[[#This Row],[Data attivazione]]))</f>
        <v>42938</v>
      </c>
      <c r="Y51" s="65"/>
      <c r="Z51" s="61"/>
      <c r="AA51" s="64" t="s">
        <v>85</v>
      </c>
      <c r="AB51" s="29" t="str">
        <f>IF(Table2[[#This Row],[Data ultimo versamento temp]]=0/1/1900,"-",Table2[[#This Row],[Data ultimo versamento temp]])</f>
        <v>-</v>
      </c>
      <c r="AC51" s="29">
        <f t="array" ref="AC51">MAX(IF(TableVersamenti[Polizza]=Table2[[#This Row],[Polizza]],TableVersamenti[Data prevista versamento],"-"))</f>
        <v>0</v>
      </c>
      <c r="AD51" s="62"/>
      <c r="AE51" s="106">
        <f>DATE(YEAR(Table2[[#This Row],[Data ultimo pagamento]]),MONTH(Table2[[#This Row],[Data ultimo pagamento]]), 1)</f>
        <v>42552</v>
      </c>
      <c r="AF51" s="106">
        <f>DATE(YEAR(Table2[[#This Row],[Data prossima scadenza]]),MONTH(Table2[[#This Row],[Data prossima scadenza]]), 1)</f>
        <v>42917</v>
      </c>
      <c r="AG51" s="33">
        <f>IFERROR(Table2[[#This Row],[Importo annuale]]*VLOOKUP(Table2[[#This Row],[Ramo]],RAMI_POLIZZA,2,FALSE),0)</f>
        <v>10.925000000000001</v>
      </c>
      <c r="AH51" s="65" t="s">
        <v>113</v>
      </c>
      <c r="AI51" s="63" t="str">
        <f>IFERROR(VLOOKUP(Table2[[#This Row],[Contraente]],Table1[[Nome/Ragione sociale]:[Checkbox selezionato]],2,FALSE),"-")</f>
        <v>BELGIOIOSO</v>
      </c>
      <c r="AJ51" s="63">
        <f>IFERROR(VLOOKUP(Table2[[#This Row],[Contraente]],Table1[[Nome/Ragione sociale]:[Checkbox selezionato]],3,FALSE),"-")</f>
        <v>3899753670</v>
      </c>
      <c r="AK51" s="63">
        <f>IFERROR(VLOOKUP(Table2[[#This Row],[Contraente]],Table1[[Nome/Ragione sociale]:[Checkbox selezionato]],4,FALSE),"-")</f>
        <v>0</v>
      </c>
      <c r="AL51" s="63" t="str">
        <f>IFERROR(VLOOKUP(Table2[[#This Row],[Contraente]],Table1[[Nome/Ragione sociale]:[Checkbox selezionato]],5,FALSE),"-")</f>
        <v>TORTI (GENERO)</v>
      </c>
      <c r="AM51" s="62">
        <f>IFERROR(VLOOKUP(Table2[[#This Row],[Contraente]],Table1[[Nome/Ragione sociale]:[Checkbox selezionato]],6,FALSE),"-")</f>
        <v>13183</v>
      </c>
      <c r="AN51" s="63" t="str">
        <f>IFERROR(VLOOKUP(Table2[[#This Row],[Contraente]],Table1[[Nome/Ragione sociale]:[Checkbox selezionato]],7,FALSE),"-")</f>
        <v>papies@libero.it</v>
      </c>
      <c r="AO51" s="63">
        <f>IFERROR(VLOOKUP(Table2[[#This Row],[Contraente]],Table1[[Nome/Ragione sociale]:[Checkbox selezionato]],8,FALSE),"-")</f>
        <v>0</v>
      </c>
      <c r="AP51" s="63">
        <f>IFERROR(VLOOKUP(Table2[[#This Row],[Contraente]],Table1[[Nome/Ragione sociale]:[Checkbox selezionato]],10,FALSE),"-")</f>
        <v>3899753670</v>
      </c>
      <c r="AQ51" s="63" t="str">
        <f>IFERROR(VLOOKUP(Table2[[#This Row],[Contraente]],Table1[[Nome/Ragione sociale]:[Checkbox selezionato]],11,FALSE),"-")</f>
        <v>SI</v>
      </c>
      <c r="AR51" s="63" t="str">
        <f>IFERROR(VLOOKUP(Table2[[#This Row],[Contraente]],Table1[[Nome/Ragione sociale]:[Checkbox selezionato]],12,FALSE),"-")</f>
        <v>SI</v>
      </c>
    </row>
    <row r="52" spans="1:44" ht="30" hidden="1" customHeight="1" x14ac:dyDescent="0.25">
      <c r="A52" s="60" t="str">
        <f>UPPER(LEFT(Table2[[#This Row],[Contraente]],1))</f>
        <v>A</v>
      </c>
      <c r="B52" s="60" t="s">
        <v>1634</v>
      </c>
      <c r="C52" s="81" t="s">
        <v>258</v>
      </c>
      <c r="D52" s="80" t="s">
        <v>37</v>
      </c>
      <c r="E52" s="86">
        <v>106758291</v>
      </c>
      <c r="F52" s="64">
        <v>42843</v>
      </c>
      <c r="G52" s="64">
        <f>IFERROR(CALCOLASCADENZA(Table2[[#This Row],[Data attivazione]],Table2[[#This Row],[Rateizzazione]],Table2[[#This Row],[Data ultimo pagamento]],Table2[[#This Row],[Data prossima scadenza manuale]]),"-")</f>
        <v>43208</v>
      </c>
      <c r="H52" s="67" t="s">
        <v>30</v>
      </c>
      <c r="I52" s="67" t="s">
        <v>113</v>
      </c>
      <c r="J52" s="33">
        <f>IFERROR(Table2[[#This Row],[Importo annuale]]/(12/VLOOKUP(Table2[[#This Row],[Rateizzazione]],TIPI_RATEIZZAZIONI,2,FALSE)),"-")</f>
        <v>86</v>
      </c>
      <c r="K52" s="88">
        <v>86</v>
      </c>
      <c r="L52" s="88">
        <v>86</v>
      </c>
      <c r="M52" s="67" t="s">
        <v>43</v>
      </c>
      <c r="N52" s="67" t="s">
        <v>52</v>
      </c>
      <c r="O52" s="27" t="s">
        <v>1631</v>
      </c>
      <c r="P52" s="33" t="s">
        <v>23</v>
      </c>
      <c r="Q52" s="60">
        <f>IFERROR(IF(12 / VLOOKUP(Table2[[#This Row],[Rateizzazione]],TIPI_RATEIZZAZIONI,2,FALSE) &gt;=1,  IF(Table2[[#This Row],[Data attivazione]] = "","-",MONTH(Table2[[#This Row],[Data attivazione]])),"-"),"-")</f>
        <v>4</v>
      </c>
      <c r="R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" s="67" t="s">
        <v>2</v>
      </c>
      <c r="V52" s="62"/>
      <c r="W52" s="64">
        <v>42843</v>
      </c>
      <c r="X52" s="29">
        <f>DATE(YEAR(Table2[[#This Row],[Data attivazione]])+VLOOKUP(Table2[[#This Row],[Durata]],VALORE_DURATA,2,FALSE),MONTH(Table2[[#This Row],[Data attivazione]]),DAY(Table2[[#This Row],[Data attivazione]]))</f>
        <v>43208</v>
      </c>
      <c r="Y52" s="65"/>
      <c r="Z52" s="61"/>
      <c r="AA52" s="64" t="s">
        <v>85</v>
      </c>
      <c r="AB52" s="29" t="str">
        <f>IF(Table2[[#This Row],[Data ultimo versamento temp]]=0/1/1900,"-",Table2[[#This Row],[Data ultimo versamento temp]])</f>
        <v>-</v>
      </c>
      <c r="AC52" s="29">
        <f t="array" ref="AC52">MAX(IF(TableVersamenti[Polizza]=Table2[[#This Row],[Polizza]],TableVersamenti[Data prevista versamento],"-"))</f>
        <v>0</v>
      </c>
      <c r="AD52" s="62"/>
      <c r="AE52" s="106">
        <f>DATE(YEAR(Table2[[#This Row],[Data ultimo pagamento]]),MONTH(Table2[[#This Row],[Data ultimo pagamento]]), 1)</f>
        <v>42826</v>
      </c>
      <c r="AF52" s="106">
        <f>DATE(YEAR(Table2[[#This Row],[Data prossima scadenza]]),MONTH(Table2[[#This Row],[Data prossima scadenza]]), 1)</f>
        <v>43191</v>
      </c>
      <c r="AG52" s="33">
        <f>IFERROR(Table2[[#This Row],[Importo annuale]]*VLOOKUP(Table2[[#This Row],[Ramo]],RAMI_POLIZZA,2,FALSE),0)</f>
        <v>9.89</v>
      </c>
      <c r="AH52" s="65" t="s">
        <v>113</v>
      </c>
      <c r="AI52" s="63" t="str">
        <f>IFERROR(VLOOKUP(Table2[[#This Row],[Contraente]],Table1[[Nome/Ragione sociale]:[Checkbox selezionato]],2,FALSE),"-")</f>
        <v>SANTA CRISTINA E BISSONE</v>
      </c>
      <c r="AJ52" s="63">
        <f>IFERROR(VLOOKUP(Table2[[#This Row],[Contraente]],Table1[[Nome/Ragione sociale]:[Checkbox selezionato]],3,FALSE),"-")</f>
        <v>3315474576</v>
      </c>
      <c r="AK52" s="63">
        <f>IFERROR(VLOOKUP(Table2[[#This Row],[Contraente]],Table1[[Nome/Ragione sociale]:[Checkbox selezionato]],4,FALSE),"-")</f>
        <v>0</v>
      </c>
      <c r="AL52" s="63" t="str">
        <f>IFERROR(VLOOKUP(Table2[[#This Row],[Contraente]],Table1[[Nome/Ragione sociale]:[Checkbox selezionato]],5,FALSE),"-")</f>
        <v>CLAUDIO</v>
      </c>
      <c r="AM52" s="62">
        <f>IFERROR(VLOOKUP(Table2[[#This Row],[Contraente]],Table1[[Nome/Ragione sociale]:[Checkbox selezionato]],6,FALSE),"-")</f>
        <v>23244</v>
      </c>
      <c r="AN52" s="63" t="str">
        <f>IFERROR(VLOOKUP(Table2[[#This Row],[Contraente]],Table1[[Nome/Ragione sociale]:[Checkbox selezionato]],7,FALSE),"-")</f>
        <v>papies@email.it</v>
      </c>
      <c r="AO52" s="63">
        <f>IFERROR(VLOOKUP(Table2[[#This Row],[Contraente]],Table1[[Nome/Ragione sociale]:[Checkbox selezionato]],8,FALSE),"-")</f>
        <v>0</v>
      </c>
      <c r="AP52" s="63">
        <f>IFERROR(VLOOKUP(Table2[[#This Row],[Contraente]],Table1[[Nome/Ragione sociale]:[Checkbox selezionato]],10,FALSE),"-")</f>
        <v>3315474576</v>
      </c>
      <c r="AQ52" s="63" t="str">
        <f>IFERROR(VLOOKUP(Table2[[#This Row],[Contraente]],Table1[[Nome/Ragione sociale]:[Checkbox selezionato]],11,FALSE),"-")</f>
        <v>SI</v>
      </c>
      <c r="AR52" s="63" t="str">
        <f>IFERROR(VLOOKUP(Table2[[#This Row],[Contraente]],Table1[[Nome/Ragione sociale]:[Checkbox selezionato]],12,FALSE),"-")</f>
        <v>SI</v>
      </c>
    </row>
    <row r="53" spans="1:44" ht="30" hidden="1" customHeight="1" x14ac:dyDescent="0.25">
      <c r="A53" s="60" t="str">
        <f>UPPER(LEFT(Table2[[#This Row],[Contraente]],1))</f>
        <v>A</v>
      </c>
      <c r="B53" s="60" t="s">
        <v>1634</v>
      </c>
      <c r="C53" s="81" t="s">
        <v>258</v>
      </c>
      <c r="D53" s="80" t="s">
        <v>37</v>
      </c>
      <c r="E53" s="86">
        <v>106967667</v>
      </c>
      <c r="F53" s="64">
        <v>42899</v>
      </c>
      <c r="G53" s="64">
        <f>IFERROR(CALCOLASCADENZA(Table2[[#This Row],[Data attivazione]],Table2[[#This Row],[Rateizzazione]],Table2[[#This Row],[Data ultimo pagamento]],Table2[[#This Row],[Data prossima scadenza manuale]]),"-")</f>
        <v>43073</v>
      </c>
      <c r="H53" s="67" t="s">
        <v>31</v>
      </c>
      <c r="I53" s="67" t="s">
        <v>1145</v>
      </c>
      <c r="J53" s="33">
        <f>IFERROR(Table2[[#This Row],[Importo annuale]]/(12/VLOOKUP(Table2[[#This Row],[Rateizzazione]],TIPI_RATEIZZAZIONI,2,FALSE)),"-")</f>
        <v>1034</v>
      </c>
      <c r="K53" s="88">
        <v>1034</v>
      </c>
      <c r="L53" s="88">
        <v>2068</v>
      </c>
      <c r="M53" s="67" t="s">
        <v>44</v>
      </c>
      <c r="N53" s="67" t="s">
        <v>51</v>
      </c>
      <c r="O53" s="27" t="s">
        <v>1631</v>
      </c>
      <c r="P53" s="33" t="s">
        <v>22</v>
      </c>
      <c r="Q53" s="60">
        <f>IFERROR(IF(12 / VLOOKUP(Table2[[#This Row],[Rateizzazione]],TIPI_RATEIZZAZIONI,2,FALSE) &gt;=1,  IF(Table2[[#This Row],[Data attivazione]] = "","-",MONTH(Table2[[#This Row],[Data attivazione]])),"-"),"-")</f>
        <v>12</v>
      </c>
      <c r="R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" s="67" t="s">
        <v>2</v>
      </c>
      <c r="V53" s="62"/>
      <c r="W53" s="64">
        <v>42708</v>
      </c>
      <c r="X53" s="29">
        <f>DATE(YEAR(Table2[[#This Row],[Data attivazione]])+VLOOKUP(Table2[[#This Row],[Durata]],VALORE_DURATA,2,FALSE),MONTH(Table2[[#This Row],[Data attivazione]]),DAY(Table2[[#This Row],[Data attivazione]]))</f>
        <v>43073</v>
      </c>
      <c r="Y53" s="65"/>
      <c r="Z53" s="61"/>
      <c r="AA53" s="64" t="s">
        <v>85</v>
      </c>
      <c r="AB53" s="29" t="str">
        <f>IF(Table2[[#This Row],[Data ultimo versamento temp]]=0/1/1900,"-",Table2[[#This Row],[Data ultimo versamento temp]])</f>
        <v>-</v>
      </c>
      <c r="AC53" s="29">
        <f t="array" ref="AC53">MAX(IF(TableVersamenti[Polizza]=Table2[[#This Row],[Polizza]],TableVersamenti[Data prevista versamento],"-"))</f>
        <v>0</v>
      </c>
      <c r="AD53" s="62"/>
      <c r="AE53" s="106">
        <f>DATE(YEAR(Table2[[#This Row],[Data ultimo pagamento]]),MONTH(Table2[[#This Row],[Data ultimo pagamento]]), 1)</f>
        <v>42887</v>
      </c>
      <c r="AF53" s="106">
        <f>DATE(YEAR(Table2[[#This Row],[Data prossima scadenza]]),MONTH(Table2[[#This Row],[Data prossima scadenza]]), 1)</f>
        <v>43070</v>
      </c>
      <c r="AG53" s="33">
        <f>IFERROR(Table2[[#This Row],[Importo annuale]]*VLOOKUP(Table2[[#This Row],[Ramo]],RAMI_POLIZZA,2,FALSE),0)</f>
        <v>107.536</v>
      </c>
      <c r="AH53" s="65" t="s">
        <v>113</v>
      </c>
      <c r="AI53" s="63" t="str">
        <f>IFERROR(VLOOKUP(Table2[[#This Row],[Contraente]],Table1[[Nome/Ragione sociale]:[Checkbox selezionato]],2,FALSE),"-")</f>
        <v>SANTA CRISTINA E BISSONE</v>
      </c>
      <c r="AJ53" s="63">
        <f>IFERROR(VLOOKUP(Table2[[#This Row],[Contraente]],Table1[[Nome/Ragione sociale]:[Checkbox selezionato]],3,FALSE),"-")</f>
        <v>3315474576</v>
      </c>
      <c r="AK53" s="63">
        <f>IFERROR(VLOOKUP(Table2[[#This Row],[Contraente]],Table1[[Nome/Ragione sociale]:[Checkbox selezionato]],4,FALSE),"-")</f>
        <v>0</v>
      </c>
      <c r="AL53" s="63" t="str">
        <f>IFERROR(VLOOKUP(Table2[[#This Row],[Contraente]],Table1[[Nome/Ragione sociale]:[Checkbox selezionato]],5,FALSE),"-")</f>
        <v>CLAUDIO</v>
      </c>
      <c r="AM53" s="62">
        <f>IFERROR(VLOOKUP(Table2[[#This Row],[Contraente]],Table1[[Nome/Ragione sociale]:[Checkbox selezionato]],6,FALSE),"-")</f>
        <v>23244</v>
      </c>
      <c r="AN53" s="63" t="str">
        <f>IFERROR(VLOOKUP(Table2[[#This Row],[Contraente]],Table1[[Nome/Ragione sociale]:[Checkbox selezionato]],7,FALSE),"-")</f>
        <v>papies@email.it</v>
      </c>
      <c r="AO53" s="63">
        <f>IFERROR(VLOOKUP(Table2[[#This Row],[Contraente]],Table1[[Nome/Ragione sociale]:[Checkbox selezionato]],8,FALSE),"-")</f>
        <v>0</v>
      </c>
      <c r="AP53" s="63">
        <f>IFERROR(VLOOKUP(Table2[[#This Row],[Contraente]],Table1[[Nome/Ragione sociale]:[Checkbox selezionato]],10,FALSE),"-")</f>
        <v>3315474576</v>
      </c>
      <c r="AQ53" s="63" t="str">
        <f>IFERROR(VLOOKUP(Table2[[#This Row],[Contraente]],Table1[[Nome/Ragione sociale]:[Checkbox selezionato]],11,FALSE),"-")</f>
        <v>SI</v>
      </c>
      <c r="AR53" s="63" t="str">
        <f>IFERROR(VLOOKUP(Table2[[#This Row],[Contraente]],Table1[[Nome/Ragione sociale]:[Checkbox selezionato]],12,FALSE),"-")</f>
        <v>SI</v>
      </c>
    </row>
    <row r="54" spans="1:44" ht="30" hidden="1" customHeight="1" x14ac:dyDescent="0.25">
      <c r="A54" s="60" t="str">
        <f>UPPER(LEFT(Table2[[#This Row],[Contraente]],1))</f>
        <v>A</v>
      </c>
      <c r="B54" s="60" t="s">
        <v>1634</v>
      </c>
      <c r="C54" s="81" t="s">
        <v>261</v>
      </c>
      <c r="D54" s="80" t="s">
        <v>37</v>
      </c>
      <c r="E54" s="86">
        <v>106879493</v>
      </c>
      <c r="F54" s="64">
        <v>42873</v>
      </c>
      <c r="G54" s="64">
        <f>IFERROR(CALCOLASCADENZA(Table2[[#This Row],[Data attivazione]],Table2[[#This Row],[Rateizzazione]],Table2[[#This Row],[Data ultimo pagamento]],Table2[[#This Row],[Data prossima scadenza manuale]]),"-")</f>
        <v>43233</v>
      </c>
      <c r="H54" s="67" t="s">
        <v>31</v>
      </c>
      <c r="I54" s="67" t="s">
        <v>1147</v>
      </c>
      <c r="J54" s="33">
        <f>IFERROR(Table2[[#This Row],[Importo annuale]]/(12/VLOOKUP(Table2[[#This Row],[Rateizzazione]],TIPI_RATEIZZAZIONI,2,FALSE)),"-")</f>
        <v>609</v>
      </c>
      <c r="K54" s="88">
        <v>609</v>
      </c>
      <c r="L54" s="88">
        <v>609</v>
      </c>
      <c r="M54" s="67" t="s">
        <v>44</v>
      </c>
      <c r="N54" s="67" t="s">
        <v>51</v>
      </c>
      <c r="O54" s="27" t="s">
        <v>1631</v>
      </c>
      <c r="P54" s="33" t="s">
        <v>23</v>
      </c>
      <c r="Q54" s="60">
        <f>IFERROR(IF(12 / VLOOKUP(Table2[[#This Row],[Rateizzazione]],TIPI_RATEIZZAZIONI,2,FALSE) &gt;=1,  IF(Table2[[#This Row],[Data attivazione]] = "","-",MONTH(Table2[[#This Row],[Data attivazione]])),"-"),"-")</f>
        <v>5</v>
      </c>
      <c r="R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" s="67" t="s">
        <v>2</v>
      </c>
      <c r="V54" s="62"/>
      <c r="W54" s="64">
        <v>42868</v>
      </c>
      <c r="X54" s="29">
        <f>DATE(YEAR(Table2[[#This Row],[Data attivazione]])+VLOOKUP(Table2[[#This Row],[Durata]],VALORE_DURATA,2,FALSE),MONTH(Table2[[#This Row],[Data attivazione]]),DAY(Table2[[#This Row],[Data attivazione]]))</f>
        <v>43233</v>
      </c>
      <c r="Y54" s="65"/>
      <c r="Z54" s="61"/>
      <c r="AA54" s="64" t="s">
        <v>85</v>
      </c>
      <c r="AB54" s="29" t="str">
        <f>IF(Table2[[#This Row],[Data ultimo versamento temp]]=0/1/1900,"-",Table2[[#This Row],[Data ultimo versamento temp]])</f>
        <v>-</v>
      </c>
      <c r="AC54" s="29">
        <f t="array" ref="AC54">MAX(IF(TableVersamenti[Polizza]=Table2[[#This Row],[Polizza]],TableVersamenti[Data prevista versamento],"-"))</f>
        <v>0</v>
      </c>
      <c r="AD54" s="62"/>
      <c r="AE54" s="106">
        <f>DATE(YEAR(Table2[[#This Row],[Data ultimo pagamento]]),MONTH(Table2[[#This Row],[Data ultimo pagamento]]), 1)</f>
        <v>42856</v>
      </c>
      <c r="AF54" s="106">
        <f>DATE(YEAR(Table2[[#This Row],[Data prossima scadenza]]),MONTH(Table2[[#This Row],[Data prossima scadenza]]), 1)</f>
        <v>43221</v>
      </c>
      <c r="AG54" s="33">
        <f>IFERROR(Table2[[#This Row],[Importo annuale]]*VLOOKUP(Table2[[#This Row],[Ramo]],RAMI_POLIZZA,2,FALSE),0)</f>
        <v>31.667999999999999</v>
      </c>
      <c r="AH54" s="65" t="s">
        <v>113</v>
      </c>
      <c r="AI54" s="63" t="str">
        <f>IFERROR(VLOOKUP(Table2[[#This Row],[Contraente]],Table1[[Nome/Ragione sociale]:[Checkbox selezionato]],2,FALSE),"-")</f>
        <v>SANTA CRISTINA E BISSONE</v>
      </c>
      <c r="AJ54" s="63">
        <f>IFERROR(VLOOKUP(Table2[[#This Row],[Contraente]],Table1[[Nome/Ragione sociale]:[Checkbox selezionato]],3,FALSE),"-")</f>
        <v>3315474576</v>
      </c>
      <c r="AK54" s="63">
        <f>IFERROR(VLOOKUP(Table2[[#This Row],[Contraente]],Table1[[Nome/Ragione sociale]:[Checkbox selezionato]],4,FALSE),"-")</f>
        <v>0</v>
      </c>
      <c r="AL54" s="63" t="str">
        <f>IFERROR(VLOOKUP(Table2[[#This Row],[Contraente]],Table1[[Nome/Ragione sociale]:[Checkbox selezionato]],5,FALSE),"-")</f>
        <v>CLAUDIO</v>
      </c>
      <c r="AM54" s="62">
        <f>IFERROR(VLOOKUP(Table2[[#This Row],[Contraente]],Table1[[Nome/Ragione sociale]:[Checkbox selezionato]],6,FALSE),"-")</f>
        <v>34302</v>
      </c>
      <c r="AN54" s="63" t="str">
        <f>IFERROR(VLOOKUP(Table2[[#This Row],[Contraente]],Table1[[Nome/Ragione sociale]:[Checkbox selezionato]],7,FALSE),"-")</f>
        <v>papies@libero.it</v>
      </c>
      <c r="AO54" s="63">
        <f>IFERROR(VLOOKUP(Table2[[#This Row],[Contraente]],Table1[[Nome/Ragione sociale]:[Checkbox selezionato]],8,FALSE),"-")</f>
        <v>0</v>
      </c>
      <c r="AP54" s="63">
        <f>IFERROR(VLOOKUP(Table2[[#This Row],[Contraente]],Table1[[Nome/Ragione sociale]:[Checkbox selezionato]],10,FALSE),"-")</f>
        <v>3315474576</v>
      </c>
      <c r="AQ54" s="63" t="str">
        <f>IFERROR(VLOOKUP(Table2[[#This Row],[Contraente]],Table1[[Nome/Ragione sociale]:[Checkbox selezionato]],11,FALSE),"-")</f>
        <v>SI</v>
      </c>
      <c r="AR54" s="63" t="str">
        <f>IFERROR(VLOOKUP(Table2[[#This Row],[Contraente]],Table1[[Nome/Ragione sociale]:[Checkbox selezionato]],12,FALSE),"-")</f>
        <v>SI</v>
      </c>
    </row>
    <row r="55" spans="1:44" ht="30" hidden="1" customHeight="1" x14ac:dyDescent="0.25">
      <c r="A55" s="60" t="str">
        <f>UPPER(LEFT(Table2[[#This Row],[Contraente]],1))</f>
        <v>A</v>
      </c>
      <c r="B55" s="60" t="s">
        <v>1634</v>
      </c>
      <c r="C55" s="81" t="s">
        <v>261</v>
      </c>
      <c r="D55" s="80" t="s">
        <v>37</v>
      </c>
      <c r="E55" s="86">
        <v>106879509</v>
      </c>
      <c r="F55" s="64">
        <v>42873</v>
      </c>
      <c r="G55" s="64">
        <f>IFERROR(CALCOLASCADENZA(Table2[[#This Row],[Data attivazione]],Table2[[#This Row],[Rateizzazione]],Table2[[#This Row],[Data ultimo pagamento]],Table2[[#This Row],[Data prossima scadenza manuale]]),"-")</f>
        <v>43233</v>
      </c>
      <c r="H55" s="67" t="s">
        <v>30</v>
      </c>
      <c r="I55" s="67" t="s">
        <v>113</v>
      </c>
      <c r="J55" s="33">
        <f>IFERROR(Table2[[#This Row],[Importo annuale]]/(12/VLOOKUP(Table2[[#This Row],[Rateizzazione]],TIPI_RATEIZZAZIONI,2,FALSE)),"-")</f>
        <v>80</v>
      </c>
      <c r="K55" s="88">
        <v>80</v>
      </c>
      <c r="L55" s="88">
        <v>80</v>
      </c>
      <c r="M55" s="67" t="s">
        <v>44</v>
      </c>
      <c r="N55" s="67" t="s">
        <v>51</v>
      </c>
      <c r="O55" s="27" t="s">
        <v>1631</v>
      </c>
      <c r="P55" s="33" t="s">
        <v>23</v>
      </c>
      <c r="Q55" s="60">
        <f>IFERROR(IF(12 / VLOOKUP(Table2[[#This Row],[Rateizzazione]],TIPI_RATEIZZAZIONI,2,FALSE) &gt;=1,  IF(Table2[[#This Row],[Data attivazione]] = "","-",MONTH(Table2[[#This Row],[Data attivazione]])),"-"),"-")</f>
        <v>5</v>
      </c>
      <c r="R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" s="67" t="s">
        <v>2</v>
      </c>
      <c r="V55" s="62"/>
      <c r="W55" s="64">
        <v>42868</v>
      </c>
      <c r="X55" s="29">
        <f>DATE(YEAR(Table2[[#This Row],[Data attivazione]])+VLOOKUP(Table2[[#This Row],[Durata]],VALORE_DURATA,2,FALSE),MONTH(Table2[[#This Row],[Data attivazione]]),DAY(Table2[[#This Row],[Data attivazione]]))</f>
        <v>43233</v>
      </c>
      <c r="Y55" s="65"/>
      <c r="Z55" s="61"/>
      <c r="AA55" s="64" t="s">
        <v>85</v>
      </c>
      <c r="AB55" s="29" t="str">
        <f>IF(Table2[[#This Row],[Data ultimo versamento temp]]=0/1/1900,"-",Table2[[#This Row],[Data ultimo versamento temp]])</f>
        <v>-</v>
      </c>
      <c r="AC55" s="29">
        <f t="array" ref="AC55">MAX(IF(TableVersamenti[Polizza]=Table2[[#This Row],[Polizza]],TableVersamenti[Data prevista versamento],"-"))</f>
        <v>0</v>
      </c>
      <c r="AD55" s="62"/>
      <c r="AE55" s="106">
        <f>DATE(YEAR(Table2[[#This Row],[Data ultimo pagamento]]),MONTH(Table2[[#This Row],[Data ultimo pagamento]]), 1)</f>
        <v>42856</v>
      </c>
      <c r="AF55" s="106">
        <f>DATE(YEAR(Table2[[#This Row],[Data prossima scadenza]]),MONTH(Table2[[#This Row],[Data prossima scadenza]]), 1)</f>
        <v>43221</v>
      </c>
      <c r="AG55" s="33">
        <f>IFERROR(Table2[[#This Row],[Importo annuale]]*VLOOKUP(Table2[[#This Row],[Ramo]],RAMI_POLIZZA,2,FALSE),0)</f>
        <v>9.2000000000000011</v>
      </c>
      <c r="AH55" s="65" t="s">
        <v>113</v>
      </c>
      <c r="AI55" s="63" t="str">
        <f>IFERROR(VLOOKUP(Table2[[#This Row],[Contraente]],Table1[[Nome/Ragione sociale]:[Checkbox selezionato]],2,FALSE),"-")</f>
        <v>SANTA CRISTINA E BISSONE</v>
      </c>
      <c r="AJ55" s="63">
        <f>IFERROR(VLOOKUP(Table2[[#This Row],[Contraente]],Table1[[Nome/Ragione sociale]:[Checkbox selezionato]],3,FALSE),"-")</f>
        <v>3315474576</v>
      </c>
      <c r="AK55" s="63">
        <f>IFERROR(VLOOKUP(Table2[[#This Row],[Contraente]],Table1[[Nome/Ragione sociale]:[Checkbox selezionato]],4,FALSE),"-")</f>
        <v>0</v>
      </c>
      <c r="AL55" s="63" t="str">
        <f>IFERROR(VLOOKUP(Table2[[#This Row],[Contraente]],Table1[[Nome/Ragione sociale]:[Checkbox selezionato]],5,FALSE),"-")</f>
        <v>CLAUDIO</v>
      </c>
      <c r="AM55" s="62">
        <f>IFERROR(VLOOKUP(Table2[[#This Row],[Contraente]],Table1[[Nome/Ragione sociale]:[Checkbox selezionato]],6,FALSE),"-")</f>
        <v>34302</v>
      </c>
      <c r="AN55" s="63" t="str">
        <f>IFERROR(VLOOKUP(Table2[[#This Row],[Contraente]],Table1[[Nome/Ragione sociale]:[Checkbox selezionato]],7,FALSE),"-")</f>
        <v>papies@libero.it</v>
      </c>
      <c r="AO55" s="63">
        <f>IFERROR(VLOOKUP(Table2[[#This Row],[Contraente]],Table1[[Nome/Ragione sociale]:[Checkbox selezionato]],8,FALSE),"-")</f>
        <v>0</v>
      </c>
      <c r="AP55" s="63">
        <f>IFERROR(VLOOKUP(Table2[[#This Row],[Contraente]],Table1[[Nome/Ragione sociale]:[Checkbox selezionato]],10,FALSE),"-")</f>
        <v>3315474576</v>
      </c>
      <c r="AQ55" s="63" t="str">
        <f>IFERROR(VLOOKUP(Table2[[#This Row],[Contraente]],Table1[[Nome/Ragione sociale]:[Checkbox selezionato]],11,FALSE),"-")</f>
        <v>SI</v>
      </c>
      <c r="AR55" s="63" t="str">
        <f>IFERROR(VLOOKUP(Table2[[#This Row],[Contraente]],Table1[[Nome/Ragione sociale]:[Checkbox selezionato]],12,FALSE),"-")</f>
        <v>SI</v>
      </c>
    </row>
    <row r="56" spans="1:44" ht="30" hidden="1" customHeight="1" x14ac:dyDescent="0.25">
      <c r="A56" s="60" t="str">
        <f>UPPER(LEFT(Table2[[#This Row],[Contraente]],1))</f>
        <v>A</v>
      </c>
      <c r="B56" s="60" t="s">
        <v>1634</v>
      </c>
      <c r="C56" s="81" t="s">
        <v>89</v>
      </c>
      <c r="D56" s="80" t="s">
        <v>37</v>
      </c>
      <c r="E56" s="86">
        <v>106888366</v>
      </c>
      <c r="F56" s="64">
        <v>42874</v>
      </c>
      <c r="G56" s="64">
        <f>IFERROR(CALCOLASCADENZA(Table2[[#This Row],[Data attivazione]],Table2[[#This Row],[Rateizzazione]],Table2[[#This Row],[Data ultimo pagamento]],Table2[[#This Row],[Data prossima scadenza manuale]]),"-")</f>
        <v>43244</v>
      </c>
      <c r="H56" s="67" t="s">
        <v>30</v>
      </c>
      <c r="I56" s="67" t="s">
        <v>113</v>
      </c>
      <c r="J56" s="33">
        <f>IFERROR(Table2[[#This Row],[Importo annuale]]/(12/VLOOKUP(Table2[[#This Row],[Rateizzazione]],TIPI_RATEIZZAZIONI,2,FALSE)),"-")</f>
        <v>82</v>
      </c>
      <c r="K56" s="88">
        <v>82</v>
      </c>
      <c r="L56" s="88">
        <v>82</v>
      </c>
      <c r="M56" s="67" t="s">
        <v>44</v>
      </c>
      <c r="N56" s="67" t="s">
        <v>51</v>
      </c>
      <c r="O56" s="27" t="s">
        <v>1631</v>
      </c>
      <c r="P56" s="33" t="s">
        <v>23</v>
      </c>
      <c r="Q56" s="60">
        <f>IFERROR(IF(12 / VLOOKUP(Table2[[#This Row],[Rateizzazione]],TIPI_RATEIZZAZIONI,2,FALSE) &gt;=1,  IF(Table2[[#This Row],[Data attivazione]] = "","-",MONTH(Table2[[#This Row],[Data attivazione]])),"-"),"-")</f>
        <v>5</v>
      </c>
      <c r="R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" s="67" t="s">
        <v>2</v>
      </c>
      <c r="V56" s="62"/>
      <c r="W56" s="64">
        <v>42879</v>
      </c>
      <c r="X56" s="29">
        <f>DATE(YEAR(Table2[[#This Row],[Data attivazione]])+VLOOKUP(Table2[[#This Row],[Durata]],VALORE_DURATA,2,FALSE),MONTH(Table2[[#This Row],[Data attivazione]]),DAY(Table2[[#This Row],[Data attivazione]]))</f>
        <v>43244</v>
      </c>
      <c r="Y56" s="65"/>
      <c r="Z56" s="61"/>
      <c r="AA56" s="64" t="s">
        <v>85</v>
      </c>
      <c r="AB56" s="29" t="str">
        <f>IF(Table2[[#This Row],[Data ultimo versamento temp]]=0/1/1900,"-",Table2[[#This Row],[Data ultimo versamento temp]])</f>
        <v>-</v>
      </c>
      <c r="AC56" s="29">
        <f t="array" ref="AC56">MAX(IF(TableVersamenti[Polizza]=Table2[[#This Row],[Polizza]],TableVersamenti[Data prevista versamento],"-"))</f>
        <v>0</v>
      </c>
      <c r="AD56" s="62"/>
      <c r="AE56" s="106">
        <f>DATE(YEAR(Table2[[#This Row],[Data ultimo pagamento]]),MONTH(Table2[[#This Row],[Data ultimo pagamento]]), 1)</f>
        <v>42856</v>
      </c>
      <c r="AF56" s="106">
        <f>DATE(YEAR(Table2[[#This Row],[Data prossima scadenza]]),MONTH(Table2[[#This Row],[Data prossima scadenza]]), 1)</f>
        <v>43221</v>
      </c>
      <c r="AG56" s="33">
        <f>IFERROR(Table2[[#This Row],[Importo annuale]]*VLOOKUP(Table2[[#This Row],[Ramo]],RAMI_POLIZZA,2,FALSE),0)</f>
        <v>9.43</v>
      </c>
      <c r="AH56" s="65" t="s">
        <v>113</v>
      </c>
      <c r="AI56" s="63" t="str">
        <f>IFERROR(VLOOKUP(Table2[[#This Row],[Contraente]],Table1[[Nome/Ragione sociale]:[Checkbox selezionato]],2,FALSE),"-")</f>
        <v>SANTA CRISTINA E BISSONE</v>
      </c>
      <c r="AJ56" s="63">
        <f>IFERROR(VLOOKUP(Table2[[#This Row],[Contraente]],Table1[[Nome/Ragione sociale]:[Checkbox selezionato]],3,FALSE),"-")</f>
        <v>3388704048</v>
      </c>
      <c r="AK56" s="63">
        <f>IFERROR(VLOOKUP(Table2[[#This Row],[Contraente]],Table1[[Nome/Ragione sociale]:[Checkbox selezionato]],4,FALSE),"-")</f>
        <v>0</v>
      </c>
      <c r="AL56" s="63" t="str">
        <f>IFERROR(VLOOKUP(Table2[[#This Row],[Contraente]],Table1[[Nome/Ragione sociale]:[Checkbox selezionato]],5,FALSE),"-")</f>
        <v>MAURIZIO</v>
      </c>
      <c r="AM56" s="62">
        <f>IFERROR(VLOOKUP(Table2[[#This Row],[Contraente]],Table1[[Nome/Ragione sociale]:[Checkbox selezionato]],6,FALSE),"-")</f>
        <v>21421</v>
      </c>
      <c r="AN56" s="63" t="str">
        <f>IFERROR(VLOOKUP(Table2[[#This Row],[Contraente]],Table1[[Nome/Ragione sociale]:[Checkbox selezionato]],7,FALSE),"-")</f>
        <v>papies@libero.it</v>
      </c>
      <c r="AO56" s="63">
        <f>IFERROR(VLOOKUP(Table2[[#This Row],[Contraente]],Table1[[Nome/Ragione sociale]:[Checkbox selezionato]],8,FALSE),"-")</f>
        <v>0</v>
      </c>
      <c r="AP56" s="63">
        <f>IFERROR(VLOOKUP(Table2[[#This Row],[Contraente]],Table1[[Nome/Ragione sociale]:[Checkbox selezionato]],10,FALSE),"-")</f>
        <v>3388704048</v>
      </c>
      <c r="AQ56" s="63" t="str">
        <f>IFERROR(VLOOKUP(Table2[[#This Row],[Contraente]],Table1[[Nome/Ragione sociale]:[Checkbox selezionato]],11,FALSE),"-")</f>
        <v>SI</v>
      </c>
      <c r="AR56" s="63" t="str">
        <f>IFERROR(VLOOKUP(Table2[[#This Row],[Contraente]],Table1[[Nome/Ragione sociale]:[Checkbox selezionato]],12,FALSE),"-")</f>
        <v>SI</v>
      </c>
    </row>
    <row r="57" spans="1:44" ht="30" hidden="1" customHeight="1" x14ac:dyDescent="0.25">
      <c r="A57" s="60" t="str">
        <f>UPPER(LEFT(Table2[[#This Row],[Contraente]],1))</f>
        <v>A</v>
      </c>
      <c r="B57" s="60" t="s">
        <v>1634</v>
      </c>
      <c r="C57" s="81" t="s">
        <v>89</v>
      </c>
      <c r="D57" s="81" t="s">
        <v>37</v>
      </c>
      <c r="E57" s="86">
        <v>105641124</v>
      </c>
      <c r="F57" s="64">
        <v>42874</v>
      </c>
      <c r="G57" s="64">
        <f>IFERROR(CALCOLASCADENZA(Table2[[#This Row],[Data attivazione]],Table2[[#This Row],[Rateizzazione]],Table2[[#This Row],[Data ultimo pagamento]],Table2[[#This Row],[Data prossima scadenza manuale]]),"-")</f>
        <v>43002</v>
      </c>
      <c r="H57" s="67" t="s">
        <v>31</v>
      </c>
      <c r="I57" s="67" t="s">
        <v>1148</v>
      </c>
      <c r="J57" s="33">
        <f>IFERROR(Table2[[#This Row],[Importo annuale]]/(12/VLOOKUP(Table2[[#This Row],[Rateizzazione]],TIPI_RATEIZZAZIONI,2,FALSE)),"-")</f>
        <v>325</v>
      </c>
      <c r="K57" s="88">
        <v>640</v>
      </c>
      <c r="L57" s="88">
        <v>975</v>
      </c>
      <c r="M57" s="67" t="s">
        <v>44</v>
      </c>
      <c r="N57" s="67" t="s">
        <v>51</v>
      </c>
      <c r="O57" s="27" t="s">
        <v>1631</v>
      </c>
      <c r="P57" s="33" t="s">
        <v>21</v>
      </c>
      <c r="Q57" s="60">
        <f>IFERROR(IF(12 / VLOOKUP(Table2[[#This Row],[Rateizzazione]],TIPI_RATEIZZAZIONI,2,FALSE) &gt;=1,  IF(Table2[[#This Row],[Data attivazione]] = "","-",MONTH(Table2[[#This Row],[Data attivazione]])),"-"),"-")</f>
        <v>9</v>
      </c>
      <c r="R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" s="67" t="s">
        <v>2</v>
      </c>
      <c r="V57" s="62"/>
      <c r="W57" s="64">
        <v>42637</v>
      </c>
      <c r="X57" s="29">
        <f>DATE(YEAR(Table2[[#This Row],[Data attivazione]])+VLOOKUP(Table2[[#This Row],[Durata]],VALORE_DURATA,2,FALSE),MONTH(Table2[[#This Row],[Data attivazione]]),DAY(Table2[[#This Row],[Data attivazione]]))</f>
        <v>43002</v>
      </c>
      <c r="Y57" s="65"/>
      <c r="Z57" s="61"/>
      <c r="AA57" s="64" t="s">
        <v>85</v>
      </c>
      <c r="AB57" s="29" t="str">
        <f>IF(Table2[[#This Row],[Data ultimo versamento temp]]=0/1/1900,"-",Table2[[#This Row],[Data ultimo versamento temp]])</f>
        <v>-</v>
      </c>
      <c r="AC57" s="29">
        <f t="array" ref="AC57">MAX(IF(TableVersamenti[Polizza]=Table2[[#This Row],[Polizza]],TableVersamenti[Data prevista versamento],"-"))</f>
        <v>0</v>
      </c>
      <c r="AD57" s="62"/>
      <c r="AE57" s="106">
        <f>DATE(YEAR(Table2[[#This Row],[Data ultimo pagamento]]),MONTH(Table2[[#This Row],[Data ultimo pagamento]]), 1)</f>
        <v>42856</v>
      </c>
      <c r="AF57" s="106">
        <f>DATE(YEAR(Table2[[#This Row],[Data prossima scadenza]]),MONTH(Table2[[#This Row],[Data prossima scadenza]]), 1)</f>
        <v>42979</v>
      </c>
      <c r="AG57" s="33">
        <f>IFERROR(Table2[[#This Row],[Importo annuale]]*VLOOKUP(Table2[[#This Row],[Ramo]],RAMI_POLIZZA,2,FALSE),0)</f>
        <v>50.699999999999996</v>
      </c>
      <c r="AH57" s="65" t="s">
        <v>113</v>
      </c>
      <c r="AI57" s="63" t="str">
        <f>IFERROR(VLOOKUP(Table2[[#This Row],[Contraente]],Table1[[Nome/Ragione sociale]:[Checkbox selezionato]],2,FALSE),"-")</f>
        <v>SANTA CRISTINA E BISSONE</v>
      </c>
      <c r="AJ57" s="63">
        <f>IFERROR(VLOOKUP(Table2[[#This Row],[Contraente]],Table1[[Nome/Ragione sociale]:[Checkbox selezionato]],3,FALSE),"-")</f>
        <v>3388704048</v>
      </c>
      <c r="AK57" s="63">
        <f>IFERROR(VLOOKUP(Table2[[#This Row],[Contraente]],Table1[[Nome/Ragione sociale]:[Checkbox selezionato]],4,FALSE),"-")</f>
        <v>0</v>
      </c>
      <c r="AL57" s="63" t="str">
        <f>IFERROR(VLOOKUP(Table2[[#This Row],[Contraente]],Table1[[Nome/Ragione sociale]:[Checkbox selezionato]],5,FALSE),"-")</f>
        <v>MAURIZIO</v>
      </c>
      <c r="AM57" s="62">
        <f>IFERROR(VLOOKUP(Table2[[#This Row],[Contraente]],Table1[[Nome/Ragione sociale]:[Checkbox selezionato]],6,FALSE),"-")</f>
        <v>21421</v>
      </c>
      <c r="AN57" s="63" t="str">
        <f>IFERROR(VLOOKUP(Table2[[#This Row],[Contraente]],Table1[[Nome/Ragione sociale]:[Checkbox selezionato]],7,FALSE),"-")</f>
        <v>papies@libero.it</v>
      </c>
      <c r="AO57" s="63">
        <f>IFERROR(VLOOKUP(Table2[[#This Row],[Contraente]],Table1[[Nome/Ragione sociale]:[Checkbox selezionato]],8,FALSE),"-")</f>
        <v>0</v>
      </c>
      <c r="AP57" s="63">
        <f>IFERROR(VLOOKUP(Table2[[#This Row],[Contraente]],Table1[[Nome/Ragione sociale]:[Checkbox selezionato]],10,FALSE),"-")</f>
        <v>3388704048</v>
      </c>
      <c r="AQ57" s="63" t="str">
        <f>IFERROR(VLOOKUP(Table2[[#This Row],[Contraente]],Table1[[Nome/Ragione sociale]:[Checkbox selezionato]],11,FALSE),"-")</f>
        <v>SI</v>
      </c>
      <c r="AR57" s="63" t="str">
        <f>IFERROR(VLOOKUP(Table2[[#This Row],[Contraente]],Table1[[Nome/Ragione sociale]:[Checkbox selezionato]],12,FALSE),"-")</f>
        <v>SI</v>
      </c>
    </row>
    <row r="58" spans="1:44" ht="30" hidden="1" customHeight="1" x14ac:dyDescent="0.25">
      <c r="A58" s="60" t="str">
        <f>UPPER(LEFT(Table2[[#This Row],[Contraente]],1))</f>
        <v>A</v>
      </c>
      <c r="B58" s="60" t="s">
        <v>1634</v>
      </c>
      <c r="C58" s="81" t="s">
        <v>262</v>
      </c>
      <c r="D58" s="81" t="s">
        <v>37</v>
      </c>
      <c r="E58" s="86">
        <v>106123703</v>
      </c>
      <c r="F58" s="64">
        <v>42656</v>
      </c>
      <c r="G58" s="64">
        <f>IFERROR(CALCOLASCADENZA(Table2[[#This Row],[Data attivazione]],Table2[[#This Row],[Rateizzazione]],Table2[[#This Row],[Data ultimo pagamento]],Table2[[#This Row],[Data prossima scadenza manuale]]),"-")</f>
        <v>43028</v>
      </c>
      <c r="H58" s="67" t="s">
        <v>31</v>
      </c>
      <c r="I58" s="67" t="s">
        <v>1149</v>
      </c>
      <c r="J58" s="33">
        <f>IFERROR(Table2[[#This Row],[Importo annuale]]/(12/VLOOKUP(Table2[[#This Row],[Rateizzazione]],TIPI_RATEIZZAZIONI,2,FALSE)),"-")</f>
        <v>505.68</v>
      </c>
      <c r="K58" s="88"/>
      <c r="L58" s="88">
        <v>505.68</v>
      </c>
      <c r="M58" s="67" t="s">
        <v>43</v>
      </c>
      <c r="N58" s="67" t="s">
        <v>51</v>
      </c>
      <c r="O58" s="27" t="s">
        <v>1631</v>
      </c>
      <c r="P58" s="33" t="s">
        <v>23</v>
      </c>
      <c r="Q58" s="60">
        <f>IFERROR(IF(12 / VLOOKUP(Table2[[#This Row],[Rateizzazione]],TIPI_RATEIZZAZIONI,2,FALSE) &gt;=1,  IF(Table2[[#This Row],[Data attivazione]] = "","-",MONTH(Table2[[#This Row],[Data attivazione]])),"-"),"-")</f>
        <v>10</v>
      </c>
      <c r="R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" s="67" t="s">
        <v>2</v>
      </c>
      <c r="V58" s="62"/>
      <c r="W58" s="64">
        <v>42663</v>
      </c>
      <c r="X58" s="29">
        <f>DATE(YEAR(Table2[[#This Row],[Data attivazione]])+VLOOKUP(Table2[[#This Row],[Durata]],VALORE_DURATA,2,FALSE),MONTH(Table2[[#This Row],[Data attivazione]]),DAY(Table2[[#This Row],[Data attivazione]]))</f>
        <v>43028</v>
      </c>
      <c r="Y58" s="65"/>
      <c r="Z58" s="61"/>
      <c r="AA58" s="64" t="s">
        <v>85</v>
      </c>
      <c r="AB58" s="29" t="str">
        <f>IF(Table2[[#This Row],[Data ultimo versamento temp]]=0/1/1900,"-",Table2[[#This Row],[Data ultimo versamento temp]])</f>
        <v>-</v>
      </c>
      <c r="AC58" s="29">
        <f t="array" ref="AC58">MAX(IF(TableVersamenti[Polizza]=Table2[[#This Row],[Polizza]],TableVersamenti[Data prevista versamento],"-"))</f>
        <v>0</v>
      </c>
      <c r="AD58" s="62"/>
      <c r="AE58" s="106">
        <f>DATE(YEAR(Table2[[#This Row],[Data ultimo pagamento]]),MONTH(Table2[[#This Row],[Data ultimo pagamento]]), 1)</f>
        <v>42644</v>
      </c>
      <c r="AF58" s="106">
        <f>DATE(YEAR(Table2[[#This Row],[Data prossima scadenza]]),MONTH(Table2[[#This Row],[Data prossima scadenza]]), 1)</f>
        <v>43009</v>
      </c>
      <c r="AG58" s="33">
        <f>IFERROR(Table2[[#This Row],[Importo annuale]]*VLOOKUP(Table2[[#This Row],[Ramo]],RAMI_POLIZZA,2,FALSE),0)</f>
        <v>26.295359999999999</v>
      </c>
      <c r="AH58" s="65" t="s">
        <v>113</v>
      </c>
      <c r="AI58" s="63" t="str">
        <f>IFERROR(VLOOKUP(Table2[[#This Row],[Contraente]],Table1[[Nome/Ragione sociale]:[Checkbox selezionato]],2,FALSE),"-")</f>
        <v>CORTEOLONA</v>
      </c>
      <c r="AJ58" s="63">
        <f>IFERROR(VLOOKUP(Table2[[#This Row],[Contraente]],Table1[[Nome/Ragione sociale]:[Checkbox selezionato]],3,FALSE),"-")</f>
        <v>3313007456</v>
      </c>
      <c r="AK58" s="63">
        <f>IFERROR(VLOOKUP(Table2[[#This Row],[Contraente]],Table1[[Nome/Ragione sociale]:[Checkbox selezionato]],4,FALSE),"-")</f>
        <v>0</v>
      </c>
      <c r="AL58" s="63" t="str">
        <f>IFERROR(VLOOKUP(Table2[[#This Row],[Contraente]],Table1[[Nome/Ragione sociale]:[Checkbox selezionato]],5,FALSE),"-")</f>
        <v>STEFANO</v>
      </c>
      <c r="AM58" s="62">
        <f>IFERROR(VLOOKUP(Table2[[#This Row],[Contraente]],Table1[[Nome/Ragione sociale]:[Checkbox selezionato]],6,FALSE),"-")</f>
        <v>20989</v>
      </c>
      <c r="AN58" s="63" t="str">
        <f>IFERROR(VLOOKUP(Table2[[#This Row],[Contraente]],Table1[[Nome/Ragione sociale]:[Checkbox selezionato]],7,FALSE),"-")</f>
        <v>papies@email.it</v>
      </c>
      <c r="AO58" s="63">
        <f>IFERROR(VLOOKUP(Table2[[#This Row],[Contraente]],Table1[[Nome/Ragione sociale]:[Checkbox selezionato]],8,FALSE),"-")</f>
        <v>0</v>
      </c>
      <c r="AP58" s="63">
        <f>IFERROR(VLOOKUP(Table2[[#This Row],[Contraente]],Table1[[Nome/Ragione sociale]:[Checkbox selezionato]],10,FALSE),"-")</f>
        <v>3313007456</v>
      </c>
      <c r="AQ58" s="63" t="str">
        <f>IFERROR(VLOOKUP(Table2[[#This Row],[Contraente]],Table1[[Nome/Ragione sociale]:[Checkbox selezionato]],11,FALSE),"-")</f>
        <v>SI</v>
      </c>
      <c r="AR58" s="63" t="str">
        <f>IFERROR(VLOOKUP(Table2[[#This Row],[Contraente]],Table1[[Nome/Ragione sociale]:[Checkbox selezionato]],12,FALSE),"-")</f>
        <v>SI</v>
      </c>
    </row>
    <row r="59" spans="1:44" ht="30" hidden="1" customHeight="1" x14ac:dyDescent="0.25">
      <c r="A59" s="60" t="str">
        <f>UPPER(LEFT(Table2[[#This Row],[Contraente]],1))</f>
        <v>A</v>
      </c>
      <c r="B59" s="60" t="s">
        <v>1634</v>
      </c>
      <c r="C59" s="81" t="s">
        <v>263</v>
      </c>
      <c r="D59" s="81" t="s">
        <v>37</v>
      </c>
      <c r="E59" s="86">
        <v>105606102</v>
      </c>
      <c r="F59" s="64">
        <v>42864</v>
      </c>
      <c r="G59" s="64">
        <f>IFERROR(CALCOLASCADENZA(Table2[[#This Row],[Data attivazione]],Table2[[#This Row],[Rateizzazione]],Table2[[#This Row],[Data ultimo pagamento]],Table2[[#This Row],[Data prossima scadenza manuale]]),"-")</f>
        <v>43238</v>
      </c>
      <c r="H59" s="67" t="s">
        <v>31</v>
      </c>
      <c r="I59" s="67" t="s">
        <v>1150</v>
      </c>
      <c r="J59" s="33">
        <f>IFERROR(Table2[[#This Row],[Importo annuale]]/(12/VLOOKUP(Table2[[#This Row],[Rateizzazione]],TIPI_RATEIZZAZIONI,2,FALSE)),"-")</f>
        <v>141.56</v>
      </c>
      <c r="K59" s="88">
        <v>141.56</v>
      </c>
      <c r="L59" s="88">
        <v>283.12</v>
      </c>
      <c r="M59" s="67" t="s">
        <v>43</v>
      </c>
      <c r="N59" s="67" t="s">
        <v>51</v>
      </c>
      <c r="O59" s="27" t="s">
        <v>1631</v>
      </c>
      <c r="P59" s="33" t="s">
        <v>22</v>
      </c>
      <c r="Q59" s="60">
        <f>IFERROR(IF(12 / VLOOKUP(Table2[[#This Row],[Rateizzazione]],TIPI_RATEIZZAZIONI,2,FALSE) &gt;=1,  IF(Table2[[#This Row],[Data attivazione]] = "","-",MONTH(Table2[[#This Row],[Data attivazione]])),"-"),"-")</f>
        <v>11</v>
      </c>
      <c r="R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" s="67" t="s">
        <v>2</v>
      </c>
      <c r="V59" s="62"/>
      <c r="W59" s="64">
        <v>43057</v>
      </c>
      <c r="X59" s="29">
        <f>DATE(YEAR(Table2[[#This Row],[Data attivazione]])+VLOOKUP(Table2[[#This Row],[Durata]],VALORE_DURATA,2,FALSE),MONTH(Table2[[#This Row],[Data attivazione]]),DAY(Table2[[#This Row],[Data attivazione]]))</f>
        <v>43422</v>
      </c>
      <c r="Y59" s="65"/>
      <c r="Z59" s="61"/>
      <c r="AA59" s="64" t="s">
        <v>85</v>
      </c>
      <c r="AB59" s="29" t="str">
        <f>IF(Table2[[#This Row],[Data ultimo versamento temp]]=0/1/1900,"-",Table2[[#This Row],[Data ultimo versamento temp]])</f>
        <v>-</v>
      </c>
      <c r="AC59" s="29">
        <f t="array" ref="AC59">MAX(IF(TableVersamenti[Polizza]=Table2[[#This Row],[Polizza]],TableVersamenti[Data prevista versamento],"-"))</f>
        <v>0</v>
      </c>
      <c r="AD59" s="62"/>
      <c r="AE59" s="106">
        <f>DATE(YEAR(Table2[[#This Row],[Data ultimo pagamento]]),MONTH(Table2[[#This Row],[Data ultimo pagamento]]), 1)</f>
        <v>42856</v>
      </c>
      <c r="AF59" s="106">
        <f>DATE(YEAR(Table2[[#This Row],[Data prossima scadenza]]),MONTH(Table2[[#This Row],[Data prossima scadenza]]), 1)</f>
        <v>43221</v>
      </c>
      <c r="AG59" s="33">
        <f>IFERROR(Table2[[#This Row],[Importo annuale]]*VLOOKUP(Table2[[#This Row],[Ramo]],RAMI_POLIZZA,2,FALSE),0)</f>
        <v>14.722239999999999</v>
      </c>
      <c r="AH59" s="65" t="s">
        <v>113</v>
      </c>
      <c r="AI59" s="63" t="str">
        <f>IFERROR(VLOOKUP(Table2[[#This Row],[Contraente]],Table1[[Nome/Ragione sociale]:[Checkbox selezionato]],2,FALSE),"-")</f>
        <v>COSTA DE' NEBOLI</v>
      </c>
      <c r="AJ59" s="63">
        <f>IFERROR(VLOOKUP(Table2[[#This Row],[Contraente]],Table1[[Nome/Ragione sociale]:[Checkbox selezionato]],3,FALSE),"-")</f>
        <v>3284618131</v>
      </c>
      <c r="AK59" s="63">
        <f>IFERROR(VLOOKUP(Table2[[#This Row],[Contraente]],Table1[[Nome/Ragione sociale]:[Checkbox selezionato]],4,FALSE),"-")</f>
        <v>0</v>
      </c>
      <c r="AL59" s="63" t="str">
        <f>IFERROR(VLOOKUP(Table2[[#This Row],[Contraente]],Table1[[Nome/Ragione sociale]:[Checkbox selezionato]],5,FALSE),"-")</f>
        <v>GIULIANO</v>
      </c>
      <c r="AM59" s="62">
        <f>IFERROR(VLOOKUP(Table2[[#This Row],[Contraente]],Table1[[Nome/Ragione sociale]:[Checkbox selezionato]],6,FALSE),"-")</f>
        <v>21441</v>
      </c>
      <c r="AN59" s="63" t="str">
        <f>IFERROR(VLOOKUP(Table2[[#This Row],[Contraente]],Table1[[Nome/Ragione sociale]:[Checkbox selezionato]],7,FALSE),"-")</f>
        <v>papies@libero.it</v>
      </c>
      <c r="AO59" s="63">
        <f>IFERROR(VLOOKUP(Table2[[#This Row],[Contraente]],Table1[[Nome/Ragione sociale]:[Checkbox selezionato]],8,FALSE),"-")</f>
        <v>0</v>
      </c>
      <c r="AP59" s="63">
        <f>IFERROR(VLOOKUP(Table2[[#This Row],[Contraente]],Table1[[Nome/Ragione sociale]:[Checkbox selezionato]],10,FALSE),"-")</f>
        <v>3284618131</v>
      </c>
      <c r="AQ59" s="63" t="str">
        <f>IFERROR(VLOOKUP(Table2[[#This Row],[Contraente]],Table1[[Nome/Ragione sociale]:[Checkbox selezionato]],11,FALSE),"-")</f>
        <v>SI</v>
      </c>
      <c r="AR59" s="63" t="str">
        <f>IFERROR(VLOOKUP(Table2[[#This Row],[Contraente]],Table1[[Nome/Ragione sociale]:[Checkbox selezionato]],12,FALSE),"-")</f>
        <v>SI</v>
      </c>
    </row>
    <row r="60" spans="1:44" ht="30" hidden="1" customHeight="1" x14ac:dyDescent="0.25">
      <c r="A60" s="60" t="str">
        <f>UPPER(LEFT(Table2[[#This Row],[Contraente]],1))</f>
        <v>A</v>
      </c>
      <c r="B60" s="60" t="s">
        <v>1634</v>
      </c>
      <c r="C60" s="80" t="s">
        <v>263</v>
      </c>
      <c r="D60" s="81" t="s">
        <v>37</v>
      </c>
      <c r="E60" s="86">
        <v>103053844</v>
      </c>
      <c r="F60" s="64">
        <v>42864</v>
      </c>
      <c r="G60" s="64">
        <f>IFERROR(CALCOLASCADENZA(Table2[[#This Row],[Data attivazione]],Table2[[#This Row],[Rateizzazione]],Table2[[#This Row],[Data ultimo pagamento]],Table2[[#This Row],[Data prossima scadenza manuale]]),"-")</f>
        <v>43238</v>
      </c>
      <c r="H60" s="67" t="s">
        <v>30</v>
      </c>
      <c r="I60" s="67" t="s">
        <v>113</v>
      </c>
      <c r="J60" s="33">
        <f>IFERROR(Table2[[#This Row],[Importo annuale]]/(12/VLOOKUP(Table2[[#This Row],[Rateizzazione]],TIPI_RATEIZZAZIONI,2,FALSE)),"-")</f>
        <v>32</v>
      </c>
      <c r="K60" s="88">
        <v>32</v>
      </c>
      <c r="L60" s="88">
        <v>64</v>
      </c>
      <c r="M60" s="67" t="s">
        <v>43</v>
      </c>
      <c r="N60" s="67" t="s">
        <v>51</v>
      </c>
      <c r="O60" s="27" t="s">
        <v>1631</v>
      </c>
      <c r="P60" s="33" t="s">
        <v>22</v>
      </c>
      <c r="Q60" s="60">
        <f>IFERROR(IF(12 / VLOOKUP(Table2[[#This Row],[Rateizzazione]],TIPI_RATEIZZAZIONI,2,FALSE) &gt;=1,  IF(Table2[[#This Row],[Data attivazione]] = "","-",MONTH(Table2[[#This Row],[Data attivazione]])),"-"),"-")</f>
        <v>11</v>
      </c>
      <c r="R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" s="67" t="s">
        <v>2</v>
      </c>
      <c r="V60" s="62"/>
      <c r="W60" s="64">
        <v>43057</v>
      </c>
      <c r="X60" s="29">
        <f>DATE(YEAR(Table2[[#This Row],[Data attivazione]])+VLOOKUP(Table2[[#This Row],[Durata]],VALORE_DURATA,2,FALSE),MONTH(Table2[[#This Row],[Data attivazione]]),DAY(Table2[[#This Row],[Data attivazione]]))</f>
        <v>43422</v>
      </c>
      <c r="Y60" s="65"/>
      <c r="Z60" s="61"/>
      <c r="AA60" s="64" t="s">
        <v>85</v>
      </c>
      <c r="AB60" s="29" t="str">
        <f>IF(Table2[[#This Row],[Data ultimo versamento temp]]=0/1/1900,"-",Table2[[#This Row],[Data ultimo versamento temp]])</f>
        <v>-</v>
      </c>
      <c r="AC60" s="29">
        <f t="array" ref="AC60">MAX(IF(TableVersamenti[Polizza]=Table2[[#This Row],[Polizza]],TableVersamenti[Data prevista versamento],"-"))</f>
        <v>0</v>
      </c>
      <c r="AD60" s="62"/>
      <c r="AE60" s="106">
        <f>DATE(YEAR(Table2[[#This Row],[Data ultimo pagamento]]),MONTH(Table2[[#This Row],[Data ultimo pagamento]]), 1)</f>
        <v>42856</v>
      </c>
      <c r="AF60" s="106">
        <f>DATE(YEAR(Table2[[#This Row],[Data prossima scadenza]]),MONTH(Table2[[#This Row],[Data prossima scadenza]]), 1)</f>
        <v>43221</v>
      </c>
      <c r="AG60" s="33">
        <f>IFERROR(Table2[[#This Row],[Importo annuale]]*VLOOKUP(Table2[[#This Row],[Ramo]],RAMI_POLIZZA,2,FALSE),0)</f>
        <v>7.36</v>
      </c>
      <c r="AH60" s="65" t="s">
        <v>113</v>
      </c>
      <c r="AI60" s="63" t="str">
        <f>IFERROR(VLOOKUP(Table2[[#This Row],[Contraente]],Table1[[Nome/Ragione sociale]:[Checkbox selezionato]],2,FALSE),"-")</f>
        <v>COSTA DE' NEBOLI</v>
      </c>
      <c r="AJ60" s="63">
        <f>IFERROR(VLOOKUP(Table2[[#This Row],[Contraente]],Table1[[Nome/Ragione sociale]:[Checkbox selezionato]],3,FALSE),"-")</f>
        <v>3284618131</v>
      </c>
      <c r="AK60" s="63">
        <f>IFERROR(VLOOKUP(Table2[[#This Row],[Contraente]],Table1[[Nome/Ragione sociale]:[Checkbox selezionato]],4,FALSE),"-")</f>
        <v>0</v>
      </c>
      <c r="AL60" s="63" t="str">
        <f>IFERROR(VLOOKUP(Table2[[#This Row],[Contraente]],Table1[[Nome/Ragione sociale]:[Checkbox selezionato]],5,FALSE),"-")</f>
        <v>GIULIANO</v>
      </c>
      <c r="AM60" s="62">
        <f>IFERROR(VLOOKUP(Table2[[#This Row],[Contraente]],Table1[[Nome/Ragione sociale]:[Checkbox selezionato]],6,FALSE),"-")</f>
        <v>21441</v>
      </c>
      <c r="AN60" s="63" t="str">
        <f>IFERROR(VLOOKUP(Table2[[#This Row],[Contraente]],Table1[[Nome/Ragione sociale]:[Checkbox selezionato]],7,FALSE),"-")</f>
        <v>papies@libero.it</v>
      </c>
      <c r="AO60" s="63">
        <f>IFERROR(VLOOKUP(Table2[[#This Row],[Contraente]],Table1[[Nome/Ragione sociale]:[Checkbox selezionato]],8,FALSE),"-")</f>
        <v>0</v>
      </c>
      <c r="AP60" s="63">
        <f>IFERROR(VLOOKUP(Table2[[#This Row],[Contraente]],Table1[[Nome/Ragione sociale]:[Checkbox selezionato]],10,FALSE),"-")</f>
        <v>3284618131</v>
      </c>
      <c r="AQ60" s="63" t="str">
        <f>IFERROR(VLOOKUP(Table2[[#This Row],[Contraente]],Table1[[Nome/Ragione sociale]:[Checkbox selezionato]],11,FALSE),"-")</f>
        <v>SI</v>
      </c>
      <c r="AR60" s="63" t="str">
        <f>IFERROR(VLOOKUP(Table2[[#This Row],[Contraente]],Table1[[Nome/Ragione sociale]:[Checkbox selezionato]],12,FALSE),"-")</f>
        <v>SI</v>
      </c>
    </row>
    <row r="61" spans="1:44" ht="30" hidden="1" customHeight="1" x14ac:dyDescent="0.25">
      <c r="A61" s="60" t="str">
        <f>UPPER(LEFT(Table2[[#This Row],[Contraente]],1))</f>
        <v>A</v>
      </c>
      <c r="B61" s="60" t="s">
        <v>1634</v>
      </c>
      <c r="C61" s="80" t="s">
        <v>266</v>
      </c>
      <c r="D61" s="81" t="s">
        <v>37</v>
      </c>
      <c r="E61" s="86">
        <v>102644083</v>
      </c>
      <c r="F61" s="64">
        <v>42593</v>
      </c>
      <c r="G61" s="64">
        <f>IFERROR(CALCOLASCADENZA(Table2[[#This Row],[Data attivazione]],Table2[[#This Row],[Rateizzazione]],Table2[[#This Row],[Data ultimo pagamento]],Table2[[#This Row],[Data prossima scadenza manuale]]),"-")</f>
        <v>42764</v>
      </c>
      <c r="H61" s="67" t="s">
        <v>30</v>
      </c>
      <c r="I61" s="67" t="s">
        <v>113</v>
      </c>
      <c r="J61" s="33">
        <f>IFERROR(Table2[[#This Row],[Importo annuale]]/(12/VLOOKUP(Table2[[#This Row],[Rateizzazione]],TIPI_RATEIZZAZIONI,2,FALSE)),"-")</f>
        <v>515</v>
      </c>
      <c r="K61" s="88"/>
      <c r="L61" s="88">
        <v>1030</v>
      </c>
      <c r="M61" s="67" t="s">
        <v>45</v>
      </c>
      <c r="N61" s="67" t="s">
        <v>51</v>
      </c>
      <c r="O61" s="27" t="s">
        <v>1631</v>
      </c>
      <c r="P61" s="33" t="s">
        <v>22</v>
      </c>
      <c r="Q61" s="60">
        <f>IFERROR(IF(12 / VLOOKUP(Table2[[#This Row],[Rateizzazione]],TIPI_RATEIZZAZIONI,2,FALSE) &gt;=1,  IF(Table2[[#This Row],[Data attivazione]] = "","-",MONTH(Table2[[#This Row],[Data attivazione]])),"-"),"-")</f>
        <v>1</v>
      </c>
      <c r="R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" s="67" t="s">
        <v>268</v>
      </c>
      <c r="V61" s="62"/>
      <c r="W61" s="64">
        <v>42398</v>
      </c>
      <c r="X61" s="29">
        <f>DATE(YEAR(Table2[[#This Row],[Data attivazione]])+VLOOKUP(Table2[[#This Row],[Durata]],VALORE_DURATA,2,FALSE),MONTH(Table2[[#This Row],[Data attivazione]]),DAY(Table2[[#This Row],[Data attivazione]]))</f>
        <v>42764</v>
      </c>
      <c r="Y61" s="65"/>
      <c r="Z61" s="61"/>
      <c r="AA61" s="64" t="s">
        <v>88</v>
      </c>
      <c r="AB61" s="29" t="str">
        <f>IF(Table2[[#This Row],[Data ultimo versamento temp]]=0/1/1900,"-",Table2[[#This Row],[Data ultimo versamento temp]])</f>
        <v>-</v>
      </c>
      <c r="AC61" s="29">
        <f t="array" ref="AC61">MAX(IF(TableVersamenti[Polizza]=Table2[[#This Row],[Polizza]],TableVersamenti[Data prevista versamento],"-"))</f>
        <v>0</v>
      </c>
      <c r="AD61" s="62"/>
      <c r="AE61" s="106">
        <f>DATE(YEAR(Table2[[#This Row],[Data ultimo pagamento]]),MONTH(Table2[[#This Row],[Data ultimo pagamento]]), 1)</f>
        <v>42583</v>
      </c>
      <c r="AF61" s="106">
        <f>DATE(YEAR(Table2[[#This Row],[Data prossima scadenza]]),MONTH(Table2[[#This Row],[Data prossima scadenza]]), 1)</f>
        <v>42736</v>
      </c>
      <c r="AG61" s="33">
        <f>IFERROR(Table2[[#This Row],[Importo annuale]]*VLOOKUP(Table2[[#This Row],[Ramo]],RAMI_POLIZZA,2,FALSE),0)</f>
        <v>118.45</v>
      </c>
      <c r="AH61" s="65" t="s">
        <v>113</v>
      </c>
      <c r="AI61" s="63" t="str">
        <f>IFERROR(VLOOKUP(Table2[[#This Row],[Contraente]],Table1[[Nome/Ragione sociale]:[Checkbox selezionato]],2,FALSE),"-")</f>
        <v>PAVIA</v>
      </c>
      <c r="AJ61" s="63">
        <f>IFERROR(VLOOKUP(Table2[[#This Row],[Contraente]],Table1[[Nome/Ragione sociale]:[Checkbox selezionato]],3,FALSE),"-")</f>
        <v>3478950050</v>
      </c>
      <c r="AK61" s="63">
        <f>IFERROR(VLOOKUP(Table2[[#This Row],[Contraente]],Table1[[Nome/Ragione sociale]:[Checkbox selezionato]],4,FALSE),"-")</f>
        <v>0</v>
      </c>
      <c r="AL61" s="63" t="str">
        <f>IFERROR(VLOOKUP(Table2[[#This Row],[Contraente]],Table1[[Nome/Ragione sociale]:[Checkbox selezionato]],5,FALSE),"-")</f>
        <v>RUGGERO</v>
      </c>
      <c r="AM61" s="62" t="str">
        <f>IFERROR(VLOOKUP(Table2[[#This Row],[Contraente]],Table1[[Nome/Ragione sociale]:[Checkbox selezionato]],6,FALSE),"-")</f>
        <v>-</v>
      </c>
      <c r="AN61" s="63" t="str">
        <f>IFERROR(VLOOKUP(Table2[[#This Row],[Contraente]],Table1[[Nome/Ragione sociale]:[Checkbox selezionato]],7,FALSE),"-")</f>
        <v>papies@libero.it</v>
      </c>
      <c r="AO61" s="63">
        <f>IFERROR(VLOOKUP(Table2[[#This Row],[Contraente]],Table1[[Nome/Ragione sociale]:[Checkbox selezionato]],8,FALSE),"-")</f>
        <v>0</v>
      </c>
      <c r="AP61" s="63">
        <f>IFERROR(VLOOKUP(Table2[[#This Row],[Contraente]],Table1[[Nome/Ragione sociale]:[Checkbox selezionato]],10,FALSE),"-")</f>
        <v>3478950050</v>
      </c>
      <c r="AQ61" s="63" t="str">
        <f>IFERROR(VLOOKUP(Table2[[#This Row],[Contraente]],Table1[[Nome/Ragione sociale]:[Checkbox selezionato]],11,FALSE),"-")</f>
        <v>SI</v>
      </c>
      <c r="AR61" s="63" t="str">
        <f>IFERROR(VLOOKUP(Table2[[#This Row],[Contraente]],Table1[[Nome/Ragione sociale]:[Checkbox selezionato]],12,FALSE),"-")</f>
        <v>SI</v>
      </c>
    </row>
    <row r="62" spans="1:44" ht="30" hidden="1" customHeight="1" x14ac:dyDescent="0.25">
      <c r="A62" s="60" t="str">
        <f>UPPER(LEFT(Table2[[#This Row],[Contraente]],1))</f>
        <v>A</v>
      </c>
      <c r="B62" s="60" t="s">
        <v>1634</v>
      </c>
      <c r="C62" s="81" t="s">
        <v>266</v>
      </c>
      <c r="D62" s="80" t="s">
        <v>37</v>
      </c>
      <c r="E62" s="86">
        <v>105331740</v>
      </c>
      <c r="F62" s="64">
        <v>42793</v>
      </c>
      <c r="G62" s="64">
        <f>IFERROR(CALCOLASCADENZA(Table2[[#This Row],[Data attivazione]],Table2[[#This Row],[Rateizzazione]],Table2[[#This Row],[Data ultimo pagamento]],Table2[[#This Row],[Data prossima scadenza manuale]]),"-")</f>
        <v>42972</v>
      </c>
      <c r="H62" s="67" t="s">
        <v>30</v>
      </c>
      <c r="I62" s="67" t="s">
        <v>113</v>
      </c>
      <c r="J62" s="33">
        <f>IFERROR(Table2[[#This Row],[Importo annuale]]/(12/VLOOKUP(Table2[[#This Row],[Rateizzazione]],TIPI_RATEIZZAZIONI,2,FALSE)),"-")</f>
        <v>225</v>
      </c>
      <c r="K62" s="88">
        <v>225</v>
      </c>
      <c r="L62" s="88">
        <v>450</v>
      </c>
      <c r="M62" s="67" t="s">
        <v>45</v>
      </c>
      <c r="N62" s="67" t="s">
        <v>51</v>
      </c>
      <c r="O62" s="27" t="s">
        <v>1631</v>
      </c>
      <c r="P62" s="33" t="s">
        <v>22</v>
      </c>
      <c r="Q62" s="60">
        <f>IFERROR(IF(12 / VLOOKUP(Table2[[#This Row],[Rateizzazione]],TIPI_RATEIZZAZIONI,2,FALSE) &gt;=1,  IF(Table2[[#This Row],[Data attivazione]] = "","-",MONTH(Table2[[#This Row],[Data attivazione]])),"-"),"-")</f>
        <v>8</v>
      </c>
      <c r="R6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" s="67" t="s">
        <v>268</v>
      </c>
      <c r="V62" s="62"/>
      <c r="W62" s="64">
        <v>42607</v>
      </c>
      <c r="X62" s="29">
        <f>DATE(YEAR(Table2[[#This Row],[Data attivazione]])+VLOOKUP(Table2[[#This Row],[Durata]],VALORE_DURATA,2,FALSE),MONTH(Table2[[#This Row],[Data attivazione]]),DAY(Table2[[#This Row],[Data attivazione]]))</f>
        <v>42972</v>
      </c>
      <c r="Y62" s="65"/>
      <c r="Z62" s="61"/>
      <c r="AA62" s="64" t="s">
        <v>85</v>
      </c>
      <c r="AB62" s="29" t="str">
        <f>IF(Table2[[#This Row],[Data ultimo versamento temp]]=0/1/1900,"-",Table2[[#This Row],[Data ultimo versamento temp]])</f>
        <v>-</v>
      </c>
      <c r="AC62" s="29">
        <f t="array" ref="AC62">MAX(IF(TableVersamenti[Polizza]=Table2[[#This Row],[Polizza]],TableVersamenti[Data prevista versamento],"-"))</f>
        <v>0</v>
      </c>
      <c r="AD62" s="62"/>
      <c r="AE62" s="106">
        <f>DATE(YEAR(Table2[[#This Row],[Data ultimo pagamento]]),MONTH(Table2[[#This Row],[Data ultimo pagamento]]), 1)</f>
        <v>42767</v>
      </c>
      <c r="AF62" s="106">
        <f>DATE(YEAR(Table2[[#This Row],[Data prossima scadenza]]),MONTH(Table2[[#This Row],[Data prossima scadenza]]), 1)</f>
        <v>42948</v>
      </c>
      <c r="AG62" s="33">
        <f>IFERROR(Table2[[#This Row],[Importo annuale]]*VLOOKUP(Table2[[#This Row],[Ramo]],RAMI_POLIZZA,2,FALSE),0)</f>
        <v>51.75</v>
      </c>
      <c r="AH62" s="65" t="s">
        <v>113</v>
      </c>
      <c r="AI62" s="63" t="str">
        <f>IFERROR(VLOOKUP(Table2[[#This Row],[Contraente]],Table1[[Nome/Ragione sociale]:[Checkbox selezionato]],2,FALSE),"-")</f>
        <v>PAVIA</v>
      </c>
      <c r="AJ62" s="63">
        <f>IFERROR(VLOOKUP(Table2[[#This Row],[Contraente]],Table1[[Nome/Ragione sociale]:[Checkbox selezionato]],3,FALSE),"-")</f>
        <v>3478950050</v>
      </c>
      <c r="AK62" s="63">
        <f>IFERROR(VLOOKUP(Table2[[#This Row],[Contraente]],Table1[[Nome/Ragione sociale]:[Checkbox selezionato]],4,FALSE),"-")</f>
        <v>0</v>
      </c>
      <c r="AL62" s="63" t="str">
        <f>IFERROR(VLOOKUP(Table2[[#This Row],[Contraente]],Table1[[Nome/Ragione sociale]:[Checkbox selezionato]],5,FALSE),"-")</f>
        <v>RUGGERO</v>
      </c>
      <c r="AM62" s="62" t="str">
        <f>IFERROR(VLOOKUP(Table2[[#This Row],[Contraente]],Table1[[Nome/Ragione sociale]:[Checkbox selezionato]],6,FALSE),"-")</f>
        <v>-</v>
      </c>
      <c r="AN62" s="63" t="str">
        <f>IFERROR(VLOOKUP(Table2[[#This Row],[Contraente]],Table1[[Nome/Ragione sociale]:[Checkbox selezionato]],7,FALSE),"-")</f>
        <v>papies@libero.it</v>
      </c>
      <c r="AO62" s="63">
        <f>IFERROR(VLOOKUP(Table2[[#This Row],[Contraente]],Table1[[Nome/Ragione sociale]:[Checkbox selezionato]],8,FALSE),"-")</f>
        <v>0</v>
      </c>
      <c r="AP62" s="63">
        <f>IFERROR(VLOOKUP(Table2[[#This Row],[Contraente]],Table1[[Nome/Ragione sociale]:[Checkbox selezionato]],10,FALSE),"-")</f>
        <v>3478950050</v>
      </c>
      <c r="AQ62" s="63" t="str">
        <f>IFERROR(VLOOKUP(Table2[[#This Row],[Contraente]],Table1[[Nome/Ragione sociale]:[Checkbox selezionato]],11,FALSE),"-")</f>
        <v>SI</v>
      </c>
      <c r="AR62" s="63" t="str">
        <f>IFERROR(VLOOKUP(Table2[[#This Row],[Contraente]],Table1[[Nome/Ragione sociale]:[Checkbox selezionato]],12,FALSE),"-")</f>
        <v>SI</v>
      </c>
    </row>
    <row r="63" spans="1:44" ht="30" hidden="1" customHeight="1" x14ac:dyDescent="0.25">
      <c r="A63" s="60" t="str">
        <f>UPPER(LEFT(Table2[[#This Row],[Contraente]],1))</f>
        <v>A</v>
      </c>
      <c r="B63" s="60" t="s">
        <v>1634</v>
      </c>
      <c r="C63" s="81" t="s">
        <v>260</v>
      </c>
      <c r="D63" s="80" t="s">
        <v>37</v>
      </c>
      <c r="E63" s="86">
        <v>104294026</v>
      </c>
      <c r="F63" s="64">
        <v>42846</v>
      </c>
      <c r="G63" s="64">
        <f>IFERROR(CALCOLASCADENZA(Table2[[#This Row],[Data attivazione]],Table2[[#This Row],[Rateizzazione]],Table2[[#This Row],[Data ultimo pagamento]],Table2[[#This Row],[Data prossima scadenza manuale]]),"-")</f>
        <v>43206</v>
      </c>
      <c r="H63" s="67" t="s">
        <v>30</v>
      </c>
      <c r="I63" s="67" t="s">
        <v>113</v>
      </c>
      <c r="J63" s="33">
        <f>IFERROR(Table2[[#This Row],[Importo annuale]]/(12/VLOOKUP(Table2[[#This Row],[Rateizzazione]],TIPI_RATEIZZAZIONI,2,FALSE)),"-")</f>
        <v>847</v>
      </c>
      <c r="K63" s="88">
        <v>847</v>
      </c>
      <c r="L63" s="88">
        <v>847</v>
      </c>
      <c r="M63" s="67" t="s">
        <v>44</v>
      </c>
      <c r="N63" s="67" t="s">
        <v>51</v>
      </c>
      <c r="O63" s="27" t="s">
        <v>1631</v>
      </c>
      <c r="P63" s="33" t="s">
        <v>23</v>
      </c>
      <c r="Q63" s="60">
        <f>IFERROR(IF(12 / VLOOKUP(Table2[[#This Row],[Rateizzazione]],TIPI_RATEIZZAZIONI,2,FALSE) &gt;=1,  IF(Table2[[#This Row],[Data attivazione]] = "","-",MONTH(Table2[[#This Row],[Data attivazione]])),"-"),"-")</f>
        <v>4</v>
      </c>
      <c r="R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" s="67" t="s">
        <v>2</v>
      </c>
      <c r="V63" s="62"/>
      <c r="W63" s="64">
        <v>42841</v>
      </c>
      <c r="X63" s="29">
        <f>DATE(YEAR(Table2[[#This Row],[Data attivazione]])+VLOOKUP(Table2[[#This Row],[Durata]],VALORE_DURATA,2,FALSE),MONTH(Table2[[#This Row],[Data attivazione]]),DAY(Table2[[#This Row],[Data attivazione]]))</f>
        <v>43206</v>
      </c>
      <c r="Y63" s="65"/>
      <c r="Z63" s="61"/>
      <c r="AA63" s="64" t="s">
        <v>85</v>
      </c>
      <c r="AB63" s="29" t="str">
        <f>IF(Table2[[#This Row],[Data ultimo versamento temp]]=0/1/1900,"-",Table2[[#This Row],[Data ultimo versamento temp]])</f>
        <v>-</v>
      </c>
      <c r="AC63" s="29">
        <f t="array" ref="AC63">MAX(IF(TableVersamenti[Polizza]=Table2[[#This Row],[Polizza]],TableVersamenti[Data prevista versamento],"-"))</f>
        <v>0</v>
      </c>
      <c r="AD63" s="62"/>
      <c r="AE63" s="106">
        <f>DATE(YEAR(Table2[[#This Row],[Data ultimo pagamento]]),MONTH(Table2[[#This Row],[Data ultimo pagamento]]), 1)</f>
        <v>42826</v>
      </c>
      <c r="AF63" s="106">
        <f>DATE(YEAR(Table2[[#This Row],[Data prossima scadenza]]),MONTH(Table2[[#This Row],[Data prossima scadenza]]), 1)</f>
        <v>43191</v>
      </c>
      <c r="AG63" s="33">
        <f>IFERROR(Table2[[#This Row],[Importo annuale]]*VLOOKUP(Table2[[#This Row],[Ramo]],RAMI_POLIZZA,2,FALSE),0)</f>
        <v>97.405000000000001</v>
      </c>
      <c r="AH63" s="65" t="s">
        <v>113</v>
      </c>
      <c r="AI63" s="63" t="str">
        <f>IFERROR(VLOOKUP(Table2[[#This Row],[Contraente]],Table1[[Nome/Ragione sociale]:[Checkbox selezionato]],2,FALSE),"-")</f>
        <v>SANTA CRISTINA E BISSONE</v>
      </c>
      <c r="AJ63" s="63">
        <f>IFERROR(VLOOKUP(Table2[[#This Row],[Contraente]],Table1[[Nome/Ragione sociale]:[Checkbox selezionato]],3,FALSE),"-")</f>
        <v>3315474576</v>
      </c>
      <c r="AK63" s="63">
        <f>IFERROR(VLOOKUP(Table2[[#This Row],[Contraente]],Table1[[Nome/Ragione sociale]:[Checkbox selezionato]],4,FALSE),"-")</f>
        <v>0</v>
      </c>
      <c r="AL63" s="63" t="str">
        <f>IFERROR(VLOOKUP(Table2[[#This Row],[Contraente]],Table1[[Nome/Ragione sociale]:[Checkbox selezionato]],5,FALSE),"-")</f>
        <v>CLAUDIO</v>
      </c>
      <c r="AM63" s="62" t="str">
        <f>IFERROR(VLOOKUP(Table2[[#This Row],[Contraente]],Table1[[Nome/Ragione sociale]:[Checkbox selezionato]],6,FALSE),"-")</f>
        <v>-</v>
      </c>
      <c r="AN63" s="63" t="str">
        <f>IFERROR(VLOOKUP(Table2[[#This Row],[Contraente]],Table1[[Nome/Ragione sociale]:[Checkbox selezionato]],7,FALSE),"-")</f>
        <v>papies@email.it</v>
      </c>
      <c r="AO63" s="63">
        <f>IFERROR(VLOOKUP(Table2[[#This Row],[Contraente]],Table1[[Nome/Ragione sociale]:[Checkbox selezionato]],8,FALSE),"-")</f>
        <v>0</v>
      </c>
      <c r="AP63" s="63">
        <f>IFERROR(VLOOKUP(Table2[[#This Row],[Contraente]],Table1[[Nome/Ragione sociale]:[Checkbox selezionato]],10,FALSE),"-")</f>
        <v>3315474576</v>
      </c>
      <c r="AQ63" s="63" t="str">
        <f>IFERROR(VLOOKUP(Table2[[#This Row],[Contraente]],Table1[[Nome/Ragione sociale]:[Checkbox selezionato]],11,FALSE),"-")</f>
        <v>SI</v>
      </c>
      <c r="AR63" s="63" t="str">
        <f>IFERROR(VLOOKUP(Table2[[#This Row],[Contraente]],Table1[[Nome/Ragione sociale]:[Checkbox selezionato]],12,FALSE),"-")</f>
        <v>SI</v>
      </c>
    </row>
    <row r="64" spans="1:44" ht="30" hidden="1" customHeight="1" x14ac:dyDescent="0.25">
      <c r="A64" s="60" t="str">
        <f>UPPER(LEFT(Table2[[#This Row],[Contraente]],1))</f>
        <v>A</v>
      </c>
      <c r="B64" s="60" t="s">
        <v>1634</v>
      </c>
      <c r="C64" s="82" t="s">
        <v>260</v>
      </c>
      <c r="D64" s="80" t="s">
        <v>37</v>
      </c>
      <c r="E64" s="87">
        <v>106980204</v>
      </c>
      <c r="F64" s="64">
        <v>42901</v>
      </c>
      <c r="G64" s="64">
        <f>IFERROR(CALCOLASCADENZA(Table2[[#This Row],[Data attivazione]],Table2[[#This Row],[Rateizzazione]],Table2[[#This Row],[Data ultimo pagamento]],Table2[[#This Row],[Data prossima scadenza manuale]]),"-")</f>
        <v>43073</v>
      </c>
      <c r="H64" s="67" t="s">
        <v>31</v>
      </c>
      <c r="I64" s="67" t="s">
        <v>1146</v>
      </c>
      <c r="J64" s="33">
        <f>IFERROR(Table2[[#This Row],[Importo annuale]]/(12/VLOOKUP(Table2[[#This Row],[Rateizzazione]],TIPI_RATEIZZAZIONI,2,FALSE)),"-")</f>
        <v>1055</v>
      </c>
      <c r="K64" s="88">
        <v>1055</v>
      </c>
      <c r="L64" s="88">
        <v>2110</v>
      </c>
      <c r="M64" s="67" t="s">
        <v>44</v>
      </c>
      <c r="N64" s="67" t="s">
        <v>51</v>
      </c>
      <c r="O64" s="27" t="s">
        <v>1631</v>
      </c>
      <c r="P64" s="33" t="s">
        <v>22</v>
      </c>
      <c r="Q64" s="60">
        <f>IFERROR(IF(12 / VLOOKUP(Table2[[#This Row],[Rateizzazione]],TIPI_RATEIZZAZIONI,2,FALSE) &gt;=1,  IF(Table2[[#This Row],[Data attivazione]] = "","-",MONTH(Table2[[#This Row],[Data attivazione]])),"-"),"-")</f>
        <v>12</v>
      </c>
      <c r="R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" s="67" t="s">
        <v>2</v>
      </c>
      <c r="V64" s="62"/>
      <c r="W64" s="64">
        <v>42708</v>
      </c>
      <c r="X64" s="29">
        <f>DATE(YEAR(Table2[[#This Row],[Data attivazione]])+VLOOKUP(Table2[[#This Row],[Durata]],VALORE_DURATA,2,FALSE),MONTH(Table2[[#This Row],[Data attivazione]]),DAY(Table2[[#This Row],[Data attivazione]]))</f>
        <v>43073</v>
      </c>
      <c r="Y64" s="65"/>
      <c r="Z64" s="61"/>
      <c r="AA64" s="64" t="s">
        <v>85</v>
      </c>
      <c r="AB64" s="29" t="str">
        <f>IF(Table2[[#This Row],[Data ultimo versamento temp]]=0/1/1900,"-",Table2[[#This Row],[Data ultimo versamento temp]])</f>
        <v>-</v>
      </c>
      <c r="AC64" s="29">
        <f t="array" ref="AC64">MAX(IF(TableVersamenti[Polizza]=Table2[[#This Row],[Polizza]],TableVersamenti[Data prevista versamento],"-"))</f>
        <v>0</v>
      </c>
      <c r="AD64" s="62"/>
      <c r="AE64" s="106">
        <f>DATE(YEAR(Table2[[#This Row],[Data ultimo pagamento]]),MONTH(Table2[[#This Row],[Data ultimo pagamento]]), 1)</f>
        <v>42887</v>
      </c>
      <c r="AF64" s="106">
        <f>DATE(YEAR(Table2[[#This Row],[Data prossima scadenza]]),MONTH(Table2[[#This Row],[Data prossima scadenza]]), 1)</f>
        <v>43070</v>
      </c>
      <c r="AG64" s="33">
        <f>IFERROR(Table2[[#This Row],[Importo annuale]]*VLOOKUP(Table2[[#This Row],[Ramo]],RAMI_POLIZZA,2,FALSE),0)</f>
        <v>109.72</v>
      </c>
      <c r="AH64" s="65" t="s">
        <v>113</v>
      </c>
      <c r="AI64" s="63" t="str">
        <f>IFERROR(VLOOKUP(Table2[[#This Row],[Contraente]],Table1[[Nome/Ragione sociale]:[Checkbox selezionato]],2,FALSE),"-")</f>
        <v>SANTA CRISTINA E BISSONE</v>
      </c>
      <c r="AJ64" s="63">
        <f>IFERROR(VLOOKUP(Table2[[#This Row],[Contraente]],Table1[[Nome/Ragione sociale]:[Checkbox selezionato]],3,FALSE),"-")</f>
        <v>3315474576</v>
      </c>
      <c r="AK64" s="63">
        <f>IFERROR(VLOOKUP(Table2[[#This Row],[Contraente]],Table1[[Nome/Ragione sociale]:[Checkbox selezionato]],4,FALSE),"-")</f>
        <v>0</v>
      </c>
      <c r="AL64" s="63" t="str">
        <f>IFERROR(VLOOKUP(Table2[[#This Row],[Contraente]],Table1[[Nome/Ragione sociale]:[Checkbox selezionato]],5,FALSE),"-")</f>
        <v>CLAUDIO</v>
      </c>
      <c r="AM64" s="62" t="str">
        <f>IFERROR(VLOOKUP(Table2[[#This Row],[Contraente]],Table1[[Nome/Ragione sociale]:[Checkbox selezionato]],6,FALSE),"-")</f>
        <v>-</v>
      </c>
      <c r="AN64" s="63" t="str">
        <f>IFERROR(VLOOKUP(Table2[[#This Row],[Contraente]],Table1[[Nome/Ragione sociale]:[Checkbox selezionato]],7,FALSE),"-")</f>
        <v>papies@email.it</v>
      </c>
      <c r="AO64" s="63">
        <f>IFERROR(VLOOKUP(Table2[[#This Row],[Contraente]],Table1[[Nome/Ragione sociale]:[Checkbox selezionato]],8,FALSE),"-")</f>
        <v>0</v>
      </c>
      <c r="AP64" s="63">
        <f>IFERROR(VLOOKUP(Table2[[#This Row],[Contraente]],Table1[[Nome/Ragione sociale]:[Checkbox selezionato]],10,FALSE),"-")</f>
        <v>3315474576</v>
      </c>
      <c r="AQ64" s="63" t="str">
        <f>IFERROR(VLOOKUP(Table2[[#This Row],[Contraente]],Table1[[Nome/Ragione sociale]:[Checkbox selezionato]],11,FALSE),"-")</f>
        <v>SI</v>
      </c>
      <c r="AR64" s="63" t="str">
        <f>IFERROR(VLOOKUP(Table2[[#This Row],[Contraente]],Table1[[Nome/Ragione sociale]:[Checkbox selezionato]],12,FALSE),"-")</f>
        <v>SI</v>
      </c>
    </row>
    <row r="65" spans="1:44" ht="30" hidden="1" customHeight="1" x14ac:dyDescent="0.25">
      <c r="A65" s="60" t="str">
        <f>UPPER(LEFT(Table2[[#This Row],[Contraente]],1))</f>
        <v>A</v>
      </c>
      <c r="B65" s="60" t="s">
        <v>1634</v>
      </c>
      <c r="C65" s="81" t="s">
        <v>269</v>
      </c>
      <c r="D65" s="80" t="s">
        <v>37</v>
      </c>
      <c r="E65" s="86">
        <v>103614190</v>
      </c>
      <c r="F65" s="64">
        <v>41919</v>
      </c>
      <c r="G65" s="64">
        <f>IFERROR(CALCOLASCADENZA(Table2[[#This Row],[Data attivazione]],Table2[[#This Row],[Rateizzazione]],Table2[[#This Row],[Data ultimo pagamento]],Table2[[#This Row],[Data prossima scadenza manuale]]),"-")</f>
        <v>41919</v>
      </c>
      <c r="H65" s="67" t="s">
        <v>31</v>
      </c>
      <c r="I65" s="67"/>
      <c r="J65" s="33">
        <v>0</v>
      </c>
      <c r="K65" s="88"/>
      <c r="L65" s="88">
        <v>810.06</v>
      </c>
      <c r="M65" s="67" t="s">
        <v>43</v>
      </c>
      <c r="N65" s="67" t="s">
        <v>52</v>
      </c>
      <c r="O65" s="27" t="s">
        <v>1631</v>
      </c>
      <c r="P65" s="33" t="s">
        <v>24</v>
      </c>
      <c r="Q6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" s="67" t="s">
        <v>2</v>
      </c>
      <c r="V65" s="62"/>
      <c r="W65" s="64">
        <v>693597</v>
      </c>
      <c r="X65" s="29">
        <f>DATE(YEAR(Table2[[#This Row],[Data attivazione]])+VLOOKUP(Table2[[#This Row],[Durata]],VALORE_DURATA,2,FALSE),MONTH(Table2[[#This Row],[Data attivazione]]),DAY(Table2[[#This Row],[Data attivazione]]))</f>
        <v>693962</v>
      </c>
      <c r="Y65" s="65"/>
      <c r="Z65" s="61"/>
      <c r="AA65" s="64" t="s">
        <v>88</v>
      </c>
      <c r="AB65" s="29" t="str">
        <f>IF(Table2[[#This Row],[Data ultimo versamento temp]]=0/1/1900,"-",Table2[[#This Row],[Data ultimo versamento temp]])</f>
        <v>-</v>
      </c>
      <c r="AC65" s="29">
        <f t="array" ref="AC65">MAX(IF(TableVersamenti[Polizza]=Table2[[#This Row],[Polizza]],TableVersamenti[Data prevista versamento],"-"))</f>
        <v>0</v>
      </c>
      <c r="AD65" s="62"/>
      <c r="AE65" s="106">
        <f>DATE(YEAR(Table2[[#This Row],[Data ultimo pagamento]]),MONTH(Table2[[#This Row],[Data ultimo pagamento]]), 1)</f>
        <v>41913</v>
      </c>
      <c r="AF65" s="106">
        <f>DATE(YEAR(Table2[[#This Row],[Data prossima scadenza]]),MONTH(Table2[[#This Row],[Data prossima scadenza]]), 1)</f>
        <v>41913</v>
      </c>
      <c r="AG65" s="33">
        <f>IFERROR(Table2[[#This Row],[Importo annuale]]*VLOOKUP(Table2[[#This Row],[Ramo]],RAMI_POLIZZA,2,FALSE),0)</f>
        <v>42.123119999999993</v>
      </c>
      <c r="AH65" s="65" t="s">
        <v>113</v>
      </c>
      <c r="AI65" s="63" t="str">
        <f>IFERROR(VLOOKUP(Table2[[#This Row],[Contraente]],Table1[[Nome/Ragione sociale]:[Checkbox selezionato]],2,FALSE),"-")</f>
        <v>SANTA GIULIETTA</v>
      </c>
      <c r="AJ65" s="63">
        <f>IFERROR(VLOOKUP(Table2[[#This Row],[Contraente]],Table1[[Nome/Ragione sociale]:[Checkbox selezionato]],3,FALSE),"-")</f>
        <v>3346648737</v>
      </c>
      <c r="AK65" s="63">
        <f>IFERROR(VLOOKUP(Table2[[#This Row],[Contraente]],Table1[[Nome/Ragione sociale]:[Checkbox selezionato]],4,FALSE),"-")</f>
        <v>0</v>
      </c>
      <c r="AL65" s="63" t="str">
        <f>IFERROR(VLOOKUP(Table2[[#This Row],[Contraente]],Table1[[Nome/Ragione sociale]:[Checkbox selezionato]],5,FALSE),"-")</f>
        <v>MAHMOUD</v>
      </c>
      <c r="AM65" s="62">
        <f>IFERROR(VLOOKUP(Table2[[#This Row],[Contraente]],Table1[[Nome/Ragione sociale]:[Checkbox selezionato]],6,FALSE),"-")</f>
        <v>27476</v>
      </c>
      <c r="AN65" s="63" t="str">
        <f>IFERROR(VLOOKUP(Table2[[#This Row],[Contraente]],Table1[[Nome/Ragione sociale]:[Checkbox selezionato]],7,FALSE),"-")</f>
        <v>papies@libero.it</v>
      </c>
      <c r="AO65" s="63">
        <f>IFERROR(VLOOKUP(Table2[[#This Row],[Contraente]],Table1[[Nome/Ragione sociale]:[Checkbox selezionato]],8,FALSE),"-")</f>
        <v>0</v>
      </c>
      <c r="AP65" s="63">
        <f>IFERROR(VLOOKUP(Table2[[#This Row],[Contraente]],Table1[[Nome/Ragione sociale]:[Checkbox selezionato]],10,FALSE),"-")</f>
        <v>3346648737</v>
      </c>
      <c r="AQ65" s="63" t="str">
        <f>IFERROR(VLOOKUP(Table2[[#This Row],[Contraente]],Table1[[Nome/Ragione sociale]:[Checkbox selezionato]],11,FALSE),"-")</f>
        <v>SI</v>
      </c>
      <c r="AR65" s="63" t="str">
        <f>IFERROR(VLOOKUP(Table2[[#This Row],[Contraente]],Table1[[Nome/Ragione sociale]:[Checkbox selezionato]],12,FALSE),"-")</f>
        <v>SI</v>
      </c>
    </row>
    <row r="66" spans="1:44" ht="30" hidden="1" customHeight="1" x14ac:dyDescent="0.25">
      <c r="A66" s="60" t="str">
        <f>UPPER(LEFT(Table2[[#This Row],[Contraente]],1))</f>
        <v>A</v>
      </c>
      <c r="B66" s="60" t="s">
        <v>1634</v>
      </c>
      <c r="C66" s="81" t="s">
        <v>269</v>
      </c>
      <c r="D66" s="80" t="s">
        <v>37</v>
      </c>
      <c r="E66" s="86">
        <v>104255434</v>
      </c>
      <c r="F66" s="64">
        <v>42097</v>
      </c>
      <c r="G66" s="64">
        <f>IFERROR(CALCOLASCADENZA(Table2[[#This Row],[Data attivazione]],Table2[[#This Row],[Rateizzazione]],Table2[[#This Row],[Data ultimo pagamento]],Table2[[#This Row],[Data prossima scadenza manuale]]),"-")</f>
        <v>42097</v>
      </c>
      <c r="H66" s="67" t="s">
        <v>31</v>
      </c>
      <c r="I66" s="67" t="s">
        <v>1151</v>
      </c>
      <c r="J66" s="33">
        <v>0</v>
      </c>
      <c r="K66" s="88"/>
      <c r="L66" s="88">
        <v>0</v>
      </c>
      <c r="M66" s="67" t="s">
        <v>43</v>
      </c>
      <c r="N66" s="67" t="s">
        <v>52</v>
      </c>
      <c r="O66" s="27" t="s">
        <v>1631</v>
      </c>
      <c r="P66" s="33" t="s">
        <v>24</v>
      </c>
      <c r="Q6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" s="67" t="s">
        <v>2</v>
      </c>
      <c r="V66" s="62"/>
      <c r="W66" s="64">
        <v>693597</v>
      </c>
      <c r="X66" s="29">
        <f>DATE(YEAR(Table2[[#This Row],[Data attivazione]])+VLOOKUP(Table2[[#This Row],[Durata]],VALORE_DURATA,2,FALSE),MONTH(Table2[[#This Row],[Data attivazione]]),DAY(Table2[[#This Row],[Data attivazione]]))</f>
        <v>693962</v>
      </c>
      <c r="Y66" s="65"/>
      <c r="Z66" s="61"/>
      <c r="AA66" s="64" t="s">
        <v>88</v>
      </c>
      <c r="AB66" s="29" t="str">
        <f>IF(Table2[[#This Row],[Data ultimo versamento temp]]=0/1/1900,"-",Table2[[#This Row],[Data ultimo versamento temp]])</f>
        <v>-</v>
      </c>
      <c r="AC66" s="29">
        <f t="array" ref="AC66">MAX(IF(TableVersamenti[Polizza]=Table2[[#This Row],[Polizza]],TableVersamenti[Data prevista versamento],"-"))</f>
        <v>0</v>
      </c>
      <c r="AD66" s="62"/>
      <c r="AE66" s="106">
        <f>DATE(YEAR(Table2[[#This Row],[Data ultimo pagamento]]),MONTH(Table2[[#This Row],[Data ultimo pagamento]]), 1)</f>
        <v>42095</v>
      </c>
      <c r="AF66" s="106">
        <f>DATE(YEAR(Table2[[#This Row],[Data prossima scadenza]]),MONTH(Table2[[#This Row],[Data prossima scadenza]]), 1)</f>
        <v>42095</v>
      </c>
      <c r="AG66" s="33">
        <f>IFERROR(Table2[[#This Row],[Importo annuale]]*VLOOKUP(Table2[[#This Row],[Ramo]],RAMI_POLIZZA,2,FALSE),0)</f>
        <v>0</v>
      </c>
      <c r="AH66" s="65" t="s">
        <v>113</v>
      </c>
      <c r="AI66" s="63" t="str">
        <f>IFERROR(VLOOKUP(Table2[[#This Row],[Contraente]],Table1[[Nome/Ragione sociale]:[Checkbox selezionato]],2,FALSE),"-")</f>
        <v>SANTA GIULIETTA</v>
      </c>
      <c r="AJ66" s="63">
        <f>IFERROR(VLOOKUP(Table2[[#This Row],[Contraente]],Table1[[Nome/Ragione sociale]:[Checkbox selezionato]],3,FALSE),"-")</f>
        <v>3346648737</v>
      </c>
      <c r="AK66" s="63">
        <f>IFERROR(VLOOKUP(Table2[[#This Row],[Contraente]],Table1[[Nome/Ragione sociale]:[Checkbox selezionato]],4,FALSE),"-")</f>
        <v>0</v>
      </c>
      <c r="AL66" s="63" t="str">
        <f>IFERROR(VLOOKUP(Table2[[#This Row],[Contraente]],Table1[[Nome/Ragione sociale]:[Checkbox selezionato]],5,FALSE),"-")</f>
        <v>MAHMOUD</v>
      </c>
      <c r="AM66" s="62">
        <f>IFERROR(VLOOKUP(Table2[[#This Row],[Contraente]],Table1[[Nome/Ragione sociale]:[Checkbox selezionato]],6,FALSE),"-")</f>
        <v>27476</v>
      </c>
      <c r="AN66" s="63" t="str">
        <f>IFERROR(VLOOKUP(Table2[[#This Row],[Contraente]],Table1[[Nome/Ragione sociale]:[Checkbox selezionato]],7,FALSE),"-")</f>
        <v>papies@libero.it</v>
      </c>
      <c r="AO66" s="63">
        <f>IFERROR(VLOOKUP(Table2[[#This Row],[Contraente]],Table1[[Nome/Ragione sociale]:[Checkbox selezionato]],8,FALSE),"-")</f>
        <v>0</v>
      </c>
      <c r="AP66" s="63">
        <f>IFERROR(VLOOKUP(Table2[[#This Row],[Contraente]],Table1[[Nome/Ragione sociale]:[Checkbox selezionato]],10,FALSE),"-")</f>
        <v>3346648737</v>
      </c>
      <c r="AQ66" s="63" t="str">
        <f>IFERROR(VLOOKUP(Table2[[#This Row],[Contraente]],Table1[[Nome/Ragione sociale]:[Checkbox selezionato]],11,FALSE),"-")</f>
        <v>SI</v>
      </c>
      <c r="AR66" s="63" t="str">
        <f>IFERROR(VLOOKUP(Table2[[#This Row],[Contraente]],Table1[[Nome/Ragione sociale]:[Checkbox selezionato]],12,FALSE),"-")</f>
        <v>SI</v>
      </c>
    </row>
    <row r="67" spans="1:44" ht="30" hidden="1" customHeight="1" x14ac:dyDescent="0.25">
      <c r="A67" s="60" t="str">
        <f>UPPER(LEFT(Table2[[#This Row],[Contraente]],1))</f>
        <v>A</v>
      </c>
      <c r="B67" s="60" t="s">
        <v>1634</v>
      </c>
      <c r="C67" s="81" t="s">
        <v>275</v>
      </c>
      <c r="D67" s="81" t="s">
        <v>37</v>
      </c>
      <c r="E67" s="86">
        <v>106389017</v>
      </c>
      <c r="F67" s="64">
        <v>42923</v>
      </c>
      <c r="G67" s="64">
        <f>IFERROR(CALCOLASCADENZA(Table2[[#This Row],[Data attivazione]],Table2[[#This Row],[Rateizzazione]],Table2[[#This Row],[Data ultimo pagamento]],Table2[[#This Row],[Data prossima scadenza manuale]]),"-")</f>
        <v>43103</v>
      </c>
      <c r="H67" s="67" t="s">
        <v>31</v>
      </c>
      <c r="I67" s="67" t="s">
        <v>1152</v>
      </c>
      <c r="J67" s="33">
        <f>IFERROR(Table2[[#This Row],[Importo annuale]]/(12/VLOOKUP(Table2[[#This Row],[Rateizzazione]],TIPI_RATEIZZAZIONI,2,FALSE)),"-")</f>
        <v>210.85</v>
      </c>
      <c r="K67" s="88">
        <v>421.7</v>
      </c>
      <c r="L67" s="88">
        <v>421.7</v>
      </c>
      <c r="M67" s="67" t="s">
        <v>43</v>
      </c>
      <c r="N67" s="67" t="s">
        <v>52</v>
      </c>
      <c r="O67" s="27" t="s">
        <v>1631</v>
      </c>
      <c r="P67" s="33" t="s">
        <v>22</v>
      </c>
      <c r="Q67" s="60">
        <f>IFERROR(IF(12 / VLOOKUP(Table2[[#This Row],[Rateizzazione]],TIPI_RATEIZZAZIONI,2,FALSE) &gt;=1,  IF(Table2[[#This Row],[Data attivazione]] = "","-",MONTH(Table2[[#This Row],[Data attivazione]])),"-"),"-")</f>
        <v>1</v>
      </c>
      <c r="R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" s="67" t="s">
        <v>133</v>
      </c>
      <c r="V67" s="62"/>
      <c r="W67" s="64">
        <v>42738</v>
      </c>
      <c r="X67" s="29">
        <f>DATE(YEAR(Table2[[#This Row],[Data attivazione]])+VLOOKUP(Table2[[#This Row],[Durata]],VALORE_DURATA,2,FALSE),MONTH(Table2[[#This Row],[Data attivazione]]),DAY(Table2[[#This Row],[Data attivazione]]))</f>
        <v>43103</v>
      </c>
      <c r="Y67" s="65"/>
      <c r="Z67" s="61"/>
      <c r="AA67" s="64" t="s">
        <v>85</v>
      </c>
      <c r="AB67" s="29">
        <f>IF(Table2[[#This Row],[Data ultimo versamento temp]]=0/1/1900,"-",Table2[[#This Row],[Data ultimo versamento temp]])</f>
        <v>42926</v>
      </c>
      <c r="AC67" s="29">
        <f t="array" ref="AC67">MAX(IF(TableVersamenti[Polizza]=Table2[[#This Row],[Polizza]],TableVersamenti[Data prevista versamento],"-"))</f>
        <v>42926</v>
      </c>
      <c r="AD67" s="62"/>
      <c r="AE67" s="106">
        <f>DATE(YEAR(Table2[[#This Row],[Data ultimo pagamento]]),MONTH(Table2[[#This Row],[Data ultimo pagamento]]), 1)</f>
        <v>42917</v>
      </c>
      <c r="AF67" s="106">
        <f>DATE(YEAR(Table2[[#This Row],[Data prossima scadenza]]),MONTH(Table2[[#This Row],[Data prossima scadenza]]), 1)</f>
        <v>43101</v>
      </c>
      <c r="AG67" s="33">
        <f>IFERROR(Table2[[#This Row],[Importo annuale]]*VLOOKUP(Table2[[#This Row],[Ramo]],RAMI_POLIZZA,2,FALSE),0)</f>
        <v>21.9284</v>
      </c>
      <c r="AH67" s="65" t="s">
        <v>113</v>
      </c>
      <c r="AI67" s="63" t="str">
        <f>IFERROR(VLOOKUP(Table2[[#This Row],[Contraente]],Table1[[Nome/Ragione sociale]:[Checkbox selezionato]],2,FALSE),"-")</f>
        <v>ZIANO PIACENTINO</v>
      </c>
      <c r="AJ67" s="63">
        <f>IFERROR(VLOOKUP(Table2[[#This Row],[Contraente]],Table1[[Nome/Ragione sociale]:[Checkbox selezionato]],3,FALSE),"-")</f>
        <v>3488711029</v>
      </c>
      <c r="AK67" s="63" t="str">
        <f>IFERROR(VLOOKUP(Table2[[#This Row],[Contraente]],Table1[[Nome/Ragione sociale]:[Checkbox selezionato]],4,FALSE),"-")</f>
        <v>.0523863476</v>
      </c>
      <c r="AL67" s="63" t="str">
        <f>IFERROR(VLOOKUP(Table2[[#This Row],[Contraente]],Table1[[Nome/Ragione sociale]:[Checkbox selezionato]],5,FALSE),"-")</f>
        <v>ATTILIO</v>
      </c>
      <c r="AM67" s="62">
        <f>IFERROR(VLOOKUP(Table2[[#This Row],[Contraente]],Table1[[Nome/Ragione sociale]:[Checkbox selezionato]],6,FALSE),"-")</f>
        <v>31219</v>
      </c>
      <c r="AN67" s="63" t="str">
        <f>IFERROR(VLOOKUP(Table2[[#This Row],[Contraente]],Table1[[Nome/Ragione sociale]:[Checkbox selezionato]],7,FALSE),"-")</f>
        <v>papies@libero.it</v>
      </c>
      <c r="AO67" s="63">
        <f>IFERROR(VLOOKUP(Table2[[#This Row],[Contraente]],Table1[[Nome/Ragione sociale]:[Checkbox selezionato]],8,FALSE),"-")</f>
        <v>0</v>
      </c>
      <c r="AP67" s="63">
        <f>IFERROR(VLOOKUP(Table2[[#This Row],[Contraente]],Table1[[Nome/Ragione sociale]:[Checkbox selezionato]],10,FALSE),"-")</f>
        <v>3488711029</v>
      </c>
      <c r="AQ67" s="63" t="str">
        <f>IFERROR(VLOOKUP(Table2[[#This Row],[Contraente]],Table1[[Nome/Ragione sociale]:[Checkbox selezionato]],11,FALSE),"-")</f>
        <v>SI</v>
      </c>
      <c r="AR67" s="63" t="str">
        <f>IFERROR(VLOOKUP(Table2[[#This Row],[Contraente]],Table1[[Nome/Ragione sociale]:[Checkbox selezionato]],12,FALSE),"-")</f>
        <v>SI</v>
      </c>
    </row>
    <row r="68" spans="1:44" ht="30" hidden="1" customHeight="1" x14ac:dyDescent="0.25">
      <c r="A68" s="60" t="str">
        <f>UPPER(LEFT(Table2[[#This Row],[Contraente]],1))</f>
        <v>A</v>
      </c>
      <c r="B68" s="60" t="s">
        <v>1634</v>
      </c>
      <c r="C68" s="81" t="s">
        <v>276</v>
      </c>
      <c r="D68" s="80" t="s">
        <v>37</v>
      </c>
      <c r="E68" s="86">
        <v>100382223</v>
      </c>
      <c r="F68" s="64">
        <v>42851</v>
      </c>
      <c r="G68" s="64">
        <f>IFERROR(CALCOLASCADENZA(Table2[[#This Row],[Data attivazione]],Table2[[#This Row],[Rateizzazione]],Table2[[#This Row],[Data ultimo pagamento]],Table2[[#This Row],[Data prossima scadenza manuale]]),"-")</f>
        <v>43217</v>
      </c>
      <c r="H68" s="67" t="s">
        <v>30</v>
      </c>
      <c r="I68" s="67" t="s">
        <v>113</v>
      </c>
      <c r="J68" s="33">
        <f>IFERROR(Table2[[#This Row],[Importo annuale]]/(12/VLOOKUP(Table2[[#This Row],[Rateizzazione]],TIPI_RATEIZZAZIONI,2,FALSE)),"-")</f>
        <v>400</v>
      </c>
      <c r="K68" s="88">
        <v>400</v>
      </c>
      <c r="L68" s="88">
        <v>400</v>
      </c>
      <c r="M68" s="67" t="s">
        <v>44</v>
      </c>
      <c r="N68" s="67" t="s">
        <v>51</v>
      </c>
      <c r="O68" s="27" t="s">
        <v>1631</v>
      </c>
      <c r="P68" s="33" t="s">
        <v>23</v>
      </c>
      <c r="Q68" s="60">
        <f>IFERROR(IF(12 / VLOOKUP(Table2[[#This Row],[Rateizzazione]],TIPI_RATEIZZAZIONI,2,FALSE) &gt;=1,  IF(Table2[[#This Row],[Data attivazione]] = "","-",MONTH(Table2[[#This Row],[Data attivazione]])),"-"),"-")</f>
        <v>4</v>
      </c>
      <c r="R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" s="67" t="s">
        <v>2</v>
      </c>
      <c r="V68" s="62"/>
      <c r="W68" s="64">
        <v>42852</v>
      </c>
      <c r="X68" s="29">
        <f>DATE(YEAR(Table2[[#This Row],[Data attivazione]])+VLOOKUP(Table2[[#This Row],[Durata]],VALORE_DURATA,2,FALSE),MONTH(Table2[[#This Row],[Data attivazione]]),DAY(Table2[[#This Row],[Data attivazione]]))</f>
        <v>43217</v>
      </c>
      <c r="Y68" s="65"/>
      <c r="Z68" s="61"/>
      <c r="AA68" s="64" t="s">
        <v>85</v>
      </c>
      <c r="AB68" s="29" t="str">
        <f>IF(Table2[[#This Row],[Data ultimo versamento temp]]=0/1/1900,"-",Table2[[#This Row],[Data ultimo versamento temp]])</f>
        <v>-</v>
      </c>
      <c r="AC68" s="29">
        <f t="array" ref="AC68">MAX(IF(TableVersamenti[Polizza]=Table2[[#This Row],[Polizza]],TableVersamenti[Data prevista versamento],"-"))</f>
        <v>0</v>
      </c>
      <c r="AD68" s="62"/>
      <c r="AE68" s="106">
        <f>DATE(YEAR(Table2[[#This Row],[Data ultimo pagamento]]),MONTH(Table2[[#This Row],[Data ultimo pagamento]]), 1)</f>
        <v>42826</v>
      </c>
      <c r="AF68" s="106">
        <f>DATE(YEAR(Table2[[#This Row],[Data prossima scadenza]]),MONTH(Table2[[#This Row],[Data prossima scadenza]]), 1)</f>
        <v>43191</v>
      </c>
      <c r="AG68" s="33">
        <f>IFERROR(Table2[[#This Row],[Importo annuale]]*VLOOKUP(Table2[[#This Row],[Ramo]],RAMI_POLIZZA,2,FALSE),0)</f>
        <v>46</v>
      </c>
      <c r="AH68" s="65" t="s">
        <v>113</v>
      </c>
      <c r="AI68" s="63" t="str">
        <f>IFERROR(VLOOKUP(Table2[[#This Row],[Contraente]],Table1[[Nome/Ragione sociale]:[Checkbox selezionato]],2,FALSE),"-")</f>
        <v>BORGO SAN GIOVANNI</v>
      </c>
      <c r="AJ68" s="63">
        <f>IFERROR(VLOOKUP(Table2[[#This Row],[Contraente]],Table1[[Nome/Ragione sociale]:[Checkbox selezionato]],3,FALSE),"-")</f>
        <v>3385004980</v>
      </c>
      <c r="AK68" s="63">
        <f>IFERROR(VLOOKUP(Table2[[#This Row],[Contraente]],Table1[[Nome/Ragione sociale]:[Checkbox selezionato]],4,FALSE),"-")</f>
        <v>0</v>
      </c>
      <c r="AL68" s="63" t="str">
        <f>IFERROR(VLOOKUP(Table2[[#This Row],[Contraente]],Table1[[Nome/Ragione sociale]:[Checkbox selezionato]],5,FALSE),"-")</f>
        <v>PAOLO</v>
      </c>
      <c r="AM68" s="62" t="str">
        <f>IFERROR(VLOOKUP(Table2[[#This Row],[Contraente]],Table1[[Nome/Ragione sociale]:[Checkbox selezionato]],6,FALSE),"-")</f>
        <v>-</v>
      </c>
      <c r="AN68" s="63" t="str">
        <f>IFERROR(VLOOKUP(Table2[[#This Row],[Contraente]],Table1[[Nome/Ragione sociale]:[Checkbox selezionato]],7,FALSE),"-")</f>
        <v>papies@email.it</v>
      </c>
      <c r="AO68" s="63">
        <f>IFERROR(VLOOKUP(Table2[[#This Row],[Contraente]],Table1[[Nome/Ragione sociale]:[Checkbox selezionato]],8,FALSE),"-")</f>
        <v>0</v>
      </c>
      <c r="AP68" s="63">
        <f>IFERROR(VLOOKUP(Table2[[#This Row],[Contraente]],Table1[[Nome/Ragione sociale]:[Checkbox selezionato]],10,FALSE),"-")</f>
        <v>3385004980</v>
      </c>
      <c r="AQ68" s="63" t="str">
        <f>IFERROR(VLOOKUP(Table2[[#This Row],[Contraente]],Table1[[Nome/Ragione sociale]:[Checkbox selezionato]],11,FALSE),"-")</f>
        <v>SI</v>
      </c>
      <c r="AR68" s="63" t="str">
        <f>IFERROR(VLOOKUP(Table2[[#This Row],[Contraente]],Table1[[Nome/Ragione sociale]:[Checkbox selezionato]],12,FALSE),"-")</f>
        <v>SI</v>
      </c>
    </row>
    <row r="69" spans="1:44" ht="30" hidden="1" customHeight="1" x14ac:dyDescent="0.25">
      <c r="A69" s="60" t="str">
        <f>UPPER(LEFT(Table2[[#This Row],[Contraente]],1))</f>
        <v>A</v>
      </c>
      <c r="B69" s="60" t="s">
        <v>1634</v>
      </c>
      <c r="C69" s="81" t="s">
        <v>276</v>
      </c>
      <c r="D69" s="81" t="s">
        <v>37</v>
      </c>
      <c r="E69" s="86">
        <v>100382229</v>
      </c>
      <c r="F69" s="64">
        <v>42851</v>
      </c>
      <c r="G69" s="64">
        <f>IFERROR(CALCOLASCADENZA(Table2[[#This Row],[Data attivazione]],Table2[[#This Row],[Rateizzazione]],Table2[[#This Row],[Data ultimo pagamento]],Table2[[#This Row],[Data prossima scadenza manuale]]),"-")</f>
        <v>43217</v>
      </c>
      <c r="H69" s="67" t="s">
        <v>30</v>
      </c>
      <c r="I69" s="67" t="s">
        <v>113</v>
      </c>
      <c r="J69" s="33">
        <f>IFERROR(Table2[[#This Row],[Importo annuale]]/(12/VLOOKUP(Table2[[#This Row],[Rateizzazione]],TIPI_RATEIZZAZIONI,2,FALSE)),"-")</f>
        <v>285</v>
      </c>
      <c r="K69" s="88">
        <v>285</v>
      </c>
      <c r="L69" s="88">
        <v>285</v>
      </c>
      <c r="M69" s="67" t="s">
        <v>44</v>
      </c>
      <c r="N69" s="67" t="s">
        <v>51</v>
      </c>
      <c r="O69" s="27" t="s">
        <v>1631</v>
      </c>
      <c r="P69" s="33" t="s">
        <v>23</v>
      </c>
      <c r="Q69" s="60">
        <f>IFERROR(IF(12 / VLOOKUP(Table2[[#This Row],[Rateizzazione]],TIPI_RATEIZZAZIONI,2,FALSE) &gt;=1,  IF(Table2[[#This Row],[Data attivazione]] = "","-",MONTH(Table2[[#This Row],[Data attivazione]])),"-"),"-")</f>
        <v>4</v>
      </c>
      <c r="R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" s="67" t="s">
        <v>2</v>
      </c>
      <c r="V69" s="62"/>
      <c r="W69" s="64">
        <v>42852</v>
      </c>
      <c r="X69" s="29">
        <f>DATE(YEAR(Table2[[#This Row],[Data attivazione]])+VLOOKUP(Table2[[#This Row],[Durata]],VALORE_DURATA,2,FALSE),MONTH(Table2[[#This Row],[Data attivazione]]),DAY(Table2[[#This Row],[Data attivazione]]))</f>
        <v>43217</v>
      </c>
      <c r="Y69" s="65"/>
      <c r="Z69" s="61"/>
      <c r="AA69" s="64" t="s">
        <v>85</v>
      </c>
      <c r="AB69" s="29" t="str">
        <f>IF(Table2[[#This Row],[Data ultimo versamento temp]]=0/1/1900,"-",Table2[[#This Row],[Data ultimo versamento temp]])</f>
        <v>-</v>
      </c>
      <c r="AC69" s="29">
        <f t="array" ref="AC69">MAX(IF(TableVersamenti[Polizza]=Table2[[#This Row],[Polizza]],TableVersamenti[Data prevista versamento],"-"))</f>
        <v>0</v>
      </c>
      <c r="AD69" s="62"/>
      <c r="AE69" s="106">
        <f>DATE(YEAR(Table2[[#This Row],[Data ultimo pagamento]]),MONTH(Table2[[#This Row],[Data ultimo pagamento]]), 1)</f>
        <v>42826</v>
      </c>
      <c r="AF69" s="106">
        <f>DATE(YEAR(Table2[[#This Row],[Data prossima scadenza]]),MONTH(Table2[[#This Row],[Data prossima scadenza]]), 1)</f>
        <v>43191</v>
      </c>
      <c r="AG69" s="33">
        <f>IFERROR(Table2[[#This Row],[Importo annuale]]*VLOOKUP(Table2[[#This Row],[Ramo]],RAMI_POLIZZA,2,FALSE),0)</f>
        <v>32.774999999999999</v>
      </c>
      <c r="AH69" s="65" t="s">
        <v>113</v>
      </c>
      <c r="AI69" s="63" t="str">
        <f>IFERROR(VLOOKUP(Table2[[#This Row],[Contraente]],Table1[[Nome/Ragione sociale]:[Checkbox selezionato]],2,FALSE),"-")</f>
        <v>BORGO SAN GIOVANNI</v>
      </c>
      <c r="AJ69" s="63">
        <f>IFERROR(VLOOKUP(Table2[[#This Row],[Contraente]],Table1[[Nome/Ragione sociale]:[Checkbox selezionato]],3,FALSE),"-")</f>
        <v>3385004980</v>
      </c>
      <c r="AK69" s="63">
        <f>IFERROR(VLOOKUP(Table2[[#This Row],[Contraente]],Table1[[Nome/Ragione sociale]:[Checkbox selezionato]],4,FALSE),"-")</f>
        <v>0</v>
      </c>
      <c r="AL69" s="63" t="str">
        <f>IFERROR(VLOOKUP(Table2[[#This Row],[Contraente]],Table1[[Nome/Ragione sociale]:[Checkbox selezionato]],5,FALSE),"-")</f>
        <v>PAOLO</v>
      </c>
      <c r="AM69" s="62" t="str">
        <f>IFERROR(VLOOKUP(Table2[[#This Row],[Contraente]],Table1[[Nome/Ragione sociale]:[Checkbox selezionato]],6,FALSE),"-")</f>
        <v>-</v>
      </c>
      <c r="AN69" s="63" t="str">
        <f>IFERROR(VLOOKUP(Table2[[#This Row],[Contraente]],Table1[[Nome/Ragione sociale]:[Checkbox selezionato]],7,FALSE),"-")</f>
        <v>papies@email.it</v>
      </c>
      <c r="AO69" s="63">
        <f>IFERROR(VLOOKUP(Table2[[#This Row],[Contraente]],Table1[[Nome/Ragione sociale]:[Checkbox selezionato]],8,FALSE),"-")</f>
        <v>0</v>
      </c>
      <c r="AP69" s="63">
        <f>IFERROR(VLOOKUP(Table2[[#This Row],[Contraente]],Table1[[Nome/Ragione sociale]:[Checkbox selezionato]],10,FALSE),"-")</f>
        <v>3385004980</v>
      </c>
      <c r="AQ69" s="63" t="str">
        <f>IFERROR(VLOOKUP(Table2[[#This Row],[Contraente]],Table1[[Nome/Ragione sociale]:[Checkbox selezionato]],11,FALSE),"-")</f>
        <v>SI</v>
      </c>
      <c r="AR69" s="63" t="str">
        <f>IFERROR(VLOOKUP(Table2[[#This Row],[Contraente]],Table1[[Nome/Ragione sociale]:[Checkbox selezionato]],12,FALSE),"-")</f>
        <v>SI</v>
      </c>
    </row>
    <row r="70" spans="1:44" ht="30" hidden="1" customHeight="1" x14ac:dyDescent="0.25">
      <c r="A70" s="60" t="str">
        <f>UPPER(LEFT(Table2[[#This Row],[Contraente]],1))</f>
        <v>A</v>
      </c>
      <c r="B70" s="60" t="s">
        <v>1634</v>
      </c>
      <c r="C70" s="82" t="s">
        <v>279</v>
      </c>
      <c r="D70" s="80" t="s">
        <v>37</v>
      </c>
      <c r="E70" s="87">
        <v>106049964</v>
      </c>
      <c r="F70" s="64">
        <v>42878</v>
      </c>
      <c r="G70" s="64">
        <f>IFERROR(CALCOLASCADENZA(Table2[[#This Row],[Data attivazione]],Table2[[#This Row],[Rateizzazione]],Table2[[#This Row],[Data ultimo pagamento]],Table2[[#This Row],[Data prossima scadenza manuale]]),"-")</f>
        <v>43000</v>
      </c>
      <c r="H70" s="67" t="s">
        <v>31</v>
      </c>
      <c r="I70" s="67" t="s">
        <v>1153</v>
      </c>
      <c r="J70" s="33">
        <f>IFERROR(Table2[[#This Row],[Importo annuale]]/(12/VLOOKUP(Table2[[#This Row],[Rateizzazione]],TIPI_RATEIZZAZIONI,2,FALSE)),"-")</f>
        <v>170</v>
      </c>
      <c r="K70" s="88">
        <v>340</v>
      </c>
      <c r="L70" s="88">
        <v>510</v>
      </c>
      <c r="M70" s="67" t="s">
        <v>43</v>
      </c>
      <c r="N70" s="67" t="s">
        <v>51</v>
      </c>
      <c r="O70" s="27" t="s">
        <v>1631</v>
      </c>
      <c r="P70" s="33" t="s">
        <v>21</v>
      </c>
      <c r="Q70" s="60">
        <f>IFERROR(IF(12 / VLOOKUP(Table2[[#This Row],[Rateizzazione]],TIPI_RATEIZZAZIONI,2,FALSE) &gt;=1,  IF(Table2[[#This Row],[Data attivazione]] = "","-",MONTH(Table2[[#This Row],[Data attivazione]])),"-"),"-")</f>
        <v>9</v>
      </c>
      <c r="R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" s="67" t="s">
        <v>2</v>
      </c>
      <c r="V70" s="62"/>
      <c r="W70" s="64">
        <v>42635</v>
      </c>
      <c r="X70" s="29">
        <f>DATE(YEAR(Table2[[#This Row],[Data attivazione]])+VLOOKUP(Table2[[#This Row],[Durata]],VALORE_DURATA,2,FALSE),MONTH(Table2[[#This Row],[Data attivazione]]),DAY(Table2[[#This Row],[Data attivazione]]))</f>
        <v>43000</v>
      </c>
      <c r="Y70" s="65"/>
      <c r="Z70" s="61"/>
      <c r="AA70" s="64" t="s">
        <v>85</v>
      </c>
      <c r="AB70" s="29" t="str">
        <f>IF(Table2[[#This Row],[Data ultimo versamento temp]]=0/1/1900,"-",Table2[[#This Row],[Data ultimo versamento temp]])</f>
        <v>-</v>
      </c>
      <c r="AC70" s="29">
        <f t="array" ref="AC70">MAX(IF(TableVersamenti[Polizza]=Table2[[#This Row],[Polizza]],TableVersamenti[Data prevista versamento],"-"))</f>
        <v>0</v>
      </c>
      <c r="AD70" s="62"/>
      <c r="AE70" s="106">
        <f>DATE(YEAR(Table2[[#This Row],[Data ultimo pagamento]]),MONTH(Table2[[#This Row],[Data ultimo pagamento]]), 1)</f>
        <v>42856</v>
      </c>
      <c r="AF70" s="106">
        <f>DATE(YEAR(Table2[[#This Row],[Data prossima scadenza]]),MONTH(Table2[[#This Row],[Data prossima scadenza]]), 1)</f>
        <v>42979</v>
      </c>
      <c r="AG70" s="33">
        <f>IFERROR(Table2[[#This Row],[Importo annuale]]*VLOOKUP(Table2[[#This Row],[Ramo]],RAMI_POLIZZA,2,FALSE),0)</f>
        <v>26.52</v>
      </c>
      <c r="AH70" s="65" t="s">
        <v>113</v>
      </c>
      <c r="AI70" s="63" t="str">
        <f>IFERROR(VLOOKUP(Table2[[#This Row],[Contraente]],Table1[[Nome/Ragione sociale]:[Checkbox selezionato]],2,FALSE),"-")</f>
        <v>CORTEOLONA</v>
      </c>
      <c r="AJ70" s="63">
        <f>IFERROR(VLOOKUP(Table2[[#This Row],[Contraente]],Table1[[Nome/Ragione sociale]:[Checkbox selezionato]],3,FALSE),"-")</f>
        <v>3285594604</v>
      </c>
      <c r="AK70" s="63">
        <f>IFERROR(VLOOKUP(Table2[[#This Row],[Contraente]],Table1[[Nome/Ragione sociale]:[Checkbox selezionato]],4,FALSE),"-")</f>
        <v>0</v>
      </c>
      <c r="AL70" s="63" t="str">
        <f>IFERROR(VLOOKUP(Table2[[#This Row],[Contraente]],Table1[[Nome/Ragione sociale]:[Checkbox selezionato]],5,FALSE),"-")</f>
        <v>NOUREDDINE</v>
      </c>
      <c r="AM70" s="62">
        <f>IFERROR(VLOOKUP(Table2[[#This Row],[Contraente]],Table1[[Nome/Ragione sociale]:[Checkbox selezionato]],6,FALSE),"-")</f>
        <v>23510</v>
      </c>
      <c r="AN70" s="63" t="str">
        <f>IFERROR(VLOOKUP(Table2[[#This Row],[Contraente]],Table1[[Nome/Ragione sociale]:[Checkbox selezionato]],7,FALSE),"-")</f>
        <v>papies@libero.it</v>
      </c>
      <c r="AO70" s="63">
        <f>IFERROR(VLOOKUP(Table2[[#This Row],[Contraente]],Table1[[Nome/Ragione sociale]:[Checkbox selezionato]],8,FALSE),"-")</f>
        <v>0</v>
      </c>
      <c r="AP70" s="63">
        <f>IFERROR(VLOOKUP(Table2[[#This Row],[Contraente]],Table1[[Nome/Ragione sociale]:[Checkbox selezionato]],10,FALSE),"-")</f>
        <v>3285594604</v>
      </c>
      <c r="AQ70" s="63" t="str">
        <f>IFERROR(VLOOKUP(Table2[[#This Row],[Contraente]],Table1[[Nome/Ragione sociale]:[Checkbox selezionato]],11,FALSE),"-")</f>
        <v>SI</v>
      </c>
      <c r="AR70" s="63" t="str">
        <f>IFERROR(VLOOKUP(Table2[[#This Row],[Contraente]],Table1[[Nome/Ragione sociale]:[Checkbox selezionato]],12,FALSE),"-")</f>
        <v>SI</v>
      </c>
    </row>
    <row r="71" spans="1:44" ht="30" hidden="1" customHeight="1" x14ac:dyDescent="0.25">
      <c r="A71" s="60" t="str">
        <f>UPPER(LEFT(Table2[[#This Row],[Contraente]],1))</f>
        <v>B</v>
      </c>
      <c r="B71" s="60" t="s">
        <v>1634</v>
      </c>
      <c r="C71" s="81" t="s">
        <v>281</v>
      </c>
      <c r="D71" s="80" t="s">
        <v>37</v>
      </c>
      <c r="E71" s="86">
        <v>104302007</v>
      </c>
      <c r="F71" s="64">
        <v>42111</v>
      </c>
      <c r="G71" s="64">
        <f>IFERROR(CALCOLASCADENZA(Table2[[#This Row],[Data attivazione]],Table2[[#This Row],[Rateizzazione]],Table2[[#This Row],[Data ultimo pagamento]],Table2[[#This Row],[Data prossima scadenza manuale]]),"-")</f>
        <v>693778</v>
      </c>
      <c r="H71" s="67" t="s">
        <v>31</v>
      </c>
      <c r="I71" s="67" t="s">
        <v>1154</v>
      </c>
      <c r="J71" s="33">
        <f>IFERROR(Table2[[#This Row],[Importo annuale]]/(12/VLOOKUP(Table2[[#This Row],[Rateizzazione]],TIPI_RATEIZZAZIONI,2,FALSE)),"-")</f>
        <v>630</v>
      </c>
      <c r="K71" s="88"/>
      <c r="L71" s="88">
        <v>1260</v>
      </c>
      <c r="M71" s="67" t="s">
        <v>45</v>
      </c>
      <c r="N71" s="67" t="s">
        <v>52</v>
      </c>
      <c r="O71" s="27" t="s">
        <v>1631</v>
      </c>
      <c r="P71" s="33" t="s">
        <v>22</v>
      </c>
      <c r="Q71" s="60">
        <f>IFERROR(IF(12 / VLOOKUP(Table2[[#This Row],[Rateizzazione]],TIPI_RATEIZZAZIONI,2,FALSE) &gt;=1,  IF(Table2[[#This Row],[Data attivazione]] = "","-",MONTH(Table2[[#This Row],[Data attivazione]])),"-"),"-")</f>
        <v>12</v>
      </c>
      <c r="R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" s="67" t="s">
        <v>2</v>
      </c>
      <c r="V71" s="62"/>
      <c r="W71" s="64">
        <v>693597</v>
      </c>
      <c r="X71" s="29">
        <f>DATE(YEAR(Table2[[#This Row],[Data attivazione]])+VLOOKUP(Table2[[#This Row],[Durata]],VALORE_DURATA,2,FALSE),MONTH(Table2[[#This Row],[Data attivazione]]),DAY(Table2[[#This Row],[Data attivazione]]))</f>
        <v>693962</v>
      </c>
      <c r="Y71" s="65"/>
      <c r="Z71" s="61"/>
      <c r="AA71" s="64" t="s">
        <v>88</v>
      </c>
      <c r="AB71" s="29" t="str">
        <f>IF(Table2[[#This Row],[Data ultimo versamento temp]]=0/1/1900,"-",Table2[[#This Row],[Data ultimo versamento temp]])</f>
        <v>-</v>
      </c>
      <c r="AC71" s="29">
        <f t="array" ref="AC71">MAX(IF(TableVersamenti[Polizza]=Table2[[#This Row],[Polizza]],TableVersamenti[Data prevista versamento],"-"))</f>
        <v>0</v>
      </c>
      <c r="AD71" s="62"/>
      <c r="AE71" s="106">
        <f>DATE(YEAR(Table2[[#This Row],[Data ultimo pagamento]]),MONTH(Table2[[#This Row],[Data ultimo pagamento]]), 1)</f>
        <v>42095</v>
      </c>
      <c r="AF71" s="106">
        <f>DATE(YEAR(Table2[[#This Row],[Data prossima scadenza]]),MONTH(Table2[[#This Row],[Data prossima scadenza]]), 1)</f>
        <v>693749</v>
      </c>
      <c r="AG71" s="33">
        <f>IFERROR(Table2[[#This Row],[Importo annuale]]*VLOOKUP(Table2[[#This Row],[Ramo]],RAMI_POLIZZA,2,FALSE),0)</f>
        <v>65.52</v>
      </c>
      <c r="AH71" s="65" t="s">
        <v>113</v>
      </c>
      <c r="AI71" s="63" t="str">
        <f>IFERROR(VLOOKUP(Table2[[#This Row],[Contraente]],Table1[[Nome/Ragione sociale]:[Checkbox selezionato]],2,FALSE),"-")</f>
        <v>MILANO</v>
      </c>
      <c r="AJ71" s="63">
        <f>IFERROR(VLOOKUP(Table2[[#This Row],[Contraente]],Table1[[Nome/Ragione sociale]:[Checkbox selezionato]],3,FALSE),"-")</f>
        <v>3886780360</v>
      </c>
      <c r="AK71" s="63">
        <f>IFERROR(VLOOKUP(Table2[[#This Row],[Contraente]],Table1[[Nome/Ragione sociale]:[Checkbox selezionato]],4,FALSE),"-")</f>
        <v>0</v>
      </c>
      <c r="AL71" s="63" t="str">
        <f>IFERROR(VLOOKUP(Table2[[#This Row],[Contraente]],Table1[[Nome/Ragione sociale]:[Checkbox selezionato]],5,FALSE),"-")</f>
        <v>MARITO LEONE VITO</v>
      </c>
      <c r="AM71" s="62">
        <f>IFERROR(VLOOKUP(Table2[[#This Row],[Contraente]],Table1[[Nome/Ragione sociale]:[Checkbox selezionato]],6,FALSE),"-")</f>
        <v>21693</v>
      </c>
      <c r="AN71" s="63" t="str">
        <f>IFERROR(VLOOKUP(Table2[[#This Row],[Contraente]],Table1[[Nome/Ragione sociale]:[Checkbox selezionato]],7,FALSE),"-")</f>
        <v>papies@libero.it</v>
      </c>
      <c r="AO71" s="63">
        <f>IFERROR(VLOOKUP(Table2[[#This Row],[Contraente]],Table1[[Nome/Ragione sociale]:[Checkbox selezionato]],8,FALSE),"-")</f>
        <v>0</v>
      </c>
      <c r="AP71" s="63">
        <f>IFERROR(VLOOKUP(Table2[[#This Row],[Contraente]],Table1[[Nome/Ragione sociale]:[Checkbox selezionato]],10,FALSE),"-")</f>
        <v>3886780360</v>
      </c>
      <c r="AQ71" s="63" t="str">
        <f>IFERROR(VLOOKUP(Table2[[#This Row],[Contraente]],Table1[[Nome/Ragione sociale]:[Checkbox selezionato]],11,FALSE),"-")</f>
        <v>SI</v>
      </c>
      <c r="AR71" s="63" t="str">
        <f>IFERROR(VLOOKUP(Table2[[#This Row],[Contraente]],Table1[[Nome/Ragione sociale]:[Checkbox selezionato]],12,FALSE),"-")</f>
        <v>SI</v>
      </c>
    </row>
    <row r="72" spans="1:44" ht="30" hidden="1" customHeight="1" x14ac:dyDescent="0.25">
      <c r="A72" s="60" t="str">
        <f>UPPER(LEFT(Table2[[#This Row],[Contraente]],1))</f>
        <v>B</v>
      </c>
      <c r="B72" s="60" t="s">
        <v>1634</v>
      </c>
      <c r="C72" s="81" t="s">
        <v>284</v>
      </c>
      <c r="D72" s="80" t="s">
        <v>37</v>
      </c>
      <c r="E72" s="86">
        <v>105005162</v>
      </c>
      <c r="F72" s="64">
        <v>42697</v>
      </c>
      <c r="G72" s="64">
        <f>IFERROR(CALCOLASCADENZA(Table2[[#This Row],[Data attivazione]],Table2[[#This Row],[Rateizzazione]],Table2[[#This Row],[Data ultimo pagamento]],Table2[[#This Row],[Data prossima scadenza manuale]]),"-")</f>
        <v>43049</v>
      </c>
      <c r="H72" s="67" t="s">
        <v>30</v>
      </c>
      <c r="I72" s="67" t="s">
        <v>113</v>
      </c>
      <c r="J72" s="33">
        <f>IFERROR(Table2[[#This Row],[Importo annuale]]/(12/VLOOKUP(Table2[[#This Row],[Rateizzazione]],TIPI_RATEIZZAZIONI,2,FALSE)),"-")</f>
        <v>298</v>
      </c>
      <c r="K72" s="88"/>
      <c r="L72" s="88">
        <v>298</v>
      </c>
      <c r="M72" s="67" t="s">
        <v>43</v>
      </c>
      <c r="N72" s="67" t="s">
        <v>51</v>
      </c>
      <c r="O72" s="27" t="s">
        <v>1631</v>
      </c>
      <c r="P72" s="33" t="s">
        <v>23</v>
      </c>
      <c r="Q72" s="60">
        <f>IFERROR(IF(12 / VLOOKUP(Table2[[#This Row],[Rateizzazione]],TIPI_RATEIZZAZIONI,2,FALSE) &gt;=1,  IF(Table2[[#This Row],[Data attivazione]] = "","-",MONTH(Table2[[#This Row],[Data attivazione]])),"-"),"-")</f>
        <v>11</v>
      </c>
      <c r="R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" s="67" t="s">
        <v>2</v>
      </c>
      <c r="V72" s="62"/>
      <c r="W72" s="64">
        <v>42684</v>
      </c>
      <c r="X72" s="29">
        <f>DATE(YEAR(Table2[[#This Row],[Data attivazione]])+VLOOKUP(Table2[[#This Row],[Durata]],VALORE_DURATA,2,FALSE),MONTH(Table2[[#This Row],[Data attivazione]]),DAY(Table2[[#This Row],[Data attivazione]]))</f>
        <v>43049</v>
      </c>
      <c r="Y72" s="65"/>
      <c r="Z72" s="61"/>
      <c r="AA72" s="64" t="s">
        <v>85</v>
      </c>
      <c r="AB72" s="29" t="str">
        <f>IF(Table2[[#This Row],[Data ultimo versamento temp]]=0/1/1900,"-",Table2[[#This Row],[Data ultimo versamento temp]])</f>
        <v>-</v>
      </c>
      <c r="AC72" s="29">
        <f t="array" ref="AC72">MAX(IF(TableVersamenti[Polizza]=Table2[[#This Row],[Polizza]],TableVersamenti[Data prevista versamento],"-"))</f>
        <v>0</v>
      </c>
      <c r="AD72" s="62"/>
      <c r="AE72" s="106">
        <f>DATE(YEAR(Table2[[#This Row],[Data ultimo pagamento]]),MONTH(Table2[[#This Row],[Data ultimo pagamento]]), 1)</f>
        <v>42675</v>
      </c>
      <c r="AF72" s="106">
        <f>DATE(YEAR(Table2[[#This Row],[Data prossima scadenza]]),MONTH(Table2[[#This Row],[Data prossima scadenza]]), 1)</f>
        <v>43040</v>
      </c>
      <c r="AG72" s="33">
        <f>IFERROR(Table2[[#This Row],[Importo annuale]]*VLOOKUP(Table2[[#This Row],[Ramo]],RAMI_POLIZZA,2,FALSE),0)</f>
        <v>34.270000000000003</v>
      </c>
      <c r="AH72" s="65" t="s">
        <v>113</v>
      </c>
      <c r="AI72" s="63" t="str">
        <f>IFERROR(VLOOKUP(Table2[[#This Row],[Contraente]],Table1[[Nome/Ragione sociale]:[Checkbox selezionato]],2,FALSE),"-")</f>
        <v>CORTEOLONA</v>
      </c>
      <c r="AJ72" s="63">
        <f>IFERROR(VLOOKUP(Table2[[#This Row],[Contraente]],Table1[[Nome/Ragione sociale]:[Checkbox selezionato]],3,FALSE),"-")</f>
        <v>3497187101</v>
      </c>
      <c r="AK72" s="63">
        <f>IFERROR(VLOOKUP(Table2[[#This Row],[Contraente]],Table1[[Nome/Ragione sociale]:[Checkbox selezionato]],4,FALSE),"-")</f>
        <v>0</v>
      </c>
      <c r="AL72" s="63" t="str">
        <f>IFERROR(VLOOKUP(Table2[[#This Row],[Contraente]],Table1[[Nome/Ragione sociale]:[Checkbox selezionato]],5,FALSE),"-")</f>
        <v>GIANLUCA</v>
      </c>
      <c r="AM72" s="62">
        <f>IFERROR(VLOOKUP(Table2[[#This Row],[Contraente]],Table1[[Nome/Ragione sociale]:[Checkbox selezionato]],6,FALSE),"-")</f>
        <v>26779</v>
      </c>
      <c r="AN72" s="63" t="str">
        <f>IFERROR(VLOOKUP(Table2[[#This Row],[Contraente]],Table1[[Nome/Ragione sociale]:[Checkbox selezionato]],7,FALSE),"-")</f>
        <v>papies@email.it</v>
      </c>
      <c r="AO72" s="63">
        <f>IFERROR(VLOOKUP(Table2[[#This Row],[Contraente]],Table1[[Nome/Ragione sociale]:[Checkbox selezionato]],8,FALSE),"-")</f>
        <v>0</v>
      </c>
      <c r="AP72" s="63">
        <f>IFERROR(VLOOKUP(Table2[[#This Row],[Contraente]],Table1[[Nome/Ragione sociale]:[Checkbox selezionato]],10,FALSE),"-")</f>
        <v>3497187101</v>
      </c>
      <c r="AQ72" s="63" t="str">
        <f>IFERROR(VLOOKUP(Table2[[#This Row],[Contraente]],Table1[[Nome/Ragione sociale]:[Checkbox selezionato]],11,FALSE),"-")</f>
        <v>SI</v>
      </c>
      <c r="AR72" s="63" t="str">
        <f>IFERROR(VLOOKUP(Table2[[#This Row],[Contraente]],Table1[[Nome/Ragione sociale]:[Checkbox selezionato]],12,FALSE),"-")</f>
        <v>SI</v>
      </c>
    </row>
    <row r="73" spans="1:44" ht="30" hidden="1" customHeight="1" x14ac:dyDescent="0.25">
      <c r="A73" s="60" t="str">
        <f>UPPER(LEFT(Table2[[#This Row],[Contraente]],1))</f>
        <v>B</v>
      </c>
      <c r="B73" s="60" t="s">
        <v>1634</v>
      </c>
      <c r="C73" s="81" t="s">
        <v>284</v>
      </c>
      <c r="D73" s="80" t="s">
        <v>37</v>
      </c>
      <c r="E73" s="86">
        <v>106453937</v>
      </c>
      <c r="F73" s="64">
        <v>42759</v>
      </c>
      <c r="G73" s="64">
        <f>IFERROR(CALCOLASCADENZA(Table2[[#This Row],[Data attivazione]],Table2[[#This Row],[Rateizzazione]],Table2[[#This Row],[Data ultimo pagamento]],Table2[[#This Row],[Data prossima scadenza manuale]]),"-")</f>
        <v>43121</v>
      </c>
      <c r="H73" s="67" t="s">
        <v>31</v>
      </c>
      <c r="I73" s="67" t="s">
        <v>1157</v>
      </c>
      <c r="J73" s="33">
        <f>IFERROR(Table2[[#This Row],[Importo annuale]]/(12/VLOOKUP(Table2[[#This Row],[Rateizzazione]],TIPI_RATEIZZAZIONI,2,FALSE)),"-")</f>
        <v>410</v>
      </c>
      <c r="K73" s="88">
        <v>410</v>
      </c>
      <c r="L73" s="88">
        <v>410</v>
      </c>
      <c r="M73" s="67" t="s">
        <v>43</v>
      </c>
      <c r="N73" s="67" t="s">
        <v>51</v>
      </c>
      <c r="O73" s="27" t="s">
        <v>1631</v>
      </c>
      <c r="P73" s="33" t="s">
        <v>23</v>
      </c>
      <c r="Q73" s="60">
        <f>IFERROR(IF(12 / VLOOKUP(Table2[[#This Row],[Rateizzazione]],TIPI_RATEIZZAZIONI,2,FALSE) &gt;=1,  IF(Table2[[#This Row],[Data attivazione]] = "","-",MONTH(Table2[[#This Row],[Data attivazione]])),"-"),"-")</f>
        <v>1</v>
      </c>
      <c r="R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" s="67" t="s">
        <v>2</v>
      </c>
      <c r="V73" s="62"/>
      <c r="W73" s="64">
        <v>42756</v>
      </c>
      <c r="X73" s="29">
        <f>DATE(YEAR(Table2[[#This Row],[Data attivazione]])+VLOOKUP(Table2[[#This Row],[Durata]],VALORE_DURATA,2,FALSE),MONTH(Table2[[#This Row],[Data attivazione]]),DAY(Table2[[#This Row],[Data attivazione]]))</f>
        <v>43121</v>
      </c>
      <c r="Y73" s="65"/>
      <c r="Z73" s="61"/>
      <c r="AA73" s="64" t="s">
        <v>85</v>
      </c>
      <c r="AB73" s="29" t="str">
        <f>IF(Table2[[#This Row],[Data ultimo versamento temp]]=0/1/1900,"-",Table2[[#This Row],[Data ultimo versamento temp]])</f>
        <v>-</v>
      </c>
      <c r="AC73" s="29">
        <f t="array" ref="AC73">MAX(IF(TableVersamenti[Polizza]=Table2[[#This Row],[Polizza]],TableVersamenti[Data prevista versamento],"-"))</f>
        <v>0</v>
      </c>
      <c r="AD73" s="62"/>
      <c r="AE73" s="106">
        <f>DATE(YEAR(Table2[[#This Row],[Data ultimo pagamento]]),MONTH(Table2[[#This Row],[Data ultimo pagamento]]), 1)</f>
        <v>42736</v>
      </c>
      <c r="AF73" s="106">
        <f>DATE(YEAR(Table2[[#This Row],[Data prossima scadenza]]),MONTH(Table2[[#This Row],[Data prossima scadenza]]), 1)</f>
        <v>43101</v>
      </c>
      <c r="AG73" s="33">
        <f>IFERROR(Table2[[#This Row],[Importo annuale]]*VLOOKUP(Table2[[#This Row],[Ramo]],RAMI_POLIZZA,2,FALSE),0)</f>
        <v>21.32</v>
      </c>
      <c r="AH73" s="65" t="s">
        <v>113</v>
      </c>
      <c r="AI73" s="63" t="str">
        <f>IFERROR(VLOOKUP(Table2[[#This Row],[Contraente]],Table1[[Nome/Ragione sociale]:[Checkbox selezionato]],2,FALSE),"-")</f>
        <v>CORTEOLONA</v>
      </c>
      <c r="AJ73" s="63">
        <f>IFERROR(VLOOKUP(Table2[[#This Row],[Contraente]],Table1[[Nome/Ragione sociale]:[Checkbox selezionato]],3,FALSE),"-")</f>
        <v>3497187101</v>
      </c>
      <c r="AK73" s="63">
        <f>IFERROR(VLOOKUP(Table2[[#This Row],[Contraente]],Table1[[Nome/Ragione sociale]:[Checkbox selezionato]],4,FALSE),"-")</f>
        <v>0</v>
      </c>
      <c r="AL73" s="63" t="str">
        <f>IFERROR(VLOOKUP(Table2[[#This Row],[Contraente]],Table1[[Nome/Ragione sociale]:[Checkbox selezionato]],5,FALSE),"-")</f>
        <v>GIANLUCA</v>
      </c>
      <c r="AM73" s="62">
        <f>IFERROR(VLOOKUP(Table2[[#This Row],[Contraente]],Table1[[Nome/Ragione sociale]:[Checkbox selezionato]],6,FALSE),"-")</f>
        <v>26779</v>
      </c>
      <c r="AN73" s="63" t="str">
        <f>IFERROR(VLOOKUP(Table2[[#This Row],[Contraente]],Table1[[Nome/Ragione sociale]:[Checkbox selezionato]],7,FALSE),"-")</f>
        <v>papies@email.it</v>
      </c>
      <c r="AO73" s="63">
        <f>IFERROR(VLOOKUP(Table2[[#This Row],[Contraente]],Table1[[Nome/Ragione sociale]:[Checkbox selezionato]],8,FALSE),"-")</f>
        <v>0</v>
      </c>
      <c r="AP73" s="63">
        <f>IFERROR(VLOOKUP(Table2[[#This Row],[Contraente]],Table1[[Nome/Ragione sociale]:[Checkbox selezionato]],10,FALSE),"-")</f>
        <v>3497187101</v>
      </c>
      <c r="AQ73" s="63" t="str">
        <f>IFERROR(VLOOKUP(Table2[[#This Row],[Contraente]],Table1[[Nome/Ragione sociale]:[Checkbox selezionato]],11,FALSE),"-")</f>
        <v>SI</v>
      </c>
      <c r="AR73" s="63" t="str">
        <f>IFERROR(VLOOKUP(Table2[[#This Row],[Contraente]],Table1[[Nome/Ragione sociale]:[Checkbox selezionato]],12,FALSE),"-")</f>
        <v>SI</v>
      </c>
    </row>
    <row r="74" spans="1:44" ht="30" hidden="1" customHeight="1" x14ac:dyDescent="0.25">
      <c r="A74" s="60" t="str">
        <f>UPPER(LEFT(Table2[[#This Row],[Contraente]],1))</f>
        <v>B</v>
      </c>
      <c r="B74" s="60" t="s">
        <v>1634</v>
      </c>
      <c r="C74" s="81" t="s">
        <v>284</v>
      </c>
      <c r="D74" s="80" t="s">
        <v>37</v>
      </c>
      <c r="E74" s="86">
        <v>104700503</v>
      </c>
      <c r="F74" s="64">
        <v>42318</v>
      </c>
      <c r="G74" s="64">
        <f>IFERROR(CALCOLASCADENZA(Table2[[#This Row],[Data attivazione]],Table2[[#This Row],[Rateizzazione]],Table2[[#This Row],[Data ultimo pagamento]],Table2[[#This Row],[Data prossima scadenza manuale]]),"-")</f>
        <v>42318</v>
      </c>
      <c r="H74" s="67" t="s">
        <v>31</v>
      </c>
      <c r="I74" s="67" t="s">
        <v>1155</v>
      </c>
      <c r="J74" s="33">
        <v>-57.64</v>
      </c>
      <c r="K74" s="88"/>
      <c r="L74" s="88">
        <v>0</v>
      </c>
      <c r="M74" s="67" t="s">
        <v>43</v>
      </c>
      <c r="N74" s="67" t="s">
        <v>52</v>
      </c>
      <c r="O74" s="27" t="s">
        <v>1631</v>
      </c>
      <c r="P74" s="33" t="s">
        <v>24</v>
      </c>
      <c r="Q7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" s="67" t="s">
        <v>2</v>
      </c>
      <c r="V74" s="62"/>
      <c r="W74" s="64">
        <v>693597</v>
      </c>
      <c r="X74" s="29">
        <f>DATE(YEAR(Table2[[#This Row],[Data attivazione]])+VLOOKUP(Table2[[#This Row],[Durata]],VALORE_DURATA,2,FALSE),MONTH(Table2[[#This Row],[Data attivazione]]),DAY(Table2[[#This Row],[Data attivazione]]))</f>
        <v>693962</v>
      </c>
      <c r="Y74" s="65"/>
      <c r="Z74" s="61"/>
      <c r="AA74" s="64" t="s">
        <v>88</v>
      </c>
      <c r="AB74" s="29" t="str">
        <f>IF(Table2[[#This Row],[Data ultimo versamento temp]]=0/1/1900,"-",Table2[[#This Row],[Data ultimo versamento temp]])</f>
        <v>-</v>
      </c>
      <c r="AC74" s="29">
        <f t="array" ref="AC74">MAX(IF(TableVersamenti[Polizza]=Table2[[#This Row],[Polizza]],TableVersamenti[Data prevista versamento],"-"))</f>
        <v>0</v>
      </c>
      <c r="AD74" s="62"/>
      <c r="AE74" s="106">
        <f>DATE(YEAR(Table2[[#This Row],[Data ultimo pagamento]]),MONTH(Table2[[#This Row],[Data ultimo pagamento]]), 1)</f>
        <v>42309</v>
      </c>
      <c r="AF74" s="106">
        <f>DATE(YEAR(Table2[[#This Row],[Data prossima scadenza]]),MONTH(Table2[[#This Row],[Data prossima scadenza]]), 1)</f>
        <v>42309</v>
      </c>
      <c r="AG74" s="33">
        <f>IFERROR(Table2[[#This Row],[Importo annuale]]*VLOOKUP(Table2[[#This Row],[Ramo]],RAMI_POLIZZA,2,FALSE),0)</f>
        <v>0</v>
      </c>
      <c r="AH74" s="65" t="s">
        <v>113</v>
      </c>
      <c r="AI74" s="63" t="str">
        <f>IFERROR(VLOOKUP(Table2[[#This Row],[Contraente]],Table1[[Nome/Ragione sociale]:[Checkbox selezionato]],2,FALSE),"-")</f>
        <v>CORTEOLONA</v>
      </c>
      <c r="AJ74" s="63">
        <f>IFERROR(VLOOKUP(Table2[[#This Row],[Contraente]],Table1[[Nome/Ragione sociale]:[Checkbox selezionato]],3,FALSE),"-")</f>
        <v>3497187101</v>
      </c>
      <c r="AK74" s="63">
        <f>IFERROR(VLOOKUP(Table2[[#This Row],[Contraente]],Table1[[Nome/Ragione sociale]:[Checkbox selezionato]],4,FALSE),"-")</f>
        <v>0</v>
      </c>
      <c r="AL74" s="63" t="str">
        <f>IFERROR(VLOOKUP(Table2[[#This Row],[Contraente]],Table1[[Nome/Ragione sociale]:[Checkbox selezionato]],5,FALSE),"-")</f>
        <v>GIANLUCA</v>
      </c>
      <c r="AM74" s="62">
        <f>IFERROR(VLOOKUP(Table2[[#This Row],[Contraente]],Table1[[Nome/Ragione sociale]:[Checkbox selezionato]],6,FALSE),"-")</f>
        <v>26779</v>
      </c>
      <c r="AN74" s="63" t="str">
        <f>IFERROR(VLOOKUP(Table2[[#This Row],[Contraente]],Table1[[Nome/Ragione sociale]:[Checkbox selezionato]],7,FALSE),"-")</f>
        <v>papies@email.it</v>
      </c>
      <c r="AO74" s="63">
        <f>IFERROR(VLOOKUP(Table2[[#This Row],[Contraente]],Table1[[Nome/Ragione sociale]:[Checkbox selezionato]],8,FALSE),"-")</f>
        <v>0</v>
      </c>
      <c r="AP74" s="63">
        <f>IFERROR(VLOOKUP(Table2[[#This Row],[Contraente]],Table1[[Nome/Ragione sociale]:[Checkbox selezionato]],10,FALSE),"-")</f>
        <v>3497187101</v>
      </c>
      <c r="AQ74" s="63" t="str">
        <f>IFERROR(VLOOKUP(Table2[[#This Row],[Contraente]],Table1[[Nome/Ragione sociale]:[Checkbox selezionato]],11,FALSE),"-")</f>
        <v>SI</v>
      </c>
      <c r="AR74" s="63" t="str">
        <f>IFERROR(VLOOKUP(Table2[[#This Row],[Contraente]],Table1[[Nome/Ragione sociale]:[Checkbox selezionato]],12,FALSE),"-")</f>
        <v>SI</v>
      </c>
    </row>
    <row r="75" spans="1:44" ht="30" hidden="1" customHeight="1" x14ac:dyDescent="0.25">
      <c r="A75" s="60" t="str">
        <f>UPPER(LEFT(Table2[[#This Row],[Contraente]],1))</f>
        <v>B</v>
      </c>
      <c r="B75" s="60" t="s">
        <v>1634</v>
      </c>
      <c r="C75" s="81" t="s">
        <v>284</v>
      </c>
      <c r="D75" s="80" t="s">
        <v>37</v>
      </c>
      <c r="E75" s="86">
        <v>105142610</v>
      </c>
      <c r="F75" s="64">
        <v>42859</v>
      </c>
      <c r="G75" s="64">
        <f>IFERROR(CALCOLASCADENZA(Table2[[#This Row],[Data attivazione]],Table2[[#This Row],[Rateizzazione]],Table2[[#This Row],[Data ultimo pagamento]],Table2[[#This Row],[Data prossima scadenza manuale]]),"-")</f>
        <v>42970</v>
      </c>
      <c r="H75" s="67" t="s">
        <v>30</v>
      </c>
      <c r="I75" s="67" t="s">
        <v>113</v>
      </c>
      <c r="J75" s="33">
        <f>IFERROR(Table2[[#This Row],[Importo annuale]]/(12/VLOOKUP(Table2[[#This Row],[Rateizzazione]],TIPI_RATEIZZAZIONI,2,FALSE)),"-")</f>
        <v>275</v>
      </c>
      <c r="K75" s="88">
        <v>275</v>
      </c>
      <c r="L75" s="88">
        <v>825</v>
      </c>
      <c r="M75" s="67" t="s">
        <v>43</v>
      </c>
      <c r="N75" s="67" t="s">
        <v>51</v>
      </c>
      <c r="O75" s="27" t="s">
        <v>1631</v>
      </c>
      <c r="P75" s="33" t="s">
        <v>21</v>
      </c>
      <c r="Q75" s="60">
        <f>IFERROR(IF(12 / VLOOKUP(Table2[[#This Row],[Rateizzazione]],TIPI_RATEIZZAZIONI,2,FALSE) &gt;=1,  IF(Table2[[#This Row],[Data attivazione]] = "","-",MONTH(Table2[[#This Row],[Data attivazione]])),"-"),"-")</f>
        <v>8</v>
      </c>
      <c r="R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" s="67" t="s">
        <v>2</v>
      </c>
      <c r="V75" s="62"/>
      <c r="W75" s="64">
        <v>42605</v>
      </c>
      <c r="X75" s="29">
        <f>DATE(YEAR(Table2[[#This Row],[Data attivazione]])+VLOOKUP(Table2[[#This Row],[Durata]],VALORE_DURATA,2,FALSE),MONTH(Table2[[#This Row],[Data attivazione]]),DAY(Table2[[#This Row],[Data attivazione]]))</f>
        <v>42970</v>
      </c>
      <c r="Y75" s="65"/>
      <c r="Z75" s="61"/>
      <c r="AA75" s="64" t="s">
        <v>85</v>
      </c>
      <c r="AB75" s="29" t="str">
        <f>IF(Table2[[#This Row],[Data ultimo versamento temp]]=0/1/1900,"-",Table2[[#This Row],[Data ultimo versamento temp]])</f>
        <v>-</v>
      </c>
      <c r="AC75" s="29">
        <f t="array" ref="AC75">MAX(IF(TableVersamenti[Polizza]=Table2[[#This Row],[Polizza]],TableVersamenti[Data prevista versamento],"-"))</f>
        <v>0</v>
      </c>
      <c r="AD75" s="62"/>
      <c r="AE75" s="106">
        <f>DATE(YEAR(Table2[[#This Row],[Data ultimo pagamento]]),MONTH(Table2[[#This Row],[Data ultimo pagamento]]), 1)</f>
        <v>42856</v>
      </c>
      <c r="AF75" s="106">
        <f>DATE(YEAR(Table2[[#This Row],[Data prossima scadenza]]),MONTH(Table2[[#This Row],[Data prossima scadenza]]), 1)</f>
        <v>42948</v>
      </c>
      <c r="AG75" s="33">
        <f>IFERROR(Table2[[#This Row],[Importo annuale]]*VLOOKUP(Table2[[#This Row],[Ramo]],RAMI_POLIZZA,2,FALSE),0)</f>
        <v>94.875</v>
      </c>
      <c r="AH75" s="65" t="s">
        <v>113</v>
      </c>
      <c r="AI75" s="63" t="str">
        <f>IFERROR(VLOOKUP(Table2[[#This Row],[Contraente]],Table1[[Nome/Ragione sociale]:[Checkbox selezionato]],2,FALSE),"-")</f>
        <v>CORTEOLONA</v>
      </c>
      <c r="AJ75" s="63">
        <f>IFERROR(VLOOKUP(Table2[[#This Row],[Contraente]],Table1[[Nome/Ragione sociale]:[Checkbox selezionato]],3,FALSE),"-")</f>
        <v>3497187101</v>
      </c>
      <c r="AK75" s="63">
        <f>IFERROR(VLOOKUP(Table2[[#This Row],[Contraente]],Table1[[Nome/Ragione sociale]:[Checkbox selezionato]],4,FALSE),"-")</f>
        <v>0</v>
      </c>
      <c r="AL75" s="63" t="str">
        <f>IFERROR(VLOOKUP(Table2[[#This Row],[Contraente]],Table1[[Nome/Ragione sociale]:[Checkbox selezionato]],5,FALSE),"-")</f>
        <v>GIANLUCA</v>
      </c>
      <c r="AM75" s="62">
        <f>IFERROR(VLOOKUP(Table2[[#This Row],[Contraente]],Table1[[Nome/Ragione sociale]:[Checkbox selezionato]],6,FALSE),"-")</f>
        <v>26779</v>
      </c>
      <c r="AN75" s="63" t="str">
        <f>IFERROR(VLOOKUP(Table2[[#This Row],[Contraente]],Table1[[Nome/Ragione sociale]:[Checkbox selezionato]],7,FALSE),"-")</f>
        <v>papies@email.it</v>
      </c>
      <c r="AO75" s="63">
        <f>IFERROR(VLOOKUP(Table2[[#This Row],[Contraente]],Table1[[Nome/Ragione sociale]:[Checkbox selezionato]],8,FALSE),"-")</f>
        <v>0</v>
      </c>
      <c r="AP75" s="63">
        <f>IFERROR(VLOOKUP(Table2[[#This Row],[Contraente]],Table1[[Nome/Ragione sociale]:[Checkbox selezionato]],10,FALSE),"-")</f>
        <v>3497187101</v>
      </c>
      <c r="AQ75" s="63" t="str">
        <f>IFERROR(VLOOKUP(Table2[[#This Row],[Contraente]],Table1[[Nome/Ragione sociale]:[Checkbox selezionato]],11,FALSE),"-")</f>
        <v>SI</v>
      </c>
      <c r="AR75" s="63" t="str">
        <f>IFERROR(VLOOKUP(Table2[[#This Row],[Contraente]],Table1[[Nome/Ragione sociale]:[Checkbox selezionato]],12,FALSE),"-")</f>
        <v>SI</v>
      </c>
    </row>
    <row r="76" spans="1:44" ht="30" hidden="1" customHeight="1" x14ac:dyDescent="0.25">
      <c r="A76" s="60" t="str">
        <f>UPPER(LEFT(Table2[[#This Row],[Contraente]],1))</f>
        <v>B</v>
      </c>
      <c r="B76" s="60" t="s">
        <v>1634</v>
      </c>
      <c r="C76" s="80" t="s">
        <v>284</v>
      </c>
      <c r="D76" s="81" t="s">
        <v>37</v>
      </c>
      <c r="E76" s="86">
        <v>104860703</v>
      </c>
      <c r="F76" s="64">
        <v>42830</v>
      </c>
      <c r="G76" s="64">
        <f>IFERROR(CALCOLASCADENZA(Table2[[#This Row],[Data attivazione]],Table2[[#This Row],[Rateizzazione]],Table2[[#This Row],[Data ultimo pagamento]],Table2[[#This Row],[Data prossima scadenza manuale]]),"-")</f>
        <v>43003</v>
      </c>
      <c r="H76" s="67" t="s">
        <v>31</v>
      </c>
      <c r="I76" s="67" t="s">
        <v>1156</v>
      </c>
      <c r="J76" s="33">
        <f>IFERROR(Table2[[#This Row],[Importo annuale]]/(12/VLOOKUP(Table2[[#This Row],[Rateizzazione]],TIPI_RATEIZZAZIONI,2,FALSE)),"-")</f>
        <v>486.84</v>
      </c>
      <c r="K76" s="88">
        <v>486.84</v>
      </c>
      <c r="L76" s="88">
        <v>973.68</v>
      </c>
      <c r="M76" s="67" t="s">
        <v>43</v>
      </c>
      <c r="N76" s="67" t="s">
        <v>51</v>
      </c>
      <c r="O76" s="27" t="s">
        <v>1631</v>
      </c>
      <c r="P76" s="33" t="s">
        <v>22</v>
      </c>
      <c r="Q76" s="60">
        <f>IFERROR(IF(12 / VLOOKUP(Table2[[#This Row],[Rateizzazione]],TIPI_RATEIZZAZIONI,2,FALSE) &gt;=1,  IF(Table2[[#This Row],[Data attivazione]] = "","-",MONTH(Table2[[#This Row],[Data attivazione]])),"-"),"-")</f>
        <v>9</v>
      </c>
      <c r="R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" s="67" t="s">
        <v>2</v>
      </c>
      <c r="V76" s="62"/>
      <c r="W76" s="64">
        <v>42638</v>
      </c>
      <c r="X76" s="29">
        <f>DATE(YEAR(Table2[[#This Row],[Data attivazione]])+VLOOKUP(Table2[[#This Row],[Durata]],VALORE_DURATA,2,FALSE),MONTH(Table2[[#This Row],[Data attivazione]]),DAY(Table2[[#This Row],[Data attivazione]]))</f>
        <v>43003</v>
      </c>
      <c r="Y76" s="65"/>
      <c r="Z76" s="61"/>
      <c r="AA76" s="64" t="s">
        <v>85</v>
      </c>
      <c r="AB76" s="29" t="str">
        <f>IF(Table2[[#This Row],[Data ultimo versamento temp]]=0/1/1900,"-",Table2[[#This Row],[Data ultimo versamento temp]])</f>
        <v>-</v>
      </c>
      <c r="AC76" s="29">
        <f t="array" ref="AC76">MAX(IF(TableVersamenti[Polizza]=Table2[[#This Row],[Polizza]],TableVersamenti[Data prevista versamento],"-"))</f>
        <v>0</v>
      </c>
      <c r="AD76" s="62"/>
      <c r="AE76" s="106">
        <f>DATE(YEAR(Table2[[#This Row],[Data ultimo pagamento]]),MONTH(Table2[[#This Row],[Data ultimo pagamento]]), 1)</f>
        <v>42826</v>
      </c>
      <c r="AF76" s="106">
        <f>DATE(YEAR(Table2[[#This Row],[Data prossima scadenza]]),MONTH(Table2[[#This Row],[Data prossima scadenza]]), 1)</f>
        <v>42979</v>
      </c>
      <c r="AG76" s="33">
        <f>IFERROR(Table2[[#This Row],[Importo annuale]]*VLOOKUP(Table2[[#This Row],[Ramo]],RAMI_POLIZZA,2,FALSE),0)</f>
        <v>50.631359999999994</v>
      </c>
      <c r="AH76" s="65" t="s">
        <v>113</v>
      </c>
      <c r="AI76" s="63" t="str">
        <f>IFERROR(VLOOKUP(Table2[[#This Row],[Contraente]],Table1[[Nome/Ragione sociale]:[Checkbox selezionato]],2,FALSE),"-")</f>
        <v>CORTEOLONA</v>
      </c>
      <c r="AJ76" s="63">
        <f>IFERROR(VLOOKUP(Table2[[#This Row],[Contraente]],Table1[[Nome/Ragione sociale]:[Checkbox selezionato]],3,FALSE),"-")</f>
        <v>3497187101</v>
      </c>
      <c r="AK76" s="63">
        <f>IFERROR(VLOOKUP(Table2[[#This Row],[Contraente]],Table1[[Nome/Ragione sociale]:[Checkbox selezionato]],4,FALSE),"-")</f>
        <v>0</v>
      </c>
      <c r="AL76" s="63" t="str">
        <f>IFERROR(VLOOKUP(Table2[[#This Row],[Contraente]],Table1[[Nome/Ragione sociale]:[Checkbox selezionato]],5,FALSE),"-")</f>
        <v>GIANLUCA</v>
      </c>
      <c r="AM76" s="62">
        <f>IFERROR(VLOOKUP(Table2[[#This Row],[Contraente]],Table1[[Nome/Ragione sociale]:[Checkbox selezionato]],6,FALSE),"-")</f>
        <v>26779</v>
      </c>
      <c r="AN76" s="63" t="str">
        <f>IFERROR(VLOOKUP(Table2[[#This Row],[Contraente]],Table1[[Nome/Ragione sociale]:[Checkbox selezionato]],7,FALSE),"-")</f>
        <v>papies@email.it</v>
      </c>
      <c r="AO76" s="63">
        <f>IFERROR(VLOOKUP(Table2[[#This Row],[Contraente]],Table1[[Nome/Ragione sociale]:[Checkbox selezionato]],8,FALSE),"-")</f>
        <v>0</v>
      </c>
      <c r="AP76" s="63">
        <f>IFERROR(VLOOKUP(Table2[[#This Row],[Contraente]],Table1[[Nome/Ragione sociale]:[Checkbox selezionato]],10,FALSE),"-")</f>
        <v>3497187101</v>
      </c>
      <c r="AQ76" s="63" t="str">
        <f>IFERROR(VLOOKUP(Table2[[#This Row],[Contraente]],Table1[[Nome/Ragione sociale]:[Checkbox selezionato]],11,FALSE),"-")</f>
        <v>SI</v>
      </c>
      <c r="AR76" s="63" t="str">
        <f>IFERROR(VLOOKUP(Table2[[#This Row],[Contraente]],Table1[[Nome/Ragione sociale]:[Checkbox selezionato]],12,FALSE),"-")</f>
        <v>SI</v>
      </c>
    </row>
    <row r="77" spans="1:44" ht="30" hidden="1" customHeight="1" x14ac:dyDescent="0.25">
      <c r="A77" s="60" t="str">
        <f>UPPER(LEFT(Table2[[#This Row],[Contraente]],1))</f>
        <v>B</v>
      </c>
      <c r="B77" s="60" t="s">
        <v>1634</v>
      </c>
      <c r="C77" s="80" t="s">
        <v>286</v>
      </c>
      <c r="D77" s="81" t="s">
        <v>37</v>
      </c>
      <c r="E77" s="86">
        <v>102915419</v>
      </c>
      <c r="F77" s="64"/>
      <c r="G77" s="64">
        <f>IFERROR(CALCOLASCADENZA(Table2[[#This Row],[Data attivazione]],Table2[[#This Row],[Rateizzazione]],Table2[[#This Row],[Data ultimo pagamento]],Table2[[#This Row],[Data prossima scadenza manuale]]),"-")</f>
        <v>0</v>
      </c>
      <c r="H77" s="67" t="s">
        <v>31</v>
      </c>
      <c r="I77" s="67"/>
      <c r="J77" s="33"/>
      <c r="K77" s="88"/>
      <c r="L77" s="88"/>
      <c r="M77" s="67" t="s">
        <v>44</v>
      </c>
      <c r="N77" s="67" t="s">
        <v>52</v>
      </c>
      <c r="O77" s="27" t="s">
        <v>1631</v>
      </c>
      <c r="P77" s="33" t="s">
        <v>24</v>
      </c>
      <c r="Q7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" s="67" t="s">
        <v>2</v>
      </c>
      <c r="V77" s="62"/>
      <c r="W77" s="64">
        <v>693597</v>
      </c>
      <c r="X77" s="29">
        <f>DATE(YEAR(Table2[[#This Row],[Data attivazione]])+VLOOKUP(Table2[[#This Row],[Durata]],VALORE_DURATA,2,FALSE),MONTH(Table2[[#This Row],[Data attivazione]]),DAY(Table2[[#This Row],[Data attivazione]]))</f>
        <v>693962</v>
      </c>
      <c r="Y77" s="65"/>
      <c r="Z77" s="61"/>
      <c r="AA77" s="64" t="s">
        <v>88</v>
      </c>
      <c r="AB77" s="29" t="str">
        <f>IF(Table2[[#This Row],[Data ultimo versamento temp]]=0/1/1900,"-",Table2[[#This Row],[Data ultimo versamento temp]])</f>
        <v>-</v>
      </c>
      <c r="AC77" s="29">
        <f t="array" ref="AC77">MAX(IF(TableVersamenti[Polizza]=Table2[[#This Row],[Polizza]],TableVersamenti[Data prevista versamento],"-"))</f>
        <v>0</v>
      </c>
      <c r="AD77" s="62"/>
      <c r="AE77" s="106">
        <f>DATE(YEAR(Table2[[#This Row],[Data ultimo pagamento]]),MONTH(Table2[[#This Row],[Data ultimo pagamento]]), 1)</f>
        <v>1</v>
      </c>
      <c r="AF77" s="106">
        <f>DATE(YEAR(Table2[[#This Row],[Data prossima scadenza]]),MONTH(Table2[[#This Row],[Data prossima scadenza]]), 1)</f>
        <v>1</v>
      </c>
      <c r="AG77" s="33">
        <f>IFERROR(Table2[[#This Row],[Importo annuale]]*VLOOKUP(Table2[[#This Row],[Ramo]],RAMI_POLIZZA,2,FALSE),0)</f>
        <v>0</v>
      </c>
      <c r="AH77" s="65" t="s">
        <v>113</v>
      </c>
      <c r="AI77" s="63" t="str">
        <f>IFERROR(VLOOKUP(Table2[[#This Row],[Contraente]],Table1[[Nome/Ragione sociale]:[Checkbox selezionato]],2,FALSE),"-")</f>
        <v>ARENA PO</v>
      </c>
      <c r="AJ77" s="63">
        <f>IFERROR(VLOOKUP(Table2[[#This Row],[Contraente]],Table1[[Nome/Ragione sociale]:[Checkbox selezionato]],3,FALSE),"-")</f>
        <v>3408109618</v>
      </c>
      <c r="AK77" s="63">
        <f>IFERROR(VLOOKUP(Table2[[#This Row],[Contraente]],Table1[[Nome/Ragione sociale]:[Checkbox selezionato]],4,FALSE),"-")</f>
        <v>0</v>
      </c>
      <c r="AL77" s="63" t="str">
        <f>IFERROR(VLOOKUP(Table2[[#This Row],[Contraente]],Table1[[Nome/Ragione sociale]:[Checkbox selezionato]],5,FALSE),"-")</f>
        <v xml:space="preserve">MOHAMED </v>
      </c>
      <c r="AM77" s="62">
        <f>IFERROR(VLOOKUP(Table2[[#This Row],[Contraente]],Table1[[Nome/Ragione sociale]:[Checkbox selezionato]],6,FALSE),"-")</f>
        <v>26131</v>
      </c>
      <c r="AN77" s="63" t="str">
        <f>IFERROR(VLOOKUP(Table2[[#This Row],[Contraente]],Table1[[Nome/Ragione sociale]:[Checkbox selezionato]],7,FALSE),"-")</f>
        <v>papies@libero.it</v>
      </c>
      <c r="AO77" s="63">
        <f>IFERROR(VLOOKUP(Table2[[#This Row],[Contraente]],Table1[[Nome/Ragione sociale]:[Checkbox selezionato]],8,FALSE),"-")</f>
        <v>0</v>
      </c>
      <c r="AP77" s="63">
        <f>IFERROR(VLOOKUP(Table2[[#This Row],[Contraente]],Table1[[Nome/Ragione sociale]:[Checkbox selezionato]],10,FALSE),"-")</f>
        <v>3408109618</v>
      </c>
      <c r="AQ77" s="63" t="str">
        <f>IFERROR(VLOOKUP(Table2[[#This Row],[Contraente]],Table1[[Nome/Ragione sociale]:[Checkbox selezionato]],11,FALSE),"-")</f>
        <v>SI</v>
      </c>
      <c r="AR77" s="63" t="str">
        <f>IFERROR(VLOOKUP(Table2[[#This Row],[Contraente]],Table1[[Nome/Ragione sociale]:[Checkbox selezionato]],12,FALSE),"-")</f>
        <v>SI</v>
      </c>
    </row>
    <row r="78" spans="1:44" ht="30" hidden="1" customHeight="1" x14ac:dyDescent="0.25">
      <c r="A78" s="60" t="str">
        <f>UPPER(LEFT(Table2[[#This Row],[Contraente]],1))</f>
        <v>B</v>
      </c>
      <c r="B78" s="60" t="s">
        <v>1634</v>
      </c>
      <c r="C78" s="80" t="s">
        <v>290</v>
      </c>
      <c r="D78" s="81" t="s">
        <v>37</v>
      </c>
      <c r="E78" s="86">
        <v>103732701</v>
      </c>
      <c r="F78" s="64">
        <v>42494</v>
      </c>
      <c r="G78" s="64">
        <f>IFERROR(CALCOLASCADENZA(Table2[[#This Row],[Data attivazione]],Table2[[#This Row],[Rateizzazione]],Table2[[#This Row],[Data ultimo pagamento]],Table2[[#This Row],[Data prossima scadenza manuale]]),"-")</f>
        <v>42684</v>
      </c>
      <c r="H78" s="67" t="s">
        <v>30</v>
      </c>
      <c r="I78" s="67" t="s">
        <v>113</v>
      </c>
      <c r="J78" s="33">
        <f>IFERROR(Table2[[#This Row],[Importo annuale]]/(12/VLOOKUP(Table2[[#This Row],[Rateizzazione]],TIPI_RATEIZZAZIONI,2,FALSE)),"-")</f>
        <v>40</v>
      </c>
      <c r="K78" s="88"/>
      <c r="L78" s="88">
        <v>80</v>
      </c>
      <c r="M78" s="67" t="s">
        <v>43</v>
      </c>
      <c r="N78" s="67" t="s">
        <v>51</v>
      </c>
      <c r="O78" s="27" t="s">
        <v>1631</v>
      </c>
      <c r="P78" s="33" t="s">
        <v>22</v>
      </c>
      <c r="Q78" s="60">
        <f>IFERROR(IF(12 / VLOOKUP(Table2[[#This Row],[Rateizzazione]],TIPI_RATEIZZAZIONI,2,FALSE) &gt;=1,  IF(Table2[[#This Row],[Data attivazione]] = "","-",MONTH(Table2[[#This Row],[Data attivazione]])),"-"),"-")</f>
        <v>11</v>
      </c>
      <c r="R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" s="67" t="s">
        <v>2</v>
      </c>
      <c r="V78" s="62"/>
      <c r="W78" s="64">
        <v>42318</v>
      </c>
      <c r="X78" s="29">
        <f>DATE(YEAR(Table2[[#This Row],[Data attivazione]])+VLOOKUP(Table2[[#This Row],[Durata]],VALORE_DURATA,2,FALSE),MONTH(Table2[[#This Row],[Data attivazione]]),DAY(Table2[[#This Row],[Data attivazione]]))</f>
        <v>42684</v>
      </c>
      <c r="Y78" s="65"/>
      <c r="Z78" s="61"/>
      <c r="AA78" s="64" t="s">
        <v>88</v>
      </c>
      <c r="AB78" s="29" t="str">
        <f>IF(Table2[[#This Row],[Data ultimo versamento temp]]=0/1/1900,"-",Table2[[#This Row],[Data ultimo versamento temp]])</f>
        <v>-</v>
      </c>
      <c r="AC78" s="29">
        <f t="array" ref="AC78">MAX(IF(TableVersamenti[Polizza]=Table2[[#This Row],[Polizza]],TableVersamenti[Data prevista versamento],"-"))</f>
        <v>0</v>
      </c>
      <c r="AD78" s="62"/>
      <c r="AE78" s="106">
        <f>DATE(YEAR(Table2[[#This Row],[Data ultimo pagamento]]),MONTH(Table2[[#This Row],[Data ultimo pagamento]]), 1)</f>
        <v>42491</v>
      </c>
      <c r="AF78" s="106">
        <f>DATE(YEAR(Table2[[#This Row],[Data prossima scadenza]]),MONTH(Table2[[#This Row],[Data prossima scadenza]]), 1)</f>
        <v>42675</v>
      </c>
      <c r="AG78" s="33">
        <f>IFERROR(Table2[[#This Row],[Importo annuale]]*VLOOKUP(Table2[[#This Row],[Ramo]],RAMI_POLIZZA,2,FALSE),0)</f>
        <v>9.2000000000000011</v>
      </c>
      <c r="AH78" s="65" t="s">
        <v>113</v>
      </c>
      <c r="AI78" s="63" t="str">
        <f>IFERROR(VLOOKUP(Table2[[#This Row],[Contraente]],Table1[[Nome/Ragione sociale]:[Checkbox selezionato]],2,FALSE),"-")</f>
        <v>STRADELLA</v>
      </c>
      <c r="AJ78" s="63">
        <f>IFERROR(VLOOKUP(Table2[[#This Row],[Contraente]],Table1[[Nome/Ragione sociale]:[Checkbox selezionato]],3,FALSE),"-")</f>
        <v>3296293946</v>
      </c>
      <c r="AK78" s="63">
        <f>IFERROR(VLOOKUP(Table2[[#This Row],[Contraente]],Table1[[Nome/Ragione sociale]:[Checkbox selezionato]],4,FALSE),"-")</f>
        <v>0</v>
      </c>
      <c r="AL78" s="63" t="str">
        <f>IFERROR(VLOOKUP(Table2[[#This Row],[Contraente]],Table1[[Nome/Ragione sociale]:[Checkbox selezionato]],5,FALSE),"-")</f>
        <v>VIDOSAVA</v>
      </c>
      <c r="AM78" s="62">
        <f>IFERROR(VLOOKUP(Table2[[#This Row],[Contraente]],Table1[[Nome/Ragione sociale]:[Checkbox selezionato]],6,FALSE),"-")</f>
        <v>17882</v>
      </c>
      <c r="AN78" s="63" t="str">
        <f>IFERROR(VLOOKUP(Table2[[#This Row],[Contraente]],Table1[[Nome/Ragione sociale]:[Checkbox selezionato]],7,FALSE),"-")</f>
        <v>papies@libero.it</v>
      </c>
      <c r="AO78" s="63">
        <f>IFERROR(VLOOKUP(Table2[[#This Row],[Contraente]],Table1[[Nome/Ragione sociale]:[Checkbox selezionato]],8,FALSE),"-")</f>
        <v>0</v>
      </c>
      <c r="AP78" s="63">
        <f>IFERROR(VLOOKUP(Table2[[#This Row],[Contraente]],Table1[[Nome/Ragione sociale]:[Checkbox selezionato]],10,FALSE),"-")</f>
        <v>3296293946</v>
      </c>
      <c r="AQ78" s="63" t="str">
        <f>IFERROR(VLOOKUP(Table2[[#This Row],[Contraente]],Table1[[Nome/Ragione sociale]:[Checkbox selezionato]],11,FALSE),"-")</f>
        <v>SI</v>
      </c>
      <c r="AR78" s="63" t="str">
        <f>IFERROR(VLOOKUP(Table2[[#This Row],[Contraente]],Table1[[Nome/Ragione sociale]:[Checkbox selezionato]],12,FALSE),"-")</f>
        <v>SI</v>
      </c>
    </row>
    <row r="79" spans="1:44" ht="30" hidden="1" customHeight="1" x14ac:dyDescent="0.25">
      <c r="A79" s="60" t="str">
        <f>UPPER(LEFT(Table2[[#This Row],[Contraente]],1))</f>
        <v>B</v>
      </c>
      <c r="B79" s="60" t="s">
        <v>1634</v>
      </c>
      <c r="C79" s="81" t="s">
        <v>290</v>
      </c>
      <c r="D79" s="81" t="s">
        <v>37</v>
      </c>
      <c r="E79" s="86">
        <v>104982972</v>
      </c>
      <c r="F79" s="64">
        <v>42494</v>
      </c>
      <c r="G79" s="64">
        <f>IFERROR(CALCOLASCADENZA(Table2[[#This Row],[Data attivazione]],Table2[[#This Row],[Rateizzazione]],Table2[[#This Row],[Data ultimo pagamento]],Table2[[#This Row],[Data prossima scadenza manuale]]),"-")</f>
        <v>42678</v>
      </c>
      <c r="H79" s="67" t="s">
        <v>31</v>
      </c>
      <c r="I79" s="67" t="s">
        <v>1159</v>
      </c>
      <c r="J79" s="33">
        <f>IFERROR(Table2[[#This Row],[Importo annuale]]/(12/VLOOKUP(Table2[[#This Row],[Rateizzazione]],TIPI_RATEIZZAZIONI,2,FALSE)),"-")</f>
        <v>195</v>
      </c>
      <c r="K79" s="88"/>
      <c r="L79" s="88">
        <v>390</v>
      </c>
      <c r="M79" s="67" t="s">
        <v>43</v>
      </c>
      <c r="N79" s="67" t="s">
        <v>51</v>
      </c>
      <c r="O79" s="27" t="s">
        <v>1631</v>
      </c>
      <c r="P79" s="33" t="s">
        <v>22</v>
      </c>
      <c r="Q79" s="60">
        <f>IFERROR(IF(12 / VLOOKUP(Table2[[#This Row],[Rateizzazione]],TIPI_RATEIZZAZIONI,2,FALSE) &gt;=1,  IF(Table2[[#This Row],[Data attivazione]] = "","-",MONTH(Table2[[#This Row],[Data attivazione]])),"-"),"-")</f>
        <v>11</v>
      </c>
      <c r="R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" s="67" t="s">
        <v>2</v>
      </c>
      <c r="V79" s="62"/>
      <c r="W79" s="64">
        <v>42312</v>
      </c>
      <c r="X79" s="29">
        <f>DATE(YEAR(Table2[[#This Row],[Data attivazione]])+VLOOKUP(Table2[[#This Row],[Durata]],VALORE_DURATA,2,FALSE),MONTH(Table2[[#This Row],[Data attivazione]]),DAY(Table2[[#This Row],[Data attivazione]]))</f>
        <v>42678</v>
      </c>
      <c r="Y79" s="65"/>
      <c r="Z79" s="61"/>
      <c r="AA79" s="64" t="s">
        <v>88</v>
      </c>
      <c r="AB79" s="29" t="str">
        <f>IF(Table2[[#This Row],[Data ultimo versamento temp]]=0/1/1900,"-",Table2[[#This Row],[Data ultimo versamento temp]])</f>
        <v>-</v>
      </c>
      <c r="AC79" s="29">
        <f t="array" ref="AC79">MAX(IF(TableVersamenti[Polizza]=Table2[[#This Row],[Polizza]],TableVersamenti[Data prevista versamento],"-"))</f>
        <v>0</v>
      </c>
      <c r="AD79" s="62"/>
      <c r="AE79" s="106">
        <f>DATE(YEAR(Table2[[#This Row],[Data ultimo pagamento]]),MONTH(Table2[[#This Row],[Data ultimo pagamento]]), 1)</f>
        <v>42491</v>
      </c>
      <c r="AF79" s="106">
        <f>DATE(YEAR(Table2[[#This Row],[Data prossima scadenza]]),MONTH(Table2[[#This Row],[Data prossima scadenza]]), 1)</f>
        <v>42675</v>
      </c>
      <c r="AG79" s="33">
        <f>IFERROR(Table2[[#This Row],[Importo annuale]]*VLOOKUP(Table2[[#This Row],[Ramo]],RAMI_POLIZZA,2,FALSE),0)</f>
        <v>20.279999999999998</v>
      </c>
      <c r="AH79" s="65" t="s">
        <v>113</v>
      </c>
      <c r="AI79" s="63" t="str">
        <f>IFERROR(VLOOKUP(Table2[[#This Row],[Contraente]],Table1[[Nome/Ragione sociale]:[Checkbox selezionato]],2,FALSE),"-")</f>
        <v>STRADELLA</v>
      </c>
      <c r="AJ79" s="63">
        <f>IFERROR(VLOOKUP(Table2[[#This Row],[Contraente]],Table1[[Nome/Ragione sociale]:[Checkbox selezionato]],3,FALSE),"-")</f>
        <v>3296293946</v>
      </c>
      <c r="AK79" s="63">
        <f>IFERROR(VLOOKUP(Table2[[#This Row],[Contraente]],Table1[[Nome/Ragione sociale]:[Checkbox selezionato]],4,FALSE),"-")</f>
        <v>0</v>
      </c>
      <c r="AL79" s="63" t="str">
        <f>IFERROR(VLOOKUP(Table2[[#This Row],[Contraente]],Table1[[Nome/Ragione sociale]:[Checkbox selezionato]],5,FALSE),"-")</f>
        <v>VIDOSAVA</v>
      </c>
      <c r="AM79" s="62">
        <f>IFERROR(VLOOKUP(Table2[[#This Row],[Contraente]],Table1[[Nome/Ragione sociale]:[Checkbox selezionato]],6,FALSE),"-")</f>
        <v>17882</v>
      </c>
      <c r="AN79" s="63" t="str">
        <f>IFERROR(VLOOKUP(Table2[[#This Row],[Contraente]],Table1[[Nome/Ragione sociale]:[Checkbox selezionato]],7,FALSE),"-")</f>
        <v>papies@libero.it</v>
      </c>
      <c r="AO79" s="63">
        <f>IFERROR(VLOOKUP(Table2[[#This Row],[Contraente]],Table1[[Nome/Ragione sociale]:[Checkbox selezionato]],8,FALSE),"-")</f>
        <v>0</v>
      </c>
      <c r="AP79" s="63">
        <f>IFERROR(VLOOKUP(Table2[[#This Row],[Contraente]],Table1[[Nome/Ragione sociale]:[Checkbox selezionato]],10,FALSE),"-")</f>
        <v>3296293946</v>
      </c>
      <c r="AQ79" s="63" t="str">
        <f>IFERROR(VLOOKUP(Table2[[#This Row],[Contraente]],Table1[[Nome/Ragione sociale]:[Checkbox selezionato]],11,FALSE),"-")</f>
        <v>SI</v>
      </c>
      <c r="AR79" s="63" t="str">
        <f>IFERROR(VLOOKUP(Table2[[#This Row],[Contraente]],Table1[[Nome/Ragione sociale]:[Checkbox selezionato]],12,FALSE),"-")</f>
        <v>SI</v>
      </c>
    </row>
    <row r="80" spans="1:44" ht="30" hidden="1" customHeight="1" x14ac:dyDescent="0.25">
      <c r="A80" s="60" t="str">
        <f>UPPER(LEFT(Table2[[#This Row],[Contraente]],1))</f>
        <v>B</v>
      </c>
      <c r="B80" s="60" t="s">
        <v>1634</v>
      </c>
      <c r="C80" s="80" t="s">
        <v>288</v>
      </c>
      <c r="D80" s="81" t="s">
        <v>37</v>
      </c>
      <c r="E80" s="86">
        <v>106380429</v>
      </c>
      <c r="F80" s="64">
        <v>42926</v>
      </c>
      <c r="G80" s="64">
        <f>IFERROR(CALCOLASCADENZA(Table2[[#This Row],[Data attivazione]],Table2[[#This Row],[Rateizzazione]],Table2[[#This Row],[Data ultimo pagamento]],Table2[[#This Row],[Data prossima scadenza manuale]]),"-")</f>
        <v>43099</v>
      </c>
      <c r="H80" s="67" t="s">
        <v>31</v>
      </c>
      <c r="I80" s="67" t="s">
        <v>1158</v>
      </c>
      <c r="J80" s="33">
        <f>IFERROR(Table2[[#This Row],[Importo annuale]]/(12/VLOOKUP(Table2[[#This Row],[Rateizzazione]],TIPI_RATEIZZAZIONI,2,FALSE)),"-")</f>
        <v>435.2</v>
      </c>
      <c r="K80" s="88">
        <v>435.2</v>
      </c>
      <c r="L80" s="88">
        <v>870.4</v>
      </c>
      <c r="M80" s="67" t="s">
        <v>43</v>
      </c>
      <c r="N80" s="67" t="s">
        <v>52</v>
      </c>
      <c r="O80" s="27" t="s">
        <v>1631</v>
      </c>
      <c r="P80" s="33" t="s">
        <v>22</v>
      </c>
      <c r="Q80" s="60">
        <f>IFERROR(IF(12 / VLOOKUP(Table2[[#This Row],[Rateizzazione]],TIPI_RATEIZZAZIONI,2,FALSE) &gt;=1,  IF(Table2[[#This Row],[Data attivazione]] = "","-",MONTH(Table2[[#This Row],[Data attivazione]])),"-"),"-")</f>
        <v>12</v>
      </c>
      <c r="R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" s="67" t="s">
        <v>133</v>
      </c>
      <c r="V80" s="62"/>
      <c r="W80" s="64">
        <v>42734</v>
      </c>
      <c r="X80" s="29">
        <f>DATE(YEAR(Table2[[#This Row],[Data attivazione]])+VLOOKUP(Table2[[#This Row],[Durata]],VALORE_DURATA,2,FALSE),MONTH(Table2[[#This Row],[Data attivazione]]),DAY(Table2[[#This Row],[Data attivazione]]))</f>
        <v>43099</v>
      </c>
      <c r="Y80" s="65"/>
      <c r="Z80" s="61"/>
      <c r="AA80" s="64" t="s">
        <v>85</v>
      </c>
      <c r="AB80" s="29">
        <f>IF(Table2[[#This Row],[Data ultimo versamento temp]]=0/1/1900,"-",Table2[[#This Row],[Data ultimo versamento temp]])</f>
        <v>42929</v>
      </c>
      <c r="AC80" s="29">
        <f t="array" ref="AC80">MAX(IF(TableVersamenti[Polizza]=Table2[[#This Row],[Polizza]],TableVersamenti[Data prevista versamento],"-"))</f>
        <v>42929</v>
      </c>
      <c r="AD80" s="62"/>
      <c r="AE80" s="106">
        <f>DATE(YEAR(Table2[[#This Row],[Data ultimo pagamento]]),MONTH(Table2[[#This Row],[Data ultimo pagamento]]), 1)</f>
        <v>42917</v>
      </c>
      <c r="AF80" s="106">
        <f>DATE(YEAR(Table2[[#This Row],[Data prossima scadenza]]),MONTH(Table2[[#This Row],[Data prossima scadenza]]), 1)</f>
        <v>43070</v>
      </c>
      <c r="AG80" s="33">
        <f>IFERROR(Table2[[#This Row],[Importo annuale]]*VLOOKUP(Table2[[#This Row],[Ramo]],RAMI_POLIZZA,2,FALSE),0)</f>
        <v>45.260799999999996</v>
      </c>
      <c r="AH80" s="65" t="s">
        <v>113</v>
      </c>
      <c r="AI80" s="63" t="str">
        <f>IFERROR(VLOOKUP(Table2[[#This Row],[Contraente]],Table1[[Nome/Ragione sociale]:[Checkbox selezionato]],2,FALSE),"-")</f>
        <v>ZIANO PIACENTINO</v>
      </c>
      <c r="AJ80" s="63">
        <f>IFERROR(VLOOKUP(Table2[[#This Row],[Contraente]],Table1[[Nome/Ragione sociale]:[Checkbox selezionato]],3,FALSE),"-")</f>
        <v>3206483672</v>
      </c>
      <c r="AK80" s="63">
        <f>IFERROR(VLOOKUP(Table2[[#This Row],[Contraente]],Table1[[Nome/Ragione sociale]:[Checkbox selezionato]],4,FALSE),"-")</f>
        <v>0</v>
      </c>
      <c r="AL80" s="63" t="str">
        <f>IFERROR(VLOOKUP(Table2[[#This Row],[Contraente]],Table1[[Nome/Ragione sociale]:[Checkbox selezionato]],5,FALSE),"-")</f>
        <v>COSTICA</v>
      </c>
      <c r="AM80" s="62">
        <f>IFERROR(VLOOKUP(Table2[[#This Row],[Contraente]],Table1[[Nome/Ragione sociale]:[Checkbox selezionato]],6,FALSE),"-")</f>
        <v>23084</v>
      </c>
      <c r="AN80" s="63" t="str">
        <f>IFERROR(VLOOKUP(Table2[[#This Row],[Contraente]],Table1[[Nome/Ragione sociale]:[Checkbox selezionato]],7,FALSE),"-")</f>
        <v>papies@email.it</v>
      </c>
      <c r="AO80" s="63">
        <f>IFERROR(VLOOKUP(Table2[[#This Row],[Contraente]],Table1[[Nome/Ragione sociale]:[Checkbox selezionato]],8,FALSE),"-")</f>
        <v>0</v>
      </c>
      <c r="AP80" s="63">
        <f>IFERROR(VLOOKUP(Table2[[#This Row],[Contraente]],Table1[[Nome/Ragione sociale]:[Checkbox selezionato]],10,FALSE),"-")</f>
        <v>3206483672</v>
      </c>
      <c r="AQ80" s="63" t="str">
        <f>IFERROR(VLOOKUP(Table2[[#This Row],[Contraente]],Table1[[Nome/Ragione sociale]:[Checkbox selezionato]],11,FALSE),"-")</f>
        <v>SI</v>
      </c>
      <c r="AR80" s="63" t="str">
        <f>IFERROR(VLOOKUP(Table2[[#This Row],[Contraente]],Table1[[Nome/Ragione sociale]:[Checkbox selezionato]],12,FALSE),"-")</f>
        <v>SI</v>
      </c>
    </row>
    <row r="81" spans="1:44" ht="30" hidden="1" customHeight="1" x14ac:dyDescent="0.25">
      <c r="A81" s="60" t="str">
        <f>UPPER(LEFT(Table2[[#This Row],[Contraente]],1))</f>
        <v>B</v>
      </c>
      <c r="B81" s="60" t="s">
        <v>1634</v>
      </c>
      <c r="C81" s="81" t="s">
        <v>293</v>
      </c>
      <c r="D81" s="80" t="s">
        <v>37</v>
      </c>
      <c r="E81" s="86">
        <v>106391661</v>
      </c>
      <c r="F81" s="64">
        <v>42747</v>
      </c>
      <c r="G81" s="64">
        <f>IFERROR(CALCOLASCADENZA(Table2[[#This Row],[Data attivazione]],Table2[[#This Row],[Rateizzazione]],Table2[[#This Row],[Data ultimo pagamento]],Table2[[#This Row],[Data prossima scadenza manuale]]),"-")</f>
        <v>43120</v>
      </c>
      <c r="H81" s="67" t="s">
        <v>30</v>
      </c>
      <c r="I81" s="67" t="s">
        <v>113</v>
      </c>
      <c r="J81" s="33">
        <f>IFERROR(Table2[[#This Row],[Importo annuale]]/(12/VLOOKUP(Table2[[#This Row],[Rateizzazione]],TIPI_RATEIZZAZIONI,2,FALSE)),"-")</f>
        <v>185</v>
      </c>
      <c r="K81" s="88">
        <v>185</v>
      </c>
      <c r="L81" s="88">
        <v>185</v>
      </c>
      <c r="M81" s="67" t="s">
        <v>44</v>
      </c>
      <c r="N81" s="67" t="s">
        <v>52</v>
      </c>
      <c r="O81" s="27" t="s">
        <v>1631</v>
      </c>
      <c r="P81" s="33" t="s">
        <v>23</v>
      </c>
      <c r="Q81" s="60">
        <f>IFERROR(IF(12 / VLOOKUP(Table2[[#This Row],[Rateizzazione]],TIPI_RATEIZZAZIONI,2,FALSE) &gt;=1,  IF(Table2[[#This Row],[Data attivazione]] = "","-",MONTH(Table2[[#This Row],[Data attivazione]])),"-"),"-")</f>
        <v>1</v>
      </c>
      <c r="R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" s="67" t="s">
        <v>2</v>
      </c>
      <c r="V81" s="62"/>
      <c r="W81" s="64">
        <v>42755</v>
      </c>
      <c r="X81" s="29">
        <f>DATE(YEAR(Table2[[#This Row],[Data attivazione]])+VLOOKUP(Table2[[#This Row],[Durata]],VALORE_DURATA,2,FALSE),MONTH(Table2[[#This Row],[Data attivazione]]),DAY(Table2[[#This Row],[Data attivazione]]))</f>
        <v>43120</v>
      </c>
      <c r="Y81" s="65"/>
      <c r="Z81" s="61"/>
      <c r="AA81" s="64" t="s">
        <v>85</v>
      </c>
      <c r="AB81" s="29" t="str">
        <f>IF(Table2[[#This Row],[Data ultimo versamento temp]]=0/1/1900,"-",Table2[[#This Row],[Data ultimo versamento temp]])</f>
        <v>-</v>
      </c>
      <c r="AC81" s="29">
        <f t="array" ref="AC81">MAX(IF(TableVersamenti[Polizza]=Table2[[#This Row],[Polizza]],TableVersamenti[Data prevista versamento],"-"))</f>
        <v>0</v>
      </c>
      <c r="AD81" s="62"/>
      <c r="AE81" s="106">
        <f>DATE(YEAR(Table2[[#This Row],[Data ultimo pagamento]]),MONTH(Table2[[#This Row],[Data ultimo pagamento]]), 1)</f>
        <v>42736</v>
      </c>
      <c r="AF81" s="106">
        <f>DATE(YEAR(Table2[[#This Row],[Data prossima scadenza]]),MONTH(Table2[[#This Row],[Data prossima scadenza]]), 1)</f>
        <v>43101</v>
      </c>
      <c r="AG81" s="33">
        <f>IFERROR(Table2[[#This Row],[Importo annuale]]*VLOOKUP(Table2[[#This Row],[Ramo]],RAMI_POLIZZA,2,FALSE),0)</f>
        <v>21.275000000000002</v>
      </c>
      <c r="AH81" s="65" t="s">
        <v>113</v>
      </c>
      <c r="AI81" s="63" t="str">
        <f>IFERROR(VLOOKUP(Table2[[#This Row],[Contraente]],Table1[[Nome/Ragione sociale]:[Checkbox selezionato]],2,FALSE),"-")</f>
        <v>BELGIOIOSO</v>
      </c>
      <c r="AJ81" s="63">
        <f>IFERROR(VLOOKUP(Table2[[#This Row],[Contraente]],Table1[[Nome/Ragione sociale]:[Checkbox selezionato]],3,FALSE),"-")</f>
        <v>3385978076</v>
      </c>
      <c r="AK81" s="63">
        <f>IFERROR(VLOOKUP(Table2[[#This Row],[Contraente]],Table1[[Nome/Ragione sociale]:[Checkbox selezionato]],4,FALSE),"-")</f>
        <v>0</v>
      </c>
      <c r="AL81" s="63" t="str">
        <f>IFERROR(VLOOKUP(Table2[[#This Row],[Contraente]],Table1[[Nome/Ragione sociale]:[Checkbox selezionato]],5,FALSE),"-")</f>
        <v>ROBERTINO</v>
      </c>
      <c r="AM81" s="62">
        <f>IFERROR(VLOOKUP(Table2[[#This Row],[Contraente]],Table1[[Nome/Ragione sociale]:[Checkbox selezionato]],6,FALSE),"-")</f>
        <v>26241</v>
      </c>
      <c r="AN81" s="63" t="str">
        <f>IFERROR(VLOOKUP(Table2[[#This Row],[Contraente]],Table1[[Nome/Ragione sociale]:[Checkbox selezionato]],7,FALSE),"-")</f>
        <v>papies@libero.it</v>
      </c>
      <c r="AO81" s="63">
        <f>IFERROR(VLOOKUP(Table2[[#This Row],[Contraente]],Table1[[Nome/Ragione sociale]:[Checkbox selezionato]],8,FALSE),"-")</f>
        <v>0</v>
      </c>
      <c r="AP81" s="63">
        <f>IFERROR(VLOOKUP(Table2[[#This Row],[Contraente]],Table1[[Nome/Ragione sociale]:[Checkbox selezionato]],10,FALSE),"-")</f>
        <v>3385978076</v>
      </c>
      <c r="AQ81" s="63" t="str">
        <f>IFERROR(VLOOKUP(Table2[[#This Row],[Contraente]],Table1[[Nome/Ragione sociale]:[Checkbox selezionato]],11,FALSE),"-")</f>
        <v>SI</v>
      </c>
      <c r="AR81" s="63" t="str">
        <f>IFERROR(VLOOKUP(Table2[[#This Row],[Contraente]],Table1[[Nome/Ragione sociale]:[Checkbox selezionato]],12,FALSE),"-")</f>
        <v>SI</v>
      </c>
    </row>
    <row r="82" spans="1:44" ht="30" hidden="1" customHeight="1" x14ac:dyDescent="0.25">
      <c r="A82" s="60" t="str">
        <f>UPPER(LEFT(Table2[[#This Row],[Contraente]],1))</f>
        <v>B</v>
      </c>
      <c r="B82" s="60" t="s">
        <v>1634</v>
      </c>
      <c r="C82" s="81" t="s">
        <v>298</v>
      </c>
      <c r="D82" s="80" t="s">
        <v>37</v>
      </c>
      <c r="E82" s="86">
        <v>105941172</v>
      </c>
      <c r="F82" s="64">
        <v>42594</v>
      </c>
      <c r="G82" s="64">
        <f>IFERROR(CALCOLASCADENZA(Table2[[#This Row],[Data attivazione]],Table2[[#This Row],[Rateizzazione]],Table2[[#This Row],[Data ultimo pagamento]],Table2[[#This Row],[Data prossima scadenza manuale]]),"-")</f>
        <v>42960</v>
      </c>
      <c r="H82" s="67" t="s">
        <v>30</v>
      </c>
      <c r="I82" s="67" t="s">
        <v>113</v>
      </c>
      <c r="J82" s="33">
        <f>IFERROR(Table2[[#This Row],[Importo annuale]]/(12/VLOOKUP(Table2[[#This Row],[Rateizzazione]],TIPI_RATEIZZAZIONI,2,FALSE)),"-")</f>
        <v>135</v>
      </c>
      <c r="K82" s="88"/>
      <c r="L82" s="88">
        <v>135</v>
      </c>
      <c r="M82" s="67" t="s">
        <v>44</v>
      </c>
      <c r="N82" s="67" t="s">
        <v>52</v>
      </c>
      <c r="O82" s="27" t="s">
        <v>1631</v>
      </c>
      <c r="P82" s="33" t="s">
        <v>23</v>
      </c>
      <c r="Q82" s="60">
        <f>IFERROR(IF(12 / VLOOKUP(Table2[[#This Row],[Rateizzazione]],TIPI_RATEIZZAZIONI,2,FALSE) &gt;=1,  IF(Table2[[#This Row],[Data attivazione]] = "","-",MONTH(Table2[[#This Row],[Data attivazione]])),"-"),"-")</f>
        <v>8</v>
      </c>
      <c r="R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" s="67" t="s">
        <v>2</v>
      </c>
      <c r="V82" s="62"/>
      <c r="W82" s="64">
        <v>42595</v>
      </c>
      <c r="X82" s="29">
        <f>DATE(YEAR(Table2[[#This Row],[Data attivazione]])+VLOOKUP(Table2[[#This Row],[Durata]],VALORE_DURATA,2,FALSE),MONTH(Table2[[#This Row],[Data attivazione]]),DAY(Table2[[#This Row],[Data attivazione]]))</f>
        <v>42960</v>
      </c>
      <c r="Y82" s="65"/>
      <c r="Z82" s="61"/>
      <c r="AA82" s="64" t="s">
        <v>85</v>
      </c>
      <c r="AB82" s="29" t="str">
        <f>IF(Table2[[#This Row],[Data ultimo versamento temp]]=0/1/1900,"-",Table2[[#This Row],[Data ultimo versamento temp]])</f>
        <v>-</v>
      </c>
      <c r="AC82" s="29">
        <f t="array" ref="AC82">MAX(IF(TableVersamenti[Polizza]=Table2[[#This Row],[Polizza]],TableVersamenti[Data prevista versamento],"-"))</f>
        <v>0</v>
      </c>
      <c r="AD82" s="62"/>
      <c r="AE82" s="106">
        <f>DATE(YEAR(Table2[[#This Row],[Data ultimo pagamento]]),MONTH(Table2[[#This Row],[Data ultimo pagamento]]), 1)</f>
        <v>42583</v>
      </c>
      <c r="AF82" s="106">
        <f>DATE(YEAR(Table2[[#This Row],[Data prossima scadenza]]),MONTH(Table2[[#This Row],[Data prossima scadenza]]), 1)</f>
        <v>42948</v>
      </c>
      <c r="AG82" s="33">
        <f>IFERROR(Table2[[#This Row],[Importo annuale]]*VLOOKUP(Table2[[#This Row],[Ramo]],RAMI_POLIZZA,2,FALSE),0)</f>
        <v>15.525</v>
      </c>
      <c r="AH82" s="65" t="s">
        <v>113</v>
      </c>
      <c r="AI82" s="63" t="str">
        <f>IFERROR(VLOOKUP(Table2[[#This Row],[Contraente]],Table1[[Nome/Ragione sociale]:[Checkbox selezionato]],2,FALSE),"-")</f>
        <v>PIEVE PORTO MORONE</v>
      </c>
      <c r="AJ82" s="63">
        <f>IFERROR(VLOOKUP(Table2[[#This Row],[Contraente]],Table1[[Nome/Ragione sociale]:[Checkbox selezionato]],3,FALSE),"-")</f>
        <v>3343779815</v>
      </c>
      <c r="AK82" s="63">
        <f>IFERROR(VLOOKUP(Table2[[#This Row],[Contraente]],Table1[[Nome/Ragione sociale]:[Checkbox selezionato]],4,FALSE),"-")</f>
        <v>0</v>
      </c>
      <c r="AL82" s="63" t="str">
        <f>IFERROR(VLOOKUP(Table2[[#This Row],[Contraente]],Table1[[Nome/Ragione sociale]:[Checkbox selezionato]],5,FALSE),"-")</f>
        <v>MATTEO</v>
      </c>
      <c r="AM82" s="62" t="str">
        <f>IFERROR(VLOOKUP(Table2[[#This Row],[Contraente]],Table1[[Nome/Ragione sociale]:[Checkbox selezionato]],6,FALSE),"-")</f>
        <v>-</v>
      </c>
      <c r="AN82" s="63" t="str">
        <f>IFERROR(VLOOKUP(Table2[[#This Row],[Contraente]],Table1[[Nome/Ragione sociale]:[Checkbox selezionato]],7,FALSE),"-")</f>
        <v>papies@libero.it</v>
      </c>
      <c r="AO82" s="63">
        <f>IFERROR(VLOOKUP(Table2[[#This Row],[Contraente]],Table1[[Nome/Ragione sociale]:[Checkbox selezionato]],8,FALSE),"-")</f>
        <v>0</v>
      </c>
      <c r="AP82" s="63">
        <f>IFERROR(VLOOKUP(Table2[[#This Row],[Contraente]],Table1[[Nome/Ragione sociale]:[Checkbox selezionato]],10,FALSE),"-")</f>
        <v>3343779815</v>
      </c>
      <c r="AQ82" s="63" t="str">
        <f>IFERROR(VLOOKUP(Table2[[#This Row],[Contraente]],Table1[[Nome/Ragione sociale]:[Checkbox selezionato]],11,FALSE),"-")</f>
        <v>SI</v>
      </c>
      <c r="AR82" s="63" t="str">
        <f>IFERROR(VLOOKUP(Table2[[#This Row],[Contraente]],Table1[[Nome/Ragione sociale]:[Checkbox selezionato]],12,FALSE),"-")</f>
        <v>SI</v>
      </c>
    </row>
    <row r="83" spans="1:44" ht="30" hidden="1" customHeight="1" x14ac:dyDescent="0.25">
      <c r="A83" s="60" t="str">
        <f>UPPER(LEFT(Table2[[#This Row],[Contraente]],1))</f>
        <v>B</v>
      </c>
      <c r="B83" s="60" t="s">
        <v>1634</v>
      </c>
      <c r="C83" s="81" t="s">
        <v>298</v>
      </c>
      <c r="D83" s="80" t="s">
        <v>37</v>
      </c>
      <c r="E83" s="86">
        <v>1074847</v>
      </c>
      <c r="F83" s="64">
        <v>42559</v>
      </c>
      <c r="G83" s="64">
        <f>IFERROR(CALCOLASCADENZA(Table2[[#This Row],[Data attivazione]],Table2[[#This Row],[Rateizzazione]],Table2[[#This Row],[Data ultimo pagamento]],Table2[[#This Row],[Data prossima scadenza manuale]]),"-")</f>
        <v>42931</v>
      </c>
      <c r="H83" s="67" t="s">
        <v>32</v>
      </c>
      <c r="I83" s="67" t="s">
        <v>113</v>
      </c>
      <c r="J83" s="33">
        <f>IFERROR(Table2[[#This Row],[Importo annuale]]/(12/VLOOKUP(Table2[[#This Row],[Rateizzazione]],TIPI_RATEIZZAZIONI,2,FALSE)),"-")</f>
        <v>80</v>
      </c>
      <c r="K83" s="88"/>
      <c r="L83" s="88">
        <v>80</v>
      </c>
      <c r="M83" s="67" t="s">
        <v>44</v>
      </c>
      <c r="N83" s="67" t="s">
        <v>52</v>
      </c>
      <c r="O83" s="27" t="s">
        <v>1631</v>
      </c>
      <c r="P83" s="33" t="s">
        <v>23</v>
      </c>
      <c r="Q83" s="60">
        <f>IFERROR(IF(12 / VLOOKUP(Table2[[#This Row],[Rateizzazione]],TIPI_RATEIZZAZIONI,2,FALSE) &gt;=1,  IF(Table2[[#This Row],[Data attivazione]] = "","-",MONTH(Table2[[#This Row],[Data attivazione]])),"-"),"-")</f>
        <v>7</v>
      </c>
      <c r="R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" s="67" t="s">
        <v>2</v>
      </c>
      <c r="V83" s="62"/>
      <c r="W83" s="64">
        <v>42200</v>
      </c>
      <c r="X83" s="29">
        <f>DATE(YEAR(Table2[[#This Row],[Data attivazione]])+VLOOKUP(Table2[[#This Row],[Durata]],VALORE_DURATA,2,FALSE),MONTH(Table2[[#This Row],[Data attivazione]]),DAY(Table2[[#This Row],[Data attivazione]]))</f>
        <v>42566</v>
      </c>
      <c r="Y83" s="65"/>
      <c r="Z83" s="61"/>
      <c r="AA83" s="64" t="s">
        <v>88</v>
      </c>
      <c r="AB83" s="29" t="str">
        <f>IF(Table2[[#This Row],[Data ultimo versamento temp]]=0/1/1900,"-",Table2[[#This Row],[Data ultimo versamento temp]])</f>
        <v>-</v>
      </c>
      <c r="AC83" s="29">
        <f t="array" ref="AC83">MAX(IF(TableVersamenti[Polizza]=Table2[[#This Row],[Polizza]],TableVersamenti[Data prevista versamento],"-"))</f>
        <v>0</v>
      </c>
      <c r="AD83" s="62"/>
      <c r="AE83" s="106">
        <f>DATE(YEAR(Table2[[#This Row],[Data ultimo pagamento]]),MONTH(Table2[[#This Row],[Data ultimo pagamento]]), 1)</f>
        <v>42552</v>
      </c>
      <c r="AF83" s="106">
        <f>DATE(YEAR(Table2[[#This Row],[Data prossima scadenza]]),MONTH(Table2[[#This Row],[Data prossima scadenza]]), 1)</f>
        <v>42917</v>
      </c>
      <c r="AG83" s="33">
        <f>IFERROR(Table2[[#This Row],[Importo annuale]]*VLOOKUP(Table2[[#This Row],[Ramo]],RAMI_POLIZZA,2,FALSE),0)</f>
        <v>1.2</v>
      </c>
      <c r="AH83" s="65" t="s">
        <v>113</v>
      </c>
      <c r="AI83" s="63" t="str">
        <f>IFERROR(VLOOKUP(Table2[[#This Row],[Contraente]],Table1[[Nome/Ragione sociale]:[Checkbox selezionato]],2,FALSE),"-")</f>
        <v>PIEVE PORTO MORONE</v>
      </c>
      <c r="AJ83" s="63">
        <f>IFERROR(VLOOKUP(Table2[[#This Row],[Contraente]],Table1[[Nome/Ragione sociale]:[Checkbox selezionato]],3,FALSE),"-")</f>
        <v>3343779815</v>
      </c>
      <c r="AK83" s="63">
        <f>IFERROR(VLOOKUP(Table2[[#This Row],[Contraente]],Table1[[Nome/Ragione sociale]:[Checkbox selezionato]],4,FALSE),"-")</f>
        <v>0</v>
      </c>
      <c r="AL83" s="63" t="str">
        <f>IFERROR(VLOOKUP(Table2[[#This Row],[Contraente]],Table1[[Nome/Ragione sociale]:[Checkbox selezionato]],5,FALSE),"-")</f>
        <v>MATTEO</v>
      </c>
      <c r="AM83" s="62" t="str">
        <f>IFERROR(VLOOKUP(Table2[[#This Row],[Contraente]],Table1[[Nome/Ragione sociale]:[Checkbox selezionato]],6,FALSE),"-")</f>
        <v>-</v>
      </c>
      <c r="AN83" s="63" t="str">
        <f>IFERROR(VLOOKUP(Table2[[#This Row],[Contraente]],Table1[[Nome/Ragione sociale]:[Checkbox selezionato]],7,FALSE),"-")</f>
        <v>papies@libero.it</v>
      </c>
      <c r="AO83" s="63">
        <f>IFERROR(VLOOKUP(Table2[[#This Row],[Contraente]],Table1[[Nome/Ragione sociale]:[Checkbox selezionato]],8,FALSE),"-")</f>
        <v>0</v>
      </c>
      <c r="AP83" s="63">
        <f>IFERROR(VLOOKUP(Table2[[#This Row],[Contraente]],Table1[[Nome/Ragione sociale]:[Checkbox selezionato]],10,FALSE),"-")</f>
        <v>3343779815</v>
      </c>
      <c r="AQ83" s="63" t="str">
        <f>IFERROR(VLOOKUP(Table2[[#This Row],[Contraente]],Table1[[Nome/Ragione sociale]:[Checkbox selezionato]],11,FALSE),"-")</f>
        <v>SI</v>
      </c>
      <c r="AR83" s="63" t="str">
        <f>IFERROR(VLOOKUP(Table2[[#This Row],[Contraente]],Table1[[Nome/Ragione sociale]:[Checkbox selezionato]],12,FALSE),"-")</f>
        <v>SI</v>
      </c>
    </row>
    <row r="84" spans="1:44" ht="30" hidden="1" customHeight="1" x14ac:dyDescent="0.25">
      <c r="A84" s="60" t="str">
        <f>UPPER(LEFT(Table2[[#This Row],[Contraente]],1))</f>
        <v>B</v>
      </c>
      <c r="B84" s="60" t="s">
        <v>1634</v>
      </c>
      <c r="C84" s="81" t="s">
        <v>298</v>
      </c>
      <c r="D84" s="80" t="s">
        <v>37</v>
      </c>
      <c r="E84" s="86">
        <v>1074846</v>
      </c>
      <c r="F84" s="64">
        <v>42559</v>
      </c>
      <c r="G84" s="64">
        <f>IFERROR(CALCOLASCADENZA(Table2[[#This Row],[Data attivazione]],Table2[[#This Row],[Rateizzazione]],Table2[[#This Row],[Data ultimo pagamento]],Table2[[#This Row],[Data prossima scadenza manuale]]),"-")</f>
        <v>42931</v>
      </c>
      <c r="H84" s="67" t="s">
        <v>32</v>
      </c>
      <c r="I84" s="67" t="s">
        <v>113</v>
      </c>
      <c r="J84" s="33">
        <f>IFERROR(Table2[[#This Row],[Importo annuale]]/(12/VLOOKUP(Table2[[#This Row],[Rateizzazione]],TIPI_RATEIZZAZIONI,2,FALSE)),"-")</f>
        <v>80</v>
      </c>
      <c r="K84" s="88"/>
      <c r="L84" s="88">
        <v>80</v>
      </c>
      <c r="M84" s="67" t="s">
        <v>44</v>
      </c>
      <c r="N84" s="67" t="s">
        <v>52</v>
      </c>
      <c r="O84" s="27" t="s">
        <v>1631</v>
      </c>
      <c r="P84" s="33" t="s">
        <v>23</v>
      </c>
      <c r="Q84" s="60">
        <f>IFERROR(IF(12 / VLOOKUP(Table2[[#This Row],[Rateizzazione]],TIPI_RATEIZZAZIONI,2,FALSE) &gt;=1,  IF(Table2[[#This Row],[Data attivazione]] = "","-",MONTH(Table2[[#This Row],[Data attivazione]])),"-"),"-")</f>
        <v>7</v>
      </c>
      <c r="R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" s="67" t="s">
        <v>2</v>
      </c>
      <c r="V84" s="62"/>
      <c r="W84" s="64">
        <v>42200</v>
      </c>
      <c r="X84" s="29">
        <f>DATE(YEAR(Table2[[#This Row],[Data attivazione]])+VLOOKUP(Table2[[#This Row],[Durata]],VALORE_DURATA,2,FALSE),MONTH(Table2[[#This Row],[Data attivazione]]),DAY(Table2[[#This Row],[Data attivazione]]))</f>
        <v>42566</v>
      </c>
      <c r="Y84" s="65"/>
      <c r="Z84" s="61"/>
      <c r="AA84" s="64" t="s">
        <v>88</v>
      </c>
      <c r="AB84" s="29" t="str">
        <f>IF(Table2[[#This Row],[Data ultimo versamento temp]]=0/1/1900,"-",Table2[[#This Row],[Data ultimo versamento temp]])</f>
        <v>-</v>
      </c>
      <c r="AC84" s="29">
        <f t="array" ref="AC84">MAX(IF(TableVersamenti[Polizza]=Table2[[#This Row],[Polizza]],TableVersamenti[Data prevista versamento],"-"))</f>
        <v>0</v>
      </c>
      <c r="AD84" s="62"/>
      <c r="AE84" s="106">
        <f>DATE(YEAR(Table2[[#This Row],[Data ultimo pagamento]]),MONTH(Table2[[#This Row],[Data ultimo pagamento]]), 1)</f>
        <v>42552</v>
      </c>
      <c r="AF84" s="106">
        <f>DATE(YEAR(Table2[[#This Row],[Data prossima scadenza]]),MONTH(Table2[[#This Row],[Data prossima scadenza]]), 1)</f>
        <v>42917</v>
      </c>
      <c r="AG84" s="33">
        <f>IFERROR(Table2[[#This Row],[Importo annuale]]*VLOOKUP(Table2[[#This Row],[Ramo]],RAMI_POLIZZA,2,FALSE),0)</f>
        <v>1.2</v>
      </c>
      <c r="AH84" s="65" t="s">
        <v>113</v>
      </c>
      <c r="AI84" s="63" t="str">
        <f>IFERROR(VLOOKUP(Table2[[#This Row],[Contraente]],Table1[[Nome/Ragione sociale]:[Checkbox selezionato]],2,FALSE),"-")</f>
        <v>PIEVE PORTO MORONE</v>
      </c>
      <c r="AJ84" s="63">
        <f>IFERROR(VLOOKUP(Table2[[#This Row],[Contraente]],Table1[[Nome/Ragione sociale]:[Checkbox selezionato]],3,FALSE),"-")</f>
        <v>3343779815</v>
      </c>
      <c r="AK84" s="63">
        <f>IFERROR(VLOOKUP(Table2[[#This Row],[Contraente]],Table1[[Nome/Ragione sociale]:[Checkbox selezionato]],4,FALSE),"-")</f>
        <v>0</v>
      </c>
      <c r="AL84" s="63" t="str">
        <f>IFERROR(VLOOKUP(Table2[[#This Row],[Contraente]],Table1[[Nome/Ragione sociale]:[Checkbox selezionato]],5,FALSE),"-")</f>
        <v>MATTEO</v>
      </c>
      <c r="AM84" s="62" t="str">
        <f>IFERROR(VLOOKUP(Table2[[#This Row],[Contraente]],Table1[[Nome/Ragione sociale]:[Checkbox selezionato]],6,FALSE),"-")</f>
        <v>-</v>
      </c>
      <c r="AN84" s="63" t="str">
        <f>IFERROR(VLOOKUP(Table2[[#This Row],[Contraente]],Table1[[Nome/Ragione sociale]:[Checkbox selezionato]],7,FALSE),"-")</f>
        <v>papies@libero.it</v>
      </c>
      <c r="AO84" s="63">
        <f>IFERROR(VLOOKUP(Table2[[#This Row],[Contraente]],Table1[[Nome/Ragione sociale]:[Checkbox selezionato]],8,FALSE),"-")</f>
        <v>0</v>
      </c>
      <c r="AP84" s="63">
        <f>IFERROR(VLOOKUP(Table2[[#This Row],[Contraente]],Table1[[Nome/Ragione sociale]:[Checkbox selezionato]],10,FALSE),"-")</f>
        <v>3343779815</v>
      </c>
      <c r="AQ84" s="63" t="str">
        <f>IFERROR(VLOOKUP(Table2[[#This Row],[Contraente]],Table1[[Nome/Ragione sociale]:[Checkbox selezionato]],11,FALSE),"-")</f>
        <v>SI</v>
      </c>
      <c r="AR84" s="63" t="str">
        <f>IFERROR(VLOOKUP(Table2[[#This Row],[Contraente]],Table1[[Nome/Ragione sociale]:[Checkbox selezionato]],12,FALSE),"-")</f>
        <v>SI</v>
      </c>
    </row>
    <row r="85" spans="1:44" ht="30" hidden="1" customHeight="1" x14ac:dyDescent="0.25">
      <c r="A85" s="60" t="str">
        <f>UPPER(LEFT(Table2[[#This Row],[Contraente]],1))</f>
        <v>B</v>
      </c>
      <c r="B85" s="60" t="s">
        <v>1634</v>
      </c>
      <c r="C85" s="81" t="s">
        <v>298</v>
      </c>
      <c r="D85" s="80" t="s">
        <v>37</v>
      </c>
      <c r="E85" s="86">
        <v>106630224</v>
      </c>
      <c r="F85" s="64">
        <v>42809</v>
      </c>
      <c r="G85" s="64">
        <f>IFERROR(CALCOLASCADENZA(Table2[[#This Row],[Data attivazione]],Table2[[#This Row],[Rateizzazione]],Table2[[#This Row],[Data ultimo pagamento]],Table2[[#This Row],[Data prossima scadenza manuale]]),"-")</f>
        <v>42993</v>
      </c>
      <c r="H85" s="67" t="s">
        <v>30</v>
      </c>
      <c r="I85" s="67" t="s">
        <v>113</v>
      </c>
      <c r="J85" s="33">
        <f>IFERROR(Table2[[#This Row],[Importo annuale]]/(12/VLOOKUP(Table2[[#This Row],[Rateizzazione]],TIPI_RATEIZZAZIONI,2,FALSE)),"-")</f>
        <v>162</v>
      </c>
      <c r="K85" s="88">
        <v>162</v>
      </c>
      <c r="L85" s="88">
        <v>324</v>
      </c>
      <c r="M85" s="67" t="s">
        <v>44</v>
      </c>
      <c r="N85" s="67" t="s">
        <v>52</v>
      </c>
      <c r="O85" s="27" t="s">
        <v>1631</v>
      </c>
      <c r="P85" s="33" t="s">
        <v>22</v>
      </c>
      <c r="Q85" s="60">
        <f>IFERROR(IF(12 / VLOOKUP(Table2[[#This Row],[Rateizzazione]],TIPI_RATEIZZAZIONI,2,FALSE) &gt;=1,  IF(Table2[[#This Row],[Data attivazione]] = "","-",MONTH(Table2[[#This Row],[Data attivazione]])),"-"),"-")</f>
        <v>3</v>
      </c>
      <c r="R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" s="67" t="s">
        <v>2</v>
      </c>
      <c r="V85" s="62"/>
      <c r="W85" s="64">
        <v>42809</v>
      </c>
      <c r="X85" s="29">
        <f>DATE(YEAR(Table2[[#This Row],[Data attivazione]])+VLOOKUP(Table2[[#This Row],[Durata]],VALORE_DURATA,2,FALSE),MONTH(Table2[[#This Row],[Data attivazione]]),DAY(Table2[[#This Row],[Data attivazione]]))</f>
        <v>43174</v>
      </c>
      <c r="Y85" s="65"/>
      <c r="Z85" s="61"/>
      <c r="AA85" s="64" t="s">
        <v>85</v>
      </c>
      <c r="AB85" s="29" t="str">
        <f>IF(Table2[[#This Row],[Data ultimo versamento temp]]=0/1/1900,"-",Table2[[#This Row],[Data ultimo versamento temp]])</f>
        <v>-</v>
      </c>
      <c r="AC85" s="29">
        <f t="array" ref="AC85">MAX(IF(TableVersamenti[Polizza]=Table2[[#This Row],[Polizza]],TableVersamenti[Data prevista versamento],"-"))</f>
        <v>0</v>
      </c>
      <c r="AD85" s="62"/>
      <c r="AE85" s="106">
        <f>DATE(YEAR(Table2[[#This Row],[Data ultimo pagamento]]),MONTH(Table2[[#This Row],[Data ultimo pagamento]]), 1)</f>
        <v>42795</v>
      </c>
      <c r="AF85" s="106">
        <f>DATE(YEAR(Table2[[#This Row],[Data prossima scadenza]]),MONTH(Table2[[#This Row],[Data prossima scadenza]]), 1)</f>
        <v>42979</v>
      </c>
      <c r="AG85" s="33">
        <f>IFERROR(Table2[[#This Row],[Importo annuale]]*VLOOKUP(Table2[[#This Row],[Ramo]],RAMI_POLIZZA,2,FALSE),0)</f>
        <v>37.260000000000005</v>
      </c>
      <c r="AH85" s="65" t="s">
        <v>113</v>
      </c>
      <c r="AI85" s="63" t="str">
        <f>IFERROR(VLOOKUP(Table2[[#This Row],[Contraente]],Table1[[Nome/Ragione sociale]:[Checkbox selezionato]],2,FALSE),"-")</f>
        <v>PIEVE PORTO MORONE</v>
      </c>
      <c r="AJ85" s="63">
        <f>IFERROR(VLOOKUP(Table2[[#This Row],[Contraente]],Table1[[Nome/Ragione sociale]:[Checkbox selezionato]],3,FALSE),"-")</f>
        <v>3343779815</v>
      </c>
      <c r="AK85" s="63">
        <f>IFERROR(VLOOKUP(Table2[[#This Row],[Contraente]],Table1[[Nome/Ragione sociale]:[Checkbox selezionato]],4,FALSE),"-")</f>
        <v>0</v>
      </c>
      <c r="AL85" s="63" t="str">
        <f>IFERROR(VLOOKUP(Table2[[#This Row],[Contraente]],Table1[[Nome/Ragione sociale]:[Checkbox selezionato]],5,FALSE),"-")</f>
        <v>MATTEO</v>
      </c>
      <c r="AM85" s="62" t="str">
        <f>IFERROR(VLOOKUP(Table2[[#This Row],[Contraente]],Table1[[Nome/Ragione sociale]:[Checkbox selezionato]],6,FALSE),"-")</f>
        <v>-</v>
      </c>
      <c r="AN85" s="63" t="str">
        <f>IFERROR(VLOOKUP(Table2[[#This Row],[Contraente]],Table1[[Nome/Ragione sociale]:[Checkbox selezionato]],7,FALSE),"-")</f>
        <v>papies@libero.it</v>
      </c>
      <c r="AO85" s="63">
        <f>IFERROR(VLOOKUP(Table2[[#This Row],[Contraente]],Table1[[Nome/Ragione sociale]:[Checkbox selezionato]],8,FALSE),"-")</f>
        <v>0</v>
      </c>
      <c r="AP85" s="63">
        <f>IFERROR(VLOOKUP(Table2[[#This Row],[Contraente]],Table1[[Nome/Ragione sociale]:[Checkbox selezionato]],10,FALSE),"-")</f>
        <v>3343779815</v>
      </c>
      <c r="AQ85" s="63" t="str">
        <f>IFERROR(VLOOKUP(Table2[[#This Row],[Contraente]],Table1[[Nome/Ragione sociale]:[Checkbox selezionato]],11,FALSE),"-")</f>
        <v>SI</v>
      </c>
      <c r="AR85" s="63" t="str">
        <f>IFERROR(VLOOKUP(Table2[[#This Row],[Contraente]],Table1[[Nome/Ragione sociale]:[Checkbox selezionato]],12,FALSE),"-")</f>
        <v>SI</v>
      </c>
    </row>
    <row r="86" spans="1:44" ht="30" hidden="1" customHeight="1" x14ac:dyDescent="0.25">
      <c r="A86" s="60" t="str">
        <f>UPPER(LEFT(Table2[[#This Row],[Contraente]],1))</f>
        <v>B</v>
      </c>
      <c r="B86" s="60" t="s">
        <v>1634</v>
      </c>
      <c r="C86" s="81" t="s">
        <v>298</v>
      </c>
      <c r="D86" s="80" t="s">
        <v>37</v>
      </c>
      <c r="E86" s="86">
        <v>106630159</v>
      </c>
      <c r="F86" s="64">
        <v>42809</v>
      </c>
      <c r="G86" s="64">
        <f>IFERROR(CALCOLASCADENZA(Table2[[#This Row],[Data attivazione]],Table2[[#This Row],[Rateizzazione]],Table2[[#This Row],[Data ultimo pagamento]],Table2[[#This Row],[Data prossima scadenza manuale]]),"-")</f>
        <v>42993</v>
      </c>
      <c r="H86" s="67" t="s">
        <v>30</v>
      </c>
      <c r="I86" s="67" t="s">
        <v>113</v>
      </c>
      <c r="J86" s="33">
        <f>IFERROR(Table2[[#This Row],[Importo annuale]]/(12/VLOOKUP(Table2[[#This Row],[Rateizzazione]],TIPI_RATEIZZAZIONI,2,FALSE)),"-")</f>
        <v>162</v>
      </c>
      <c r="K86" s="88">
        <v>162</v>
      </c>
      <c r="L86" s="88">
        <v>324</v>
      </c>
      <c r="M86" s="67" t="s">
        <v>44</v>
      </c>
      <c r="N86" s="67" t="s">
        <v>52</v>
      </c>
      <c r="O86" s="27" t="s">
        <v>1631</v>
      </c>
      <c r="P86" s="33" t="s">
        <v>22</v>
      </c>
      <c r="Q86" s="60">
        <f>IFERROR(IF(12 / VLOOKUP(Table2[[#This Row],[Rateizzazione]],TIPI_RATEIZZAZIONI,2,FALSE) &gt;=1,  IF(Table2[[#This Row],[Data attivazione]] = "","-",MONTH(Table2[[#This Row],[Data attivazione]])),"-"),"-")</f>
        <v>3</v>
      </c>
      <c r="R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" s="67" t="s">
        <v>2</v>
      </c>
      <c r="V86" s="62"/>
      <c r="W86" s="64">
        <v>42809</v>
      </c>
      <c r="X86" s="29">
        <f>DATE(YEAR(Table2[[#This Row],[Data attivazione]])+VLOOKUP(Table2[[#This Row],[Durata]],VALORE_DURATA,2,FALSE),MONTH(Table2[[#This Row],[Data attivazione]]),DAY(Table2[[#This Row],[Data attivazione]]))</f>
        <v>43174</v>
      </c>
      <c r="Y86" s="65"/>
      <c r="Z86" s="61"/>
      <c r="AA86" s="64" t="s">
        <v>85</v>
      </c>
      <c r="AB86" s="29" t="str">
        <f>IF(Table2[[#This Row],[Data ultimo versamento temp]]=0/1/1900,"-",Table2[[#This Row],[Data ultimo versamento temp]])</f>
        <v>-</v>
      </c>
      <c r="AC86" s="29">
        <f t="array" ref="AC86">MAX(IF(TableVersamenti[Polizza]=Table2[[#This Row],[Polizza]],TableVersamenti[Data prevista versamento],"-"))</f>
        <v>0</v>
      </c>
      <c r="AD86" s="62"/>
      <c r="AE86" s="106">
        <f>DATE(YEAR(Table2[[#This Row],[Data ultimo pagamento]]),MONTH(Table2[[#This Row],[Data ultimo pagamento]]), 1)</f>
        <v>42795</v>
      </c>
      <c r="AF86" s="106">
        <f>DATE(YEAR(Table2[[#This Row],[Data prossima scadenza]]),MONTH(Table2[[#This Row],[Data prossima scadenza]]), 1)</f>
        <v>42979</v>
      </c>
      <c r="AG86" s="33">
        <f>IFERROR(Table2[[#This Row],[Importo annuale]]*VLOOKUP(Table2[[#This Row],[Ramo]],RAMI_POLIZZA,2,FALSE),0)</f>
        <v>37.260000000000005</v>
      </c>
      <c r="AH86" s="65" t="s">
        <v>113</v>
      </c>
      <c r="AI86" s="63" t="str">
        <f>IFERROR(VLOOKUP(Table2[[#This Row],[Contraente]],Table1[[Nome/Ragione sociale]:[Checkbox selezionato]],2,FALSE),"-")</f>
        <v>PIEVE PORTO MORONE</v>
      </c>
      <c r="AJ86" s="63">
        <f>IFERROR(VLOOKUP(Table2[[#This Row],[Contraente]],Table1[[Nome/Ragione sociale]:[Checkbox selezionato]],3,FALSE),"-")</f>
        <v>3343779815</v>
      </c>
      <c r="AK86" s="63">
        <f>IFERROR(VLOOKUP(Table2[[#This Row],[Contraente]],Table1[[Nome/Ragione sociale]:[Checkbox selezionato]],4,FALSE),"-")</f>
        <v>0</v>
      </c>
      <c r="AL86" s="63" t="str">
        <f>IFERROR(VLOOKUP(Table2[[#This Row],[Contraente]],Table1[[Nome/Ragione sociale]:[Checkbox selezionato]],5,FALSE),"-")</f>
        <v>MATTEO</v>
      </c>
      <c r="AM86" s="62" t="str">
        <f>IFERROR(VLOOKUP(Table2[[#This Row],[Contraente]],Table1[[Nome/Ragione sociale]:[Checkbox selezionato]],6,FALSE),"-")</f>
        <v>-</v>
      </c>
      <c r="AN86" s="63" t="str">
        <f>IFERROR(VLOOKUP(Table2[[#This Row],[Contraente]],Table1[[Nome/Ragione sociale]:[Checkbox selezionato]],7,FALSE),"-")</f>
        <v>papies@libero.it</v>
      </c>
      <c r="AO86" s="63">
        <f>IFERROR(VLOOKUP(Table2[[#This Row],[Contraente]],Table1[[Nome/Ragione sociale]:[Checkbox selezionato]],8,FALSE),"-")</f>
        <v>0</v>
      </c>
      <c r="AP86" s="63">
        <f>IFERROR(VLOOKUP(Table2[[#This Row],[Contraente]],Table1[[Nome/Ragione sociale]:[Checkbox selezionato]],10,FALSE),"-")</f>
        <v>3343779815</v>
      </c>
      <c r="AQ86" s="63" t="str">
        <f>IFERROR(VLOOKUP(Table2[[#This Row],[Contraente]],Table1[[Nome/Ragione sociale]:[Checkbox selezionato]],11,FALSE),"-")</f>
        <v>SI</v>
      </c>
      <c r="AR86" s="63" t="str">
        <f>IFERROR(VLOOKUP(Table2[[#This Row],[Contraente]],Table1[[Nome/Ragione sociale]:[Checkbox selezionato]],12,FALSE),"-")</f>
        <v>SI</v>
      </c>
    </row>
    <row r="87" spans="1:44" ht="30" hidden="1" customHeight="1" x14ac:dyDescent="0.25">
      <c r="A87" s="60" t="str">
        <f>UPPER(LEFT(Table2[[#This Row],[Contraente]],1))</f>
        <v>B</v>
      </c>
      <c r="B87" s="60" t="s">
        <v>1634</v>
      </c>
      <c r="C87" s="81" t="s">
        <v>300</v>
      </c>
      <c r="D87" s="80" t="s">
        <v>37</v>
      </c>
      <c r="E87" s="86">
        <v>102846262</v>
      </c>
      <c r="F87" s="64">
        <v>41908</v>
      </c>
      <c r="G87" s="64">
        <f>IFERROR(CALCOLASCADENZA(Table2[[#This Row],[Data attivazione]],Table2[[#This Row],[Rateizzazione]],Table2[[#This Row],[Data ultimo pagamento]],Table2[[#This Row],[Data prossima scadenza manuale]]),"-")</f>
        <v>693962</v>
      </c>
      <c r="H87" s="67" t="s">
        <v>31</v>
      </c>
      <c r="I87" s="67"/>
      <c r="J87" s="33">
        <f>IFERROR(Table2[[#This Row],[Importo annuale]]/(12/VLOOKUP(Table2[[#This Row],[Rateizzazione]],TIPI_RATEIZZAZIONI,2,FALSE)),"-")</f>
        <v>100.22</v>
      </c>
      <c r="K87" s="88"/>
      <c r="L87" s="88">
        <v>100.22</v>
      </c>
      <c r="M87" s="67" t="s">
        <v>43</v>
      </c>
      <c r="N87" s="67" t="s">
        <v>52</v>
      </c>
      <c r="O87" s="27" t="s">
        <v>1631</v>
      </c>
      <c r="P87" s="33" t="s">
        <v>23</v>
      </c>
      <c r="Q87" s="60">
        <f>IFERROR(IF(12 / VLOOKUP(Table2[[#This Row],[Rateizzazione]],TIPI_RATEIZZAZIONI,2,FALSE) &gt;=1,  IF(Table2[[#This Row],[Data attivazione]] = "","-",MONTH(Table2[[#This Row],[Data attivazione]])),"-"),"-")</f>
        <v>12</v>
      </c>
      <c r="R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" s="67" t="s">
        <v>2</v>
      </c>
      <c r="V87" s="62"/>
      <c r="W87" s="64">
        <v>693597</v>
      </c>
      <c r="X87" s="29">
        <f>DATE(YEAR(Table2[[#This Row],[Data attivazione]])+VLOOKUP(Table2[[#This Row],[Durata]],VALORE_DURATA,2,FALSE),MONTH(Table2[[#This Row],[Data attivazione]]),DAY(Table2[[#This Row],[Data attivazione]]))</f>
        <v>693962</v>
      </c>
      <c r="Y87" s="65"/>
      <c r="Z87" s="61"/>
      <c r="AA87" s="64" t="s">
        <v>88</v>
      </c>
      <c r="AB87" s="29" t="str">
        <f>IF(Table2[[#This Row],[Data ultimo versamento temp]]=0/1/1900,"-",Table2[[#This Row],[Data ultimo versamento temp]])</f>
        <v>-</v>
      </c>
      <c r="AC87" s="29">
        <f t="array" ref="AC87">MAX(IF(TableVersamenti[Polizza]=Table2[[#This Row],[Polizza]],TableVersamenti[Data prevista versamento],"-"))</f>
        <v>0</v>
      </c>
      <c r="AD87" s="62"/>
      <c r="AE87" s="106">
        <f>DATE(YEAR(Table2[[#This Row],[Data ultimo pagamento]]),MONTH(Table2[[#This Row],[Data ultimo pagamento]]), 1)</f>
        <v>41883</v>
      </c>
      <c r="AF87" s="106">
        <f>DATE(YEAR(Table2[[#This Row],[Data prossima scadenza]]),MONTH(Table2[[#This Row],[Data prossima scadenza]]), 1)</f>
        <v>693932</v>
      </c>
      <c r="AG87" s="33">
        <f>IFERROR(Table2[[#This Row],[Importo annuale]]*VLOOKUP(Table2[[#This Row],[Ramo]],RAMI_POLIZZA,2,FALSE),0)</f>
        <v>5.2114399999999996</v>
      </c>
      <c r="AH87" s="65" t="s">
        <v>113</v>
      </c>
      <c r="AI87" s="63" t="str">
        <f>IFERROR(VLOOKUP(Table2[[#This Row],[Contraente]],Table1[[Nome/Ragione sociale]:[Checkbox selezionato]],2,FALSE),"-")</f>
        <v>VILLANTERIO</v>
      </c>
      <c r="AJ87" s="63">
        <f>IFERROR(VLOOKUP(Table2[[#This Row],[Contraente]],Table1[[Nome/Ragione sociale]:[Checkbox selezionato]],3,FALSE),"-")</f>
        <v>3496161272</v>
      </c>
      <c r="AK87" s="63">
        <f>IFERROR(VLOOKUP(Table2[[#This Row],[Contraente]],Table1[[Nome/Ragione sociale]:[Checkbox selezionato]],4,FALSE),"-")</f>
        <v>0</v>
      </c>
      <c r="AL87" s="63" t="str">
        <f>IFERROR(VLOOKUP(Table2[[#This Row],[Contraente]],Table1[[Nome/Ragione sociale]:[Checkbox selezionato]],5,FALSE),"-")</f>
        <v>OSCAR</v>
      </c>
      <c r="AM87" s="62">
        <f>IFERROR(VLOOKUP(Table2[[#This Row],[Contraente]],Table1[[Nome/Ragione sociale]:[Checkbox selezionato]],6,FALSE),"-")</f>
        <v>24674</v>
      </c>
      <c r="AN87" s="63" t="str">
        <f>IFERROR(VLOOKUP(Table2[[#This Row],[Contraente]],Table1[[Nome/Ragione sociale]:[Checkbox selezionato]],7,FALSE),"-")</f>
        <v>papies@email.it</v>
      </c>
      <c r="AO87" s="63">
        <f>IFERROR(VLOOKUP(Table2[[#This Row],[Contraente]],Table1[[Nome/Ragione sociale]:[Checkbox selezionato]],8,FALSE),"-")</f>
        <v>0</v>
      </c>
      <c r="AP87" s="63">
        <f>IFERROR(VLOOKUP(Table2[[#This Row],[Contraente]],Table1[[Nome/Ragione sociale]:[Checkbox selezionato]],10,FALSE),"-")</f>
        <v>3496161272</v>
      </c>
      <c r="AQ87" s="63" t="str">
        <f>IFERROR(VLOOKUP(Table2[[#This Row],[Contraente]],Table1[[Nome/Ragione sociale]:[Checkbox selezionato]],11,FALSE),"-")</f>
        <v>SI</v>
      </c>
      <c r="AR87" s="63" t="str">
        <f>IFERROR(VLOOKUP(Table2[[#This Row],[Contraente]],Table1[[Nome/Ragione sociale]:[Checkbox selezionato]],12,FALSE),"-")</f>
        <v>SI</v>
      </c>
    </row>
    <row r="88" spans="1:44" ht="30" hidden="1" customHeight="1" x14ac:dyDescent="0.25">
      <c r="A88" s="60" t="str">
        <f>UPPER(LEFT(Table2[[#This Row],[Contraente]],1))</f>
        <v>B</v>
      </c>
      <c r="B88" s="60" t="s">
        <v>1634</v>
      </c>
      <c r="C88" s="81" t="s">
        <v>302</v>
      </c>
      <c r="D88" s="80" t="s">
        <v>37</v>
      </c>
      <c r="E88" s="86">
        <v>104626967</v>
      </c>
      <c r="F88" s="64">
        <v>42286</v>
      </c>
      <c r="G88" s="64">
        <f>IFERROR(CALCOLASCADENZA(Table2[[#This Row],[Data attivazione]],Table2[[#This Row],[Rateizzazione]],Table2[[#This Row],[Data ultimo pagamento]],Table2[[#This Row],[Data prossima scadenza manuale]]),"-")</f>
        <v>42286</v>
      </c>
      <c r="H88" s="67" t="s">
        <v>31</v>
      </c>
      <c r="I88" s="67" t="s">
        <v>1163</v>
      </c>
      <c r="J88" s="33">
        <v>-356.47</v>
      </c>
      <c r="K88" s="88"/>
      <c r="L88" s="88">
        <v>0</v>
      </c>
      <c r="M88" s="67" t="s">
        <v>44</v>
      </c>
      <c r="N88" s="67" t="s">
        <v>51</v>
      </c>
      <c r="O88" s="27" t="s">
        <v>1631</v>
      </c>
      <c r="P88" s="33" t="s">
        <v>24</v>
      </c>
      <c r="Q8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" s="67" t="s">
        <v>2</v>
      </c>
      <c r="V88" s="62"/>
      <c r="W88" s="64">
        <v>693597</v>
      </c>
      <c r="X88" s="29">
        <f>DATE(YEAR(Table2[[#This Row],[Data attivazione]])+VLOOKUP(Table2[[#This Row],[Durata]],VALORE_DURATA,2,FALSE),MONTH(Table2[[#This Row],[Data attivazione]]),DAY(Table2[[#This Row],[Data attivazione]]))</f>
        <v>693962</v>
      </c>
      <c r="Y88" s="65"/>
      <c r="Z88" s="61"/>
      <c r="AA88" s="64" t="s">
        <v>88</v>
      </c>
      <c r="AB88" s="29" t="str">
        <f>IF(Table2[[#This Row],[Data ultimo versamento temp]]=0/1/1900,"-",Table2[[#This Row],[Data ultimo versamento temp]])</f>
        <v>-</v>
      </c>
      <c r="AC88" s="29">
        <f t="array" ref="AC88">MAX(IF(TableVersamenti[Polizza]=Table2[[#This Row],[Polizza]],TableVersamenti[Data prevista versamento],"-"))</f>
        <v>0</v>
      </c>
      <c r="AD88" s="62"/>
      <c r="AE88" s="106">
        <f>DATE(YEAR(Table2[[#This Row],[Data ultimo pagamento]]),MONTH(Table2[[#This Row],[Data ultimo pagamento]]), 1)</f>
        <v>42278</v>
      </c>
      <c r="AF88" s="106">
        <f>DATE(YEAR(Table2[[#This Row],[Data prossima scadenza]]),MONTH(Table2[[#This Row],[Data prossima scadenza]]), 1)</f>
        <v>42278</v>
      </c>
      <c r="AG88" s="33">
        <f>IFERROR(Table2[[#This Row],[Importo annuale]]*VLOOKUP(Table2[[#This Row],[Ramo]],RAMI_POLIZZA,2,FALSE),0)</f>
        <v>0</v>
      </c>
      <c r="AH88" s="65" t="s">
        <v>113</v>
      </c>
      <c r="AI88" s="63" t="str">
        <f>IFERROR(VLOOKUP(Table2[[#This Row],[Contraente]],Table1[[Nome/Ragione sociale]:[Checkbox selezionato]],2,FALSE),"-")</f>
        <v>PIZZIGHETTONE</v>
      </c>
      <c r="AJ88" s="63">
        <f>IFERROR(VLOOKUP(Table2[[#This Row],[Contraente]],Table1[[Nome/Ragione sociale]:[Checkbox selezionato]],3,FALSE),"-")</f>
        <v>3661978776</v>
      </c>
      <c r="AK88" s="63">
        <f>IFERROR(VLOOKUP(Table2[[#This Row],[Contraente]],Table1[[Nome/Ragione sociale]:[Checkbox selezionato]],4,FALSE),"-")</f>
        <v>0</v>
      </c>
      <c r="AL88" s="63" t="str">
        <f>IFERROR(VLOOKUP(Table2[[#This Row],[Contraente]],Table1[[Nome/Ragione sociale]:[Checkbox selezionato]],5,FALSE),"-")</f>
        <v>MAURO</v>
      </c>
      <c r="AM88" s="62">
        <f>IFERROR(VLOOKUP(Table2[[#This Row],[Contraente]],Table1[[Nome/Ragione sociale]:[Checkbox selezionato]],6,FALSE),"-")</f>
        <v>24727</v>
      </c>
      <c r="AN88" s="63" t="str">
        <f>IFERROR(VLOOKUP(Table2[[#This Row],[Contraente]],Table1[[Nome/Ragione sociale]:[Checkbox selezionato]],7,FALSE),"-")</f>
        <v>papies@libero.it</v>
      </c>
      <c r="AO88" s="63">
        <f>IFERROR(VLOOKUP(Table2[[#This Row],[Contraente]],Table1[[Nome/Ragione sociale]:[Checkbox selezionato]],8,FALSE),"-")</f>
        <v>0</v>
      </c>
      <c r="AP88" s="63">
        <f>IFERROR(VLOOKUP(Table2[[#This Row],[Contraente]],Table1[[Nome/Ragione sociale]:[Checkbox selezionato]],10,FALSE),"-")</f>
        <v>3661978776</v>
      </c>
      <c r="AQ88" s="63" t="str">
        <f>IFERROR(VLOOKUP(Table2[[#This Row],[Contraente]],Table1[[Nome/Ragione sociale]:[Checkbox selezionato]],11,FALSE),"-")</f>
        <v>SI</v>
      </c>
      <c r="AR88" s="63" t="str">
        <f>IFERROR(VLOOKUP(Table2[[#This Row],[Contraente]],Table1[[Nome/Ragione sociale]:[Checkbox selezionato]],12,FALSE),"-")</f>
        <v>SI</v>
      </c>
    </row>
    <row r="89" spans="1:44" ht="30" hidden="1" customHeight="1" x14ac:dyDescent="0.25">
      <c r="A89" s="60" t="str">
        <f>UPPER(LEFT(Table2[[#This Row],[Contraente]],1))</f>
        <v>B</v>
      </c>
      <c r="B89" s="60" t="s">
        <v>1634</v>
      </c>
      <c r="C89" s="81" t="s">
        <v>302</v>
      </c>
      <c r="D89" s="80" t="s">
        <v>37</v>
      </c>
      <c r="E89" s="86">
        <v>106120770</v>
      </c>
      <c r="F89" s="64">
        <v>42835</v>
      </c>
      <c r="G89" s="64">
        <f>IFERROR(CALCOLASCADENZA(Table2[[#This Row],[Data attivazione]],Table2[[#This Row],[Rateizzazione]],Table2[[#This Row],[Data ultimo pagamento]],Table2[[#This Row],[Data prossima scadenza manuale]]),"-")</f>
        <v>43007</v>
      </c>
      <c r="H89" s="67" t="s">
        <v>31</v>
      </c>
      <c r="I89" s="67" t="s">
        <v>1164</v>
      </c>
      <c r="J89" s="33">
        <f>IFERROR(Table2[[#This Row],[Importo annuale]]/(12/VLOOKUP(Table2[[#This Row],[Rateizzazione]],TIPI_RATEIZZAZIONI,2,FALSE)),"-")</f>
        <v>805</v>
      </c>
      <c r="K89" s="88">
        <v>805</v>
      </c>
      <c r="L89" s="88">
        <v>1610</v>
      </c>
      <c r="M89" s="67" t="s">
        <v>44</v>
      </c>
      <c r="N89" s="67" t="s">
        <v>51</v>
      </c>
      <c r="O89" s="27" t="s">
        <v>1631</v>
      </c>
      <c r="P89" s="33" t="s">
        <v>22</v>
      </c>
      <c r="Q89" s="60">
        <f>IFERROR(IF(12 / VLOOKUP(Table2[[#This Row],[Rateizzazione]],TIPI_RATEIZZAZIONI,2,FALSE) &gt;=1,  IF(Table2[[#This Row],[Data attivazione]] = "","-",MONTH(Table2[[#This Row],[Data attivazione]])),"-"),"-")</f>
        <v>9</v>
      </c>
      <c r="R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" s="67" t="s">
        <v>2</v>
      </c>
      <c r="V89" s="62"/>
      <c r="W89" s="64">
        <v>42642</v>
      </c>
      <c r="X89" s="29">
        <f>DATE(YEAR(Table2[[#This Row],[Data attivazione]])+VLOOKUP(Table2[[#This Row],[Durata]],VALORE_DURATA,2,FALSE),MONTH(Table2[[#This Row],[Data attivazione]]),DAY(Table2[[#This Row],[Data attivazione]]))</f>
        <v>43007</v>
      </c>
      <c r="Y89" s="65"/>
      <c r="Z89" s="61"/>
      <c r="AA89" s="64" t="s">
        <v>85</v>
      </c>
      <c r="AB89" s="29" t="str">
        <f>IF(Table2[[#This Row],[Data ultimo versamento temp]]=0/1/1900,"-",Table2[[#This Row],[Data ultimo versamento temp]])</f>
        <v>-</v>
      </c>
      <c r="AC89" s="29">
        <f t="array" ref="AC89">MAX(IF(TableVersamenti[Polizza]=Table2[[#This Row],[Polizza]],TableVersamenti[Data prevista versamento],"-"))</f>
        <v>0</v>
      </c>
      <c r="AD89" s="62"/>
      <c r="AE89" s="106">
        <f>DATE(YEAR(Table2[[#This Row],[Data ultimo pagamento]]),MONTH(Table2[[#This Row],[Data ultimo pagamento]]), 1)</f>
        <v>42826</v>
      </c>
      <c r="AF89" s="106">
        <f>DATE(YEAR(Table2[[#This Row],[Data prossima scadenza]]),MONTH(Table2[[#This Row],[Data prossima scadenza]]), 1)</f>
        <v>42979</v>
      </c>
      <c r="AG89" s="33">
        <f>IFERROR(Table2[[#This Row],[Importo annuale]]*VLOOKUP(Table2[[#This Row],[Ramo]],RAMI_POLIZZA,2,FALSE),0)</f>
        <v>83.72</v>
      </c>
      <c r="AH89" s="65" t="s">
        <v>113</v>
      </c>
      <c r="AI89" s="63" t="str">
        <f>IFERROR(VLOOKUP(Table2[[#This Row],[Contraente]],Table1[[Nome/Ragione sociale]:[Checkbox selezionato]],2,FALSE),"-")</f>
        <v>PIZZIGHETTONE</v>
      </c>
      <c r="AJ89" s="63">
        <f>IFERROR(VLOOKUP(Table2[[#This Row],[Contraente]],Table1[[Nome/Ragione sociale]:[Checkbox selezionato]],3,FALSE),"-")</f>
        <v>3661978776</v>
      </c>
      <c r="AK89" s="63">
        <f>IFERROR(VLOOKUP(Table2[[#This Row],[Contraente]],Table1[[Nome/Ragione sociale]:[Checkbox selezionato]],4,FALSE),"-")</f>
        <v>0</v>
      </c>
      <c r="AL89" s="63" t="str">
        <f>IFERROR(VLOOKUP(Table2[[#This Row],[Contraente]],Table1[[Nome/Ragione sociale]:[Checkbox selezionato]],5,FALSE),"-")</f>
        <v>MAURO</v>
      </c>
      <c r="AM89" s="62">
        <f>IFERROR(VLOOKUP(Table2[[#This Row],[Contraente]],Table1[[Nome/Ragione sociale]:[Checkbox selezionato]],6,FALSE),"-")</f>
        <v>24727</v>
      </c>
      <c r="AN89" s="63" t="str">
        <f>IFERROR(VLOOKUP(Table2[[#This Row],[Contraente]],Table1[[Nome/Ragione sociale]:[Checkbox selezionato]],7,FALSE),"-")</f>
        <v>papies@libero.it</v>
      </c>
      <c r="AO89" s="63">
        <f>IFERROR(VLOOKUP(Table2[[#This Row],[Contraente]],Table1[[Nome/Ragione sociale]:[Checkbox selezionato]],8,FALSE),"-")</f>
        <v>0</v>
      </c>
      <c r="AP89" s="63">
        <f>IFERROR(VLOOKUP(Table2[[#This Row],[Contraente]],Table1[[Nome/Ragione sociale]:[Checkbox selezionato]],10,FALSE),"-")</f>
        <v>3661978776</v>
      </c>
      <c r="AQ89" s="63" t="str">
        <f>IFERROR(VLOOKUP(Table2[[#This Row],[Contraente]],Table1[[Nome/Ragione sociale]:[Checkbox selezionato]],11,FALSE),"-")</f>
        <v>SI</v>
      </c>
      <c r="AR89" s="63" t="str">
        <f>IFERROR(VLOOKUP(Table2[[#This Row],[Contraente]],Table1[[Nome/Ragione sociale]:[Checkbox selezionato]],12,FALSE),"-")</f>
        <v>SI</v>
      </c>
    </row>
    <row r="90" spans="1:44" ht="30" hidden="1" customHeight="1" x14ac:dyDescent="0.25">
      <c r="A90" s="60" t="str">
        <f>UPPER(LEFT(Table2[[#This Row],[Contraente]],1))</f>
        <v>B</v>
      </c>
      <c r="B90" s="60" t="s">
        <v>1634</v>
      </c>
      <c r="C90" s="81" t="s">
        <v>305</v>
      </c>
      <c r="D90" s="80" t="s">
        <v>37</v>
      </c>
      <c r="E90" s="86">
        <v>106183797</v>
      </c>
      <c r="F90" s="64">
        <v>42734</v>
      </c>
      <c r="G90" s="64" t="str">
        <f>IFERROR(CALCOLASCADENZA(Table2[[#This Row],[Data attivazione]],Table2[[#This Row],[Rateizzazione]],Table2[[#This Row],[Data ultimo pagamento]],Table2[[#This Row],[Data prossima scadenza manuale]]),"-")</f>
        <v>-</v>
      </c>
      <c r="H90" s="67" t="s">
        <v>31</v>
      </c>
      <c r="I90" s="67" t="s">
        <v>1165</v>
      </c>
      <c r="J90" s="33">
        <v>-90.35</v>
      </c>
      <c r="K90" s="88"/>
      <c r="L90" s="88">
        <v>0</v>
      </c>
      <c r="M90" s="67" t="s">
        <v>43</v>
      </c>
      <c r="N90" s="67" t="s">
        <v>51</v>
      </c>
      <c r="O90" s="27" t="s">
        <v>1631</v>
      </c>
      <c r="P90" s="33" t="s">
        <v>24</v>
      </c>
      <c r="Q9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" s="67" t="s">
        <v>2</v>
      </c>
      <c r="V90" s="62"/>
      <c r="W90" s="64" t="e">
        <v>#VALUE!</v>
      </c>
      <c r="X9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0" s="65"/>
      <c r="Z90" s="61"/>
      <c r="AA90" s="64" t="s">
        <v>85</v>
      </c>
      <c r="AB90" s="29" t="str">
        <f>IF(Table2[[#This Row],[Data ultimo versamento temp]]=0/1/1900,"-",Table2[[#This Row],[Data ultimo versamento temp]])</f>
        <v>-</v>
      </c>
      <c r="AC90" s="29">
        <f t="array" ref="AC90">MAX(IF(TableVersamenti[Polizza]=Table2[[#This Row],[Polizza]],TableVersamenti[Data prevista versamento],"-"))</f>
        <v>0</v>
      </c>
      <c r="AD90" s="62"/>
      <c r="AE90" s="106">
        <f>DATE(YEAR(Table2[[#This Row],[Data ultimo pagamento]]),MONTH(Table2[[#This Row],[Data ultimo pagamento]]), 1)</f>
        <v>42705</v>
      </c>
      <c r="AF90" s="106" t="e">
        <f>DATE(YEAR(Table2[[#This Row],[Data prossima scadenza]]),MONTH(Table2[[#This Row],[Data prossima scadenza]]), 1)</f>
        <v>#VALUE!</v>
      </c>
      <c r="AG90" s="33">
        <f>IFERROR(Table2[[#This Row],[Importo annuale]]*VLOOKUP(Table2[[#This Row],[Ramo]],RAMI_POLIZZA,2,FALSE),0)</f>
        <v>0</v>
      </c>
      <c r="AH90" s="65" t="s">
        <v>113</v>
      </c>
      <c r="AI90" s="63" t="str">
        <f>IFERROR(VLOOKUP(Table2[[#This Row],[Contraente]],Table1[[Nome/Ragione sociale]:[Checkbox selezionato]],2,FALSE),"-")</f>
        <v>LINAROLO</v>
      </c>
      <c r="AJ90" s="63">
        <f>IFERROR(VLOOKUP(Table2[[#This Row],[Contraente]],Table1[[Nome/Ragione sociale]:[Checkbox selezionato]],3,FALSE),"-")</f>
        <v>3469864961</v>
      </c>
      <c r="AK90" s="63">
        <f>IFERROR(VLOOKUP(Table2[[#This Row],[Contraente]],Table1[[Nome/Ragione sociale]:[Checkbox selezionato]],4,FALSE),"-")</f>
        <v>0</v>
      </c>
      <c r="AL90" s="63" t="str">
        <f>IFERROR(VLOOKUP(Table2[[#This Row],[Contraente]],Table1[[Nome/Ragione sociale]:[Checkbox selezionato]],5,FALSE),"-")</f>
        <v>SABRINA</v>
      </c>
      <c r="AM90" s="62">
        <f>IFERROR(VLOOKUP(Table2[[#This Row],[Contraente]],Table1[[Nome/Ragione sociale]:[Checkbox selezionato]],6,FALSE),"-")</f>
        <v>27179</v>
      </c>
      <c r="AN90" s="63" t="str">
        <f>IFERROR(VLOOKUP(Table2[[#This Row],[Contraente]],Table1[[Nome/Ragione sociale]:[Checkbox selezionato]],7,FALSE),"-")</f>
        <v>papies@libero.it</v>
      </c>
      <c r="AO90" s="63">
        <f>IFERROR(VLOOKUP(Table2[[#This Row],[Contraente]],Table1[[Nome/Ragione sociale]:[Checkbox selezionato]],8,FALSE),"-")</f>
        <v>0</v>
      </c>
      <c r="AP90" s="63">
        <f>IFERROR(VLOOKUP(Table2[[#This Row],[Contraente]],Table1[[Nome/Ragione sociale]:[Checkbox selezionato]],10,FALSE),"-")</f>
        <v>3469864961</v>
      </c>
      <c r="AQ90" s="63" t="str">
        <f>IFERROR(VLOOKUP(Table2[[#This Row],[Contraente]],Table1[[Nome/Ragione sociale]:[Checkbox selezionato]],11,FALSE),"-")</f>
        <v>SI</v>
      </c>
      <c r="AR90" s="63" t="str">
        <f>IFERROR(VLOOKUP(Table2[[#This Row],[Contraente]],Table1[[Nome/Ragione sociale]:[Checkbox selezionato]],12,FALSE),"-")</f>
        <v>SI</v>
      </c>
    </row>
    <row r="91" spans="1:44" ht="30" hidden="1" customHeight="1" x14ac:dyDescent="0.25">
      <c r="A91" s="60" t="str">
        <f>UPPER(LEFT(Table2[[#This Row],[Contraente]],1))</f>
        <v>B</v>
      </c>
      <c r="B91" s="60" t="s">
        <v>1634</v>
      </c>
      <c r="C91" s="81" t="s">
        <v>305</v>
      </c>
      <c r="D91" s="80" t="s">
        <v>37</v>
      </c>
      <c r="E91" s="86">
        <v>106183819</v>
      </c>
      <c r="F91" s="64">
        <v>42734</v>
      </c>
      <c r="G91" s="64" t="str">
        <f>IFERROR(CALCOLASCADENZA(Table2[[#This Row],[Data attivazione]],Table2[[#This Row],[Rateizzazione]],Table2[[#This Row],[Data ultimo pagamento]],Table2[[#This Row],[Data prossima scadenza manuale]]),"-")</f>
        <v>-</v>
      </c>
      <c r="H91" s="67" t="s">
        <v>31</v>
      </c>
      <c r="I91" s="67" t="s">
        <v>1165</v>
      </c>
      <c r="J91" s="33">
        <v>0</v>
      </c>
      <c r="K91" s="88"/>
      <c r="L91" s="88">
        <v>0</v>
      </c>
      <c r="M91" s="67" t="s">
        <v>43</v>
      </c>
      <c r="N91" s="67" t="s">
        <v>51</v>
      </c>
      <c r="O91" s="27" t="s">
        <v>1631</v>
      </c>
      <c r="P91" s="33" t="s">
        <v>24</v>
      </c>
      <c r="Q9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" s="67" t="s">
        <v>2</v>
      </c>
      <c r="V91" s="62"/>
      <c r="W91" s="64" t="e">
        <v>#VALUE!</v>
      </c>
      <c r="X9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1" s="65"/>
      <c r="Z91" s="61"/>
      <c r="AA91" s="64" t="s">
        <v>85</v>
      </c>
      <c r="AB91" s="29" t="str">
        <f>IF(Table2[[#This Row],[Data ultimo versamento temp]]=0/1/1900,"-",Table2[[#This Row],[Data ultimo versamento temp]])</f>
        <v>-</v>
      </c>
      <c r="AC91" s="29">
        <f t="array" ref="AC91">MAX(IF(TableVersamenti[Polizza]=Table2[[#This Row],[Polizza]],TableVersamenti[Data prevista versamento],"-"))</f>
        <v>0</v>
      </c>
      <c r="AD91" s="62"/>
      <c r="AE91" s="106">
        <f>DATE(YEAR(Table2[[#This Row],[Data ultimo pagamento]]),MONTH(Table2[[#This Row],[Data ultimo pagamento]]), 1)</f>
        <v>42705</v>
      </c>
      <c r="AF91" s="106" t="e">
        <f>DATE(YEAR(Table2[[#This Row],[Data prossima scadenza]]),MONTH(Table2[[#This Row],[Data prossima scadenza]]), 1)</f>
        <v>#VALUE!</v>
      </c>
      <c r="AG91" s="33">
        <f>IFERROR(Table2[[#This Row],[Importo annuale]]*VLOOKUP(Table2[[#This Row],[Ramo]],RAMI_POLIZZA,2,FALSE),0)</f>
        <v>0</v>
      </c>
      <c r="AH91" s="65" t="s">
        <v>113</v>
      </c>
      <c r="AI91" s="63" t="str">
        <f>IFERROR(VLOOKUP(Table2[[#This Row],[Contraente]],Table1[[Nome/Ragione sociale]:[Checkbox selezionato]],2,FALSE),"-")</f>
        <v>LINAROLO</v>
      </c>
      <c r="AJ91" s="63">
        <f>IFERROR(VLOOKUP(Table2[[#This Row],[Contraente]],Table1[[Nome/Ragione sociale]:[Checkbox selezionato]],3,FALSE),"-")</f>
        <v>3469864961</v>
      </c>
      <c r="AK91" s="63">
        <f>IFERROR(VLOOKUP(Table2[[#This Row],[Contraente]],Table1[[Nome/Ragione sociale]:[Checkbox selezionato]],4,FALSE),"-")</f>
        <v>0</v>
      </c>
      <c r="AL91" s="63" t="str">
        <f>IFERROR(VLOOKUP(Table2[[#This Row],[Contraente]],Table1[[Nome/Ragione sociale]:[Checkbox selezionato]],5,FALSE),"-")</f>
        <v>SABRINA</v>
      </c>
      <c r="AM91" s="62">
        <f>IFERROR(VLOOKUP(Table2[[#This Row],[Contraente]],Table1[[Nome/Ragione sociale]:[Checkbox selezionato]],6,FALSE),"-")</f>
        <v>27179</v>
      </c>
      <c r="AN91" s="63" t="str">
        <f>IFERROR(VLOOKUP(Table2[[#This Row],[Contraente]],Table1[[Nome/Ragione sociale]:[Checkbox selezionato]],7,FALSE),"-")</f>
        <v>papies@libero.it</v>
      </c>
      <c r="AO91" s="63">
        <f>IFERROR(VLOOKUP(Table2[[#This Row],[Contraente]],Table1[[Nome/Ragione sociale]:[Checkbox selezionato]],8,FALSE),"-")</f>
        <v>0</v>
      </c>
      <c r="AP91" s="63">
        <f>IFERROR(VLOOKUP(Table2[[#This Row],[Contraente]],Table1[[Nome/Ragione sociale]:[Checkbox selezionato]],10,FALSE),"-")</f>
        <v>3469864961</v>
      </c>
      <c r="AQ91" s="63" t="str">
        <f>IFERROR(VLOOKUP(Table2[[#This Row],[Contraente]],Table1[[Nome/Ragione sociale]:[Checkbox selezionato]],11,FALSE),"-")</f>
        <v>SI</v>
      </c>
      <c r="AR91" s="63" t="str">
        <f>IFERROR(VLOOKUP(Table2[[#This Row],[Contraente]],Table1[[Nome/Ragione sociale]:[Checkbox selezionato]],12,FALSE),"-")</f>
        <v>SI</v>
      </c>
    </row>
    <row r="92" spans="1:44" ht="30" hidden="1" customHeight="1" x14ac:dyDescent="0.25">
      <c r="A92" s="60" t="str">
        <f>UPPER(LEFT(Table2[[#This Row],[Contraente]],1))</f>
        <v>B</v>
      </c>
      <c r="B92" s="60" t="s">
        <v>1634</v>
      </c>
      <c r="C92" s="81" t="s">
        <v>92</v>
      </c>
      <c r="D92" s="80" t="s">
        <v>37</v>
      </c>
      <c r="E92" s="86">
        <v>102737583</v>
      </c>
      <c r="F92" s="64">
        <v>42612</v>
      </c>
      <c r="G92" s="64">
        <f>IFERROR(CALCOLASCADENZA(Table2[[#This Row],[Data attivazione]],Table2[[#This Row],[Rateizzazione]],Table2[[#This Row],[Data ultimo pagamento]],Table2[[#This Row],[Data prossima scadenza manuale]]),"-")</f>
        <v>42786</v>
      </c>
      <c r="H92" s="67" t="s">
        <v>30</v>
      </c>
      <c r="I92" s="67" t="s">
        <v>113</v>
      </c>
      <c r="J92" s="33">
        <f>IFERROR(Table2[[#This Row],[Importo annuale]]/(12/VLOOKUP(Table2[[#This Row],[Rateizzazione]],TIPI_RATEIZZAZIONI,2,FALSE)),"-")</f>
        <v>35</v>
      </c>
      <c r="K92" s="88"/>
      <c r="L92" s="88">
        <v>70</v>
      </c>
      <c r="M92" s="67" t="s">
        <v>43</v>
      </c>
      <c r="N92" s="67" t="s">
        <v>51</v>
      </c>
      <c r="O92" s="27" t="s">
        <v>1631</v>
      </c>
      <c r="P92" s="33" t="s">
        <v>22</v>
      </c>
      <c r="Q92" s="60">
        <f>IFERROR(IF(12 / VLOOKUP(Table2[[#This Row],[Rateizzazione]],TIPI_RATEIZZAZIONI,2,FALSE) &gt;=1,  IF(Table2[[#This Row],[Data attivazione]] = "","-",MONTH(Table2[[#This Row],[Data attivazione]])),"-"),"-")</f>
        <v>2</v>
      </c>
      <c r="R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" s="67" t="s">
        <v>2</v>
      </c>
      <c r="V92" s="62"/>
      <c r="W92" s="64">
        <v>42420</v>
      </c>
      <c r="X92" s="29">
        <f>DATE(YEAR(Table2[[#This Row],[Data attivazione]])+VLOOKUP(Table2[[#This Row],[Durata]],VALORE_DURATA,2,FALSE),MONTH(Table2[[#This Row],[Data attivazione]]),DAY(Table2[[#This Row],[Data attivazione]]))</f>
        <v>42786</v>
      </c>
      <c r="Y92" s="65"/>
      <c r="Z92" s="61"/>
      <c r="AA92" s="64" t="s">
        <v>88</v>
      </c>
      <c r="AB92" s="29" t="str">
        <f>IF(Table2[[#This Row],[Data ultimo versamento temp]]=0/1/1900,"-",Table2[[#This Row],[Data ultimo versamento temp]])</f>
        <v>-</v>
      </c>
      <c r="AC92" s="29">
        <f t="array" ref="AC92">MAX(IF(TableVersamenti[Polizza]=Table2[[#This Row],[Polizza]],TableVersamenti[Data prevista versamento],"-"))</f>
        <v>0</v>
      </c>
      <c r="AD92" s="62"/>
      <c r="AE92" s="106">
        <f>DATE(YEAR(Table2[[#This Row],[Data ultimo pagamento]]),MONTH(Table2[[#This Row],[Data ultimo pagamento]]), 1)</f>
        <v>42583</v>
      </c>
      <c r="AF92" s="106">
        <f>DATE(YEAR(Table2[[#This Row],[Data prossima scadenza]]),MONTH(Table2[[#This Row],[Data prossima scadenza]]), 1)</f>
        <v>42767</v>
      </c>
      <c r="AG92" s="33">
        <f>IFERROR(Table2[[#This Row],[Importo annuale]]*VLOOKUP(Table2[[#This Row],[Ramo]],RAMI_POLIZZA,2,FALSE),0)</f>
        <v>8.0500000000000007</v>
      </c>
      <c r="AH92" s="65" t="s">
        <v>113</v>
      </c>
      <c r="AI92" s="63" t="str">
        <f>IFERROR(VLOOKUP(Table2[[#This Row],[Contraente]],Table1[[Nome/Ragione sociale]:[Checkbox selezionato]],2,FALSE),"-")</f>
        <v xml:space="preserve">PAVIA </v>
      </c>
      <c r="AJ92" s="63">
        <f>IFERROR(VLOOKUP(Table2[[#This Row],[Contraente]],Table1[[Nome/Ragione sociale]:[Checkbox selezionato]],3,FALSE),"-")</f>
        <v>3343650465</v>
      </c>
      <c r="AK92" s="63">
        <f>IFERROR(VLOOKUP(Table2[[#This Row],[Contraente]],Table1[[Nome/Ragione sociale]:[Checkbox selezionato]],4,FALSE),"-")</f>
        <v>3209097978</v>
      </c>
      <c r="AL92" s="63" t="str">
        <f>IFERROR(VLOOKUP(Table2[[#This Row],[Contraente]],Table1[[Nome/Ragione sociale]:[Checkbox selezionato]],5,FALSE),"-")</f>
        <v>KASANDRA</v>
      </c>
      <c r="AM92" s="62">
        <f>IFERROR(VLOOKUP(Table2[[#This Row],[Contraente]],Table1[[Nome/Ragione sociale]:[Checkbox selezionato]],6,FALSE),"-")</f>
        <v>21867</v>
      </c>
      <c r="AN92" s="63" t="str">
        <f>IFERROR(VLOOKUP(Table2[[#This Row],[Contraente]],Table1[[Nome/Ragione sociale]:[Checkbox selezionato]],7,FALSE),"-")</f>
        <v>papies@email.it</v>
      </c>
      <c r="AO92" s="63">
        <f>IFERROR(VLOOKUP(Table2[[#This Row],[Contraente]],Table1[[Nome/Ragione sociale]:[Checkbox selezionato]],8,FALSE),"-")</f>
        <v>0</v>
      </c>
      <c r="AP92" s="63">
        <f>IFERROR(VLOOKUP(Table2[[#This Row],[Contraente]],Table1[[Nome/Ragione sociale]:[Checkbox selezionato]],10,FALSE),"-")</f>
        <v>3343650465</v>
      </c>
      <c r="AQ92" s="63" t="str">
        <f>IFERROR(VLOOKUP(Table2[[#This Row],[Contraente]],Table1[[Nome/Ragione sociale]:[Checkbox selezionato]],11,FALSE),"-")</f>
        <v>SI</v>
      </c>
      <c r="AR92" s="63" t="str">
        <f>IFERROR(VLOOKUP(Table2[[#This Row],[Contraente]],Table1[[Nome/Ragione sociale]:[Checkbox selezionato]],12,FALSE),"-")</f>
        <v>SI</v>
      </c>
    </row>
    <row r="93" spans="1:44" ht="30" hidden="1" customHeight="1" x14ac:dyDescent="0.25">
      <c r="A93" s="60" t="str">
        <f>UPPER(LEFT(Table2[[#This Row],[Contraente]],1))</f>
        <v>B</v>
      </c>
      <c r="B93" s="60" t="s">
        <v>1634</v>
      </c>
      <c r="C93" s="80" t="s">
        <v>92</v>
      </c>
      <c r="D93" s="80" t="s">
        <v>37</v>
      </c>
      <c r="E93" s="85">
        <v>105330792</v>
      </c>
      <c r="F93" s="64">
        <v>42612</v>
      </c>
      <c r="G93" s="64">
        <f>IFERROR(CALCOLASCADENZA(Table2[[#This Row],[Data attivazione]],Table2[[#This Row],[Rateizzazione]],Table2[[#This Row],[Data ultimo pagamento]],Table2[[#This Row],[Data prossima scadenza manuale]]),"-")</f>
        <v>42786</v>
      </c>
      <c r="H93" s="67" t="s">
        <v>31</v>
      </c>
      <c r="I93" s="67" t="s">
        <v>1166</v>
      </c>
      <c r="J93" s="33">
        <f>IFERROR(Table2[[#This Row],[Importo annuale]]/(12/VLOOKUP(Table2[[#This Row],[Rateizzazione]],TIPI_RATEIZZAZIONI,2,FALSE)),"-")</f>
        <v>455</v>
      </c>
      <c r="K93" s="88"/>
      <c r="L93" s="88">
        <v>910</v>
      </c>
      <c r="M93" s="67" t="s">
        <v>43</v>
      </c>
      <c r="N93" s="67" t="s">
        <v>51</v>
      </c>
      <c r="O93" s="27" t="s">
        <v>1631</v>
      </c>
      <c r="P93" s="33" t="s">
        <v>22</v>
      </c>
      <c r="Q93" s="60">
        <f>IFERROR(IF(12 / VLOOKUP(Table2[[#This Row],[Rateizzazione]],TIPI_RATEIZZAZIONI,2,FALSE) &gt;=1,  IF(Table2[[#This Row],[Data attivazione]] = "","-",MONTH(Table2[[#This Row],[Data attivazione]])),"-"),"-")</f>
        <v>2</v>
      </c>
      <c r="R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" s="67" t="s">
        <v>2</v>
      </c>
      <c r="V93" s="62"/>
      <c r="W93" s="64">
        <v>42420</v>
      </c>
      <c r="X93" s="29">
        <f>DATE(YEAR(Table2[[#This Row],[Data attivazione]])+VLOOKUP(Table2[[#This Row],[Durata]],VALORE_DURATA,2,FALSE),MONTH(Table2[[#This Row],[Data attivazione]]),DAY(Table2[[#This Row],[Data attivazione]]))</f>
        <v>42786</v>
      </c>
      <c r="Y93" s="65"/>
      <c r="Z93" s="61"/>
      <c r="AA93" s="64" t="s">
        <v>88</v>
      </c>
      <c r="AB93" s="29" t="str">
        <f>IF(Table2[[#This Row],[Data ultimo versamento temp]]=0/1/1900,"-",Table2[[#This Row],[Data ultimo versamento temp]])</f>
        <v>-</v>
      </c>
      <c r="AC93" s="29">
        <f t="array" ref="AC93">MAX(IF(TableVersamenti[Polizza]=Table2[[#This Row],[Polizza]],TableVersamenti[Data prevista versamento],"-"))</f>
        <v>0</v>
      </c>
      <c r="AD93" s="62"/>
      <c r="AE93" s="106">
        <f>DATE(YEAR(Table2[[#This Row],[Data ultimo pagamento]]),MONTH(Table2[[#This Row],[Data ultimo pagamento]]), 1)</f>
        <v>42583</v>
      </c>
      <c r="AF93" s="106">
        <f>DATE(YEAR(Table2[[#This Row],[Data prossima scadenza]]),MONTH(Table2[[#This Row],[Data prossima scadenza]]), 1)</f>
        <v>42767</v>
      </c>
      <c r="AG93" s="33">
        <f>IFERROR(Table2[[#This Row],[Importo annuale]]*VLOOKUP(Table2[[#This Row],[Ramo]],RAMI_POLIZZA,2,FALSE),0)</f>
        <v>47.32</v>
      </c>
      <c r="AH93" s="65" t="s">
        <v>113</v>
      </c>
      <c r="AI93" s="63" t="str">
        <f>IFERROR(VLOOKUP(Table2[[#This Row],[Contraente]],Table1[[Nome/Ragione sociale]:[Checkbox selezionato]],2,FALSE),"-")</f>
        <v xml:space="preserve">PAVIA </v>
      </c>
      <c r="AJ93" s="63">
        <f>IFERROR(VLOOKUP(Table2[[#This Row],[Contraente]],Table1[[Nome/Ragione sociale]:[Checkbox selezionato]],3,FALSE),"-")</f>
        <v>3343650465</v>
      </c>
      <c r="AK93" s="63">
        <f>IFERROR(VLOOKUP(Table2[[#This Row],[Contraente]],Table1[[Nome/Ragione sociale]:[Checkbox selezionato]],4,FALSE),"-")</f>
        <v>3209097978</v>
      </c>
      <c r="AL93" s="63" t="str">
        <f>IFERROR(VLOOKUP(Table2[[#This Row],[Contraente]],Table1[[Nome/Ragione sociale]:[Checkbox selezionato]],5,FALSE),"-")</f>
        <v>KASANDRA</v>
      </c>
      <c r="AM93" s="62">
        <f>IFERROR(VLOOKUP(Table2[[#This Row],[Contraente]],Table1[[Nome/Ragione sociale]:[Checkbox selezionato]],6,FALSE),"-")</f>
        <v>21867</v>
      </c>
      <c r="AN93" s="63" t="str">
        <f>IFERROR(VLOOKUP(Table2[[#This Row],[Contraente]],Table1[[Nome/Ragione sociale]:[Checkbox selezionato]],7,FALSE),"-")</f>
        <v>papies@email.it</v>
      </c>
      <c r="AO93" s="63">
        <f>IFERROR(VLOOKUP(Table2[[#This Row],[Contraente]],Table1[[Nome/Ragione sociale]:[Checkbox selezionato]],8,FALSE),"-")</f>
        <v>0</v>
      </c>
      <c r="AP93" s="63">
        <f>IFERROR(VLOOKUP(Table2[[#This Row],[Contraente]],Table1[[Nome/Ragione sociale]:[Checkbox selezionato]],10,FALSE),"-")</f>
        <v>3343650465</v>
      </c>
      <c r="AQ93" s="63" t="str">
        <f>IFERROR(VLOOKUP(Table2[[#This Row],[Contraente]],Table1[[Nome/Ragione sociale]:[Checkbox selezionato]],11,FALSE),"-")</f>
        <v>SI</v>
      </c>
      <c r="AR93" s="63" t="str">
        <f>IFERROR(VLOOKUP(Table2[[#This Row],[Contraente]],Table1[[Nome/Ragione sociale]:[Checkbox selezionato]],12,FALSE),"-")</f>
        <v>SI</v>
      </c>
    </row>
    <row r="94" spans="1:44" ht="30" hidden="1" customHeight="1" x14ac:dyDescent="0.25">
      <c r="A94" s="60" t="str">
        <f>UPPER(LEFT(Table2[[#This Row],[Contraente]],1))</f>
        <v>B</v>
      </c>
      <c r="B94" s="60" t="s">
        <v>1634</v>
      </c>
      <c r="C94" s="80" t="s">
        <v>307</v>
      </c>
      <c r="D94" s="80" t="s">
        <v>37</v>
      </c>
      <c r="E94" s="85">
        <v>1083027</v>
      </c>
      <c r="F94" s="64">
        <v>42746</v>
      </c>
      <c r="G94" s="64">
        <f>IFERROR(CALCOLASCADENZA(Table2[[#This Row],[Data attivazione]],Table2[[#This Row],[Rateizzazione]],Table2[[#This Row],[Data ultimo pagamento]],Table2[[#This Row],[Data prossima scadenza manuale]]),"-")</f>
        <v>43111</v>
      </c>
      <c r="H94" s="67" t="s">
        <v>32</v>
      </c>
      <c r="I94" s="67" t="s">
        <v>113</v>
      </c>
      <c r="J94" s="33">
        <f>IFERROR(Table2[[#This Row],[Importo annuale]]/(12/VLOOKUP(Table2[[#This Row],[Rateizzazione]],TIPI_RATEIZZAZIONI,2,FALSE)),"-")</f>
        <v>140</v>
      </c>
      <c r="K94" s="88">
        <v>140</v>
      </c>
      <c r="L94" s="88">
        <v>140</v>
      </c>
      <c r="M94" s="67" t="s">
        <v>44</v>
      </c>
      <c r="N94" s="67" t="s">
        <v>52</v>
      </c>
      <c r="O94" s="27" t="s">
        <v>1631</v>
      </c>
      <c r="P94" s="33" t="s">
        <v>23</v>
      </c>
      <c r="Q94" s="60">
        <f>IFERROR(IF(12 / VLOOKUP(Table2[[#This Row],[Rateizzazione]],TIPI_RATEIZZAZIONI,2,FALSE) &gt;=1,  IF(Table2[[#This Row],[Data attivazione]] = "","-",MONTH(Table2[[#This Row],[Data attivazione]])),"-"),"-")</f>
        <v>1</v>
      </c>
      <c r="R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" s="67" t="s">
        <v>2</v>
      </c>
      <c r="V94" s="62"/>
      <c r="W94" s="64">
        <v>42746</v>
      </c>
      <c r="X94" s="29">
        <f>DATE(YEAR(Table2[[#This Row],[Data attivazione]])+VLOOKUP(Table2[[#This Row],[Durata]],VALORE_DURATA,2,FALSE),MONTH(Table2[[#This Row],[Data attivazione]]),DAY(Table2[[#This Row],[Data attivazione]]))</f>
        <v>43111</v>
      </c>
      <c r="Y94" s="65"/>
      <c r="Z94" s="61"/>
      <c r="AA94" s="64" t="s">
        <v>85</v>
      </c>
      <c r="AB94" s="29" t="str">
        <f>IF(Table2[[#This Row],[Data ultimo versamento temp]]=0/1/1900,"-",Table2[[#This Row],[Data ultimo versamento temp]])</f>
        <v>-</v>
      </c>
      <c r="AC94" s="29">
        <f t="array" ref="AC94">MAX(IF(TableVersamenti[Polizza]=Table2[[#This Row],[Polizza]],TableVersamenti[Data prevista versamento],"-"))</f>
        <v>0</v>
      </c>
      <c r="AD94" s="62"/>
      <c r="AE94" s="106">
        <f>DATE(YEAR(Table2[[#This Row],[Data ultimo pagamento]]),MONTH(Table2[[#This Row],[Data ultimo pagamento]]), 1)</f>
        <v>42736</v>
      </c>
      <c r="AF94" s="106">
        <f>DATE(YEAR(Table2[[#This Row],[Data prossima scadenza]]),MONTH(Table2[[#This Row],[Data prossima scadenza]]), 1)</f>
        <v>43101</v>
      </c>
      <c r="AG94" s="33">
        <f>IFERROR(Table2[[#This Row],[Importo annuale]]*VLOOKUP(Table2[[#This Row],[Ramo]],RAMI_POLIZZA,2,FALSE),0)</f>
        <v>2.1</v>
      </c>
      <c r="AH94" s="65" t="s">
        <v>113</v>
      </c>
      <c r="AI94" s="63" t="str">
        <f>IFERROR(VLOOKUP(Table2[[#This Row],[Contraente]],Table1[[Nome/Ragione sociale]:[Checkbox selezionato]],2,FALSE),"-")</f>
        <v>BELGIOIOSO</v>
      </c>
      <c r="AJ94" s="63">
        <f>IFERROR(VLOOKUP(Table2[[#This Row],[Contraente]],Table1[[Nome/Ragione sociale]:[Checkbox selezionato]],3,FALSE),"-")</f>
        <v>3395469217</v>
      </c>
      <c r="AK94" s="63">
        <f>IFERROR(VLOOKUP(Table2[[#This Row],[Contraente]],Table1[[Nome/Ragione sociale]:[Checkbox selezionato]],4,FALSE),"-")</f>
        <v>0</v>
      </c>
      <c r="AL94" s="63" t="str">
        <f>IFERROR(VLOOKUP(Table2[[#This Row],[Contraente]],Table1[[Nome/Ragione sociale]:[Checkbox selezionato]],5,FALSE),"-")</f>
        <v>PAOLO</v>
      </c>
      <c r="AM94" s="62">
        <f>IFERROR(VLOOKUP(Table2[[#This Row],[Contraente]],Table1[[Nome/Ragione sociale]:[Checkbox selezionato]],6,FALSE),"-")</f>
        <v>26913</v>
      </c>
      <c r="AN94" s="63" t="str">
        <f>IFERROR(VLOOKUP(Table2[[#This Row],[Contraente]],Table1[[Nome/Ragione sociale]:[Checkbox selezionato]],7,FALSE),"-")</f>
        <v>papies@libero.it</v>
      </c>
      <c r="AO94" s="63">
        <f>IFERROR(VLOOKUP(Table2[[#This Row],[Contraente]],Table1[[Nome/Ragione sociale]:[Checkbox selezionato]],8,FALSE),"-")</f>
        <v>0</v>
      </c>
      <c r="AP94" s="63">
        <f>IFERROR(VLOOKUP(Table2[[#This Row],[Contraente]],Table1[[Nome/Ragione sociale]:[Checkbox selezionato]],10,FALSE),"-")</f>
        <v>3395469217</v>
      </c>
      <c r="AQ94" s="63" t="str">
        <f>IFERROR(VLOOKUP(Table2[[#This Row],[Contraente]],Table1[[Nome/Ragione sociale]:[Checkbox selezionato]],11,FALSE),"-")</f>
        <v>SI</v>
      </c>
      <c r="AR94" s="63" t="str">
        <f>IFERROR(VLOOKUP(Table2[[#This Row],[Contraente]],Table1[[Nome/Ragione sociale]:[Checkbox selezionato]],12,FALSE),"-")</f>
        <v>SI</v>
      </c>
    </row>
    <row r="95" spans="1:44" ht="30" hidden="1" customHeight="1" x14ac:dyDescent="0.25">
      <c r="A95" s="60" t="str">
        <f>UPPER(LEFT(Table2[[#This Row],[Contraente]],1))</f>
        <v>B</v>
      </c>
      <c r="B95" s="60" t="s">
        <v>1634</v>
      </c>
      <c r="C95" s="80" t="s">
        <v>307</v>
      </c>
      <c r="D95" s="80" t="s">
        <v>37</v>
      </c>
      <c r="E95" s="85">
        <v>106414974</v>
      </c>
      <c r="F95" s="64">
        <v>42870</v>
      </c>
      <c r="G95" s="64">
        <f>IFERROR(CALCOLASCADENZA(Table2[[#This Row],[Data attivazione]],Table2[[#This Row],[Rateizzazione]],Table2[[#This Row],[Data ultimo pagamento]],Table2[[#This Row],[Data prossima scadenza manuale]]),"-")</f>
        <v>42989</v>
      </c>
      <c r="H95" s="67" t="s">
        <v>30</v>
      </c>
      <c r="I95" s="67" t="s">
        <v>113</v>
      </c>
      <c r="J95" s="33">
        <f>IFERROR(Table2[[#This Row],[Importo annuale]]/(12/VLOOKUP(Table2[[#This Row],[Rateizzazione]],TIPI_RATEIZZAZIONI,2,FALSE)),"-")</f>
        <v>76</v>
      </c>
      <c r="K95" s="88">
        <v>152</v>
      </c>
      <c r="L95" s="88">
        <v>228</v>
      </c>
      <c r="M95" s="67" t="s">
        <v>43</v>
      </c>
      <c r="N95" s="67" t="s">
        <v>52</v>
      </c>
      <c r="O95" s="27" t="s">
        <v>1631</v>
      </c>
      <c r="P95" s="33" t="s">
        <v>21</v>
      </c>
      <c r="Q95" s="60">
        <f>IFERROR(IF(12 / VLOOKUP(Table2[[#This Row],[Rateizzazione]],TIPI_RATEIZZAZIONI,2,FALSE) &gt;=1,  IF(Table2[[#This Row],[Data attivazione]] = "","-",MONTH(Table2[[#This Row],[Data attivazione]])),"-"),"-")</f>
        <v>9</v>
      </c>
      <c r="R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" s="67" t="s">
        <v>2</v>
      </c>
      <c r="V95" s="62"/>
      <c r="W95" s="64">
        <v>42624</v>
      </c>
      <c r="X95" s="29">
        <f>DATE(YEAR(Table2[[#This Row],[Data attivazione]])+VLOOKUP(Table2[[#This Row],[Durata]],VALORE_DURATA,2,FALSE),MONTH(Table2[[#This Row],[Data attivazione]]),DAY(Table2[[#This Row],[Data attivazione]]))</f>
        <v>42989</v>
      </c>
      <c r="Y95" s="65"/>
      <c r="Z95" s="61"/>
      <c r="AA95" s="64" t="s">
        <v>85</v>
      </c>
      <c r="AB95" s="29" t="str">
        <f>IF(Table2[[#This Row],[Data ultimo versamento temp]]=0/1/1900,"-",Table2[[#This Row],[Data ultimo versamento temp]])</f>
        <v>-</v>
      </c>
      <c r="AC95" s="29">
        <f t="array" ref="AC95">MAX(IF(TableVersamenti[Polizza]=Table2[[#This Row],[Polizza]],TableVersamenti[Data prevista versamento],"-"))</f>
        <v>0</v>
      </c>
      <c r="AD95" s="62"/>
      <c r="AE95" s="106">
        <f>DATE(YEAR(Table2[[#This Row],[Data ultimo pagamento]]),MONTH(Table2[[#This Row],[Data ultimo pagamento]]), 1)</f>
        <v>42856</v>
      </c>
      <c r="AF95" s="106">
        <f>DATE(YEAR(Table2[[#This Row],[Data prossima scadenza]]),MONTH(Table2[[#This Row],[Data prossima scadenza]]), 1)</f>
        <v>42979</v>
      </c>
      <c r="AG95" s="33">
        <f>IFERROR(Table2[[#This Row],[Importo annuale]]*VLOOKUP(Table2[[#This Row],[Ramo]],RAMI_POLIZZA,2,FALSE),0)</f>
        <v>26.220000000000002</v>
      </c>
      <c r="AH95" s="65" t="s">
        <v>113</v>
      </c>
      <c r="AI95" s="63" t="str">
        <f>IFERROR(VLOOKUP(Table2[[#This Row],[Contraente]],Table1[[Nome/Ragione sociale]:[Checkbox selezionato]],2,FALSE),"-")</f>
        <v>BELGIOIOSO</v>
      </c>
      <c r="AJ95" s="63">
        <f>IFERROR(VLOOKUP(Table2[[#This Row],[Contraente]],Table1[[Nome/Ragione sociale]:[Checkbox selezionato]],3,FALSE),"-")</f>
        <v>3395469217</v>
      </c>
      <c r="AK95" s="63">
        <f>IFERROR(VLOOKUP(Table2[[#This Row],[Contraente]],Table1[[Nome/Ragione sociale]:[Checkbox selezionato]],4,FALSE),"-")</f>
        <v>0</v>
      </c>
      <c r="AL95" s="63" t="str">
        <f>IFERROR(VLOOKUP(Table2[[#This Row],[Contraente]],Table1[[Nome/Ragione sociale]:[Checkbox selezionato]],5,FALSE),"-")</f>
        <v>PAOLO</v>
      </c>
      <c r="AM95" s="62">
        <f>IFERROR(VLOOKUP(Table2[[#This Row],[Contraente]],Table1[[Nome/Ragione sociale]:[Checkbox selezionato]],6,FALSE),"-")</f>
        <v>26913</v>
      </c>
      <c r="AN95" s="63" t="str">
        <f>IFERROR(VLOOKUP(Table2[[#This Row],[Contraente]],Table1[[Nome/Ragione sociale]:[Checkbox selezionato]],7,FALSE),"-")</f>
        <v>papies@libero.it</v>
      </c>
      <c r="AO95" s="63">
        <f>IFERROR(VLOOKUP(Table2[[#This Row],[Contraente]],Table1[[Nome/Ragione sociale]:[Checkbox selezionato]],8,FALSE),"-")</f>
        <v>0</v>
      </c>
      <c r="AP95" s="63">
        <f>IFERROR(VLOOKUP(Table2[[#This Row],[Contraente]],Table1[[Nome/Ragione sociale]:[Checkbox selezionato]],10,FALSE),"-")</f>
        <v>3395469217</v>
      </c>
      <c r="AQ95" s="63" t="str">
        <f>IFERROR(VLOOKUP(Table2[[#This Row],[Contraente]],Table1[[Nome/Ragione sociale]:[Checkbox selezionato]],11,FALSE),"-")</f>
        <v>SI</v>
      </c>
      <c r="AR95" s="63" t="str">
        <f>IFERROR(VLOOKUP(Table2[[#This Row],[Contraente]],Table1[[Nome/Ragione sociale]:[Checkbox selezionato]],12,FALSE),"-")</f>
        <v>SI</v>
      </c>
    </row>
    <row r="96" spans="1:44" ht="30" hidden="1" customHeight="1" x14ac:dyDescent="0.25">
      <c r="A96" s="60" t="str">
        <f>UPPER(LEFT(Table2[[#This Row],[Contraente]],1))</f>
        <v>B</v>
      </c>
      <c r="B96" s="60" t="s">
        <v>1634</v>
      </c>
      <c r="C96" s="80" t="s">
        <v>307</v>
      </c>
      <c r="D96" s="80" t="s">
        <v>37</v>
      </c>
      <c r="E96" s="85">
        <v>106414948</v>
      </c>
      <c r="F96" s="64">
        <v>42870</v>
      </c>
      <c r="G96" s="64">
        <f>IFERROR(CALCOLASCADENZA(Table2[[#This Row],[Data attivazione]],Table2[[#This Row],[Rateizzazione]],Table2[[#This Row],[Data ultimo pagamento]],Table2[[#This Row],[Data prossima scadenza manuale]]),"-")</f>
        <v>42989</v>
      </c>
      <c r="H96" s="67" t="s">
        <v>31</v>
      </c>
      <c r="I96" s="67" t="s">
        <v>1167</v>
      </c>
      <c r="J96" s="33">
        <f>IFERROR(Table2[[#This Row],[Importo annuale]]/(12/VLOOKUP(Table2[[#This Row],[Rateizzazione]],TIPI_RATEIZZAZIONI,2,FALSE)),"-")</f>
        <v>272</v>
      </c>
      <c r="K96" s="88">
        <v>544</v>
      </c>
      <c r="L96" s="88">
        <v>816</v>
      </c>
      <c r="M96" s="67" t="s">
        <v>43</v>
      </c>
      <c r="N96" s="67" t="s">
        <v>52</v>
      </c>
      <c r="O96" s="27" t="s">
        <v>1631</v>
      </c>
      <c r="P96" s="33" t="s">
        <v>21</v>
      </c>
      <c r="Q96" s="60">
        <f>IFERROR(IF(12 / VLOOKUP(Table2[[#This Row],[Rateizzazione]],TIPI_RATEIZZAZIONI,2,FALSE) &gt;=1,  IF(Table2[[#This Row],[Data attivazione]] = "","-",MONTH(Table2[[#This Row],[Data attivazione]])),"-"),"-")</f>
        <v>9</v>
      </c>
      <c r="R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" s="67" t="s">
        <v>2</v>
      </c>
      <c r="V96" s="62"/>
      <c r="W96" s="64">
        <v>42624</v>
      </c>
      <c r="X96" s="29">
        <f>DATE(YEAR(Table2[[#This Row],[Data attivazione]])+VLOOKUP(Table2[[#This Row],[Durata]],VALORE_DURATA,2,FALSE),MONTH(Table2[[#This Row],[Data attivazione]]),DAY(Table2[[#This Row],[Data attivazione]]))</f>
        <v>42989</v>
      </c>
      <c r="Y96" s="65"/>
      <c r="Z96" s="61"/>
      <c r="AA96" s="64" t="s">
        <v>85</v>
      </c>
      <c r="AB96" s="29" t="str">
        <f>IF(Table2[[#This Row],[Data ultimo versamento temp]]=0/1/1900,"-",Table2[[#This Row],[Data ultimo versamento temp]])</f>
        <v>-</v>
      </c>
      <c r="AC96" s="29">
        <f t="array" ref="AC96">MAX(IF(TableVersamenti[Polizza]=Table2[[#This Row],[Polizza]],TableVersamenti[Data prevista versamento],"-"))</f>
        <v>0</v>
      </c>
      <c r="AD96" s="62"/>
      <c r="AE96" s="106">
        <f>DATE(YEAR(Table2[[#This Row],[Data ultimo pagamento]]),MONTH(Table2[[#This Row],[Data ultimo pagamento]]), 1)</f>
        <v>42856</v>
      </c>
      <c r="AF96" s="106">
        <f>DATE(YEAR(Table2[[#This Row],[Data prossima scadenza]]),MONTH(Table2[[#This Row],[Data prossima scadenza]]), 1)</f>
        <v>42979</v>
      </c>
      <c r="AG96" s="33">
        <f>IFERROR(Table2[[#This Row],[Importo annuale]]*VLOOKUP(Table2[[#This Row],[Ramo]],RAMI_POLIZZA,2,FALSE),0)</f>
        <v>42.431999999999995</v>
      </c>
      <c r="AH96" s="65" t="s">
        <v>113</v>
      </c>
      <c r="AI96" s="63" t="str">
        <f>IFERROR(VLOOKUP(Table2[[#This Row],[Contraente]],Table1[[Nome/Ragione sociale]:[Checkbox selezionato]],2,FALSE),"-")</f>
        <v>BELGIOIOSO</v>
      </c>
      <c r="AJ96" s="63">
        <f>IFERROR(VLOOKUP(Table2[[#This Row],[Contraente]],Table1[[Nome/Ragione sociale]:[Checkbox selezionato]],3,FALSE),"-")</f>
        <v>3395469217</v>
      </c>
      <c r="AK96" s="63">
        <f>IFERROR(VLOOKUP(Table2[[#This Row],[Contraente]],Table1[[Nome/Ragione sociale]:[Checkbox selezionato]],4,FALSE),"-")</f>
        <v>0</v>
      </c>
      <c r="AL96" s="63" t="str">
        <f>IFERROR(VLOOKUP(Table2[[#This Row],[Contraente]],Table1[[Nome/Ragione sociale]:[Checkbox selezionato]],5,FALSE),"-")</f>
        <v>PAOLO</v>
      </c>
      <c r="AM96" s="62">
        <f>IFERROR(VLOOKUP(Table2[[#This Row],[Contraente]],Table1[[Nome/Ragione sociale]:[Checkbox selezionato]],6,FALSE),"-")</f>
        <v>26913</v>
      </c>
      <c r="AN96" s="63" t="str">
        <f>IFERROR(VLOOKUP(Table2[[#This Row],[Contraente]],Table1[[Nome/Ragione sociale]:[Checkbox selezionato]],7,FALSE),"-")</f>
        <v>papies@libero.it</v>
      </c>
      <c r="AO96" s="63">
        <f>IFERROR(VLOOKUP(Table2[[#This Row],[Contraente]],Table1[[Nome/Ragione sociale]:[Checkbox selezionato]],8,FALSE),"-")</f>
        <v>0</v>
      </c>
      <c r="AP96" s="63">
        <f>IFERROR(VLOOKUP(Table2[[#This Row],[Contraente]],Table1[[Nome/Ragione sociale]:[Checkbox selezionato]],10,FALSE),"-")</f>
        <v>3395469217</v>
      </c>
      <c r="AQ96" s="63" t="str">
        <f>IFERROR(VLOOKUP(Table2[[#This Row],[Contraente]],Table1[[Nome/Ragione sociale]:[Checkbox selezionato]],11,FALSE),"-")</f>
        <v>SI</v>
      </c>
      <c r="AR96" s="63" t="str">
        <f>IFERROR(VLOOKUP(Table2[[#This Row],[Contraente]],Table1[[Nome/Ragione sociale]:[Checkbox selezionato]],12,FALSE),"-")</f>
        <v>SI</v>
      </c>
    </row>
    <row r="97" spans="1:44" ht="30" hidden="1" customHeight="1" x14ac:dyDescent="0.25">
      <c r="A97" s="60" t="str">
        <f>UPPER(LEFT(Table2[[#This Row],[Contraente]],1))</f>
        <v>B</v>
      </c>
      <c r="B97" s="60" t="s">
        <v>1634</v>
      </c>
      <c r="C97" s="80" t="s">
        <v>295</v>
      </c>
      <c r="D97" s="80" t="s">
        <v>37</v>
      </c>
      <c r="E97" s="85">
        <v>105117171</v>
      </c>
      <c r="F97" s="64">
        <v>42354</v>
      </c>
      <c r="G97" s="64">
        <f>IFERROR(CALCOLASCADENZA(Table2[[#This Row],[Data attivazione]],Table2[[#This Row],[Rateizzazione]],Table2[[#This Row],[Data ultimo pagamento]],Table2[[#This Row],[Data prossima scadenza manuale]]),"-")</f>
        <v>42732</v>
      </c>
      <c r="H97" s="67" t="s">
        <v>31</v>
      </c>
      <c r="I97" s="67" t="s">
        <v>1160</v>
      </c>
      <c r="J97" s="33">
        <f>IFERROR(Table2[[#This Row],[Importo annuale]]/(12/VLOOKUP(Table2[[#This Row],[Rateizzazione]],TIPI_RATEIZZAZIONI,2,FALSE)),"-")</f>
        <v>625</v>
      </c>
      <c r="K97" s="88"/>
      <c r="L97" s="88">
        <v>625</v>
      </c>
      <c r="M97" s="67" t="s">
        <v>44</v>
      </c>
      <c r="N97" s="67" t="s">
        <v>51</v>
      </c>
      <c r="O97" s="27" t="s">
        <v>1631</v>
      </c>
      <c r="P97" s="33" t="s">
        <v>23</v>
      </c>
      <c r="Q97" s="60">
        <f>IFERROR(IF(12 / VLOOKUP(Table2[[#This Row],[Rateizzazione]],TIPI_RATEIZZAZIONI,2,FALSE) &gt;=1,  IF(Table2[[#This Row],[Data attivazione]] = "","-",MONTH(Table2[[#This Row],[Data attivazione]])),"-"),"-")</f>
        <v>12</v>
      </c>
      <c r="R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" s="67" t="s">
        <v>2</v>
      </c>
      <c r="V97" s="62"/>
      <c r="W97" s="64">
        <v>42366</v>
      </c>
      <c r="X97" s="29">
        <f>DATE(YEAR(Table2[[#This Row],[Data attivazione]])+VLOOKUP(Table2[[#This Row],[Durata]],VALORE_DURATA,2,FALSE),MONTH(Table2[[#This Row],[Data attivazione]]),DAY(Table2[[#This Row],[Data attivazione]]))</f>
        <v>42732</v>
      </c>
      <c r="Y97" s="65"/>
      <c r="Z97" s="61"/>
      <c r="AA97" s="64" t="s">
        <v>88</v>
      </c>
      <c r="AB97" s="29" t="str">
        <f>IF(Table2[[#This Row],[Data ultimo versamento temp]]=0/1/1900,"-",Table2[[#This Row],[Data ultimo versamento temp]])</f>
        <v>-</v>
      </c>
      <c r="AC97" s="29">
        <f t="array" ref="AC97">MAX(IF(TableVersamenti[Polizza]=Table2[[#This Row],[Polizza]],TableVersamenti[Data prevista versamento],"-"))</f>
        <v>0</v>
      </c>
      <c r="AD97" s="62"/>
      <c r="AE97" s="106">
        <f>DATE(YEAR(Table2[[#This Row],[Data ultimo pagamento]]),MONTH(Table2[[#This Row],[Data ultimo pagamento]]), 1)</f>
        <v>42339</v>
      </c>
      <c r="AF97" s="106">
        <f>DATE(YEAR(Table2[[#This Row],[Data prossima scadenza]]),MONTH(Table2[[#This Row],[Data prossima scadenza]]), 1)</f>
        <v>42705</v>
      </c>
      <c r="AG97" s="33">
        <f>IFERROR(Table2[[#This Row],[Importo annuale]]*VLOOKUP(Table2[[#This Row],[Ramo]],RAMI_POLIZZA,2,FALSE),0)</f>
        <v>32.5</v>
      </c>
      <c r="AH97" s="65" t="s">
        <v>113</v>
      </c>
      <c r="AI97" s="63" t="str">
        <f>IFERROR(VLOOKUP(Table2[[#This Row],[Contraente]],Table1[[Nome/Ragione sociale]:[Checkbox selezionato]],2,FALSE),"-")</f>
        <v>CASTELLETTO LODIGIANO</v>
      </c>
      <c r="AJ97" s="63">
        <f>IFERROR(VLOOKUP(Table2[[#This Row],[Contraente]],Table1[[Nome/Ragione sociale]:[Checkbox selezionato]],3,FALSE),"-")</f>
        <v>3398847371</v>
      </c>
      <c r="AK97" s="63">
        <f>IFERROR(VLOOKUP(Table2[[#This Row],[Contraente]],Table1[[Nome/Ragione sociale]:[Checkbox selezionato]],4,FALSE),"-")</f>
        <v>0</v>
      </c>
      <c r="AL97" s="63" t="str">
        <f>IFERROR(VLOOKUP(Table2[[#This Row],[Contraente]],Table1[[Nome/Ragione sociale]:[Checkbox selezionato]],5,FALSE),"-")</f>
        <v>GREGORIO</v>
      </c>
      <c r="AM97" s="62">
        <f>IFERROR(VLOOKUP(Table2[[#This Row],[Contraente]],Table1[[Nome/Ragione sociale]:[Checkbox selezionato]],6,FALSE),"-")</f>
        <v>30908</v>
      </c>
      <c r="AN97" s="63" t="str">
        <f>IFERROR(VLOOKUP(Table2[[#This Row],[Contraente]],Table1[[Nome/Ragione sociale]:[Checkbox selezionato]],7,FALSE),"-")</f>
        <v>papies@libero.it</v>
      </c>
      <c r="AO97" s="63">
        <f>IFERROR(VLOOKUP(Table2[[#This Row],[Contraente]],Table1[[Nome/Ragione sociale]:[Checkbox selezionato]],8,FALSE),"-")</f>
        <v>0</v>
      </c>
      <c r="AP97" s="63">
        <f>IFERROR(VLOOKUP(Table2[[#This Row],[Contraente]],Table1[[Nome/Ragione sociale]:[Checkbox selezionato]],10,FALSE),"-")</f>
        <v>3398847371</v>
      </c>
      <c r="AQ97" s="63" t="str">
        <f>IFERROR(VLOOKUP(Table2[[#This Row],[Contraente]],Table1[[Nome/Ragione sociale]:[Checkbox selezionato]],11,FALSE),"-")</f>
        <v>SI</v>
      </c>
      <c r="AR97" s="63" t="str">
        <f>IFERROR(VLOOKUP(Table2[[#This Row],[Contraente]],Table1[[Nome/Ragione sociale]:[Checkbox selezionato]],12,FALSE),"-")</f>
        <v>SI</v>
      </c>
    </row>
    <row r="98" spans="1:44" ht="30" hidden="1" customHeight="1" x14ac:dyDescent="0.25">
      <c r="A98" s="60" t="str">
        <f>UPPER(LEFT(Table2[[#This Row],[Contraente]],1))</f>
        <v>B</v>
      </c>
      <c r="B98" s="60" t="s">
        <v>1634</v>
      </c>
      <c r="C98" s="80" t="s">
        <v>295</v>
      </c>
      <c r="D98" s="80" t="s">
        <v>37</v>
      </c>
      <c r="E98" s="85">
        <v>105356200</v>
      </c>
      <c r="F98" s="64">
        <v>42432</v>
      </c>
      <c r="G98" s="64">
        <f>IFERROR(CALCOLASCADENZA(Table2[[#This Row],[Data attivazione]],Table2[[#This Row],[Rateizzazione]],Table2[[#This Row],[Data ultimo pagamento]],Table2[[#This Row],[Data prossima scadenza manuale]]),"-")</f>
        <v>42797</v>
      </c>
      <c r="H98" s="67" t="s">
        <v>31</v>
      </c>
      <c r="I98" s="67" t="s">
        <v>1162</v>
      </c>
      <c r="J98" s="33">
        <f>IFERROR(Table2[[#This Row],[Importo annuale]]/(12/VLOOKUP(Table2[[#This Row],[Rateizzazione]],TIPI_RATEIZZAZIONI,2,FALSE)),"-")</f>
        <v>325</v>
      </c>
      <c r="K98" s="88"/>
      <c r="L98" s="88">
        <v>325</v>
      </c>
      <c r="M98" s="67" t="s">
        <v>44</v>
      </c>
      <c r="N98" s="67" t="s">
        <v>52</v>
      </c>
      <c r="O98" s="27" t="s">
        <v>1631</v>
      </c>
      <c r="P98" s="33" t="s">
        <v>23</v>
      </c>
      <c r="Q98" s="60">
        <f>IFERROR(IF(12 / VLOOKUP(Table2[[#This Row],[Rateizzazione]],TIPI_RATEIZZAZIONI,2,FALSE) &gt;=1,  IF(Table2[[#This Row],[Data attivazione]] = "","-",MONTH(Table2[[#This Row],[Data attivazione]])),"-"),"-")</f>
        <v>3</v>
      </c>
      <c r="R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" s="67" t="s">
        <v>2</v>
      </c>
      <c r="V98" s="62"/>
      <c r="W98" s="64">
        <v>42432</v>
      </c>
      <c r="X98" s="29">
        <f>DATE(YEAR(Table2[[#This Row],[Data attivazione]])+VLOOKUP(Table2[[#This Row],[Durata]],VALORE_DURATA,2,FALSE),MONTH(Table2[[#This Row],[Data attivazione]]),DAY(Table2[[#This Row],[Data attivazione]]))</f>
        <v>42797</v>
      </c>
      <c r="Y98" s="65"/>
      <c r="Z98" s="61"/>
      <c r="AA98" s="64" t="s">
        <v>88</v>
      </c>
      <c r="AB98" s="29" t="str">
        <f>IF(Table2[[#This Row],[Data ultimo versamento temp]]=0/1/1900,"-",Table2[[#This Row],[Data ultimo versamento temp]])</f>
        <v>-</v>
      </c>
      <c r="AC98" s="29">
        <f t="array" ref="AC98">MAX(IF(TableVersamenti[Polizza]=Table2[[#This Row],[Polizza]],TableVersamenti[Data prevista versamento],"-"))</f>
        <v>0</v>
      </c>
      <c r="AD98" s="62"/>
      <c r="AE98" s="106">
        <f>DATE(YEAR(Table2[[#This Row],[Data ultimo pagamento]]),MONTH(Table2[[#This Row],[Data ultimo pagamento]]), 1)</f>
        <v>42430</v>
      </c>
      <c r="AF98" s="106">
        <f>DATE(YEAR(Table2[[#This Row],[Data prossima scadenza]]),MONTH(Table2[[#This Row],[Data prossima scadenza]]), 1)</f>
        <v>42795</v>
      </c>
      <c r="AG98" s="33">
        <f>IFERROR(Table2[[#This Row],[Importo annuale]]*VLOOKUP(Table2[[#This Row],[Ramo]],RAMI_POLIZZA,2,FALSE),0)</f>
        <v>16.899999999999999</v>
      </c>
      <c r="AH98" s="65" t="s">
        <v>113</v>
      </c>
      <c r="AI98" s="63" t="str">
        <f>IFERROR(VLOOKUP(Table2[[#This Row],[Contraente]],Table1[[Nome/Ragione sociale]:[Checkbox selezionato]],2,FALSE),"-")</f>
        <v>CASTELLETTO LODIGIANO</v>
      </c>
      <c r="AJ98" s="63">
        <f>IFERROR(VLOOKUP(Table2[[#This Row],[Contraente]],Table1[[Nome/Ragione sociale]:[Checkbox selezionato]],3,FALSE),"-")</f>
        <v>3398847371</v>
      </c>
      <c r="AK98" s="63">
        <f>IFERROR(VLOOKUP(Table2[[#This Row],[Contraente]],Table1[[Nome/Ragione sociale]:[Checkbox selezionato]],4,FALSE),"-")</f>
        <v>0</v>
      </c>
      <c r="AL98" s="63" t="str">
        <f>IFERROR(VLOOKUP(Table2[[#This Row],[Contraente]],Table1[[Nome/Ragione sociale]:[Checkbox selezionato]],5,FALSE),"-")</f>
        <v>GREGORIO</v>
      </c>
      <c r="AM98" s="62">
        <f>IFERROR(VLOOKUP(Table2[[#This Row],[Contraente]],Table1[[Nome/Ragione sociale]:[Checkbox selezionato]],6,FALSE),"-")</f>
        <v>30908</v>
      </c>
      <c r="AN98" s="63" t="str">
        <f>IFERROR(VLOOKUP(Table2[[#This Row],[Contraente]],Table1[[Nome/Ragione sociale]:[Checkbox selezionato]],7,FALSE),"-")</f>
        <v>papies@libero.it</v>
      </c>
      <c r="AO98" s="63">
        <f>IFERROR(VLOOKUP(Table2[[#This Row],[Contraente]],Table1[[Nome/Ragione sociale]:[Checkbox selezionato]],8,FALSE),"-")</f>
        <v>0</v>
      </c>
      <c r="AP98" s="63">
        <f>IFERROR(VLOOKUP(Table2[[#This Row],[Contraente]],Table1[[Nome/Ragione sociale]:[Checkbox selezionato]],10,FALSE),"-")</f>
        <v>3398847371</v>
      </c>
      <c r="AQ98" s="63" t="str">
        <f>IFERROR(VLOOKUP(Table2[[#This Row],[Contraente]],Table1[[Nome/Ragione sociale]:[Checkbox selezionato]],11,FALSE),"-")</f>
        <v>SI</v>
      </c>
      <c r="AR98" s="63" t="str">
        <f>IFERROR(VLOOKUP(Table2[[#This Row],[Contraente]],Table1[[Nome/Ragione sociale]:[Checkbox selezionato]],12,FALSE),"-")</f>
        <v>SI</v>
      </c>
    </row>
    <row r="99" spans="1:44" ht="30" hidden="1" customHeight="1" x14ac:dyDescent="0.25">
      <c r="A99" s="60" t="str">
        <f>UPPER(LEFT(Table2[[#This Row],[Contraente]],1))</f>
        <v>B</v>
      </c>
      <c r="B99" s="60" t="s">
        <v>1634</v>
      </c>
      <c r="C99" s="81" t="s">
        <v>295</v>
      </c>
      <c r="D99" s="80" t="s">
        <v>37</v>
      </c>
      <c r="E99" s="86">
        <v>104784065</v>
      </c>
      <c r="F99" s="64">
        <v>42445</v>
      </c>
      <c r="G99" s="64" t="str">
        <f>IFERROR(CALCOLASCADENZA(Table2[[#This Row],[Data attivazione]],Table2[[#This Row],[Rateizzazione]],Table2[[#This Row],[Data ultimo pagamento]],Table2[[#This Row],[Data prossima scadenza manuale]]),"-")</f>
        <v>-</v>
      </c>
      <c r="H99" s="67" t="s">
        <v>31</v>
      </c>
      <c r="I99" s="67" t="s">
        <v>1161</v>
      </c>
      <c r="J99" s="33">
        <v>-129.46</v>
      </c>
      <c r="K99" s="88"/>
      <c r="L99" s="88">
        <v>0</v>
      </c>
      <c r="M99" s="67" t="s">
        <v>44</v>
      </c>
      <c r="N99" s="67" t="s">
        <v>52</v>
      </c>
      <c r="O99" s="27" t="s">
        <v>1631</v>
      </c>
      <c r="P99" s="33" t="s">
        <v>24</v>
      </c>
      <c r="Q9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" s="67" t="s">
        <v>2</v>
      </c>
      <c r="V99" s="62"/>
      <c r="W99" s="64" t="e">
        <v>#VALUE!</v>
      </c>
      <c r="X9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9" s="65"/>
      <c r="Z99" s="61"/>
      <c r="AA99" s="64" t="s">
        <v>85</v>
      </c>
      <c r="AB99" s="29" t="str">
        <f>IF(Table2[[#This Row],[Data ultimo versamento temp]]=0/1/1900,"-",Table2[[#This Row],[Data ultimo versamento temp]])</f>
        <v>-</v>
      </c>
      <c r="AC99" s="29">
        <f t="array" ref="AC99">MAX(IF(TableVersamenti[Polizza]=Table2[[#This Row],[Polizza]],TableVersamenti[Data prevista versamento],"-"))</f>
        <v>0</v>
      </c>
      <c r="AD99" s="62"/>
      <c r="AE99" s="106">
        <f>DATE(YEAR(Table2[[#This Row],[Data ultimo pagamento]]),MONTH(Table2[[#This Row],[Data ultimo pagamento]]), 1)</f>
        <v>42430</v>
      </c>
      <c r="AF99" s="106" t="e">
        <f>DATE(YEAR(Table2[[#This Row],[Data prossima scadenza]]),MONTH(Table2[[#This Row],[Data prossima scadenza]]), 1)</f>
        <v>#VALUE!</v>
      </c>
      <c r="AG99" s="33">
        <f>IFERROR(Table2[[#This Row],[Importo annuale]]*VLOOKUP(Table2[[#This Row],[Ramo]],RAMI_POLIZZA,2,FALSE),0)</f>
        <v>0</v>
      </c>
      <c r="AH99" s="65" t="s">
        <v>113</v>
      </c>
      <c r="AI99" s="63" t="str">
        <f>IFERROR(VLOOKUP(Table2[[#This Row],[Contraente]],Table1[[Nome/Ragione sociale]:[Checkbox selezionato]],2,FALSE),"-")</f>
        <v>CASTELLETTO LODIGIANO</v>
      </c>
      <c r="AJ99" s="63">
        <f>IFERROR(VLOOKUP(Table2[[#This Row],[Contraente]],Table1[[Nome/Ragione sociale]:[Checkbox selezionato]],3,FALSE),"-")</f>
        <v>3398847371</v>
      </c>
      <c r="AK99" s="63">
        <f>IFERROR(VLOOKUP(Table2[[#This Row],[Contraente]],Table1[[Nome/Ragione sociale]:[Checkbox selezionato]],4,FALSE),"-")</f>
        <v>0</v>
      </c>
      <c r="AL99" s="63" t="str">
        <f>IFERROR(VLOOKUP(Table2[[#This Row],[Contraente]],Table1[[Nome/Ragione sociale]:[Checkbox selezionato]],5,FALSE),"-")</f>
        <v>GREGORIO</v>
      </c>
      <c r="AM99" s="62">
        <f>IFERROR(VLOOKUP(Table2[[#This Row],[Contraente]],Table1[[Nome/Ragione sociale]:[Checkbox selezionato]],6,FALSE),"-")</f>
        <v>30908</v>
      </c>
      <c r="AN99" s="63" t="str">
        <f>IFERROR(VLOOKUP(Table2[[#This Row],[Contraente]],Table1[[Nome/Ragione sociale]:[Checkbox selezionato]],7,FALSE),"-")</f>
        <v>papies@libero.it</v>
      </c>
      <c r="AO99" s="63">
        <f>IFERROR(VLOOKUP(Table2[[#This Row],[Contraente]],Table1[[Nome/Ragione sociale]:[Checkbox selezionato]],8,FALSE),"-")</f>
        <v>0</v>
      </c>
      <c r="AP99" s="63">
        <f>IFERROR(VLOOKUP(Table2[[#This Row],[Contraente]],Table1[[Nome/Ragione sociale]:[Checkbox selezionato]],10,FALSE),"-")</f>
        <v>3398847371</v>
      </c>
      <c r="AQ99" s="63" t="str">
        <f>IFERROR(VLOOKUP(Table2[[#This Row],[Contraente]],Table1[[Nome/Ragione sociale]:[Checkbox selezionato]],11,FALSE),"-")</f>
        <v>SI</v>
      </c>
      <c r="AR99" s="63" t="str">
        <f>IFERROR(VLOOKUP(Table2[[#This Row],[Contraente]],Table1[[Nome/Ragione sociale]:[Checkbox selezionato]],12,FALSE),"-")</f>
        <v>SI</v>
      </c>
    </row>
    <row r="100" spans="1:44" ht="30" hidden="1" customHeight="1" x14ac:dyDescent="0.25">
      <c r="A100" s="60" t="str">
        <f>UPPER(LEFT(Table2[[#This Row],[Contraente]],1))</f>
        <v>B</v>
      </c>
      <c r="B100" s="60" t="s">
        <v>1634</v>
      </c>
      <c r="C100" s="80" t="s">
        <v>166</v>
      </c>
      <c r="D100" s="80" t="s">
        <v>37</v>
      </c>
      <c r="E100" s="85">
        <v>106354561</v>
      </c>
      <c r="F100" s="64">
        <v>42725</v>
      </c>
      <c r="G100" s="64">
        <f>IFERROR(CALCOLASCADENZA(Table2[[#This Row],[Data attivazione]],Table2[[#This Row],[Rateizzazione]],Table2[[#This Row],[Data ultimo pagamento]],Table2[[#This Row],[Data prossima scadenza manuale]]),"-")</f>
        <v>43086</v>
      </c>
      <c r="H100" s="67" t="s">
        <v>31</v>
      </c>
      <c r="I100" s="67" t="s">
        <v>1168</v>
      </c>
      <c r="J100" s="33">
        <f>IFERROR(Table2[[#This Row],[Importo annuale]]/(12/VLOOKUP(Table2[[#This Row],[Rateizzazione]],TIPI_RATEIZZAZIONI,2,FALSE)),"-")</f>
        <v>589</v>
      </c>
      <c r="K100" s="88"/>
      <c r="L100" s="88">
        <v>589</v>
      </c>
      <c r="M100" s="67" t="s">
        <v>44</v>
      </c>
      <c r="N100" s="67" t="s">
        <v>51</v>
      </c>
      <c r="O100" s="27" t="s">
        <v>1631</v>
      </c>
      <c r="P100" s="33" t="s">
        <v>23</v>
      </c>
      <c r="Q100" s="60">
        <f>IFERROR(IF(12 / VLOOKUP(Table2[[#This Row],[Rateizzazione]],TIPI_RATEIZZAZIONI,2,FALSE) &gt;=1,  IF(Table2[[#This Row],[Data attivazione]] = "","-",MONTH(Table2[[#This Row],[Data attivazione]])),"-"),"-")</f>
        <v>12</v>
      </c>
      <c r="R1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" s="67" t="s">
        <v>2</v>
      </c>
      <c r="V100" s="62"/>
      <c r="W100" s="64">
        <v>42721</v>
      </c>
      <c r="X100" s="29">
        <f>DATE(YEAR(Table2[[#This Row],[Data attivazione]])+VLOOKUP(Table2[[#This Row],[Durata]],VALORE_DURATA,2,FALSE),MONTH(Table2[[#This Row],[Data attivazione]]),DAY(Table2[[#This Row],[Data attivazione]]))</f>
        <v>43086</v>
      </c>
      <c r="Y100" s="65"/>
      <c r="Z100" s="61"/>
      <c r="AA100" s="64" t="s">
        <v>85</v>
      </c>
      <c r="AB100" s="29" t="str">
        <f>IF(Table2[[#This Row],[Data ultimo versamento temp]]=0/1/1900,"-",Table2[[#This Row],[Data ultimo versamento temp]])</f>
        <v>-</v>
      </c>
      <c r="AC100" s="29">
        <f t="array" ref="AC100">MAX(IF(TableVersamenti[Polizza]=Table2[[#This Row],[Polizza]],TableVersamenti[Data prevista versamento],"-"))</f>
        <v>0</v>
      </c>
      <c r="AD100" s="62"/>
      <c r="AE100" s="106">
        <f>DATE(YEAR(Table2[[#This Row],[Data ultimo pagamento]]),MONTH(Table2[[#This Row],[Data ultimo pagamento]]), 1)</f>
        <v>42705</v>
      </c>
      <c r="AF100" s="106">
        <f>DATE(YEAR(Table2[[#This Row],[Data prossima scadenza]]),MONTH(Table2[[#This Row],[Data prossima scadenza]]), 1)</f>
        <v>43070</v>
      </c>
      <c r="AG100" s="33">
        <f>IFERROR(Table2[[#This Row],[Importo annuale]]*VLOOKUP(Table2[[#This Row],[Ramo]],RAMI_POLIZZA,2,FALSE),0)</f>
        <v>30.628</v>
      </c>
      <c r="AH100" s="65" t="s">
        <v>113</v>
      </c>
      <c r="AI100" s="63" t="str">
        <f>IFERROR(VLOOKUP(Table2[[#This Row],[Contraente]],Table1[[Nome/Ragione sociale]:[Checkbox selezionato]],2,FALSE),"-")</f>
        <v>VILLANTERIO</v>
      </c>
      <c r="AJ100" s="63">
        <f>IFERROR(VLOOKUP(Table2[[#This Row],[Contraente]],Table1[[Nome/Ragione sociale]:[Checkbox selezionato]],3,FALSE),"-")</f>
        <v>3393050453</v>
      </c>
      <c r="AK100" s="63">
        <f>IFERROR(VLOOKUP(Table2[[#This Row],[Contraente]],Table1[[Nome/Ragione sociale]:[Checkbox selezionato]],4,FALSE),"-")</f>
        <v>0</v>
      </c>
      <c r="AL100" s="63" t="str">
        <f>IFERROR(VLOOKUP(Table2[[#This Row],[Contraente]],Table1[[Nome/Ragione sociale]:[Checkbox selezionato]],5,FALSE),"-")</f>
        <v>DANILA</v>
      </c>
      <c r="AM100" s="62">
        <f>IFERROR(VLOOKUP(Table2[[#This Row],[Contraente]],Table1[[Nome/Ragione sociale]:[Checkbox selezionato]],6,FALSE),"-")</f>
        <v>27256</v>
      </c>
      <c r="AN100" s="63" t="str">
        <f>IFERROR(VLOOKUP(Table2[[#This Row],[Contraente]],Table1[[Nome/Ragione sociale]:[Checkbox selezionato]],7,FALSE),"-")</f>
        <v>papies@email.it</v>
      </c>
      <c r="AO100" s="63">
        <f>IFERROR(VLOOKUP(Table2[[#This Row],[Contraente]],Table1[[Nome/Ragione sociale]:[Checkbox selezionato]],8,FALSE),"-")</f>
        <v>0</v>
      </c>
      <c r="AP100" s="63">
        <f>IFERROR(VLOOKUP(Table2[[#This Row],[Contraente]],Table1[[Nome/Ragione sociale]:[Checkbox selezionato]],10,FALSE),"-")</f>
        <v>3393050453</v>
      </c>
      <c r="AQ100" s="63" t="str">
        <f>IFERROR(VLOOKUP(Table2[[#This Row],[Contraente]],Table1[[Nome/Ragione sociale]:[Checkbox selezionato]],11,FALSE),"-")</f>
        <v>SI</v>
      </c>
      <c r="AR100" s="63" t="str">
        <f>IFERROR(VLOOKUP(Table2[[#This Row],[Contraente]],Table1[[Nome/Ragione sociale]:[Checkbox selezionato]],12,FALSE),"-")</f>
        <v>SI</v>
      </c>
    </row>
    <row r="101" spans="1:44" ht="30" hidden="1" customHeight="1" x14ac:dyDescent="0.25">
      <c r="A101" s="60" t="str">
        <f>UPPER(LEFT(Table2[[#This Row],[Contraente]],1))</f>
        <v>B</v>
      </c>
      <c r="B101" s="60" t="s">
        <v>1634</v>
      </c>
      <c r="C101" s="80" t="s">
        <v>166</v>
      </c>
      <c r="D101" s="80" t="s">
        <v>37</v>
      </c>
      <c r="E101" s="85">
        <v>105569463</v>
      </c>
      <c r="F101" s="64">
        <v>42859</v>
      </c>
      <c r="G101" s="64">
        <f>IFERROR(CALCOLASCADENZA(Table2[[#This Row],[Data attivazione]],Table2[[#This Row],[Rateizzazione]],Table2[[#This Row],[Data ultimo pagamento]],Table2[[#This Row],[Data prossima scadenza manuale]]),"-")</f>
        <v>43225</v>
      </c>
      <c r="H101" s="67" t="s">
        <v>31</v>
      </c>
      <c r="I101" s="67" t="s">
        <v>1169</v>
      </c>
      <c r="J101" s="33">
        <f>IFERROR(Table2[[#This Row],[Importo annuale]]/(12/VLOOKUP(Table2[[#This Row],[Rateizzazione]],TIPI_RATEIZZAZIONI,2,FALSE)),"-")</f>
        <v>583</v>
      </c>
      <c r="K101" s="88">
        <v>583</v>
      </c>
      <c r="L101" s="88">
        <v>583</v>
      </c>
      <c r="M101" s="67" t="s">
        <v>44</v>
      </c>
      <c r="N101" s="67" t="s">
        <v>51</v>
      </c>
      <c r="O101" s="27" t="s">
        <v>1631</v>
      </c>
      <c r="P101" s="33" t="s">
        <v>23</v>
      </c>
      <c r="Q101" s="60">
        <f>IFERROR(IF(12 / VLOOKUP(Table2[[#This Row],[Rateizzazione]],TIPI_RATEIZZAZIONI,2,FALSE) &gt;=1,  IF(Table2[[#This Row],[Data attivazione]] = "","-",MONTH(Table2[[#This Row],[Data attivazione]])),"-"),"-")</f>
        <v>5</v>
      </c>
      <c r="R1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" s="67" t="s">
        <v>2</v>
      </c>
      <c r="V101" s="62"/>
      <c r="W101" s="64">
        <v>42860</v>
      </c>
      <c r="X101" s="29">
        <f>DATE(YEAR(Table2[[#This Row],[Data attivazione]])+VLOOKUP(Table2[[#This Row],[Durata]],VALORE_DURATA,2,FALSE),MONTH(Table2[[#This Row],[Data attivazione]]),DAY(Table2[[#This Row],[Data attivazione]]))</f>
        <v>43225</v>
      </c>
      <c r="Y101" s="65"/>
      <c r="Z101" s="61"/>
      <c r="AA101" s="64" t="s">
        <v>85</v>
      </c>
      <c r="AB101" s="29" t="str">
        <f>IF(Table2[[#This Row],[Data ultimo versamento temp]]=0/1/1900,"-",Table2[[#This Row],[Data ultimo versamento temp]])</f>
        <v>-</v>
      </c>
      <c r="AC101" s="29">
        <f t="array" ref="AC101">MAX(IF(TableVersamenti[Polizza]=Table2[[#This Row],[Polizza]],TableVersamenti[Data prevista versamento],"-"))</f>
        <v>0</v>
      </c>
      <c r="AD101" s="62"/>
      <c r="AE101" s="106">
        <f>DATE(YEAR(Table2[[#This Row],[Data ultimo pagamento]]),MONTH(Table2[[#This Row],[Data ultimo pagamento]]), 1)</f>
        <v>42856</v>
      </c>
      <c r="AF101" s="106">
        <f>DATE(YEAR(Table2[[#This Row],[Data prossima scadenza]]),MONTH(Table2[[#This Row],[Data prossima scadenza]]), 1)</f>
        <v>43221</v>
      </c>
      <c r="AG101" s="33">
        <f>IFERROR(Table2[[#This Row],[Importo annuale]]*VLOOKUP(Table2[[#This Row],[Ramo]],RAMI_POLIZZA,2,FALSE),0)</f>
        <v>30.315999999999999</v>
      </c>
      <c r="AH101" s="65" t="s">
        <v>113</v>
      </c>
      <c r="AI101" s="63" t="str">
        <f>IFERROR(VLOOKUP(Table2[[#This Row],[Contraente]],Table1[[Nome/Ragione sociale]:[Checkbox selezionato]],2,FALSE),"-")</f>
        <v>VILLANTERIO</v>
      </c>
      <c r="AJ101" s="63">
        <f>IFERROR(VLOOKUP(Table2[[#This Row],[Contraente]],Table1[[Nome/Ragione sociale]:[Checkbox selezionato]],3,FALSE),"-")</f>
        <v>3393050453</v>
      </c>
      <c r="AK101" s="63">
        <f>IFERROR(VLOOKUP(Table2[[#This Row],[Contraente]],Table1[[Nome/Ragione sociale]:[Checkbox selezionato]],4,FALSE),"-")</f>
        <v>0</v>
      </c>
      <c r="AL101" s="63" t="str">
        <f>IFERROR(VLOOKUP(Table2[[#This Row],[Contraente]],Table1[[Nome/Ragione sociale]:[Checkbox selezionato]],5,FALSE),"-")</f>
        <v>DANILA</v>
      </c>
      <c r="AM101" s="62">
        <f>IFERROR(VLOOKUP(Table2[[#This Row],[Contraente]],Table1[[Nome/Ragione sociale]:[Checkbox selezionato]],6,FALSE),"-")</f>
        <v>27256</v>
      </c>
      <c r="AN101" s="63" t="str">
        <f>IFERROR(VLOOKUP(Table2[[#This Row],[Contraente]],Table1[[Nome/Ragione sociale]:[Checkbox selezionato]],7,FALSE),"-")</f>
        <v>papies@email.it</v>
      </c>
      <c r="AO101" s="63">
        <f>IFERROR(VLOOKUP(Table2[[#This Row],[Contraente]],Table1[[Nome/Ragione sociale]:[Checkbox selezionato]],8,FALSE),"-")</f>
        <v>0</v>
      </c>
      <c r="AP101" s="63">
        <f>IFERROR(VLOOKUP(Table2[[#This Row],[Contraente]],Table1[[Nome/Ragione sociale]:[Checkbox selezionato]],10,FALSE),"-")</f>
        <v>3393050453</v>
      </c>
      <c r="AQ101" s="63" t="str">
        <f>IFERROR(VLOOKUP(Table2[[#This Row],[Contraente]],Table1[[Nome/Ragione sociale]:[Checkbox selezionato]],11,FALSE),"-")</f>
        <v>SI</v>
      </c>
      <c r="AR101" s="63" t="str">
        <f>IFERROR(VLOOKUP(Table2[[#This Row],[Contraente]],Table1[[Nome/Ragione sociale]:[Checkbox selezionato]],12,FALSE),"-")</f>
        <v>SI</v>
      </c>
    </row>
    <row r="102" spans="1:44" ht="30" hidden="1" customHeight="1" x14ac:dyDescent="0.25">
      <c r="A102" s="60" t="str">
        <f>UPPER(LEFT(Table2[[#This Row],[Contraente]],1))</f>
        <v>B</v>
      </c>
      <c r="B102" s="60" t="s">
        <v>1634</v>
      </c>
      <c r="C102" s="80" t="s">
        <v>309</v>
      </c>
      <c r="D102" s="81" t="s">
        <v>37</v>
      </c>
      <c r="E102" s="86">
        <v>1102910</v>
      </c>
      <c r="F102" s="64">
        <v>42467</v>
      </c>
      <c r="G102" s="64">
        <f>IFERROR(CALCOLASCADENZA(Table2[[#This Row],[Data attivazione]],Table2[[#This Row],[Rateizzazione]],Table2[[#This Row],[Data ultimo pagamento]],Table2[[#This Row],[Data prossima scadenza manuale]]),"-")</f>
        <v>42802</v>
      </c>
      <c r="H102" s="67" t="s">
        <v>30</v>
      </c>
      <c r="I102" s="67" t="s">
        <v>113</v>
      </c>
      <c r="J102" s="33">
        <f>IFERROR(Table2[[#This Row],[Importo annuale]]/(12/VLOOKUP(Table2[[#This Row],[Rateizzazione]],TIPI_RATEIZZAZIONI,2,FALSE)),"-")</f>
        <v>186</v>
      </c>
      <c r="K102" s="88"/>
      <c r="L102" s="88">
        <v>186</v>
      </c>
      <c r="M102" s="67" t="s">
        <v>43</v>
      </c>
      <c r="N102" s="67" t="s">
        <v>51</v>
      </c>
      <c r="O102" s="27" t="s">
        <v>1632</v>
      </c>
      <c r="P102" s="33" t="s">
        <v>23</v>
      </c>
      <c r="Q102" s="60">
        <f>IFERROR(IF(12 / VLOOKUP(Table2[[#This Row],[Rateizzazione]],TIPI_RATEIZZAZIONI,2,FALSE) &gt;=1,  IF(Table2[[#This Row],[Data attivazione]] = "","-",MONTH(Table2[[#This Row],[Data attivazione]])),"-"),"-")</f>
        <v>3</v>
      </c>
      <c r="R1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" s="67" t="s">
        <v>2</v>
      </c>
      <c r="V102" s="62"/>
      <c r="W102" s="64">
        <v>39149</v>
      </c>
      <c r="X102" s="29">
        <f>DATE(YEAR(Table2[[#This Row],[Data attivazione]])+VLOOKUP(Table2[[#This Row],[Durata]],VALORE_DURATA,2,FALSE),MONTH(Table2[[#This Row],[Data attivazione]]),DAY(Table2[[#This Row],[Data attivazione]]))</f>
        <v>42802</v>
      </c>
      <c r="Y102" s="65"/>
      <c r="Z102" s="61"/>
      <c r="AA102" s="64" t="s">
        <v>88</v>
      </c>
      <c r="AB102" s="29" t="str">
        <f>IF(Table2[[#This Row],[Data ultimo versamento temp]]=0/1/1900,"-",Table2[[#This Row],[Data ultimo versamento temp]])</f>
        <v>-</v>
      </c>
      <c r="AC102" s="29">
        <f t="array" ref="AC102">MAX(IF(TableVersamenti[Polizza]=Table2[[#This Row],[Polizza]],TableVersamenti[Data prevista versamento],"-"))</f>
        <v>0</v>
      </c>
      <c r="AD102" s="62"/>
      <c r="AE102" s="106">
        <f>DATE(YEAR(Table2[[#This Row],[Data ultimo pagamento]]),MONTH(Table2[[#This Row],[Data ultimo pagamento]]), 1)</f>
        <v>42461</v>
      </c>
      <c r="AF102" s="106">
        <f>DATE(YEAR(Table2[[#This Row],[Data prossima scadenza]]),MONTH(Table2[[#This Row],[Data prossima scadenza]]), 1)</f>
        <v>42795</v>
      </c>
      <c r="AG102" s="33">
        <f>IFERROR(Table2[[#This Row],[Importo annuale]]*VLOOKUP(Table2[[#This Row],[Ramo]],RAMI_POLIZZA,2,FALSE),0)</f>
        <v>21.39</v>
      </c>
      <c r="AH102" s="65" t="s">
        <v>113</v>
      </c>
      <c r="AI102" s="63" t="str">
        <f>IFERROR(VLOOKUP(Table2[[#This Row],[Contraente]],Table1[[Nome/Ragione sociale]:[Checkbox selezionato]],2,FALSE),"-")</f>
        <v>CANNETO PAVESE</v>
      </c>
      <c r="AJ102" s="63">
        <f>IFERROR(VLOOKUP(Table2[[#This Row],[Contraente]],Table1[[Nome/Ragione sociale]:[Checkbox selezionato]],3,FALSE),"-")</f>
        <v>3338886154</v>
      </c>
      <c r="AK102" s="63">
        <f>IFERROR(VLOOKUP(Table2[[#This Row],[Contraente]],Table1[[Nome/Ragione sociale]:[Checkbox selezionato]],4,FALSE),"-")</f>
        <v>0</v>
      </c>
      <c r="AL102" s="63" t="str">
        <f>IFERROR(VLOOKUP(Table2[[#This Row],[Contraente]],Table1[[Nome/Ragione sociale]:[Checkbox selezionato]],5,FALSE),"-")</f>
        <v>MARCO</v>
      </c>
      <c r="AM102" s="62">
        <f>IFERROR(VLOOKUP(Table2[[#This Row],[Contraente]],Table1[[Nome/Ragione sociale]:[Checkbox selezionato]],6,FALSE),"-")</f>
        <v>25545</v>
      </c>
      <c r="AN102" s="63" t="str">
        <f>IFERROR(VLOOKUP(Table2[[#This Row],[Contraente]],Table1[[Nome/Ragione sociale]:[Checkbox selezionato]],7,FALSE),"-")</f>
        <v>papies@libero.it</v>
      </c>
      <c r="AO102" s="63">
        <f>IFERROR(VLOOKUP(Table2[[#This Row],[Contraente]],Table1[[Nome/Ragione sociale]:[Checkbox selezionato]],8,FALSE),"-")</f>
        <v>0</v>
      </c>
      <c r="AP102" s="63">
        <f>IFERROR(VLOOKUP(Table2[[#This Row],[Contraente]],Table1[[Nome/Ragione sociale]:[Checkbox selezionato]],10,FALSE),"-")</f>
        <v>3338886154</v>
      </c>
      <c r="AQ102" s="63" t="str">
        <f>IFERROR(VLOOKUP(Table2[[#This Row],[Contraente]],Table1[[Nome/Ragione sociale]:[Checkbox selezionato]],11,FALSE),"-")</f>
        <v>SI</v>
      </c>
      <c r="AR102" s="63" t="str">
        <f>IFERROR(VLOOKUP(Table2[[#This Row],[Contraente]],Table1[[Nome/Ragione sociale]:[Checkbox selezionato]],12,FALSE),"-")</f>
        <v>SI</v>
      </c>
    </row>
    <row r="103" spans="1:44" ht="30" hidden="1" customHeight="1" x14ac:dyDescent="0.25">
      <c r="A103" s="60" t="str">
        <f>UPPER(LEFT(Table2[[#This Row],[Contraente]],1))</f>
        <v>B</v>
      </c>
      <c r="B103" s="60" t="s">
        <v>1634</v>
      </c>
      <c r="C103" s="80" t="s">
        <v>310</v>
      </c>
      <c r="D103" s="80" t="s">
        <v>37</v>
      </c>
      <c r="E103" s="85">
        <v>107051001</v>
      </c>
      <c r="F103" s="64">
        <v>42915</v>
      </c>
      <c r="G103" s="64">
        <f>IFERROR(CALCOLASCADENZA(Table2[[#This Row],[Data attivazione]],Table2[[#This Row],[Rateizzazione]],Table2[[#This Row],[Data ultimo pagamento]],Table2[[#This Row],[Data prossima scadenza manuale]]),"-")</f>
        <v>43292</v>
      </c>
      <c r="H103" s="67" t="s">
        <v>31</v>
      </c>
      <c r="I103" s="67" t="s">
        <v>1170</v>
      </c>
      <c r="J103" s="33">
        <f>IFERROR(Table2[[#This Row],[Importo annuale]]/(12/VLOOKUP(Table2[[#This Row],[Rateizzazione]],TIPI_RATEIZZAZIONI,2,FALSE)),"-")</f>
        <v>230</v>
      </c>
      <c r="K103" s="88">
        <v>230</v>
      </c>
      <c r="L103" s="88">
        <v>230</v>
      </c>
      <c r="M103" s="67" t="s">
        <v>44</v>
      </c>
      <c r="N103" s="67" t="s">
        <v>51</v>
      </c>
      <c r="O103" s="27" t="s">
        <v>1631</v>
      </c>
      <c r="P103" s="33" t="s">
        <v>23</v>
      </c>
      <c r="Q103" s="60">
        <f>IFERROR(IF(12 / VLOOKUP(Table2[[#This Row],[Rateizzazione]],TIPI_RATEIZZAZIONI,2,FALSE) &gt;=1,  IF(Table2[[#This Row],[Data attivazione]] = "","-",MONTH(Table2[[#This Row],[Data attivazione]])),"-"),"-")</f>
        <v>7</v>
      </c>
      <c r="R1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" s="67" t="s">
        <v>2</v>
      </c>
      <c r="V103" s="62"/>
      <c r="W103" s="64">
        <v>42927</v>
      </c>
      <c r="X103" s="29">
        <f>DATE(YEAR(Table2[[#This Row],[Data attivazione]])+VLOOKUP(Table2[[#This Row],[Durata]],VALORE_DURATA,2,FALSE),MONTH(Table2[[#This Row],[Data attivazione]]),DAY(Table2[[#This Row],[Data attivazione]]))</f>
        <v>43292</v>
      </c>
      <c r="Y103" s="65"/>
      <c r="Z103" s="61"/>
      <c r="AA103" s="64" t="s">
        <v>85</v>
      </c>
      <c r="AB103" s="29" t="str">
        <f>IF(Table2[[#This Row],[Data ultimo versamento temp]]=0/1/1900,"-",Table2[[#This Row],[Data ultimo versamento temp]])</f>
        <v>-</v>
      </c>
      <c r="AC103" s="29">
        <f t="array" ref="AC103">MAX(IF(TableVersamenti[Polizza]=Table2[[#This Row],[Polizza]],TableVersamenti[Data prevista versamento],"-"))</f>
        <v>0</v>
      </c>
      <c r="AD103" s="62"/>
      <c r="AE103" s="106">
        <f>DATE(YEAR(Table2[[#This Row],[Data ultimo pagamento]]),MONTH(Table2[[#This Row],[Data ultimo pagamento]]), 1)</f>
        <v>42887</v>
      </c>
      <c r="AF103" s="106">
        <f>DATE(YEAR(Table2[[#This Row],[Data prossima scadenza]]),MONTH(Table2[[#This Row],[Data prossima scadenza]]), 1)</f>
        <v>43282</v>
      </c>
      <c r="AG103" s="33">
        <f>IFERROR(Table2[[#This Row],[Importo annuale]]*VLOOKUP(Table2[[#This Row],[Ramo]],RAMI_POLIZZA,2,FALSE),0)</f>
        <v>11.959999999999999</v>
      </c>
      <c r="AH103" s="65" t="s">
        <v>113</v>
      </c>
      <c r="AI103" s="63" t="str">
        <f>IFERROR(VLOOKUP(Table2[[#This Row],[Contraente]],Table1[[Nome/Ragione sociale]:[Checkbox selezionato]],2,FALSE),"-")</f>
        <v xml:space="preserve">GENZONE </v>
      </c>
      <c r="AJ103" s="63">
        <f>IFERROR(VLOOKUP(Table2[[#This Row],[Contraente]],Table1[[Nome/Ragione sociale]:[Checkbox selezionato]],3,FALSE),"-")</f>
        <v>3338556313</v>
      </c>
      <c r="AK103" s="63">
        <f>IFERROR(VLOOKUP(Table2[[#This Row],[Contraente]],Table1[[Nome/Ragione sociale]:[Checkbox selezionato]],4,FALSE),"-")</f>
        <v>0</v>
      </c>
      <c r="AL103" s="63" t="str">
        <f>IFERROR(VLOOKUP(Table2[[#This Row],[Contraente]],Table1[[Nome/Ragione sociale]:[Checkbox selezionato]],5,FALSE),"-")</f>
        <v>ANNA RITA</v>
      </c>
      <c r="AM103" s="62">
        <f>IFERROR(VLOOKUP(Table2[[#This Row],[Contraente]],Table1[[Nome/Ragione sociale]:[Checkbox selezionato]],6,FALSE),"-")</f>
        <v>25113</v>
      </c>
      <c r="AN103" s="63" t="str">
        <f>IFERROR(VLOOKUP(Table2[[#This Row],[Contraente]],Table1[[Nome/Ragione sociale]:[Checkbox selezionato]],7,FALSE),"-")</f>
        <v>papies@libero.it</v>
      </c>
      <c r="AO103" s="63">
        <f>IFERROR(VLOOKUP(Table2[[#This Row],[Contraente]],Table1[[Nome/Ragione sociale]:[Checkbox selezionato]],8,FALSE),"-")</f>
        <v>0</v>
      </c>
      <c r="AP103" s="63">
        <f>IFERROR(VLOOKUP(Table2[[#This Row],[Contraente]],Table1[[Nome/Ragione sociale]:[Checkbox selezionato]],10,FALSE),"-")</f>
        <v>3338556313</v>
      </c>
      <c r="AQ103" s="63" t="str">
        <f>IFERROR(VLOOKUP(Table2[[#This Row],[Contraente]],Table1[[Nome/Ragione sociale]:[Checkbox selezionato]],11,FALSE),"-")</f>
        <v>SI</v>
      </c>
      <c r="AR103" s="63" t="str">
        <f>IFERROR(VLOOKUP(Table2[[#This Row],[Contraente]],Table1[[Nome/Ragione sociale]:[Checkbox selezionato]],12,FALSE),"-")</f>
        <v>SI</v>
      </c>
    </row>
    <row r="104" spans="1:44" ht="30" hidden="1" customHeight="1" x14ac:dyDescent="0.25">
      <c r="A104" s="60" t="str">
        <f>UPPER(LEFT(Table2[[#This Row],[Contraente]],1))</f>
        <v>B</v>
      </c>
      <c r="B104" s="60" t="s">
        <v>1634</v>
      </c>
      <c r="C104" s="80" t="s">
        <v>310</v>
      </c>
      <c r="D104" s="80" t="s">
        <v>37</v>
      </c>
      <c r="E104" s="85">
        <v>107050838</v>
      </c>
      <c r="F104" s="64">
        <v>42915</v>
      </c>
      <c r="G104" s="64">
        <f>IFERROR(CALCOLASCADENZA(Table2[[#This Row],[Data attivazione]],Table2[[#This Row],[Rateizzazione]],Table2[[#This Row],[Data ultimo pagamento]],Table2[[#This Row],[Data prossima scadenza manuale]]),"-")</f>
        <v>43281</v>
      </c>
      <c r="H104" s="67" t="s">
        <v>31</v>
      </c>
      <c r="I104" s="67" t="s">
        <v>1171</v>
      </c>
      <c r="J104" s="33">
        <f>IFERROR(Table2[[#This Row],[Importo annuale]]/(12/VLOOKUP(Table2[[#This Row],[Rateizzazione]],TIPI_RATEIZZAZIONI,2,FALSE)),"-")</f>
        <v>1300</v>
      </c>
      <c r="K104" s="88">
        <v>1300</v>
      </c>
      <c r="L104" s="88">
        <v>1300</v>
      </c>
      <c r="M104" s="67" t="s">
        <v>44</v>
      </c>
      <c r="N104" s="67" t="s">
        <v>51</v>
      </c>
      <c r="O104" s="27" t="s">
        <v>1631</v>
      </c>
      <c r="P104" s="33" t="s">
        <v>23</v>
      </c>
      <c r="Q104" s="60">
        <f>IFERROR(IF(12 / VLOOKUP(Table2[[#This Row],[Rateizzazione]],TIPI_RATEIZZAZIONI,2,FALSE) &gt;=1,  IF(Table2[[#This Row],[Data attivazione]] = "","-",MONTH(Table2[[#This Row],[Data attivazione]])),"-"),"-")</f>
        <v>6</v>
      </c>
      <c r="R1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" s="67" t="s">
        <v>2</v>
      </c>
      <c r="V104" s="62"/>
      <c r="W104" s="64">
        <v>42916</v>
      </c>
      <c r="X104" s="29">
        <f>DATE(YEAR(Table2[[#This Row],[Data attivazione]])+VLOOKUP(Table2[[#This Row],[Durata]],VALORE_DURATA,2,FALSE),MONTH(Table2[[#This Row],[Data attivazione]]),DAY(Table2[[#This Row],[Data attivazione]]))</f>
        <v>43281</v>
      </c>
      <c r="Y104" s="65"/>
      <c r="Z104" s="61"/>
      <c r="AA104" s="64" t="s">
        <v>85</v>
      </c>
      <c r="AB104" s="29" t="str">
        <f>IF(Table2[[#This Row],[Data ultimo versamento temp]]=0/1/1900,"-",Table2[[#This Row],[Data ultimo versamento temp]])</f>
        <v>-</v>
      </c>
      <c r="AC104" s="29">
        <f t="array" ref="AC104">MAX(IF(TableVersamenti[Polizza]=Table2[[#This Row],[Polizza]],TableVersamenti[Data prevista versamento],"-"))</f>
        <v>0</v>
      </c>
      <c r="AD104" s="62"/>
      <c r="AE104" s="106">
        <f>DATE(YEAR(Table2[[#This Row],[Data ultimo pagamento]]),MONTH(Table2[[#This Row],[Data ultimo pagamento]]), 1)</f>
        <v>42887</v>
      </c>
      <c r="AF104" s="106">
        <f>DATE(YEAR(Table2[[#This Row],[Data prossima scadenza]]),MONTH(Table2[[#This Row],[Data prossima scadenza]]), 1)</f>
        <v>43252</v>
      </c>
      <c r="AG104" s="33">
        <f>IFERROR(Table2[[#This Row],[Importo annuale]]*VLOOKUP(Table2[[#This Row],[Ramo]],RAMI_POLIZZA,2,FALSE),0)</f>
        <v>67.599999999999994</v>
      </c>
      <c r="AH104" s="65" t="s">
        <v>113</v>
      </c>
      <c r="AI104" s="63" t="str">
        <f>IFERROR(VLOOKUP(Table2[[#This Row],[Contraente]],Table1[[Nome/Ragione sociale]:[Checkbox selezionato]],2,FALSE),"-")</f>
        <v xml:space="preserve">GENZONE </v>
      </c>
      <c r="AJ104" s="63">
        <f>IFERROR(VLOOKUP(Table2[[#This Row],[Contraente]],Table1[[Nome/Ragione sociale]:[Checkbox selezionato]],3,FALSE),"-")</f>
        <v>3338556313</v>
      </c>
      <c r="AK104" s="63">
        <f>IFERROR(VLOOKUP(Table2[[#This Row],[Contraente]],Table1[[Nome/Ragione sociale]:[Checkbox selezionato]],4,FALSE),"-")</f>
        <v>0</v>
      </c>
      <c r="AL104" s="63" t="str">
        <f>IFERROR(VLOOKUP(Table2[[#This Row],[Contraente]],Table1[[Nome/Ragione sociale]:[Checkbox selezionato]],5,FALSE),"-")</f>
        <v>ANNA RITA</v>
      </c>
      <c r="AM104" s="62">
        <f>IFERROR(VLOOKUP(Table2[[#This Row],[Contraente]],Table1[[Nome/Ragione sociale]:[Checkbox selezionato]],6,FALSE),"-")</f>
        <v>25113</v>
      </c>
      <c r="AN104" s="63" t="str">
        <f>IFERROR(VLOOKUP(Table2[[#This Row],[Contraente]],Table1[[Nome/Ragione sociale]:[Checkbox selezionato]],7,FALSE),"-")</f>
        <v>papies@libero.it</v>
      </c>
      <c r="AO104" s="63">
        <f>IFERROR(VLOOKUP(Table2[[#This Row],[Contraente]],Table1[[Nome/Ragione sociale]:[Checkbox selezionato]],8,FALSE),"-")</f>
        <v>0</v>
      </c>
      <c r="AP104" s="63">
        <f>IFERROR(VLOOKUP(Table2[[#This Row],[Contraente]],Table1[[Nome/Ragione sociale]:[Checkbox selezionato]],10,FALSE),"-")</f>
        <v>3338556313</v>
      </c>
      <c r="AQ104" s="63" t="str">
        <f>IFERROR(VLOOKUP(Table2[[#This Row],[Contraente]],Table1[[Nome/Ragione sociale]:[Checkbox selezionato]],11,FALSE),"-")</f>
        <v>SI</v>
      </c>
      <c r="AR104" s="63" t="str">
        <f>IFERROR(VLOOKUP(Table2[[#This Row],[Contraente]],Table1[[Nome/Ragione sociale]:[Checkbox selezionato]],12,FALSE),"-")</f>
        <v>SI</v>
      </c>
    </row>
    <row r="105" spans="1:44" ht="30" hidden="1" customHeight="1" x14ac:dyDescent="0.25">
      <c r="A105" s="60" t="str">
        <f>UPPER(LEFT(Table2[[#This Row],[Contraente]],1))</f>
        <v>B</v>
      </c>
      <c r="B105" s="60" t="s">
        <v>1634</v>
      </c>
      <c r="C105" s="80" t="s">
        <v>310</v>
      </c>
      <c r="D105" s="80" t="s">
        <v>37</v>
      </c>
      <c r="E105" s="85">
        <v>107050871</v>
      </c>
      <c r="F105" s="64">
        <v>42915</v>
      </c>
      <c r="G105" s="64">
        <f>IFERROR(CALCOLASCADENZA(Table2[[#This Row],[Data attivazione]],Table2[[#This Row],[Rateizzazione]],Table2[[#This Row],[Data ultimo pagamento]],Table2[[#This Row],[Data prossima scadenza manuale]]),"-")</f>
        <v>43281</v>
      </c>
      <c r="H105" s="67" t="s">
        <v>30</v>
      </c>
      <c r="I105" s="67" t="s">
        <v>113</v>
      </c>
      <c r="J105" s="33">
        <f>IFERROR(Table2[[#This Row],[Importo annuale]]/(12/VLOOKUP(Table2[[#This Row],[Rateizzazione]],TIPI_RATEIZZAZIONI,2,FALSE)),"-")</f>
        <v>80</v>
      </c>
      <c r="K105" s="88">
        <v>80</v>
      </c>
      <c r="L105" s="88">
        <v>80</v>
      </c>
      <c r="M105" s="67" t="s">
        <v>44</v>
      </c>
      <c r="N105" s="67" t="s">
        <v>51</v>
      </c>
      <c r="O105" s="27" t="s">
        <v>1631</v>
      </c>
      <c r="P105" s="33" t="s">
        <v>23</v>
      </c>
      <c r="Q105" s="60">
        <f>IFERROR(IF(12 / VLOOKUP(Table2[[#This Row],[Rateizzazione]],TIPI_RATEIZZAZIONI,2,FALSE) &gt;=1,  IF(Table2[[#This Row],[Data attivazione]] = "","-",MONTH(Table2[[#This Row],[Data attivazione]])),"-"),"-")</f>
        <v>6</v>
      </c>
      <c r="R1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" s="67" t="s">
        <v>2</v>
      </c>
      <c r="V105" s="62"/>
      <c r="W105" s="64">
        <v>42916</v>
      </c>
      <c r="X105" s="29">
        <f>DATE(YEAR(Table2[[#This Row],[Data attivazione]])+VLOOKUP(Table2[[#This Row],[Durata]],VALORE_DURATA,2,FALSE),MONTH(Table2[[#This Row],[Data attivazione]]),DAY(Table2[[#This Row],[Data attivazione]]))</f>
        <v>43281</v>
      </c>
      <c r="Y105" s="65"/>
      <c r="Z105" s="61"/>
      <c r="AA105" s="64" t="s">
        <v>85</v>
      </c>
      <c r="AB105" s="29" t="str">
        <f>IF(Table2[[#This Row],[Data ultimo versamento temp]]=0/1/1900,"-",Table2[[#This Row],[Data ultimo versamento temp]])</f>
        <v>-</v>
      </c>
      <c r="AC105" s="29">
        <f t="array" ref="AC105">MAX(IF(TableVersamenti[Polizza]=Table2[[#This Row],[Polizza]],TableVersamenti[Data prevista versamento],"-"))</f>
        <v>0</v>
      </c>
      <c r="AD105" s="62"/>
      <c r="AE105" s="106">
        <f>DATE(YEAR(Table2[[#This Row],[Data ultimo pagamento]]),MONTH(Table2[[#This Row],[Data ultimo pagamento]]), 1)</f>
        <v>42887</v>
      </c>
      <c r="AF105" s="106">
        <f>DATE(YEAR(Table2[[#This Row],[Data prossima scadenza]]),MONTH(Table2[[#This Row],[Data prossima scadenza]]), 1)</f>
        <v>43252</v>
      </c>
      <c r="AG105" s="33">
        <f>IFERROR(Table2[[#This Row],[Importo annuale]]*VLOOKUP(Table2[[#This Row],[Ramo]],RAMI_POLIZZA,2,FALSE),0)</f>
        <v>9.2000000000000011</v>
      </c>
      <c r="AH105" s="65" t="s">
        <v>113</v>
      </c>
      <c r="AI105" s="63" t="str">
        <f>IFERROR(VLOOKUP(Table2[[#This Row],[Contraente]],Table1[[Nome/Ragione sociale]:[Checkbox selezionato]],2,FALSE),"-")</f>
        <v xml:space="preserve">GENZONE </v>
      </c>
      <c r="AJ105" s="63">
        <f>IFERROR(VLOOKUP(Table2[[#This Row],[Contraente]],Table1[[Nome/Ragione sociale]:[Checkbox selezionato]],3,FALSE),"-")</f>
        <v>3338556313</v>
      </c>
      <c r="AK105" s="63">
        <f>IFERROR(VLOOKUP(Table2[[#This Row],[Contraente]],Table1[[Nome/Ragione sociale]:[Checkbox selezionato]],4,FALSE),"-")</f>
        <v>0</v>
      </c>
      <c r="AL105" s="63" t="str">
        <f>IFERROR(VLOOKUP(Table2[[#This Row],[Contraente]],Table1[[Nome/Ragione sociale]:[Checkbox selezionato]],5,FALSE),"-")</f>
        <v>ANNA RITA</v>
      </c>
      <c r="AM105" s="62">
        <f>IFERROR(VLOOKUP(Table2[[#This Row],[Contraente]],Table1[[Nome/Ragione sociale]:[Checkbox selezionato]],6,FALSE),"-")</f>
        <v>25113</v>
      </c>
      <c r="AN105" s="63" t="str">
        <f>IFERROR(VLOOKUP(Table2[[#This Row],[Contraente]],Table1[[Nome/Ragione sociale]:[Checkbox selezionato]],7,FALSE),"-")</f>
        <v>papies@libero.it</v>
      </c>
      <c r="AO105" s="63">
        <f>IFERROR(VLOOKUP(Table2[[#This Row],[Contraente]],Table1[[Nome/Ragione sociale]:[Checkbox selezionato]],8,FALSE),"-")</f>
        <v>0</v>
      </c>
      <c r="AP105" s="63">
        <f>IFERROR(VLOOKUP(Table2[[#This Row],[Contraente]],Table1[[Nome/Ragione sociale]:[Checkbox selezionato]],10,FALSE),"-")</f>
        <v>3338556313</v>
      </c>
      <c r="AQ105" s="63" t="str">
        <f>IFERROR(VLOOKUP(Table2[[#This Row],[Contraente]],Table1[[Nome/Ragione sociale]:[Checkbox selezionato]],11,FALSE),"-")</f>
        <v>SI</v>
      </c>
      <c r="AR105" s="63" t="str">
        <f>IFERROR(VLOOKUP(Table2[[#This Row],[Contraente]],Table1[[Nome/Ragione sociale]:[Checkbox selezionato]],12,FALSE),"-")</f>
        <v>SI</v>
      </c>
    </row>
    <row r="106" spans="1:44" ht="30" hidden="1" customHeight="1" x14ac:dyDescent="0.25">
      <c r="A106" s="60" t="str">
        <f>UPPER(LEFT(Table2[[#This Row],[Contraente]],1))</f>
        <v>B</v>
      </c>
      <c r="B106" s="60" t="s">
        <v>1634</v>
      </c>
      <c r="C106" s="80" t="s">
        <v>313</v>
      </c>
      <c r="D106" s="80" t="s">
        <v>37</v>
      </c>
      <c r="E106" s="85">
        <v>105901768</v>
      </c>
      <c r="F106" s="64">
        <v>42580</v>
      </c>
      <c r="G106" s="64">
        <f>IFERROR(CALCOLASCADENZA(Table2[[#This Row],[Data attivazione]],Table2[[#This Row],[Rateizzazione]],Table2[[#This Row],[Data ultimo pagamento]],Table2[[#This Row],[Data prossima scadenza manuale]]),"-")</f>
        <v>42580</v>
      </c>
      <c r="H106" s="67" t="s">
        <v>31</v>
      </c>
      <c r="I106" s="67" t="s">
        <v>1172</v>
      </c>
      <c r="J106" s="33">
        <v>0.4</v>
      </c>
      <c r="K106" s="88"/>
      <c r="L106" s="88">
        <v>780</v>
      </c>
      <c r="M106" s="67" t="s">
        <v>44</v>
      </c>
      <c r="N106" s="67" t="s">
        <v>51</v>
      </c>
      <c r="O106" s="27" t="s">
        <v>1631</v>
      </c>
      <c r="P106" s="33" t="s">
        <v>24</v>
      </c>
      <c r="Q10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" s="67" t="s">
        <v>133</v>
      </c>
      <c r="V106" s="62"/>
      <c r="W106" s="64">
        <v>42287</v>
      </c>
      <c r="X106" s="29">
        <f>DATE(YEAR(Table2[[#This Row],[Data attivazione]])+VLOOKUP(Table2[[#This Row],[Durata]],VALORE_DURATA,2,FALSE),MONTH(Table2[[#This Row],[Data attivazione]]),DAY(Table2[[#This Row],[Data attivazione]]))</f>
        <v>42653</v>
      </c>
      <c r="Y106" s="65"/>
      <c r="Z106" s="61"/>
      <c r="AA106" s="64" t="s">
        <v>88</v>
      </c>
      <c r="AB106" s="29" t="str">
        <f>IF(Table2[[#This Row],[Data ultimo versamento temp]]=0/1/1900,"-",Table2[[#This Row],[Data ultimo versamento temp]])</f>
        <v>-</v>
      </c>
      <c r="AC106" s="29">
        <f t="array" ref="AC106">MAX(IF(TableVersamenti[Polizza]=Table2[[#This Row],[Polizza]],TableVersamenti[Data prevista versamento],"-"))</f>
        <v>0</v>
      </c>
      <c r="AD106" s="62"/>
      <c r="AE106" s="106">
        <f>DATE(YEAR(Table2[[#This Row],[Data ultimo pagamento]]),MONTH(Table2[[#This Row],[Data ultimo pagamento]]), 1)</f>
        <v>42552</v>
      </c>
      <c r="AF106" s="106">
        <f>DATE(YEAR(Table2[[#This Row],[Data prossima scadenza]]),MONTH(Table2[[#This Row],[Data prossima scadenza]]), 1)</f>
        <v>42552</v>
      </c>
      <c r="AG106" s="33">
        <f>IFERROR(Table2[[#This Row],[Importo annuale]]*VLOOKUP(Table2[[#This Row],[Ramo]],RAMI_POLIZZA,2,FALSE),0)</f>
        <v>40.559999999999995</v>
      </c>
      <c r="AH106" s="65" t="s">
        <v>113</v>
      </c>
      <c r="AI106" s="63" t="str">
        <f>IFERROR(VLOOKUP(Table2[[#This Row],[Contraente]],Table1[[Nome/Ragione sociale]:[Checkbox selezionato]],2,FALSE),"-")</f>
        <v>STRADELLA</v>
      </c>
      <c r="AJ106" s="63">
        <f>IFERROR(VLOOKUP(Table2[[#This Row],[Contraente]],Table1[[Nome/Ragione sociale]:[Checkbox selezionato]],3,FALSE),"-")</f>
        <v>3338580808</v>
      </c>
      <c r="AK106" s="63">
        <f>IFERROR(VLOOKUP(Table2[[#This Row],[Contraente]],Table1[[Nome/Ragione sociale]:[Checkbox selezionato]],4,FALSE),"-")</f>
        <v>0</v>
      </c>
      <c r="AL106" s="63" t="str">
        <f>IFERROR(VLOOKUP(Table2[[#This Row],[Contraente]],Table1[[Nome/Ragione sociale]:[Checkbox selezionato]],5,FALSE),"-")</f>
        <v>RICCARDO</v>
      </c>
      <c r="AM106" s="62">
        <f>IFERROR(VLOOKUP(Table2[[#This Row],[Contraente]],Table1[[Nome/Ragione sociale]:[Checkbox selezionato]],6,FALSE),"-")</f>
        <v>33481</v>
      </c>
      <c r="AN106" s="63" t="str">
        <f>IFERROR(VLOOKUP(Table2[[#This Row],[Contraente]],Table1[[Nome/Ragione sociale]:[Checkbox selezionato]],7,FALSE),"-")</f>
        <v>papies@email.it</v>
      </c>
      <c r="AO106" s="63">
        <f>IFERROR(VLOOKUP(Table2[[#This Row],[Contraente]],Table1[[Nome/Ragione sociale]:[Checkbox selezionato]],8,FALSE),"-")</f>
        <v>0</v>
      </c>
      <c r="AP106" s="63">
        <f>IFERROR(VLOOKUP(Table2[[#This Row],[Contraente]],Table1[[Nome/Ragione sociale]:[Checkbox selezionato]],10,FALSE),"-")</f>
        <v>3338580808</v>
      </c>
      <c r="AQ106" s="63" t="str">
        <f>IFERROR(VLOOKUP(Table2[[#This Row],[Contraente]],Table1[[Nome/Ragione sociale]:[Checkbox selezionato]],11,FALSE),"-")</f>
        <v>SI</v>
      </c>
      <c r="AR106" s="63" t="str">
        <f>IFERROR(VLOOKUP(Table2[[#This Row],[Contraente]],Table1[[Nome/Ragione sociale]:[Checkbox selezionato]],12,FALSE),"-")</f>
        <v>SI</v>
      </c>
    </row>
    <row r="107" spans="1:44" ht="30" hidden="1" customHeight="1" x14ac:dyDescent="0.25">
      <c r="A107" s="60" t="str">
        <f>UPPER(LEFT(Table2[[#This Row],[Contraente]],1))</f>
        <v>B</v>
      </c>
      <c r="B107" s="60" t="s">
        <v>1634</v>
      </c>
      <c r="C107" s="80" t="s">
        <v>314</v>
      </c>
      <c r="D107" s="80" t="s">
        <v>37</v>
      </c>
      <c r="E107" s="85">
        <v>102895133</v>
      </c>
      <c r="F107" s="64">
        <v>42114</v>
      </c>
      <c r="G107" s="64">
        <f>IFERROR(CALCOLASCADENZA(Table2[[#This Row],[Data attivazione]],Table2[[#This Row],[Rateizzazione]],Table2[[#This Row],[Data ultimo pagamento]],Table2[[#This Row],[Data prossima scadenza manuale]]),"-")</f>
        <v>693778</v>
      </c>
      <c r="H107" s="67" t="s">
        <v>31</v>
      </c>
      <c r="I107" s="67" t="s">
        <v>1173</v>
      </c>
      <c r="J107" s="33">
        <f>IFERROR(Table2[[#This Row],[Importo annuale]]/(12/VLOOKUP(Table2[[#This Row],[Rateizzazione]],TIPI_RATEIZZAZIONI,2,FALSE)),"-")</f>
        <v>190</v>
      </c>
      <c r="K107" s="88"/>
      <c r="L107" s="88">
        <v>380</v>
      </c>
      <c r="M107" s="67" t="s">
        <v>44</v>
      </c>
      <c r="N107" s="67" t="s">
        <v>51</v>
      </c>
      <c r="O107" s="27" t="s">
        <v>1631</v>
      </c>
      <c r="P107" s="33" t="s">
        <v>22</v>
      </c>
      <c r="Q107" s="60">
        <f>IFERROR(IF(12 / VLOOKUP(Table2[[#This Row],[Rateizzazione]],TIPI_RATEIZZAZIONI,2,FALSE) &gt;=1,  IF(Table2[[#This Row],[Data attivazione]] = "","-",MONTH(Table2[[#This Row],[Data attivazione]])),"-"),"-")</f>
        <v>12</v>
      </c>
      <c r="R1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" s="67" t="s">
        <v>133</v>
      </c>
      <c r="V107" s="62"/>
      <c r="W107" s="64">
        <v>693597</v>
      </c>
      <c r="X107" s="29">
        <f>DATE(YEAR(Table2[[#This Row],[Data attivazione]])+VLOOKUP(Table2[[#This Row],[Durata]],VALORE_DURATA,2,FALSE),MONTH(Table2[[#This Row],[Data attivazione]]),DAY(Table2[[#This Row],[Data attivazione]]))</f>
        <v>693962</v>
      </c>
      <c r="Y107" s="65"/>
      <c r="Z107" s="61"/>
      <c r="AA107" s="64" t="s">
        <v>88</v>
      </c>
      <c r="AB107" s="29" t="str">
        <f>IF(Table2[[#This Row],[Data ultimo versamento temp]]=0/1/1900,"-",Table2[[#This Row],[Data ultimo versamento temp]])</f>
        <v>-</v>
      </c>
      <c r="AC107" s="29">
        <f t="array" ref="AC107">MAX(IF(TableVersamenti[Polizza]=Table2[[#This Row],[Polizza]],TableVersamenti[Data prevista versamento],"-"))</f>
        <v>0</v>
      </c>
      <c r="AD107" s="62"/>
      <c r="AE107" s="106">
        <f>DATE(YEAR(Table2[[#This Row],[Data ultimo pagamento]]),MONTH(Table2[[#This Row],[Data ultimo pagamento]]), 1)</f>
        <v>42095</v>
      </c>
      <c r="AF107" s="106">
        <f>DATE(YEAR(Table2[[#This Row],[Data prossima scadenza]]),MONTH(Table2[[#This Row],[Data prossima scadenza]]), 1)</f>
        <v>693749</v>
      </c>
      <c r="AG107" s="33">
        <f>IFERROR(Table2[[#This Row],[Importo annuale]]*VLOOKUP(Table2[[#This Row],[Ramo]],RAMI_POLIZZA,2,FALSE),0)</f>
        <v>19.759999999999998</v>
      </c>
      <c r="AH107" s="65" t="s">
        <v>113</v>
      </c>
      <c r="AI107" s="63" t="str">
        <f>IFERROR(VLOOKUP(Table2[[#This Row],[Contraente]],Table1[[Nome/Ragione sociale]:[Checkbox selezionato]],2,FALSE),"-")</f>
        <v>STRADELLA</v>
      </c>
      <c r="AJ107" s="63">
        <f>IFERROR(VLOOKUP(Table2[[#This Row],[Contraente]],Table1[[Nome/Ragione sociale]:[Checkbox selezionato]],3,FALSE),"-")</f>
        <v>3395732665</v>
      </c>
      <c r="AK107" s="63">
        <f>IFERROR(VLOOKUP(Table2[[#This Row],[Contraente]],Table1[[Nome/Ragione sociale]:[Checkbox selezionato]],4,FALSE),"-")</f>
        <v>0</v>
      </c>
      <c r="AL107" s="63" t="str">
        <f>IFERROR(VLOOKUP(Table2[[#This Row],[Contraente]],Table1[[Nome/Ragione sociale]:[Checkbox selezionato]],5,FALSE),"-")</f>
        <v>MASSIMILIANO</v>
      </c>
      <c r="AM107" s="62">
        <f>IFERROR(VLOOKUP(Table2[[#This Row],[Contraente]],Table1[[Nome/Ragione sociale]:[Checkbox selezionato]],6,FALSE),"-")</f>
        <v>26628</v>
      </c>
      <c r="AN107" s="63" t="str">
        <f>IFERROR(VLOOKUP(Table2[[#This Row],[Contraente]],Table1[[Nome/Ragione sociale]:[Checkbox selezionato]],7,FALSE),"-")</f>
        <v>papies@libero.it</v>
      </c>
      <c r="AO107" s="63">
        <f>IFERROR(VLOOKUP(Table2[[#This Row],[Contraente]],Table1[[Nome/Ragione sociale]:[Checkbox selezionato]],8,FALSE),"-")</f>
        <v>0</v>
      </c>
      <c r="AP107" s="63">
        <f>IFERROR(VLOOKUP(Table2[[#This Row],[Contraente]],Table1[[Nome/Ragione sociale]:[Checkbox selezionato]],10,FALSE),"-")</f>
        <v>3395732665</v>
      </c>
      <c r="AQ107" s="63" t="str">
        <f>IFERROR(VLOOKUP(Table2[[#This Row],[Contraente]],Table1[[Nome/Ragione sociale]:[Checkbox selezionato]],11,FALSE),"-")</f>
        <v>SI</v>
      </c>
      <c r="AR107" s="63" t="str">
        <f>IFERROR(VLOOKUP(Table2[[#This Row],[Contraente]],Table1[[Nome/Ragione sociale]:[Checkbox selezionato]],12,FALSE),"-")</f>
        <v>SI</v>
      </c>
    </row>
    <row r="108" spans="1:44" ht="30" hidden="1" customHeight="1" x14ac:dyDescent="0.25">
      <c r="A108" s="60" t="str">
        <f>UPPER(LEFT(Table2[[#This Row],[Contraente]],1))</f>
        <v>B</v>
      </c>
      <c r="B108" s="60" t="s">
        <v>1634</v>
      </c>
      <c r="C108" s="80" t="s">
        <v>314</v>
      </c>
      <c r="D108" s="80" t="s">
        <v>37</v>
      </c>
      <c r="E108" s="85">
        <v>104568793</v>
      </c>
      <c r="F108" s="64">
        <v>42186</v>
      </c>
      <c r="G108" s="64">
        <f>IFERROR(CALCOLASCADENZA(Table2[[#This Row],[Data attivazione]],Table2[[#This Row],[Rateizzazione]],Table2[[#This Row],[Data ultimo pagamento]],Table2[[#This Row],[Data prossima scadenza manuale]]),"-")</f>
        <v>693778</v>
      </c>
      <c r="H108" s="67" t="s">
        <v>30</v>
      </c>
      <c r="I108" s="67" t="s">
        <v>113</v>
      </c>
      <c r="J108" s="33">
        <f>IFERROR(Table2[[#This Row],[Importo annuale]]/(12/VLOOKUP(Table2[[#This Row],[Rateizzazione]],TIPI_RATEIZZAZIONI,2,FALSE)),"-")</f>
        <v>150</v>
      </c>
      <c r="K108" s="88"/>
      <c r="L108" s="88">
        <v>300</v>
      </c>
      <c r="M108" s="67" t="s">
        <v>44</v>
      </c>
      <c r="N108" s="67" t="s">
        <v>52</v>
      </c>
      <c r="O108" s="27" t="s">
        <v>1631</v>
      </c>
      <c r="P108" s="33" t="s">
        <v>22</v>
      </c>
      <c r="Q108" s="60">
        <f>IFERROR(IF(12 / VLOOKUP(Table2[[#This Row],[Rateizzazione]],TIPI_RATEIZZAZIONI,2,FALSE) &gt;=1,  IF(Table2[[#This Row],[Data attivazione]] = "","-",MONTH(Table2[[#This Row],[Data attivazione]])),"-"),"-")</f>
        <v>12</v>
      </c>
      <c r="R1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" s="67" t="s">
        <v>133</v>
      </c>
      <c r="V108" s="62"/>
      <c r="W108" s="64">
        <v>693597</v>
      </c>
      <c r="X108" s="29">
        <f>DATE(YEAR(Table2[[#This Row],[Data attivazione]])+VLOOKUP(Table2[[#This Row],[Durata]],VALORE_DURATA,2,FALSE),MONTH(Table2[[#This Row],[Data attivazione]]),DAY(Table2[[#This Row],[Data attivazione]]))</f>
        <v>693962</v>
      </c>
      <c r="Y108" s="65"/>
      <c r="Z108" s="61"/>
      <c r="AA108" s="64" t="s">
        <v>88</v>
      </c>
      <c r="AB108" s="29" t="str">
        <f>IF(Table2[[#This Row],[Data ultimo versamento temp]]=0/1/1900,"-",Table2[[#This Row],[Data ultimo versamento temp]])</f>
        <v>-</v>
      </c>
      <c r="AC108" s="29">
        <f t="array" ref="AC108">MAX(IF(TableVersamenti[Polizza]=Table2[[#This Row],[Polizza]],TableVersamenti[Data prevista versamento],"-"))</f>
        <v>0</v>
      </c>
      <c r="AD108" s="62"/>
      <c r="AE108" s="106">
        <f>DATE(YEAR(Table2[[#This Row],[Data ultimo pagamento]]),MONTH(Table2[[#This Row],[Data ultimo pagamento]]), 1)</f>
        <v>42186</v>
      </c>
      <c r="AF108" s="106">
        <f>DATE(YEAR(Table2[[#This Row],[Data prossima scadenza]]),MONTH(Table2[[#This Row],[Data prossima scadenza]]), 1)</f>
        <v>693749</v>
      </c>
      <c r="AG108" s="33">
        <f>IFERROR(Table2[[#This Row],[Importo annuale]]*VLOOKUP(Table2[[#This Row],[Ramo]],RAMI_POLIZZA,2,FALSE),0)</f>
        <v>34.5</v>
      </c>
      <c r="AH108" s="65" t="s">
        <v>113</v>
      </c>
      <c r="AI108" s="63" t="str">
        <f>IFERROR(VLOOKUP(Table2[[#This Row],[Contraente]],Table1[[Nome/Ragione sociale]:[Checkbox selezionato]],2,FALSE),"-")</f>
        <v>STRADELLA</v>
      </c>
      <c r="AJ108" s="63">
        <f>IFERROR(VLOOKUP(Table2[[#This Row],[Contraente]],Table1[[Nome/Ragione sociale]:[Checkbox selezionato]],3,FALSE),"-")</f>
        <v>3395732665</v>
      </c>
      <c r="AK108" s="63">
        <f>IFERROR(VLOOKUP(Table2[[#This Row],[Contraente]],Table1[[Nome/Ragione sociale]:[Checkbox selezionato]],4,FALSE),"-")</f>
        <v>0</v>
      </c>
      <c r="AL108" s="63" t="str">
        <f>IFERROR(VLOOKUP(Table2[[#This Row],[Contraente]],Table1[[Nome/Ragione sociale]:[Checkbox selezionato]],5,FALSE),"-")</f>
        <v>MASSIMILIANO</v>
      </c>
      <c r="AM108" s="62">
        <f>IFERROR(VLOOKUP(Table2[[#This Row],[Contraente]],Table1[[Nome/Ragione sociale]:[Checkbox selezionato]],6,FALSE),"-")</f>
        <v>26628</v>
      </c>
      <c r="AN108" s="63" t="str">
        <f>IFERROR(VLOOKUP(Table2[[#This Row],[Contraente]],Table1[[Nome/Ragione sociale]:[Checkbox selezionato]],7,FALSE),"-")</f>
        <v>papies@libero.it</v>
      </c>
      <c r="AO108" s="63">
        <f>IFERROR(VLOOKUP(Table2[[#This Row],[Contraente]],Table1[[Nome/Ragione sociale]:[Checkbox selezionato]],8,FALSE),"-")</f>
        <v>0</v>
      </c>
      <c r="AP108" s="63">
        <f>IFERROR(VLOOKUP(Table2[[#This Row],[Contraente]],Table1[[Nome/Ragione sociale]:[Checkbox selezionato]],10,FALSE),"-")</f>
        <v>3395732665</v>
      </c>
      <c r="AQ108" s="63" t="str">
        <f>IFERROR(VLOOKUP(Table2[[#This Row],[Contraente]],Table1[[Nome/Ragione sociale]:[Checkbox selezionato]],11,FALSE),"-")</f>
        <v>SI</v>
      </c>
      <c r="AR108" s="63" t="str">
        <f>IFERROR(VLOOKUP(Table2[[#This Row],[Contraente]],Table1[[Nome/Ragione sociale]:[Checkbox selezionato]],12,FALSE),"-")</f>
        <v>SI</v>
      </c>
    </row>
    <row r="109" spans="1:44" ht="30" hidden="1" customHeight="1" x14ac:dyDescent="0.25">
      <c r="A109" s="60" t="str">
        <f>UPPER(LEFT(Table2[[#This Row],[Contraente]],1))</f>
        <v>B</v>
      </c>
      <c r="B109" s="60" t="s">
        <v>1634</v>
      </c>
      <c r="C109" s="80" t="s">
        <v>315</v>
      </c>
      <c r="D109" s="80" t="s">
        <v>37</v>
      </c>
      <c r="E109" s="85">
        <v>103409350</v>
      </c>
      <c r="F109" s="64">
        <v>42215</v>
      </c>
      <c r="G109" s="64">
        <f>IFERROR(CALCOLASCADENZA(Table2[[#This Row],[Data attivazione]],Table2[[#This Row],[Rateizzazione]],Table2[[#This Row],[Data ultimo pagamento]],Table2[[#This Row],[Data prossima scadenza manuale]]),"-")</f>
        <v>693717</v>
      </c>
      <c r="H109" s="67" t="s">
        <v>31</v>
      </c>
      <c r="I109" s="67" t="s">
        <v>1174</v>
      </c>
      <c r="J109" s="33">
        <f>IFERROR(Table2[[#This Row],[Importo annuale]]/(12/VLOOKUP(Table2[[#This Row],[Rateizzazione]],TIPI_RATEIZZAZIONI,2,FALSE)),"-")</f>
        <v>216</v>
      </c>
      <c r="K109" s="88"/>
      <c r="L109" s="88">
        <v>648</v>
      </c>
      <c r="M109" s="67" t="s">
        <v>43</v>
      </c>
      <c r="N109" s="67" t="s">
        <v>51</v>
      </c>
      <c r="O109" s="27" t="s">
        <v>1631</v>
      </c>
      <c r="P109" s="33" t="s">
        <v>21</v>
      </c>
      <c r="Q109" s="60">
        <f>IFERROR(IF(12 / VLOOKUP(Table2[[#This Row],[Rateizzazione]],TIPI_RATEIZZAZIONI,2,FALSE) &gt;=1,  IF(Table2[[#This Row],[Data attivazione]] = "","-",MONTH(Table2[[#This Row],[Data attivazione]])),"-"),"-")</f>
        <v>12</v>
      </c>
      <c r="R1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1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" s="67" t="s">
        <v>2</v>
      </c>
      <c r="V109" s="62"/>
      <c r="W109" s="64">
        <v>693597</v>
      </c>
      <c r="X109" s="29">
        <f>DATE(YEAR(Table2[[#This Row],[Data attivazione]])+VLOOKUP(Table2[[#This Row],[Durata]],VALORE_DURATA,2,FALSE),MONTH(Table2[[#This Row],[Data attivazione]]),DAY(Table2[[#This Row],[Data attivazione]]))</f>
        <v>693962</v>
      </c>
      <c r="Y109" s="65"/>
      <c r="Z109" s="61"/>
      <c r="AA109" s="64" t="s">
        <v>88</v>
      </c>
      <c r="AB109" s="29" t="str">
        <f>IF(Table2[[#This Row],[Data ultimo versamento temp]]=0/1/1900,"-",Table2[[#This Row],[Data ultimo versamento temp]])</f>
        <v>-</v>
      </c>
      <c r="AC109" s="29">
        <f t="array" ref="AC109">MAX(IF(TableVersamenti[Polizza]=Table2[[#This Row],[Polizza]],TableVersamenti[Data prevista versamento],"-"))</f>
        <v>0</v>
      </c>
      <c r="AD109" s="62"/>
      <c r="AE109" s="106">
        <f>DATE(YEAR(Table2[[#This Row],[Data ultimo pagamento]]),MONTH(Table2[[#This Row],[Data ultimo pagamento]]), 1)</f>
        <v>42186</v>
      </c>
      <c r="AF109" s="106">
        <f>DATE(YEAR(Table2[[#This Row],[Data prossima scadenza]]),MONTH(Table2[[#This Row],[Data prossima scadenza]]), 1)</f>
        <v>693688</v>
      </c>
      <c r="AG109" s="33">
        <f>IFERROR(Table2[[#This Row],[Importo annuale]]*VLOOKUP(Table2[[#This Row],[Ramo]],RAMI_POLIZZA,2,FALSE),0)</f>
        <v>33.695999999999998</v>
      </c>
      <c r="AH109" s="65" t="s">
        <v>113</v>
      </c>
      <c r="AI109" s="63" t="str">
        <f>IFERROR(VLOOKUP(Table2[[#This Row],[Contraente]],Table1[[Nome/Ragione sociale]:[Checkbox selezionato]],2,FALSE),"-")</f>
        <v>SAN ZENONE AL PO</v>
      </c>
      <c r="AJ109" s="63">
        <f>IFERROR(VLOOKUP(Table2[[#This Row],[Contraente]],Table1[[Nome/Ragione sociale]:[Checkbox selezionato]],3,FALSE),"-")</f>
        <v>3477380494</v>
      </c>
      <c r="AK109" s="63">
        <f>IFERROR(VLOOKUP(Table2[[#This Row],[Contraente]],Table1[[Nome/Ragione sociale]:[Checkbox selezionato]],4,FALSE),"-")</f>
        <v>0</v>
      </c>
      <c r="AL109" s="63" t="str">
        <f>IFERROR(VLOOKUP(Table2[[#This Row],[Contraente]],Table1[[Nome/Ragione sociale]:[Checkbox selezionato]],5,FALSE),"-")</f>
        <v>LAAROUSSI</v>
      </c>
      <c r="AM109" s="62">
        <f>IFERROR(VLOOKUP(Table2[[#This Row],[Contraente]],Table1[[Nome/Ragione sociale]:[Checkbox selezionato]],6,FALSE),"-")</f>
        <v>23852</v>
      </c>
      <c r="AN109" s="63" t="str">
        <f>IFERROR(VLOOKUP(Table2[[#This Row],[Contraente]],Table1[[Nome/Ragione sociale]:[Checkbox selezionato]],7,FALSE),"-")</f>
        <v>papies@libero.it</v>
      </c>
      <c r="AO109" s="63">
        <f>IFERROR(VLOOKUP(Table2[[#This Row],[Contraente]],Table1[[Nome/Ragione sociale]:[Checkbox selezionato]],8,FALSE),"-")</f>
        <v>0</v>
      </c>
      <c r="AP109" s="63">
        <f>IFERROR(VLOOKUP(Table2[[#This Row],[Contraente]],Table1[[Nome/Ragione sociale]:[Checkbox selezionato]],10,FALSE),"-")</f>
        <v>3477380494</v>
      </c>
      <c r="AQ109" s="63" t="str">
        <f>IFERROR(VLOOKUP(Table2[[#This Row],[Contraente]],Table1[[Nome/Ragione sociale]:[Checkbox selezionato]],11,FALSE),"-")</f>
        <v>SI</v>
      </c>
      <c r="AR109" s="63" t="str">
        <f>IFERROR(VLOOKUP(Table2[[#This Row],[Contraente]],Table1[[Nome/Ragione sociale]:[Checkbox selezionato]],12,FALSE),"-")</f>
        <v>SI</v>
      </c>
    </row>
    <row r="110" spans="1:44" ht="30" hidden="1" customHeight="1" x14ac:dyDescent="0.25">
      <c r="A110" s="60" t="str">
        <f>UPPER(LEFT(Table2[[#This Row],[Contraente]],1))</f>
        <v>B</v>
      </c>
      <c r="B110" s="60" t="s">
        <v>1634</v>
      </c>
      <c r="C110" s="80" t="s">
        <v>331</v>
      </c>
      <c r="D110" s="80" t="s">
        <v>37</v>
      </c>
      <c r="E110" s="85">
        <v>105948117</v>
      </c>
      <c r="F110" s="64">
        <v>42594</v>
      </c>
      <c r="G110" s="64">
        <f>IFERROR(CALCOLASCADENZA(Table2[[#This Row],[Data attivazione]],Table2[[#This Row],[Rateizzazione]],Table2[[#This Row],[Data ultimo pagamento]],Table2[[#This Row],[Data prossima scadenza manuale]]),"-")</f>
        <v>42959</v>
      </c>
      <c r="H110" s="67" t="s">
        <v>31</v>
      </c>
      <c r="I110" s="67" t="s">
        <v>1182</v>
      </c>
      <c r="J110" s="33">
        <f>IFERROR(Table2[[#This Row],[Importo annuale]]/(12/VLOOKUP(Table2[[#This Row],[Rateizzazione]],TIPI_RATEIZZAZIONI,2,FALSE)),"-")</f>
        <v>80.5</v>
      </c>
      <c r="K110" s="88"/>
      <c r="L110" s="88">
        <v>80.5</v>
      </c>
      <c r="M110" s="67" t="s">
        <v>43</v>
      </c>
      <c r="N110" s="67" t="s">
        <v>52</v>
      </c>
      <c r="O110" s="27" t="s">
        <v>1631</v>
      </c>
      <c r="P110" s="33" t="s">
        <v>23</v>
      </c>
      <c r="Q110" s="60">
        <f>IFERROR(IF(12 / VLOOKUP(Table2[[#This Row],[Rateizzazione]],TIPI_RATEIZZAZIONI,2,FALSE) &gt;=1,  IF(Table2[[#This Row],[Data attivazione]] = "","-",MONTH(Table2[[#This Row],[Data attivazione]])),"-"),"-")</f>
        <v>8</v>
      </c>
      <c r="R1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" s="67" t="s">
        <v>2</v>
      </c>
      <c r="V110" s="62"/>
      <c r="W110" s="64">
        <v>42594</v>
      </c>
      <c r="X110" s="29">
        <f>DATE(YEAR(Table2[[#This Row],[Data attivazione]])+VLOOKUP(Table2[[#This Row],[Durata]],VALORE_DURATA,2,FALSE),MONTH(Table2[[#This Row],[Data attivazione]]),DAY(Table2[[#This Row],[Data attivazione]]))</f>
        <v>42959</v>
      </c>
      <c r="Y110" s="65"/>
      <c r="Z110" s="61"/>
      <c r="AA110" s="64" t="s">
        <v>85</v>
      </c>
      <c r="AB110" s="29" t="str">
        <f>IF(Table2[[#This Row],[Data ultimo versamento temp]]=0/1/1900,"-",Table2[[#This Row],[Data ultimo versamento temp]])</f>
        <v>-</v>
      </c>
      <c r="AC110" s="29">
        <f t="array" ref="AC110">MAX(IF(TableVersamenti[Polizza]=Table2[[#This Row],[Polizza]],TableVersamenti[Data prevista versamento],"-"))</f>
        <v>0</v>
      </c>
      <c r="AD110" s="62"/>
      <c r="AE110" s="106">
        <f>DATE(YEAR(Table2[[#This Row],[Data ultimo pagamento]]),MONTH(Table2[[#This Row],[Data ultimo pagamento]]), 1)</f>
        <v>42583</v>
      </c>
      <c r="AF110" s="106">
        <f>DATE(YEAR(Table2[[#This Row],[Data prossima scadenza]]),MONTH(Table2[[#This Row],[Data prossima scadenza]]), 1)</f>
        <v>42948</v>
      </c>
      <c r="AG110" s="33">
        <f>IFERROR(Table2[[#This Row],[Importo annuale]]*VLOOKUP(Table2[[#This Row],[Ramo]],RAMI_POLIZZA,2,FALSE),0)</f>
        <v>4.1859999999999999</v>
      </c>
      <c r="AH110" s="65" t="s">
        <v>113</v>
      </c>
      <c r="AI110" s="63" t="str">
        <f>IFERROR(VLOOKUP(Table2[[#This Row],[Contraente]],Table1[[Nome/Ragione sociale]:[Checkbox selezionato]],2,FALSE),"-")</f>
        <v>PONTE NIZZA</v>
      </c>
      <c r="AJ110" s="63">
        <f>IFERROR(VLOOKUP(Table2[[#This Row],[Contraente]],Table1[[Nome/Ragione sociale]:[Checkbox selezionato]],3,FALSE),"-")</f>
        <v>3450482676</v>
      </c>
      <c r="AK110" s="63">
        <f>IFERROR(VLOOKUP(Table2[[#This Row],[Contraente]],Table1[[Nome/Ragione sociale]:[Checkbox selezionato]],4,FALSE),"-")</f>
        <v>0</v>
      </c>
      <c r="AL110" s="63" t="str">
        <f>IFERROR(VLOOKUP(Table2[[#This Row],[Contraente]],Table1[[Nome/Ragione sociale]:[Checkbox selezionato]],5,FALSE),"-")</f>
        <v>MARGHERITA</v>
      </c>
      <c r="AM110" s="62">
        <f>IFERROR(VLOOKUP(Table2[[#This Row],[Contraente]],Table1[[Nome/Ragione sociale]:[Checkbox selezionato]],6,FALSE),"-")</f>
        <v>29006</v>
      </c>
      <c r="AN110" s="63" t="str">
        <f>IFERROR(VLOOKUP(Table2[[#This Row],[Contraente]],Table1[[Nome/Ragione sociale]:[Checkbox selezionato]],7,FALSE),"-")</f>
        <v>papies@email.it</v>
      </c>
      <c r="AO110" s="63">
        <f>IFERROR(VLOOKUP(Table2[[#This Row],[Contraente]],Table1[[Nome/Ragione sociale]:[Checkbox selezionato]],8,FALSE),"-")</f>
        <v>0</v>
      </c>
      <c r="AP110" s="63">
        <f>IFERROR(VLOOKUP(Table2[[#This Row],[Contraente]],Table1[[Nome/Ragione sociale]:[Checkbox selezionato]],10,FALSE),"-")</f>
        <v>3450482676</v>
      </c>
      <c r="AQ110" s="63" t="str">
        <f>IFERROR(VLOOKUP(Table2[[#This Row],[Contraente]],Table1[[Nome/Ragione sociale]:[Checkbox selezionato]],11,FALSE),"-")</f>
        <v>SI</v>
      </c>
      <c r="AR110" s="63" t="str">
        <f>IFERROR(VLOOKUP(Table2[[#This Row],[Contraente]],Table1[[Nome/Ragione sociale]:[Checkbox selezionato]],12,FALSE),"-")</f>
        <v>SI</v>
      </c>
    </row>
    <row r="111" spans="1:44" ht="30" hidden="1" customHeight="1" x14ac:dyDescent="0.25">
      <c r="A111" s="60" t="str">
        <f>UPPER(LEFT(Table2[[#This Row],[Contraente]],1))</f>
        <v>B</v>
      </c>
      <c r="B111" s="60" t="s">
        <v>1634</v>
      </c>
      <c r="C111" s="80" t="s">
        <v>322</v>
      </c>
      <c r="D111" s="80" t="s">
        <v>37</v>
      </c>
      <c r="E111" s="85">
        <v>104679764</v>
      </c>
      <c r="F111" s="64">
        <v>42923</v>
      </c>
      <c r="G111" s="64">
        <f>IFERROR(CALCOLASCADENZA(Table2[[#This Row],[Data attivazione]],Table2[[#This Row],[Rateizzazione]],Table2[[#This Row],[Data ultimo pagamento]],Table2[[#This Row],[Data prossima scadenza manuale]]),"-")</f>
        <v>43304</v>
      </c>
      <c r="H111" s="67" t="s">
        <v>30</v>
      </c>
      <c r="I111" s="67" t="s">
        <v>113</v>
      </c>
      <c r="J111" s="33">
        <f>IFERROR(Table2[[#This Row],[Importo annuale]]/(12/VLOOKUP(Table2[[#This Row],[Rateizzazione]],TIPI_RATEIZZAZIONI,2,FALSE)),"-")</f>
        <v>197</v>
      </c>
      <c r="K111" s="88">
        <v>197</v>
      </c>
      <c r="L111" s="88">
        <v>197</v>
      </c>
      <c r="M111" s="67" t="s">
        <v>44</v>
      </c>
      <c r="N111" s="67" t="s">
        <v>51</v>
      </c>
      <c r="O111" s="27" t="s">
        <v>1631</v>
      </c>
      <c r="P111" s="33" t="s">
        <v>23</v>
      </c>
      <c r="Q111" s="60">
        <f>IFERROR(IF(12 / VLOOKUP(Table2[[#This Row],[Rateizzazione]],TIPI_RATEIZZAZIONI,2,FALSE) &gt;=1,  IF(Table2[[#This Row],[Data attivazione]] = "","-",MONTH(Table2[[#This Row],[Data attivazione]])),"-"),"-")</f>
        <v>7</v>
      </c>
      <c r="R1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" s="67" t="s">
        <v>2</v>
      </c>
      <c r="V111" s="62"/>
      <c r="W111" s="64">
        <v>42939</v>
      </c>
      <c r="X111" s="29">
        <f>DATE(YEAR(Table2[[#This Row],[Data attivazione]])+VLOOKUP(Table2[[#This Row],[Durata]],VALORE_DURATA,2,FALSE),MONTH(Table2[[#This Row],[Data attivazione]]),DAY(Table2[[#This Row],[Data attivazione]]))</f>
        <v>43304</v>
      </c>
      <c r="Y111" s="65"/>
      <c r="Z111" s="61"/>
      <c r="AA111" s="64" t="s">
        <v>85</v>
      </c>
      <c r="AB111" s="29">
        <f>IF(Table2[[#This Row],[Data ultimo versamento temp]]=0/1/1900,"-",Table2[[#This Row],[Data ultimo versamento temp]])</f>
        <v>42926</v>
      </c>
      <c r="AC111" s="29">
        <f t="array" ref="AC111">MAX(IF(TableVersamenti[Polizza]=Table2[[#This Row],[Polizza]],TableVersamenti[Data prevista versamento],"-"))</f>
        <v>42926</v>
      </c>
      <c r="AD111" s="62"/>
      <c r="AE111" s="106">
        <f>DATE(YEAR(Table2[[#This Row],[Data ultimo pagamento]]),MONTH(Table2[[#This Row],[Data ultimo pagamento]]), 1)</f>
        <v>42917</v>
      </c>
      <c r="AF111" s="106">
        <f>DATE(YEAR(Table2[[#This Row],[Data prossima scadenza]]),MONTH(Table2[[#This Row],[Data prossima scadenza]]), 1)</f>
        <v>43282</v>
      </c>
      <c r="AG111" s="33">
        <f>IFERROR(Table2[[#This Row],[Importo annuale]]*VLOOKUP(Table2[[#This Row],[Ramo]],RAMI_POLIZZA,2,FALSE),0)</f>
        <v>22.655000000000001</v>
      </c>
      <c r="AH111" s="65" t="s">
        <v>113</v>
      </c>
      <c r="AI111" s="63" t="str">
        <f>IFERROR(VLOOKUP(Table2[[#This Row],[Contraente]],Table1[[Nome/Ragione sociale]:[Checkbox selezionato]],2,FALSE),"-")</f>
        <v>VILLANTERIO</v>
      </c>
      <c r="AJ111" s="63">
        <f>IFERROR(VLOOKUP(Table2[[#This Row],[Contraente]],Table1[[Nome/Ragione sociale]:[Checkbox selezionato]],3,FALSE),"-")</f>
        <v>3389157320</v>
      </c>
      <c r="AK111" s="63" t="str">
        <f>IFERROR(VLOOKUP(Table2[[#This Row],[Contraente]],Table1[[Nome/Ragione sociale]:[Checkbox selezionato]],4,FALSE),"-")</f>
        <v>.0382571988</v>
      </c>
      <c r="AL111" s="63" t="str">
        <f>IFERROR(VLOOKUP(Table2[[#This Row],[Contraente]],Table1[[Nome/Ragione sociale]:[Checkbox selezionato]],5,FALSE),"-")</f>
        <v>ROSELLA</v>
      </c>
      <c r="AM111" s="62">
        <f>IFERROR(VLOOKUP(Table2[[#This Row],[Contraente]],Table1[[Nome/Ragione sociale]:[Checkbox selezionato]],6,FALSE),"-")</f>
        <v>13638</v>
      </c>
      <c r="AN111" s="63" t="str">
        <f>IFERROR(VLOOKUP(Table2[[#This Row],[Contraente]],Table1[[Nome/Ragione sociale]:[Checkbox selezionato]],7,FALSE),"-")</f>
        <v>papies@libero.it</v>
      </c>
      <c r="AO111" s="63">
        <f>IFERROR(VLOOKUP(Table2[[#This Row],[Contraente]],Table1[[Nome/Ragione sociale]:[Checkbox selezionato]],8,FALSE),"-")</f>
        <v>0</v>
      </c>
      <c r="AP111" s="63">
        <f>IFERROR(VLOOKUP(Table2[[#This Row],[Contraente]],Table1[[Nome/Ragione sociale]:[Checkbox selezionato]],10,FALSE),"-")</f>
        <v>3389157320</v>
      </c>
      <c r="AQ111" s="63" t="str">
        <f>IFERROR(VLOOKUP(Table2[[#This Row],[Contraente]],Table1[[Nome/Ragione sociale]:[Checkbox selezionato]],11,FALSE),"-")</f>
        <v>SI</v>
      </c>
      <c r="AR111" s="63" t="str">
        <f>IFERROR(VLOOKUP(Table2[[#This Row],[Contraente]],Table1[[Nome/Ragione sociale]:[Checkbox selezionato]],12,FALSE),"-")</f>
        <v>SI</v>
      </c>
    </row>
    <row r="112" spans="1:44" ht="30" hidden="1" customHeight="1" x14ac:dyDescent="0.25">
      <c r="A112" s="60" t="str">
        <f>UPPER(LEFT(Table2[[#This Row],[Contraente]],1))</f>
        <v>B</v>
      </c>
      <c r="B112" s="60" t="s">
        <v>1634</v>
      </c>
      <c r="C112" s="80" t="s">
        <v>322</v>
      </c>
      <c r="D112" s="80" t="s">
        <v>37</v>
      </c>
      <c r="E112" s="85">
        <v>107064419</v>
      </c>
      <c r="F112" s="64">
        <v>42923</v>
      </c>
      <c r="G112" s="64">
        <f>IFERROR(CALCOLASCADENZA(Table2[[#This Row],[Data attivazione]],Table2[[#This Row],[Rateizzazione]],Table2[[#This Row],[Data ultimo pagamento]],Table2[[#This Row],[Data prossima scadenza manuale]]),"-")</f>
        <v>43305</v>
      </c>
      <c r="H112" s="67" t="s">
        <v>31</v>
      </c>
      <c r="I112" s="67" t="s">
        <v>1177</v>
      </c>
      <c r="J112" s="33">
        <v>305</v>
      </c>
      <c r="K112" s="88">
        <v>305</v>
      </c>
      <c r="L112" s="88">
        <v>305</v>
      </c>
      <c r="M112" s="67" t="s">
        <v>44</v>
      </c>
      <c r="N112" s="67" t="s">
        <v>51</v>
      </c>
      <c r="O112" s="27" t="s">
        <v>1631</v>
      </c>
      <c r="P112" s="33" t="s">
        <v>23</v>
      </c>
      <c r="Q112" s="60">
        <f>IFERROR(IF(12 / VLOOKUP(Table2[[#This Row],[Rateizzazione]],TIPI_RATEIZZAZIONI,2,FALSE) &gt;=1,  IF(Table2[[#This Row],[Data attivazione]] = "","-",MONTH(Table2[[#This Row],[Data attivazione]])),"-"),"-")</f>
        <v>7</v>
      </c>
      <c r="R1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" s="67" t="s">
        <v>2</v>
      </c>
      <c r="V112" s="62"/>
      <c r="W112" s="64">
        <v>42940</v>
      </c>
      <c r="X112" s="29">
        <f>DATE(YEAR(Table2[[#This Row],[Data attivazione]])+VLOOKUP(Table2[[#This Row],[Durata]],VALORE_DURATA,2,FALSE),MONTH(Table2[[#This Row],[Data attivazione]]),DAY(Table2[[#This Row],[Data attivazione]]))</f>
        <v>43305</v>
      </c>
      <c r="Y112" s="65"/>
      <c r="Z112" s="61"/>
      <c r="AA112" s="64" t="s">
        <v>85</v>
      </c>
      <c r="AB112" s="29" t="str">
        <f>IF(Table2[[#This Row],[Data ultimo versamento temp]]=0/1/1900,"-",Table2[[#This Row],[Data ultimo versamento temp]])</f>
        <v>-</v>
      </c>
      <c r="AC112" s="29">
        <f t="array" ref="AC112">MAX(IF(TableVersamenti[Polizza]=Table2[[#This Row],[Polizza]],TableVersamenti[Data prevista versamento],"-"))</f>
        <v>0</v>
      </c>
      <c r="AD112" s="62"/>
      <c r="AE112" s="106">
        <f>DATE(YEAR(Table2[[#This Row],[Data ultimo pagamento]]),MONTH(Table2[[#This Row],[Data ultimo pagamento]]), 1)</f>
        <v>42917</v>
      </c>
      <c r="AF112" s="106">
        <f>DATE(YEAR(Table2[[#This Row],[Data prossima scadenza]]),MONTH(Table2[[#This Row],[Data prossima scadenza]]), 1)</f>
        <v>43282</v>
      </c>
      <c r="AG112" s="33">
        <f>IFERROR(Table2[[#This Row],[Importo annuale]]*VLOOKUP(Table2[[#This Row],[Ramo]],RAMI_POLIZZA,2,FALSE),0)</f>
        <v>15.86</v>
      </c>
      <c r="AH112" s="65" t="s">
        <v>113</v>
      </c>
      <c r="AI112" s="63" t="str">
        <f>IFERROR(VLOOKUP(Table2[[#This Row],[Contraente]],Table1[[Nome/Ragione sociale]:[Checkbox selezionato]],2,FALSE),"-")</f>
        <v>VILLANTERIO</v>
      </c>
      <c r="AJ112" s="63">
        <f>IFERROR(VLOOKUP(Table2[[#This Row],[Contraente]],Table1[[Nome/Ragione sociale]:[Checkbox selezionato]],3,FALSE),"-")</f>
        <v>3389157320</v>
      </c>
      <c r="AK112" s="63" t="str">
        <f>IFERROR(VLOOKUP(Table2[[#This Row],[Contraente]],Table1[[Nome/Ragione sociale]:[Checkbox selezionato]],4,FALSE),"-")</f>
        <v>.0382571988</v>
      </c>
      <c r="AL112" s="63" t="str">
        <f>IFERROR(VLOOKUP(Table2[[#This Row],[Contraente]],Table1[[Nome/Ragione sociale]:[Checkbox selezionato]],5,FALSE),"-")</f>
        <v>ROSELLA</v>
      </c>
      <c r="AM112" s="62">
        <f>IFERROR(VLOOKUP(Table2[[#This Row],[Contraente]],Table1[[Nome/Ragione sociale]:[Checkbox selezionato]],6,FALSE),"-")</f>
        <v>13638</v>
      </c>
      <c r="AN112" s="63" t="str">
        <f>IFERROR(VLOOKUP(Table2[[#This Row],[Contraente]],Table1[[Nome/Ragione sociale]:[Checkbox selezionato]],7,FALSE),"-")</f>
        <v>papies@libero.it</v>
      </c>
      <c r="AO112" s="63">
        <f>IFERROR(VLOOKUP(Table2[[#This Row],[Contraente]],Table1[[Nome/Ragione sociale]:[Checkbox selezionato]],8,FALSE),"-")</f>
        <v>0</v>
      </c>
      <c r="AP112" s="63">
        <f>IFERROR(VLOOKUP(Table2[[#This Row],[Contraente]],Table1[[Nome/Ragione sociale]:[Checkbox selezionato]],10,FALSE),"-")</f>
        <v>3389157320</v>
      </c>
      <c r="AQ112" s="63" t="str">
        <f>IFERROR(VLOOKUP(Table2[[#This Row],[Contraente]],Table1[[Nome/Ragione sociale]:[Checkbox selezionato]],11,FALSE),"-")</f>
        <v>SI</v>
      </c>
      <c r="AR112" s="63" t="str">
        <f>IFERROR(VLOOKUP(Table2[[#This Row],[Contraente]],Table1[[Nome/Ragione sociale]:[Checkbox selezionato]],12,FALSE),"-")</f>
        <v>SI</v>
      </c>
    </row>
    <row r="113" spans="1:44" ht="30" hidden="1" customHeight="1" x14ac:dyDescent="0.25">
      <c r="A113" s="60" t="str">
        <f>UPPER(LEFT(Table2[[#This Row],[Contraente]],1))</f>
        <v>B</v>
      </c>
      <c r="B113" s="60" t="s">
        <v>1634</v>
      </c>
      <c r="C113" s="80" t="s">
        <v>325</v>
      </c>
      <c r="D113" s="80" t="s">
        <v>37</v>
      </c>
      <c r="E113" s="85">
        <v>107064492</v>
      </c>
      <c r="F113" s="64">
        <v>42923</v>
      </c>
      <c r="G113" s="64">
        <f>IFERROR(CALCOLASCADENZA(Table2[[#This Row],[Data attivazione]],Table2[[#This Row],[Rateizzazione]],Table2[[#This Row],[Data ultimo pagamento]],Table2[[#This Row],[Data prossima scadenza manuale]]),"-")</f>
        <v>43306</v>
      </c>
      <c r="H113" s="67" t="s">
        <v>31</v>
      </c>
      <c r="I113" s="67" t="s">
        <v>1178</v>
      </c>
      <c r="J113" s="33">
        <f>IFERROR(Table2[[#This Row],[Importo annuale]]/(12/VLOOKUP(Table2[[#This Row],[Rateizzazione]],TIPI_RATEIZZAZIONI,2,FALSE)),"-")</f>
        <v>1015</v>
      </c>
      <c r="K113" s="88">
        <v>1015</v>
      </c>
      <c r="L113" s="88">
        <v>1015</v>
      </c>
      <c r="M113" s="67" t="s">
        <v>44</v>
      </c>
      <c r="N113" s="67" t="s">
        <v>51</v>
      </c>
      <c r="O113" s="27" t="s">
        <v>1631</v>
      </c>
      <c r="P113" s="33" t="s">
        <v>23</v>
      </c>
      <c r="Q113" s="60">
        <f>IFERROR(IF(12 / VLOOKUP(Table2[[#This Row],[Rateizzazione]],TIPI_RATEIZZAZIONI,2,FALSE) &gt;=1,  IF(Table2[[#This Row],[Data attivazione]] = "","-",MONTH(Table2[[#This Row],[Data attivazione]])),"-"),"-")</f>
        <v>7</v>
      </c>
      <c r="R1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" s="67" t="s">
        <v>2</v>
      </c>
      <c r="V113" s="62"/>
      <c r="W113" s="64">
        <v>42941</v>
      </c>
      <c r="X113" s="29">
        <f>DATE(YEAR(Table2[[#This Row],[Data attivazione]])+VLOOKUP(Table2[[#This Row],[Durata]],VALORE_DURATA,2,FALSE),MONTH(Table2[[#This Row],[Data attivazione]]),DAY(Table2[[#This Row],[Data attivazione]]))</f>
        <v>43306</v>
      </c>
      <c r="Y113" s="65"/>
      <c r="Z113" s="61"/>
      <c r="AA113" s="64" t="s">
        <v>85</v>
      </c>
      <c r="AB113" s="29" t="str">
        <f>IF(Table2[[#This Row],[Data ultimo versamento temp]]=0/1/1900,"-",Table2[[#This Row],[Data ultimo versamento temp]])</f>
        <v>-</v>
      </c>
      <c r="AC113" s="29">
        <f t="array" ref="AC113">MAX(IF(TableVersamenti[Polizza]=Table2[[#This Row],[Polizza]],TableVersamenti[Data prevista versamento],"-"))</f>
        <v>0</v>
      </c>
      <c r="AD113" s="62"/>
      <c r="AE113" s="106">
        <f>DATE(YEAR(Table2[[#This Row],[Data ultimo pagamento]]),MONTH(Table2[[#This Row],[Data ultimo pagamento]]), 1)</f>
        <v>42917</v>
      </c>
      <c r="AF113" s="106">
        <f>DATE(YEAR(Table2[[#This Row],[Data prossima scadenza]]),MONTH(Table2[[#This Row],[Data prossima scadenza]]), 1)</f>
        <v>43282</v>
      </c>
      <c r="AG113" s="33">
        <f>IFERROR(Table2[[#This Row],[Importo annuale]]*VLOOKUP(Table2[[#This Row],[Ramo]],RAMI_POLIZZA,2,FALSE),0)</f>
        <v>52.779999999999994</v>
      </c>
      <c r="AH113" s="65" t="s">
        <v>113</v>
      </c>
      <c r="AI113" s="63" t="str">
        <f>IFERROR(VLOOKUP(Table2[[#This Row],[Contraente]],Table1[[Nome/Ragione sociale]:[Checkbox selezionato]],2,FALSE),"-")</f>
        <v>LINAROLO</v>
      </c>
      <c r="AJ113" s="63">
        <f>IFERROR(VLOOKUP(Table2[[#This Row],[Contraente]],Table1[[Nome/Ragione sociale]:[Checkbox selezionato]],3,FALSE),"-")</f>
        <v>3389157320</v>
      </c>
      <c r="AK113" s="63" t="str">
        <f>IFERROR(VLOOKUP(Table2[[#This Row],[Contraente]],Table1[[Nome/Ragione sociale]:[Checkbox selezionato]],4,FALSE),"-")</f>
        <v>.0382571988</v>
      </c>
      <c r="AL113" s="63" t="str">
        <f>IFERROR(VLOOKUP(Table2[[#This Row],[Contraente]],Table1[[Nome/Ragione sociale]:[Checkbox selezionato]],5,FALSE),"-")</f>
        <v>ROSELLA</v>
      </c>
      <c r="AM113" s="62">
        <f>IFERROR(VLOOKUP(Table2[[#This Row],[Contraente]],Table1[[Nome/Ragione sociale]:[Checkbox selezionato]],6,FALSE),"-")</f>
        <v>13638</v>
      </c>
      <c r="AN113" s="63" t="str">
        <f>IFERROR(VLOOKUP(Table2[[#This Row],[Contraente]],Table1[[Nome/Ragione sociale]:[Checkbox selezionato]],7,FALSE),"-")</f>
        <v>papies@libero.it</v>
      </c>
      <c r="AO113" s="63">
        <f>IFERROR(VLOOKUP(Table2[[#This Row],[Contraente]],Table1[[Nome/Ragione sociale]:[Checkbox selezionato]],8,FALSE),"-")</f>
        <v>0</v>
      </c>
      <c r="AP113" s="63">
        <f>IFERROR(VLOOKUP(Table2[[#This Row],[Contraente]],Table1[[Nome/Ragione sociale]:[Checkbox selezionato]],10,FALSE),"-")</f>
        <v>3389157320</v>
      </c>
      <c r="AQ113" s="63" t="str">
        <f>IFERROR(VLOOKUP(Table2[[#This Row],[Contraente]],Table1[[Nome/Ragione sociale]:[Checkbox selezionato]],11,FALSE),"-")</f>
        <v>SI</v>
      </c>
      <c r="AR113" s="63" t="str">
        <f>IFERROR(VLOOKUP(Table2[[#This Row],[Contraente]],Table1[[Nome/Ragione sociale]:[Checkbox selezionato]],12,FALSE),"-")</f>
        <v>SI</v>
      </c>
    </row>
    <row r="114" spans="1:44" ht="30" hidden="1" customHeight="1" x14ac:dyDescent="0.25">
      <c r="A114" s="60" t="str">
        <f>UPPER(LEFT(Table2[[#This Row],[Contraente]],1))</f>
        <v>B</v>
      </c>
      <c r="B114" s="60" t="s">
        <v>1634</v>
      </c>
      <c r="C114" s="80" t="s">
        <v>318</v>
      </c>
      <c r="D114" s="80" t="s">
        <v>37</v>
      </c>
      <c r="E114" s="85">
        <v>106230626</v>
      </c>
      <c r="F114" s="64">
        <v>42689</v>
      </c>
      <c r="G114" s="64">
        <f>IFERROR(CALCOLASCADENZA(Table2[[#This Row],[Data attivazione]],Table2[[#This Row],[Rateizzazione]],Table2[[#This Row],[Data ultimo pagamento]],Table2[[#This Row],[Data prossima scadenza manuale]]),"-")</f>
        <v>43055</v>
      </c>
      <c r="H114" s="67" t="s">
        <v>31</v>
      </c>
      <c r="I114" s="67" t="s">
        <v>1175</v>
      </c>
      <c r="J114" s="33">
        <f>IFERROR(Table2[[#This Row],[Importo annuale]]/(12/VLOOKUP(Table2[[#This Row],[Rateizzazione]],TIPI_RATEIZZAZIONI,2,FALSE)),"-")</f>
        <v>283</v>
      </c>
      <c r="K114" s="88"/>
      <c r="L114" s="88">
        <v>283</v>
      </c>
      <c r="M114" s="67" t="s">
        <v>43</v>
      </c>
      <c r="N114" s="67" t="s">
        <v>51</v>
      </c>
      <c r="O114" s="27" t="s">
        <v>1631</v>
      </c>
      <c r="P114" s="33" t="s">
        <v>23</v>
      </c>
      <c r="Q114" s="60">
        <f>IFERROR(IF(12 / VLOOKUP(Table2[[#This Row],[Rateizzazione]],TIPI_RATEIZZAZIONI,2,FALSE) &gt;=1,  IF(Table2[[#This Row],[Data attivazione]] = "","-",MONTH(Table2[[#This Row],[Data attivazione]])),"-"),"-")</f>
        <v>11</v>
      </c>
      <c r="R1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" s="67" t="s">
        <v>2</v>
      </c>
      <c r="V114" s="62"/>
      <c r="W114" s="64">
        <v>42690</v>
      </c>
      <c r="X114" s="29">
        <f>DATE(YEAR(Table2[[#This Row],[Data attivazione]])+VLOOKUP(Table2[[#This Row],[Durata]],VALORE_DURATA,2,FALSE),MONTH(Table2[[#This Row],[Data attivazione]]),DAY(Table2[[#This Row],[Data attivazione]]))</f>
        <v>43055</v>
      </c>
      <c r="Y114" s="65"/>
      <c r="Z114" s="61"/>
      <c r="AA114" s="64" t="s">
        <v>85</v>
      </c>
      <c r="AB114" s="29" t="str">
        <f>IF(Table2[[#This Row],[Data ultimo versamento temp]]=0/1/1900,"-",Table2[[#This Row],[Data ultimo versamento temp]])</f>
        <v>-</v>
      </c>
      <c r="AC114" s="29">
        <f t="array" ref="AC114">MAX(IF(TableVersamenti[Polizza]=Table2[[#This Row],[Polizza]],TableVersamenti[Data prevista versamento],"-"))</f>
        <v>0</v>
      </c>
      <c r="AD114" s="62"/>
      <c r="AE114" s="106">
        <f>DATE(YEAR(Table2[[#This Row],[Data ultimo pagamento]]),MONTH(Table2[[#This Row],[Data ultimo pagamento]]), 1)</f>
        <v>42675</v>
      </c>
      <c r="AF114" s="106">
        <f>DATE(YEAR(Table2[[#This Row],[Data prossima scadenza]]),MONTH(Table2[[#This Row],[Data prossima scadenza]]), 1)</f>
        <v>43040</v>
      </c>
      <c r="AG114" s="33">
        <f>IFERROR(Table2[[#This Row],[Importo annuale]]*VLOOKUP(Table2[[#This Row],[Ramo]],RAMI_POLIZZA,2,FALSE),0)</f>
        <v>14.715999999999999</v>
      </c>
      <c r="AH114" s="65" t="s">
        <v>113</v>
      </c>
      <c r="AI114" s="63" t="str">
        <f>IFERROR(VLOOKUP(Table2[[#This Row],[Contraente]],Table1[[Nome/Ragione sociale]:[Checkbox selezionato]],2,FALSE),"-")</f>
        <v xml:space="preserve">GENZONE </v>
      </c>
      <c r="AJ114" s="63">
        <f>IFERROR(VLOOKUP(Table2[[#This Row],[Contraente]],Table1[[Nome/Ragione sociale]:[Checkbox selezionato]],3,FALSE),"-")</f>
        <v>0</v>
      </c>
      <c r="AK114" s="63" t="str">
        <f>IFERROR(VLOOKUP(Table2[[#This Row],[Contraente]],Table1[[Nome/Ragione sociale]:[Checkbox selezionato]],4,FALSE),"-")</f>
        <v>.0382973926</v>
      </c>
      <c r="AL114" s="63" t="str">
        <f>IFERROR(VLOOKUP(Table2[[#This Row],[Contraente]],Table1[[Nome/Ragione sociale]:[Checkbox selezionato]],5,FALSE),"-")</f>
        <v>LUIGI</v>
      </c>
      <c r="AM114" s="62">
        <f>IFERROR(VLOOKUP(Table2[[#This Row],[Contraente]],Table1[[Nome/Ragione sociale]:[Checkbox selezionato]],6,FALSE),"-")</f>
        <v>14343</v>
      </c>
      <c r="AN114" s="63" t="str">
        <f>IFERROR(VLOOKUP(Table2[[#This Row],[Contraente]],Table1[[Nome/Ragione sociale]:[Checkbox selezionato]],7,FALSE),"-")</f>
        <v>papies@email.it</v>
      </c>
      <c r="AO114" s="63">
        <f>IFERROR(VLOOKUP(Table2[[#This Row],[Contraente]],Table1[[Nome/Ragione sociale]:[Checkbox selezionato]],8,FALSE),"-")</f>
        <v>0</v>
      </c>
      <c r="AP114" s="63">
        <f>IFERROR(VLOOKUP(Table2[[#This Row],[Contraente]],Table1[[Nome/Ragione sociale]:[Checkbox selezionato]],10,FALSE),"-")</f>
        <v>0</v>
      </c>
      <c r="AQ114" s="63" t="str">
        <f>IFERROR(VLOOKUP(Table2[[#This Row],[Contraente]],Table1[[Nome/Ragione sociale]:[Checkbox selezionato]],11,FALSE),"-")</f>
        <v>SI</v>
      </c>
      <c r="AR114" s="63" t="str">
        <f>IFERROR(VLOOKUP(Table2[[#This Row],[Contraente]],Table1[[Nome/Ragione sociale]:[Checkbox selezionato]],12,FALSE),"-")</f>
        <v>SI</v>
      </c>
    </row>
    <row r="115" spans="1:44" ht="30" hidden="1" customHeight="1" x14ac:dyDescent="0.25">
      <c r="A115" s="60" t="str">
        <f>UPPER(LEFT(Table2[[#This Row],[Contraente]],1))</f>
        <v>B</v>
      </c>
      <c r="B115" s="60" t="s">
        <v>1634</v>
      </c>
      <c r="C115" s="80" t="s">
        <v>329</v>
      </c>
      <c r="D115" s="80" t="s">
        <v>37</v>
      </c>
      <c r="E115" s="85">
        <v>104873481</v>
      </c>
      <c r="F115" s="64">
        <v>42632</v>
      </c>
      <c r="G115" s="64">
        <f>IFERROR(CALCOLASCADENZA(Table2[[#This Row],[Data attivazione]],Table2[[#This Row],[Rateizzazione]],Table2[[#This Row],[Data ultimo pagamento]],Table2[[#This Row],[Data prossima scadenza manuale]]),"-")</f>
        <v>43008</v>
      </c>
      <c r="H115" s="67" t="s">
        <v>30</v>
      </c>
      <c r="I115" s="67" t="s">
        <v>113</v>
      </c>
      <c r="J115" s="33">
        <f>IFERROR(Table2[[#This Row],[Importo annuale]]/(12/VLOOKUP(Table2[[#This Row],[Rateizzazione]],TIPI_RATEIZZAZIONI,2,FALSE)),"-")</f>
        <v>93.8</v>
      </c>
      <c r="K115" s="88"/>
      <c r="L115" s="88">
        <v>93.8</v>
      </c>
      <c r="M115" s="67" t="s">
        <v>43</v>
      </c>
      <c r="N115" s="67" t="s">
        <v>51</v>
      </c>
      <c r="O115" s="27" t="s">
        <v>1631</v>
      </c>
      <c r="P115" s="33" t="s">
        <v>23</v>
      </c>
      <c r="Q115" s="60">
        <f>IFERROR(IF(12 / VLOOKUP(Table2[[#This Row],[Rateizzazione]],TIPI_RATEIZZAZIONI,2,FALSE) &gt;=1,  IF(Table2[[#This Row],[Data attivazione]] = "","-",MONTH(Table2[[#This Row],[Data attivazione]])),"-"),"-")</f>
        <v>9</v>
      </c>
      <c r="R1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5" s="67" t="s">
        <v>2</v>
      </c>
      <c r="V115" s="62"/>
      <c r="W115" s="64">
        <v>42643</v>
      </c>
      <c r="X115" s="29">
        <f>DATE(YEAR(Table2[[#This Row],[Data attivazione]])+VLOOKUP(Table2[[#This Row],[Durata]],VALORE_DURATA,2,FALSE),MONTH(Table2[[#This Row],[Data attivazione]]),DAY(Table2[[#This Row],[Data attivazione]]))</f>
        <v>43008</v>
      </c>
      <c r="Y115" s="65"/>
      <c r="Z115" s="61"/>
      <c r="AA115" s="64" t="s">
        <v>85</v>
      </c>
      <c r="AB115" s="29" t="str">
        <f>IF(Table2[[#This Row],[Data ultimo versamento temp]]=0/1/1900,"-",Table2[[#This Row],[Data ultimo versamento temp]])</f>
        <v>-</v>
      </c>
      <c r="AC115" s="29">
        <f t="array" ref="AC115">MAX(IF(TableVersamenti[Polizza]=Table2[[#This Row],[Polizza]],TableVersamenti[Data prevista versamento],"-"))</f>
        <v>0</v>
      </c>
      <c r="AD115" s="62"/>
      <c r="AE115" s="106">
        <f>DATE(YEAR(Table2[[#This Row],[Data ultimo pagamento]]),MONTH(Table2[[#This Row],[Data ultimo pagamento]]), 1)</f>
        <v>42614</v>
      </c>
      <c r="AF115" s="106">
        <f>DATE(YEAR(Table2[[#This Row],[Data prossima scadenza]]),MONTH(Table2[[#This Row],[Data prossima scadenza]]), 1)</f>
        <v>42979</v>
      </c>
      <c r="AG115" s="33">
        <f>IFERROR(Table2[[#This Row],[Importo annuale]]*VLOOKUP(Table2[[#This Row],[Ramo]],RAMI_POLIZZA,2,FALSE),0)</f>
        <v>10.787000000000001</v>
      </c>
      <c r="AH115" s="65" t="s">
        <v>113</v>
      </c>
      <c r="AI115" s="63" t="str">
        <f>IFERROR(VLOOKUP(Table2[[#This Row],[Contraente]],Table1[[Nome/Ragione sociale]:[Checkbox selezionato]],2,FALSE),"-")</f>
        <v>LINAROLO</v>
      </c>
      <c r="AJ115" s="63">
        <f>IFERROR(VLOOKUP(Table2[[#This Row],[Contraente]],Table1[[Nome/Ragione sociale]:[Checkbox selezionato]],3,FALSE),"-")</f>
        <v>3396481964</v>
      </c>
      <c r="AK115" s="63">
        <f>IFERROR(VLOOKUP(Table2[[#This Row],[Contraente]],Table1[[Nome/Ragione sociale]:[Checkbox selezionato]],4,FALSE),"-")</f>
        <v>0</v>
      </c>
      <c r="AL115" s="63" t="str">
        <f>IFERROR(VLOOKUP(Table2[[#This Row],[Contraente]],Table1[[Nome/Ragione sociale]:[Checkbox selezionato]],5,FALSE),"-")</f>
        <v>MATTIA</v>
      </c>
      <c r="AM115" s="62">
        <f>IFERROR(VLOOKUP(Table2[[#This Row],[Contraente]],Table1[[Nome/Ragione sociale]:[Checkbox selezionato]],6,FALSE),"-")</f>
        <v>33262</v>
      </c>
      <c r="AN115" s="63" t="str">
        <f>IFERROR(VLOOKUP(Table2[[#This Row],[Contraente]],Table1[[Nome/Ragione sociale]:[Checkbox selezionato]],7,FALSE),"-")</f>
        <v>papies@libero.it</v>
      </c>
      <c r="AO115" s="63">
        <f>IFERROR(VLOOKUP(Table2[[#This Row],[Contraente]],Table1[[Nome/Ragione sociale]:[Checkbox selezionato]],8,FALSE),"-")</f>
        <v>0</v>
      </c>
      <c r="AP115" s="63">
        <f>IFERROR(VLOOKUP(Table2[[#This Row],[Contraente]],Table1[[Nome/Ragione sociale]:[Checkbox selezionato]],10,FALSE),"-")</f>
        <v>3396481964</v>
      </c>
      <c r="AQ115" s="63" t="str">
        <f>IFERROR(VLOOKUP(Table2[[#This Row],[Contraente]],Table1[[Nome/Ragione sociale]:[Checkbox selezionato]],11,FALSE),"-")</f>
        <v>SI</v>
      </c>
      <c r="AR115" s="63" t="str">
        <f>IFERROR(VLOOKUP(Table2[[#This Row],[Contraente]],Table1[[Nome/Ragione sociale]:[Checkbox selezionato]],12,FALSE),"-")</f>
        <v>SI</v>
      </c>
    </row>
    <row r="116" spans="1:44" ht="30" hidden="1" customHeight="1" x14ac:dyDescent="0.25">
      <c r="A116" s="60" t="str">
        <f>UPPER(LEFT(Table2[[#This Row],[Contraente]],1))</f>
        <v>B</v>
      </c>
      <c r="B116" s="60" t="s">
        <v>1634</v>
      </c>
      <c r="C116" s="81" t="s">
        <v>329</v>
      </c>
      <c r="D116" s="80" t="s">
        <v>37</v>
      </c>
      <c r="E116" s="86">
        <v>1074485</v>
      </c>
      <c r="F116" s="64">
        <v>42670</v>
      </c>
      <c r="G116" s="64">
        <f>IFERROR(CALCOLASCADENZA(Table2[[#This Row],[Data attivazione]],Table2[[#This Row],[Rateizzazione]],Table2[[#This Row],[Data ultimo pagamento]],Table2[[#This Row],[Data prossima scadenza manuale]]),"-")</f>
        <v>42670</v>
      </c>
      <c r="H116" s="67" t="s">
        <v>32</v>
      </c>
      <c r="I116" s="67" t="s">
        <v>113</v>
      </c>
      <c r="J116" s="33">
        <v>150</v>
      </c>
      <c r="K116" s="88"/>
      <c r="L116" s="88">
        <v>1500</v>
      </c>
      <c r="M116" s="67" t="s">
        <v>45</v>
      </c>
      <c r="N116" s="67" t="s">
        <v>52</v>
      </c>
      <c r="O116" s="27" t="s">
        <v>1631</v>
      </c>
      <c r="P116" s="33" t="s">
        <v>24</v>
      </c>
      <c r="Q11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6" s="67" t="s">
        <v>2</v>
      </c>
      <c r="V116" s="62"/>
      <c r="W116" s="64">
        <v>42335</v>
      </c>
      <c r="X116" s="29">
        <f>DATE(YEAR(Table2[[#This Row],[Data attivazione]])+VLOOKUP(Table2[[#This Row],[Durata]],VALORE_DURATA,2,FALSE),MONTH(Table2[[#This Row],[Data attivazione]]),DAY(Table2[[#This Row],[Data attivazione]]))</f>
        <v>42701</v>
      </c>
      <c r="Y116" s="65"/>
      <c r="Z116" s="61"/>
      <c r="AA116" s="64" t="s">
        <v>88</v>
      </c>
      <c r="AB116" s="29" t="str">
        <f>IF(Table2[[#This Row],[Data ultimo versamento temp]]=0/1/1900,"-",Table2[[#This Row],[Data ultimo versamento temp]])</f>
        <v>-</v>
      </c>
      <c r="AC116" s="29">
        <f t="array" ref="AC116">MAX(IF(TableVersamenti[Polizza]=Table2[[#This Row],[Polizza]],TableVersamenti[Data prevista versamento],"-"))</f>
        <v>0</v>
      </c>
      <c r="AD116" s="62"/>
      <c r="AE116" s="106">
        <f>DATE(YEAR(Table2[[#This Row],[Data ultimo pagamento]]),MONTH(Table2[[#This Row],[Data ultimo pagamento]]), 1)</f>
        <v>42644</v>
      </c>
      <c r="AF116" s="106">
        <f>DATE(YEAR(Table2[[#This Row],[Data prossima scadenza]]),MONTH(Table2[[#This Row],[Data prossima scadenza]]), 1)</f>
        <v>42644</v>
      </c>
      <c r="AG116" s="33">
        <f>IFERROR(Table2[[#This Row],[Importo annuale]]*VLOOKUP(Table2[[#This Row],[Ramo]],RAMI_POLIZZA,2,FALSE),0)</f>
        <v>22.5</v>
      </c>
      <c r="AH116" s="65" t="s">
        <v>113</v>
      </c>
      <c r="AI116" s="63" t="str">
        <f>IFERROR(VLOOKUP(Table2[[#This Row],[Contraente]],Table1[[Nome/Ragione sociale]:[Checkbox selezionato]],2,FALSE),"-")</f>
        <v>LINAROLO</v>
      </c>
      <c r="AJ116" s="63">
        <f>IFERROR(VLOOKUP(Table2[[#This Row],[Contraente]],Table1[[Nome/Ragione sociale]:[Checkbox selezionato]],3,FALSE),"-")</f>
        <v>3396481964</v>
      </c>
      <c r="AK116" s="63">
        <f>IFERROR(VLOOKUP(Table2[[#This Row],[Contraente]],Table1[[Nome/Ragione sociale]:[Checkbox selezionato]],4,FALSE),"-")</f>
        <v>0</v>
      </c>
      <c r="AL116" s="63" t="str">
        <f>IFERROR(VLOOKUP(Table2[[#This Row],[Contraente]],Table1[[Nome/Ragione sociale]:[Checkbox selezionato]],5,FALSE),"-")</f>
        <v>MATTIA</v>
      </c>
      <c r="AM116" s="62">
        <f>IFERROR(VLOOKUP(Table2[[#This Row],[Contraente]],Table1[[Nome/Ragione sociale]:[Checkbox selezionato]],6,FALSE),"-")</f>
        <v>33262</v>
      </c>
      <c r="AN116" s="63" t="str">
        <f>IFERROR(VLOOKUP(Table2[[#This Row],[Contraente]],Table1[[Nome/Ragione sociale]:[Checkbox selezionato]],7,FALSE),"-")</f>
        <v>papies@libero.it</v>
      </c>
      <c r="AO116" s="63">
        <f>IFERROR(VLOOKUP(Table2[[#This Row],[Contraente]],Table1[[Nome/Ragione sociale]:[Checkbox selezionato]],8,FALSE),"-")</f>
        <v>0</v>
      </c>
      <c r="AP116" s="63">
        <f>IFERROR(VLOOKUP(Table2[[#This Row],[Contraente]],Table1[[Nome/Ragione sociale]:[Checkbox selezionato]],10,FALSE),"-")</f>
        <v>3396481964</v>
      </c>
      <c r="AQ116" s="63" t="str">
        <f>IFERROR(VLOOKUP(Table2[[#This Row],[Contraente]],Table1[[Nome/Ragione sociale]:[Checkbox selezionato]],11,FALSE),"-")</f>
        <v>SI</v>
      </c>
      <c r="AR116" s="63" t="str">
        <f>IFERROR(VLOOKUP(Table2[[#This Row],[Contraente]],Table1[[Nome/Ragione sociale]:[Checkbox selezionato]],12,FALSE),"-")</f>
        <v>SI</v>
      </c>
    </row>
    <row r="117" spans="1:44" ht="30" hidden="1" customHeight="1" x14ac:dyDescent="0.25">
      <c r="A117" s="60" t="str">
        <f>UPPER(LEFT(Table2[[#This Row],[Contraente]],1))</f>
        <v>B</v>
      </c>
      <c r="B117" s="60" t="s">
        <v>1634</v>
      </c>
      <c r="C117" s="81" t="s">
        <v>329</v>
      </c>
      <c r="D117" s="80" t="s">
        <v>37</v>
      </c>
      <c r="E117" s="86">
        <v>104873553</v>
      </c>
      <c r="F117" s="64">
        <v>42885</v>
      </c>
      <c r="G117" s="64">
        <f>IFERROR(CALCOLASCADENZA(Table2[[#This Row],[Data attivazione]],Table2[[#This Row],[Rateizzazione]],Table2[[#This Row],[Data ultimo pagamento]],Table2[[#This Row],[Data prossima scadenza manuale]]),"-")</f>
        <v>43008</v>
      </c>
      <c r="H117" s="67" t="s">
        <v>30</v>
      </c>
      <c r="I117" s="67" t="s">
        <v>113</v>
      </c>
      <c r="J117" s="33">
        <f>IFERROR(Table2[[#This Row],[Importo annuale]]/(12/VLOOKUP(Table2[[#This Row],[Rateizzazione]],TIPI_RATEIZZAZIONI,2,FALSE)),"-")</f>
        <v>162</v>
      </c>
      <c r="K117" s="88">
        <v>324</v>
      </c>
      <c r="L117" s="88">
        <v>486</v>
      </c>
      <c r="M117" s="67" t="s">
        <v>45</v>
      </c>
      <c r="N117" s="67" t="s">
        <v>51</v>
      </c>
      <c r="O117" s="27" t="s">
        <v>1631</v>
      </c>
      <c r="P117" s="33" t="s">
        <v>21</v>
      </c>
      <c r="Q117" s="60">
        <f>IFERROR(IF(12 / VLOOKUP(Table2[[#This Row],[Rateizzazione]],TIPI_RATEIZZAZIONI,2,FALSE) &gt;=1,  IF(Table2[[#This Row],[Data attivazione]] = "","-",MONTH(Table2[[#This Row],[Data attivazione]])),"-"),"-")</f>
        <v>9</v>
      </c>
      <c r="R1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1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7" s="67" t="s">
        <v>2</v>
      </c>
      <c r="V117" s="62"/>
      <c r="W117" s="64">
        <v>42643</v>
      </c>
      <c r="X117" s="29">
        <f>DATE(YEAR(Table2[[#This Row],[Data attivazione]])+VLOOKUP(Table2[[#This Row],[Durata]],VALORE_DURATA,2,FALSE),MONTH(Table2[[#This Row],[Data attivazione]]),DAY(Table2[[#This Row],[Data attivazione]]))</f>
        <v>43008</v>
      </c>
      <c r="Y117" s="65"/>
      <c r="Z117" s="61"/>
      <c r="AA117" s="64" t="s">
        <v>85</v>
      </c>
      <c r="AB117" s="29" t="str">
        <f>IF(Table2[[#This Row],[Data ultimo versamento temp]]=0/1/1900,"-",Table2[[#This Row],[Data ultimo versamento temp]])</f>
        <v>-</v>
      </c>
      <c r="AC117" s="29">
        <f t="array" ref="AC117">MAX(IF(TableVersamenti[Polizza]=Table2[[#This Row],[Polizza]],TableVersamenti[Data prevista versamento],"-"))</f>
        <v>0</v>
      </c>
      <c r="AD117" s="62"/>
      <c r="AE117" s="106">
        <f>DATE(YEAR(Table2[[#This Row],[Data ultimo pagamento]]),MONTH(Table2[[#This Row],[Data ultimo pagamento]]), 1)</f>
        <v>42856</v>
      </c>
      <c r="AF117" s="106">
        <f>DATE(YEAR(Table2[[#This Row],[Data prossima scadenza]]),MONTH(Table2[[#This Row],[Data prossima scadenza]]), 1)</f>
        <v>42979</v>
      </c>
      <c r="AG117" s="33">
        <f>IFERROR(Table2[[#This Row],[Importo annuale]]*VLOOKUP(Table2[[#This Row],[Ramo]],RAMI_POLIZZA,2,FALSE),0)</f>
        <v>55.89</v>
      </c>
      <c r="AH117" s="65" t="s">
        <v>113</v>
      </c>
      <c r="AI117" s="63" t="str">
        <f>IFERROR(VLOOKUP(Table2[[#This Row],[Contraente]],Table1[[Nome/Ragione sociale]:[Checkbox selezionato]],2,FALSE),"-")</f>
        <v>LINAROLO</v>
      </c>
      <c r="AJ117" s="63">
        <f>IFERROR(VLOOKUP(Table2[[#This Row],[Contraente]],Table1[[Nome/Ragione sociale]:[Checkbox selezionato]],3,FALSE),"-")</f>
        <v>3396481964</v>
      </c>
      <c r="AK117" s="63">
        <f>IFERROR(VLOOKUP(Table2[[#This Row],[Contraente]],Table1[[Nome/Ragione sociale]:[Checkbox selezionato]],4,FALSE),"-")</f>
        <v>0</v>
      </c>
      <c r="AL117" s="63" t="str">
        <f>IFERROR(VLOOKUP(Table2[[#This Row],[Contraente]],Table1[[Nome/Ragione sociale]:[Checkbox selezionato]],5,FALSE),"-")</f>
        <v>MATTIA</v>
      </c>
      <c r="AM117" s="62">
        <f>IFERROR(VLOOKUP(Table2[[#This Row],[Contraente]],Table1[[Nome/Ragione sociale]:[Checkbox selezionato]],6,FALSE),"-")</f>
        <v>33262</v>
      </c>
      <c r="AN117" s="63" t="str">
        <f>IFERROR(VLOOKUP(Table2[[#This Row],[Contraente]],Table1[[Nome/Ragione sociale]:[Checkbox selezionato]],7,FALSE),"-")</f>
        <v>papies@libero.it</v>
      </c>
      <c r="AO117" s="63">
        <f>IFERROR(VLOOKUP(Table2[[#This Row],[Contraente]],Table1[[Nome/Ragione sociale]:[Checkbox selezionato]],8,FALSE),"-")</f>
        <v>0</v>
      </c>
      <c r="AP117" s="63">
        <f>IFERROR(VLOOKUP(Table2[[#This Row],[Contraente]],Table1[[Nome/Ragione sociale]:[Checkbox selezionato]],10,FALSE),"-")</f>
        <v>3396481964</v>
      </c>
      <c r="AQ117" s="63" t="str">
        <f>IFERROR(VLOOKUP(Table2[[#This Row],[Contraente]],Table1[[Nome/Ragione sociale]:[Checkbox selezionato]],11,FALSE),"-")</f>
        <v>SI</v>
      </c>
      <c r="AR117" s="63" t="str">
        <f>IFERROR(VLOOKUP(Table2[[#This Row],[Contraente]],Table1[[Nome/Ragione sociale]:[Checkbox selezionato]],12,FALSE),"-")</f>
        <v>SI</v>
      </c>
    </row>
    <row r="118" spans="1:44" ht="30" hidden="1" customHeight="1" x14ac:dyDescent="0.25">
      <c r="A118" s="60" t="str">
        <f>UPPER(LEFT(Table2[[#This Row],[Contraente]],1))</f>
        <v>B</v>
      </c>
      <c r="B118" s="60" t="s">
        <v>1634</v>
      </c>
      <c r="C118" s="80" t="s">
        <v>329</v>
      </c>
      <c r="D118" s="80" t="s">
        <v>37</v>
      </c>
      <c r="E118" s="85">
        <v>105711872</v>
      </c>
      <c r="F118" s="64">
        <v>42902</v>
      </c>
      <c r="G118" s="64">
        <f>IFERROR(CALCOLASCADENZA(Table2[[#This Row],[Data attivazione]],Table2[[#This Row],[Rateizzazione]],Table2[[#This Row],[Data ultimo pagamento]],Table2[[#This Row],[Data prossima scadenza manuale]]),"-")</f>
        <v>43074</v>
      </c>
      <c r="H118" s="67" t="s">
        <v>31</v>
      </c>
      <c r="I118" s="67" t="s">
        <v>1181</v>
      </c>
      <c r="J118" s="33">
        <f>IFERROR(Table2[[#This Row],[Importo annuale]]/(12/VLOOKUP(Table2[[#This Row],[Rateizzazione]],TIPI_RATEIZZAZIONI,2,FALSE)),"-")</f>
        <v>438</v>
      </c>
      <c r="K118" s="88">
        <v>438</v>
      </c>
      <c r="L118" s="88">
        <v>876</v>
      </c>
      <c r="M118" s="67" t="s">
        <v>45</v>
      </c>
      <c r="N118" s="67" t="s">
        <v>51</v>
      </c>
      <c r="O118" s="27" t="s">
        <v>1631</v>
      </c>
      <c r="P118" s="33" t="s">
        <v>22</v>
      </c>
      <c r="Q118" s="60">
        <f>IFERROR(IF(12 / VLOOKUP(Table2[[#This Row],[Rateizzazione]],TIPI_RATEIZZAZIONI,2,FALSE) &gt;=1,  IF(Table2[[#This Row],[Data attivazione]] = "","-",MONTH(Table2[[#This Row],[Data attivazione]])),"-"),"-")</f>
        <v>12</v>
      </c>
      <c r="R1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8" s="67" t="s">
        <v>2</v>
      </c>
      <c r="V118" s="62"/>
      <c r="W118" s="64">
        <v>42709</v>
      </c>
      <c r="X118" s="29">
        <f>DATE(YEAR(Table2[[#This Row],[Data attivazione]])+VLOOKUP(Table2[[#This Row],[Durata]],VALORE_DURATA,2,FALSE),MONTH(Table2[[#This Row],[Data attivazione]]),DAY(Table2[[#This Row],[Data attivazione]]))</f>
        <v>43074</v>
      </c>
      <c r="Y118" s="65"/>
      <c r="Z118" s="61"/>
      <c r="AA118" s="64" t="s">
        <v>85</v>
      </c>
      <c r="AB118" s="29" t="str">
        <f>IF(Table2[[#This Row],[Data ultimo versamento temp]]=0/1/1900,"-",Table2[[#This Row],[Data ultimo versamento temp]])</f>
        <v>-</v>
      </c>
      <c r="AC118" s="29">
        <f t="array" ref="AC118">MAX(IF(TableVersamenti[Polizza]=Table2[[#This Row],[Polizza]],TableVersamenti[Data prevista versamento],"-"))</f>
        <v>0</v>
      </c>
      <c r="AD118" s="62"/>
      <c r="AE118" s="106">
        <f>DATE(YEAR(Table2[[#This Row],[Data ultimo pagamento]]),MONTH(Table2[[#This Row],[Data ultimo pagamento]]), 1)</f>
        <v>42887</v>
      </c>
      <c r="AF118" s="106">
        <f>DATE(YEAR(Table2[[#This Row],[Data prossima scadenza]]),MONTH(Table2[[#This Row],[Data prossima scadenza]]), 1)</f>
        <v>43070</v>
      </c>
      <c r="AG118" s="33">
        <f>IFERROR(Table2[[#This Row],[Importo annuale]]*VLOOKUP(Table2[[#This Row],[Ramo]],RAMI_POLIZZA,2,FALSE),0)</f>
        <v>45.552</v>
      </c>
      <c r="AH118" s="65" t="s">
        <v>113</v>
      </c>
      <c r="AI118" s="63" t="str">
        <f>IFERROR(VLOOKUP(Table2[[#This Row],[Contraente]],Table1[[Nome/Ragione sociale]:[Checkbox selezionato]],2,FALSE),"-")</f>
        <v>LINAROLO</v>
      </c>
      <c r="AJ118" s="63">
        <f>IFERROR(VLOOKUP(Table2[[#This Row],[Contraente]],Table1[[Nome/Ragione sociale]:[Checkbox selezionato]],3,FALSE),"-")</f>
        <v>3396481964</v>
      </c>
      <c r="AK118" s="63">
        <f>IFERROR(VLOOKUP(Table2[[#This Row],[Contraente]],Table1[[Nome/Ragione sociale]:[Checkbox selezionato]],4,FALSE),"-")</f>
        <v>0</v>
      </c>
      <c r="AL118" s="63" t="str">
        <f>IFERROR(VLOOKUP(Table2[[#This Row],[Contraente]],Table1[[Nome/Ragione sociale]:[Checkbox selezionato]],5,FALSE),"-")</f>
        <v>MATTIA</v>
      </c>
      <c r="AM118" s="62">
        <f>IFERROR(VLOOKUP(Table2[[#This Row],[Contraente]],Table1[[Nome/Ragione sociale]:[Checkbox selezionato]],6,FALSE),"-")</f>
        <v>33262</v>
      </c>
      <c r="AN118" s="63" t="str">
        <f>IFERROR(VLOOKUP(Table2[[#This Row],[Contraente]],Table1[[Nome/Ragione sociale]:[Checkbox selezionato]],7,FALSE),"-")</f>
        <v>papies@libero.it</v>
      </c>
      <c r="AO118" s="63">
        <f>IFERROR(VLOOKUP(Table2[[#This Row],[Contraente]],Table1[[Nome/Ragione sociale]:[Checkbox selezionato]],8,FALSE),"-")</f>
        <v>0</v>
      </c>
      <c r="AP118" s="63">
        <f>IFERROR(VLOOKUP(Table2[[#This Row],[Contraente]],Table1[[Nome/Ragione sociale]:[Checkbox selezionato]],10,FALSE),"-")</f>
        <v>3396481964</v>
      </c>
      <c r="AQ118" s="63" t="str">
        <f>IFERROR(VLOOKUP(Table2[[#This Row],[Contraente]],Table1[[Nome/Ragione sociale]:[Checkbox selezionato]],11,FALSE),"-")</f>
        <v>SI</v>
      </c>
      <c r="AR118" s="63" t="str">
        <f>IFERROR(VLOOKUP(Table2[[#This Row],[Contraente]],Table1[[Nome/Ragione sociale]:[Checkbox selezionato]],12,FALSE),"-")</f>
        <v>SI</v>
      </c>
    </row>
    <row r="119" spans="1:44" ht="30" hidden="1" customHeight="1" x14ac:dyDescent="0.25">
      <c r="A119" s="60" t="str">
        <f>UPPER(LEFT(Table2[[#This Row],[Contraente]],1))</f>
        <v>B</v>
      </c>
      <c r="B119" s="60" t="s">
        <v>1634</v>
      </c>
      <c r="C119" s="80" t="s">
        <v>326</v>
      </c>
      <c r="D119" s="80" t="s">
        <v>37</v>
      </c>
      <c r="E119" s="85">
        <v>106413059</v>
      </c>
      <c r="F119" s="64">
        <v>42928</v>
      </c>
      <c r="G119" s="64">
        <f>IFERROR(CALCOLASCADENZA(Table2[[#This Row],[Data attivazione]],Table2[[#This Row],[Rateizzazione]],Table2[[#This Row],[Data ultimo pagamento]],Table2[[#This Row],[Data prossima scadenza manuale]]),"-")</f>
        <v>43112</v>
      </c>
      <c r="H119" s="67" t="s">
        <v>31</v>
      </c>
      <c r="I119" s="67" t="s">
        <v>1180</v>
      </c>
      <c r="J119" s="33">
        <f>IFERROR(Table2[[#This Row],[Importo annuale]]/(12/VLOOKUP(Table2[[#This Row],[Rateizzazione]],TIPI_RATEIZZAZIONI,2,FALSE)),"-")</f>
        <v>158.35</v>
      </c>
      <c r="K119" s="88">
        <v>316.7</v>
      </c>
      <c r="L119" s="88">
        <v>316.7</v>
      </c>
      <c r="M119" s="67" t="s">
        <v>43</v>
      </c>
      <c r="N119" s="67" t="s">
        <v>51</v>
      </c>
      <c r="O119" s="27" t="s">
        <v>1631</v>
      </c>
      <c r="P119" s="33" t="s">
        <v>22</v>
      </c>
      <c r="Q119" s="60">
        <f>IFERROR(IF(12 / VLOOKUP(Table2[[#This Row],[Rateizzazione]],TIPI_RATEIZZAZIONI,2,FALSE) &gt;=1,  IF(Table2[[#This Row],[Data attivazione]] = "","-",MONTH(Table2[[#This Row],[Data attivazione]])),"-"),"-")</f>
        <v>7</v>
      </c>
      <c r="R1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9" s="67" t="s">
        <v>2</v>
      </c>
      <c r="V119" s="62"/>
      <c r="W119" s="64">
        <v>42928</v>
      </c>
      <c r="X119" s="29">
        <f>DATE(YEAR(Table2[[#This Row],[Data attivazione]])+VLOOKUP(Table2[[#This Row],[Durata]],VALORE_DURATA,2,FALSE),MONTH(Table2[[#This Row],[Data attivazione]]),DAY(Table2[[#This Row],[Data attivazione]]))</f>
        <v>43293</v>
      </c>
      <c r="Y119" s="65"/>
      <c r="Z119" s="61"/>
      <c r="AA119" s="64" t="s">
        <v>85</v>
      </c>
      <c r="AB119" s="29">
        <f>IF(Table2[[#This Row],[Data ultimo versamento temp]]=0/1/1900,"-",Table2[[#This Row],[Data ultimo versamento temp]])</f>
        <v>42931</v>
      </c>
      <c r="AC119" s="29">
        <f t="array" ref="AC119">MAX(IF(TableVersamenti[Polizza]=Table2[[#This Row],[Polizza]],TableVersamenti[Data prevista versamento],"-"))</f>
        <v>42931</v>
      </c>
      <c r="AD119" s="62"/>
      <c r="AE119" s="106">
        <f>DATE(YEAR(Table2[[#This Row],[Data ultimo pagamento]]),MONTH(Table2[[#This Row],[Data ultimo pagamento]]), 1)</f>
        <v>42917</v>
      </c>
      <c r="AF119" s="106">
        <f>DATE(YEAR(Table2[[#This Row],[Data prossima scadenza]]),MONTH(Table2[[#This Row],[Data prossima scadenza]]), 1)</f>
        <v>43101</v>
      </c>
      <c r="AG119" s="33">
        <f>IFERROR(Table2[[#This Row],[Importo annuale]]*VLOOKUP(Table2[[#This Row],[Ramo]],RAMI_POLIZZA,2,FALSE),0)</f>
        <v>16.468399999999999</v>
      </c>
      <c r="AH119" s="65" t="s">
        <v>113</v>
      </c>
      <c r="AI119" s="63" t="str">
        <f>IFERROR(VLOOKUP(Table2[[#This Row],[Contraente]],Table1[[Nome/Ragione sociale]:[Checkbox selezionato]],2,FALSE),"-")</f>
        <v>SANTA CRISTINA E BISSONE</v>
      </c>
      <c r="AJ119" s="63">
        <f>IFERROR(VLOOKUP(Table2[[#This Row],[Contraente]],Table1[[Nome/Ragione sociale]:[Checkbox selezionato]],3,FALSE),"-")</f>
        <v>3383342553</v>
      </c>
      <c r="AK119" s="63">
        <f>IFERROR(VLOOKUP(Table2[[#This Row],[Contraente]],Table1[[Nome/Ragione sociale]:[Checkbox selezionato]],4,FALSE),"-")</f>
        <v>0</v>
      </c>
      <c r="AL119" s="63" t="str">
        <f>IFERROR(VLOOKUP(Table2[[#This Row],[Contraente]],Table1[[Nome/Ragione sociale]:[Checkbox selezionato]],5,FALSE),"-")</f>
        <v>GIUSEPPE</v>
      </c>
      <c r="AM119" s="62">
        <f>IFERROR(VLOOKUP(Table2[[#This Row],[Contraente]],Table1[[Nome/Ragione sociale]:[Checkbox selezionato]],6,FALSE),"-")</f>
        <v>19351</v>
      </c>
      <c r="AN119" s="63" t="str">
        <f>IFERROR(VLOOKUP(Table2[[#This Row],[Contraente]],Table1[[Nome/Ragione sociale]:[Checkbox selezionato]],7,FALSE),"-")</f>
        <v>papies@libero.it</v>
      </c>
      <c r="AO119" s="63">
        <f>IFERROR(VLOOKUP(Table2[[#This Row],[Contraente]],Table1[[Nome/Ragione sociale]:[Checkbox selezionato]],8,FALSE),"-")</f>
        <v>0</v>
      </c>
      <c r="AP119" s="63">
        <f>IFERROR(VLOOKUP(Table2[[#This Row],[Contraente]],Table1[[Nome/Ragione sociale]:[Checkbox selezionato]],10,FALSE),"-")</f>
        <v>3383342553</v>
      </c>
      <c r="AQ119" s="63" t="str">
        <f>IFERROR(VLOOKUP(Table2[[#This Row],[Contraente]],Table1[[Nome/Ragione sociale]:[Checkbox selezionato]],11,FALSE),"-")</f>
        <v>SI</v>
      </c>
      <c r="AR119" s="63" t="str">
        <f>IFERROR(VLOOKUP(Table2[[#This Row],[Contraente]],Table1[[Nome/Ragione sociale]:[Checkbox selezionato]],12,FALSE),"-")</f>
        <v>SI</v>
      </c>
    </row>
    <row r="120" spans="1:44" ht="30" hidden="1" customHeight="1" x14ac:dyDescent="0.25">
      <c r="A120" s="60" t="str">
        <f>UPPER(LEFT(Table2[[#This Row],[Contraente]],1))</f>
        <v>B</v>
      </c>
      <c r="B120" s="60" t="s">
        <v>1634</v>
      </c>
      <c r="C120" s="80" t="s">
        <v>326</v>
      </c>
      <c r="D120" s="80" t="s">
        <v>37</v>
      </c>
      <c r="E120" s="85">
        <v>103919452</v>
      </c>
      <c r="F120" s="64">
        <v>42928</v>
      </c>
      <c r="G120" s="64">
        <f>IFERROR(CALCOLASCADENZA(Table2[[#This Row],[Data attivazione]],Table2[[#This Row],[Rateizzazione]],Table2[[#This Row],[Data ultimo pagamento]],Table2[[#This Row],[Data prossima scadenza manuale]]),"-")</f>
        <v>43112</v>
      </c>
      <c r="H120" s="67" t="s">
        <v>30</v>
      </c>
      <c r="I120" s="67" t="s">
        <v>113</v>
      </c>
      <c r="J120" s="33">
        <f>IFERROR(Table2[[#This Row],[Importo annuale]]/(12/VLOOKUP(Table2[[#This Row],[Rateizzazione]],TIPI_RATEIZZAZIONI,2,FALSE)),"-")</f>
        <v>32</v>
      </c>
      <c r="K120" s="88">
        <v>64</v>
      </c>
      <c r="L120" s="88">
        <v>64</v>
      </c>
      <c r="M120" s="67" t="s">
        <v>43</v>
      </c>
      <c r="N120" s="67" t="s">
        <v>51</v>
      </c>
      <c r="O120" s="27" t="s">
        <v>1631</v>
      </c>
      <c r="P120" s="33" t="s">
        <v>22</v>
      </c>
      <c r="Q120" s="60">
        <f>IFERROR(IF(12 / VLOOKUP(Table2[[#This Row],[Rateizzazione]],TIPI_RATEIZZAZIONI,2,FALSE) &gt;=1,  IF(Table2[[#This Row],[Data attivazione]] = "","-",MONTH(Table2[[#This Row],[Data attivazione]])),"-"),"-")</f>
        <v>7</v>
      </c>
      <c r="R1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0" s="67" t="s">
        <v>2</v>
      </c>
      <c r="V120" s="62"/>
      <c r="W120" s="64">
        <v>42928</v>
      </c>
      <c r="X120" s="29">
        <f>DATE(YEAR(Table2[[#This Row],[Data attivazione]])+VLOOKUP(Table2[[#This Row],[Durata]],VALORE_DURATA,2,FALSE),MONTH(Table2[[#This Row],[Data attivazione]]),DAY(Table2[[#This Row],[Data attivazione]]))</f>
        <v>43293</v>
      </c>
      <c r="Y120" s="65"/>
      <c r="Z120" s="61"/>
      <c r="AA120" s="64" t="s">
        <v>85</v>
      </c>
      <c r="AB120" s="29">
        <f>IF(Table2[[#This Row],[Data ultimo versamento temp]]=0/1/1900,"-",Table2[[#This Row],[Data ultimo versamento temp]])</f>
        <v>42931</v>
      </c>
      <c r="AC120" s="29">
        <f t="array" ref="AC120">MAX(IF(TableVersamenti[Polizza]=Table2[[#This Row],[Polizza]],TableVersamenti[Data prevista versamento],"-"))</f>
        <v>42931</v>
      </c>
      <c r="AD120" s="62"/>
      <c r="AE120" s="106">
        <f>DATE(YEAR(Table2[[#This Row],[Data ultimo pagamento]]),MONTH(Table2[[#This Row],[Data ultimo pagamento]]), 1)</f>
        <v>42917</v>
      </c>
      <c r="AF120" s="106">
        <f>DATE(YEAR(Table2[[#This Row],[Data prossima scadenza]]),MONTH(Table2[[#This Row],[Data prossima scadenza]]), 1)</f>
        <v>43101</v>
      </c>
      <c r="AG120" s="33">
        <f>IFERROR(Table2[[#This Row],[Importo annuale]]*VLOOKUP(Table2[[#This Row],[Ramo]],RAMI_POLIZZA,2,FALSE),0)</f>
        <v>7.36</v>
      </c>
      <c r="AH120" s="65" t="s">
        <v>113</v>
      </c>
      <c r="AI120" s="63" t="str">
        <f>IFERROR(VLOOKUP(Table2[[#This Row],[Contraente]],Table1[[Nome/Ragione sociale]:[Checkbox selezionato]],2,FALSE),"-")</f>
        <v>SANTA CRISTINA E BISSONE</v>
      </c>
      <c r="AJ120" s="63">
        <f>IFERROR(VLOOKUP(Table2[[#This Row],[Contraente]],Table1[[Nome/Ragione sociale]:[Checkbox selezionato]],3,FALSE),"-")</f>
        <v>3383342553</v>
      </c>
      <c r="AK120" s="63">
        <f>IFERROR(VLOOKUP(Table2[[#This Row],[Contraente]],Table1[[Nome/Ragione sociale]:[Checkbox selezionato]],4,FALSE),"-")</f>
        <v>0</v>
      </c>
      <c r="AL120" s="63" t="str">
        <f>IFERROR(VLOOKUP(Table2[[#This Row],[Contraente]],Table1[[Nome/Ragione sociale]:[Checkbox selezionato]],5,FALSE),"-")</f>
        <v>GIUSEPPE</v>
      </c>
      <c r="AM120" s="62">
        <f>IFERROR(VLOOKUP(Table2[[#This Row],[Contraente]],Table1[[Nome/Ragione sociale]:[Checkbox selezionato]],6,FALSE),"-")</f>
        <v>19351</v>
      </c>
      <c r="AN120" s="63" t="str">
        <f>IFERROR(VLOOKUP(Table2[[#This Row],[Contraente]],Table1[[Nome/Ragione sociale]:[Checkbox selezionato]],7,FALSE),"-")</f>
        <v>papies@libero.it</v>
      </c>
      <c r="AO120" s="63">
        <f>IFERROR(VLOOKUP(Table2[[#This Row],[Contraente]],Table1[[Nome/Ragione sociale]:[Checkbox selezionato]],8,FALSE),"-")</f>
        <v>0</v>
      </c>
      <c r="AP120" s="63">
        <f>IFERROR(VLOOKUP(Table2[[#This Row],[Contraente]],Table1[[Nome/Ragione sociale]:[Checkbox selezionato]],10,FALSE),"-")</f>
        <v>3383342553</v>
      </c>
      <c r="AQ120" s="63" t="str">
        <f>IFERROR(VLOOKUP(Table2[[#This Row],[Contraente]],Table1[[Nome/Ragione sociale]:[Checkbox selezionato]],11,FALSE),"-")</f>
        <v>SI</v>
      </c>
      <c r="AR120" s="63" t="str">
        <f>IFERROR(VLOOKUP(Table2[[#This Row],[Contraente]],Table1[[Nome/Ragione sociale]:[Checkbox selezionato]],12,FALSE),"-")</f>
        <v>SI</v>
      </c>
    </row>
    <row r="121" spans="1:44" ht="30" hidden="1" customHeight="1" x14ac:dyDescent="0.25">
      <c r="A121" s="60" t="str">
        <f>UPPER(LEFT(Table2[[#This Row],[Contraente]],1))</f>
        <v>B</v>
      </c>
      <c r="B121" s="60" t="s">
        <v>1634</v>
      </c>
      <c r="C121" s="80" t="s">
        <v>95</v>
      </c>
      <c r="D121" s="80" t="s">
        <v>37</v>
      </c>
      <c r="E121" s="85">
        <v>102687194</v>
      </c>
      <c r="F121" s="64">
        <v>42783</v>
      </c>
      <c r="G121" s="64">
        <f>IFERROR(CALCOLASCADENZA(Table2[[#This Row],[Data attivazione]],Table2[[#This Row],[Rateizzazione]],Table2[[#This Row],[Data ultimo pagamento]],Table2[[#This Row],[Data prossima scadenza manuale]]),"-")</f>
        <v>43136</v>
      </c>
      <c r="H121" s="67" t="s">
        <v>30</v>
      </c>
      <c r="I121" s="67" t="s">
        <v>113</v>
      </c>
      <c r="J121" s="33">
        <f>IFERROR(Table2[[#This Row],[Importo annuale]]/(12/VLOOKUP(Table2[[#This Row],[Rateizzazione]],TIPI_RATEIZZAZIONI,2,FALSE)),"-")</f>
        <v>397</v>
      </c>
      <c r="K121" s="88">
        <v>397</v>
      </c>
      <c r="L121" s="88">
        <v>397</v>
      </c>
      <c r="M121" s="67" t="s">
        <v>44</v>
      </c>
      <c r="N121" s="67" t="s">
        <v>51</v>
      </c>
      <c r="O121" s="27" t="s">
        <v>1631</v>
      </c>
      <c r="P121" s="33" t="s">
        <v>23</v>
      </c>
      <c r="Q121" s="60">
        <f>IFERROR(IF(12 / VLOOKUP(Table2[[#This Row],[Rateizzazione]],TIPI_RATEIZZAZIONI,2,FALSE) &gt;=1,  IF(Table2[[#This Row],[Data attivazione]] = "","-",MONTH(Table2[[#This Row],[Data attivazione]])),"-"),"-")</f>
        <v>2</v>
      </c>
      <c r="R1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1" s="67" t="s">
        <v>2</v>
      </c>
      <c r="V121" s="62"/>
      <c r="W121" s="64">
        <v>42771</v>
      </c>
      <c r="X121" s="29">
        <f>DATE(YEAR(Table2[[#This Row],[Data attivazione]])+VLOOKUP(Table2[[#This Row],[Durata]],VALORE_DURATA,2,FALSE),MONTH(Table2[[#This Row],[Data attivazione]]),DAY(Table2[[#This Row],[Data attivazione]]))</f>
        <v>43136</v>
      </c>
      <c r="Y121" s="65"/>
      <c r="Z121" s="61"/>
      <c r="AA121" s="64" t="s">
        <v>85</v>
      </c>
      <c r="AB121" s="29" t="str">
        <f>IF(Table2[[#This Row],[Data ultimo versamento temp]]=0/1/1900,"-",Table2[[#This Row],[Data ultimo versamento temp]])</f>
        <v>-</v>
      </c>
      <c r="AC121" s="29">
        <f t="array" ref="AC121">MAX(IF(TableVersamenti[Polizza]=Table2[[#This Row],[Polizza]],TableVersamenti[Data prevista versamento],"-"))</f>
        <v>0</v>
      </c>
      <c r="AD121" s="62"/>
      <c r="AE121" s="106">
        <f>DATE(YEAR(Table2[[#This Row],[Data ultimo pagamento]]),MONTH(Table2[[#This Row],[Data ultimo pagamento]]), 1)</f>
        <v>42767</v>
      </c>
      <c r="AF121" s="106">
        <f>DATE(YEAR(Table2[[#This Row],[Data prossima scadenza]]),MONTH(Table2[[#This Row],[Data prossima scadenza]]), 1)</f>
        <v>43132</v>
      </c>
      <c r="AG121" s="33">
        <f>IFERROR(Table2[[#This Row],[Importo annuale]]*VLOOKUP(Table2[[#This Row],[Ramo]],RAMI_POLIZZA,2,FALSE),0)</f>
        <v>45.655000000000001</v>
      </c>
      <c r="AH121" s="65" t="s">
        <v>113</v>
      </c>
      <c r="AI121" s="63" t="str">
        <f>IFERROR(VLOOKUP(Table2[[#This Row],[Contraente]],Table1[[Nome/Ragione sociale]:[Checkbox selezionato]],2,FALSE),"-")</f>
        <v xml:space="preserve">PAVIA </v>
      </c>
      <c r="AJ121" s="63">
        <f>IFERROR(VLOOKUP(Table2[[#This Row],[Contraente]],Table1[[Nome/Ragione sociale]:[Checkbox selezionato]],3,FALSE),"-")</f>
        <v>0</v>
      </c>
      <c r="AK121" s="63" t="str">
        <f>IFERROR(VLOOKUP(Table2[[#This Row],[Contraente]],Table1[[Nome/Ragione sociale]:[Checkbox selezionato]],4,FALSE),"-")</f>
        <v>.038235456</v>
      </c>
      <c r="AL121" s="63" t="str">
        <f>IFERROR(VLOOKUP(Table2[[#This Row],[Contraente]],Table1[[Nome/Ragione sociale]:[Checkbox selezionato]],5,FALSE),"-")</f>
        <v>MARIO</v>
      </c>
      <c r="AM121" s="62">
        <f>IFERROR(VLOOKUP(Table2[[#This Row],[Contraente]],Table1[[Nome/Ragione sociale]:[Checkbox selezionato]],6,FALSE),"-")</f>
        <v>28403</v>
      </c>
      <c r="AN121" s="63" t="str">
        <f>IFERROR(VLOOKUP(Table2[[#This Row],[Contraente]],Table1[[Nome/Ragione sociale]:[Checkbox selezionato]],7,FALSE),"-")</f>
        <v>papies@email.it</v>
      </c>
      <c r="AO121" s="63">
        <f>IFERROR(VLOOKUP(Table2[[#This Row],[Contraente]],Table1[[Nome/Ragione sociale]:[Checkbox selezionato]],8,FALSE),"-")</f>
        <v>0</v>
      </c>
      <c r="AP121" s="63">
        <f>IFERROR(VLOOKUP(Table2[[#This Row],[Contraente]],Table1[[Nome/Ragione sociale]:[Checkbox selezionato]],10,FALSE),"-")</f>
        <v>0</v>
      </c>
      <c r="AQ121" s="63" t="str">
        <f>IFERROR(VLOOKUP(Table2[[#This Row],[Contraente]],Table1[[Nome/Ragione sociale]:[Checkbox selezionato]],11,FALSE),"-")</f>
        <v>SI</v>
      </c>
      <c r="AR121" s="63" t="str">
        <f>IFERROR(VLOOKUP(Table2[[#This Row],[Contraente]],Table1[[Nome/Ragione sociale]:[Checkbox selezionato]],12,FALSE),"-")</f>
        <v>SI</v>
      </c>
    </row>
    <row r="122" spans="1:44" ht="30" hidden="1" customHeight="1" x14ac:dyDescent="0.25">
      <c r="A122" s="60" t="str">
        <f>UPPER(LEFT(Table2[[#This Row],[Contraente]],1))</f>
        <v>B</v>
      </c>
      <c r="B122" s="60" t="s">
        <v>1634</v>
      </c>
      <c r="C122" s="80" t="s">
        <v>95</v>
      </c>
      <c r="D122" s="80" t="s">
        <v>37</v>
      </c>
      <c r="E122" s="85">
        <v>104699332</v>
      </c>
      <c r="F122" s="64">
        <v>42585</v>
      </c>
      <c r="G122" s="64">
        <f>IFERROR(CALCOLASCADENZA(Table2[[#This Row],[Data attivazione]],Table2[[#This Row],[Rateizzazione]],Table2[[#This Row],[Data ultimo pagamento]],Table2[[#This Row],[Data prossima scadenza manuale]]),"-")</f>
        <v>42944</v>
      </c>
      <c r="H122" s="67" t="s">
        <v>31</v>
      </c>
      <c r="I122" s="67" t="s">
        <v>1179</v>
      </c>
      <c r="J122" s="33">
        <f>IFERROR(Table2[[#This Row],[Importo annuale]]/(12/VLOOKUP(Table2[[#This Row],[Rateizzazione]],TIPI_RATEIZZAZIONI,2,FALSE)),"-")</f>
        <v>135.74</v>
      </c>
      <c r="K122" s="88"/>
      <c r="L122" s="88">
        <v>135.74</v>
      </c>
      <c r="M122" s="67" t="s">
        <v>43</v>
      </c>
      <c r="N122" s="67" t="s">
        <v>51</v>
      </c>
      <c r="O122" s="27" t="s">
        <v>1631</v>
      </c>
      <c r="P122" s="33" t="s">
        <v>23</v>
      </c>
      <c r="Q122" s="60">
        <f>IFERROR(IF(12 / VLOOKUP(Table2[[#This Row],[Rateizzazione]],TIPI_RATEIZZAZIONI,2,FALSE) &gt;=1,  IF(Table2[[#This Row],[Data attivazione]] = "","-",MONTH(Table2[[#This Row],[Data attivazione]])),"-"),"-")</f>
        <v>7</v>
      </c>
      <c r="R1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2" s="67" t="s">
        <v>2</v>
      </c>
      <c r="V122" s="62"/>
      <c r="W122" s="64">
        <v>42579</v>
      </c>
      <c r="X122" s="29">
        <f>DATE(YEAR(Table2[[#This Row],[Data attivazione]])+VLOOKUP(Table2[[#This Row],[Durata]],VALORE_DURATA,2,FALSE),MONTH(Table2[[#This Row],[Data attivazione]]),DAY(Table2[[#This Row],[Data attivazione]]))</f>
        <v>42944</v>
      </c>
      <c r="Y122" s="65"/>
      <c r="Z122" s="61"/>
      <c r="AA122" s="64" t="s">
        <v>85</v>
      </c>
      <c r="AB122" s="29" t="str">
        <f>IF(Table2[[#This Row],[Data ultimo versamento temp]]=0/1/1900,"-",Table2[[#This Row],[Data ultimo versamento temp]])</f>
        <v>-</v>
      </c>
      <c r="AC122" s="29">
        <f t="array" ref="AC122">MAX(IF(TableVersamenti[Polizza]=Table2[[#This Row],[Polizza]],TableVersamenti[Data prevista versamento],"-"))</f>
        <v>0</v>
      </c>
      <c r="AD122" s="62"/>
      <c r="AE122" s="106">
        <f>DATE(YEAR(Table2[[#This Row],[Data ultimo pagamento]]),MONTH(Table2[[#This Row],[Data ultimo pagamento]]), 1)</f>
        <v>42583</v>
      </c>
      <c r="AF122" s="106">
        <f>DATE(YEAR(Table2[[#This Row],[Data prossima scadenza]]),MONTH(Table2[[#This Row],[Data prossima scadenza]]), 1)</f>
        <v>42917</v>
      </c>
      <c r="AG122" s="33">
        <f>IFERROR(Table2[[#This Row],[Importo annuale]]*VLOOKUP(Table2[[#This Row],[Ramo]],RAMI_POLIZZA,2,FALSE),0)</f>
        <v>7.0584800000000003</v>
      </c>
      <c r="AH122" s="65" t="s">
        <v>113</v>
      </c>
      <c r="AI122" s="63" t="str">
        <f>IFERROR(VLOOKUP(Table2[[#This Row],[Contraente]],Table1[[Nome/Ragione sociale]:[Checkbox selezionato]],2,FALSE),"-")</f>
        <v xml:space="preserve">PAVIA </v>
      </c>
      <c r="AJ122" s="63">
        <f>IFERROR(VLOOKUP(Table2[[#This Row],[Contraente]],Table1[[Nome/Ragione sociale]:[Checkbox selezionato]],3,FALSE),"-")</f>
        <v>0</v>
      </c>
      <c r="AK122" s="63" t="str">
        <f>IFERROR(VLOOKUP(Table2[[#This Row],[Contraente]],Table1[[Nome/Ragione sociale]:[Checkbox selezionato]],4,FALSE),"-")</f>
        <v>.038235456</v>
      </c>
      <c r="AL122" s="63" t="str">
        <f>IFERROR(VLOOKUP(Table2[[#This Row],[Contraente]],Table1[[Nome/Ragione sociale]:[Checkbox selezionato]],5,FALSE),"-")</f>
        <v>MARIO</v>
      </c>
      <c r="AM122" s="62">
        <f>IFERROR(VLOOKUP(Table2[[#This Row],[Contraente]],Table1[[Nome/Ragione sociale]:[Checkbox selezionato]],6,FALSE),"-")</f>
        <v>28403</v>
      </c>
      <c r="AN122" s="63" t="str">
        <f>IFERROR(VLOOKUP(Table2[[#This Row],[Contraente]],Table1[[Nome/Ragione sociale]:[Checkbox selezionato]],7,FALSE),"-")</f>
        <v>papies@email.it</v>
      </c>
      <c r="AO122" s="63">
        <f>IFERROR(VLOOKUP(Table2[[#This Row],[Contraente]],Table1[[Nome/Ragione sociale]:[Checkbox selezionato]],8,FALSE),"-")</f>
        <v>0</v>
      </c>
      <c r="AP122" s="63">
        <f>IFERROR(VLOOKUP(Table2[[#This Row],[Contraente]],Table1[[Nome/Ragione sociale]:[Checkbox selezionato]],10,FALSE),"-")</f>
        <v>0</v>
      </c>
      <c r="AQ122" s="63" t="str">
        <f>IFERROR(VLOOKUP(Table2[[#This Row],[Contraente]],Table1[[Nome/Ragione sociale]:[Checkbox selezionato]],11,FALSE),"-")</f>
        <v>SI</v>
      </c>
      <c r="AR122" s="63" t="str">
        <f>IFERROR(VLOOKUP(Table2[[#This Row],[Contraente]],Table1[[Nome/Ragione sociale]:[Checkbox selezionato]],12,FALSE),"-")</f>
        <v>SI</v>
      </c>
    </row>
    <row r="123" spans="1:44" ht="30" hidden="1" customHeight="1" x14ac:dyDescent="0.25">
      <c r="A123" s="60" t="str">
        <f>UPPER(LEFT(Table2[[#This Row],[Contraente]],1))</f>
        <v>B</v>
      </c>
      <c r="B123" s="60" t="s">
        <v>1634</v>
      </c>
      <c r="C123" s="80" t="s">
        <v>328</v>
      </c>
      <c r="D123" s="80" t="s">
        <v>37</v>
      </c>
      <c r="E123" s="85">
        <v>104179719</v>
      </c>
      <c r="F123" s="64">
        <v>42807</v>
      </c>
      <c r="G123" s="64">
        <f>IFERROR(CALCOLASCADENZA(Table2[[#This Row],[Data attivazione]],Table2[[#This Row],[Rateizzazione]],Table2[[#This Row],[Data ultimo pagamento]],Table2[[#This Row],[Data prossima scadenza manuale]]),"-")</f>
        <v>43148</v>
      </c>
      <c r="H123" s="67" t="s">
        <v>1628</v>
      </c>
      <c r="I123" s="67" t="s">
        <v>113</v>
      </c>
      <c r="J123" s="33">
        <f>IFERROR(Table2[[#This Row],[Importo annuale]]/(12/VLOOKUP(Table2[[#This Row],[Rateizzazione]],TIPI_RATEIZZAZIONI,2,FALSE)),"-")</f>
        <v>120</v>
      </c>
      <c r="K123" s="88">
        <v>120</v>
      </c>
      <c r="L123" s="88">
        <v>120</v>
      </c>
      <c r="M123" s="67" t="s">
        <v>43</v>
      </c>
      <c r="N123" s="67" t="s">
        <v>51</v>
      </c>
      <c r="O123" s="27" t="s">
        <v>1632</v>
      </c>
      <c r="P123" s="33" t="s">
        <v>23</v>
      </c>
      <c r="Q123" s="60">
        <f>IFERROR(IF(12 / VLOOKUP(Table2[[#This Row],[Rateizzazione]],TIPI_RATEIZZAZIONI,2,FALSE) &gt;=1,  IF(Table2[[#This Row],[Data attivazione]] = "","-",MONTH(Table2[[#This Row],[Data attivazione]])),"-"),"-")</f>
        <v>2</v>
      </c>
      <c r="R1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3" s="67" t="s">
        <v>2</v>
      </c>
      <c r="V123" s="62"/>
      <c r="W123" s="64">
        <v>39495</v>
      </c>
      <c r="X123" s="29">
        <f>DATE(YEAR(Table2[[#This Row],[Data attivazione]])+VLOOKUP(Table2[[#This Row],[Durata]],VALORE_DURATA,2,FALSE),MONTH(Table2[[#This Row],[Data attivazione]]),DAY(Table2[[#This Row],[Data attivazione]]))</f>
        <v>43148</v>
      </c>
      <c r="Y123" s="65"/>
      <c r="Z123" s="61"/>
      <c r="AA123" s="64" t="s">
        <v>85</v>
      </c>
      <c r="AB123" s="29" t="str">
        <f>IF(Table2[[#This Row],[Data ultimo versamento temp]]=0/1/1900,"-",Table2[[#This Row],[Data ultimo versamento temp]])</f>
        <v>-</v>
      </c>
      <c r="AC123" s="29">
        <f t="array" ref="AC123">MAX(IF(TableVersamenti[Polizza]=Table2[[#This Row],[Polizza]],TableVersamenti[Data prevista versamento],"-"))</f>
        <v>0</v>
      </c>
      <c r="AD123" s="62"/>
      <c r="AE123" s="106">
        <f>DATE(YEAR(Table2[[#This Row],[Data ultimo pagamento]]),MONTH(Table2[[#This Row],[Data ultimo pagamento]]), 1)</f>
        <v>42795</v>
      </c>
      <c r="AF123" s="106">
        <f>DATE(YEAR(Table2[[#This Row],[Data prossima scadenza]]),MONTH(Table2[[#This Row],[Data prossima scadenza]]), 1)</f>
        <v>43132</v>
      </c>
      <c r="AG123" s="33">
        <f>IFERROR(Table2[[#This Row],[Importo annuale]]*VLOOKUP(Table2[[#This Row],[Ramo]],RAMI_POLIZZA,2,FALSE),0)</f>
        <v>0</v>
      </c>
      <c r="AH123" s="65" t="s">
        <v>113</v>
      </c>
      <c r="AI123" s="63" t="str">
        <f>IFERROR(VLOOKUP(Table2[[#This Row],[Contraente]],Table1[[Nome/Ragione sociale]:[Checkbox selezionato]],2,FALSE),"-")</f>
        <v>BELGIOIOSO</v>
      </c>
      <c r="AJ123" s="63">
        <f>IFERROR(VLOOKUP(Table2[[#This Row],[Contraente]],Table1[[Nome/Ragione sociale]:[Checkbox selezionato]],3,FALSE),"-")</f>
        <v>3475845691</v>
      </c>
      <c r="AK123" s="63">
        <f>IFERROR(VLOOKUP(Table2[[#This Row],[Contraente]],Table1[[Nome/Ragione sociale]:[Checkbox selezionato]],4,FALSE),"-")</f>
        <v>0</v>
      </c>
      <c r="AL123" s="63" t="str">
        <f>IFERROR(VLOOKUP(Table2[[#This Row],[Contraente]],Table1[[Nome/Ragione sociale]:[Checkbox selezionato]],5,FALSE),"-")</f>
        <v>MATTEO</v>
      </c>
      <c r="AM123" s="62">
        <f>IFERROR(VLOOKUP(Table2[[#This Row],[Contraente]],Table1[[Nome/Ragione sociale]:[Checkbox selezionato]],6,FALSE),"-")</f>
        <v>30146</v>
      </c>
      <c r="AN123" s="63" t="str">
        <f>IFERROR(VLOOKUP(Table2[[#This Row],[Contraente]],Table1[[Nome/Ragione sociale]:[Checkbox selezionato]],7,FALSE),"-")</f>
        <v>papies@libero.it</v>
      </c>
      <c r="AO123" s="63">
        <f>IFERROR(VLOOKUP(Table2[[#This Row],[Contraente]],Table1[[Nome/Ragione sociale]:[Checkbox selezionato]],8,FALSE),"-")</f>
        <v>0</v>
      </c>
      <c r="AP123" s="63">
        <f>IFERROR(VLOOKUP(Table2[[#This Row],[Contraente]],Table1[[Nome/Ragione sociale]:[Checkbox selezionato]],10,FALSE),"-")</f>
        <v>3475845691</v>
      </c>
      <c r="AQ123" s="63" t="str">
        <f>IFERROR(VLOOKUP(Table2[[#This Row],[Contraente]],Table1[[Nome/Ragione sociale]:[Checkbox selezionato]],11,FALSE),"-")</f>
        <v>SI</v>
      </c>
      <c r="AR123" s="63" t="str">
        <f>IFERROR(VLOOKUP(Table2[[#This Row],[Contraente]],Table1[[Nome/Ragione sociale]:[Checkbox selezionato]],12,FALSE),"-")</f>
        <v>SI</v>
      </c>
    </row>
    <row r="124" spans="1:44" ht="30" hidden="1" customHeight="1" x14ac:dyDescent="0.25">
      <c r="A124" s="60" t="str">
        <f>UPPER(LEFT(Table2[[#This Row],[Contraente]],1))</f>
        <v>B</v>
      </c>
      <c r="B124" s="60" t="s">
        <v>1634</v>
      </c>
      <c r="C124" s="80" t="s">
        <v>320</v>
      </c>
      <c r="D124" s="80" t="s">
        <v>37</v>
      </c>
      <c r="E124" s="85">
        <v>106543945</v>
      </c>
      <c r="F124" s="64">
        <v>42870</v>
      </c>
      <c r="G124" s="64">
        <f>IFERROR(CALCOLASCADENZA(Table2[[#This Row],[Data attivazione]],Table2[[#This Row],[Rateizzazione]],Table2[[#This Row],[Data ultimo pagamento]],Table2[[#This Row],[Data prossima scadenza manuale]]),"-")</f>
        <v>43035</v>
      </c>
      <c r="H124" s="67" t="s">
        <v>31</v>
      </c>
      <c r="I124" s="67" t="s">
        <v>1176</v>
      </c>
      <c r="J124" s="33">
        <f>IFERROR(Table2[[#This Row],[Importo annuale]]/(12/VLOOKUP(Table2[[#This Row],[Rateizzazione]],TIPI_RATEIZZAZIONI,2,FALSE)),"-")</f>
        <v>482</v>
      </c>
      <c r="K124" s="88">
        <v>492</v>
      </c>
      <c r="L124" s="88">
        <v>964</v>
      </c>
      <c r="M124" s="67" t="s">
        <v>43</v>
      </c>
      <c r="N124" s="67" t="s">
        <v>52</v>
      </c>
      <c r="O124" s="27" t="s">
        <v>1631</v>
      </c>
      <c r="P124" s="33" t="s">
        <v>22</v>
      </c>
      <c r="Q124" s="60">
        <f>IFERROR(IF(12 / VLOOKUP(Table2[[#This Row],[Rateizzazione]],TIPI_RATEIZZAZIONI,2,FALSE) &gt;=1,  IF(Table2[[#This Row],[Data attivazione]] = "","-",MONTH(Table2[[#This Row],[Data attivazione]])),"-"),"-")</f>
        <v>10</v>
      </c>
      <c r="R1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4" s="67" t="s">
        <v>133</v>
      </c>
      <c r="V124" s="62"/>
      <c r="W124" s="64">
        <v>42670</v>
      </c>
      <c r="X124" s="29">
        <f>DATE(YEAR(Table2[[#This Row],[Data attivazione]])+VLOOKUP(Table2[[#This Row],[Durata]],VALORE_DURATA,2,FALSE),MONTH(Table2[[#This Row],[Data attivazione]]),DAY(Table2[[#This Row],[Data attivazione]]))</f>
        <v>43035</v>
      </c>
      <c r="Y124" s="65"/>
      <c r="Z124" s="61"/>
      <c r="AA124" s="64" t="s">
        <v>85</v>
      </c>
      <c r="AB124" s="29" t="str">
        <f>IF(Table2[[#This Row],[Data ultimo versamento temp]]=0/1/1900,"-",Table2[[#This Row],[Data ultimo versamento temp]])</f>
        <v>-</v>
      </c>
      <c r="AC124" s="29">
        <f t="array" ref="AC124">MAX(IF(TableVersamenti[Polizza]=Table2[[#This Row],[Polizza]],TableVersamenti[Data prevista versamento],"-"))</f>
        <v>0</v>
      </c>
      <c r="AD124" s="62"/>
      <c r="AE124" s="106">
        <f>DATE(YEAR(Table2[[#This Row],[Data ultimo pagamento]]),MONTH(Table2[[#This Row],[Data ultimo pagamento]]), 1)</f>
        <v>42856</v>
      </c>
      <c r="AF124" s="106">
        <f>DATE(YEAR(Table2[[#This Row],[Data prossima scadenza]]),MONTH(Table2[[#This Row],[Data prossima scadenza]]), 1)</f>
        <v>43009</v>
      </c>
      <c r="AG124" s="33">
        <f>IFERROR(Table2[[#This Row],[Importo annuale]]*VLOOKUP(Table2[[#This Row],[Ramo]],RAMI_POLIZZA,2,FALSE),0)</f>
        <v>50.128</v>
      </c>
      <c r="AH124" s="65" t="s">
        <v>113</v>
      </c>
      <c r="AI124" s="63" t="str">
        <f>IFERROR(VLOOKUP(Table2[[#This Row],[Contraente]],Table1[[Nome/Ragione sociale]:[Checkbox selezionato]],2,FALSE),"-")</f>
        <v>BOSNASCO</v>
      </c>
      <c r="AJ124" s="63">
        <f>IFERROR(VLOOKUP(Table2[[#This Row],[Contraente]],Table1[[Nome/Ragione sociale]:[Checkbox selezionato]],3,FALSE),"-")</f>
        <v>335283569</v>
      </c>
      <c r="AK124" s="63">
        <f>IFERROR(VLOOKUP(Table2[[#This Row],[Contraente]],Table1[[Nome/Ragione sociale]:[Checkbox selezionato]],4,FALSE),"-")</f>
        <v>0</v>
      </c>
      <c r="AL124" s="63" t="str">
        <f>IFERROR(VLOOKUP(Table2[[#This Row],[Contraente]],Table1[[Nome/Ragione sociale]:[Checkbox selezionato]],5,FALSE),"-")</f>
        <v>EUGENIO</v>
      </c>
      <c r="AM124" s="62" t="str">
        <f>IFERROR(VLOOKUP(Table2[[#This Row],[Contraente]],Table1[[Nome/Ragione sociale]:[Checkbox selezionato]],6,FALSE),"-")</f>
        <v>-</v>
      </c>
      <c r="AN124" s="63" t="str">
        <f>IFERROR(VLOOKUP(Table2[[#This Row],[Contraente]],Table1[[Nome/Ragione sociale]:[Checkbox selezionato]],7,FALSE),"-")</f>
        <v>papies@libero.it</v>
      </c>
      <c r="AO124" s="63">
        <f>IFERROR(VLOOKUP(Table2[[#This Row],[Contraente]],Table1[[Nome/Ragione sociale]:[Checkbox selezionato]],8,FALSE),"-")</f>
        <v>0</v>
      </c>
      <c r="AP124" s="63">
        <f>IFERROR(VLOOKUP(Table2[[#This Row],[Contraente]],Table1[[Nome/Ragione sociale]:[Checkbox selezionato]],10,FALSE),"-")</f>
        <v>335283569</v>
      </c>
      <c r="AQ124" s="63" t="str">
        <f>IFERROR(VLOOKUP(Table2[[#This Row],[Contraente]],Table1[[Nome/Ragione sociale]:[Checkbox selezionato]],11,FALSE),"-")</f>
        <v>SI</v>
      </c>
      <c r="AR124" s="63" t="str">
        <f>IFERROR(VLOOKUP(Table2[[#This Row],[Contraente]],Table1[[Nome/Ragione sociale]:[Checkbox selezionato]],12,FALSE),"-")</f>
        <v>SI</v>
      </c>
    </row>
    <row r="125" spans="1:44" ht="30" hidden="1" customHeight="1" x14ac:dyDescent="0.25">
      <c r="A125" s="60" t="str">
        <f>UPPER(LEFT(Table2[[#This Row],[Contraente]],1))</f>
        <v>B</v>
      </c>
      <c r="B125" s="60" t="s">
        <v>1634</v>
      </c>
      <c r="C125" s="80" t="s">
        <v>1705</v>
      </c>
      <c r="D125" s="80" t="s">
        <v>37</v>
      </c>
      <c r="E125" s="85">
        <v>106973889</v>
      </c>
      <c r="F125" s="64">
        <v>42898</v>
      </c>
      <c r="G125" s="64">
        <f>IFERROR(CALCOLASCADENZA(Table2[[#This Row],[Data attivazione]],Table2[[#This Row],[Rateizzazione]],Table2[[#This Row],[Data ultimo pagamento]],Table2[[#This Row],[Data prossima scadenza manuale]]),"-")</f>
        <v>43081</v>
      </c>
      <c r="H125" s="67" t="s">
        <v>31</v>
      </c>
      <c r="I125" s="67" t="s">
        <v>1744</v>
      </c>
      <c r="J125" s="33">
        <f>IFERROR(Table2[[#This Row],[Importo annuale]]/(12/VLOOKUP(Table2[[#This Row],[Rateizzazione]],TIPI_RATEIZZAZIONI,2,FALSE)),"-")</f>
        <v>450.86</v>
      </c>
      <c r="K125" s="88">
        <v>450.86</v>
      </c>
      <c r="L125" s="88">
        <v>901.72</v>
      </c>
      <c r="M125" s="67" t="s">
        <v>43</v>
      </c>
      <c r="N125" s="67" t="s">
        <v>52</v>
      </c>
      <c r="O125" s="27" t="s">
        <v>1631</v>
      </c>
      <c r="P125" s="33" t="s">
        <v>22</v>
      </c>
      <c r="Q125" s="60">
        <f>IFERROR(IF(12 / VLOOKUP(Table2[[#This Row],[Rateizzazione]],TIPI_RATEIZZAZIONI,2,FALSE) &gt;=1,  IF(Table2[[#This Row],[Data attivazione]] = "","-",MONTH(Table2[[#This Row],[Data attivazione]])),"-"),"-")</f>
        <v>12</v>
      </c>
      <c r="R1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5" s="67" t="s">
        <v>2</v>
      </c>
      <c r="V125" s="62"/>
      <c r="W125" s="64">
        <v>42716</v>
      </c>
      <c r="X125" s="29">
        <f>DATE(YEAR(Table2[[#This Row],[Data attivazione]])+VLOOKUP(Table2[[#This Row],[Durata]],VALORE_DURATA,2,FALSE),MONTH(Table2[[#This Row],[Data attivazione]]),DAY(Table2[[#This Row],[Data attivazione]]))</f>
        <v>43081</v>
      </c>
      <c r="Y125" s="65"/>
      <c r="Z125" s="61"/>
      <c r="AA125" s="64" t="s">
        <v>85</v>
      </c>
      <c r="AB125" s="29" t="str">
        <f>IF(Table2[[#This Row],[Data ultimo versamento temp]]=0/1/1900,"-",Table2[[#This Row],[Data ultimo versamento temp]])</f>
        <v>-</v>
      </c>
      <c r="AC125" s="29">
        <f t="array" ref="AC125">MAX(IF(TableVersamenti[Polizza]=Table2[[#This Row],[Polizza]],TableVersamenti[Data prevista versamento],"-"))</f>
        <v>0</v>
      </c>
      <c r="AD125" s="62"/>
      <c r="AE125" s="106">
        <f>DATE(YEAR(Table2[[#This Row],[Data ultimo pagamento]]),MONTH(Table2[[#This Row],[Data ultimo pagamento]]), 1)</f>
        <v>42887</v>
      </c>
      <c r="AF125" s="106">
        <f>DATE(YEAR(Table2[[#This Row],[Data prossima scadenza]]),MONTH(Table2[[#This Row],[Data prossima scadenza]]), 1)</f>
        <v>43070</v>
      </c>
      <c r="AG125" s="33">
        <f>IFERROR(Table2[[#This Row],[Importo annuale]]*VLOOKUP(Table2[[#This Row],[Ramo]],RAMI_POLIZZA,2,FALSE),0)</f>
        <v>46.88944</v>
      </c>
      <c r="AH125" s="65" t="s">
        <v>113</v>
      </c>
      <c r="AI125" s="63" t="str">
        <f>IFERROR(VLOOKUP(Table2[[#This Row],[Contraente]],Table1[[Nome/Ragione sociale]:[Checkbox selezionato]],2,FALSE),"-")</f>
        <v>CASTIRAGA VIDARDO</v>
      </c>
      <c r="AJ125" s="63">
        <f>IFERROR(VLOOKUP(Table2[[#This Row],[Contraente]],Table1[[Nome/Ragione sociale]:[Checkbox selezionato]],3,FALSE),"-")</f>
        <v>3533254514</v>
      </c>
      <c r="AK125" s="63">
        <f>IFERROR(VLOOKUP(Table2[[#This Row],[Contraente]],Table1[[Nome/Ragione sociale]:[Checkbox selezionato]],4,FALSE),"-")</f>
        <v>0</v>
      </c>
      <c r="AL125" s="63" t="str">
        <f>IFERROR(VLOOKUP(Table2[[#This Row],[Contraente]],Table1[[Nome/Ragione sociale]:[Checkbox selezionato]],5,FALSE),"-")</f>
        <v>BESLIU</v>
      </c>
      <c r="AM125" s="62">
        <f>IFERROR(VLOOKUP(Table2[[#This Row],[Contraente]],Table1[[Nome/Ragione sociale]:[Checkbox selezionato]],6,FALSE),"-")</f>
        <v>30473</v>
      </c>
      <c r="AN125" s="63" t="str">
        <f>IFERROR(VLOOKUP(Table2[[#This Row],[Contraente]],Table1[[Nome/Ragione sociale]:[Checkbox selezionato]],7,FALSE),"-")</f>
        <v>papies@email.it</v>
      </c>
      <c r="AO125" s="63">
        <f>IFERROR(VLOOKUP(Table2[[#This Row],[Contraente]],Table1[[Nome/Ragione sociale]:[Checkbox selezionato]],8,FALSE),"-")</f>
        <v>0</v>
      </c>
      <c r="AP125" s="63">
        <f>IFERROR(VLOOKUP(Table2[[#This Row],[Contraente]],Table1[[Nome/Ragione sociale]:[Checkbox selezionato]],10,FALSE),"-")</f>
        <v>3533254514</v>
      </c>
      <c r="AQ125" s="63" t="str">
        <f>IFERROR(VLOOKUP(Table2[[#This Row],[Contraente]],Table1[[Nome/Ragione sociale]:[Checkbox selezionato]],11,FALSE),"-")</f>
        <v>SI</v>
      </c>
      <c r="AR125" s="63" t="str">
        <f>IFERROR(VLOOKUP(Table2[[#This Row],[Contraente]],Table1[[Nome/Ragione sociale]:[Checkbox selezionato]],12,FALSE),"-")</f>
        <v>SI</v>
      </c>
    </row>
    <row r="126" spans="1:44" ht="30" hidden="1" customHeight="1" x14ac:dyDescent="0.25">
      <c r="A126" s="60" t="str">
        <f>UPPER(LEFT(Table2[[#This Row],[Contraente]],1))</f>
        <v>B</v>
      </c>
      <c r="B126" s="60" t="s">
        <v>1634</v>
      </c>
      <c r="C126" s="80" t="s">
        <v>336</v>
      </c>
      <c r="D126" s="80" t="s">
        <v>37</v>
      </c>
      <c r="E126" s="85">
        <v>105117598</v>
      </c>
      <c r="F126" s="64">
        <v>42718</v>
      </c>
      <c r="G126" s="64">
        <f>IFERROR(CALCOLASCADENZA(Table2[[#This Row],[Data attivazione]],Table2[[#This Row],[Rateizzazione]],Table2[[#This Row],[Data ultimo pagamento]],Table2[[#This Row],[Data prossima scadenza manuale]]),"-")</f>
        <v>43085</v>
      </c>
      <c r="H126" s="67" t="s">
        <v>30</v>
      </c>
      <c r="I126" s="67" t="s">
        <v>113</v>
      </c>
      <c r="J126" s="33">
        <f>IFERROR(Table2[[#This Row],[Importo annuale]]/(12/VLOOKUP(Table2[[#This Row],[Rateizzazione]],TIPI_RATEIZZAZIONI,2,FALSE)),"-")</f>
        <v>405</v>
      </c>
      <c r="K126" s="88"/>
      <c r="L126" s="88">
        <v>405</v>
      </c>
      <c r="M126" s="67" t="s">
        <v>44</v>
      </c>
      <c r="N126" s="67" t="s">
        <v>51</v>
      </c>
      <c r="O126" s="27" t="s">
        <v>1631</v>
      </c>
      <c r="P126" s="33" t="s">
        <v>23</v>
      </c>
      <c r="Q126" s="60">
        <f>IFERROR(IF(12 / VLOOKUP(Table2[[#This Row],[Rateizzazione]],TIPI_RATEIZZAZIONI,2,FALSE) &gt;=1,  IF(Table2[[#This Row],[Data attivazione]] = "","-",MONTH(Table2[[#This Row],[Data attivazione]])),"-"),"-")</f>
        <v>12</v>
      </c>
      <c r="R1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6" s="67" t="s">
        <v>2</v>
      </c>
      <c r="V126" s="62"/>
      <c r="W126" s="64">
        <v>42720</v>
      </c>
      <c r="X126" s="29">
        <f>DATE(YEAR(Table2[[#This Row],[Data attivazione]])+VLOOKUP(Table2[[#This Row],[Durata]],VALORE_DURATA,2,FALSE),MONTH(Table2[[#This Row],[Data attivazione]]),DAY(Table2[[#This Row],[Data attivazione]]))</f>
        <v>43085</v>
      </c>
      <c r="Y126" s="65"/>
      <c r="Z126" s="61"/>
      <c r="AA126" s="64" t="s">
        <v>85</v>
      </c>
      <c r="AB126" s="29" t="str">
        <f>IF(Table2[[#This Row],[Data ultimo versamento temp]]=0/1/1900,"-",Table2[[#This Row],[Data ultimo versamento temp]])</f>
        <v>-</v>
      </c>
      <c r="AC126" s="29">
        <f t="array" ref="AC126">MAX(IF(TableVersamenti[Polizza]=Table2[[#This Row],[Polizza]],TableVersamenti[Data prevista versamento],"-"))</f>
        <v>0</v>
      </c>
      <c r="AD126" s="62"/>
      <c r="AE126" s="106">
        <f>DATE(YEAR(Table2[[#This Row],[Data ultimo pagamento]]),MONTH(Table2[[#This Row],[Data ultimo pagamento]]), 1)</f>
        <v>42705</v>
      </c>
      <c r="AF126" s="106">
        <f>DATE(YEAR(Table2[[#This Row],[Data prossima scadenza]]),MONTH(Table2[[#This Row],[Data prossima scadenza]]), 1)</f>
        <v>43070</v>
      </c>
      <c r="AG126" s="33">
        <f>IFERROR(Table2[[#This Row],[Importo annuale]]*VLOOKUP(Table2[[#This Row],[Ramo]],RAMI_POLIZZA,2,FALSE),0)</f>
        <v>46.575000000000003</v>
      </c>
      <c r="AH126" s="65" t="s">
        <v>113</v>
      </c>
      <c r="AI126" s="63" t="str">
        <f>IFERROR(VLOOKUP(Table2[[#This Row],[Contraente]],Table1[[Nome/Ragione sociale]:[Checkbox selezionato]],2,FALSE),"-")</f>
        <v>ALBUZZANO</v>
      </c>
      <c r="AJ126" s="63">
        <f>IFERROR(VLOOKUP(Table2[[#This Row],[Contraente]],Table1[[Nome/Ragione sociale]:[Checkbox selezionato]],3,FALSE),"-")</f>
        <v>3772190648</v>
      </c>
      <c r="AK126" s="63">
        <f>IFERROR(VLOOKUP(Table2[[#This Row],[Contraente]],Table1[[Nome/Ragione sociale]:[Checkbox selezionato]],4,FALSE),"-")</f>
        <v>0</v>
      </c>
      <c r="AL126" s="63" t="str">
        <f>IFERROR(VLOOKUP(Table2[[#This Row],[Contraente]],Table1[[Nome/Ragione sociale]:[Checkbox selezionato]],5,FALSE),"-")</f>
        <v>GIUSEPPE</v>
      </c>
      <c r="AM126" s="62">
        <f>IFERROR(VLOOKUP(Table2[[#This Row],[Contraente]],Table1[[Nome/Ragione sociale]:[Checkbox selezionato]],6,FALSE),"-")</f>
        <v>13573</v>
      </c>
      <c r="AN126" s="63" t="str">
        <f>IFERROR(VLOOKUP(Table2[[#This Row],[Contraente]],Table1[[Nome/Ragione sociale]:[Checkbox selezionato]],7,FALSE),"-")</f>
        <v>papies@libero.it</v>
      </c>
      <c r="AO126" s="63">
        <f>IFERROR(VLOOKUP(Table2[[#This Row],[Contraente]],Table1[[Nome/Ragione sociale]:[Checkbox selezionato]],8,FALSE),"-")</f>
        <v>0</v>
      </c>
      <c r="AP126" s="63">
        <f>IFERROR(VLOOKUP(Table2[[#This Row],[Contraente]],Table1[[Nome/Ragione sociale]:[Checkbox selezionato]],10,FALSE),"-")</f>
        <v>3772190648</v>
      </c>
      <c r="AQ126" s="63" t="str">
        <f>IFERROR(VLOOKUP(Table2[[#This Row],[Contraente]],Table1[[Nome/Ragione sociale]:[Checkbox selezionato]],11,FALSE),"-")</f>
        <v>SI</v>
      </c>
      <c r="AR126" s="63" t="str">
        <f>IFERROR(VLOOKUP(Table2[[#This Row],[Contraente]],Table1[[Nome/Ragione sociale]:[Checkbox selezionato]],12,FALSE),"-")</f>
        <v>SI</v>
      </c>
    </row>
    <row r="127" spans="1:44" ht="30" hidden="1" customHeight="1" x14ac:dyDescent="0.25">
      <c r="A127" s="60" t="str">
        <f>UPPER(LEFT(Table2[[#This Row],[Contraente]],1))</f>
        <v>B</v>
      </c>
      <c r="B127" s="60" t="s">
        <v>1634</v>
      </c>
      <c r="C127" s="80" t="s">
        <v>336</v>
      </c>
      <c r="D127" s="80" t="s">
        <v>37</v>
      </c>
      <c r="E127" s="85">
        <v>106427208</v>
      </c>
      <c r="F127" s="64">
        <v>42751</v>
      </c>
      <c r="G127" s="64">
        <f>IFERROR(CALCOLASCADENZA(Table2[[#This Row],[Data attivazione]],Table2[[#This Row],[Rateizzazione]],Table2[[#This Row],[Data ultimo pagamento]],Table2[[#This Row],[Data prossima scadenza manuale]]),"-")</f>
        <v>43117</v>
      </c>
      <c r="H127" s="67" t="s">
        <v>31</v>
      </c>
      <c r="I127" s="67" t="s">
        <v>1184</v>
      </c>
      <c r="J127" s="33">
        <f>IFERROR(Table2[[#This Row],[Importo annuale]]/(12/VLOOKUP(Table2[[#This Row],[Rateizzazione]],TIPI_RATEIZZAZIONI,2,FALSE)),"-")</f>
        <v>90</v>
      </c>
      <c r="K127" s="88">
        <v>90</v>
      </c>
      <c r="L127" s="88">
        <v>90</v>
      </c>
      <c r="M127" s="67" t="s">
        <v>43</v>
      </c>
      <c r="N127" s="67" t="s">
        <v>51</v>
      </c>
      <c r="O127" s="27" t="s">
        <v>1631</v>
      </c>
      <c r="P127" s="33" t="s">
        <v>23</v>
      </c>
      <c r="Q127" s="60">
        <f>IFERROR(IF(12 / VLOOKUP(Table2[[#This Row],[Rateizzazione]],TIPI_RATEIZZAZIONI,2,FALSE) &gt;=1,  IF(Table2[[#This Row],[Data attivazione]] = "","-",MONTH(Table2[[#This Row],[Data attivazione]])),"-"),"-")</f>
        <v>1</v>
      </c>
      <c r="R1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7" s="67" t="s">
        <v>2</v>
      </c>
      <c r="V127" s="62"/>
      <c r="W127" s="64">
        <v>42752</v>
      </c>
      <c r="X127" s="29">
        <f>DATE(YEAR(Table2[[#This Row],[Data attivazione]])+VLOOKUP(Table2[[#This Row],[Durata]],VALORE_DURATA,2,FALSE),MONTH(Table2[[#This Row],[Data attivazione]]),DAY(Table2[[#This Row],[Data attivazione]]))</f>
        <v>43117</v>
      </c>
      <c r="Y127" s="65"/>
      <c r="Z127" s="61"/>
      <c r="AA127" s="64" t="s">
        <v>85</v>
      </c>
      <c r="AB127" s="29" t="str">
        <f>IF(Table2[[#This Row],[Data ultimo versamento temp]]=0/1/1900,"-",Table2[[#This Row],[Data ultimo versamento temp]])</f>
        <v>-</v>
      </c>
      <c r="AC127" s="29">
        <f t="array" ref="AC127">MAX(IF(TableVersamenti[Polizza]=Table2[[#This Row],[Polizza]],TableVersamenti[Data prevista versamento],"-"))</f>
        <v>0</v>
      </c>
      <c r="AD127" s="62"/>
      <c r="AE127" s="106">
        <f>DATE(YEAR(Table2[[#This Row],[Data ultimo pagamento]]),MONTH(Table2[[#This Row],[Data ultimo pagamento]]), 1)</f>
        <v>42736</v>
      </c>
      <c r="AF127" s="106">
        <f>DATE(YEAR(Table2[[#This Row],[Data prossima scadenza]]),MONTH(Table2[[#This Row],[Data prossima scadenza]]), 1)</f>
        <v>43101</v>
      </c>
      <c r="AG127" s="33">
        <f>IFERROR(Table2[[#This Row],[Importo annuale]]*VLOOKUP(Table2[[#This Row],[Ramo]],RAMI_POLIZZA,2,FALSE),0)</f>
        <v>4.68</v>
      </c>
      <c r="AH127" s="65" t="s">
        <v>113</v>
      </c>
      <c r="AI127" s="63" t="str">
        <f>IFERROR(VLOOKUP(Table2[[#This Row],[Contraente]],Table1[[Nome/Ragione sociale]:[Checkbox selezionato]],2,FALSE),"-")</f>
        <v>ALBUZZANO</v>
      </c>
      <c r="AJ127" s="63">
        <f>IFERROR(VLOOKUP(Table2[[#This Row],[Contraente]],Table1[[Nome/Ragione sociale]:[Checkbox selezionato]],3,FALSE),"-")</f>
        <v>3772190648</v>
      </c>
      <c r="AK127" s="63">
        <f>IFERROR(VLOOKUP(Table2[[#This Row],[Contraente]],Table1[[Nome/Ragione sociale]:[Checkbox selezionato]],4,FALSE),"-")</f>
        <v>0</v>
      </c>
      <c r="AL127" s="63" t="str">
        <f>IFERROR(VLOOKUP(Table2[[#This Row],[Contraente]],Table1[[Nome/Ragione sociale]:[Checkbox selezionato]],5,FALSE),"-")</f>
        <v>GIUSEPPE</v>
      </c>
      <c r="AM127" s="62">
        <f>IFERROR(VLOOKUP(Table2[[#This Row],[Contraente]],Table1[[Nome/Ragione sociale]:[Checkbox selezionato]],6,FALSE),"-")</f>
        <v>13573</v>
      </c>
      <c r="AN127" s="63" t="str">
        <f>IFERROR(VLOOKUP(Table2[[#This Row],[Contraente]],Table1[[Nome/Ragione sociale]:[Checkbox selezionato]],7,FALSE),"-")</f>
        <v>papies@libero.it</v>
      </c>
      <c r="AO127" s="63">
        <f>IFERROR(VLOOKUP(Table2[[#This Row],[Contraente]],Table1[[Nome/Ragione sociale]:[Checkbox selezionato]],8,FALSE),"-")</f>
        <v>0</v>
      </c>
      <c r="AP127" s="63">
        <f>IFERROR(VLOOKUP(Table2[[#This Row],[Contraente]],Table1[[Nome/Ragione sociale]:[Checkbox selezionato]],10,FALSE),"-")</f>
        <v>3772190648</v>
      </c>
      <c r="AQ127" s="63" t="str">
        <f>IFERROR(VLOOKUP(Table2[[#This Row],[Contraente]],Table1[[Nome/Ragione sociale]:[Checkbox selezionato]],11,FALSE),"-")</f>
        <v>SI</v>
      </c>
      <c r="AR127" s="63" t="str">
        <f>IFERROR(VLOOKUP(Table2[[#This Row],[Contraente]],Table1[[Nome/Ragione sociale]:[Checkbox selezionato]],12,FALSE),"-")</f>
        <v>SI</v>
      </c>
    </row>
    <row r="128" spans="1:44" ht="30" hidden="1" customHeight="1" x14ac:dyDescent="0.25">
      <c r="A128" s="60" t="str">
        <f>UPPER(LEFT(Table2[[#This Row],[Contraente]],1))</f>
        <v>B</v>
      </c>
      <c r="B128" s="60" t="s">
        <v>1634</v>
      </c>
      <c r="C128" s="80" t="s">
        <v>336</v>
      </c>
      <c r="D128" s="80" t="s">
        <v>37</v>
      </c>
      <c r="E128" s="85">
        <v>105913945</v>
      </c>
      <c r="F128" s="64">
        <v>42584</v>
      </c>
      <c r="G128" s="64">
        <f>IFERROR(CALCOLASCADENZA(Table2[[#This Row],[Data attivazione]],Table2[[#This Row],[Rateizzazione]],Table2[[#This Row],[Data ultimo pagamento]],Table2[[#This Row],[Data prossima scadenza manuale]]),"-")</f>
        <v>42956</v>
      </c>
      <c r="H128" s="67" t="s">
        <v>31</v>
      </c>
      <c r="I128" s="67" t="s">
        <v>1185</v>
      </c>
      <c r="J128" s="33">
        <f>IFERROR(Table2[[#This Row],[Importo annuale]]/(12/VLOOKUP(Table2[[#This Row],[Rateizzazione]],TIPI_RATEIZZAZIONI,2,FALSE)),"-")</f>
        <v>81</v>
      </c>
      <c r="K128" s="88"/>
      <c r="L128" s="88">
        <v>81</v>
      </c>
      <c r="M128" s="67" t="s">
        <v>44</v>
      </c>
      <c r="N128" s="67" t="s">
        <v>51</v>
      </c>
      <c r="O128" s="27" t="s">
        <v>1631</v>
      </c>
      <c r="P128" s="33" t="s">
        <v>23</v>
      </c>
      <c r="Q128" s="60">
        <f>IFERROR(IF(12 / VLOOKUP(Table2[[#This Row],[Rateizzazione]],TIPI_RATEIZZAZIONI,2,FALSE) &gt;=1,  IF(Table2[[#This Row],[Data attivazione]] = "","-",MONTH(Table2[[#This Row],[Data attivazione]])),"-"),"-")</f>
        <v>8</v>
      </c>
      <c r="R1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8" s="67" t="s">
        <v>2</v>
      </c>
      <c r="V128" s="62"/>
      <c r="W128" s="64">
        <v>42591</v>
      </c>
      <c r="X128" s="29">
        <f>DATE(YEAR(Table2[[#This Row],[Data attivazione]])+VLOOKUP(Table2[[#This Row],[Durata]],VALORE_DURATA,2,FALSE),MONTH(Table2[[#This Row],[Data attivazione]]),DAY(Table2[[#This Row],[Data attivazione]]))</f>
        <v>42956</v>
      </c>
      <c r="Y128" s="65"/>
      <c r="Z128" s="61"/>
      <c r="AA128" s="64" t="s">
        <v>85</v>
      </c>
      <c r="AB128" s="29" t="str">
        <f>IF(Table2[[#This Row],[Data ultimo versamento temp]]=0/1/1900,"-",Table2[[#This Row],[Data ultimo versamento temp]])</f>
        <v>-</v>
      </c>
      <c r="AC128" s="29">
        <f t="array" ref="AC128">MAX(IF(TableVersamenti[Polizza]=Table2[[#This Row],[Polizza]],TableVersamenti[Data prevista versamento],"-"))</f>
        <v>0</v>
      </c>
      <c r="AD128" s="62"/>
      <c r="AE128" s="106">
        <f>DATE(YEAR(Table2[[#This Row],[Data ultimo pagamento]]),MONTH(Table2[[#This Row],[Data ultimo pagamento]]), 1)</f>
        <v>42583</v>
      </c>
      <c r="AF128" s="106">
        <f>DATE(YEAR(Table2[[#This Row],[Data prossima scadenza]]),MONTH(Table2[[#This Row],[Data prossima scadenza]]), 1)</f>
        <v>42948</v>
      </c>
      <c r="AG128" s="33">
        <f>IFERROR(Table2[[#This Row],[Importo annuale]]*VLOOKUP(Table2[[#This Row],[Ramo]],RAMI_POLIZZA,2,FALSE),0)</f>
        <v>4.2119999999999997</v>
      </c>
      <c r="AH128" s="65" t="s">
        <v>113</v>
      </c>
      <c r="AI128" s="63" t="str">
        <f>IFERROR(VLOOKUP(Table2[[#This Row],[Contraente]],Table1[[Nome/Ragione sociale]:[Checkbox selezionato]],2,FALSE),"-")</f>
        <v>ALBUZZANO</v>
      </c>
      <c r="AJ128" s="63">
        <f>IFERROR(VLOOKUP(Table2[[#This Row],[Contraente]],Table1[[Nome/Ragione sociale]:[Checkbox selezionato]],3,FALSE),"-")</f>
        <v>3772190648</v>
      </c>
      <c r="AK128" s="63">
        <f>IFERROR(VLOOKUP(Table2[[#This Row],[Contraente]],Table1[[Nome/Ragione sociale]:[Checkbox selezionato]],4,FALSE),"-")</f>
        <v>0</v>
      </c>
      <c r="AL128" s="63" t="str">
        <f>IFERROR(VLOOKUP(Table2[[#This Row],[Contraente]],Table1[[Nome/Ragione sociale]:[Checkbox selezionato]],5,FALSE),"-")</f>
        <v>GIUSEPPE</v>
      </c>
      <c r="AM128" s="62">
        <f>IFERROR(VLOOKUP(Table2[[#This Row],[Contraente]],Table1[[Nome/Ragione sociale]:[Checkbox selezionato]],6,FALSE),"-")</f>
        <v>13573</v>
      </c>
      <c r="AN128" s="63" t="str">
        <f>IFERROR(VLOOKUP(Table2[[#This Row],[Contraente]],Table1[[Nome/Ragione sociale]:[Checkbox selezionato]],7,FALSE),"-")</f>
        <v>papies@libero.it</v>
      </c>
      <c r="AO128" s="63">
        <f>IFERROR(VLOOKUP(Table2[[#This Row],[Contraente]],Table1[[Nome/Ragione sociale]:[Checkbox selezionato]],8,FALSE),"-")</f>
        <v>0</v>
      </c>
      <c r="AP128" s="63">
        <f>IFERROR(VLOOKUP(Table2[[#This Row],[Contraente]],Table1[[Nome/Ragione sociale]:[Checkbox selezionato]],10,FALSE),"-")</f>
        <v>3772190648</v>
      </c>
      <c r="AQ128" s="63" t="str">
        <f>IFERROR(VLOOKUP(Table2[[#This Row],[Contraente]],Table1[[Nome/Ragione sociale]:[Checkbox selezionato]],11,FALSE),"-")</f>
        <v>SI</v>
      </c>
      <c r="AR128" s="63" t="str">
        <f>IFERROR(VLOOKUP(Table2[[#This Row],[Contraente]],Table1[[Nome/Ragione sociale]:[Checkbox selezionato]],12,FALSE),"-")</f>
        <v>SI</v>
      </c>
    </row>
    <row r="129" spans="1:44" ht="30" hidden="1" customHeight="1" x14ac:dyDescent="0.25">
      <c r="A129" s="60" t="str">
        <f>UPPER(LEFT(Table2[[#This Row],[Contraente]],1))</f>
        <v>B</v>
      </c>
      <c r="B129" s="60" t="s">
        <v>1634</v>
      </c>
      <c r="C129" s="80" t="s">
        <v>336</v>
      </c>
      <c r="D129" s="80" t="s">
        <v>37</v>
      </c>
      <c r="E129" s="85">
        <v>105913917</v>
      </c>
      <c r="F129" s="64">
        <v>42584</v>
      </c>
      <c r="G129" s="64">
        <f>IFERROR(CALCOLASCADENZA(Table2[[#This Row],[Data attivazione]],Table2[[#This Row],[Rateizzazione]],Table2[[#This Row],[Data ultimo pagamento]],Table2[[#This Row],[Data prossima scadenza manuale]]),"-")</f>
        <v>42951</v>
      </c>
      <c r="H129" s="67" t="s">
        <v>31</v>
      </c>
      <c r="I129" s="67" t="s">
        <v>1186</v>
      </c>
      <c r="J129" s="33">
        <f>IFERROR(Table2[[#This Row],[Importo annuale]]/(12/VLOOKUP(Table2[[#This Row],[Rateizzazione]],TIPI_RATEIZZAZIONI,2,FALSE)),"-")</f>
        <v>81</v>
      </c>
      <c r="K129" s="88"/>
      <c r="L129" s="88">
        <v>81</v>
      </c>
      <c r="M129" s="67" t="s">
        <v>44</v>
      </c>
      <c r="N129" s="67" t="s">
        <v>51</v>
      </c>
      <c r="O129" s="27" t="s">
        <v>1631</v>
      </c>
      <c r="P129" s="33" t="s">
        <v>23</v>
      </c>
      <c r="Q129" s="60">
        <f>IFERROR(IF(12 / VLOOKUP(Table2[[#This Row],[Rateizzazione]],TIPI_RATEIZZAZIONI,2,FALSE) &gt;=1,  IF(Table2[[#This Row],[Data attivazione]] = "","-",MONTH(Table2[[#This Row],[Data attivazione]])),"-"),"-")</f>
        <v>8</v>
      </c>
      <c r="R1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9" s="67" t="s">
        <v>2</v>
      </c>
      <c r="V129" s="62"/>
      <c r="W129" s="64">
        <v>42586</v>
      </c>
      <c r="X129" s="29">
        <f>DATE(YEAR(Table2[[#This Row],[Data attivazione]])+VLOOKUP(Table2[[#This Row],[Durata]],VALORE_DURATA,2,FALSE),MONTH(Table2[[#This Row],[Data attivazione]]),DAY(Table2[[#This Row],[Data attivazione]]))</f>
        <v>42951</v>
      </c>
      <c r="Y129" s="65"/>
      <c r="Z129" s="61"/>
      <c r="AA129" s="64" t="s">
        <v>85</v>
      </c>
      <c r="AB129" s="29" t="str">
        <f>IF(Table2[[#This Row],[Data ultimo versamento temp]]=0/1/1900,"-",Table2[[#This Row],[Data ultimo versamento temp]])</f>
        <v>-</v>
      </c>
      <c r="AC129" s="29">
        <f t="array" ref="AC129">MAX(IF(TableVersamenti[Polizza]=Table2[[#This Row],[Polizza]],TableVersamenti[Data prevista versamento],"-"))</f>
        <v>0</v>
      </c>
      <c r="AD129" s="62"/>
      <c r="AE129" s="106">
        <f>DATE(YEAR(Table2[[#This Row],[Data ultimo pagamento]]),MONTH(Table2[[#This Row],[Data ultimo pagamento]]), 1)</f>
        <v>42583</v>
      </c>
      <c r="AF129" s="106">
        <f>DATE(YEAR(Table2[[#This Row],[Data prossima scadenza]]),MONTH(Table2[[#This Row],[Data prossima scadenza]]), 1)</f>
        <v>42948</v>
      </c>
      <c r="AG129" s="33">
        <f>IFERROR(Table2[[#This Row],[Importo annuale]]*VLOOKUP(Table2[[#This Row],[Ramo]],RAMI_POLIZZA,2,FALSE),0)</f>
        <v>4.2119999999999997</v>
      </c>
      <c r="AH129" s="65" t="s">
        <v>113</v>
      </c>
      <c r="AI129" s="63" t="str">
        <f>IFERROR(VLOOKUP(Table2[[#This Row],[Contraente]],Table1[[Nome/Ragione sociale]:[Checkbox selezionato]],2,FALSE),"-")</f>
        <v>ALBUZZANO</v>
      </c>
      <c r="AJ129" s="63">
        <f>IFERROR(VLOOKUP(Table2[[#This Row],[Contraente]],Table1[[Nome/Ragione sociale]:[Checkbox selezionato]],3,FALSE),"-")</f>
        <v>3772190648</v>
      </c>
      <c r="AK129" s="63">
        <f>IFERROR(VLOOKUP(Table2[[#This Row],[Contraente]],Table1[[Nome/Ragione sociale]:[Checkbox selezionato]],4,FALSE),"-")</f>
        <v>0</v>
      </c>
      <c r="AL129" s="63" t="str">
        <f>IFERROR(VLOOKUP(Table2[[#This Row],[Contraente]],Table1[[Nome/Ragione sociale]:[Checkbox selezionato]],5,FALSE),"-")</f>
        <v>GIUSEPPE</v>
      </c>
      <c r="AM129" s="62">
        <f>IFERROR(VLOOKUP(Table2[[#This Row],[Contraente]],Table1[[Nome/Ragione sociale]:[Checkbox selezionato]],6,FALSE),"-")</f>
        <v>13573</v>
      </c>
      <c r="AN129" s="63" t="str">
        <f>IFERROR(VLOOKUP(Table2[[#This Row],[Contraente]],Table1[[Nome/Ragione sociale]:[Checkbox selezionato]],7,FALSE),"-")</f>
        <v>papies@libero.it</v>
      </c>
      <c r="AO129" s="63">
        <f>IFERROR(VLOOKUP(Table2[[#This Row],[Contraente]],Table1[[Nome/Ragione sociale]:[Checkbox selezionato]],8,FALSE),"-")</f>
        <v>0</v>
      </c>
      <c r="AP129" s="63">
        <f>IFERROR(VLOOKUP(Table2[[#This Row],[Contraente]],Table1[[Nome/Ragione sociale]:[Checkbox selezionato]],10,FALSE),"-")</f>
        <v>3772190648</v>
      </c>
      <c r="AQ129" s="63" t="str">
        <f>IFERROR(VLOOKUP(Table2[[#This Row],[Contraente]],Table1[[Nome/Ragione sociale]:[Checkbox selezionato]],11,FALSE),"-")</f>
        <v>SI</v>
      </c>
      <c r="AR129" s="63" t="str">
        <f>IFERROR(VLOOKUP(Table2[[#This Row],[Contraente]],Table1[[Nome/Ragione sociale]:[Checkbox selezionato]],12,FALSE),"-")</f>
        <v>SI</v>
      </c>
    </row>
    <row r="130" spans="1:44" ht="30" hidden="1" customHeight="1" x14ac:dyDescent="0.25">
      <c r="A130" s="60" t="str">
        <f>UPPER(LEFT(Table2[[#This Row],[Contraente]],1))</f>
        <v>B</v>
      </c>
      <c r="B130" s="60" t="s">
        <v>1634</v>
      </c>
      <c r="C130" s="81" t="s">
        <v>337</v>
      </c>
      <c r="D130" s="80" t="s">
        <v>37</v>
      </c>
      <c r="E130" s="86">
        <v>106701462</v>
      </c>
      <c r="F130" s="64">
        <v>42829</v>
      </c>
      <c r="G130" s="64">
        <f>IFERROR(CALCOLASCADENZA(Table2[[#This Row],[Data attivazione]],Table2[[#This Row],[Rateizzazione]],Table2[[#This Row],[Data ultimo pagamento]],Table2[[#This Row],[Data prossima scadenza manuale]]),"-")</f>
        <v>43009</v>
      </c>
      <c r="H130" s="67" t="s">
        <v>31</v>
      </c>
      <c r="I130" s="67" t="s">
        <v>1187</v>
      </c>
      <c r="J130" s="33">
        <f>IFERROR(Table2[[#This Row],[Importo annuale]]/(12/VLOOKUP(Table2[[#This Row],[Rateizzazione]],TIPI_RATEIZZAZIONI,2,FALSE)),"-")</f>
        <v>480.7</v>
      </c>
      <c r="K130" s="88">
        <v>480.7</v>
      </c>
      <c r="L130" s="88">
        <v>961.4</v>
      </c>
      <c r="M130" s="67" t="s">
        <v>44</v>
      </c>
      <c r="N130" s="67" t="s">
        <v>51</v>
      </c>
      <c r="O130" s="27" t="s">
        <v>1631</v>
      </c>
      <c r="P130" s="33" t="s">
        <v>22</v>
      </c>
      <c r="Q130" s="60">
        <f>IFERROR(IF(12 / VLOOKUP(Table2[[#This Row],[Rateizzazione]],TIPI_RATEIZZAZIONI,2,FALSE) &gt;=1,  IF(Table2[[#This Row],[Data attivazione]] = "","-",MONTH(Table2[[#This Row],[Data attivazione]])),"-"),"-")</f>
        <v>10</v>
      </c>
      <c r="R1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0" s="67" t="s">
        <v>2</v>
      </c>
      <c r="V130" s="62"/>
      <c r="W130" s="64">
        <v>42644</v>
      </c>
      <c r="X130" s="29">
        <f>DATE(YEAR(Table2[[#This Row],[Data attivazione]])+VLOOKUP(Table2[[#This Row],[Durata]],VALORE_DURATA,2,FALSE),MONTH(Table2[[#This Row],[Data attivazione]]),DAY(Table2[[#This Row],[Data attivazione]]))</f>
        <v>43009</v>
      </c>
      <c r="Y130" s="65"/>
      <c r="Z130" s="61"/>
      <c r="AA130" s="64" t="s">
        <v>85</v>
      </c>
      <c r="AB130" s="29" t="str">
        <f>IF(Table2[[#This Row],[Data ultimo versamento temp]]=0/1/1900,"-",Table2[[#This Row],[Data ultimo versamento temp]])</f>
        <v>-</v>
      </c>
      <c r="AC130" s="29">
        <f t="array" ref="AC130">MAX(IF(TableVersamenti[Polizza]=Table2[[#This Row],[Polizza]],TableVersamenti[Data prevista versamento],"-"))</f>
        <v>0</v>
      </c>
      <c r="AD130" s="62"/>
      <c r="AE130" s="106">
        <f>DATE(YEAR(Table2[[#This Row],[Data ultimo pagamento]]),MONTH(Table2[[#This Row],[Data ultimo pagamento]]), 1)</f>
        <v>42826</v>
      </c>
      <c r="AF130" s="106">
        <f>DATE(YEAR(Table2[[#This Row],[Data prossima scadenza]]),MONTH(Table2[[#This Row],[Data prossima scadenza]]), 1)</f>
        <v>43009</v>
      </c>
      <c r="AG130" s="33">
        <f>IFERROR(Table2[[#This Row],[Importo annuale]]*VLOOKUP(Table2[[#This Row],[Ramo]],RAMI_POLIZZA,2,FALSE),0)</f>
        <v>49.992799999999995</v>
      </c>
      <c r="AH130" s="65" t="s">
        <v>113</v>
      </c>
      <c r="AI130" s="63" t="str">
        <f>IFERROR(VLOOKUP(Table2[[#This Row],[Contraente]],Table1[[Nome/Ragione sociale]:[Checkbox selezionato]],2,FALSE),"-")</f>
        <v>ALBUZZANO</v>
      </c>
      <c r="AJ130" s="63">
        <f>IFERROR(VLOOKUP(Table2[[#This Row],[Contraente]],Table1[[Nome/Ragione sociale]:[Checkbox selezionato]],3,FALSE),"-")</f>
        <v>3338263893</v>
      </c>
      <c r="AK130" s="63">
        <f>IFERROR(VLOOKUP(Table2[[#This Row],[Contraente]],Table1[[Nome/Ragione sociale]:[Checkbox selezionato]],4,FALSE),"-")</f>
        <v>0</v>
      </c>
      <c r="AL130" s="63" t="str">
        <f>IFERROR(VLOOKUP(Table2[[#This Row],[Contraente]],Table1[[Nome/Ragione sociale]:[Checkbox selezionato]],5,FALSE),"-")</f>
        <v>MAURIZIO</v>
      </c>
      <c r="AM130" s="62">
        <f>IFERROR(VLOOKUP(Table2[[#This Row],[Contraente]],Table1[[Nome/Ragione sociale]:[Checkbox selezionato]],6,FALSE),"-")</f>
        <v>26314</v>
      </c>
      <c r="AN130" s="63" t="str">
        <f>IFERROR(VLOOKUP(Table2[[#This Row],[Contraente]],Table1[[Nome/Ragione sociale]:[Checkbox selezionato]],7,FALSE),"-")</f>
        <v>papies@libero.it</v>
      </c>
      <c r="AO130" s="63">
        <f>IFERROR(VLOOKUP(Table2[[#This Row],[Contraente]],Table1[[Nome/Ragione sociale]:[Checkbox selezionato]],8,FALSE),"-")</f>
        <v>0</v>
      </c>
      <c r="AP130" s="63">
        <f>IFERROR(VLOOKUP(Table2[[#This Row],[Contraente]],Table1[[Nome/Ragione sociale]:[Checkbox selezionato]],10,FALSE),"-")</f>
        <v>3338263893</v>
      </c>
      <c r="AQ130" s="63" t="str">
        <f>IFERROR(VLOOKUP(Table2[[#This Row],[Contraente]],Table1[[Nome/Ragione sociale]:[Checkbox selezionato]],11,FALSE),"-")</f>
        <v>SI</v>
      </c>
      <c r="AR130" s="63" t="str">
        <f>IFERROR(VLOOKUP(Table2[[#This Row],[Contraente]],Table1[[Nome/Ragione sociale]:[Checkbox selezionato]],12,FALSE),"-")</f>
        <v>SI</v>
      </c>
    </row>
    <row r="131" spans="1:44" ht="30" hidden="1" customHeight="1" x14ac:dyDescent="0.25">
      <c r="A131" s="60" t="str">
        <f>UPPER(LEFT(Table2[[#This Row],[Contraente]],1))</f>
        <v>B</v>
      </c>
      <c r="B131" s="60" t="s">
        <v>1634</v>
      </c>
      <c r="C131" s="81" t="s">
        <v>337</v>
      </c>
      <c r="D131" s="80" t="s">
        <v>37</v>
      </c>
      <c r="E131" s="86">
        <v>105000677</v>
      </c>
      <c r="F131" s="64">
        <v>42829</v>
      </c>
      <c r="G131" s="64">
        <f>IFERROR(CALCOLASCADENZA(Table2[[#This Row],[Data attivazione]],Table2[[#This Row],[Rateizzazione]],Table2[[#This Row],[Data ultimo pagamento]],Table2[[#This Row],[Data prossima scadenza manuale]]),"-")</f>
        <v>43009</v>
      </c>
      <c r="H131" s="67" t="s">
        <v>30</v>
      </c>
      <c r="I131" s="67" t="s">
        <v>113</v>
      </c>
      <c r="J131" s="33">
        <f>IFERROR(Table2[[#This Row],[Importo annuale]]/(12/VLOOKUP(Table2[[#This Row],[Rateizzazione]],TIPI_RATEIZZAZIONI,2,FALSE)),"-")</f>
        <v>31</v>
      </c>
      <c r="K131" s="88">
        <v>31</v>
      </c>
      <c r="L131" s="88">
        <v>62</v>
      </c>
      <c r="M131" s="67" t="s">
        <v>44</v>
      </c>
      <c r="N131" s="67" t="s">
        <v>51</v>
      </c>
      <c r="O131" s="27" t="s">
        <v>1631</v>
      </c>
      <c r="P131" s="33" t="s">
        <v>22</v>
      </c>
      <c r="Q131" s="60">
        <f>IFERROR(IF(12 / VLOOKUP(Table2[[#This Row],[Rateizzazione]],TIPI_RATEIZZAZIONI,2,FALSE) &gt;=1,  IF(Table2[[#This Row],[Data attivazione]] = "","-",MONTH(Table2[[#This Row],[Data attivazione]])),"-"),"-")</f>
        <v>10</v>
      </c>
      <c r="R1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1" s="67" t="s">
        <v>2</v>
      </c>
      <c r="V131" s="62"/>
      <c r="W131" s="64">
        <v>42644</v>
      </c>
      <c r="X131" s="29">
        <f>DATE(YEAR(Table2[[#This Row],[Data attivazione]])+VLOOKUP(Table2[[#This Row],[Durata]],VALORE_DURATA,2,FALSE),MONTH(Table2[[#This Row],[Data attivazione]]),DAY(Table2[[#This Row],[Data attivazione]]))</f>
        <v>43009</v>
      </c>
      <c r="Y131" s="65"/>
      <c r="Z131" s="61"/>
      <c r="AA131" s="64" t="s">
        <v>85</v>
      </c>
      <c r="AB131" s="29" t="str">
        <f>IF(Table2[[#This Row],[Data ultimo versamento temp]]=0/1/1900,"-",Table2[[#This Row],[Data ultimo versamento temp]])</f>
        <v>-</v>
      </c>
      <c r="AC131" s="29">
        <f t="array" ref="AC131">MAX(IF(TableVersamenti[Polizza]=Table2[[#This Row],[Polizza]],TableVersamenti[Data prevista versamento],"-"))</f>
        <v>0</v>
      </c>
      <c r="AD131" s="62"/>
      <c r="AE131" s="106">
        <f>DATE(YEAR(Table2[[#This Row],[Data ultimo pagamento]]),MONTH(Table2[[#This Row],[Data ultimo pagamento]]), 1)</f>
        <v>42826</v>
      </c>
      <c r="AF131" s="106">
        <f>DATE(YEAR(Table2[[#This Row],[Data prossima scadenza]]),MONTH(Table2[[#This Row],[Data prossima scadenza]]), 1)</f>
        <v>43009</v>
      </c>
      <c r="AG131" s="33">
        <f>IFERROR(Table2[[#This Row],[Importo annuale]]*VLOOKUP(Table2[[#This Row],[Ramo]],RAMI_POLIZZA,2,FALSE),0)</f>
        <v>7.13</v>
      </c>
      <c r="AH131" s="65" t="s">
        <v>113</v>
      </c>
      <c r="AI131" s="63" t="str">
        <f>IFERROR(VLOOKUP(Table2[[#This Row],[Contraente]],Table1[[Nome/Ragione sociale]:[Checkbox selezionato]],2,FALSE),"-")</f>
        <v>ALBUZZANO</v>
      </c>
      <c r="AJ131" s="63">
        <f>IFERROR(VLOOKUP(Table2[[#This Row],[Contraente]],Table1[[Nome/Ragione sociale]:[Checkbox selezionato]],3,FALSE),"-")</f>
        <v>3338263893</v>
      </c>
      <c r="AK131" s="63">
        <f>IFERROR(VLOOKUP(Table2[[#This Row],[Contraente]],Table1[[Nome/Ragione sociale]:[Checkbox selezionato]],4,FALSE),"-")</f>
        <v>0</v>
      </c>
      <c r="AL131" s="63" t="str">
        <f>IFERROR(VLOOKUP(Table2[[#This Row],[Contraente]],Table1[[Nome/Ragione sociale]:[Checkbox selezionato]],5,FALSE),"-")</f>
        <v>MAURIZIO</v>
      </c>
      <c r="AM131" s="62">
        <f>IFERROR(VLOOKUP(Table2[[#This Row],[Contraente]],Table1[[Nome/Ragione sociale]:[Checkbox selezionato]],6,FALSE),"-")</f>
        <v>26314</v>
      </c>
      <c r="AN131" s="63" t="str">
        <f>IFERROR(VLOOKUP(Table2[[#This Row],[Contraente]],Table1[[Nome/Ragione sociale]:[Checkbox selezionato]],7,FALSE),"-")</f>
        <v>papies@libero.it</v>
      </c>
      <c r="AO131" s="63">
        <f>IFERROR(VLOOKUP(Table2[[#This Row],[Contraente]],Table1[[Nome/Ragione sociale]:[Checkbox selezionato]],8,FALSE),"-")</f>
        <v>0</v>
      </c>
      <c r="AP131" s="63">
        <f>IFERROR(VLOOKUP(Table2[[#This Row],[Contraente]],Table1[[Nome/Ragione sociale]:[Checkbox selezionato]],10,FALSE),"-")</f>
        <v>3338263893</v>
      </c>
      <c r="AQ131" s="63" t="str">
        <f>IFERROR(VLOOKUP(Table2[[#This Row],[Contraente]],Table1[[Nome/Ragione sociale]:[Checkbox selezionato]],11,FALSE),"-")</f>
        <v>SI</v>
      </c>
      <c r="AR131" s="63" t="str">
        <f>IFERROR(VLOOKUP(Table2[[#This Row],[Contraente]],Table1[[Nome/Ragione sociale]:[Checkbox selezionato]],12,FALSE),"-")</f>
        <v>SI</v>
      </c>
    </row>
    <row r="132" spans="1:44" ht="30" hidden="1" customHeight="1" x14ac:dyDescent="0.25">
      <c r="A132" s="60" t="str">
        <f>UPPER(LEFT(Table2[[#This Row],[Contraente]],1))</f>
        <v>B</v>
      </c>
      <c r="B132" s="60" t="s">
        <v>1634</v>
      </c>
      <c r="C132" s="81" t="s">
        <v>338</v>
      </c>
      <c r="D132" s="80" t="s">
        <v>37</v>
      </c>
      <c r="E132" s="86">
        <v>1048954</v>
      </c>
      <c r="F132" s="64">
        <v>42754</v>
      </c>
      <c r="G132" s="64">
        <f>IFERROR(CALCOLASCADENZA(Table2[[#This Row],[Data attivazione]],Table2[[#This Row],[Rateizzazione]],Table2[[#This Row],[Data ultimo pagamento]],Table2[[#This Row],[Data prossima scadenza manuale]]),"-")</f>
        <v>43126</v>
      </c>
      <c r="H132" s="67" t="s">
        <v>32</v>
      </c>
      <c r="I132" s="67" t="s">
        <v>113</v>
      </c>
      <c r="J132" s="33">
        <f>IFERROR(Table2[[#This Row],[Importo annuale]]/(12/VLOOKUP(Table2[[#This Row],[Rateizzazione]],TIPI_RATEIZZAZIONI,2,FALSE)),"-")</f>
        <v>1212.24</v>
      </c>
      <c r="K132" s="88">
        <v>1212.24</v>
      </c>
      <c r="L132" s="88">
        <v>1212.24</v>
      </c>
      <c r="M132" s="67" t="s">
        <v>44</v>
      </c>
      <c r="N132" s="67" t="s">
        <v>51</v>
      </c>
      <c r="O132" s="27" t="s">
        <v>1632</v>
      </c>
      <c r="P132" s="33" t="s">
        <v>23</v>
      </c>
      <c r="Q132" s="60">
        <f>IFERROR(IF(12 / VLOOKUP(Table2[[#This Row],[Rateizzazione]],TIPI_RATEIZZAZIONI,2,FALSE) &gt;=1,  IF(Table2[[#This Row],[Data attivazione]] = "","-",MONTH(Table2[[#This Row],[Data attivazione]])),"-"),"-")</f>
        <v>1</v>
      </c>
      <c r="R1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2" s="67" t="s">
        <v>2</v>
      </c>
      <c r="V132" s="62"/>
      <c r="W132" s="64">
        <v>39473</v>
      </c>
      <c r="X132" s="29">
        <f>DATE(YEAR(Table2[[#This Row],[Data attivazione]])+VLOOKUP(Table2[[#This Row],[Durata]],VALORE_DURATA,2,FALSE),MONTH(Table2[[#This Row],[Data attivazione]]),DAY(Table2[[#This Row],[Data attivazione]]))</f>
        <v>43126</v>
      </c>
      <c r="Y132" s="65"/>
      <c r="Z132" s="61"/>
      <c r="AA132" s="64" t="s">
        <v>85</v>
      </c>
      <c r="AB132" s="29" t="str">
        <f>IF(Table2[[#This Row],[Data ultimo versamento temp]]=0/1/1900,"-",Table2[[#This Row],[Data ultimo versamento temp]])</f>
        <v>-</v>
      </c>
      <c r="AC132" s="29">
        <f t="array" ref="AC132">MAX(IF(TableVersamenti[Polizza]=Table2[[#This Row],[Polizza]],TableVersamenti[Data prevista versamento],"-"))</f>
        <v>0</v>
      </c>
      <c r="AD132" s="62"/>
      <c r="AE132" s="106">
        <f>DATE(YEAR(Table2[[#This Row],[Data ultimo pagamento]]),MONTH(Table2[[#This Row],[Data ultimo pagamento]]), 1)</f>
        <v>42736</v>
      </c>
      <c r="AF132" s="106">
        <f>DATE(YEAR(Table2[[#This Row],[Data prossima scadenza]]),MONTH(Table2[[#This Row],[Data prossima scadenza]]), 1)</f>
        <v>43101</v>
      </c>
      <c r="AG132" s="33">
        <f>IFERROR(Table2[[#This Row],[Importo annuale]]*VLOOKUP(Table2[[#This Row],[Ramo]],RAMI_POLIZZA,2,FALSE),0)</f>
        <v>18.183599999999998</v>
      </c>
      <c r="AH132" s="65" t="s">
        <v>113</v>
      </c>
      <c r="AI132" s="63" t="str">
        <f>IFERROR(VLOOKUP(Table2[[#This Row],[Contraente]],Table1[[Nome/Ragione sociale]:[Checkbox selezionato]],2,FALSE),"-")</f>
        <v xml:space="preserve">GENZONE </v>
      </c>
      <c r="AJ132" s="63">
        <f>IFERROR(VLOOKUP(Table2[[#This Row],[Contraente]],Table1[[Nome/Ragione sociale]:[Checkbox selezionato]],3,FALSE),"-")</f>
        <v>3402709854</v>
      </c>
      <c r="AK132" s="63">
        <f>IFERROR(VLOOKUP(Table2[[#This Row],[Contraente]],Table1[[Nome/Ragione sociale]:[Checkbox selezionato]],4,FALSE),"-")</f>
        <v>0</v>
      </c>
      <c r="AL132" s="63" t="str">
        <f>IFERROR(VLOOKUP(Table2[[#This Row],[Contraente]],Table1[[Nome/Ragione sociale]:[Checkbox selezionato]],5,FALSE),"-")</f>
        <v>DONATELLA</v>
      </c>
      <c r="AM132" s="62">
        <f>IFERROR(VLOOKUP(Table2[[#This Row],[Contraente]],Table1[[Nome/Ragione sociale]:[Checkbox selezionato]],6,FALSE),"-")</f>
        <v>22828</v>
      </c>
      <c r="AN132" s="63" t="str">
        <f>IFERROR(VLOOKUP(Table2[[#This Row],[Contraente]],Table1[[Nome/Ragione sociale]:[Checkbox selezionato]],7,FALSE),"-")</f>
        <v>papies@email.it</v>
      </c>
      <c r="AO132" s="63">
        <f>IFERROR(VLOOKUP(Table2[[#This Row],[Contraente]],Table1[[Nome/Ragione sociale]:[Checkbox selezionato]],8,FALSE),"-")</f>
        <v>0</v>
      </c>
      <c r="AP132" s="63">
        <f>IFERROR(VLOOKUP(Table2[[#This Row],[Contraente]],Table1[[Nome/Ragione sociale]:[Checkbox selezionato]],10,FALSE),"-")</f>
        <v>3402709854</v>
      </c>
      <c r="AQ132" s="63" t="str">
        <f>IFERROR(VLOOKUP(Table2[[#This Row],[Contraente]],Table1[[Nome/Ragione sociale]:[Checkbox selezionato]],11,FALSE),"-")</f>
        <v>SI</v>
      </c>
      <c r="AR132" s="63" t="str">
        <f>IFERROR(VLOOKUP(Table2[[#This Row],[Contraente]],Table1[[Nome/Ragione sociale]:[Checkbox selezionato]],12,FALSE),"-")</f>
        <v>SI</v>
      </c>
    </row>
    <row r="133" spans="1:44" ht="30" hidden="1" customHeight="1" x14ac:dyDescent="0.25">
      <c r="A133" s="60" t="str">
        <f>UPPER(LEFT(Table2[[#This Row],[Contraente]],1))</f>
        <v>B</v>
      </c>
      <c r="B133" s="60" t="s">
        <v>1634</v>
      </c>
      <c r="C133" s="81" t="s">
        <v>341</v>
      </c>
      <c r="D133" s="80" t="s">
        <v>37</v>
      </c>
      <c r="E133" s="86">
        <v>102687271</v>
      </c>
      <c r="F133" s="64">
        <v>41799</v>
      </c>
      <c r="G133" s="64">
        <f>IFERROR(CALCOLASCADENZA(Table2[[#This Row],[Data attivazione]],Table2[[#This Row],[Rateizzazione]],Table2[[#This Row],[Data ultimo pagamento]],Table2[[#This Row],[Data prossima scadenza manuale]]),"-")</f>
        <v>693962</v>
      </c>
      <c r="H133" s="67" t="s">
        <v>30</v>
      </c>
      <c r="I133" s="67"/>
      <c r="J133" s="33">
        <f>IFERROR(Table2[[#This Row],[Importo annuale]]/(12/VLOOKUP(Table2[[#This Row],[Rateizzazione]],TIPI_RATEIZZAZIONI,2,FALSE)),"-")</f>
        <v>80</v>
      </c>
      <c r="K133" s="88"/>
      <c r="L133" s="88">
        <v>80</v>
      </c>
      <c r="M133" s="67" t="s">
        <v>44</v>
      </c>
      <c r="N133" s="67" t="s">
        <v>51</v>
      </c>
      <c r="O133" s="27" t="s">
        <v>1631</v>
      </c>
      <c r="P133" s="33" t="s">
        <v>23</v>
      </c>
      <c r="Q133" s="60">
        <f>IFERROR(IF(12 / VLOOKUP(Table2[[#This Row],[Rateizzazione]],TIPI_RATEIZZAZIONI,2,FALSE) &gt;=1,  IF(Table2[[#This Row],[Data attivazione]] = "","-",MONTH(Table2[[#This Row],[Data attivazione]])),"-"),"-")</f>
        <v>12</v>
      </c>
      <c r="R1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3" s="67" t="s">
        <v>2</v>
      </c>
      <c r="V133" s="62"/>
      <c r="W133" s="64">
        <v>693597</v>
      </c>
      <c r="X133" s="29">
        <f>DATE(YEAR(Table2[[#This Row],[Data attivazione]])+VLOOKUP(Table2[[#This Row],[Durata]],VALORE_DURATA,2,FALSE),MONTH(Table2[[#This Row],[Data attivazione]]),DAY(Table2[[#This Row],[Data attivazione]]))</f>
        <v>693962</v>
      </c>
      <c r="Y133" s="65"/>
      <c r="Z133" s="61"/>
      <c r="AA133" s="64" t="s">
        <v>88</v>
      </c>
      <c r="AB133" s="29" t="str">
        <f>IF(Table2[[#This Row],[Data ultimo versamento temp]]=0/1/1900,"-",Table2[[#This Row],[Data ultimo versamento temp]])</f>
        <v>-</v>
      </c>
      <c r="AC133" s="29">
        <f t="array" ref="AC133">MAX(IF(TableVersamenti[Polizza]=Table2[[#This Row],[Polizza]],TableVersamenti[Data prevista versamento],"-"))</f>
        <v>0</v>
      </c>
      <c r="AD133" s="62"/>
      <c r="AE133" s="106">
        <f>DATE(YEAR(Table2[[#This Row],[Data ultimo pagamento]]),MONTH(Table2[[#This Row],[Data ultimo pagamento]]), 1)</f>
        <v>41791</v>
      </c>
      <c r="AF133" s="106">
        <f>DATE(YEAR(Table2[[#This Row],[Data prossima scadenza]]),MONTH(Table2[[#This Row],[Data prossima scadenza]]), 1)</f>
        <v>693932</v>
      </c>
      <c r="AG133" s="33">
        <f>IFERROR(Table2[[#This Row],[Importo annuale]]*VLOOKUP(Table2[[#This Row],[Ramo]],RAMI_POLIZZA,2,FALSE),0)</f>
        <v>9.2000000000000011</v>
      </c>
      <c r="AH133" s="65" t="s">
        <v>113</v>
      </c>
      <c r="AI133" s="63" t="str">
        <f>IFERROR(VLOOKUP(Table2[[#This Row],[Contraente]],Table1[[Nome/Ragione sociale]:[Checkbox selezionato]],2,FALSE),"-")</f>
        <v>CHIGNOLO PO</v>
      </c>
      <c r="AJ133" s="63">
        <f>IFERROR(VLOOKUP(Table2[[#This Row],[Contraente]],Table1[[Nome/Ragione sociale]:[Checkbox selezionato]],3,FALSE),"-")</f>
        <v>0</v>
      </c>
      <c r="AK133" s="63" t="str">
        <f>IFERROR(VLOOKUP(Table2[[#This Row],[Contraente]],Table1[[Nome/Ragione sociale]:[Checkbox selezionato]],4,FALSE),"-")</f>
        <v>.038276038</v>
      </c>
      <c r="AL133" s="63" t="str">
        <f>IFERROR(VLOOKUP(Table2[[#This Row],[Contraente]],Table1[[Nome/Ragione sociale]:[Checkbox selezionato]],5,FALSE),"-")</f>
        <v>DOMENICO</v>
      </c>
      <c r="AM133" s="62">
        <f>IFERROR(VLOOKUP(Table2[[#This Row],[Contraente]],Table1[[Nome/Ragione sociale]:[Checkbox selezionato]],6,FALSE),"-")</f>
        <v>24333</v>
      </c>
      <c r="AN133" s="63" t="str">
        <f>IFERROR(VLOOKUP(Table2[[#This Row],[Contraente]],Table1[[Nome/Ragione sociale]:[Checkbox selezionato]],7,FALSE),"-")</f>
        <v>papies@libero.it</v>
      </c>
      <c r="AO133" s="63">
        <f>IFERROR(VLOOKUP(Table2[[#This Row],[Contraente]],Table1[[Nome/Ragione sociale]:[Checkbox selezionato]],8,FALSE),"-")</f>
        <v>0</v>
      </c>
      <c r="AP133" s="63">
        <f>IFERROR(VLOOKUP(Table2[[#This Row],[Contraente]],Table1[[Nome/Ragione sociale]:[Checkbox selezionato]],10,FALSE),"-")</f>
        <v>0</v>
      </c>
      <c r="AQ133" s="63" t="str">
        <f>IFERROR(VLOOKUP(Table2[[#This Row],[Contraente]],Table1[[Nome/Ragione sociale]:[Checkbox selezionato]],11,FALSE),"-")</f>
        <v>SI</v>
      </c>
      <c r="AR133" s="63" t="str">
        <f>IFERROR(VLOOKUP(Table2[[#This Row],[Contraente]],Table1[[Nome/Ragione sociale]:[Checkbox selezionato]],12,FALSE),"-")</f>
        <v>SI</v>
      </c>
    </row>
    <row r="134" spans="1:44" ht="30" hidden="1" customHeight="1" x14ac:dyDescent="0.25">
      <c r="A134" s="60" t="str">
        <f>UPPER(LEFT(Table2[[#This Row],[Contraente]],1))</f>
        <v>B</v>
      </c>
      <c r="B134" s="60" t="s">
        <v>1634</v>
      </c>
      <c r="C134" s="81" t="s">
        <v>341</v>
      </c>
      <c r="D134" s="80" t="s">
        <v>37</v>
      </c>
      <c r="E134" s="86">
        <v>102687349</v>
      </c>
      <c r="F134" s="64">
        <v>42209</v>
      </c>
      <c r="G134" s="64">
        <f>IFERROR(CALCOLASCADENZA(Table2[[#This Row],[Data attivazione]],Table2[[#This Row],[Rateizzazione]],Table2[[#This Row],[Data ultimo pagamento]],Table2[[#This Row],[Data prossima scadenza manuale]]),"-")</f>
        <v>693962</v>
      </c>
      <c r="H134" s="67" t="s">
        <v>31</v>
      </c>
      <c r="I134" s="67" t="s">
        <v>1188</v>
      </c>
      <c r="J134" s="33">
        <f>IFERROR(Table2[[#This Row],[Importo annuale]]/(12/VLOOKUP(Table2[[#This Row],[Rateizzazione]],TIPI_RATEIZZAZIONI,2,FALSE)),"-")</f>
        <v>121.58</v>
      </c>
      <c r="K134" s="88"/>
      <c r="L134" s="88">
        <v>121.58</v>
      </c>
      <c r="M134" s="67" t="s">
        <v>43</v>
      </c>
      <c r="N134" s="67" t="s">
        <v>51</v>
      </c>
      <c r="O134" s="27" t="s">
        <v>1631</v>
      </c>
      <c r="P134" s="33" t="s">
        <v>23</v>
      </c>
      <c r="Q134" s="60">
        <f>IFERROR(IF(12 / VLOOKUP(Table2[[#This Row],[Rateizzazione]],TIPI_RATEIZZAZIONI,2,FALSE) &gt;=1,  IF(Table2[[#This Row],[Data attivazione]] = "","-",MONTH(Table2[[#This Row],[Data attivazione]])),"-"),"-")</f>
        <v>12</v>
      </c>
      <c r="R1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4" s="67" t="s">
        <v>2</v>
      </c>
      <c r="V134" s="62"/>
      <c r="W134" s="64">
        <v>693597</v>
      </c>
      <c r="X134" s="29">
        <f>DATE(YEAR(Table2[[#This Row],[Data attivazione]])+VLOOKUP(Table2[[#This Row],[Durata]],VALORE_DURATA,2,FALSE),MONTH(Table2[[#This Row],[Data attivazione]]),DAY(Table2[[#This Row],[Data attivazione]]))</f>
        <v>693962</v>
      </c>
      <c r="Y134" s="65"/>
      <c r="Z134" s="61"/>
      <c r="AA134" s="64" t="s">
        <v>88</v>
      </c>
      <c r="AB134" s="29" t="str">
        <f>IF(Table2[[#This Row],[Data ultimo versamento temp]]=0/1/1900,"-",Table2[[#This Row],[Data ultimo versamento temp]])</f>
        <v>-</v>
      </c>
      <c r="AC134" s="29">
        <f t="array" ref="AC134">MAX(IF(TableVersamenti[Polizza]=Table2[[#This Row],[Polizza]],TableVersamenti[Data prevista versamento],"-"))</f>
        <v>0</v>
      </c>
      <c r="AD134" s="62"/>
      <c r="AE134" s="106">
        <f>DATE(YEAR(Table2[[#This Row],[Data ultimo pagamento]]),MONTH(Table2[[#This Row],[Data ultimo pagamento]]), 1)</f>
        <v>42186</v>
      </c>
      <c r="AF134" s="106">
        <f>DATE(YEAR(Table2[[#This Row],[Data prossima scadenza]]),MONTH(Table2[[#This Row],[Data prossima scadenza]]), 1)</f>
        <v>693932</v>
      </c>
      <c r="AG134" s="33">
        <f>IFERROR(Table2[[#This Row],[Importo annuale]]*VLOOKUP(Table2[[#This Row],[Ramo]],RAMI_POLIZZA,2,FALSE),0)</f>
        <v>6.3221599999999993</v>
      </c>
      <c r="AH134" s="65" t="s">
        <v>113</v>
      </c>
      <c r="AI134" s="63" t="str">
        <f>IFERROR(VLOOKUP(Table2[[#This Row],[Contraente]],Table1[[Nome/Ragione sociale]:[Checkbox selezionato]],2,FALSE),"-")</f>
        <v>CHIGNOLO PO</v>
      </c>
      <c r="AJ134" s="63">
        <f>IFERROR(VLOOKUP(Table2[[#This Row],[Contraente]],Table1[[Nome/Ragione sociale]:[Checkbox selezionato]],3,FALSE),"-")</f>
        <v>0</v>
      </c>
      <c r="AK134" s="63" t="str">
        <f>IFERROR(VLOOKUP(Table2[[#This Row],[Contraente]],Table1[[Nome/Ragione sociale]:[Checkbox selezionato]],4,FALSE),"-")</f>
        <v>.038276038</v>
      </c>
      <c r="AL134" s="63" t="str">
        <f>IFERROR(VLOOKUP(Table2[[#This Row],[Contraente]],Table1[[Nome/Ragione sociale]:[Checkbox selezionato]],5,FALSE),"-")</f>
        <v>DOMENICO</v>
      </c>
      <c r="AM134" s="62">
        <f>IFERROR(VLOOKUP(Table2[[#This Row],[Contraente]],Table1[[Nome/Ragione sociale]:[Checkbox selezionato]],6,FALSE),"-")</f>
        <v>24333</v>
      </c>
      <c r="AN134" s="63" t="str">
        <f>IFERROR(VLOOKUP(Table2[[#This Row],[Contraente]],Table1[[Nome/Ragione sociale]:[Checkbox selezionato]],7,FALSE),"-")</f>
        <v>papies@libero.it</v>
      </c>
      <c r="AO134" s="63">
        <f>IFERROR(VLOOKUP(Table2[[#This Row],[Contraente]],Table1[[Nome/Ragione sociale]:[Checkbox selezionato]],8,FALSE),"-")</f>
        <v>0</v>
      </c>
      <c r="AP134" s="63">
        <f>IFERROR(VLOOKUP(Table2[[#This Row],[Contraente]],Table1[[Nome/Ragione sociale]:[Checkbox selezionato]],10,FALSE),"-")</f>
        <v>0</v>
      </c>
      <c r="AQ134" s="63" t="str">
        <f>IFERROR(VLOOKUP(Table2[[#This Row],[Contraente]],Table1[[Nome/Ragione sociale]:[Checkbox selezionato]],11,FALSE),"-")</f>
        <v>SI</v>
      </c>
      <c r="AR134" s="63" t="str">
        <f>IFERROR(VLOOKUP(Table2[[#This Row],[Contraente]],Table1[[Nome/Ragione sociale]:[Checkbox selezionato]],12,FALSE),"-")</f>
        <v>SI</v>
      </c>
    </row>
    <row r="135" spans="1:44" ht="30" hidden="1" customHeight="1" x14ac:dyDescent="0.25">
      <c r="A135" s="60" t="str">
        <f>UPPER(LEFT(Table2[[#This Row],[Contraente]],1))</f>
        <v>B</v>
      </c>
      <c r="B135" s="60" t="s">
        <v>1634</v>
      </c>
      <c r="C135" s="81" t="s">
        <v>345</v>
      </c>
      <c r="D135" s="80" t="s">
        <v>37</v>
      </c>
      <c r="E135" s="86">
        <v>101363074</v>
      </c>
      <c r="F135" s="64">
        <v>42794</v>
      </c>
      <c r="G135" s="64">
        <f>IFERROR(CALCOLASCADENZA(Table2[[#This Row],[Data attivazione]],Table2[[#This Row],[Rateizzazione]],Table2[[#This Row],[Data ultimo pagamento]],Table2[[#This Row],[Data prossima scadenza manuale]]),"-")</f>
        <v>43156</v>
      </c>
      <c r="H135" s="67" t="s">
        <v>30</v>
      </c>
      <c r="I135" s="67" t="s">
        <v>113</v>
      </c>
      <c r="J135" s="33">
        <f>IFERROR(Table2[[#This Row],[Importo annuale]]/(12/VLOOKUP(Table2[[#This Row],[Rateizzazione]],TIPI_RATEIZZAZIONI,2,FALSE)),"-")</f>
        <v>184</v>
      </c>
      <c r="K135" s="88">
        <v>184</v>
      </c>
      <c r="L135" s="88">
        <v>184</v>
      </c>
      <c r="M135" s="67" t="s">
        <v>45</v>
      </c>
      <c r="N135" s="67" t="s">
        <v>51</v>
      </c>
      <c r="O135" s="27" t="s">
        <v>1631</v>
      </c>
      <c r="P135" s="33" t="s">
        <v>23</v>
      </c>
      <c r="Q135" s="60">
        <f>IFERROR(IF(12 / VLOOKUP(Table2[[#This Row],[Rateizzazione]],TIPI_RATEIZZAZIONI,2,FALSE) &gt;=1,  IF(Table2[[#This Row],[Data attivazione]] = "","-",MONTH(Table2[[#This Row],[Data attivazione]])),"-"),"-")</f>
        <v>2</v>
      </c>
      <c r="R1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5" s="67" t="s">
        <v>2</v>
      </c>
      <c r="V135" s="62"/>
      <c r="W135" s="64">
        <v>42791</v>
      </c>
      <c r="X135" s="29">
        <f>DATE(YEAR(Table2[[#This Row],[Data attivazione]])+VLOOKUP(Table2[[#This Row],[Durata]],VALORE_DURATA,2,FALSE),MONTH(Table2[[#This Row],[Data attivazione]]),DAY(Table2[[#This Row],[Data attivazione]]))</f>
        <v>43156</v>
      </c>
      <c r="Y135" s="65"/>
      <c r="Z135" s="61"/>
      <c r="AA135" s="64" t="s">
        <v>85</v>
      </c>
      <c r="AB135" s="29" t="str">
        <f>IF(Table2[[#This Row],[Data ultimo versamento temp]]=0/1/1900,"-",Table2[[#This Row],[Data ultimo versamento temp]])</f>
        <v>-</v>
      </c>
      <c r="AC135" s="29">
        <f t="array" ref="AC135">MAX(IF(TableVersamenti[Polizza]=Table2[[#This Row],[Polizza]],TableVersamenti[Data prevista versamento],"-"))</f>
        <v>0</v>
      </c>
      <c r="AD135" s="62"/>
      <c r="AE135" s="106">
        <f>DATE(YEAR(Table2[[#This Row],[Data ultimo pagamento]]),MONTH(Table2[[#This Row],[Data ultimo pagamento]]), 1)</f>
        <v>42767</v>
      </c>
      <c r="AF135" s="106">
        <f>DATE(YEAR(Table2[[#This Row],[Data prossima scadenza]]),MONTH(Table2[[#This Row],[Data prossima scadenza]]), 1)</f>
        <v>43132</v>
      </c>
      <c r="AG135" s="33">
        <f>IFERROR(Table2[[#This Row],[Importo annuale]]*VLOOKUP(Table2[[#This Row],[Ramo]],RAMI_POLIZZA,2,FALSE),0)</f>
        <v>21.16</v>
      </c>
      <c r="AH135" s="65" t="s">
        <v>113</v>
      </c>
      <c r="AI135" s="63" t="str">
        <f>IFERROR(VLOOKUP(Table2[[#This Row],[Contraente]],Table1[[Nome/Ragione sociale]:[Checkbox selezionato]],2,FALSE),"-")</f>
        <v>SAN MARTINO SICCOMARIO</v>
      </c>
      <c r="AJ135" s="63">
        <f>IFERROR(VLOOKUP(Table2[[#This Row],[Contraente]],Table1[[Nome/Ragione sociale]:[Checkbox selezionato]],3,FALSE),"-")</f>
        <v>3337188922</v>
      </c>
      <c r="AK135" s="63">
        <f>IFERROR(VLOOKUP(Table2[[#This Row],[Contraente]],Table1[[Nome/Ragione sociale]:[Checkbox selezionato]],4,FALSE),"-")</f>
        <v>0</v>
      </c>
      <c r="AL135" s="63" t="str">
        <f>IFERROR(VLOOKUP(Table2[[#This Row],[Contraente]],Table1[[Nome/Ragione sociale]:[Checkbox selezionato]],5,FALSE),"-")</f>
        <v>ALMA</v>
      </c>
      <c r="AM135" s="62">
        <f>IFERROR(VLOOKUP(Table2[[#This Row],[Contraente]],Table1[[Nome/Ragione sociale]:[Checkbox selezionato]],6,FALSE),"-")</f>
        <v>18573</v>
      </c>
      <c r="AN135" s="63" t="str">
        <f>IFERROR(VLOOKUP(Table2[[#This Row],[Contraente]],Table1[[Nome/Ragione sociale]:[Checkbox selezionato]],7,FALSE),"-")</f>
        <v>papies@libero.it</v>
      </c>
      <c r="AO135" s="63">
        <f>IFERROR(VLOOKUP(Table2[[#This Row],[Contraente]],Table1[[Nome/Ragione sociale]:[Checkbox selezionato]],8,FALSE),"-")</f>
        <v>0</v>
      </c>
      <c r="AP135" s="63">
        <f>IFERROR(VLOOKUP(Table2[[#This Row],[Contraente]],Table1[[Nome/Ragione sociale]:[Checkbox selezionato]],10,FALSE),"-")</f>
        <v>3337188922</v>
      </c>
      <c r="AQ135" s="63" t="str">
        <f>IFERROR(VLOOKUP(Table2[[#This Row],[Contraente]],Table1[[Nome/Ragione sociale]:[Checkbox selezionato]],11,FALSE),"-")</f>
        <v>SI</v>
      </c>
      <c r="AR135" s="63" t="str">
        <f>IFERROR(VLOOKUP(Table2[[#This Row],[Contraente]],Table1[[Nome/Ragione sociale]:[Checkbox selezionato]],12,FALSE),"-")</f>
        <v>SI</v>
      </c>
    </row>
    <row r="136" spans="1:44" ht="30" hidden="1" customHeight="1" x14ac:dyDescent="0.25">
      <c r="A136" s="60" t="str">
        <f>UPPER(LEFT(Table2[[#This Row],[Contraente]],1))</f>
        <v>B</v>
      </c>
      <c r="B136" s="60" t="s">
        <v>1634</v>
      </c>
      <c r="C136" s="81" t="s">
        <v>345</v>
      </c>
      <c r="D136" s="80" t="s">
        <v>37</v>
      </c>
      <c r="E136" s="86">
        <v>101363153</v>
      </c>
      <c r="F136" s="64">
        <v>42794</v>
      </c>
      <c r="G136" s="64">
        <f>IFERROR(CALCOLASCADENZA(Table2[[#This Row],[Data attivazione]],Table2[[#This Row],[Rateizzazione]],Table2[[#This Row],[Data ultimo pagamento]],Table2[[#This Row],[Data prossima scadenza manuale]]),"-")</f>
        <v>43156</v>
      </c>
      <c r="H136" s="67" t="s">
        <v>30</v>
      </c>
      <c r="I136" s="67" t="s">
        <v>113</v>
      </c>
      <c r="J136" s="33">
        <f>IFERROR(Table2[[#This Row],[Importo annuale]]/(12/VLOOKUP(Table2[[#This Row],[Rateizzazione]],TIPI_RATEIZZAZIONI,2,FALSE)),"-")</f>
        <v>301</v>
      </c>
      <c r="K136" s="88">
        <v>301</v>
      </c>
      <c r="L136" s="88">
        <v>301</v>
      </c>
      <c r="M136" s="67" t="s">
        <v>45</v>
      </c>
      <c r="N136" s="67" t="s">
        <v>51</v>
      </c>
      <c r="O136" s="27" t="s">
        <v>1631</v>
      </c>
      <c r="P136" s="33" t="s">
        <v>23</v>
      </c>
      <c r="Q136" s="60">
        <f>IFERROR(IF(12 / VLOOKUP(Table2[[#This Row],[Rateizzazione]],TIPI_RATEIZZAZIONI,2,FALSE) &gt;=1,  IF(Table2[[#This Row],[Data attivazione]] = "","-",MONTH(Table2[[#This Row],[Data attivazione]])),"-"),"-")</f>
        <v>2</v>
      </c>
      <c r="R1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6" s="67" t="s">
        <v>2</v>
      </c>
      <c r="V136" s="62"/>
      <c r="W136" s="64">
        <v>42791</v>
      </c>
      <c r="X136" s="29">
        <f>DATE(YEAR(Table2[[#This Row],[Data attivazione]])+VLOOKUP(Table2[[#This Row],[Durata]],VALORE_DURATA,2,FALSE),MONTH(Table2[[#This Row],[Data attivazione]]),DAY(Table2[[#This Row],[Data attivazione]]))</f>
        <v>43156</v>
      </c>
      <c r="Y136" s="65"/>
      <c r="Z136" s="61"/>
      <c r="AA136" s="64" t="s">
        <v>85</v>
      </c>
      <c r="AB136" s="29" t="str">
        <f>IF(Table2[[#This Row],[Data ultimo versamento temp]]=0/1/1900,"-",Table2[[#This Row],[Data ultimo versamento temp]])</f>
        <v>-</v>
      </c>
      <c r="AC136" s="29">
        <f t="array" ref="AC136">MAX(IF(TableVersamenti[Polizza]=Table2[[#This Row],[Polizza]],TableVersamenti[Data prevista versamento],"-"))</f>
        <v>0</v>
      </c>
      <c r="AD136" s="62"/>
      <c r="AE136" s="106">
        <f>DATE(YEAR(Table2[[#This Row],[Data ultimo pagamento]]),MONTH(Table2[[#This Row],[Data ultimo pagamento]]), 1)</f>
        <v>42767</v>
      </c>
      <c r="AF136" s="106">
        <f>DATE(YEAR(Table2[[#This Row],[Data prossima scadenza]]),MONTH(Table2[[#This Row],[Data prossima scadenza]]), 1)</f>
        <v>43132</v>
      </c>
      <c r="AG136" s="33">
        <f>IFERROR(Table2[[#This Row],[Importo annuale]]*VLOOKUP(Table2[[#This Row],[Ramo]],RAMI_POLIZZA,2,FALSE),0)</f>
        <v>34.615000000000002</v>
      </c>
      <c r="AH136" s="65" t="s">
        <v>113</v>
      </c>
      <c r="AI136" s="63" t="str">
        <f>IFERROR(VLOOKUP(Table2[[#This Row],[Contraente]],Table1[[Nome/Ragione sociale]:[Checkbox selezionato]],2,FALSE),"-")</f>
        <v>SAN MARTINO SICCOMARIO</v>
      </c>
      <c r="AJ136" s="63">
        <f>IFERROR(VLOOKUP(Table2[[#This Row],[Contraente]],Table1[[Nome/Ragione sociale]:[Checkbox selezionato]],3,FALSE),"-")</f>
        <v>3337188922</v>
      </c>
      <c r="AK136" s="63">
        <f>IFERROR(VLOOKUP(Table2[[#This Row],[Contraente]],Table1[[Nome/Ragione sociale]:[Checkbox selezionato]],4,FALSE),"-")</f>
        <v>0</v>
      </c>
      <c r="AL136" s="63" t="str">
        <f>IFERROR(VLOOKUP(Table2[[#This Row],[Contraente]],Table1[[Nome/Ragione sociale]:[Checkbox selezionato]],5,FALSE),"-")</f>
        <v>ALMA</v>
      </c>
      <c r="AM136" s="62">
        <f>IFERROR(VLOOKUP(Table2[[#This Row],[Contraente]],Table1[[Nome/Ragione sociale]:[Checkbox selezionato]],6,FALSE),"-")</f>
        <v>18573</v>
      </c>
      <c r="AN136" s="63" t="str">
        <f>IFERROR(VLOOKUP(Table2[[#This Row],[Contraente]],Table1[[Nome/Ragione sociale]:[Checkbox selezionato]],7,FALSE),"-")</f>
        <v>papies@libero.it</v>
      </c>
      <c r="AO136" s="63">
        <f>IFERROR(VLOOKUP(Table2[[#This Row],[Contraente]],Table1[[Nome/Ragione sociale]:[Checkbox selezionato]],8,FALSE),"-")</f>
        <v>0</v>
      </c>
      <c r="AP136" s="63">
        <f>IFERROR(VLOOKUP(Table2[[#This Row],[Contraente]],Table1[[Nome/Ragione sociale]:[Checkbox selezionato]],10,FALSE),"-")</f>
        <v>3337188922</v>
      </c>
      <c r="AQ136" s="63" t="str">
        <f>IFERROR(VLOOKUP(Table2[[#This Row],[Contraente]],Table1[[Nome/Ragione sociale]:[Checkbox selezionato]],11,FALSE),"-")</f>
        <v>SI</v>
      </c>
      <c r="AR136" s="63" t="str">
        <f>IFERROR(VLOOKUP(Table2[[#This Row],[Contraente]],Table1[[Nome/Ragione sociale]:[Checkbox selezionato]],12,FALSE),"-")</f>
        <v>SI</v>
      </c>
    </row>
    <row r="137" spans="1:44" ht="30" hidden="1" customHeight="1" x14ac:dyDescent="0.25">
      <c r="A137" s="60" t="str">
        <f>UPPER(LEFT(Table2[[#This Row],[Contraente]],1))</f>
        <v>B</v>
      </c>
      <c r="B137" s="60" t="s">
        <v>1634</v>
      </c>
      <c r="C137" s="81" t="s">
        <v>347</v>
      </c>
      <c r="D137" s="80" t="s">
        <v>37</v>
      </c>
      <c r="E137" s="86">
        <v>102687766</v>
      </c>
      <c r="F137" s="64">
        <v>41780</v>
      </c>
      <c r="G137" s="64">
        <f>IFERROR(CALCOLASCADENZA(Table2[[#This Row],[Data attivazione]],Table2[[#This Row],[Rateizzazione]],Table2[[#This Row],[Data ultimo pagamento]],Table2[[#This Row],[Data prossima scadenza manuale]]),"-")</f>
        <v>41780</v>
      </c>
      <c r="H137" s="67" t="s">
        <v>31</v>
      </c>
      <c r="I137" s="67"/>
      <c r="J137" s="33">
        <v>0</v>
      </c>
      <c r="K137" s="88"/>
      <c r="L137" s="88">
        <v>0</v>
      </c>
      <c r="M137" s="67" t="s">
        <v>43</v>
      </c>
      <c r="N137" s="67" t="s">
        <v>51</v>
      </c>
      <c r="O137" s="27" t="s">
        <v>1631</v>
      </c>
      <c r="P137" s="33" t="s">
        <v>24</v>
      </c>
      <c r="Q13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7" s="67" t="s">
        <v>133</v>
      </c>
      <c r="V137" s="62"/>
      <c r="W137" s="64">
        <v>693597</v>
      </c>
      <c r="X137" s="29">
        <f>DATE(YEAR(Table2[[#This Row],[Data attivazione]])+VLOOKUP(Table2[[#This Row],[Durata]],VALORE_DURATA,2,FALSE),MONTH(Table2[[#This Row],[Data attivazione]]),DAY(Table2[[#This Row],[Data attivazione]]))</f>
        <v>693962</v>
      </c>
      <c r="Y137" s="65"/>
      <c r="Z137" s="61"/>
      <c r="AA137" s="64" t="s">
        <v>88</v>
      </c>
      <c r="AB137" s="29" t="str">
        <f>IF(Table2[[#This Row],[Data ultimo versamento temp]]=0/1/1900,"-",Table2[[#This Row],[Data ultimo versamento temp]])</f>
        <v>-</v>
      </c>
      <c r="AC137" s="29">
        <f t="array" ref="AC137">MAX(IF(TableVersamenti[Polizza]=Table2[[#This Row],[Polizza]],TableVersamenti[Data prevista versamento],"-"))</f>
        <v>0</v>
      </c>
      <c r="AD137" s="62"/>
      <c r="AE137" s="106">
        <f>DATE(YEAR(Table2[[#This Row],[Data ultimo pagamento]]),MONTH(Table2[[#This Row],[Data ultimo pagamento]]), 1)</f>
        <v>41760</v>
      </c>
      <c r="AF137" s="106">
        <f>DATE(YEAR(Table2[[#This Row],[Data prossima scadenza]]),MONTH(Table2[[#This Row],[Data prossima scadenza]]), 1)</f>
        <v>41760</v>
      </c>
      <c r="AG137" s="33">
        <f>IFERROR(Table2[[#This Row],[Importo annuale]]*VLOOKUP(Table2[[#This Row],[Ramo]],RAMI_POLIZZA,2,FALSE),0)</f>
        <v>0</v>
      </c>
      <c r="AH137" s="65" t="s">
        <v>113</v>
      </c>
      <c r="AI137" s="63" t="str">
        <f>IFERROR(VLOOKUP(Table2[[#This Row],[Contraente]],Table1[[Nome/Ragione sociale]:[Checkbox selezionato]],2,FALSE),"-")</f>
        <v xml:space="preserve">SAN MARTINO IN STRADA </v>
      </c>
      <c r="AJ137" s="63" t="str">
        <f>IFERROR(VLOOKUP(Table2[[#This Row],[Contraente]],Table1[[Nome/Ragione sociale]:[Checkbox selezionato]],3,FALSE),"-")</f>
        <v>-</v>
      </c>
      <c r="AK137" s="63">
        <f>IFERROR(VLOOKUP(Table2[[#This Row],[Contraente]],Table1[[Nome/Ragione sociale]:[Checkbox selezionato]],4,FALSE),"-")</f>
        <v>0</v>
      </c>
      <c r="AL137" s="63" t="str">
        <f>IFERROR(VLOOKUP(Table2[[#This Row],[Contraente]],Table1[[Nome/Ragione sociale]:[Checkbox selezionato]],5,FALSE),"-")</f>
        <v xml:space="preserve">PANTILMON </v>
      </c>
      <c r="AM137" s="62">
        <f>IFERROR(VLOOKUP(Table2[[#This Row],[Contraente]],Table1[[Nome/Ragione sociale]:[Checkbox selezionato]],6,FALSE),"-")</f>
        <v>26098</v>
      </c>
      <c r="AN137" s="63" t="str">
        <f>IFERROR(VLOOKUP(Table2[[#This Row],[Contraente]],Table1[[Nome/Ragione sociale]:[Checkbox selezionato]],7,FALSE),"-")</f>
        <v>papies@email.it</v>
      </c>
      <c r="AO137" s="63">
        <f>IFERROR(VLOOKUP(Table2[[#This Row],[Contraente]],Table1[[Nome/Ragione sociale]:[Checkbox selezionato]],8,FALSE),"-")</f>
        <v>0</v>
      </c>
      <c r="AP137" s="63" t="str">
        <f>IFERROR(VLOOKUP(Table2[[#This Row],[Contraente]],Table1[[Nome/Ragione sociale]:[Checkbox selezionato]],10,FALSE),"-")</f>
        <v>-</v>
      </c>
      <c r="AQ137" s="63" t="str">
        <f>IFERROR(VLOOKUP(Table2[[#This Row],[Contraente]],Table1[[Nome/Ragione sociale]:[Checkbox selezionato]],11,FALSE),"-")</f>
        <v>SI</v>
      </c>
      <c r="AR137" s="63" t="str">
        <f>IFERROR(VLOOKUP(Table2[[#This Row],[Contraente]],Table1[[Nome/Ragione sociale]:[Checkbox selezionato]],12,FALSE),"-")</f>
        <v>SI</v>
      </c>
    </row>
    <row r="138" spans="1:44" ht="30" hidden="1" customHeight="1" x14ac:dyDescent="0.25">
      <c r="A138" s="60" t="str">
        <f>UPPER(LEFT(Table2[[#This Row],[Contraente]],1))</f>
        <v>B</v>
      </c>
      <c r="B138" s="60" t="s">
        <v>1634</v>
      </c>
      <c r="C138" s="81" t="s">
        <v>340</v>
      </c>
      <c r="D138" s="80" t="s">
        <v>37</v>
      </c>
      <c r="E138" s="86">
        <v>106166191</v>
      </c>
      <c r="F138" s="64">
        <v>42670</v>
      </c>
      <c r="G138" s="64">
        <f>IFERROR(CALCOLASCADENZA(Table2[[#This Row],[Data attivazione]],Table2[[#This Row],[Rateizzazione]],Table2[[#This Row],[Data ultimo pagamento]],Table2[[#This Row],[Data prossima scadenza manuale]]),"-")</f>
        <v>43035</v>
      </c>
      <c r="H138" s="67" t="s">
        <v>30</v>
      </c>
      <c r="I138" s="67" t="s">
        <v>113</v>
      </c>
      <c r="J138" s="33">
        <f>IFERROR(Table2[[#This Row],[Importo annuale]]/(12/VLOOKUP(Table2[[#This Row],[Rateizzazione]],TIPI_RATEIZZAZIONI,2,FALSE)),"-")</f>
        <v>150</v>
      </c>
      <c r="K138" s="88"/>
      <c r="L138" s="88">
        <v>150</v>
      </c>
      <c r="M138" s="67" t="s">
        <v>43</v>
      </c>
      <c r="N138" s="67" t="s">
        <v>52</v>
      </c>
      <c r="O138" s="27" t="s">
        <v>1631</v>
      </c>
      <c r="P138" s="33" t="s">
        <v>23</v>
      </c>
      <c r="Q138" s="60">
        <f>IFERROR(IF(12 / VLOOKUP(Table2[[#This Row],[Rateizzazione]],TIPI_RATEIZZAZIONI,2,FALSE) &gt;=1,  IF(Table2[[#This Row],[Data attivazione]] = "","-",MONTH(Table2[[#This Row],[Data attivazione]])),"-"),"-")</f>
        <v>10</v>
      </c>
      <c r="R1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8" s="67" t="s">
        <v>133</v>
      </c>
      <c r="V138" s="62"/>
      <c r="W138" s="64">
        <v>42670</v>
      </c>
      <c r="X138" s="29">
        <f>DATE(YEAR(Table2[[#This Row],[Data attivazione]])+VLOOKUP(Table2[[#This Row],[Durata]],VALORE_DURATA,2,FALSE),MONTH(Table2[[#This Row],[Data attivazione]]),DAY(Table2[[#This Row],[Data attivazione]]))</f>
        <v>43035</v>
      </c>
      <c r="Y138" s="65"/>
      <c r="Z138" s="61"/>
      <c r="AA138" s="64" t="s">
        <v>85</v>
      </c>
      <c r="AB138" s="29" t="str">
        <f>IF(Table2[[#This Row],[Data ultimo versamento temp]]=0/1/1900,"-",Table2[[#This Row],[Data ultimo versamento temp]])</f>
        <v>-</v>
      </c>
      <c r="AC138" s="29">
        <f t="array" ref="AC138">MAX(IF(TableVersamenti[Polizza]=Table2[[#This Row],[Polizza]],TableVersamenti[Data prevista versamento],"-"))</f>
        <v>0</v>
      </c>
      <c r="AD138" s="62"/>
      <c r="AE138" s="106">
        <f>DATE(YEAR(Table2[[#This Row],[Data ultimo pagamento]]),MONTH(Table2[[#This Row],[Data ultimo pagamento]]), 1)</f>
        <v>42644</v>
      </c>
      <c r="AF138" s="106">
        <f>DATE(YEAR(Table2[[#This Row],[Data prossima scadenza]]),MONTH(Table2[[#This Row],[Data prossima scadenza]]), 1)</f>
        <v>43009</v>
      </c>
      <c r="AG138" s="33">
        <f>IFERROR(Table2[[#This Row],[Importo annuale]]*VLOOKUP(Table2[[#This Row],[Ramo]],RAMI_POLIZZA,2,FALSE),0)</f>
        <v>17.25</v>
      </c>
      <c r="AH138" s="65" t="s">
        <v>113</v>
      </c>
      <c r="AI138" s="63" t="str">
        <f>IFERROR(VLOOKUP(Table2[[#This Row],[Contraente]],Table1[[Nome/Ragione sociale]:[Checkbox selezionato]],2,FALSE),"-")</f>
        <v>CASTEL SAN GIOVANNI</v>
      </c>
      <c r="AJ138" s="63" t="str">
        <f>IFERROR(VLOOKUP(Table2[[#This Row],[Contraente]],Table1[[Nome/Ragione sociale]:[Checkbox selezionato]],3,FALSE),"-")</f>
        <v>-</v>
      </c>
      <c r="AK138" s="63">
        <f>IFERROR(VLOOKUP(Table2[[#This Row],[Contraente]],Table1[[Nome/Ragione sociale]:[Checkbox selezionato]],4,FALSE),"-")</f>
        <v>0</v>
      </c>
      <c r="AL138" s="63" t="str">
        <f>IFERROR(VLOOKUP(Table2[[#This Row],[Contraente]],Table1[[Nome/Ragione sociale]:[Checkbox selezionato]],5,FALSE),"-")</f>
        <v>-</v>
      </c>
      <c r="AM138" s="62">
        <f>IFERROR(VLOOKUP(Table2[[#This Row],[Contraente]],Table1[[Nome/Ragione sociale]:[Checkbox selezionato]],6,FALSE),"-")</f>
        <v>25295</v>
      </c>
      <c r="AN138" s="63" t="str">
        <f>IFERROR(VLOOKUP(Table2[[#This Row],[Contraente]],Table1[[Nome/Ragione sociale]:[Checkbox selezionato]],7,FALSE),"-")</f>
        <v>papies@libero.it</v>
      </c>
      <c r="AO138" s="63">
        <f>IFERROR(VLOOKUP(Table2[[#This Row],[Contraente]],Table1[[Nome/Ragione sociale]:[Checkbox selezionato]],8,FALSE),"-")</f>
        <v>0</v>
      </c>
      <c r="AP138" s="63" t="str">
        <f>IFERROR(VLOOKUP(Table2[[#This Row],[Contraente]],Table1[[Nome/Ragione sociale]:[Checkbox selezionato]],10,FALSE),"-")</f>
        <v>-</v>
      </c>
      <c r="AQ138" s="63" t="str">
        <f>IFERROR(VLOOKUP(Table2[[#This Row],[Contraente]],Table1[[Nome/Ragione sociale]:[Checkbox selezionato]],11,FALSE),"-")</f>
        <v>SI</v>
      </c>
      <c r="AR138" s="63" t="str">
        <f>IFERROR(VLOOKUP(Table2[[#This Row],[Contraente]],Table1[[Nome/Ragione sociale]:[Checkbox selezionato]],12,FALSE),"-")</f>
        <v>SI</v>
      </c>
    </row>
    <row r="139" spans="1:44" ht="30" hidden="1" customHeight="1" x14ac:dyDescent="0.25">
      <c r="A139" s="60" t="str">
        <f>UPPER(LEFT(Table2[[#This Row],[Contraente]],1))</f>
        <v>B</v>
      </c>
      <c r="B139" s="60" t="s">
        <v>1634</v>
      </c>
      <c r="C139" s="81" t="s">
        <v>334</v>
      </c>
      <c r="D139" s="80" t="s">
        <v>37</v>
      </c>
      <c r="E139" s="86">
        <v>106598739</v>
      </c>
      <c r="F139" s="64">
        <v>42801</v>
      </c>
      <c r="G139" s="64">
        <f>IFERROR(CALCOLASCADENZA(Table2[[#This Row],[Data attivazione]],Table2[[#This Row],[Rateizzazione]],Table2[[#This Row],[Data ultimo pagamento]],Table2[[#This Row],[Data prossima scadenza manuale]]),"-")</f>
        <v>43166</v>
      </c>
      <c r="H139" s="67" t="s">
        <v>30</v>
      </c>
      <c r="I139" s="67" t="s">
        <v>113</v>
      </c>
      <c r="J139" s="33">
        <f>IFERROR(Table2[[#This Row],[Importo annuale]]/(12/VLOOKUP(Table2[[#This Row],[Rateizzazione]],TIPI_RATEIZZAZIONI,2,FALSE)),"-")</f>
        <v>82</v>
      </c>
      <c r="K139" s="88">
        <v>82</v>
      </c>
      <c r="L139" s="88">
        <v>82</v>
      </c>
      <c r="M139" s="67" t="s">
        <v>44</v>
      </c>
      <c r="N139" s="67" t="s">
        <v>52</v>
      </c>
      <c r="O139" s="27" t="s">
        <v>1631</v>
      </c>
      <c r="P139" s="33" t="s">
        <v>23</v>
      </c>
      <c r="Q139" s="60">
        <f>IFERROR(IF(12 / VLOOKUP(Table2[[#This Row],[Rateizzazione]],TIPI_RATEIZZAZIONI,2,FALSE) &gt;=1,  IF(Table2[[#This Row],[Data attivazione]] = "","-",MONTH(Table2[[#This Row],[Data attivazione]])),"-"),"-")</f>
        <v>3</v>
      </c>
      <c r="R1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9" s="67" t="s">
        <v>2</v>
      </c>
      <c r="V139" s="62"/>
      <c r="W139" s="64">
        <v>42801</v>
      </c>
      <c r="X139" s="29">
        <f>DATE(YEAR(Table2[[#This Row],[Data attivazione]])+VLOOKUP(Table2[[#This Row],[Durata]],VALORE_DURATA,2,FALSE),MONTH(Table2[[#This Row],[Data attivazione]]),DAY(Table2[[#This Row],[Data attivazione]]))</f>
        <v>43166</v>
      </c>
      <c r="Y139" s="65"/>
      <c r="Z139" s="61"/>
      <c r="AA139" s="64" t="s">
        <v>85</v>
      </c>
      <c r="AB139" s="29" t="str">
        <f>IF(Table2[[#This Row],[Data ultimo versamento temp]]=0/1/1900,"-",Table2[[#This Row],[Data ultimo versamento temp]])</f>
        <v>-</v>
      </c>
      <c r="AC139" s="29">
        <f t="array" ref="AC139">MAX(IF(TableVersamenti[Polizza]=Table2[[#This Row],[Polizza]],TableVersamenti[Data prevista versamento],"-"))</f>
        <v>0</v>
      </c>
      <c r="AD139" s="62"/>
      <c r="AE139" s="106">
        <f>DATE(YEAR(Table2[[#This Row],[Data ultimo pagamento]]),MONTH(Table2[[#This Row],[Data ultimo pagamento]]), 1)</f>
        <v>42795</v>
      </c>
      <c r="AF139" s="106">
        <f>DATE(YEAR(Table2[[#This Row],[Data prossima scadenza]]),MONTH(Table2[[#This Row],[Data prossima scadenza]]), 1)</f>
        <v>43160</v>
      </c>
      <c r="AG139" s="33">
        <f>IFERROR(Table2[[#This Row],[Importo annuale]]*VLOOKUP(Table2[[#This Row],[Ramo]],RAMI_POLIZZA,2,FALSE),0)</f>
        <v>9.43</v>
      </c>
      <c r="AH139" s="65" t="s">
        <v>113</v>
      </c>
      <c r="AI139" s="63" t="str">
        <f>IFERROR(VLOOKUP(Table2[[#This Row],[Contraente]],Table1[[Nome/Ragione sociale]:[Checkbox selezionato]],2,FALSE),"-")</f>
        <v>LINAROLO</v>
      </c>
      <c r="AJ139" s="63">
        <f>IFERROR(VLOOKUP(Table2[[#This Row],[Contraente]],Table1[[Nome/Ragione sociale]:[Checkbox selezionato]],3,FALSE),"-")</f>
        <v>3356947473</v>
      </c>
      <c r="AK139" s="63">
        <f>IFERROR(VLOOKUP(Table2[[#This Row],[Contraente]],Table1[[Nome/Ragione sociale]:[Checkbox selezionato]],4,FALSE),"-")</f>
        <v>0</v>
      </c>
      <c r="AL139" s="63" t="str">
        <f>IFERROR(VLOOKUP(Table2[[#This Row],[Contraente]],Table1[[Nome/Ragione sociale]:[Checkbox selezionato]],5,FALSE),"-")</f>
        <v>TICLI</v>
      </c>
      <c r="AM139" s="62" t="str">
        <f>IFERROR(VLOOKUP(Table2[[#This Row],[Contraente]],Table1[[Nome/Ragione sociale]:[Checkbox selezionato]],6,FALSE),"-")</f>
        <v>-</v>
      </c>
      <c r="AN139" s="63" t="str">
        <f>IFERROR(VLOOKUP(Table2[[#This Row],[Contraente]],Table1[[Nome/Ragione sociale]:[Checkbox selezionato]],7,FALSE),"-")</f>
        <v>papies@libero.it</v>
      </c>
      <c r="AO139" s="63">
        <f>IFERROR(VLOOKUP(Table2[[#This Row],[Contraente]],Table1[[Nome/Ragione sociale]:[Checkbox selezionato]],8,FALSE),"-")</f>
        <v>0</v>
      </c>
      <c r="AP139" s="63">
        <f>IFERROR(VLOOKUP(Table2[[#This Row],[Contraente]],Table1[[Nome/Ragione sociale]:[Checkbox selezionato]],10,FALSE),"-")</f>
        <v>3356947473</v>
      </c>
      <c r="AQ139" s="63" t="str">
        <f>IFERROR(VLOOKUP(Table2[[#This Row],[Contraente]],Table1[[Nome/Ragione sociale]:[Checkbox selezionato]],11,FALSE),"-")</f>
        <v>SI</v>
      </c>
      <c r="AR139" s="63" t="str">
        <f>IFERROR(VLOOKUP(Table2[[#This Row],[Contraente]],Table1[[Nome/Ragione sociale]:[Checkbox selezionato]],12,FALSE),"-")</f>
        <v>SI</v>
      </c>
    </row>
    <row r="140" spans="1:44" ht="30" hidden="1" customHeight="1" x14ac:dyDescent="0.25">
      <c r="A140" s="60" t="str">
        <f>UPPER(LEFT(Table2[[#This Row],[Contraente]],1))</f>
        <v>B</v>
      </c>
      <c r="B140" s="60" t="s">
        <v>1634</v>
      </c>
      <c r="C140" s="81" t="s">
        <v>334</v>
      </c>
      <c r="D140" s="80" t="s">
        <v>37</v>
      </c>
      <c r="E140" s="86">
        <v>106598748</v>
      </c>
      <c r="F140" s="64">
        <v>42801</v>
      </c>
      <c r="G140" s="64">
        <f>IFERROR(CALCOLASCADENZA(Table2[[#This Row],[Data attivazione]],Table2[[#This Row],[Rateizzazione]],Table2[[#This Row],[Data ultimo pagamento]],Table2[[#This Row],[Data prossima scadenza manuale]]),"-")</f>
        <v>43166</v>
      </c>
      <c r="H140" s="67" t="s">
        <v>31</v>
      </c>
      <c r="I140" s="67" t="s">
        <v>1183</v>
      </c>
      <c r="J140" s="33">
        <f>IFERROR(Table2[[#This Row],[Importo annuale]]/(12/VLOOKUP(Table2[[#This Row],[Rateizzazione]],TIPI_RATEIZZAZIONI,2,FALSE)),"-")</f>
        <v>448</v>
      </c>
      <c r="K140" s="88">
        <v>448</v>
      </c>
      <c r="L140" s="88">
        <v>448</v>
      </c>
      <c r="M140" s="67" t="s">
        <v>44</v>
      </c>
      <c r="N140" s="67" t="s">
        <v>52</v>
      </c>
      <c r="O140" s="27" t="s">
        <v>1631</v>
      </c>
      <c r="P140" s="33" t="s">
        <v>23</v>
      </c>
      <c r="Q140" s="60">
        <f>IFERROR(IF(12 / VLOOKUP(Table2[[#This Row],[Rateizzazione]],TIPI_RATEIZZAZIONI,2,FALSE) &gt;=1,  IF(Table2[[#This Row],[Data attivazione]] = "","-",MONTH(Table2[[#This Row],[Data attivazione]])),"-"),"-")</f>
        <v>3</v>
      </c>
      <c r="R1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0" s="67" t="s">
        <v>2</v>
      </c>
      <c r="V140" s="62"/>
      <c r="W140" s="64">
        <v>42801</v>
      </c>
      <c r="X140" s="29">
        <f>DATE(YEAR(Table2[[#This Row],[Data attivazione]])+VLOOKUP(Table2[[#This Row],[Durata]],VALORE_DURATA,2,FALSE),MONTH(Table2[[#This Row],[Data attivazione]]),DAY(Table2[[#This Row],[Data attivazione]]))</f>
        <v>43166</v>
      </c>
      <c r="Y140" s="65"/>
      <c r="Z140" s="61"/>
      <c r="AA140" s="64" t="s">
        <v>85</v>
      </c>
      <c r="AB140" s="29" t="str">
        <f>IF(Table2[[#This Row],[Data ultimo versamento temp]]=0/1/1900,"-",Table2[[#This Row],[Data ultimo versamento temp]])</f>
        <v>-</v>
      </c>
      <c r="AC140" s="29">
        <f t="array" ref="AC140">MAX(IF(TableVersamenti[Polizza]=Table2[[#This Row],[Polizza]],TableVersamenti[Data prevista versamento],"-"))</f>
        <v>0</v>
      </c>
      <c r="AD140" s="62"/>
      <c r="AE140" s="106">
        <f>DATE(YEAR(Table2[[#This Row],[Data ultimo pagamento]]),MONTH(Table2[[#This Row],[Data ultimo pagamento]]), 1)</f>
        <v>42795</v>
      </c>
      <c r="AF140" s="106">
        <f>DATE(YEAR(Table2[[#This Row],[Data prossima scadenza]]),MONTH(Table2[[#This Row],[Data prossima scadenza]]), 1)</f>
        <v>43160</v>
      </c>
      <c r="AG140" s="33">
        <f>IFERROR(Table2[[#This Row],[Importo annuale]]*VLOOKUP(Table2[[#This Row],[Ramo]],RAMI_POLIZZA,2,FALSE),0)</f>
        <v>23.295999999999999</v>
      </c>
      <c r="AH140" s="65" t="s">
        <v>113</v>
      </c>
      <c r="AI140" s="63" t="str">
        <f>IFERROR(VLOOKUP(Table2[[#This Row],[Contraente]],Table1[[Nome/Ragione sociale]:[Checkbox selezionato]],2,FALSE),"-")</f>
        <v>LINAROLO</v>
      </c>
      <c r="AJ140" s="63">
        <f>IFERROR(VLOOKUP(Table2[[#This Row],[Contraente]],Table1[[Nome/Ragione sociale]:[Checkbox selezionato]],3,FALSE),"-")</f>
        <v>3356947473</v>
      </c>
      <c r="AK140" s="63">
        <f>IFERROR(VLOOKUP(Table2[[#This Row],[Contraente]],Table1[[Nome/Ragione sociale]:[Checkbox selezionato]],4,FALSE),"-")</f>
        <v>0</v>
      </c>
      <c r="AL140" s="63" t="str">
        <f>IFERROR(VLOOKUP(Table2[[#This Row],[Contraente]],Table1[[Nome/Ragione sociale]:[Checkbox selezionato]],5,FALSE),"-")</f>
        <v>TICLI</v>
      </c>
      <c r="AM140" s="62" t="str">
        <f>IFERROR(VLOOKUP(Table2[[#This Row],[Contraente]],Table1[[Nome/Ragione sociale]:[Checkbox selezionato]],6,FALSE),"-")</f>
        <v>-</v>
      </c>
      <c r="AN140" s="63" t="str">
        <f>IFERROR(VLOOKUP(Table2[[#This Row],[Contraente]],Table1[[Nome/Ragione sociale]:[Checkbox selezionato]],7,FALSE),"-")</f>
        <v>papies@libero.it</v>
      </c>
      <c r="AO140" s="63">
        <f>IFERROR(VLOOKUP(Table2[[#This Row],[Contraente]],Table1[[Nome/Ragione sociale]:[Checkbox selezionato]],8,FALSE),"-")</f>
        <v>0</v>
      </c>
      <c r="AP140" s="63">
        <f>IFERROR(VLOOKUP(Table2[[#This Row],[Contraente]],Table1[[Nome/Ragione sociale]:[Checkbox selezionato]],10,FALSE),"-")</f>
        <v>3356947473</v>
      </c>
      <c r="AQ140" s="63" t="str">
        <f>IFERROR(VLOOKUP(Table2[[#This Row],[Contraente]],Table1[[Nome/Ragione sociale]:[Checkbox selezionato]],11,FALSE),"-")</f>
        <v>SI</v>
      </c>
      <c r="AR140" s="63" t="str">
        <f>IFERROR(VLOOKUP(Table2[[#This Row],[Contraente]],Table1[[Nome/Ragione sociale]:[Checkbox selezionato]],12,FALSE),"-")</f>
        <v>SI</v>
      </c>
    </row>
    <row r="141" spans="1:44" ht="30" hidden="1" customHeight="1" x14ac:dyDescent="0.25">
      <c r="A141" s="60" t="str">
        <f>UPPER(LEFT(Table2[[#This Row],[Contraente]],1))</f>
        <v>B</v>
      </c>
      <c r="B141" s="60" t="s">
        <v>1634</v>
      </c>
      <c r="C141" s="81" t="s">
        <v>350</v>
      </c>
      <c r="D141" s="80" t="s">
        <v>37</v>
      </c>
      <c r="E141" s="86">
        <v>102822744</v>
      </c>
      <c r="F141" s="64">
        <v>41915</v>
      </c>
      <c r="G141" s="64">
        <f>IFERROR(CALCOLASCADENZA(Table2[[#This Row],[Data attivazione]],Table2[[#This Row],[Rateizzazione]],Table2[[#This Row],[Data ultimo pagamento]],Table2[[#This Row],[Data prossima scadenza manuale]]),"-")</f>
        <v>41915</v>
      </c>
      <c r="H141" s="67" t="s">
        <v>31</v>
      </c>
      <c r="I141" s="67"/>
      <c r="J141" s="33">
        <v>0</v>
      </c>
      <c r="K141" s="88"/>
      <c r="L141" s="88">
        <v>0</v>
      </c>
      <c r="M141" s="67" t="s">
        <v>43</v>
      </c>
      <c r="N141" s="67" t="s">
        <v>52</v>
      </c>
      <c r="O141" s="27" t="s">
        <v>1631</v>
      </c>
      <c r="P141" s="33" t="s">
        <v>24</v>
      </c>
      <c r="Q14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1" s="67" t="s">
        <v>2</v>
      </c>
      <c r="V141" s="62"/>
      <c r="W141" s="64">
        <v>693597</v>
      </c>
      <c r="X141" s="29">
        <f>DATE(YEAR(Table2[[#This Row],[Data attivazione]])+VLOOKUP(Table2[[#This Row],[Durata]],VALORE_DURATA,2,FALSE),MONTH(Table2[[#This Row],[Data attivazione]]),DAY(Table2[[#This Row],[Data attivazione]]))</f>
        <v>693962</v>
      </c>
      <c r="Y141" s="65"/>
      <c r="Z141" s="61"/>
      <c r="AA141" s="64" t="s">
        <v>88</v>
      </c>
      <c r="AB141" s="29" t="str">
        <f>IF(Table2[[#This Row],[Data ultimo versamento temp]]=0/1/1900,"-",Table2[[#This Row],[Data ultimo versamento temp]])</f>
        <v>-</v>
      </c>
      <c r="AC141" s="29">
        <f t="array" ref="AC141">MAX(IF(TableVersamenti[Polizza]=Table2[[#This Row],[Polizza]],TableVersamenti[Data prevista versamento],"-"))</f>
        <v>0</v>
      </c>
      <c r="AD141" s="62"/>
      <c r="AE141" s="106">
        <f>DATE(YEAR(Table2[[#This Row],[Data ultimo pagamento]]),MONTH(Table2[[#This Row],[Data ultimo pagamento]]), 1)</f>
        <v>41913</v>
      </c>
      <c r="AF141" s="106">
        <f>DATE(YEAR(Table2[[#This Row],[Data prossima scadenza]]),MONTH(Table2[[#This Row],[Data prossima scadenza]]), 1)</f>
        <v>41913</v>
      </c>
      <c r="AG141" s="33">
        <f>IFERROR(Table2[[#This Row],[Importo annuale]]*VLOOKUP(Table2[[#This Row],[Ramo]],RAMI_POLIZZA,2,FALSE),0)</f>
        <v>0</v>
      </c>
      <c r="AH141" s="65" t="s">
        <v>113</v>
      </c>
      <c r="AI141" s="63" t="str">
        <f>IFERROR(VLOOKUP(Table2[[#This Row],[Contraente]],Table1[[Nome/Ragione sociale]:[Checkbox selezionato]],2,FALSE),"-")</f>
        <v>VISTARINO</v>
      </c>
      <c r="AJ141" s="63">
        <f>IFERROR(VLOOKUP(Table2[[#This Row],[Contraente]],Table1[[Nome/Ragione sociale]:[Checkbox selezionato]],3,FALSE),"-")</f>
        <v>3279052930</v>
      </c>
      <c r="AK141" s="63">
        <f>IFERROR(VLOOKUP(Table2[[#This Row],[Contraente]],Table1[[Nome/Ragione sociale]:[Checkbox selezionato]],4,FALSE),"-")</f>
        <v>0</v>
      </c>
      <c r="AL141" s="63" t="str">
        <f>IFERROR(VLOOKUP(Table2[[#This Row],[Contraente]],Table1[[Nome/Ragione sociale]:[Checkbox selezionato]],5,FALSE),"-")</f>
        <v>CONSTANTIN</v>
      </c>
      <c r="AM141" s="62">
        <f>IFERROR(VLOOKUP(Table2[[#This Row],[Contraente]],Table1[[Nome/Ragione sociale]:[Checkbox selezionato]],6,FALSE),"-")</f>
        <v>31534</v>
      </c>
      <c r="AN141" s="63" t="str">
        <f>IFERROR(VLOOKUP(Table2[[#This Row],[Contraente]],Table1[[Nome/Ragione sociale]:[Checkbox selezionato]],7,FALSE),"-")</f>
        <v>papies@email.it</v>
      </c>
      <c r="AO141" s="63">
        <f>IFERROR(VLOOKUP(Table2[[#This Row],[Contraente]],Table1[[Nome/Ragione sociale]:[Checkbox selezionato]],8,FALSE),"-")</f>
        <v>0</v>
      </c>
      <c r="AP141" s="63">
        <f>IFERROR(VLOOKUP(Table2[[#This Row],[Contraente]],Table1[[Nome/Ragione sociale]:[Checkbox selezionato]],10,FALSE),"-")</f>
        <v>3279052930</v>
      </c>
      <c r="AQ141" s="63" t="str">
        <f>IFERROR(VLOOKUP(Table2[[#This Row],[Contraente]],Table1[[Nome/Ragione sociale]:[Checkbox selezionato]],11,FALSE),"-")</f>
        <v>SI</v>
      </c>
      <c r="AR141" s="63" t="str">
        <f>IFERROR(VLOOKUP(Table2[[#This Row],[Contraente]],Table1[[Nome/Ragione sociale]:[Checkbox selezionato]],12,FALSE),"-")</f>
        <v>SI</v>
      </c>
    </row>
    <row r="142" spans="1:44" ht="30" hidden="1" customHeight="1" x14ac:dyDescent="0.25">
      <c r="A142" s="60" t="str">
        <f>UPPER(LEFT(Table2[[#This Row],[Contraente]],1))</f>
        <v>B</v>
      </c>
      <c r="B142" s="60" t="s">
        <v>1634</v>
      </c>
      <c r="C142" s="81" t="s">
        <v>352</v>
      </c>
      <c r="D142" s="80" t="s">
        <v>37</v>
      </c>
      <c r="E142" s="86">
        <v>105417347</v>
      </c>
      <c r="F142" s="64">
        <v>42823</v>
      </c>
      <c r="G142" s="64">
        <f>IFERROR(CALCOLASCADENZA(Table2[[#This Row],[Data attivazione]],Table2[[#This Row],[Rateizzazione]],Table2[[#This Row],[Data ultimo pagamento]],Table2[[#This Row],[Data prossima scadenza manuale]]),"-")</f>
        <v>43187</v>
      </c>
      <c r="H142" s="67" t="s">
        <v>31</v>
      </c>
      <c r="I142" s="67" t="s">
        <v>1189</v>
      </c>
      <c r="J142" s="33">
        <f>IFERROR(Table2[[#This Row],[Importo annuale]]/(12/VLOOKUP(Table2[[#This Row],[Rateizzazione]],TIPI_RATEIZZAZIONI,2,FALSE)),"-")</f>
        <v>247.89</v>
      </c>
      <c r="K142" s="88">
        <v>247.89</v>
      </c>
      <c r="L142" s="88">
        <v>247.89</v>
      </c>
      <c r="M142" s="67" t="s">
        <v>44</v>
      </c>
      <c r="N142" s="67" t="s">
        <v>51</v>
      </c>
      <c r="O142" s="27" t="s">
        <v>1631</v>
      </c>
      <c r="P142" s="33" t="s">
        <v>23</v>
      </c>
      <c r="Q142" s="60">
        <f>IFERROR(IF(12 / VLOOKUP(Table2[[#This Row],[Rateizzazione]],TIPI_RATEIZZAZIONI,2,FALSE) &gt;=1,  IF(Table2[[#This Row],[Data attivazione]] = "","-",MONTH(Table2[[#This Row],[Data attivazione]])),"-"),"-")</f>
        <v>3</v>
      </c>
      <c r="R1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2" s="67" t="s">
        <v>133</v>
      </c>
      <c r="V142" s="62"/>
      <c r="W142" s="64">
        <v>42822</v>
      </c>
      <c r="X142" s="29">
        <f>DATE(YEAR(Table2[[#This Row],[Data attivazione]])+VLOOKUP(Table2[[#This Row],[Durata]],VALORE_DURATA,2,FALSE),MONTH(Table2[[#This Row],[Data attivazione]]),DAY(Table2[[#This Row],[Data attivazione]]))</f>
        <v>43187</v>
      </c>
      <c r="Y142" s="65"/>
      <c r="Z142" s="61"/>
      <c r="AA142" s="64" t="s">
        <v>85</v>
      </c>
      <c r="AB142" s="29" t="str">
        <f>IF(Table2[[#This Row],[Data ultimo versamento temp]]=0/1/1900,"-",Table2[[#This Row],[Data ultimo versamento temp]])</f>
        <v>-</v>
      </c>
      <c r="AC142" s="29">
        <f t="array" ref="AC142">MAX(IF(TableVersamenti[Polizza]=Table2[[#This Row],[Polizza]],TableVersamenti[Data prevista versamento],"-"))</f>
        <v>0</v>
      </c>
      <c r="AD142" s="62"/>
      <c r="AE142" s="106">
        <f>DATE(YEAR(Table2[[#This Row],[Data ultimo pagamento]]),MONTH(Table2[[#This Row],[Data ultimo pagamento]]), 1)</f>
        <v>42795</v>
      </c>
      <c r="AF142" s="106">
        <f>DATE(YEAR(Table2[[#This Row],[Data prossima scadenza]]),MONTH(Table2[[#This Row],[Data prossima scadenza]]), 1)</f>
        <v>43160</v>
      </c>
      <c r="AG142" s="33">
        <f>IFERROR(Table2[[#This Row],[Importo annuale]]*VLOOKUP(Table2[[#This Row],[Ramo]],RAMI_POLIZZA,2,FALSE),0)</f>
        <v>12.890279999999999</v>
      </c>
      <c r="AH142" s="65" t="s">
        <v>113</v>
      </c>
      <c r="AI142" s="63" t="str">
        <f>IFERROR(VLOOKUP(Table2[[#This Row],[Contraente]],Table1[[Nome/Ragione sociale]:[Checkbox selezionato]],2,FALSE),"-")</f>
        <v>STRADELLA</v>
      </c>
      <c r="AJ142" s="63">
        <f>IFERROR(VLOOKUP(Table2[[#This Row],[Contraente]],Table1[[Nome/Ragione sociale]:[Checkbox selezionato]],3,FALSE),"-")</f>
        <v>0</v>
      </c>
      <c r="AK142" s="63">
        <f>IFERROR(VLOOKUP(Table2[[#This Row],[Contraente]],Table1[[Nome/Ragione sociale]:[Checkbox selezionato]],4,FALSE),"-")</f>
        <v>0</v>
      </c>
      <c r="AL142" s="63">
        <f>IFERROR(VLOOKUP(Table2[[#This Row],[Contraente]],Table1[[Nome/Ragione sociale]:[Checkbox selezionato]],5,FALSE),"-")</f>
        <v>0</v>
      </c>
      <c r="AM142" s="62">
        <f>IFERROR(VLOOKUP(Table2[[#This Row],[Contraente]],Table1[[Nome/Ragione sociale]:[Checkbox selezionato]],6,FALSE),"-")</f>
        <v>16311</v>
      </c>
      <c r="AN142" s="63" t="str">
        <f>IFERROR(VLOOKUP(Table2[[#This Row],[Contraente]],Table1[[Nome/Ragione sociale]:[Checkbox selezionato]],7,FALSE),"-")</f>
        <v>papies@libero.it</v>
      </c>
      <c r="AO142" s="63">
        <f>IFERROR(VLOOKUP(Table2[[#This Row],[Contraente]],Table1[[Nome/Ragione sociale]:[Checkbox selezionato]],8,FALSE),"-")</f>
        <v>0</v>
      </c>
      <c r="AP142" s="63">
        <f>IFERROR(VLOOKUP(Table2[[#This Row],[Contraente]],Table1[[Nome/Ragione sociale]:[Checkbox selezionato]],10,FALSE),"-")</f>
        <v>0</v>
      </c>
      <c r="AQ142" s="63" t="str">
        <f>IFERROR(VLOOKUP(Table2[[#This Row],[Contraente]],Table1[[Nome/Ragione sociale]:[Checkbox selezionato]],11,FALSE),"-")</f>
        <v>SI</v>
      </c>
      <c r="AR142" s="63" t="str">
        <f>IFERROR(VLOOKUP(Table2[[#This Row],[Contraente]],Table1[[Nome/Ragione sociale]:[Checkbox selezionato]],12,FALSE),"-")</f>
        <v>SI</v>
      </c>
    </row>
    <row r="143" spans="1:44" ht="30" hidden="1" customHeight="1" x14ac:dyDescent="0.25">
      <c r="A143" s="60" t="str">
        <f>UPPER(LEFT(Table2[[#This Row],[Contraente]],1))</f>
        <v>B</v>
      </c>
      <c r="B143" s="60" t="s">
        <v>1634</v>
      </c>
      <c r="C143" s="81" t="s">
        <v>355</v>
      </c>
      <c r="D143" s="80" t="s">
        <v>37</v>
      </c>
      <c r="E143" s="86">
        <v>105599053</v>
      </c>
      <c r="F143" s="64">
        <v>42503</v>
      </c>
      <c r="G143" s="64">
        <f>IFERROR(CALCOLASCADENZA(Table2[[#This Row],[Data attivazione]],Table2[[#This Row],[Rateizzazione]],Table2[[#This Row],[Data ultimo pagamento]],Table2[[#This Row],[Data prossima scadenza manuale]]),"-")</f>
        <v>42879</v>
      </c>
      <c r="H143" s="67" t="s">
        <v>31</v>
      </c>
      <c r="I143" s="67" t="s">
        <v>1191</v>
      </c>
      <c r="J143" s="33">
        <f>IFERROR(Table2[[#This Row],[Importo annuale]]/(12/VLOOKUP(Table2[[#This Row],[Rateizzazione]],TIPI_RATEIZZAZIONI,2,FALSE)),"-")</f>
        <v>485.74</v>
      </c>
      <c r="K143" s="88"/>
      <c r="L143" s="88">
        <v>485.74</v>
      </c>
      <c r="M143" s="67" t="s">
        <v>43</v>
      </c>
      <c r="N143" s="67" t="s">
        <v>51</v>
      </c>
      <c r="O143" s="27" t="s">
        <v>1631</v>
      </c>
      <c r="P143" s="33" t="s">
        <v>23</v>
      </c>
      <c r="Q143" s="60">
        <f>IFERROR(IF(12 / VLOOKUP(Table2[[#This Row],[Rateizzazione]],TIPI_RATEIZZAZIONI,2,FALSE) &gt;=1,  IF(Table2[[#This Row],[Data attivazione]] = "","-",MONTH(Table2[[#This Row],[Data attivazione]])),"-"),"-")</f>
        <v>5</v>
      </c>
      <c r="R1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3" s="67" t="s">
        <v>2</v>
      </c>
      <c r="V143" s="62"/>
      <c r="W143" s="64">
        <v>42514</v>
      </c>
      <c r="X143" s="29">
        <f>DATE(YEAR(Table2[[#This Row],[Data attivazione]])+VLOOKUP(Table2[[#This Row],[Durata]],VALORE_DURATA,2,FALSE),MONTH(Table2[[#This Row],[Data attivazione]]),DAY(Table2[[#This Row],[Data attivazione]]))</f>
        <v>42879</v>
      </c>
      <c r="Y143" s="65"/>
      <c r="Z143" s="61"/>
      <c r="AA143" s="64" t="s">
        <v>88</v>
      </c>
      <c r="AB143" s="29" t="str">
        <f>IF(Table2[[#This Row],[Data ultimo versamento temp]]=0/1/1900,"-",Table2[[#This Row],[Data ultimo versamento temp]])</f>
        <v>-</v>
      </c>
      <c r="AC143" s="29">
        <f t="array" ref="AC143">MAX(IF(TableVersamenti[Polizza]=Table2[[#This Row],[Polizza]],TableVersamenti[Data prevista versamento],"-"))</f>
        <v>0</v>
      </c>
      <c r="AD143" s="62"/>
      <c r="AE143" s="106">
        <f>DATE(YEAR(Table2[[#This Row],[Data ultimo pagamento]]),MONTH(Table2[[#This Row],[Data ultimo pagamento]]), 1)</f>
        <v>42491</v>
      </c>
      <c r="AF143" s="106">
        <f>DATE(YEAR(Table2[[#This Row],[Data prossima scadenza]]),MONTH(Table2[[#This Row],[Data prossima scadenza]]), 1)</f>
        <v>42856</v>
      </c>
      <c r="AG143" s="33">
        <f>IFERROR(Table2[[#This Row],[Importo annuale]]*VLOOKUP(Table2[[#This Row],[Ramo]],RAMI_POLIZZA,2,FALSE),0)</f>
        <v>25.258479999999999</v>
      </c>
      <c r="AH143" s="65" t="s">
        <v>113</v>
      </c>
      <c r="AI143" s="63" t="str">
        <f>IFERROR(VLOOKUP(Table2[[#This Row],[Contraente]],Table1[[Nome/Ragione sociale]:[Checkbox selezionato]],2,FALSE),"-")</f>
        <v>BELGIOIOSO</v>
      </c>
      <c r="AJ143" s="63">
        <f>IFERROR(VLOOKUP(Table2[[#This Row],[Contraente]],Table1[[Nome/Ragione sociale]:[Checkbox selezionato]],3,FALSE),"-")</f>
        <v>3385696592</v>
      </c>
      <c r="AK143" s="63">
        <f>IFERROR(VLOOKUP(Table2[[#This Row],[Contraente]],Table1[[Nome/Ragione sociale]:[Checkbox selezionato]],4,FALSE),"-")</f>
        <v>0</v>
      </c>
      <c r="AL143" s="63" t="str">
        <f>IFERROR(VLOOKUP(Table2[[#This Row],[Contraente]],Table1[[Nome/Ragione sociale]:[Checkbox selezionato]],5,FALSE),"-")</f>
        <v xml:space="preserve">TIZIANO </v>
      </c>
      <c r="AM143" s="62">
        <f>IFERROR(VLOOKUP(Table2[[#This Row],[Contraente]],Table1[[Nome/Ragione sociale]:[Checkbox selezionato]],6,FALSE),"-")</f>
        <v>27614</v>
      </c>
      <c r="AN143" s="63" t="str">
        <f>IFERROR(VLOOKUP(Table2[[#This Row],[Contraente]],Table1[[Nome/Ragione sociale]:[Checkbox selezionato]],7,FALSE),"-")</f>
        <v>papies@libero.it</v>
      </c>
      <c r="AO143" s="63">
        <f>IFERROR(VLOOKUP(Table2[[#This Row],[Contraente]],Table1[[Nome/Ragione sociale]:[Checkbox selezionato]],8,FALSE),"-")</f>
        <v>0</v>
      </c>
      <c r="AP143" s="63">
        <f>IFERROR(VLOOKUP(Table2[[#This Row],[Contraente]],Table1[[Nome/Ragione sociale]:[Checkbox selezionato]],10,FALSE),"-")</f>
        <v>3385696592</v>
      </c>
      <c r="AQ143" s="63" t="str">
        <f>IFERROR(VLOOKUP(Table2[[#This Row],[Contraente]],Table1[[Nome/Ragione sociale]:[Checkbox selezionato]],11,FALSE),"-")</f>
        <v>SI</v>
      </c>
      <c r="AR143" s="63" t="str">
        <f>IFERROR(VLOOKUP(Table2[[#This Row],[Contraente]],Table1[[Nome/Ragione sociale]:[Checkbox selezionato]],12,FALSE),"-")</f>
        <v>SI</v>
      </c>
    </row>
    <row r="144" spans="1:44" ht="30" hidden="1" customHeight="1" x14ac:dyDescent="0.25">
      <c r="A144" s="60" t="str">
        <f>UPPER(LEFT(Table2[[#This Row],[Contraente]],1))</f>
        <v>B</v>
      </c>
      <c r="B144" s="60" t="s">
        <v>1634</v>
      </c>
      <c r="C144" s="81" t="s">
        <v>353</v>
      </c>
      <c r="D144" s="80" t="s">
        <v>37</v>
      </c>
      <c r="E144" s="86">
        <v>106183934</v>
      </c>
      <c r="F144" s="64">
        <v>42859</v>
      </c>
      <c r="G144" s="64">
        <f>IFERROR(CALCOLASCADENZA(Table2[[#This Row],[Data attivazione]],Table2[[#This Row],[Rateizzazione]],Table2[[#This Row],[Data ultimo pagamento]],Table2[[#This Row],[Data prossima scadenza manuale]]),"-")</f>
        <v>43041</v>
      </c>
      <c r="H144" s="67" t="s">
        <v>31</v>
      </c>
      <c r="I144" s="67" t="s">
        <v>1190</v>
      </c>
      <c r="J144" s="33">
        <f>IFERROR(Table2[[#This Row],[Importo annuale]]/(12/VLOOKUP(Table2[[#This Row],[Rateizzazione]],TIPI_RATEIZZAZIONI,2,FALSE)),"-")</f>
        <v>140</v>
      </c>
      <c r="K144" s="88">
        <v>140</v>
      </c>
      <c r="L144" s="88">
        <v>280</v>
      </c>
      <c r="M144" s="67" t="s">
        <v>44</v>
      </c>
      <c r="N144" s="67" t="s">
        <v>51</v>
      </c>
      <c r="O144" s="27" t="s">
        <v>1631</v>
      </c>
      <c r="P144" s="33" t="s">
        <v>22</v>
      </c>
      <c r="Q144" s="60">
        <f>IFERROR(IF(12 / VLOOKUP(Table2[[#This Row],[Rateizzazione]],TIPI_RATEIZZAZIONI,2,FALSE) &gt;=1,  IF(Table2[[#This Row],[Data attivazione]] = "","-",MONTH(Table2[[#This Row],[Data attivazione]])),"-"),"-")</f>
        <v>11</v>
      </c>
      <c r="R1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4" s="67" t="s">
        <v>2</v>
      </c>
      <c r="V144" s="62"/>
      <c r="W144" s="64">
        <v>42676</v>
      </c>
      <c r="X144" s="29">
        <f>DATE(YEAR(Table2[[#This Row],[Data attivazione]])+VLOOKUP(Table2[[#This Row],[Durata]],VALORE_DURATA,2,FALSE),MONTH(Table2[[#This Row],[Data attivazione]]),DAY(Table2[[#This Row],[Data attivazione]]))</f>
        <v>43041</v>
      </c>
      <c r="Y144" s="65"/>
      <c r="Z144" s="61"/>
      <c r="AA144" s="64" t="s">
        <v>85</v>
      </c>
      <c r="AB144" s="29" t="str">
        <f>IF(Table2[[#This Row],[Data ultimo versamento temp]]=0/1/1900,"-",Table2[[#This Row],[Data ultimo versamento temp]])</f>
        <v>-</v>
      </c>
      <c r="AC144" s="29">
        <f t="array" ref="AC144">MAX(IF(TableVersamenti[Polizza]=Table2[[#This Row],[Polizza]],TableVersamenti[Data prevista versamento],"-"))</f>
        <v>0</v>
      </c>
      <c r="AD144" s="62"/>
      <c r="AE144" s="106">
        <f>DATE(YEAR(Table2[[#This Row],[Data ultimo pagamento]]),MONTH(Table2[[#This Row],[Data ultimo pagamento]]), 1)</f>
        <v>42856</v>
      </c>
      <c r="AF144" s="106">
        <f>DATE(YEAR(Table2[[#This Row],[Data prossima scadenza]]),MONTH(Table2[[#This Row],[Data prossima scadenza]]), 1)</f>
        <v>43040</v>
      </c>
      <c r="AG144" s="33">
        <f>IFERROR(Table2[[#This Row],[Importo annuale]]*VLOOKUP(Table2[[#This Row],[Ramo]],RAMI_POLIZZA,2,FALSE),0)</f>
        <v>14.559999999999999</v>
      </c>
      <c r="AH144" s="65" t="s">
        <v>113</v>
      </c>
      <c r="AI144" s="63" t="str">
        <f>IFERROR(VLOOKUP(Table2[[#This Row],[Contraente]],Table1[[Nome/Ragione sociale]:[Checkbox selezionato]],2,FALSE),"-")</f>
        <v>CORTEOLONA</v>
      </c>
      <c r="AJ144" s="63">
        <f>IFERROR(VLOOKUP(Table2[[#This Row],[Contraente]],Table1[[Nome/Ragione sociale]:[Checkbox selezionato]],3,FALSE),"-")</f>
        <v>3385696592</v>
      </c>
      <c r="AK144" s="63">
        <f>IFERROR(VLOOKUP(Table2[[#This Row],[Contraente]],Table1[[Nome/Ragione sociale]:[Checkbox selezionato]],4,FALSE),"-")</f>
        <v>0</v>
      </c>
      <c r="AL144" s="63" t="str">
        <f>IFERROR(VLOOKUP(Table2[[#This Row],[Contraente]],Table1[[Nome/Ragione sociale]:[Checkbox selezionato]],5,FALSE),"-")</f>
        <v>TIZIANO</v>
      </c>
      <c r="AM144" s="62">
        <f>IFERROR(VLOOKUP(Table2[[#This Row],[Contraente]],Table1[[Nome/Ragione sociale]:[Checkbox selezionato]],6,FALSE),"-")</f>
        <v>20963</v>
      </c>
      <c r="AN144" s="63" t="str">
        <f>IFERROR(VLOOKUP(Table2[[#This Row],[Contraente]],Table1[[Nome/Ragione sociale]:[Checkbox selezionato]],7,FALSE),"-")</f>
        <v>papies@email.it</v>
      </c>
      <c r="AO144" s="63">
        <f>IFERROR(VLOOKUP(Table2[[#This Row],[Contraente]],Table1[[Nome/Ragione sociale]:[Checkbox selezionato]],8,FALSE),"-")</f>
        <v>0</v>
      </c>
      <c r="AP144" s="63">
        <f>IFERROR(VLOOKUP(Table2[[#This Row],[Contraente]],Table1[[Nome/Ragione sociale]:[Checkbox selezionato]],10,FALSE),"-")</f>
        <v>3385696592</v>
      </c>
      <c r="AQ144" s="63" t="str">
        <f>IFERROR(VLOOKUP(Table2[[#This Row],[Contraente]],Table1[[Nome/Ragione sociale]:[Checkbox selezionato]],11,FALSE),"-")</f>
        <v>SI</v>
      </c>
      <c r="AR144" s="63" t="str">
        <f>IFERROR(VLOOKUP(Table2[[#This Row],[Contraente]],Table1[[Nome/Ragione sociale]:[Checkbox selezionato]],12,FALSE),"-")</f>
        <v>SI</v>
      </c>
    </row>
    <row r="145" spans="1:44" ht="30" hidden="1" customHeight="1" x14ac:dyDescent="0.25">
      <c r="A145" s="60" t="str">
        <f>UPPER(LEFT(Table2[[#This Row],[Contraente]],1))</f>
        <v>B</v>
      </c>
      <c r="B145" s="60" t="s">
        <v>1634</v>
      </c>
      <c r="C145" s="81" t="s">
        <v>353</v>
      </c>
      <c r="D145" s="80" t="s">
        <v>37</v>
      </c>
      <c r="E145" s="86">
        <v>104965911</v>
      </c>
      <c r="F145" s="64">
        <v>42859</v>
      </c>
      <c r="G145" s="64">
        <f>IFERROR(CALCOLASCADENZA(Table2[[#This Row],[Data attivazione]],Table2[[#This Row],[Rateizzazione]],Table2[[#This Row],[Data ultimo pagamento]],Table2[[#This Row],[Data prossima scadenza manuale]]),"-")</f>
        <v>43041</v>
      </c>
      <c r="H145" s="67" t="s">
        <v>30</v>
      </c>
      <c r="I145" s="67" t="s">
        <v>113</v>
      </c>
      <c r="J145" s="33">
        <f>IFERROR(Table2[[#This Row],[Importo annuale]]/(12/VLOOKUP(Table2[[#This Row],[Rateizzazione]],TIPI_RATEIZZAZIONI,2,FALSE)),"-")</f>
        <v>176</v>
      </c>
      <c r="K145" s="88">
        <v>176</v>
      </c>
      <c r="L145" s="88">
        <v>352</v>
      </c>
      <c r="M145" s="67" t="s">
        <v>44</v>
      </c>
      <c r="N145" s="67" t="s">
        <v>51</v>
      </c>
      <c r="O145" s="27" t="s">
        <v>1631</v>
      </c>
      <c r="P145" s="33" t="s">
        <v>22</v>
      </c>
      <c r="Q145" s="60">
        <f>IFERROR(IF(12 / VLOOKUP(Table2[[#This Row],[Rateizzazione]],TIPI_RATEIZZAZIONI,2,FALSE) &gt;=1,  IF(Table2[[#This Row],[Data attivazione]] = "","-",MONTH(Table2[[#This Row],[Data attivazione]])),"-"),"-")</f>
        <v>11</v>
      </c>
      <c r="R1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5" s="67" t="s">
        <v>2</v>
      </c>
      <c r="V145" s="62"/>
      <c r="W145" s="64">
        <v>42676</v>
      </c>
      <c r="X145" s="29">
        <f>DATE(YEAR(Table2[[#This Row],[Data attivazione]])+VLOOKUP(Table2[[#This Row],[Durata]],VALORE_DURATA,2,FALSE),MONTH(Table2[[#This Row],[Data attivazione]]),DAY(Table2[[#This Row],[Data attivazione]]))</f>
        <v>43041</v>
      </c>
      <c r="Y145" s="65"/>
      <c r="Z145" s="61"/>
      <c r="AA145" s="64" t="s">
        <v>85</v>
      </c>
      <c r="AB145" s="29" t="str">
        <f>IF(Table2[[#This Row],[Data ultimo versamento temp]]=0/1/1900,"-",Table2[[#This Row],[Data ultimo versamento temp]])</f>
        <v>-</v>
      </c>
      <c r="AC145" s="29">
        <f t="array" ref="AC145">MAX(IF(TableVersamenti[Polizza]=Table2[[#This Row],[Polizza]],TableVersamenti[Data prevista versamento],"-"))</f>
        <v>0</v>
      </c>
      <c r="AD145" s="62"/>
      <c r="AE145" s="106">
        <f>DATE(YEAR(Table2[[#This Row],[Data ultimo pagamento]]),MONTH(Table2[[#This Row],[Data ultimo pagamento]]), 1)</f>
        <v>42856</v>
      </c>
      <c r="AF145" s="106">
        <f>DATE(YEAR(Table2[[#This Row],[Data prossima scadenza]]),MONTH(Table2[[#This Row],[Data prossima scadenza]]), 1)</f>
        <v>43040</v>
      </c>
      <c r="AG145" s="33">
        <f>IFERROR(Table2[[#This Row],[Importo annuale]]*VLOOKUP(Table2[[#This Row],[Ramo]],RAMI_POLIZZA,2,FALSE),0)</f>
        <v>40.480000000000004</v>
      </c>
      <c r="AH145" s="65" t="s">
        <v>113</v>
      </c>
      <c r="AI145" s="63" t="str">
        <f>IFERROR(VLOOKUP(Table2[[#This Row],[Contraente]],Table1[[Nome/Ragione sociale]:[Checkbox selezionato]],2,FALSE),"-")</f>
        <v>CORTEOLONA</v>
      </c>
      <c r="AJ145" s="63">
        <f>IFERROR(VLOOKUP(Table2[[#This Row],[Contraente]],Table1[[Nome/Ragione sociale]:[Checkbox selezionato]],3,FALSE),"-")</f>
        <v>3385696592</v>
      </c>
      <c r="AK145" s="63">
        <f>IFERROR(VLOOKUP(Table2[[#This Row],[Contraente]],Table1[[Nome/Ragione sociale]:[Checkbox selezionato]],4,FALSE),"-")</f>
        <v>0</v>
      </c>
      <c r="AL145" s="63" t="str">
        <f>IFERROR(VLOOKUP(Table2[[#This Row],[Contraente]],Table1[[Nome/Ragione sociale]:[Checkbox selezionato]],5,FALSE),"-")</f>
        <v>TIZIANO</v>
      </c>
      <c r="AM145" s="62">
        <f>IFERROR(VLOOKUP(Table2[[#This Row],[Contraente]],Table1[[Nome/Ragione sociale]:[Checkbox selezionato]],6,FALSE),"-")</f>
        <v>20963</v>
      </c>
      <c r="AN145" s="63" t="str">
        <f>IFERROR(VLOOKUP(Table2[[#This Row],[Contraente]],Table1[[Nome/Ragione sociale]:[Checkbox selezionato]],7,FALSE),"-")</f>
        <v>papies@email.it</v>
      </c>
      <c r="AO145" s="63">
        <f>IFERROR(VLOOKUP(Table2[[#This Row],[Contraente]],Table1[[Nome/Ragione sociale]:[Checkbox selezionato]],8,FALSE),"-")</f>
        <v>0</v>
      </c>
      <c r="AP145" s="63">
        <f>IFERROR(VLOOKUP(Table2[[#This Row],[Contraente]],Table1[[Nome/Ragione sociale]:[Checkbox selezionato]],10,FALSE),"-")</f>
        <v>3385696592</v>
      </c>
      <c r="AQ145" s="63" t="str">
        <f>IFERROR(VLOOKUP(Table2[[#This Row],[Contraente]],Table1[[Nome/Ragione sociale]:[Checkbox selezionato]],11,FALSE),"-")</f>
        <v>SI</v>
      </c>
      <c r="AR145" s="63" t="str">
        <f>IFERROR(VLOOKUP(Table2[[#This Row],[Contraente]],Table1[[Nome/Ragione sociale]:[Checkbox selezionato]],12,FALSE),"-")</f>
        <v>SI</v>
      </c>
    </row>
    <row r="146" spans="1:44" ht="30" hidden="1" customHeight="1" x14ac:dyDescent="0.25">
      <c r="A146" s="60" t="str">
        <f>UPPER(LEFT(Table2[[#This Row],[Contraente]],1))</f>
        <v>B</v>
      </c>
      <c r="B146" s="60" t="s">
        <v>1634</v>
      </c>
      <c r="C146" s="81" t="s">
        <v>357</v>
      </c>
      <c r="D146" s="80" t="s">
        <v>37</v>
      </c>
      <c r="E146" s="86">
        <v>105985472</v>
      </c>
      <c r="F146" s="64">
        <v>42618</v>
      </c>
      <c r="G146" s="64">
        <f>IFERROR(CALCOLASCADENZA(Table2[[#This Row],[Data attivazione]],Table2[[#This Row],[Rateizzazione]],Table2[[#This Row],[Data ultimo pagamento]],Table2[[#This Row],[Data prossima scadenza manuale]]),"-")</f>
        <v>42983</v>
      </c>
      <c r="H146" s="67" t="s">
        <v>31</v>
      </c>
      <c r="I146" s="67" t="s">
        <v>1193</v>
      </c>
      <c r="J146" s="33">
        <f>IFERROR(Table2[[#This Row],[Importo annuale]]/(12/VLOOKUP(Table2[[#This Row],[Rateizzazione]],TIPI_RATEIZZAZIONI,2,FALSE)),"-")</f>
        <v>170</v>
      </c>
      <c r="K146" s="88"/>
      <c r="L146" s="88">
        <v>170</v>
      </c>
      <c r="M146" s="67" t="s">
        <v>43</v>
      </c>
      <c r="N146" s="67" t="s">
        <v>52</v>
      </c>
      <c r="O146" s="27" t="s">
        <v>1631</v>
      </c>
      <c r="P146" s="33" t="s">
        <v>23</v>
      </c>
      <c r="Q146" s="60">
        <f>IFERROR(IF(12 / VLOOKUP(Table2[[#This Row],[Rateizzazione]],TIPI_RATEIZZAZIONI,2,FALSE) &gt;=1,  IF(Table2[[#This Row],[Data attivazione]] = "","-",MONTH(Table2[[#This Row],[Data attivazione]])),"-"),"-")</f>
        <v>9</v>
      </c>
      <c r="R1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6" s="67" t="s">
        <v>133</v>
      </c>
      <c r="V146" s="62"/>
      <c r="W146" s="64">
        <v>42618</v>
      </c>
      <c r="X146" s="29">
        <f>DATE(YEAR(Table2[[#This Row],[Data attivazione]])+VLOOKUP(Table2[[#This Row],[Durata]],VALORE_DURATA,2,FALSE),MONTH(Table2[[#This Row],[Data attivazione]]),DAY(Table2[[#This Row],[Data attivazione]]))</f>
        <v>42983</v>
      </c>
      <c r="Y146" s="65"/>
      <c r="Z146" s="61"/>
      <c r="AA146" s="64" t="s">
        <v>85</v>
      </c>
      <c r="AB146" s="29" t="str">
        <f>IF(Table2[[#This Row],[Data ultimo versamento temp]]=0/1/1900,"-",Table2[[#This Row],[Data ultimo versamento temp]])</f>
        <v>-</v>
      </c>
      <c r="AC146" s="29">
        <f t="array" ref="AC146">MAX(IF(TableVersamenti[Polizza]=Table2[[#This Row],[Polizza]],TableVersamenti[Data prevista versamento],"-"))</f>
        <v>0</v>
      </c>
      <c r="AD146" s="62"/>
      <c r="AE146" s="106">
        <f>DATE(YEAR(Table2[[#This Row],[Data ultimo pagamento]]),MONTH(Table2[[#This Row],[Data ultimo pagamento]]), 1)</f>
        <v>42614</v>
      </c>
      <c r="AF146" s="106">
        <f>DATE(YEAR(Table2[[#This Row],[Data prossima scadenza]]),MONTH(Table2[[#This Row],[Data prossima scadenza]]), 1)</f>
        <v>42979</v>
      </c>
      <c r="AG146" s="33">
        <f>IFERROR(Table2[[#This Row],[Importo annuale]]*VLOOKUP(Table2[[#This Row],[Ramo]],RAMI_POLIZZA,2,FALSE),0)</f>
        <v>8.84</v>
      </c>
      <c r="AH146" s="65" t="s">
        <v>113</v>
      </c>
      <c r="AI146" s="63" t="str">
        <f>IFERROR(VLOOKUP(Table2[[#This Row],[Contraente]],Table1[[Nome/Ragione sociale]:[Checkbox selezionato]],2,FALSE),"-")</f>
        <v>ZIANO PIACENTINO</v>
      </c>
      <c r="AJ146" s="63">
        <f>IFERROR(VLOOKUP(Table2[[#This Row],[Contraente]],Table1[[Nome/Ragione sociale]:[Checkbox selezionato]],3,FALSE),"-")</f>
        <v>3282653126</v>
      </c>
      <c r="AK146" s="63">
        <f>IFERROR(VLOOKUP(Table2[[#This Row],[Contraente]],Table1[[Nome/Ragione sociale]:[Checkbox selezionato]],4,FALSE),"-")</f>
        <v>0</v>
      </c>
      <c r="AL146" s="63" t="str">
        <f>IFERROR(VLOOKUP(Table2[[#This Row],[Contraente]],Table1[[Nome/Ragione sociale]:[Checkbox selezionato]],5,FALSE),"-")</f>
        <v>ILIE</v>
      </c>
      <c r="AM146" s="62">
        <f>IFERROR(VLOOKUP(Table2[[#This Row],[Contraente]],Table1[[Nome/Ragione sociale]:[Checkbox selezionato]],6,FALSE),"-")</f>
        <v>29783</v>
      </c>
      <c r="AN146" s="63" t="str">
        <f>IFERROR(VLOOKUP(Table2[[#This Row],[Contraente]],Table1[[Nome/Ragione sociale]:[Checkbox selezionato]],7,FALSE),"-")</f>
        <v>papies@libero.it</v>
      </c>
      <c r="AO146" s="63">
        <f>IFERROR(VLOOKUP(Table2[[#This Row],[Contraente]],Table1[[Nome/Ragione sociale]:[Checkbox selezionato]],8,FALSE),"-")</f>
        <v>0</v>
      </c>
      <c r="AP146" s="63">
        <f>IFERROR(VLOOKUP(Table2[[#This Row],[Contraente]],Table1[[Nome/Ragione sociale]:[Checkbox selezionato]],10,FALSE),"-")</f>
        <v>3282653126</v>
      </c>
      <c r="AQ146" s="63" t="str">
        <f>IFERROR(VLOOKUP(Table2[[#This Row],[Contraente]],Table1[[Nome/Ragione sociale]:[Checkbox selezionato]],11,FALSE),"-")</f>
        <v>SI</v>
      </c>
      <c r="AR146" s="63" t="str">
        <f>IFERROR(VLOOKUP(Table2[[#This Row],[Contraente]],Table1[[Nome/Ragione sociale]:[Checkbox selezionato]],12,FALSE),"-")</f>
        <v>SI</v>
      </c>
    </row>
    <row r="147" spans="1:44" ht="30" hidden="1" customHeight="1" x14ac:dyDescent="0.25">
      <c r="A147" s="60" t="str">
        <f>UPPER(LEFT(Table2[[#This Row],[Contraente]],1))</f>
        <v>B</v>
      </c>
      <c r="B147" s="60" t="s">
        <v>1634</v>
      </c>
      <c r="C147" s="81" t="s">
        <v>357</v>
      </c>
      <c r="D147" s="80" t="s">
        <v>37</v>
      </c>
      <c r="E147" s="86">
        <v>106243874</v>
      </c>
      <c r="F147" s="64">
        <v>42886</v>
      </c>
      <c r="G147" s="64">
        <f>IFERROR(CALCOLASCADENZA(Table2[[#This Row],[Data attivazione]],Table2[[#This Row],[Rateizzazione]],Table2[[#This Row],[Data ultimo pagamento]],Table2[[#This Row],[Data prossima scadenza manuale]]),"-")</f>
        <v>43057</v>
      </c>
      <c r="H147" s="67" t="s">
        <v>31</v>
      </c>
      <c r="I147" s="67" t="s">
        <v>1194</v>
      </c>
      <c r="J147" s="33">
        <f>IFERROR(Table2[[#This Row],[Importo annuale]]/(12/VLOOKUP(Table2[[#This Row],[Rateizzazione]],TIPI_RATEIZZAZIONI,2,FALSE)),"-")</f>
        <v>363.2</v>
      </c>
      <c r="K147" s="88">
        <v>363.2</v>
      </c>
      <c r="L147" s="88">
        <v>726.4</v>
      </c>
      <c r="M147" s="67" t="s">
        <v>43</v>
      </c>
      <c r="N147" s="67" t="s">
        <v>52</v>
      </c>
      <c r="O147" s="27" t="s">
        <v>1631</v>
      </c>
      <c r="P147" s="33" t="s">
        <v>22</v>
      </c>
      <c r="Q147" s="60">
        <f>IFERROR(IF(12 / VLOOKUP(Table2[[#This Row],[Rateizzazione]],TIPI_RATEIZZAZIONI,2,FALSE) &gt;=1,  IF(Table2[[#This Row],[Data attivazione]] = "","-",MONTH(Table2[[#This Row],[Data attivazione]])),"-"),"-")</f>
        <v>11</v>
      </c>
      <c r="R1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7" s="67" t="s">
        <v>133</v>
      </c>
      <c r="V147" s="62"/>
      <c r="W147" s="64">
        <v>42692</v>
      </c>
      <c r="X147" s="29">
        <f>DATE(YEAR(Table2[[#This Row],[Data attivazione]])+VLOOKUP(Table2[[#This Row],[Durata]],VALORE_DURATA,2,FALSE),MONTH(Table2[[#This Row],[Data attivazione]]),DAY(Table2[[#This Row],[Data attivazione]]))</f>
        <v>43057</v>
      </c>
      <c r="Y147" s="65"/>
      <c r="Z147" s="61"/>
      <c r="AA147" s="64" t="s">
        <v>85</v>
      </c>
      <c r="AB147" s="29" t="str">
        <f>IF(Table2[[#This Row],[Data ultimo versamento temp]]=0/1/1900,"-",Table2[[#This Row],[Data ultimo versamento temp]])</f>
        <v>-</v>
      </c>
      <c r="AC147" s="29">
        <f t="array" ref="AC147">MAX(IF(TableVersamenti[Polizza]=Table2[[#This Row],[Polizza]],TableVersamenti[Data prevista versamento],"-"))</f>
        <v>0</v>
      </c>
      <c r="AD147" s="62"/>
      <c r="AE147" s="106">
        <f>DATE(YEAR(Table2[[#This Row],[Data ultimo pagamento]]),MONTH(Table2[[#This Row],[Data ultimo pagamento]]), 1)</f>
        <v>42856</v>
      </c>
      <c r="AF147" s="106">
        <f>DATE(YEAR(Table2[[#This Row],[Data prossima scadenza]]),MONTH(Table2[[#This Row],[Data prossima scadenza]]), 1)</f>
        <v>43040</v>
      </c>
      <c r="AG147" s="33">
        <f>IFERROR(Table2[[#This Row],[Importo annuale]]*VLOOKUP(Table2[[#This Row],[Ramo]],RAMI_POLIZZA,2,FALSE),0)</f>
        <v>37.772799999999997</v>
      </c>
      <c r="AH147" s="65" t="s">
        <v>113</v>
      </c>
      <c r="AI147" s="63" t="str">
        <f>IFERROR(VLOOKUP(Table2[[#This Row],[Contraente]],Table1[[Nome/Ragione sociale]:[Checkbox selezionato]],2,FALSE),"-")</f>
        <v>ZIANO PIACENTINO</v>
      </c>
      <c r="AJ147" s="63">
        <f>IFERROR(VLOOKUP(Table2[[#This Row],[Contraente]],Table1[[Nome/Ragione sociale]:[Checkbox selezionato]],3,FALSE),"-")</f>
        <v>3282653126</v>
      </c>
      <c r="AK147" s="63">
        <f>IFERROR(VLOOKUP(Table2[[#This Row],[Contraente]],Table1[[Nome/Ragione sociale]:[Checkbox selezionato]],4,FALSE),"-")</f>
        <v>0</v>
      </c>
      <c r="AL147" s="63" t="str">
        <f>IFERROR(VLOOKUP(Table2[[#This Row],[Contraente]],Table1[[Nome/Ragione sociale]:[Checkbox selezionato]],5,FALSE),"-")</f>
        <v>ILIE</v>
      </c>
      <c r="AM147" s="62">
        <f>IFERROR(VLOOKUP(Table2[[#This Row],[Contraente]],Table1[[Nome/Ragione sociale]:[Checkbox selezionato]],6,FALSE),"-")</f>
        <v>29783</v>
      </c>
      <c r="AN147" s="63" t="str">
        <f>IFERROR(VLOOKUP(Table2[[#This Row],[Contraente]],Table1[[Nome/Ragione sociale]:[Checkbox selezionato]],7,FALSE),"-")</f>
        <v>papies@libero.it</v>
      </c>
      <c r="AO147" s="63">
        <f>IFERROR(VLOOKUP(Table2[[#This Row],[Contraente]],Table1[[Nome/Ragione sociale]:[Checkbox selezionato]],8,FALSE),"-")</f>
        <v>0</v>
      </c>
      <c r="AP147" s="63">
        <f>IFERROR(VLOOKUP(Table2[[#This Row],[Contraente]],Table1[[Nome/Ragione sociale]:[Checkbox selezionato]],10,FALSE),"-")</f>
        <v>3282653126</v>
      </c>
      <c r="AQ147" s="63" t="str">
        <f>IFERROR(VLOOKUP(Table2[[#This Row],[Contraente]],Table1[[Nome/Ragione sociale]:[Checkbox selezionato]],11,FALSE),"-")</f>
        <v>SI</v>
      </c>
      <c r="AR147" s="63" t="str">
        <f>IFERROR(VLOOKUP(Table2[[#This Row],[Contraente]],Table1[[Nome/Ragione sociale]:[Checkbox selezionato]],12,FALSE),"-")</f>
        <v>SI</v>
      </c>
    </row>
    <row r="148" spans="1:44" ht="30" hidden="1" customHeight="1" x14ac:dyDescent="0.25">
      <c r="A148" s="60" t="str">
        <f>UPPER(LEFT(Table2[[#This Row],[Contraente]],1))</f>
        <v>B</v>
      </c>
      <c r="B148" s="60" t="s">
        <v>1634</v>
      </c>
      <c r="C148" s="81" t="s">
        <v>98</v>
      </c>
      <c r="D148" s="80" t="s">
        <v>37</v>
      </c>
      <c r="E148" s="86">
        <v>106618796</v>
      </c>
      <c r="F148" s="64">
        <v>42808</v>
      </c>
      <c r="G148" s="64">
        <f>IFERROR(CALCOLASCADENZA(Table2[[#This Row],[Data attivazione]],Table2[[#This Row],[Rateizzazione]],Table2[[#This Row],[Data ultimo pagamento]],Table2[[#This Row],[Data prossima scadenza manuale]]),"-")</f>
        <v>43174</v>
      </c>
      <c r="H148" s="67" t="s">
        <v>30</v>
      </c>
      <c r="I148" s="67" t="s">
        <v>113</v>
      </c>
      <c r="J148" s="33">
        <f>IFERROR(Table2[[#This Row],[Importo annuale]]/(12/VLOOKUP(Table2[[#This Row],[Rateizzazione]],TIPI_RATEIZZAZIONI,2,FALSE)),"-")</f>
        <v>305</v>
      </c>
      <c r="K148" s="88">
        <v>305</v>
      </c>
      <c r="L148" s="88">
        <v>305</v>
      </c>
      <c r="M148" s="67" t="s">
        <v>46</v>
      </c>
      <c r="N148" s="67" t="s">
        <v>52</v>
      </c>
      <c r="O148" s="27" t="s">
        <v>1631</v>
      </c>
      <c r="P148" s="33" t="s">
        <v>23</v>
      </c>
      <c r="Q148" s="60">
        <f>IFERROR(IF(12 / VLOOKUP(Table2[[#This Row],[Rateizzazione]],TIPI_RATEIZZAZIONI,2,FALSE) &gt;=1,  IF(Table2[[#This Row],[Data attivazione]] = "","-",MONTH(Table2[[#This Row],[Data attivazione]])),"-"),"-")</f>
        <v>3</v>
      </c>
      <c r="R1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8" s="67" t="s">
        <v>2</v>
      </c>
      <c r="V148" s="62"/>
      <c r="W148" s="64">
        <v>42809</v>
      </c>
      <c r="X148" s="29">
        <f>DATE(YEAR(Table2[[#This Row],[Data attivazione]])+VLOOKUP(Table2[[#This Row],[Durata]],VALORE_DURATA,2,FALSE),MONTH(Table2[[#This Row],[Data attivazione]]),DAY(Table2[[#This Row],[Data attivazione]]))</f>
        <v>43174</v>
      </c>
      <c r="Y148" s="65"/>
      <c r="Z148" s="61"/>
      <c r="AA148" s="64" t="s">
        <v>85</v>
      </c>
      <c r="AB148" s="29" t="str">
        <f>IF(Table2[[#This Row],[Data ultimo versamento temp]]=0/1/1900,"-",Table2[[#This Row],[Data ultimo versamento temp]])</f>
        <v>-</v>
      </c>
      <c r="AC148" s="29">
        <f t="array" ref="AC148">MAX(IF(TableVersamenti[Polizza]=Table2[[#This Row],[Polizza]],TableVersamenti[Data prevista versamento],"-"))</f>
        <v>0</v>
      </c>
      <c r="AD148" s="62"/>
      <c r="AE148" s="106">
        <f>DATE(YEAR(Table2[[#This Row],[Data ultimo pagamento]]),MONTH(Table2[[#This Row],[Data ultimo pagamento]]), 1)</f>
        <v>42795</v>
      </c>
      <c r="AF148" s="106">
        <f>DATE(YEAR(Table2[[#This Row],[Data prossima scadenza]]),MONTH(Table2[[#This Row],[Data prossima scadenza]]), 1)</f>
        <v>43160</v>
      </c>
      <c r="AG148" s="33">
        <f>IFERROR(Table2[[#This Row],[Importo annuale]]*VLOOKUP(Table2[[#This Row],[Ramo]],RAMI_POLIZZA,2,FALSE),0)</f>
        <v>35.075000000000003</v>
      </c>
      <c r="AH148" s="65" t="s">
        <v>113</v>
      </c>
      <c r="AI148" s="63" t="str">
        <f>IFERROR(VLOOKUP(Table2[[#This Row],[Contraente]],Table1[[Nome/Ragione sociale]:[Checkbox selezionato]],2,FALSE),"-")</f>
        <v>BELGIOIOSO</v>
      </c>
      <c r="AJ148" s="63">
        <f>IFERROR(VLOOKUP(Table2[[#This Row],[Contraente]],Table1[[Nome/Ragione sociale]:[Checkbox selezionato]],3,FALSE),"-")</f>
        <v>3929301622</v>
      </c>
      <c r="AK148" s="63">
        <f>IFERROR(VLOOKUP(Table2[[#This Row],[Contraente]],Table1[[Nome/Ragione sociale]:[Checkbox selezionato]],4,FALSE),"-")</f>
        <v>0</v>
      </c>
      <c r="AL148" s="63" t="str">
        <f>IFERROR(VLOOKUP(Table2[[#This Row],[Contraente]],Table1[[Nome/Ragione sociale]:[Checkbox selezionato]],5,FALSE),"-")</f>
        <v>FLAVIA</v>
      </c>
      <c r="AM148" s="62">
        <f>IFERROR(VLOOKUP(Table2[[#This Row],[Contraente]],Table1[[Nome/Ragione sociale]:[Checkbox selezionato]],6,FALSE),"-")</f>
        <v>27614</v>
      </c>
      <c r="AN148" s="63" t="str">
        <f>IFERROR(VLOOKUP(Table2[[#This Row],[Contraente]],Table1[[Nome/Ragione sociale]:[Checkbox selezionato]],7,FALSE),"-")</f>
        <v>papies@libero.it</v>
      </c>
      <c r="AO148" s="63">
        <f>IFERROR(VLOOKUP(Table2[[#This Row],[Contraente]],Table1[[Nome/Ragione sociale]:[Checkbox selezionato]],8,FALSE),"-")</f>
        <v>0</v>
      </c>
      <c r="AP148" s="63">
        <f>IFERROR(VLOOKUP(Table2[[#This Row],[Contraente]],Table1[[Nome/Ragione sociale]:[Checkbox selezionato]],10,FALSE),"-")</f>
        <v>3929301622</v>
      </c>
      <c r="AQ148" s="63" t="str">
        <f>IFERROR(VLOOKUP(Table2[[#This Row],[Contraente]],Table1[[Nome/Ragione sociale]:[Checkbox selezionato]],11,FALSE),"-")</f>
        <v>SI</v>
      </c>
      <c r="AR148" s="63" t="str">
        <f>IFERROR(VLOOKUP(Table2[[#This Row],[Contraente]],Table1[[Nome/Ragione sociale]:[Checkbox selezionato]],12,FALSE),"-")</f>
        <v>SI</v>
      </c>
    </row>
    <row r="149" spans="1:44" ht="30" hidden="1" customHeight="1" x14ac:dyDescent="0.25">
      <c r="A149" s="60" t="str">
        <f>UPPER(LEFT(Table2[[#This Row],[Contraente]],1))</f>
        <v>B</v>
      </c>
      <c r="B149" s="60" t="s">
        <v>1634</v>
      </c>
      <c r="C149" s="81" t="s">
        <v>98</v>
      </c>
      <c r="D149" s="80" t="s">
        <v>37</v>
      </c>
      <c r="E149" s="86">
        <v>106522350</v>
      </c>
      <c r="F149" s="64">
        <v>42852</v>
      </c>
      <c r="G149" s="64">
        <f>IFERROR(CALCOLASCADENZA(Table2[[#This Row],[Data attivazione]],Table2[[#This Row],[Rateizzazione]],Table2[[#This Row],[Data ultimo pagamento]],Table2[[#This Row],[Data prossima scadenza manuale]]),"-")</f>
        <v>43026</v>
      </c>
      <c r="H149" s="67" t="s">
        <v>30</v>
      </c>
      <c r="I149" s="67" t="s">
        <v>113</v>
      </c>
      <c r="J149" s="33">
        <f>IFERROR(Table2[[#This Row],[Importo annuale]]/(12/VLOOKUP(Table2[[#This Row],[Rateizzazione]],TIPI_RATEIZZAZIONI,2,FALSE)),"-")</f>
        <v>31</v>
      </c>
      <c r="K149" s="88">
        <v>31</v>
      </c>
      <c r="L149" s="88">
        <v>62</v>
      </c>
      <c r="M149" s="67" t="s">
        <v>44</v>
      </c>
      <c r="N149" s="67" t="s">
        <v>51</v>
      </c>
      <c r="O149" s="27" t="s">
        <v>1631</v>
      </c>
      <c r="P149" s="33" t="s">
        <v>22</v>
      </c>
      <c r="Q149" s="60">
        <f>IFERROR(IF(12 / VLOOKUP(Table2[[#This Row],[Rateizzazione]],TIPI_RATEIZZAZIONI,2,FALSE) &gt;=1,  IF(Table2[[#This Row],[Data attivazione]] = "","-",MONTH(Table2[[#This Row],[Data attivazione]])),"-"),"-")</f>
        <v>10</v>
      </c>
      <c r="R1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9" s="67" t="s">
        <v>2</v>
      </c>
      <c r="V149" s="62"/>
      <c r="W149" s="64">
        <v>42661</v>
      </c>
      <c r="X149" s="29">
        <f>DATE(YEAR(Table2[[#This Row],[Data attivazione]])+VLOOKUP(Table2[[#This Row],[Durata]],VALORE_DURATA,2,FALSE),MONTH(Table2[[#This Row],[Data attivazione]]),DAY(Table2[[#This Row],[Data attivazione]]))</f>
        <v>43026</v>
      </c>
      <c r="Y149" s="65"/>
      <c r="Z149" s="61"/>
      <c r="AA149" s="64" t="s">
        <v>85</v>
      </c>
      <c r="AB149" s="29" t="str">
        <f>IF(Table2[[#This Row],[Data ultimo versamento temp]]=0/1/1900,"-",Table2[[#This Row],[Data ultimo versamento temp]])</f>
        <v>-</v>
      </c>
      <c r="AC149" s="29">
        <f t="array" ref="AC149">MAX(IF(TableVersamenti[Polizza]=Table2[[#This Row],[Polizza]],TableVersamenti[Data prevista versamento],"-"))</f>
        <v>0</v>
      </c>
      <c r="AD149" s="62"/>
      <c r="AE149" s="106">
        <f>DATE(YEAR(Table2[[#This Row],[Data ultimo pagamento]]),MONTH(Table2[[#This Row],[Data ultimo pagamento]]), 1)</f>
        <v>42826</v>
      </c>
      <c r="AF149" s="106">
        <f>DATE(YEAR(Table2[[#This Row],[Data prossima scadenza]]),MONTH(Table2[[#This Row],[Data prossima scadenza]]), 1)</f>
        <v>43009</v>
      </c>
      <c r="AG149" s="33">
        <f>IFERROR(Table2[[#This Row],[Importo annuale]]*VLOOKUP(Table2[[#This Row],[Ramo]],RAMI_POLIZZA,2,FALSE),0)</f>
        <v>7.13</v>
      </c>
      <c r="AH149" s="65" t="s">
        <v>113</v>
      </c>
      <c r="AI149" s="63" t="str">
        <f>IFERROR(VLOOKUP(Table2[[#This Row],[Contraente]],Table1[[Nome/Ragione sociale]:[Checkbox selezionato]],2,FALSE),"-")</f>
        <v>BELGIOIOSO</v>
      </c>
      <c r="AJ149" s="63">
        <f>IFERROR(VLOOKUP(Table2[[#This Row],[Contraente]],Table1[[Nome/Ragione sociale]:[Checkbox selezionato]],3,FALSE),"-")</f>
        <v>3929301622</v>
      </c>
      <c r="AK149" s="63">
        <f>IFERROR(VLOOKUP(Table2[[#This Row],[Contraente]],Table1[[Nome/Ragione sociale]:[Checkbox selezionato]],4,FALSE),"-")</f>
        <v>0</v>
      </c>
      <c r="AL149" s="63" t="str">
        <f>IFERROR(VLOOKUP(Table2[[#This Row],[Contraente]],Table1[[Nome/Ragione sociale]:[Checkbox selezionato]],5,FALSE),"-")</f>
        <v>FLAVIA</v>
      </c>
      <c r="AM149" s="62">
        <f>IFERROR(VLOOKUP(Table2[[#This Row],[Contraente]],Table1[[Nome/Ragione sociale]:[Checkbox selezionato]],6,FALSE),"-")</f>
        <v>27614</v>
      </c>
      <c r="AN149" s="63" t="str">
        <f>IFERROR(VLOOKUP(Table2[[#This Row],[Contraente]],Table1[[Nome/Ragione sociale]:[Checkbox selezionato]],7,FALSE),"-")</f>
        <v>papies@libero.it</v>
      </c>
      <c r="AO149" s="63">
        <f>IFERROR(VLOOKUP(Table2[[#This Row],[Contraente]],Table1[[Nome/Ragione sociale]:[Checkbox selezionato]],8,FALSE),"-")</f>
        <v>0</v>
      </c>
      <c r="AP149" s="63">
        <f>IFERROR(VLOOKUP(Table2[[#This Row],[Contraente]],Table1[[Nome/Ragione sociale]:[Checkbox selezionato]],10,FALSE),"-")</f>
        <v>3929301622</v>
      </c>
      <c r="AQ149" s="63" t="str">
        <f>IFERROR(VLOOKUP(Table2[[#This Row],[Contraente]],Table1[[Nome/Ragione sociale]:[Checkbox selezionato]],11,FALSE),"-")</f>
        <v>SI</v>
      </c>
      <c r="AR149" s="63" t="str">
        <f>IFERROR(VLOOKUP(Table2[[#This Row],[Contraente]],Table1[[Nome/Ragione sociale]:[Checkbox selezionato]],12,FALSE),"-")</f>
        <v>SI</v>
      </c>
    </row>
    <row r="150" spans="1:44" ht="30" hidden="1" customHeight="1" x14ac:dyDescent="0.25">
      <c r="A150" s="60" t="str">
        <f>UPPER(LEFT(Table2[[#This Row],[Contraente]],1))</f>
        <v>B</v>
      </c>
      <c r="B150" s="60" t="s">
        <v>1634</v>
      </c>
      <c r="C150" s="81" t="s">
        <v>98</v>
      </c>
      <c r="D150" s="80" t="s">
        <v>37</v>
      </c>
      <c r="E150" s="86">
        <v>106519541</v>
      </c>
      <c r="F150" s="64">
        <v>42852</v>
      </c>
      <c r="G150" s="64">
        <f>IFERROR(CALCOLASCADENZA(Table2[[#This Row],[Data attivazione]],Table2[[#This Row],[Rateizzazione]],Table2[[#This Row],[Data ultimo pagamento]],Table2[[#This Row],[Data prossima scadenza manuale]]),"-")</f>
        <v>43026</v>
      </c>
      <c r="H150" s="67" t="s">
        <v>31</v>
      </c>
      <c r="I150" s="67" t="s">
        <v>1192</v>
      </c>
      <c r="J150" s="33">
        <f>IFERROR(Table2[[#This Row],[Importo annuale]]/(12/VLOOKUP(Table2[[#This Row],[Rateizzazione]],TIPI_RATEIZZAZIONI,2,FALSE)),"-")</f>
        <v>232</v>
      </c>
      <c r="K150" s="88">
        <v>267</v>
      </c>
      <c r="L150" s="88">
        <v>464</v>
      </c>
      <c r="M150" s="67" t="s">
        <v>44</v>
      </c>
      <c r="N150" s="67" t="s">
        <v>51</v>
      </c>
      <c r="O150" s="27" t="s">
        <v>1631</v>
      </c>
      <c r="P150" s="33" t="s">
        <v>22</v>
      </c>
      <c r="Q150" s="60">
        <f>IFERROR(IF(12 / VLOOKUP(Table2[[#This Row],[Rateizzazione]],TIPI_RATEIZZAZIONI,2,FALSE) &gt;=1,  IF(Table2[[#This Row],[Data attivazione]] = "","-",MONTH(Table2[[#This Row],[Data attivazione]])),"-"),"-")</f>
        <v>10</v>
      </c>
      <c r="R1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0" s="67" t="s">
        <v>2</v>
      </c>
      <c r="V150" s="62"/>
      <c r="W150" s="64">
        <v>42661</v>
      </c>
      <c r="X150" s="29">
        <f>DATE(YEAR(Table2[[#This Row],[Data attivazione]])+VLOOKUP(Table2[[#This Row],[Durata]],VALORE_DURATA,2,FALSE),MONTH(Table2[[#This Row],[Data attivazione]]),DAY(Table2[[#This Row],[Data attivazione]]))</f>
        <v>43026</v>
      </c>
      <c r="Y150" s="65"/>
      <c r="Z150" s="61"/>
      <c r="AA150" s="64" t="s">
        <v>85</v>
      </c>
      <c r="AB150" s="29" t="str">
        <f>IF(Table2[[#This Row],[Data ultimo versamento temp]]=0/1/1900,"-",Table2[[#This Row],[Data ultimo versamento temp]])</f>
        <v>-</v>
      </c>
      <c r="AC150" s="29">
        <f t="array" ref="AC150">MAX(IF(TableVersamenti[Polizza]=Table2[[#This Row],[Polizza]],TableVersamenti[Data prevista versamento],"-"))</f>
        <v>0</v>
      </c>
      <c r="AD150" s="62"/>
      <c r="AE150" s="106">
        <f>DATE(YEAR(Table2[[#This Row],[Data ultimo pagamento]]),MONTH(Table2[[#This Row],[Data ultimo pagamento]]), 1)</f>
        <v>42826</v>
      </c>
      <c r="AF150" s="106">
        <f>DATE(YEAR(Table2[[#This Row],[Data prossima scadenza]]),MONTH(Table2[[#This Row],[Data prossima scadenza]]), 1)</f>
        <v>43009</v>
      </c>
      <c r="AG150" s="33">
        <f>IFERROR(Table2[[#This Row],[Importo annuale]]*VLOOKUP(Table2[[#This Row],[Ramo]],RAMI_POLIZZA,2,FALSE),0)</f>
        <v>24.128</v>
      </c>
      <c r="AH150" s="65" t="s">
        <v>113</v>
      </c>
      <c r="AI150" s="63" t="str">
        <f>IFERROR(VLOOKUP(Table2[[#This Row],[Contraente]],Table1[[Nome/Ragione sociale]:[Checkbox selezionato]],2,FALSE),"-")</f>
        <v>BELGIOIOSO</v>
      </c>
      <c r="AJ150" s="63">
        <f>IFERROR(VLOOKUP(Table2[[#This Row],[Contraente]],Table1[[Nome/Ragione sociale]:[Checkbox selezionato]],3,FALSE),"-")</f>
        <v>3929301622</v>
      </c>
      <c r="AK150" s="63">
        <f>IFERROR(VLOOKUP(Table2[[#This Row],[Contraente]],Table1[[Nome/Ragione sociale]:[Checkbox selezionato]],4,FALSE),"-")</f>
        <v>0</v>
      </c>
      <c r="AL150" s="63" t="str">
        <f>IFERROR(VLOOKUP(Table2[[#This Row],[Contraente]],Table1[[Nome/Ragione sociale]:[Checkbox selezionato]],5,FALSE),"-")</f>
        <v>FLAVIA</v>
      </c>
      <c r="AM150" s="62">
        <f>IFERROR(VLOOKUP(Table2[[#This Row],[Contraente]],Table1[[Nome/Ragione sociale]:[Checkbox selezionato]],6,FALSE),"-")</f>
        <v>27614</v>
      </c>
      <c r="AN150" s="63" t="str">
        <f>IFERROR(VLOOKUP(Table2[[#This Row],[Contraente]],Table1[[Nome/Ragione sociale]:[Checkbox selezionato]],7,FALSE),"-")</f>
        <v>papies@libero.it</v>
      </c>
      <c r="AO150" s="63">
        <f>IFERROR(VLOOKUP(Table2[[#This Row],[Contraente]],Table1[[Nome/Ragione sociale]:[Checkbox selezionato]],8,FALSE),"-")</f>
        <v>0</v>
      </c>
      <c r="AP150" s="63">
        <f>IFERROR(VLOOKUP(Table2[[#This Row],[Contraente]],Table1[[Nome/Ragione sociale]:[Checkbox selezionato]],10,FALSE),"-")</f>
        <v>3929301622</v>
      </c>
      <c r="AQ150" s="63" t="str">
        <f>IFERROR(VLOOKUP(Table2[[#This Row],[Contraente]],Table1[[Nome/Ragione sociale]:[Checkbox selezionato]],11,FALSE),"-")</f>
        <v>SI</v>
      </c>
      <c r="AR150" s="63" t="str">
        <f>IFERROR(VLOOKUP(Table2[[#This Row],[Contraente]],Table1[[Nome/Ragione sociale]:[Checkbox selezionato]],12,FALSE),"-")</f>
        <v>SI</v>
      </c>
    </row>
    <row r="151" spans="1:44" ht="30" hidden="1" customHeight="1" x14ac:dyDescent="0.25">
      <c r="A151" s="60" t="str">
        <f>UPPER(LEFT(Table2[[#This Row],[Contraente]],1))</f>
        <v>B</v>
      </c>
      <c r="B151" s="60" t="s">
        <v>1634</v>
      </c>
      <c r="C151" s="81" t="s">
        <v>98</v>
      </c>
      <c r="D151" s="80" t="s">
        <v>37</v>
      </c>
      <c r="E151" s="86">
        <v>1078365</v>
      </c>
      <c r="F151" s="64">
        <v>42852</v>
      </c>
      <c r="G151" s="64">
        <f>IFERROR(CALCOLASCADENZA(Table2[[#This Row],[Data attivazione]],Table2[[#This Row],[Rateizzazione]],Table2[[#This Row],[Data ultimo pagamento]],Table2[[#This Row],[Data prossima scadenza manuale]]),"-")</f>
        <v>43028</v>
      </c>
      <c r="H151" s="67" t="s">
        <v>32</v>
      </c>
      <c r="I151" s="67" t="s">
        <v>113</v>
      </c>
      <c r="J151" s="33">
        <f>IFERROR(Table2[[#This Row],[Importo annuale]]/(12/VLOOKUP(Table2[[#This Row],[Rateizzazione]],TIPI_RATEIZZAZIONI,2,FALSE)),"-")</f>
        <v>71.89</v>
      </c>
      <c r="K151" s="88">
        <v>71.89</v>
      </c>
      <c r="L151" s="88">
        <v>143.78</v>
      </c>
      <c r="M151" s="67" t="s">
        <v>44</v>
      </c>
      <c r="N151" s="67" t="s">
        <v>51</v>
      </c>
      <c r="O151" s="27" t="s">
        <v>1631</v>
      </c>
      <c r="P151" s="33" t="s">
        <v>22</v>
      </c>
      <c r="Q151" s="60">
        <f>IFERROR(IF(12 / VLOOKUP(Table2[[#This Row],[Rateizzazione]],TIPI_RATEIZZAZIONI,2,FALSE) &gt;=1,  IF(Table2[[#This Row],[Data attivazione]] = "","-",MONTH(Table2[[#This Row],[Data attivazione]])),"-"),"-")</f>
        <v>10</v>
      </c>
      <c r="R1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1" s="67" t="s">
        <v>2</v>
      </c>
      <c r="V151" s="62"/>
      <c r="W151" s="64">
        <v>42663</v>
      </c>
      <c r="X151" s="29">
        <f>DATE(YEAR(Table2[[#This Row],[Data attivazione]])+VLOOKUP(Table2[[#This Row],[Durata]],VALORE_DURATA,2,FALSE),MONTH(Table2[[#This Row],[Data attivazione]]),DAY(Table2[[#This Row],[Data attivazione]]))</f>
        <v>43028</v>
      </c>
      <c r="Y151" s="65"/>
      <c r="Z151" s="61"/>
      <c r="AA151" s="64" t="s">
        <v>85</v>
      </c>
      <c r="AB151" s="29" t="str">
        <f>IF(Table2[[#This Row],[Data ultimo versamento temp]]=0/1/1900,"-",Table2[[#This Row],[Data ultimo versamento temp]])</f>
        <v>-</v>
      </c>
      <c r="AC151" s="29">
        <f t="array" ref="AC151">MAX(IF(TableVersamenti[Polizza]=Table2[[#This Row],[Polizza]],TableVersamenti[Data prevista versamento],"-"))</f>
        <v>0</v>
      </c>
      <c r="AD151" s="62"/>
      <c r="AE151" s="106">
        <f>DATE(YEAR(Table2[[#This Row],[Data ultimo pagamento]]),MONTH(Table2[[#This Row],[Data ultimo pagamento]]), 1)</f>
        <v>42826</v>
      </c>
      <c r="AF151" s="106">
        <f>DATE(YEAR(Table2[[#This Row],[Data prossima scadenza]]),MONTH(Table2[[#This Row],[Data prossima scadenza]]), 1)</f>
        <v>43009</v>
      </c>
      <c r="AG151" s="33">
        <f>IFERROR(Table2[[#This Row],[Importo annuale]]*VLOOKUP(Table2[[#This Row],[Ramo]],RAMI_POLIZZA,2,FALSE),0)</f>
        <v>2.1566999999999998</v>
      </c>
      <c r="AH151" s="65" t="s">
        <v>113</v>
      </c>
      <c r="AI151" s="63" t="str">
        <f>IFERROR(VLOOKUP(Table2[[#This Row],[Contraente]],Table1[[Nome/Ragione sociale]:[Checkbox selezionato]],2,FALSE),"-")</f>
        <v>BELGIOIOSO</v>
      </c>
      <c r="AJ151" s="63">
        <f>IFERROR(VLOOKUP(Table2[[#This Row],[Contraente]],Table1[[Nome/Ragione sociale]:[Checkbox selezionato]],3,FALSE),"-")</f>
        <v>3929301622</v>
      </c>
      <c r="AK151" s="63">
        <f>IFERROR(VLOOKUP(Table2[[#This Row],[Contraente]],Table1[[Nome/Ragione sociale]:[Checkbox selezionato]],4,FALSE),"-")</f>
        <v>0</v>
      </c>
      <c r="AL151" s="63" t="str">
        <f>IFERROR(VLOOKUP(Table2[[#This Row],[Contraente]],Table1[[Nome/Ragione sociale]:[Checkbox selezionato]],5,FALSE),"-")</f>
        <v>FLAVIA</v>
      </c>
      <c r="AM151" s="62">
        <f>IFERROR(VLOOKUP(Table2[[#This Row],[Contraente]],Table1[[Nome/Ragione sociale]:[Checkbox selezionato]],6,FALSE),"-")</f>
        <v>27614</v>
      </c>
      <c r="AN151" s="63" t="str">
        <f>IFERROR(VLOOKUP(Table2[[#This Row],[Contraente]],Table1[[Nome/Ragione sociale]:[Checkbox selezionato]],7,FALSE),"-")</f>
        <v>papies@libero.it</v>
      </c>
      <c r="AO151" s="63">
        <f>IFERROR(VLOOKUP(Table2[[#This Row],[Contraente]],Table1[[Nome/Ragione sociale]:[Checkbox selezionato]],8,FALSE),"-")</f>
        <v>0</v>
      </c>
      <c r="AP151" s="63">
        <f>IFERROR(VLOOKUP(Table2[[#This Row],[Contraente]],Table1[[Nome/Ragione sociale]:[Checkbox selezionato]],10,FALSE),"-")</f>
        <v>3929301622</v>
      </c>
      <c r="AQ151" s="63" t="str">
        <f>IFERROR(VLOOKUP(Table2[[#This Row],[Contraente]],Table1[[Nome/Ragione sociale]:[Checkbox selezionato]],11,FALSE),"-")</f>
        <v>SI</v>
      </c>
      <c r="AR151" s="63" t="str">
        <f>IFERROR(VLOOKUP(Table2[[#This Row],[Contraente]],Table1[[Nome/Ragione sociale]:[Checkbox selezionato]],12,FALSE),"-")</f>
        <v>SI</v>
      </c>
    </row>
    <row r="152" spans="1:44" ht="30" hidden="1" customHeight="1" x14ac:dyDescent="0.25">
      <c r="A152" s="60" t="str">
        <f>UPPER(LEFT(Table2[[#This Row],[Contraente]],1))</f>
        <v>B</v>
      </c>
      <c r="B152" s="60" t="s">
        <v>1634</v>
      </c>
      <c r="C152" s="81" t="s">
        <v>361</v>
      </c>
      <c r="D152" s="80" t="s">
        <v>37</v>
      </c>
      <c r="E152" s="86">
        <v>104770608</v>
      </c>
      <c r="F152" s="64">
        <v>42871</v>
      </c>
      <c r="G152" s="64">
        <f>IFERROR(CALCOLASCADENZA(Table2[[#This Row],[Data attivazione]],Table2[[#This Row],[Rateizzazione]],Table2[[#This Row],[Data ultimo pagamento]],Table2[[#This Row],[Data prossima scadenza manuale]]),"-")</f>
        <v>43249</v>
      </c>
      <c r="H152" s="67" t="s">
        <v>30</v>
      </c>
      <c r="I152" s="67" t="s">
        <v>113</v>
      </c>
      <c r="J152" s="33">
        <f>IFERROR(Table2[[#This Row],[Importo annuale]]/(12/VLOOKUP(Table2[[#This Row],[Rateizzazione]],TIPI_RATEIZZAZIONI,2,FALSE)),"-")</f>
        <v>121</v>
      </c>
      <c r="K152" s="88">
        <v>121</v>
      </c>
      <c r="L152" s="88">
        <v>121</v>
      </c>
      <c r="M152" s="67" t="s">
        <v>43</v>
      </c>
      <c r="N152" s="67" t="s">
        <v>51</v>
      </c>
      <c r="O152" s="27" t="s">
        <v>1631</v>
      </c>
      <c r="P152" s="33" t="s">
        <v>23</v>
      </c>
      <c r="Q152" s="60">
        <f>IFERROR(IF(12 / VLOOKUP(Table2[[#This Row],[Rateizzazione]],TIPI_RATEIZZAZIONI,2,FALSE) &gt;=1,  IF(Table2[[#This Row],[Data attivazione]] = "","-",MONTH(Table2[[#This Row],[Data attivazione]])),"-"),"-")</f>
        <v>5</v>
      </c>
      <c r="R1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2" s="67" t="s">
        <v>2</v>
      </c>
      <c r="V152" s="62"/>
      <c r="W152" s="64">
        <v>42884</v>
      </c>
      <c r="X152" s="29">
        <f>DATE(YEAR(Table2[[#This Row],[Data attivazione]])+VLOOKUP(Table2[[#This Row],[Durata]],VALORE_DURATA,2,FALSE),MONTH(Table2[[#This Row],[Data attivazione]]),DAY(Table2[[#This Row],[Data attivazione]]))</f>
        <v>43249</v>
      </c>
      <c r="Y152" s="65"/>
      <c r="Z152" s="61"/>
      <c r="AA152" s="64" t="s">
        <v>85</v>
      </c>
      <c r="AB152" s="29" t="str">
        <f>IF(Table2[[#This Row],[Data ultimo versamento temp]]=0/1/1900,"-",Table2[[#This Row],[Data ultimo versamento temp]])</f>
        <v>-</v>
      </c>
      <c r="AC152" s="29">
        <f t="array" ref="AC152">MAX(IF(TableVersamenti[Polizza]=Table2[[#This Row],[Polizza]],TableVersamenti[Data prevista versamento],"-"))</f>
        <v>0</v>
      </c>
      <c r="AD152" s="62"/>
      <c r="AE152" s="106">
        <f>DATE(YEAR(Table2[[#This Row],[Data ultimo pagamento]]),MONTH(Table2[[#This Row],[Data ultimo pagamento]]), 1)</f>
        <v>42856</v>
      </c>
      <c r="AF152" s="106">
        <f>DATE(YEAR(Table2[[#This Row],[Data prossima scadenza]]),MONTH(Table2[[#This Row],[Data prossima scadenza]]), 1)</f>
        <v>43221</v>
      </c>
      <c r="AG152" s="33">
        <f>IFERROR(Table2[[#This Row],[Importo annuale]]*VLOOKUP(Table2[[#This Row],[Ramo]],RAMI_POLIZZA,2,FALSE),0)</f>
        <v>13.915000000000001</v>
      </c>
      <c r="AH152" s="65" t="s">
        <v>113</v>
      </c>
      <c r="AI152" s="63" t="str">
        <f>IFERROR(VLOOKUP(Table2[[#This Row],[Contraente]],Table1[[Nome/Ragione sociale]:[Checkbox selezionato]],2,FALSE),"-")</f>
        <v>CORTEOLONA</v>
      </c>
      <c r="AJ152" s="63">
        <f>IFERROR(VLOOKUP(Table2[[#This Row],[Contraente]],Table1[[Nome/Ragione sociale]:[Checkbox selezionato]],3,FALSE),"-")</f>
        <v>3392018180</v>
      </c>
      <c r="AK152" s="63">
        <f>IFERROR(VLOOKUP(Table2[[#This Row],[Contraente]],Table1[[Nome/Ragione sociale]:[Checkbox selezionato]],4,FALSE),"-")</f>
        <v>0</v>
      </c>
      <c r="AL152" s="63" t="str">
        <f>IFERROR(VLOOKUP(Table2[[#This Row],[Contraente]],Table1[[Nome/Ragione sociale]:[Checkbox selezionato]],5,FALSE),"-")</f>
        <v>GINO</v>
      </c>
      <c r="AM152" s="62">
        <f>IFERROR(VLOOKUP(Table2[[#This Row],[Contraente]],Table1[[Nome/Ragione sociale]:[Checkbox selezionato]],6,FALSE),"-")</f>
        <v>11714</v>
      </c>
      <c r="AN152" s="63" t="str">
        <f>IFERROR(VLOOKUP(Table2[[#This Row],[Contraente]],Table1[[Nome/Ragione sociale]:[Checkbox selezionato]],7,FALSE),"-")</f>
        <v>papies@email.it</v>
      </c>
      <c r="AO152" s="63">
        <f>IFERROR(VLOOKUP(Table2[[#This Row],[Contraente]],Table1[[Nome/Ragione sociale]:[Checkbox selezionato]],8,FALSE),"-")</f>
        <v>0</v>
      </c>
      <c r="AP152" s="63">
        <f>IFERROR(VLOOKUP(Table2[[#This Row],[Contraente]],Table1[[Nome/Ragione sociale]:[Checkbox selezionato]],10,FALSE),"-")</f>
        <v>3392018180</v>
      </c>
      <c r="AQ152" s="63" t="str">
        <f>IFERROR(VLOOKUP(Table2[[#This Row],[Contraente]],Table1[[Nome/Ragione sociale]:[Checkbox selezionato]],11,FALSE),"-")</f>
        <v>SI</v>
      </c>
      <c r="AR152" s="63" t="str">
        <f>IFERROR(VLOOKUP(Table2[[#This Row],[Contraente]],Table1[[Nome/Ragione sociale]:[Checkbox selezionato]],12,FALSE),"-")</f>
        <v>SI</v>
      </c>
    </row>
    <row r="153" spans="1:44" ht="30" hidden="1" customHeight="1" x14ac:dyDescent="0.25">
      <c r="A153" s="60" t="str">
        <f>UPPER(LEFT(Table2[[#This Row],[Contraente]],1))</f>
        <v>B</v>
      </c>
      <c r="B153" s="60" t="s">
        <v>1634</v>
      </c>
      <c r="C153" s="81" t="s">
        <v>361</v>
      </c>
      <c r="D153" s="80" t="s">
        <v>37</v>
      </c>
      <c r="E153" s="86">
        <v>106980554</v>
      </c>
      <c r="F153" s="64">
        <v>42902</v>
      </c>
      <c r="G153" s="64">
        <f>IFERROR(CALCOLASCADENZA(Table2[[#This Row],[Data attivazione]],Table2[[#This Row],[Rateizzazione]],Table2[[#This Row],[Data ultimo pagamento]],Table2[[#This Row],[Data prossima scadenza manuale]]),"-")</f>
        <v>43268</v>
      </c>
      <c r="H153" s="67" t="s">
        <v>31</v>
      </c>
      <c r="I153" s="67" t="s">
        <v>1195</v>
      </c>
      <c r="J153" s="33">
        <f>IFERROR(Table2[[#This Row],[Importo annuale]]/(12/VLOOKUP(Table2[[#This Row],[Rateizzazione]],TIPI_RATEIZZAZIONI,2,FALSE)),"-")</f>
        <v>1163</v>
      </c>
      <c r="K153" s="88">
        <v>1163</v>
      </c>
      <c r="L153" s="88">
        <v>1163</v>
      </c>
      <c r="M153" s="67" t="s">
        <v>44</v>
      </c>
      <c r="N153" s="67" t="s">
        <v>51</v>
      </c>
      <c r="O153" s="27" t="s">
        <v>1631</v>
      </c>
      <c r="P153" s="33" t="s">
        <v>23</v>
      </c>
      <c r="Q153" s="60">
        <f>IFERROR(IF(12 / VLOOKUP(Table2[[#This Row],[Rateizzazione]],TIPI_RATEIZZAZIONI,2,FALSE) &gt;=1,  IF(Table2[[#This Row],[Data attivazione]] = "","-",MONTH(Table2[[#This Row],[Data attivazione]])),"-"),"-")</f>
        <v>6</v>
      </c>
      <c r="R1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3" s="67" t="s">
        <v>2</v>
      </c>
      <c r="V153" s="62"/>
      <c r="W153" s="64">
        <v>42903</v>
      </c>
      <c r="X153" s="29">
        <f>DATE(YEAR(Table2[[#This Row],[Data attivazione]])+VLOOKUP(Table2[[#This Row],[Durata]],VALORE_DURATA,2,FALSE),MONTH(Table2[[#This Row],[Data attivazione]]),DAY(Table2[[#This Row],[Data attivazione]]))</f>
        <v>43268</v>
      </c>
      <c r="Y153" s="65"/>
      <c r="Z153" s="61"/>
      <c r="AA153" s="64" t="s">
        <v>85</v>
      </c>
      <c r="AB153" s="29" t="str">
        <f>IF(Table2[[#This Row],[Data ultimo versamento temp]]=0/1/1900,"-",Table2[[#This Row],[Data ultimo versamento temp]])</f>
        <v>-</v>
      </c>
      <c r="AC153" s="29">
        <f t="array" ref="AC153">MAX(IF(TableVersamenti[Polizza]=Table2[[#This Row],[Polizza]],TableVersamenti[Data prevista versamento],"-"))</f>
        <v>0</v>
      </c>
      <c r="AD153" s="62"/>
      <c r="AE153" s="106">
        <f>DATE(YEAR(Table2[[#This Row],[Data ultimo pagamento]]),MONTH(Table2[[#This Row],[Data ultimo pagamento]]), 1)</f>
        <v>42887</v>
      </c>
      <c r="AF153" s="106">
        <f>DATE(YEAR(Table2[[#This Row],[Data prossima scadenza]]),MONTH(Table2[[#This Row],[Data prossima scadenza]]), 1)</f>
        <v>43252</v>
      </c>
      <c r="AG153" s="33">
        <f>IFERROR(Table2[[#This Row],[Importo annuale]]*VLOOKUP(Table2[[#This Row],[Ramo]],RAMI_POLIZZA,2,FALSE),0)</f>
        <v>60.475999999999999</v>
      </c>
      <c r="AH153" s="65" t="s">
        <v>113</v>
      </c>
      <c r="AI153" s="63" t="str">
        <f>IFERROR(VLOOKUP(Table2[[#This Row],[Contraente]],Table1[[Nome/Ragione sociale]:[Checkbox selezionato]],2,FALSE),"-")</f>
        <v>CORTEOLONA</v>
      </c>
      <c r="AJ153" s="63">
        <f>IFERROR(VLOOKUP(Table2[[#This Row],[Contraente]],Table1[[Nome/Ragione sociale]:[Checkbox selezionato]],3,FALSE),"-")</f>
        <v>3392018180</v>
      </c>
      <c r="AK153" s="63">
        <f>IFERROR(VLOOKUP(Table2[[#This Row],[Contraente]],Table1[[Nome/Ragione sociale]:[Checkbox selezionato]],4,FALSE),"-")</f>
        <v>0</v>
      </c>
      <c r="AL153" s="63" t="str">
        <f>IFERROR(VLOOKUP(Table2[[#This Row],[Contraente]],Table1[[Nome/Ragione sociale]:[Checkbox selezionato]],5,FALSE),"-")</f>
        <v>GINO</v>
      </c>
      <c r="AM153" s="62">
        <f>IFERROR(VLOOKUP(Table2[[#This Row],[Contraente]],Table1[[Nome/Ragione sociale]:[Checkbox selezionato]],6,FALSE),"-")</f>
        <v>11714</v>
      </c>
      <c r="AN153" s="63" t="str">
        <f>IFERROR(VLOOKUP(Table2[[#This Row],[Contraente]],Table1[[Nome/Ragione sociale]:[Checkbox selezionato]],7,FALSE),"-")</f>
        <v>papies@email.it</v>
      </c>
      <c r="AO153" s="63">
        <f>IFERROR(VLOOKUP(Table2[[#This Row],[Contraente]],Table1[[Nome/Ragione sociale]:[Checkbox selezionato]],8,FALSE),"-")</f>
        <v>0</v>
      </c>
      <c r="AP153" s="63">
        <f>IFERROR(VLOOKUP(Table2[[#This Row],[Contraente]],Table1[[Nome/Ragione sociale]:[Checkbox selezionato]],10,FALSE),"-")</f>
        <v>3392018180</v>
      </c>
      <c r="AQ153" s="63" t="str">
        <f>IFERROR(VLOOKUP(Table2[[#This Row],[Contraente]],Table1[[Nome/Ragione sociale]:[Checkbox selezionato]],11,FALSE),"-")</f>
        <v>SI</v>
      </c>
      <c r="AR153" s="63" t="str">
        <f>IFERROR(VLOOKUP(Table2[[#This Row],[Contraente]],Table1[[Nome/Ragione sociale]:[Checkbox selezionato]],12,FALSE),"-")</f>
        <v>SI</v>
      </c>
    </row>
    <row r="154" spans="1:44" ht="30" hidden="1" customHeight="1" x14ac:dyDescent="0.25">
      <c r="A154" s="60" t="str">
        <f>UPPER(LEFT(Table2[[#This Row],[Contraente]],1))</f>
        <v>B</v>
      </c>
      <c r="B154" s="60" t="s">
        <v>1634</v>
      </c>
      <c r="C154" s="81" t="s">
        <v>361</v>
      </c>
      <c r="D154" s="80" t="s">
        <v>37</v>
      </c>
      <c r="E154" s="86">
        <v>104677025</v>
      </c>
      <c r="F154" s="64">
        <v>42576</v>
      </c>
      <c r="G154" s="64">
        <f>IFERROR(CALCOLASCADENZA(Table2[[#This Row],[Data attivazione]],Table2[[#This Row],[Rateizzazione]],Table2[[#This Row],[Data ultimo pagamento]],Table2[[#This Row],[Data prossima scadenza manuale]]),"-")</f>
        <v>42938</v>
      </c>
      <c r="H154" s="67" t="s">
        <v>30</v>
      </c>
      <c r="I154" s="67" t="s">
        <v>113</v>
      </c>
      <c r="J154" s="33">
        <f>IFERROR(Table2[[#This Row],[Importo annuale]]/(12/VLOOKUP(Table2[[#This Row],[Rateizzazione]],TIPI_RATEIZZAZIONI,2,FALSE)),"-")</f>
        <v>362</v>
      </c>
      <c r="K154" s="88"/>
      <c r="L154" s="88">
        <v>362</v>
      </c>
      <c r="M154" s="67" t="s">
        <v>44</v>
      </c>
      <c r="N154" s="67" t="s">
        <v>51</v>
      </c>
      <c r="O154" s="27" t="s">
        <v>1631</v>
      </c>
      <c r="P154" s="33" t="s">
        <v>23</v>
      </c>
      <c r="Q154" s="60">
        <f>IFERROR(IF(12 / VLOOKUP(Table2[[#This Row],[Rateizzazione]],TIPI_RATEIZZAZIONI,2,FALSE) &gt;=1,  IF(Table2[[#This Row],[Data attivazione]] = "","-",MONTH(Table2[[#This Row],[Data attivazione]])),"-"),"-")</f>
        <v>7</v>
      </c>
      <c r="R1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4" s="67" t="s">
        <v>2</v>
      </c>
      <c r="V154" s="62"/>
      <c r="W154" s="64">
        <v>42573</v>
      </c>
      <c r="X154" s="29">
        <f>DATE(YEAR(Table2[[#This Row],[Data attivazione]])+VLOOKUP(Table2[[#This Row],[Durata]],VALORE_DURATA,2,FALSE),MONTH(Table2[[#This Row],[Data attivazione]]),DAY(Table2[[#This Row],[Data attivazione]]))</f>
        <v>42938</v>
      </c>
      <c r="Y154" s="65"/>
      <c r="Z154" s="61"/>
      <c r="AA154" s="64" t="s">
        <v>85</v>
      </c>
      <c r="AB154" s="29" t="str">
        <f>IF(Table2[[#This Row],[Data ultimo versamento temp]]=0/1/1900,"-",Table2[[#This Row],[Data ultimo versamento temp]])</f>
        <v>-</v>
      </c>
      <c r="AC154" s="29">
        <f t="array" ref="AC154">MAX(IF(TableVersamenti[Polizza]=Table2[[#This Row],[Polizza]],TableVersamenti[Data prevista versamento],"-"))</f>
        <v>0</v>
      </c>
      <c r="AD154" s="62"/>
      <c r="AE154" s="106">
        <f>DATE(YEAR(Table2[[#This Row],[Data ultimo pagamento]]),MONTH(Table2[[#This Row],[Data ultimo pagamento]]), 1)</f>
        <v>42552</v>
      </c>
      <c r="AF154" s="106">
        <f>DATE(YEAR(Table2[[#This Row],[Data prossima scadenza]]),MONTH(Table2[[#This Row],[Data prossima scadenza]]), 1)</f>
        <v>42917</v>
      </c>
      <c r="AG154" s="33">
        <f>IFERROR(Table2[[#This Row],[Importo annuale]]*VLOOKUP(Table2[[#This Row],[Ramo]],RAMI_POLIZZA,2,FALSE),0)</f>
        <v>41.63</v>
      </c>
      <c r="AH154" s="65" t="s">
        <v>113</v>
      </c>
      <c r="AI154" s="63" t="str">
        <f>IFERROR(VLOOKUP(Table2[[#This Row],[Contraente]],Table1[[Nome/Ragione sociale]:[Checkbox selezionato]],2,FALSE),"-")</f>
        <v>CORTEOLONA</v>
      </c>
      <c r="AJ154" s="63">
        <f>IFERROR(VLOOKUP(Table2[[#This Row],[Contraente]],Table1[[Nome/Ragione sociale]:[Checkbox selezionato]],3,FALSE),"-")</f>
        <v>3392018180</v>
      </c>
      <c r="AK154" s="63">
        <f>IFERROR(VLOOKUP(Table2[[#This Row],[Contraente]],Table1[[Nome/Ragione sociale]:[Checkbox selezionato]],4,FALSE),"-")</f>
        <v>0</v>
      </c>
      <c r="AL154" s="63" t="str">
        <f>IFERROR(VLOOKUP(Table2[[#This Row],[Contraente]],Table1[[Nome/Ragione sociale]:[Checkbox selezionato]],5,FALSE),"-")</f>
        <v>GINO</v>
      </c>
      <c r="AM154" s="62">
        <f>IFERROR(VLOOKUP(Table2[[#This Row],[Contraente]],Table1[[Nome/Ragione sociale]:[Checkbox selezionato]],6,FALSE),"-")</f>
        <v>11714</v>
      </c>
      <c r="AN154" s="63" t="str">
        <f>IFERROR(VLOOKUP(Table2[[#This Row],[Contraente]],Table1[[Nome/Ragione sociale]:[Checkbox selezionato]],7,FALSE),"-")</f>
        <v>papies@email.it</v>
      </c>
      <c r="AO154" s="63">
        <f>IFERROR(VLOOKUP(Table2[[#This Row],[Contraente]],Table1[[Nome/Ragione sociale]:[Checkbox selezionato]],8,FALSE),"-")</f>
        <v>0</v>
      </c>
      <c r="AP154" s="63">
        <f>IFERROR(VLOOKUP(Table2[[#This Row],[Contraente]],Table1[[Nome/Ragione sociale]:[Checkbox selezionato]],10,FALSE),"-")</f>
        <v>3392018180</v>
      </c>
      <c r="AQ154" s="63" t="str">
        <f>IFERROR(VLOOKUP(Table2[[#This Row],[Contraente]],Table1[[Nome/Ragione sociale]:[Checkbox selezionato]],11,FALSE),"-")</f>
        <v>SI</v>
      </c>
      <c r="AR154" s="63" t="str">
        <f>IFERROR(VLOOKUP(Table2[[#This Row],[Contraente]],Table1[[Nome/Ragione sociale]:[Checkbox selezionato]],12,FALSE),"-")</f>
        <v>SI</v>
      </c>
    </row>
    <row r="155" spans="1:44" ht="30" hidden="1" customHeight="1" x14ac:dyDescent="0.25">
      <c r="A155" s="60" t="str">
        <f>UPPER(LEFT(Table2[[#This Row],[Contraente]],1))</f>
        <v>B</v>
      </c>
      <c r="B155" s="60" t="s">
        <v>1634</v>
      </c>
      <c r="C155" s="81" t="s">
        <v>100</v>
      </c>
      <c r="D155" s="80" t="s">
        <v>37</v>
      </c>
      <c r="E155" s="86">
        <v>104754258</v>
      </c>
      <c r="F155" s="64">
        <v>42779</v>
      </c>
      <c r="G155" s="64">
        <f>IFERROR(CALCOLASCADENZA(Table2[[#This Row],[Data attivazione]],Table2[[#This Row],[Rateizzazione]],Table2[[#This Row],[Data ultimo pagamento]],Table2[[#This Row],[Data prossima scadenza manuale]]),"-")</f>
        <v>42951</v>
      </c>
      <c r="H155" s="67" t="s">
        <v>31</v>
      </c>
      <c r="I155" s="67" t="s">
        <v>1196</v>
      </c>
      <c r="J155" s="33">
        <f>IFERROR(Table2[[#This Row],[Importo annuale]]/(12/VLOOKUP(Table2[[#This Row],[Rateizzazione]],TIPI_RATEIZZAZIONI,2,FALSE)),"-")</f>
        <v>215</v>
      </c>
      <c r="K155" s="88">
        <v>215</v>
      </c>
      <c r="L155" s="88">
        <v>430</v>
      </c>
      <c r="M155" s="67" t="s">
        <v>43</v>
      </c>
      <c r="N155" s="67" t="s">
        <v>51</v>
      </c>
      <c r="O155" s="27" t="s">
        <v>1631</v>
      </c>
      <c r="P155" s="33" t="s">
        <v>22</v>
      </c>
      <c r="Q155" s="60">
        <f>IFERROR(IF(12 / VLOOKUP(Table2[[#This Row],[Rateizzazione]],TIPI_RATEIZZAZIONI,2,FALSE) &gt;=1,  IF(Table2[[#This Row],[Data attivazione]] = "","-",MONTH(Table2[[#This Row],[Data attivazione]])),"-"),"-")</f>
        <v>8</v>
      </c>
      <c r="R1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5" s="67" t="s">
        <v>2</v>
      </c>
      <c r="V155" s="62"/>
      <c r="W155" s="64">
        <v>42586</v>
      </c>
      <c r="X155" s="29">
        <f>DATE(YEAR(Table2[[#This Row],[Data attivazione]])+VLOOKUP(Table2[[#This Row],[Durata]],VALORE_DURATA,2,FALSE),MONTH(Table2[[#This Row],[Data attivazione]]),DAY(Table2[[#This Row],[Data attivazione]]))</f>
        <v>42951</v>
      </c>
      <c r="Y155" s="65"/>
      <c r="Z155" s="61"/>
      <c r="AA155" s="64" t="s">
        <v>85</v>
      </c>
      <c r="AB155" s="29" t="str">
        <f>IF(Table2[[#This Row],[Data ultimo versamento temp]]=0/1/1900,"-",Table2[[#This Row],[Data ultimo versamento temp]])</f>
        <v>-</v>
      </c>
      <c r="AC155" s="29">
        <f t="array" ref="AC155">MAX(IF(TableVersamenti[Polizza]=Table2[[#This Row],[Polizza]],TableVersamenti[Data prevista versamento],"-"))</f>
        <v>0</v>
      </c>
      <c r="AD155" s="62"/>
      <c r="AE155" s="106">
        <f>DATE(YEAR(Table2[[#This Row],[Data ultimo pagamento]]),MONTH(Table2[[#This Row],[Data ultimo pagamento]]), 1)</f>
        <v>42767</v>
      </c>
      <c r="AF155" s="106">
        <f>DATE(YEAR(Table2[[#This Row],[Data prossima scadenza]]),MONTH(Table2[[#This Row],[Data prossima scadenza]]), 1)</f>
        <v>42948</v>
      </c>
      <c r="AG155" s="33">
        <f>IFERROR(Table2[[#This Row],[Importo annuale]]*VLOOKUP(Table2[[#This Row],[Ramo]],RAMI_POLIZZA,2,FALSE),0)</f>
        <v>22.36</v>
      </c>
      <c r="AH155" s="65" t="s">
        <v>113</v>
      </c>
      <c r="AI155" s="63" t="str">
        <f>IFERROR(VLOOKUP(Table2[[#This Row],[Contraente]],Table1[[Nome/Ragione sociale]:[Checkbox selezionato]],2,FALSE),"-")</f>
        <v>BELGIOIOSO</v>
      </c>
      <c r="AJ155" s="63">
        <f>IFERROR(VLOOKUP(Table2[[#This Row],[Contraente]],Table1[[Nome/Ragione sociale]:[Checkbox selezionato]],3,FALSE),"-")</f>
        <v>3338355184</v>
      </c>
      <c r="AK155" s="63">
        <f>IFERROR(VLOOKUP(Table2[[#This Row],[Contraente]],Table1[[Nome/Ragione sociale]:[Checkbox selezionato]],4,FALSE),"-")</f>
        <v>0</v>
      </c>
      <c r="AL155" s="63" t="str">
        <f>IFERROR(VLOOKUP(Table2[[#This Row],[Contraente]],Table1[[Nome/Ragione sociale]:[Checkbox selezionato]],5,FALSE),"-")</f>
        <v>CLAUDIA</v>
      </c>
      <c r="AM155" s="62">
        <f>IFERROR(VLOOKUP(Table2[[#This Row],[Contraente]],Table1[[Nome/Ragione sociale]:[Checkbox selezionato]],6,FALSE),"-")</f>
        <v>25368</v>
      </c>
      <c r="AN155" s="63" t="str">
        <f>IFERROR(VLOOKUP(Table2[[#This Row],[Contraente]],Table1[[Nome/Ragione sociale]:[Checkbox selezionato]],7,FALSE),"-")</f>
        <v>papies@libero.it</v>
      </c>
      <c r="AO155" s="63">
        <f>IFERROR(VLOOKUP(Table2[[#This Row],[Contraente]],Table1[[Nome/Ragione sociale]:[Checkbox selezionato]],8,FALSE),"-")</f>
        <v>0</v>
      </c>
      <c r="AP155" s="63">
        <f>IFERROR(VLOOKUP(Table2[[#This Row],[Contraente]],Table1[[Nome/Ragione sociale]:[Checkbox selezionato]],10,FALSE),"-")</f>
        <v>3338355184</v>
      </c>
      <c r="AQ155" s="63" t="str">
        <f>IFERROR(VLOOKUP(Table2[[#This Row],[Contraente]],Table1[[Nome/Ragione sociale]:[Checkbox selezionato]],11,FALSE),"-")</f>
        <v>SI</v>
      </c>
      <c r="AR155" s="63" t="str">
        <f>IFERROR(VLOOKUP(Table2[[#This Row],[Contraente]],Table1[[Nome/Ragione sociale]:[Checkbox selezionato]],12,FALSE),"-")</f>
        <v>SI</v>
      </c>
    </row>
    <row r="156" spans="1:44" ht="30" hidden="1" customHeight="1" x14ac:dyDescent="0.25">
      <c r="A156" s="60" t="str">
        <f>UPPER(LEFT(Table2[[#This Row],[Contraente]],1))</f>
        <v>B</v>
      </c>
      <c r="B156" s="60" t="s">
        <v>1634</v>
      </c>
      <c r="C156" s="81" t="s">
        <v>100</v>
      </c>
      <c r="D156" s="80" t="s">
        <v>37</v>
      </c>
      <c r="E156" s="86">
        <v>103419823</v>
      </c>
      <c r="F156" s="64">
        <v>42779</v>
      </c>
      <c r="G156" s="64">
        <f>IFERROR(CALCOLASCADENZA(Table2[[#This Row],[Data attivazione]],Table2[[#This Row],[Rateizzazione]],Table2[[#This Row],[Data ultimo pagamento]],Table2[[#This Row],[Data prossima scadenza manuale]]),"-")</f>
        <v>42951</v>
      </c>
      <c r="H156" s="67" t="s">
        <v>1628</v>
      </c>
      <c r="I156" s="67" t="s">
        <v>113</v>
      </c>
      <c r="J156" s="33">
        <f>IFERROR(Table2[[#This Row],[Importo annuale]]/(12/VLOOKUP(Table2[[#This Row],[Rateizzazione]],TIPI_RATEIZZAZIONI,2,FALSE)),"-")</f>
        <v>32</v>
      </c>
      <c r="K156" s="88">
        <v>32</v>
      </c>
      <c r="L156" s="88">
        <v>64</v>
      </c>
      <c r="M156" s="67" t="s">
        <v>43</v>
      </c>
      <c r="N156" s="67" t="s">
        <v>51</v>
      </c>
      <c r="O156" s="27" t="s">
        <v>1631</v>
      </c>
      <c r="P156" s="33" t="s">
        <v>22</v>
      </c>
      <c r="Q156" s="60">
        <f>IFERROR(IF(12 / VLOOKUP(Table2[[#This Row],[Rateizzazione]],TIPI_RATEIZZAZIONI,2,FALSE) &gt;=1,  IF(Table2[[#This Row],[Data attivazione]] = "","-",MONTH(Table2[[#This Row],[Data attivazione]])),"-"),"-")</f>
        <v>8</v>
      </c>
      <c r="R1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6" s="67" t="s">
        <v>2</v>
      </c>
      <c r="V156" s="62"/>
      <c r="W156" s="64">
        <v>42586</v>
      </c>
      <c r="X156" s="29">
        <f>DATE(YEAR(Table2[[#This Row],[Data attivazione]])+VLOOKUP(Table2[[#This Row],[Durata]],VALORE_DURATA,2,FALSE),MONTH(Table2[[#This Row],[Data attivazione]]),DAY(Table2[[#This Row],[Data attivazione]]))</f>
        <v>42951</v>
      </c>
      <c r="Y156" s="65"/>
      <c r="Z156" s="61"/>
      <c r="AA156" s="64" t="s">
        <v>85</v>
      </c>
      <c r="AB156" s="29" t="str">
        <f>IF(Table2[[#This Row],[Data ultimo versamento temp]]=0/1/1900,"-",Table2[[#This Row],[Data ultimo versamento temp]])</f>
        <v>-</v>
      </c>
      <c r="AC156" s="29">
        <f t="array" ref="AC156">MAX(IF(TableVersamenti[Polizza]=Table2[[#This Row],[Polizza]],TableVersamenti[Data prevista versamento],"-"))</f>
        <v>0</v>
      </c>
      <c r="AD156" s="62"/>
      <c r="AE156" s="106">
        <f>DATE(YEAR(Table2[[#This Row],[Data ultimo pagamento]]),MONTH(Table2[[#This Row],[Data ultimo pagamento]]), 1)</f>
        <v>42767</v>
      </c>
      <c r="AF156" s="106">
        <f>DATE(YEAR(Table2[[#This Row],[Data prossima scadenza]]),MONTH(Table2[[#This Row],[Data prossima scadenza]]), 1)</f>
        <v>42948</v>
      </c>
      <c r="AG156" s="33">
        <f>IFERROR(Table2[[#This Row],[Importo annuale]]*VLOOKUP(Table2[[#This Row],[Ramo]],RAMI_POLIZZA,2,FALSE),0)</f>
        <v>0</v>
      </c>
      <c r="AH156" s="65" t="s">
        <v>113</v>
      </c>
      <c r="AI156" s="63" t="str">
        <f>IFERROR(VLOOKUP(Table2[[#This Row],[Contraente]],Table1[[Nome/Ragione sociale]:[Checkbox selezionato]],2,FALSE),"-")</f>
        <v>BELGIOIOSO</v>
      </c>
      <c r="AJ156" s="63">
        <f>IFERROR(VLOOKUP(Table2[[#This Row],[Contraente]],Table1[[Nome/Ragione sociale]:[Checkbox selezionato]],3,FALSE),"-")</f>
        <v>3338355184</v>
      </c>
      <c r="AK156" s="63">
        <f>IFERROR(VLOOKUP(Table2[[#This Row],[Contraente]],Table1[[Nome/Ragione sociale]:[Checkbox selezionato]],4,FALSE),"-")</f>
        <v>0</v>
      </c>
      <c r="AL156" s="63" t="str">
        <f>IFERROR(VLOOKUP(Table2[[#This Row],[Contraente]],Table1[[Nome/Ragione sociale]:[Checkbox selezionato]],5,FALSE),"-")</f>
        <v>CLAUDIA</v>
      </c>
      <c r="AM156" s="62">
        <f>IFERROR(VLOOKUP(Table2[[#This Row],[Contraente]],Table1[[Nome/Ragione sociale]:[Checkbox selezionato]],6,FALSE),"-")</f>
        <v>25368</v>
      </c>
      <c r="AN156" s="63" t="str">
        <f>IFERROR(VLOOKUP(Table2[[#This Row],[Contraente]],Table1[[Nome/Ragione sociale]:[Checkbox selezionato]],7,FALSE),"-")</f>
        <v>papies@libero.it</v>
      </c>
      <c r="AO156" s="63">
        <f>IFERROR(VLOOKUP(Table2[[#This Row],[Contraente]],Table1[[Nome/Ragione sociale]:[Checkbox selezionato]],8,FALSE),"-")</f>
        <v>0</v>
      </c>
      <c r="AP156" s="63">
        <f>IFERROR(VLOOKUP(Table2[[#This Row],[Contraente]],Table1[[Nome/Ragione sociale]:[Checkbox selezionato]],10,FALSE),"-")</f>
        <v>3338355184</v>
      </c>
      <c r="AQ156" s="63" t="str">
        <f>IFERROR(VLOOKUP(Table2[[#This Row],[Contraente]],Table1[[Nome/Ragione sociale]:[Checkbox selezionato]],11,FALSE),"-")</f>
        <v>SI</v>
      </c>
      <c r="AR156" s="63" t="str">
        <f>IFERROR(VLOOKUP(Table2[[#This Row],[Contraente]],Table1[[Nome/Ragione sociale]:[Checkbox selezionato]],12,FALSE),"-")</f>
        <v>SI</v>
      </c>
    </row>
    <row r="157" spans="1:44" ht="30" hidden="1" customHeight="1" x14ac:dyDescent="0.25">
      <c r="A157" s="60" t="str">
        <f>UPPER(LEFT(Table2[[#This Row],[Contraente]],1))</f>
        <v>B</v>
      </c>
      <c r="B157" s="60" t="s">
        <v>1634</v>
      </c>
      <c r="C157" s="81" t="s">
        <v>100</v>
      </c>
      <c r="D157" s="80" t="s">
        <v>37</v>
      </c>
      <c r="E157" s="86">
        <v>105615231</v>
      </c>
      <c r="F157" s="64">
        <v>42872</v>
      </c>
      <c r="G157" s="64">
        <f>IFERROR(CALCOLASCADENZA(Table2[[#This Row],[Data attivazione]],Table2[[#This Row],[Rateizzazione]],Table2[[#This Row],[Data ultimo pagamento]],Table2[[#This Row],[Data prossima scadenza manuale]]),"-")</f>
        <v>43045</v>
      </c>
      <c r="H157" s="67" t="s">
        <v>31</v>
      </c>
      <c r="I157" s="67" t="s">
        <v>1197</v>
      </c>
      <c r="J157" s="33">
        <f>IFERROR(Table2[[#This Row],[Importo annuale]]/(12/VLOOKUP(Table2[[#This Row],[Rateizzazione]],TIPI_RATEIZZAZIONI,2,FALSE)),"-")</f>
        <v>205</v>
      </c>
      <c r="K157" s="88">
        <v>205</v>
      </c>
      <c r="L157" s="88">
        <v>410</v>
      </c>
      <c r="M157" s="67" t="s">
        <v>43</v>
      </c>
      <c r="N157" s="67" t="s">
        <v>51</v>
      </c>
      <c r="O157" s="27" t="s">
        <v>1631</v>
      </c>
      <c r="P157" s="33" t="s">
        <v>22</v>
      </c>
      <c r="Q157" s="60">
        <f>IFERROR(IF(12 / VLOOKUP(Table2[[#This Row],[Rateizzazione]],TIPI_RATEIZZAZIONI,2,FALSE) &gt;=1,  IF(Table2[[#This Row],[Data attivazione]] = "","-",MONTH(Table2[[#This Row],[Data attivazione]])),"-"),"-")</f>
        <v>11</v>
      </c>
      <c r="R1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7" s="67" t="s">
        <v>2</v>
      </c>
      <c r="V157" s="62"/>
      <c r="W157" s="64">
        <v>42680</v>
      </c>
      <c r="X157" s="29">
        <f>DATE(YEAR(Table2[[#This Row],[Data attivazione]])+VLOOKUP(Table2[[#This Row],[Durata]],VALORE_DURATA,2,FALSE),MONTH(Table2[[#This Row],[Data attivazione]]),DAY(Table2[[#This Row],[Data attivazione]]))</f>
        <v>43045</v>
      </c>
      <c r="Y157" s="65"/>
      <c r="Z157" s="61"/>
      <c r="AA157" s="64" t="s">
        <v>85</v>
      </c>
      <c r="AB157" s="29" t="str">
        <f>IF(Table2[[#This Row],[Data ultimo versamento temp]]=0/1/1900,"-",Table2[[#This Row],[Data ultimo versamento temp]])</f>
        <v>-</v>
      </c>
      <c r="AC157" s="29">
        <f t="array" ref="AC157">MAX(IF(TableVersamenti[Polizza]=Table2[[#This Row],[Polizza]],TableVersamenti[Data prevista versamento],"-"))</f>
        <v>0</v>
      </c>
      <c r="AD157" s="62"/>
      <c r="AE157" s="106">
        <f>DATE(YEAR(Table2[[#This Row],[Data ultimo pagamento]]),MONTH(Table2[[#This Row],[Data ultimo pagamento]]), 1)</f>
        <v>42856</v>
      </c>
      <c r="AF157" s="106">
        <f>DATE(YEAR(Table2[[#This Row],[Data prossima scadenza]]),MONTH(Table2[[#This Row],[Data prossima scadenza]]), 1)</f>
        <v>43040</v>
      </c>
      <c r="AG157" s="33">
        <f>IFERROR(Table2[[#This Row],[Importo annuale]]*VLOOKUP(Table2[[#This Row],[Ramo]],RAMI_POLIZZA,2,FALSE),0)</f>
        <v>21.32</v>
      </c>
      <c r="AH157" s="65" t="s">
        <v>113</v>
      </c>
      <c r="AI157" s="63" t="str">
        <f>IFERROR(VLOOKUP(Table2[[#This Row],[Contraente]],Table1[[Nome/Ragione sociale]:[Checkbox selezionato]],2,FALSE),"-")</f>
        <v>BELGIOIOSO</v>
      </c>
      <c r="AJ157" s="63">
        <f>IFERROR(VLOOKUP(Table2[[#This Row],[Contraente]],Table1[[Nome/Ragione sociale]:[Checkbox selezionato]],3,FALSE),"-")</f>
        <v>3338355184</v>
      </c>
      <c r="AK157" s="63">
        <f>IFERROR(VLOOKUP(Table2[[#This Row],[Contraente]],Table1[[Nome/Ragione sociale]:[Checkbox selezionato]],4,FALSE),"-")</f>
        <v>0</v>
      </c>
      <c r="AL157" s="63" t="str">
        <f>IFERROR(VLOOKUP(Table2[[#This Row],[Contraente]],Table1[[Nome/Ragione sociale]:[Checkbox selezionato]],5,FALSE),"-")</f>
        <v>CLAUDIA</v>
      </c>
      <c r="AM157" s="62">
        <f>IFERROR(VLOOKUP(Table2[[#This Row],[Contraente]],Table1[[Nome/Ragione sociale]:[Checkbox selezionato]],6,FALSE),"-")</f>
        <v>25368</v>
      </c>
      <c r="AN157" s="63" t="str">
        <f>IFERROR(VLOOKUP(Table2[[#This Row],[Contraente]],Table1[[Nome/Ragione sociale]:[Checkbox selezionato]],7,FALSE),"-")</f>
        <v>papies@libero.it</v>
      </c>
      <c r="AO157" s="63">
        <f>IFERROR(VLOOKUP(Table2[[#This Row],[Contraente]],Table1[[Nome/Ragione sociale]:[Checkbox selezionato]],8,FALSE),"-")</f>
        <v>0</v>
      </c>
      <c r="AP157" s="63">
        <f>IFERROR(VLOOKUP(Table2[[#This Row],[Contraente]],Table1[[Nome/Ragione sociale]:[Checkbox selezionato]],10,FALSE),"-")</f>
        <v>3338355184</v>
      </c>
      <c r="AQ157" s="63" t="str">
        <f>IFERROR(VLOOKUP(Table2[[#This Row],[Contraente]],Table1[[Nome/Ragione sociale]:[Checkbox selezionato]],11,FALSE),"-")</f>
        <v>SI</v>
      </c>
      <c r="AR157" s="63" t="str">
        <f>IFERROR(VLOOKUP(Table2[[#This Row],[Contraente]],Table1[[Nome/Ragione sociale]:[Checkbox selezionato]],12,FALSE),"-")</f>
        <v>SI</v>
      </c>
    </row>
    <row r="158" spans="1:44" ht="30" hidden="1" customHeight="1" x14ac:dyDescent="0.25">
      <c r="A158" s="60" t="str">
        <f>UPPER(LEFT(Table2[[#This Row],[Contraente]],1))</f>
        <v>B</v>
      </c>
      <c r="B158" s="60" t="s">
        <v>1634</v>
      </c>
      <c r="C158" s="81" t="s">
        <v>366</v>
      </c>
      <c r="D158" s="80" t="s">
        <v>37</v>
      </c>
      <c r="E158" s="86">
        <v>106352834</v>
      </c>
      <c r="F158" s="64">
        <v>42724</v>
      </c>
      <c r="G158" s="64">
        <f>IFERROR(CALCOLASCADENZA(Table2[[#This Row],[Data attivazione]],Table2[[#This Row],[Rateizzazione]],Table2[[#This Row],[Data ultimo pagamento]],Table2[[#This Row],[Data prossima scadenza manuale]]),"-")</f>
        <v>43089</v>
      </c>
      <c r="H158" s="67" t="s">
        <v>31</v>
      </c>
      <c r="I158" s="67" t="s">
        <v>1198</v>
      </c>
      <c r="J158" s="33">
        <f>IFERROR(Table2[[#This Row],[Importo annuale]]/(12/VLOOKUP(Table2[[#This Row],[Rateizzazione]],TIPI_RATEIZZAZIONI,2,FALSE)),"-")</f>
        <v>1018.7</v>
      </c>
      <c r="K158" s="88"/>
      <c r="L158" s="88">
        <v>1018.7</v>
      </c>
      <c r="M158" s="67" t="s">
        <v>44</v>
      </c>
      <c r="N158" s="67" t="s">
        <v>51</v>
      </c>
      <c r="O158" s="27" t="s">
        <v>1631</v>
      </c>
      <c r="P158" s="33" t="s">
        <v>23</v>
      </c>
      <c r="Q158" s="60">
        <f>IFERROR(IF(12 / VLOOKUP(Table2[[#This Row],[Rateizzazione]],TIPI_RATEIZZAZIONI,2,FALSE) &gt;=1,  IF(Table2[[#This Row],[Data attivazione]] = "","-",MONTH(Table2[[#This Row],[Data attivazione]])),"-"),"-")</f>
        <v>12</v>
      </c>
      <c r="R1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8" s="67" t="s">
        <v>2</v>
      </c>
      <c r="V158" s="62"/>
      <c r="W158" s="64">
        <v>42724</v>
      </c>
      <c r="X158" s="29">
        <f>DATE(YEAR(Table2[[#This Row],[Data attivazione]])+VLOOKUP(Table2[[#This Row],[Durata]],VALORE_DURATA,2,FALSE),MONTH(Table2[[#This Row],[Data attivazione]]),DAY(Table2[[#This Row],[Data attivazione]]))</f>
        <v>43089</v>
      </c>
      <c r="Y158" s="65"/>
      <c r="Z158" s="61"/>
      <c r="AA158" s="64" t="s">
        <v>85</v>
      </c>
      <c r="AB158" s="29" t="str">
        <f>IF(Table2[[#This Row],[Data ultimo versamento temp]]=0/1/1900,"-",Table2[[#This Row],[Data ultimo versamento temp]])</f>
        <v>-</v>
      </c>
      <c r="AC158" s="29">
        <f t="array" ref="AC158">MAX(IF(TableVersamenti[Polizza]=Table2[[#This Row],[Polizza]],TableVersamenti[Data prevista versamento],"-"))</f>
        <v>0</v>
      </c>
      <c r="AD158" s="62"/>
      <c r="AE158" s="106">
        <f>DATE(YEAR(Table2[[#This Row],[Data ultimo pagamento]]),MONTH(Table2[[#This Row],[Data ultimo pagamento]]), 1)</f>
        <v>42705</v>
      </c>
      <c r="AF158" s="106">
        <f>DATE(YEAR(Table2[[#This Row],[Data prossima scadenza]]),MONTH(Table2[[#This Row],[Data prossima scadenza]]), 1)</f>
        <v>43070</v>
      </c>
      <c r="AG158" s="33">
        <f>IFERROR(Table2[[#This Row],[Importo annuale]]*VLOOKUP(Table2[[#This Row],[Ramo]],RAMI_POLIZZA,2,FALSE),0)</f>
        <v>52.9724</v>
      </c>
      <c r="AH158" s="65" t="s">
        <v>113</v>
      </c>
      <c r="AI158" s="63" t="str">
        <f>IFERROR(VLOOKUP(Table2[[#This Row],[Contraente]],Table1[[Nome/Ragione sociale]:[Checkbox selezionato]],2,FALSE),"-")</f>
        <v xml:space="preserve">BORNASCO </v>
      </c>
      <c r="AJ158" s="63">
        <f>IFERROR(VLOOKUP(Table2[[#This Row],[Contraente]],Table1[[Nome/Ragione sociale]:[Checkbox selezionato]],3,FALSE),"-")</f>
        <v>335245118</v>
      </c>
      <c r="AK158" s="63">
        <f>IFERROR(VLOOKUP(Table2[[#This Row],[Contraente]],Table1[[Nome/Ragione sociale]:[Checkbox selezionato]],4,FALSE),"-")</f>
        <v>0</v>
      </c>
      <c r="AL158" s="63" t="str">
        <f>IFERROR(VLOOKUP(Table2[[#This Row],[Contraente]],Table1[[Nome/Ragione sociale]:[Checkbox selezionato]],5,FALSE),"-")</f>
        <v>RENATO</v>
      </c>
      <c r="AM158" s="62">
        <f>IFERROR(VLOOKUP(Table2[[#This Row],[Contraente]],Table1[[Nome/Ragione sociale]:[Checkbox selezionato]],6,FALSE),"-")</f>
        <v>21095</v>
      </c>
      <c r="AN158" s="63" t="str">
        <f>IFERROR(VLOOKUP(Table2[[#This Row],[Contraente]],Table1[[Nome/Ragione sociale]:[Checkbox selezionato]],7,FALSE),"-")</f>
        <v>papies@libero.it</v>
      </c>
      <c r="AO158" s="63">
        <f>IFERROR(VLOOKUP(Table2[[#This Row],[Contraente]],Table1[[Nome/Ragione sociale]:[Checkbox selezionato]],8,FALSE),"-")</f>
        <v>0</v>
      </c>
      <c r="AP158" s="63">
        <f>IFERROR(VLOOKUP(Table2[[#This Row],[Contraente]],Table1[[Nome/Ragione sociale]:[Checkbox selezionato]],10,FALSE),"-")</f>
        <v>335245118</v>
      </c>
      <c r="AQ158" s="63" t="str">
        <f>IFERROR(VLOOKUP(Table2[[#This Row],[Contraente]],Table1[[Nome/Ragione sociale]:[Checkbox selezionato]],11,FALSE),"-")</f>
        <v>SI</v>
      </c>
      <c r="AR158" s="63" t="str">
        <f>IFERROR(VLOOKUP(Table2[[#This Row],[Contraente]],Table1[[Nome/Ragione sociale]:[Checkbox selezionato]],12,FALSE),"-")</f>
        <v>SI</v>
      </c>
    </row>
    <row r="159" spans="1:44" ht="30" hidden="1" customHeight="1" x14ac:dyDescent="0.25">
      <c r="A159" s="60" t="str">
        <f>UPPER(LEFT(Table2[[#This Row],[Contraente]],1))</f>
        <v>B</v>
      </c>
      <c r="B159" s="60" t="s">
        <v>1634</v>
      </c>
      <c r="C159" s="81" t="s">
        <v>366</v>
      </c>
      <c r="D159" s="80" t="s">
        <v>37</v>
      </c>
      <c r="E159" s="86">
        <v>106078143</v>
      </c>
      <c r="F159" s="64">
        <v>42643</v>
      </c>
      <c r="G159" s="64">
        <f>IFERROR(CALCOLASCADENZA(Table2[[#This Row],[Data attivazione]],Table2[[#This Row],[Rateizzazione]],Table2[[#This Row],[Data ultimo pagamento]],Table2[[#This Row],[Data prossima scadenza manuale]]),"-")</f>
        <v>43002</v>
      </c>
      <c r="H159" s="67" t="s">
        <v>31</v>
      </c>
      <c r="I159" s="67" t="s">
        <v>1199</v>
      </c>
      <c r="J159" s="33">
        <f>IFERROR(Table2[[#This Row],[Importo annuale]]/(12/VLOOKUP(Table2[[#This Row],[Rateizzazione]],TIPI_RATEIZZAZIONI,2,FALSE)),"-")</f>
        <v>960</v>
      </c>
      <c r="K159" s="88"/>
      <c r="L159" s="88">
        <v>960</v>
      </c>
      <c r="M159" s="67" t="s">
        <v>44</v>
      </c>
      <c r="N159" s="67" t="s">
        <v>51</v>
      </c>
      <c r="O159" s="27" t="s">
        <v>1631</v>
      </c>
      <c r="P159" s="33" t="s">
        <v>23</v>
      </c>
      <c r="Q159" s="60">
        <f>IFERROR(IF(12 / VLOOKUP(Table2[[#This Row],[Rateizzazione]],TIPI_RATEIZZAZIONI,2,FALSE) &gt;=1,  IF(Table2[[#This Row],[Data attivazione]] = "","-",MONTH(Table2[[#This Row],[Data attivazione]])),"-"),"-")</f>
        <v>9</v>
      </c>
      <c r="R1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9" s="67" t="s">
        <v>2</v>
      </c>
      <c r="V159" s="62"/>
      <c r="W159" s="64">
        <v>42637</v>
      </c>
      <c r="X159" s="29">
        <f>DATE(YEAR(Table2[[#This Row],[Data attivazione]])+VLOOKUP(Table2[[#This Row],[Durata]],VALORE_DURATA,2,FALSE),MONTH(Table2[[#This Row],[Data attivazione]]),DAY(Table2[[#This Row],[Data attivazione]]))</f>
        <v>43002</v>
      </c>
      <c r="Y159" s="65"/>
      <c r="Z159" s="61"/>
      <c r="AA159" s="64" t="s">
        <v>85</v>
      </c>
      <c r="AB159" s="29" t="str">
        <f>IF(Table2[[#This Row],[Data ultimo versamento temp]]=0/1/1900,"-",Table2[[#This Row],[Data ultimo versamento temp]])</f>
        <v>-</v>
      </c>
      <c r="AC159" s="29">
        <f t="array" ref="AC159">MAX(IF(TableVersamenti[Polizza]=Table2[[#This Row],[Polizza]],TableVersamenti[Data prevista versamento],"-"))</f>
        <v>0</v>
      </c>
      <c r="AD159" s="62"/>
      <c r="AE159" s="106">
        <f>DATE(YEAR(Table2[[#This Row],[Data ultimo pagamento]]),MONTH(Table2[[#This Row],[Data ultimo pagamento]]), 1)</f>
        <v>42614</v>
      </c>
      <c r="AF159" s="106">
        <f>DATE(YEAR(Table2[[#This Row],[Data prossima scadenza]]),MONTH(Table2[[#This Row],[Data prossima scadenza]]), 1)</f>
        <v>42979</v>
      </c>
      <c r="AG159" s="33">
        <f>IFERROR(Table2[[#This Row],[Importo annuale]]*VLOOKUP(Table2[[#This Row],[Ramo]],RAMI_POLIZZA,2,FALSE),0)</f>
        <v>49.919999999999995</v>
      </c>
      <c r="AH159" s="65" t="s">
        <v>113</v>
      </c>
      <c r="AI159" s="63" t="str">
        <f>IFERROR(VLOOKUP(Table2[[#This Row],[Contraente]],Table1[[Nome/Ragione sociale]:[Checkbox selezionato]],2,FALSE),"-")</f>
        <v xml:space="preserve">BORNASCO </v>
      </c>
      <c r="AJ159" s="63">
        <f>IFERROR(VLOOKUP(Table2[[#This Row],[Contraente]],Table1[[Nome/Ragione sociale]:[Checkbox selezionato]],3,FALSE),"-")</f>
        <v>335245118</v>
      </c>
      <c r="AK159" s="63">
        <f>IFERROR(VLOOKUP(Table2[[#This Row],[Contraente]],Table1[[Nome/Ragione sociale]:[Checkbox selezionato]],4,FALSE),"-")</f>
        <v>0</v>
      </c>
      <c r="AL159" s="63" t="str">
        <f>IFERROR(VLOOKUP(Table2[[#This Row],[Contraente]],Table1[[Nome/Ragione sociale]:[Checkbox selezionato]],5,FALSE),"-")</f>
        <v>RENATO</v>
      </c>
      <c r="AM159" s="62">
        <f>IFERROR(VLOOKUP(Table2[[#This Row],[Contraente]],Table1[[Nome/Ragione sociale]:[Checkbox selezionato]],6,FALSE),"-")</f>
        <v>21095</v>
      </c>
      <c r="AN159" s="63" t="str">
        <f>IFERROR(VLOOKUP(Table2[[#This Row],[Contraente]],Table1[[Nome/Ragione sociale]:[Checkbox selezionato]],7,FALSE),"-")</f>
        <v>papies@libero.it</v>
      </c>
      <c r="AO159" s="63">
        <f>IFERROR(VLOOKUP(Table2[[#This Row],[Contraente]],Table1[[Nome/Ragione sociale]:[Checkbox selezionato]],8,FALSE),"-")</f>
        <v>0</v>
      </c>
      <c r="AP159" s="63">
        <f>IFERROR(VLOOKUP(Table2[[#This Row],[Contraente]],Table1[[Nome/Ragione sociale]:[Checkbox selezionato]],10,FALSE),"-")</f>
        <v>335245118</v>
      </c>
      <c r="AQ159" s="63" t="str">
        <f>IFERROR(VLOOKUP(Table2[[#This Row],[Contraente]],Table1[[Nome/Ragione sociale]:[Checkbox selezionato]],11,FALSE),"-")</f>
        <v>SI</v>
      </c>
      <c r="AR159" s="63" t="str">
        <f>IFERROR(VLOOKUP(Table2[[#This Row],[Contraente]],Table1[[Nome/Ragione sociale]:[Checkbox selezionato]],12,FALSE),"-")</f>
        <v>SI</v>
      </c>
    </row>
    <row r="160" spans="1:44" ht="30" hidden="1" customHeight="1" x14ac:dyDescent="0.25">
      <c r="A160" s="60" t="str">
        <f>UPPER(LEFT(Table2[[#This Row],[Contraente]],1))</f>
        <v>B</v>
      </c>
      <c r="B160" s="60" t="s">
        <v>1634</v>
      </c>
      <c r="C160" s="81" t="s">
        <v>366</v>
      </c>
      <c r="D160" s="80" t="s">
        <v>37</v>
      </c>
      <c r="E160" s="86">
        <v>106317609</v>
      </c>
      <c r="F160" s="64">
        <v>42716</v>
      </c>
      <c r="G160" s="64">
        <f>IFERROR(CALCOLASCADENZA(Table2[[#This Row],[Data attivazione]],Table2[[#This Row],[Rateizzazione]],Table2[[#This Row],[Data ultimo pagamento]],Table2[[#This Row],[Data prossima scadenza manuale]]),"-")</f>
        <v>43081</v>
      </c>
      <c r="H160" s="67" t="s">
        <v>30</v>
      </c>
      <c r="I160" s="67" t="s">
        <v>113</v>
      </c>
      <c r="J160" s="33">
        <f>IFERROR(Table2[[#This Row],[Importo annuale]]/(12/VLOOKUP(Table2[[#This Row],[Rateizzazione]],TIPI_RATEIZZAZIONI,2,FALSE)),"-")</f>
        <v>382</v>
      </c>
      <c r="K160" s="88"/>
      <c r="L160" s="88">
        <v>382</v>
      </c>
      <c r="M160" s="67" t="s">
        <v>44</v>
      </c>
      <c r="N160" s="67" t="s">
        <v>51</v>
      </c>
      <c r="O160" s="27" t="s">
        <v>1631</v>
      </c>
      <c r="P160" s="33" t="s">
        <v>23</v>
      </c>
      <c r="Q160" s="60">
        <f>IFERROR(IF(12 / VLOOKUP(Table2[[#This Row],[Rateizzazione]],TIPI_RATEIZZAZIONI,2,FALSE) &gt;=1,  IF(Table2[[#This Row],[Data attivazione]] = "","-",MONTH(Table2[[#This Row],[Data attivazione]])),"-"),"-")</f>
        <v>12</v>
      </c>
      <c r="R1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0" s="67" t="s">
        <v>2</v>
      </c>
      <c r="V160" s="62"/>
      <c r="W160" s="64">
        <v>42716</v>
      </c>
      <c r="X160" s="29">
        <f>DATE(YEAR(Table2[[#This Row],[Data attivazione]])+VLOOKUP(Table2[[#This Row],[Durata]],VALORE_DURATA,2,FALSE),MONTH(Table2[[#This Row],[Data attivazione]]),DAY(Table2[[#This Row],[Data attivazione]]))</f>
        <v>43081</v>
      </c>
      <c r="Y160" s="65"/>
      <c r="Z160" s="61"/>
      <c r="AA160" s="64" t="s">
        <v>85</v>
      </c>
      <c r="AB160" s="29" t="str">
        <f>IF(Table2[[#This Row],[Data ultimo versamento temp]]=0/1/1900,"-",Table2[[#This Row],[Data ultimo versamento temp]])</f>
        <v>-</v>
      </c>
      <c r="AC160" s="29">
        <f t="array" ref="AC160">MAX(IF(TableVersamenti[Polizza]=Table2[[#This Row],[Polizza]],TableVersamenti[Data prevista versamento],"-"))</f>
        <v>0</v>
      </c>
      <c r="AD160" s="62"/>
      <c r="AE160" s="106">
        <f>DATE(YEAR(Table2[[#This Row],[Data ultimo pagamento]]),MONTH(Table2[[#This Row],[Data ultimo pagamento]]), 1)</f>
        <v>42705</v>
      </c>
      <c r="AF160" s="106">
        <f>DATE(YEAR(Table2[[#This Row],[Data prossima scadenza]]),MONTH(Table2[[#This Row],[Data prossima scadenza]]), 1)</f>
        <v>43070</v>
      </c>
      <c r="AG160" s="33">
        <f>IFERROR(Table2[[#This Row],[Importo annuale]]*VLOOKUP(Table2[[#This Row],[Ramo]],RAMI_POLIZZA,2,FALSE),0)</f>
        <v>43.93</v>
      </c>
      <c r="AH160" s="65" t="s">
        <v>113</v>
      </c>
      <c r="AI160" s="63" t="str">
        <f>IFERROR(VLOOKUP(Table2[[#This Row],[Contraente]],Table1[[Nome/Ragione sociale]:[Checkbox selezionato]],2,FALSE),"-")</f>
        <v xml:space="preserve">BORNASCO </v>
      </c>
      <c r="AJ160" s="63">
        <f>IFERROR(VLOOKUP(Table2[[#This Row],[Contraente]],Table1[[Nome/Ragione sociale]:[Checkbox selezionato]],3,FALSE),"-")</f>
        <v>335245118</v>
      </c>
      <c r="AK160" s="63">
        <f>IFERROR(VLOOKUP(Table2[[#This Row],[Contraente]],Table1[[Nome/Ragione sociale]:[Checkbox selezionato]],4,FALSE),"-")</f>
        <v>0</v>
      </c>
      <c r="AL160" s="63" t="str">
        <f>IFERROR(VLOOKUP(Table2[[#This Row],[Contraente]],Table1[[Nome/Ragione sociale]:[Checkbox selezionato]],5,FALSE),"-")</f>
        <v>RENATO</v>
      </c>
      <c r="AM160" s="62">
        <f>IFERROR(VLOOKUP(Table2[[#This Row],[Contraente]],Table1[[Nome/Ragione sociale]:[Checkbox selezionato]],6,FALSE),"-")</f>
        <v>21095</v>
      </c>
      <c r="AN160" s="63" t="str">
        <f>IFERROR(VLOOKUP(Table2[[#This Row],[Contraente]],Table1[[Nome/Ragione sociale]:[Checkbox selezionato]],7,FALSE),"-")</f>
        <v>papies@libero.it</v>
      </c>
      <c r="AO160" s="63">
        <f>IFERROR(VLOOKUP(Table2[[#This Row],[Contraente]],Table1[[Nome/Ragione sociale]:[Checkbox selezionato]],8,FALSE),"-")</f>
        <v>0</v>
      </c>
      <c r="AP160" s="63">
        <f>IFERROR(VLOOKUP(Table2[[#This Row],[Contraente]],Table1[[Nome/Ragione sociale]:[Checkbox selezionato]],10,FALSE),"-")</f>
        <v>335245118</v>
      </c>
      <c r="AQ160" s="63" t="str">
        <f>IFERROR(VLOOKUP(Table2[[#This Row],[Contraente]],Table1[[Nome/Ragione sociale]:[Checkbox selezionato]],11,FALSE),"-")</f>
        <v>SI</v>
      </c>
      <c r="AR160" s="63" t="str">
        <f>IFERROR(VLOOKUP(Table2[[#This Row],[Contraente]],Table1[[Nome/Ragione sociale]:[Checkbox selezionato]],12,FALSE),"-")</f>
        <v>SI</v>
      </c>
    </row>
    <row r="161" spans="1:44" ht="30" hidden="1" customHeight="1" x14ac:dyDescent="0.25">
      <c r="A161" s="60" t="str">
        <f>UPPER(LEFT(Table2[[#This Row],[Contraente]],1))</f>
        <v>B</v>
      </c>
      <c r="B161" s="60" t="s">
        <v>1634</v>
      </c>
      <c r="C161" s="81" t="s">
        <v>366</v>
      </c>
      <c r="D161" s="80" t="s">
        <v>37</v>
      </c>
      <c r="E161" s="86">
        <v>104866438</v>
      </c>
      <c r="F161" s="64">
        <v>42643</v>
      </c>
      <c r="G161" s="64">
        <f>IFERROR(CALCOLASCADENZA(Table2[[#This Row],[Data attivazione]],Table2[[#This Row],[Rateizzazione]],Table2[[#This Row],[Data ultimo pagamento]],Table2[[#This Row],[Data prossima scadenza manuale]]),"-")</f>
        <v>43006</v>
      </c>
      <c r="H161" s="67" t="s">
        <v>30</v>
      </c>
      <c r="I161" s="67" t="s">
        <v>113</v>
      </c>
      <c r="J161" s="33">
        <f>IFERROR(Table2[[#This Row],[Importo annuale]]/(12/VLOOKUP(Table2[[#This Row],[Rateizzazione]],TIPI_RATEIZZAZIONI,2,FALSE)),"-")</f>
        <v>1500</v>
      </c>
      <c r="K161" s="88"/>
      <c r="L161" s="88">
        <v>1500</v>
      </c>
      <c r="M161" s="67" t="s">
        <v>44</v>
      </c>
      <c r="N161" s="67" t="s">
        <v>51</v>
      </c>
      <c r="O161" s="27" t="s">
        <v>1631</v>
      </c>
      <c r="P161" s="33" t="s">
        <v>23</v>
      </c>
      <c r="Q161" s="60">
        <f>IFERROR(IF(12 / VLOOKUP(Table2[[#This Row],[Rateizzazione]],TIPI_RATEIZZAZIONI,2,FALSE) &gt;=1,  IF(Table2[[#This Row],[Data attivazione]] = "","-",MONTH(Table2[[#This Row],[Data attivazione]])),"-"),"-")</f>
        <v>9</v>
      </c>
      <c r="R1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1" s="67" t="s">
        <v>2</v>
      </c>
      <c r="V161" s="62"/>
      <c r="W161" s="64">
        <v>42641</v>
      </c>
      <c r="X161" s="29">
        <f>DATE(YEAR(Table2[[#This Row],[Data attivazione]])+VLOOKUP(Table2[[#This Row],[Durata]],VALORE_DURATA,2,FALSE),MONTH(Table2[[#This Row],[Data attivazione]]),DAY(Table2[[#This Row],[Data attivazione]]))</f>
        <v>43006</v>
      </c>
      <c r="Y161" s="65"/>
      <c r="Z161" s="61"/>
      <c r="AA161" s="64" t="s">
        <v>85</v>
      </c>
      <c r="AB161" s="29" t="str">
        <f>IF(Table2[[#This Row],[Data ultimo versamento temp]]=0/1/1900,"-",Table2[[#This Row],[Data ultimo versamento temp]])</f>
        <v>-</v>
      </c>
      <c r="AC161" s="29">
        <f t="array" ref="AC161">MAX(IF(TableVersamenti[Polizza]=Table2[[#This Row],[Polizza]],TableVersamenti[Data prevista versamento],"-"))</f>
        <v>0</v>
      </c>
      <c r="AD161" s="62"/>
      <c r="AE161" s="106">
        <f>DATE(YEAR(Table2[[#This Row],[Data ultimo pagamento]]),MONTH(Table2[[#This Row],[Data ultimo pagamento]]), 1)</f>
        <v>42614</v>
      </c>
      <c r="AF161" s="106">
        <f>DATE(YEAR(Table2[[#This Row],[Data prossima scadenza]]),MONTH(Table2[[#This Row],[Data prossima scadenza]]), 1)</f>
        <v>42979</v>
      </c>
      <c r="AG161" s="33">
        <f>IFERROR(Table2[[#This Row],[Importo annuale]]*VLOOKUP(Table2[[#This Row],[Ramo]],RAMI_POLIZZA,2,FALSE),0)</f>
        <v>172.5</v>
      </c>
      <c r="AH161" s="65" t="s">
        <v>113</v>
      </c>
      <c r="AI161" s="63" t="str">
        <f>IFERROR(VLOOKUP(Table2[[#This Row],[Contraente]],Table1[[Nome/Ragione sociale]:[Checkbox selezionato]],2,FALSE),"-")</f>
        <v xml:space="preserve">BORNASCO </v>
      </c>
      <c r="AJ161" s="63">
        <f>IFERROR(VLOOKUP(Table2[[#This Row],[Contraente]],Table1[[Nome/Ragione sociale]:[Checkbox selezionato]],3,FALSE),"-")</f>
        <v>335245118</v>
      </c>
      <c r="AK161" s="63">
        <f>IFERROR(VLOOKUP(Table2[[#This Row],[Contraente]],Table1[[Nome/Ragione sociale]:[Checkbox selezionato]],4,FALSE),"-")</f>
        <v>0</v>
      </c>
      <c r="AL161" s="63" t="str">
        <f>IFERROR(VLOOKUP(Table2[[#This Row],[Contraente]],Table1[[Nome/Ragione sociale]:[Checkbox selezionato]],5,FALSE),"-")</f>
        <v>RENATO</v>
      </c>
      <c r="AM161" s="62">
        <f>IFERROR(VLOOKUP(Table2[[#This Row],[Contraente]],Table1[[Nome/Ragione sociale]:[Checkbox selezionato]],6,FALSE),"-")</f>
        <v>21095</v>
      </c>
      <c r="AN161" s="63" t="str">
        <f>IFERROR(VLOOKUP(Table2[[#This Row],[Contraente]],Table1[[Nome/Ragione sociale]:[Checkbox selezionato]],7,FALSE),"-")</f>
        <v>papies@libero.it</v>
      </c>
      <c r="AO161" s="63">
        <f>IFERROR(VLOOKUP(Table2[[#This Row],[Contraente]],Table1[[Nome/Ragione sociale]:[Checkbox selezionato]],8,FALSE),"-")</f>
        <v>0</v>
      </c>
      <c r="AP161" s="63">
        <f>IFERROR(VLOOKUP(Table2[[#This Row],[Contraente]],Table1[[Nome/Ragione sociale]:[Checkbox selezionato]],10,FALSE),"-")</f>
        <v>335245118</v>
      </c>
      <c r="AQ161" s="63" t="str">
        <f>IFERROR(VLOOKUP(Table2[[#This Row],[Contraente]],Table1[[Nome/Ragione sociale]:[Checkbox selezionato]],11,FALSE),"-")</f>
        <v>SI</v>
      </c>
      <c r="AR161" s="63" t="str">
        <f>IFERROR(VLOOKUP(Table2[[#This Row],[Contraente]],Table1[[Nome/Ragione sociale]:[Checkbox selezionato]],12,FALSE),"-")</f>
        <v>SI</v>
      </c>
    </row>
    <row r="162" spans="1:44" ht="30" hidden="1" customHeight="1" x14ac:dyDescent="0.25">
      <c r="A162" s="60" t="str">
        <f>UPPER(LEFT(Table2[[#This Row],[Contraente]],1))</f>
        <v>B</v>
      </c>
      <c r="B162" s="60" t="s">
        <v>1634</v>
      </c>
      <c r="C162" s="81" t="s">
        <v>366</v>
      </c>
      <c r="D162" s="80" t="s">
        <v>37</v>
      </c>
      <c r="E162" s="86">
        <v>1025312</v>
      </c>
      <c r="F162" s="64">
        <v>42643</v>
      </c>
      <c r="G162" s="64">
        <f>IFERROR(CALCOLASCADENZA(Table2[[#This Row],[Data attivazione]],Table2[[#This Row],[Rateizzazione]],Table2[[#This Row],[Data ultimo pagamento]],Table2[[#This Row],[Data prossima scadenza manuale]]),"-")</f>
        <v>43002</v>
      </c>
      <c r="H162" s="67" t="s">
        <v>32</v>
      </c>
      <c r="I162" s="67" t="s">
        <v>113</v>
      </c>
      <c r="J162" s="33">
        <f>IFERROR(Table2[[#This Row],[Importo annuale]]/(12/VLOOKUP(Table2[[#This Row],[Rateizzazione]],TIPI_RATEIZZAZIONI,2,FALSE)),"-")</f>
        <v>120</v>
      </c>
      <c r="K162" s="88"/>
      <c r="L162" s="88">
        <v>120</v>
      </c>
      <c r="M162" s="67" t="s">
        <v>44</v>
      </c>
      <c r="N162" s="67" t="s">
        <v>51</v>
      </c>
      <c r="O162" s="27" t="s">
        <v>1632</v>
      </c>
      <c r="P162" s="33" t="s">
        <v>23</v>
      </c>
      <c r="Q162" s="60">
        <f>IFERROR(IF(12 / VLOOKUP(Table2[[#This Row],[Rateizzazione]],TIPI_RATEIZZAZIONI,2,FALSE) &gt;=1,  IF(Table2[[#This Row],[Data attivazione]] = "","-",MONTH(Table2[[#This Row],[Data attivazione]])),"-"),"-")</f>
        <v>9</v>
      </c>
      <c r="R1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2" s="67" t="s">
        <v>2</v>
      </c>
      <c r="V162" s="62"/>
      <c r="W162" s="64">
        <v>39349</v>
      </c>
      <c r="X162" s="29">
        <f>DATE(YEAR(Table2[[#This Row],[Data attivazione]])+VLOOKUP(Table2[[#This Row],[Durata]],VALORE_DURATA,2,FALSE),MONTH(Table2[[#This Row],[Data attivazione]]),DAY(Table2[[#This Row],[Data attivazione]]))</f>
        <v>43002</v>
      </c>
      <c r="Y162" s="65"/>
      <c r="Z162" s="61"/>
      <c r="AA162" s="64" t="s">
        <v>85</v>
      </c>
      <c r="AB162" s="29" t="str">
        <f>IF(Table2[[#This Row],[Data ultimo versamento temp]]=0/1/1900,"-",Table2[[#This Row],[Data ultimo versamento temp]])</f>
        <v>-</v>
      </c>
      <c r="AC162" s="29">
        <f t="array" ref="AC162">MAX(IF(TableVersamenti[Polizza]=Table2[[#This Row],[Polizza]],TableVersamenti[Data prevista versamento],"-"))</f>
        <v>0</v>
      </c>
      <c r="AD162" s="62"/>
      <c r="AE162" s="106">
        <f>DATE(YEAR(Table2[[#This Row],[Data ultimo pagamento]]),MONTH(Table2[[#This Row],[Data ultimo pagamento]]), 1)</f>
        <v>42614</v>
      </c>
      <c r="AF162" s="106">
        <f>DATE(YEAR(Table2[[#This Row],[Data prossima scadenza]]),MONTH(Table2[[#This Row],[Data prossima scadenza]]), 1)</f>
        <v>42979</v>
      </c>
      <c r="AG162" s="33">
        <f>IFERROR(Table2[[#This Row],[Importo annuale]]*VLOOKUP(Table2[[#This Row],[Ramo]],RAMI_POLIZZA,2,FALSE),0)</f>
        <v>1.7999999999999998</v>
      </c>
      <c r="AH162" s="65" t="s">
        <v>113</v>
      </c>
      <c r="AI162" s="63" t="str">
        <f>IFERROR(VLOOKUP(Table2[[#This Row],[Contraente]],Table1[[Nome/Ragione sociale]:[Checkbox selezionato]],2,FALSE),"-")</f>
        <v xml:space="preserve">BORNASCO </v>
      </c>
      <c r="AJ162" s="63">
        <f>IFERROR(VLOOKUP(Table2[[#This Row],[Contraente]],Table1[[Nome/Ragione sociale]:[Checkbox selezionato]],3,FALSE),"-")</f>
        <v>335245118</v>
      </c>
      <c r="AK162" s="63">
        <f>IFERROR(VLOOKUP(Table2[[#This Row],[Contraente]],Table1[[Nome/Ragione sociale]:[Checkbox selezionato]],4,FALSE),"-")</f>
        <v>0</v>
      </c>
      <c r="AL162" s="63" t="str">
        <f>IFERROR(VLOOKUP(Table2[[#This Row],[Contraente]],Table1[[Nome/Ragione sociale]:[Checkbox selezionato]],5,FALSE),"-")</f>
        <v>RENATO</v>
      </c>
      <c r="AM162" s="62">
        <f>IFERROR(VLOOKUP(Table2[[#This Row],[Contraente]],Table1[[Nome/Ragione sociale]:[Checkbox selezionato]],6,FALSE),"-")</f>
        <v>21095</v>
      </c>
      <c r="AN162" s="63" t="str">
        <f>IFERROR(VLOOKUP(Table2[[#This Row],[Contraente]],Table1[[Nome/Ragione sociale]:[Checkbox selezionato]],7,FALSE),"-")</f>
        <v>papies@libero.it</v>
      </c>
      <c r="AO162" s="63">
        <f>IFERROR(VLOOKUP(Table2[[#This Row],[Contraente]],Table1[[Nome/Ragione sociale]:[Checkbox selezionato]],8,FALSE),"-")</f>
        <v>0</v>
      </c>
      <c r="AP162" s="63">
        <f>IFERROR(VLOOKUP(Table2[[#This Row],[Contraente]],Table1[[Nome/Ragione sociale]:[Checkbox selezionato]],10,FALSE),"-")</f>
        <v>335245118</v>
      </c>
      <c r="AQ162" s="63" t="str">
        <f>IFERROR(VLOOKUP(Table2[[#This Row],[Contraente]],Table1[[Nome/Ragione sociale]:[Checkbox selezionato]],11,FALSE),"-")</f>
        <v>SI</v>
      </c>
      <c r="AR162" s="63" t="str">
        <f>IFERROR(VLOOKUP(Table2[[#This Row],[Contraente]],Table1[[Nome/Ragione sociale]:[Checkbox selezionato]],12,FALSE),"-")</f>
        <v>SI</v>
      </c>
    </row>
    <row r="163" spans="1:44" ht="30" hidden="1" customHeight="1" x14ac:dyDescent="0.25">
      <c r="A163" s="60" t="str">
        <f>UPPER(LEFT(Table2[[#This Row],[Contraente]],1))</f>
        <v>B</v>
      </c>
      <c r="B163" s="60" t="s">
        <v>1634</v>
      </c>
      <c r="C163" s="81" t="s">
        <v>374</v>
      </c>
      <c r="D163" s="80" t="s">
        <v>37</v>
      </c>
      <c r="E163" s="86">
        <v>106708307</v>
      </c>
      <c r="F163" s="64">
        <v>42830</v>
      </c>
      <c r="G163" s="64">
        <f>IFERROR(CALCOLASCADENZA(Table2[[#This Row],[Data attivazione]],Table2[[#This Row],[Rateizzazione]],Table2[[#This Row],[Data ultimo pagamento]],Table2[[#This Row],[Data prossima scadenza manuale]]),"-")</f>
        <v>43209</v>
      </c>
      <c r="H163" s="67" t="s">
        <v>31</v>
      </c>
      <c r="I163" s="67" t="s">
        <v>1201</v>
      </c>
      <c r="J163" s="33">
        <f>IFERROR(Table2[[#This Row],[Importo annuale]]/(12/VLOOKUP(Table2[[#This Row],[Rateizzazione]],TIPI_RATEIZZAZIONI,2,FALSE)),"-")</f>
        <v>1200</v>
      </c>
      <c r="K163" s="88">
        <v>1200</v>
      </c>
      <c r="L163" s="88">
        <v>1200</v>
      </c>
      <c r="M163" s="67" t="s">
        <v>44</v>
      </c>
      <c r="N163" s="67" t="s">
        <v>51</v>
      </c>
      <c r="O163" s="27" t="s">
        <v>1631</v>
      </c>
      <c r="P163" s="33" t="s">
        <v>23</v>
      </c>
      <c r="Q163" s="60">
        <f>IFERROR(IF(12 / VLOOKUP(Table2[[#This Row],[Rateizzazione]],TIPI_RATEIZZAZIONI,2,FALSE) &gt;=1,  IF(Table2[[#This Row],[Data attivazione]] = "","-",MONTH(Table2[[#This Row],[Data attivazione]])),"-"),"-")</f>
        <v>4</v>
      </c>
      <c r="R1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3" s="67" t="s">
        <v>2</v>
      </c>
      <c r="V163" s="62"/>
      <c r="W163" s="64">
        <v>42844</v>
      </c>
      <c r="X163" s="29">
        <f>DATE(YEAR(Table2[[#This Row],[Data attivazione]])+VLOOKUP(Table2[[#This Row],[Durata]],VALORE_DURATA,2,FALSE),MONTH(Table2[[#This Row],[Data attivazione]]),DAY(Table2[[#This Row],[Data attivazione]]))</f>
        <v>43209</v>
      </c>
      <c r="Y163" s="65"/>
      <c r="Z163" s="61"/>
      <c r="AA163" s="64" t="s">
        <v>85</v>
      </c>
      <c r="AB163" s="29" t="str">
        <f>IF(Table2[[#This Row],[Data ultimo versamento temp]]=0/1/1900,"-",Table2[[#This Row],[Data ultimo versamento temp]])</f>
        <v>-</v>
      </c>
      <c r="AC163" s="29">
        <f t="array" ref="AC163">MAX(IF(TableVersamenti[Polizza]=Table2[[#This Row],[Polizza]],TableVersamenti[Data prevista versamento],"-"))</f>
        <v>0</v>
      </c>
      <c r="AD163" s="62"/>
      <c r="AE163" s="106">
        <f>DATE(YEAR(Table2[[#This Row],[Data ultimo pagamento]]),MONTH(Table2[[#This Row],[Data ultimo pagamento]]), 1)</f>
        <v>42826</v>
      </c>
      <c r="AF163" s="106">
        <f>DATE(YEAR(Table2[[#This Row],[Data prossima scadenza]]),MONTH(Table2[[#This Row],[Data prossima scadenza]]), 1)</f>
        <v>43191</v>
      </c>
      <c r="AG163" s="33">
        <f>IFERROR(Table2[[#This Row],[Importo annuale]]*VLOOKUP(Table2[[#This Row],[Ramo]],RAMI_POLIZZA,2,FALSE),0)</f>
        <v>62.4</v>
      </c>
      <c r="AH163" s="65" t="s">
        <v>113</v>
      </c>
      <c r="AI163" s="63" t="str">
        <f>IFERROR(VLOOKUP(Table2[[#This Row],[Contraente]],Table1[[Nome/Ragione sociale]:[Checkbox selezionato]],2,FALSE),"-")</f>
        <v>PAVIA</v>
      </c>
      <c r="AJ163" s="63">
        <f>IFERROR(VLOOKUP(Table2[[#This Row],[Contraente]],Table1[[Nome/Ragione sociale]:[Checkbox selezionato]],3,FALSE),"-")</f>
        <v>3356855885</v>
      </c>
      <c r="AK163" s="63">
        <f>IFERROR(VLOOKUP(Table2[[#This Row],[Contraente]],Table1[[Nome/Ragione sociale]:[Checkbox selezionato]],4,FALSE),"-")</f>
        <v>0</v>
      </c>
      <c r="AL163" s="63" t="str">
        <f>IFERROR(VLOOKUP(Table2[[#This Row],[Contraente]],Table1[[Nome/Ragione sociale]:[Checkbox selezionato]],5,FALSE),"-")</f>
        <v>GIUSEPPE</v>
      </c>
      <c r="AM163" s="62">
        <f>IFERROR(VLOOKUP(Table2[[#This Row],[Contraente]],Table1[[Nome/Ragione sociale]:[Checkbox selezionato]],6,FALSE),"-")</f>
        <v>19962</v>
      </c>
      <c r="AN163" s="63" t="str">
        <f>IFERROR(VLOOKUP(Table2[[#This Row],[Contraente]],Table1[[Nome/Ragione sociale]:[Checkbox selezionato]],7,FALSE),"-")</f>
        <v>papies@email.it</v>
      </c>
      <c r="AO163" s="63">
        <f>IFERROR(VLOOKUP(Table2[[#This Row],[Contraente]],Table1[[Nome/Ragione sociale]:[Checkbox selezionato]],8,FALSE),"-")</f>
        <v>0</v>
      </c>
      <c r="AP163" s="63">
        <f>IFERROR(VLOOKUP(Table2[[#This Row],[Contraente]],Table1[[Nome/Ragione sociale]:[Checkbox selezionato]],10,FALSE),"-")</f>
        <v>3356855885</v>
      </c>
      <c r="AQ163" s="63" t="str">
        <f>IFERROR(VLOOKUP(Table2[[#This Row],[Contraente]],Table1[[Nome/Ragione sociale]:[Checkbox selezionato]],11,FALSE),"-")</f>
        <v>SI</v>
      </c>
      <c r="AR163" s="63" t="str">
        <f>IFERROR(VLOOKUP(Table2[[#This Row],[Contraente]],Table1[[Nome/Ragione sociale]:[Checkbox selezionato]],12,FALSE),"-")</f>
        <v>SI</v>
      </c>
    </row>
    <row r="164" spans="1:44" ht="30" hidden="1" customHeight="1" x14ac:dyDescent="0.25">
      <c r="A164" s="60" t="str">
        <f>UPPER(LEFT(Table2[[#This Row],[Contraente]],1))</f>
        <v>B</v>
      </c>
      <c r="B164" s="60" t="s">
        <v>1634</v>
      </c>
      <c r="C164" s="81" t="s">
        <v>374</v>
      </c>
      <c r="D164" s="80" t="s">
        <v>37</v>
      </c>
      <c r="E164" s="86">
        <v>106708375</v>
      </c>
      <c r="F164" s="64">
        <v>42830</v>
      </c>
      <c r="G164" s="64">
        <f>IFERROR(CALCOLASCADENZA(Table2[[#This Row],[Data attivazione]],Table2[[#This Row],[Rateizzazione]],Table2[[#This Row],[Data ultimo pagamento]],Table2[[#This Row],[Data prossima scadenza manuale]]),"-")</f>
        <v>43209</v>
      </c>
      <c r="H164" s="67" t="s">
        <v>30</v>
      </c>
      <c r="I164" s="67" t="s">
        <v>113</v>
      </c>
      <c r="J164" s="33">
        <f>IFERROR(Table2[[#This Row],[Importo annuale]]/(12/VLOOKUP(Table2[[#This Row],[Rateizzazione]],TIPI_RATEIZZAZIONI,2,FALSE)),"-")</f>
        <v>82</v>
      </c>
      <c r="K164" s="88">
        <v>82</v>
      </c>
      <c r="L164" s="88">
        <v>82</v>
      </c>
      <c r="M164" s="67" t="s">
        <v>44</v>
      </c>
      <c r="N164" s="67" t="s">
        <v>52</v>
      </c>
      <c r="O164" s="27" t="s">
        <v>1631</v>
      </c>
      <c r="P164" s="33" t="s">
        <v>23</v>
      </c>
      <c r="Q164" s="60">
        <f>IFERROR(IF(12 / VLOOKUP(Table2[[#This Row],[Rateizzazione]],TIPI_RATEIZZAZIONI,2,FALSE) &gt;=1,  IF(Table2[[#This Row],[Data attivazione]] = "","-",MONTH(Table2[[#This Row],[Data attivazione]])),"-"),"-")</f>
        <v>4</v>
      </c>
      <c r="R1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4" s="67" t="s">
        <v>2</v>
      </c>
      <c r="V164" s="62"/>
      <c r="W164" s="64">
        <v>42844</v>
      </c>
      <c r="X164" s="29">
        <f>DATE(YEAR(Table2[[#This Row],[Data attivazione]])+VLOOKUP(Table2[[#This Row],[Durata]],VALORE_DURATA,2,FALSE),MONTH(Table2[[#This Row],[Data attivazione]]),DAY(Table2[[#This Row],[Data attivazione]]))</f>
        <v>43209</v>
      </c>
      <c r="Y164" s="65"/>
      <c r="Z164" s="61"/>
      <c r="AA164" s="64" t="s">
        <v>85</v>
      </c>
      <c r="AB164" s="29" t="str">
        <f>IF(Table2[[#This Row],[Data ultimo versamento temp]]=0/1/1900,"-",Table2[[#This Row],[Data ultimo versamento temp]])</f>
        <v>-</v>
      </c>
      <c r="AC164" s="29">
        <f t="array" ref="AC164">MAX(IF(TableVersamenti[Polizza]=Table2[[#This Row],[Polizza]],TableVersamenti[Data prevista versamento],"-"))</f>
        <v>0</v>
      </c>
      <c r="AD164" s="62"/>
      <c r="AE164" s="106">
        <f>DATE(YEAR(Table2[[#This Row],[Data ultimo pagamento]]),MONTH(Table2[[#This Row],[Data ultimo pagamento]]), 1)</f>
        <v>42826</v>
      </c>
      <c r="AF164" s="106">
        <f>DATE(YEAR(Table2[[#This Row],[Data prossima scadenza]]),MONTH(Table2[[#This Row],[Data prossima scadenza]]), 1)</f>
        <v>43191</v>
      </c>
      <c r="AG164" s="33">
        <f>IFERROR(Table2[[#This Row],[Importo annuale]]*VLOOKUP(Table2[[#This Row],[Ramo]],RAMI_POLIZZA,2,FALSE),0)</f>
        <v>9.43</v>
      </c>
      <c r="AH164" s="65" t="s">
        <v>113</v>
      </c>
      <c r="AI164" s="63" t="str">
        <f>IFERROR(VLOOKUP(Table2[[#This Row],[Contraente]],Table1[[Nome/Ragione sociale]:[Checkbox selezionato]],2,FALSE),"-")</f>
        <v>PAVIA</v>
      </c>
      <c r="AJ164" s="63">
        <f>IFERROR(VLOOKUP(Table2[[#This Row],[Contraente]],Table1[[Nome/Ragione sociale]:[Checkbox selezionato]],3,FALSE),"-")</f>
        <v>3356855885</v>
      </c>
      <c r="AK164" s="63">
        <f>IFERROR(VLOOKUP(Table2[[#This Row],[Contraente]],Table1[[Nome/Ragione sociale]:[Checkbox selezionato]],4,FALSE),"-")</f>
        <v>0</v>
      </c>
      <c r="AL164" s="63" t="str">
        <f>IFERROR(VLOOKUP(Table2[[#This Row],[Contraente]],Table1[[Nome/Ragione sociale]:[Checkbox selezionato]],5,FALSE),"-")</f>
        <v>GIUSEPPE</v>
      </c>
      <c r="AM164" s="62">
        <f>IFERROR(VLOOKUP(Table2[[#This Row],[Contraente]],Table1[[Nome/Ragione sociale]:[Checkbox selezionato]],6,FALSE),"-")</f>
        <v>19962</v>
      </c>
      <c r="AN164" s="63" t="str">
        <f>IFERROR(VLOOKUP(Table2[[#This Row],[Contraente]],Table1[[Nome/Ragione sociale]:[Checkbox selezionato]],7,FALSE),"-")</f>
        <v>papies@email.it</v>
      </c>
      <c r="AO164" s="63">
        <f>IFERROR(VLOOKUP(Table2[[#This Row],[Contraente]],Table1[[Nome/Ragione sociale]:[Checkbox selezionato]],8,FALSE),"-")</f>
        <v>0</v>
      </c>
      <c r="AP164" s="63">
        <f>IFERROR(VLOOKUP(Table2[[#This Row],[Contraente]],Table1[[Nome/Ragione sociale]:[Checkbox selezionato]],10,FALSE),"-")</f>
        <v>3356855885</v>
      </c>
      <c r="AQ164" s="63" t="str">
        <f>IFERROR(VLOOKUP(Table2[[#This Row],[Contraente]],Table1[[Nome/Ragione sociale]:[Checkbox selezionato]],11,FALSE),"-")</f>
        <v>SI</v>
      </c>
      <c r="AR164" s="63" t="str">
        <f>IFERROR(VLOOKUP(Table2[[#This Row],[Contraente]],Table1[[Nome/Ragione sociale]:[Checkbox selezionato]],12,FALSE),"-")</f>
        <v>SI</v>
      </c>
    </row>
    <row r="165" spans="1:44" ht="30" hidden="1" customHeight="1" x14ac:dyDescent="0.25">
      <c r="A165" s="60" t="str">
        <f>UPPER(LEFT(Table2[[#This Row],[Contraente]],1))</f>
        <v>B</v>
      </c>
      <c r="B165" s="60" t="s">
        <v>1634</v>
      </c>
      <c r="C165" s="81" t="s">
        <v>369</v>
      </c>
      <c r="D165" s="80" t="s">
        <v>37</v>
      </c>
      <c r="E165" s="86">
        <v>102687331</v>
      </c>
      <c r="F165" s="64">
        <v>42745</v>
      </c>
      <c r="G165" s="64">
        <f>IFERROR(CALCOLASCADENZA(Table2[[#This Row],[Data attivazione]],Table2[[#This Row],[Rateizzazione]],Table2[[#This Row],[Data ultimo pagamento]],Table2[[#This Row],[Data prossima scadenza manuale]]),"-")</f>
        <v>43113</v>
      </c>
      <c r="H165" s="67" t="s">
        <v>30</v>
      </c>
      <c r="I165" s="67" t="s">
        <v>113</v>
      </c>
      <c r="J165" s="33">
        <f>IFERROR(Table2[[#This Row],[Importo annuale]]/(12/VLOOKUP(Table2[[#This Row],[Rateizzazione]],TIPI_RATEIZZAZIONI,2,FALSE)),"-")</f>
        <v>101</v>
      </c>
      <c r="K165" s="88">
        <v>101</v>
      </c>
      <c r="L165" s="88">
        <v>101</v>
      </c>
      <c r="M165" s="67" t="s">
        <v>44</v>
      </c>
      <c r="N165" s="67" t="s">
        <v>51</v>
      </c>
      <c r="O165" s="27" t="s">
        <v>1631</v>
      </c>
      <c r="P165" s="33" t="s">
        <v>23</v>
      </c>
      <c r="Q165" s="60">
        <f>IFERROR(IF(12 / VLOOKUP(Table2[[#This Row],[Rateizzazione]],TIPI_RATEIZZAZIONI,2,FALSE) &gt;=1,  IF(Table2[[#This Row],[Data attivazione]] = "","-",MONTH(Table2[[#This Row],[Data attivazione]])),"-"),"-")</f>
        <v>1</v>
      </c>
      <c r="R1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5" s="67" t="s">
        <v>2</v>
      </c>
      <c r="V165" s="62"/>
      <c r="W165" s="64">
        <v>42748</v>
      </c>
      <c r="X165" s="29">
        <f>DATE(YEAR(Table2[[#This Row],[Data attivazione]])+VLOOKUP(Table2[[#This Row],[Durata]],VALORE_DURATA,2,FALSE),MONTH(Table2[[#This Row],[Data attivazione]]),DAY(Table2[[#This Row],[Data attivazione]]))</f>
        <v>43113</v>
      </c>
      <c r="Y165" s="65"/>
      <c r="Z165" s="61"/>
      <c r="AA165" s="64" t="s">
        <v>85</v>
      </c>
      <c r="AB165" s="29" t="str">
        <f>IF(Table2[[#This Row],[Data ultimo versamento temp]]=0/1/1900,"-",Table2[[#This Row],[Data ultimo versamento temp]])</f>
        <v>-</v>
      </c>
      <c r="AC165" s="29">
        <f t="array" ref="AC165">MAX(IF(TableVersamenti[Polizza]=Table2[[#This Row],[Polizza]],TableVersamenti[Data prevista versamento],"-"))</f>
        <v>0</v>
      </c>
      <c r="AD165" s="62"/>
      <c r="AE165" s="106">
        <f>DATE(YEAR(Table2[[#This Row],[Data ultimo pagamento]]),MONTH(Table2[[#This Row],[Data ultimo pagamento]]), 1)</f>
        <v>42736</v>
      </c>
      <c r="AF165" s="106">
        <f>DATE(YEAR(Table2[[#This Row],[Data prossima scadenza]]),MONTH(Table2[[#This Row],[Data prossima scadenza]]), 1)</f>
        <v>43101</v>
      </c>
      <c r="AG165" s="33">
        <f>IFERROR(Table2[[#This Row],[Importo annuale]]*VLOOKUP(Table2[[#This Row],[Ramo]],RAMI_POLIZZA,2,FALSE),0)</f>
        <v>11.615</v>
      </c>
      <c r="AH165" s="65" t="s">
        <v>113</v>
      </c>
      <c r="AI165" s="63" t="str">
        <f>IFERROR(VLOOKUP(Table2[[#This Row],[Contraente]],Table1[[Nome/Ragione sociale]:[Checkbox selezionato]],2,FALSE),"-")</f>
        <v>BELGIOIOSO</v>
      </c>
      <c r="AJ165" s="63">
        <f>IFERROR(VLOOKUP(Table2[[#This Row],[Contraente]],Table1[[Nome/Ragione sociale]:[Checkbox selezionato]],3,FALSE),"-")</f>
        <v>3401202342</v>
      </c>
      <c r="AK165" s="63" t="str">
        <f>IFERROR(VLOOKUP(Table2[[#This Row],[Contraente]],Table1[[Nome/Ragione sociale]:[Checkbox selezionato]],4,FALSE),"-")</f>
        <v>.0382970246</v>
      </c>
      <c r="AL165" s="63" t="str">
        <f>IFERROR(VLOOKUP(Table2[[#This Row],[Contraente]],Table1[[Nome/Ragione sociale]:[Checkbox selezionato]],5,FALSE),"-")</f>
        <v>ABELE</v>
      </c>
      <c r="AM165" s="62">
        <f>IFERROR(VLOOKUP(Table2[[#This Row],[Contraente]],Table1[[Nome/Ragione sociale]:[Checkbox selezionato]],6,FALSE),"-")</f>
        <v>16847</v>
      </c>
      <c r="AN165" s="63" t="str">
        <f>IFERROR(VLOOKUP(Table2[[#This Row],[Contraente]],Table1[[Nome/Ragione sociale]:[Checkbox selezionato]],7,FALSE),"-")</f>
        <v>papies@libero.it</v>
      </c>
      <c r="AO165" s="63">
        <f>IFERROR(VLOOKUP(Table2[[#This Row],[Contraente]],Table1[[Nome/Ragione sociale]:[Checkbox selezionato]],8,FALSE),"-")</f>
        <v>0</v>
      </c>
      <c r="AP165" s="63">
        <f>IFERROR(VLOOKUP(Table2[[#This Row],[Contraente]],Table1[[Nome/Ragione sociale]:[Checkbox selezionato]],10,FALSE),"-")</f>
        <v>3401202342</v>
      </c>
      <c r="AQ165" s="63" t="str">
        <f>IFERROR(VLOOKUP(Table2[[#This Row],[Contraente]],Table1[[Nome/Ragione sociale]:[Checkbox selezionato]],11,FALSE),"-")</f>
        <v>SI</v>
      </c>
      <c r="AR165" s="63" t="str">
        <f>IFERROR(VLOOKUP(Table2[[#This Row],[Contraente]],Table1[[Nome/Ragione sociale]:[Checkbox selezionato]],12,FALSE),"-")</f>
        <v>SI</v>
      </c>
    </row>
    <row r="166" spans="1:44" ht="30" hidden="1" customHeight="1" x14ac:dyDescent="0.25">
      <c r="A166" s="60" t="str">
        <f>UPPER(LEFT(Table2[[#This Row],[Contraente]],1))</f>
        <v>B</v>
      </c>
      <c r="B166" s="60" t="s">
        <v>1634</v>
      </c>
      <c r="C166" s="81" t="s">
        <v>369</v>
      </c>
      <c r="D166" s="80" t="s">
        <v>37</v>
      </c>
      <c r="E166" s="86">
        <v>106404504</v>
      </c>
      <c r="F166" s="64">
        <v>42745</v>
      </c>
      <c r="G166" s="64">
        <f>IFERROR(CALCOLASCADENZA(Table2[[#This Row],[Data attivazione]],Table2[[#This Row],[Rateizzazione]],Table2[[#This Row],[Data ultimo pagamento]],Table2[[#This Row],[Data prossima scadenza manuale]]),"-")</f>
        <v>43113</v>
      </c>
      <c r="H166" s="67" t="s">
        <v>31</v>
      </c>
      <c r="I166" s="67" t="s">
        <v>1200</v>
      </c>
      <c r="J166" s="33">
        <f>IFERROR(Table2[[#This Row],[Importo annuale]]/(12/VLOOKUP(Table2[[#This Row],[Rateizzazione]],TIPI_RATEIZZAZIONI,2,FALSE)),"-")</f>
        <v>530</v>
      </c>
      <c r="K166" s="88">
        <v>530</v>
      </c>
      <c r="L166" s="88">
        <v>530</v>
      </c>
      <c r="M166" s="67" t="s">
        <v>44</v>
      </c>
      <c r="N166" s="67" t="s">
        <v>51</v>
      </c>
      <c r="O166" s="27" t="s">
        <v>1631</v>
      </c>
      <c r="P166" s="33" t="s">
        <v>23</v>
      </c>
      <c r="Q166" s="60">
        <f>IFERROR(IF(12 / VLOOKUP(Table2[[#This Row],[Rateizzazione]],TIPI_RATEIZZAZIONI,2,FALSE) &gt;=1,  IF(Table2[[#This Row],[Data attivazione]] = "","-",MONTH(Table2[[#This Row],[Data attivazione]])),"-"),"-")</f>
        <v>1</v>
      </c>
      <c r="R1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6" s="67" t="s">
        <v>2</v>
      </c>
      <c r="V166" s="62"/>
      <c r="W166" s="64">
        <v>42748</v>
      </c>
      <c r="X166" s="29">
        <f>DATE(YEAR(Table2[[#This Row],[Data attivazione]])+VLOOKUP(Table2[[#This Row],[Durata]],VALORE_DURATA,2,FALSE),MONTH(Table2[[#This Row],[Data attivazione]]),DAY(Table2[[#This Row],[Data attivazione]]))</f>
        <v>43113</v>
      </c>
      <c r="Y166" s="65"/>
      <c r="Z166" s="61"/>
      <c r="AA166" s="64" t="s">
        <v>85</v>
      </c>
      <c r="AB166" s="29" t="str">
        <f>IF(Table2[[#This Row],[Data ultimo versamento temp]]=0/1/1900,"-",Table2[[#This Row],[Data ultimo versamento temp]])</f>
        <v>-</v>
      </c>
      <c r="AC166" s="29">
        <f t="array" ref="AC166">MAX(IF(TableVersamenti[Polizza]=Table2[[#This Row],[Polizza]],TableVersamenti[Data prevista versamento],"-"))</f>
        <v>0</v>
      </c>
      <c r="AD166" s="62"/>
      <c r="AE166" s="106">
        <f>DATE(YEAR(Table2[[#This Row],[Data ultimo pagamento]]),MONTH(Table2[[#This Row],[Data ultimo pagamento]]), 1)</f>
        <v>42736</v>
      </c>
      <c r="AF166" s="106">
        <f>DATE(YEAR(Table2[[#This Row],[Data prossima scadenza]]),MONTH(Table2[[#This Row],[Data prossima scadenza]]), 1)</f>
        <v>43101</v>
      </c>
      <c r="AG166" s="33">
        <f>IFERROR(Table2[[#This Row],[Importo annuale]]*VLOOKUP(Table2[[#This Row],[Ramo]],RAMI_POLIZZA,2,FALSE),0)</f>
        <v>27.56</v>
      </c>
      <c r="AH166" s="65" t="s">
        <v>113</v>
      </c>
      <c r="AI166" s="63" t="str">
        <f>IFERROR(VLOOKUP(Table2[[#This Row],[Contraente]],Table1[[Nome/Ragione sociale]:[Checkbox selezionato]],2,FALSE),"-")</f>
        <v>BELGIOIOSO</v>
      </c>
      <c r="AJ166" s="63">
        <f>IFERROR(VLOOKUP(Table2[[#This Row],[Contraente]],Table1[[Nome/Ragione sociale]:[Checkbox selezionato]],3,FALSE),"-")</f>
        <v>3401202342</v>
      </c>
      <c r="AK166" s="63" t="str">
        <f>IFERROR(VLOOKUP(Table2[[#This Row],[Contraente]],Table1[[Nome/Ragione sociale]:[Checkbox selezionato]],4,FALSE),"-")</f>
        <v>.0382970246</v>
      </c>
      <c r="AL166" s="63" t="str">
        <f>IFERROR(VLOOKUP(Table2[[#This Row],[Contraente]],Table1[[Nome/Ragione sociale]:[Checkbox selezionato]],5,FALSE),"-")</f>
        <v>ABELE</v>
      </c>
      <c r="AM166" s="62">
        <f>IFERROR(VLOOKUP(Table2[[#This Row],[Contraente]],Table1[[Nome/Ragione sociale]:[Checkbox selezionato]],6,FALSE),"-")</f>
        <v>16847</v>
      </c>
      <c r="AN166" s="63" t="str">
        <f>IFERROR(VLOOKUP(Table2[[#This Row],[Contraente]],Table1[[Nome/Ragione sociale]:[Checkbox selezionato]],7,FALSE),"-")</f>
        <v>papies@libero.it</v>
      </c>
      <c r="AO166" s="63">
        <f>IFERROR(VLOOKUP(Table2[[#This Row],[Contraente]],Table1[[Nome/Ragione sociale]:[Checkbox selezionato]],8,FALSE),"-")</f>
        <v>0</v>
      </c>
      <c r="AP166" s="63">
        <f>IFERROR(VLOOKUP(Table2[[#This Row],[Contraente]],Table1[[Nome/Ragione sociale]:[Checkbox selezionato]],10,FALSE),"-")</f>
        <v>3401202342</v>
      </c>
      <c r="AQ166" s="63" t="str">
        <f>IFERROR(VLOOKUP(Table2[[#This Row],[Contraente]],Table1[[Nome/Ragione sociale]:[Checkbox selezionato]],11,FALSE),"-")</f>
        <v>SI</v>
      </c>
      <c r="AR166" s="63" t="str">
        <f>IFERROR(VLOOKUP(Table2[[#This Row],[Contraente]],Table1[[Nome/Ragione sociale]:[Checkbox selezionato]],12,FALSE),"-")</f>
        <v>SI</v>
      </c>
    </row>
    <row r="167" spans="1:44" ht="30" hidden="1" customHeight="1" x14ac:dyDescent="0.25">
      <c r="A167" s="60" t="str">
        <f>UPPER(LEFT(Table2[[#This Row],[Contraente]],1))</f>
        <v>B</v>
      </c>
      <c r="B167" s="60" t="s">
        <v>1634</v>
      </c>
      <c r="C167" s="81" t="s">
        <v>369</v>
      </c>
      <c r="D167" s="80" t="s">
        <v>37</v>
      </c>
      <c r="E167" s="86">
        <v>105732591</v>
      </c>
      <c r="F167" s="64">
        <v>42899</v>
      </c>
      <c r="G167" s="64">
        <f>IFERROR(CALCOLASCADENZA(Table2[[#This Row],[Data attivazione]],Table2[[#This Row],[Rateizzazione]],Table2[[#This Row],[Data ultimo pagamento]],Table2[[#This Row],[Data prossima scadenza manuale]]),"-")</f>
        <v>43277</v>
      </c>
      <c r="H167" s="67" t="s">
        <v>30</v>
      </c>
      <c r="I167" s="67" t="s">
        <v>113</v>
      </c>
      <c r="J167" s="33">
        <f>IFERROR(Table2[[#This Row],[Importo annuale]]/(12/VLOOKUP(Table2[[#This Row],[Rateizzazione]],TIPI_RATEIZZAZIONI,2,FALSE)),"-")</f>
        <v>310</v>
      </c>
      <c r="K167" s="88">
        <v>310</v>
      </c>
      <c r="L167" s="88">
        <v>310</v>
      </c>
      <c r="M167" s="67" t="s">
        <v>44</v>
      </c>
      <c r="N167" s="67" t="s">
        <v>51</v>
      </c>
      <c r="O167" s="27" t="s">
        <v>1631</v>
      </c>
      <c r="P167" s="33" t="s">
        <v>23</v>
      </c>
      <c r="Q167" s="60">
        <f>IFERROR(IF(12 / VLOOKUP(Table2[[#This Row],[Rateizzazione]],TIPI_RATEIZZAZIONI,2,FALSE) &gt;=1,  IF(Table2[[#This Row],[Data attivazione]] = "","-",MONTH(Table2[[#This Row],[Data attivazione]])),"-"),"-")</f>
        <v>6</v>
      </c>
      <c r="R1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7" s="67" t="s">
        <v>2</v>
      </c>
      <c r="V167" s="62"/>
      <c r="W167" s="64">
        <v>42912</v>
      </c>
      <c r="X167" s="29">
        <f>DATE(YEAR(Table2[[#This Row],[Data attivazione]])+VLOOKUP(Table2[[#This Row],[Durata]],VALORE_DURATA,2,FALSE),MONTH(Table2[[#This Row],[Data attivazione]]),DAY(Table2[[#This Row],[Data attivazione]]))</f>
        <v>43277</v>
      </c>
      <c r="Y167" s="65"/>
      <c r="Z167" s="61"/>
      <c r="AA167" s="64" t="s">
        <v>85</v>
      </c>
      <c r="AB167" s="29" t="str">
        <f>IF(Table2[[#This Row],[Data ultimo versamento temp]]=0/1/1900,"-",Table2[[#This Row],[Data ultimo versamento temp]])</f>
        <v>-</v>
      </c>
      <c r="AC167" s="29">
        <f t="array" ref="AC167">MAX(IF(TableVersamenti[Polizza]=Table2[[#This Row],[Polizza]],TableVersamenti[Data prevista versamento],"-"))</f>
        <v>0</v>
      </c>
      <c r="AD167" s="62"/>
      <c r="AE167" s="106">
        <f>DATE(YEAR(Table2[[#This Row],[Data ultimo pagamento]]),MONTH(Table2[[#This Row],[Data ultimo pagamento]]), 1)</f>
        <v>42887</v>
      </c>
      <c r="AF167" s="106">
        <f>DATE(YEAR(Table2[[#This Row],[Data prossima scadenza]]),MONTH(Table2[[#This Row],[Data prossima scadenza]]), 1)</f>
        <v>43252</v>
      </c>
      <c r="AG167" s="33">
        <f>IFERROR(Table2[[#This Row],[Importo annuale]]*VLOOKUP(Table2[[#This Row],[Ramo]],RAMI_POLIZZA,2,FALSE),0)</f>
        <v>35.65</v>
      </c>
      <c r="AH167" s="65" t="s">
        <v>113</v>
      </c>
      <c r="AI167" s="63" t="str">
        <f>IFERROR(VLOOKUP(Table2[[#This Row],[Contraente]],Table1[[Nome/Ragione sociale]:[Checkbox selezionato]],2,FALSE),"-")</f>
        <v>BELGIOIOSO</v>
      </c>
      <c r="AJ167" s="63">
        <f>IFERROR(VLOOKUP(Table2[[#This Row],[Contraente]],Table1[[Nome/Ragione sociale]:[Checkbox selezionato]],3,FALSE),"-")</f>
        <v>3401202342</v>
      </c>
      <c r="AK167" s="63" t="str">
        <f>IFERROR(VLOOKUP(Table2[[#This Row],[Contraente]],Table1[[Nome/Ragione sociale]:[Checkbox selezionato]],4,FALSE),"-")</f>
        <v>.0382970246</v>
      </c>
      <c r="AL167" s="63" t="str">
        <f>IFERROR(VLOOKUP(Table2[[#This Row],[Contraente]],Table1[[Nome/Ragione sociale]:[Checkbox selezionato]],5,FALSE),"-")</f>
        <v>ABELE</v>
      </c>
      <c r="AM167" s="62">
        <f>IFERROR(VLOOKUP(Table2[[#This Row],[Contraente]],Table1[[Nome/Ragione sociale]:[Checkbox selezionato]],6,FALSE),"-")</f>
        <v>16847</v>
      </c>
      <c r="AN167" s="63" t="str">
        <f>IFERROR(VLOOKUP(Table2[[#This Row],[Contraente]],Table1[[Nome/Ragione sociale]:[Checkbox selezionato]],7,FALSE),"-")</f>
        <v>papies@libero.it</v>
      </c>
      <c r="AO167" s="63">
        <f>IFERROR(VLOOKUP(Table2[[#This Row],[Contraente]],Table1[[Nome/Ragione sociale]:[Checkbox selezionato]],8,FALSE),"-")</f>
        <v>0</v>
      </c>
      <c r="AP167" s="63">
        <f>IFERROR(VLOOKUP(Table2[[#This Row],[Contraente]],Table1[[Nome/Ragione sociale]:[Checkbox selezionato]],10,FALSE),"-")</f>
        <v>3401202342</v>
      </c>
      <c r="AQ167" s="63" t="str">
        <f>IFERROR(VLOOKUP(Table2[[#This Row],[Contraente]],Table1[[Nome/Ragione sociale]:[Checkbox selezionato]],11,FALSE),"-")</f>
        <v>SI</v>
      </c>
      <c r="AR167" s="63" t="str">
        <f>IFERROR(VLOOKUP(Table2[[#This Row],[Contraente]],Table1[[Nome/Ragione sociale]:[Checkbox selezionato]],12,FALSE),"-")</f>
        <v>SI</v>
      </c>
    </row>
    <row r="168" spans="1:44" ht="30" hidden="1" customHeight="1" x14ac:dyDescent="0.25">
      <c r="A168" s="60" t="str">
        <f>UPPER(LEFT(Table2[[#This Row],[Contraente]],1))</f>
        <v>B</v>
      </c>
      <c r="B168" s="60" t="s">
        <v>1634</v>
      </c>
      <c r="C168" s="81" t="s">
        <v>372</v>
      </c>
      <c r="D168" s="80" t="s">
        <v>37</v>
      </c>
      <c r="E168" s="86">
        <v>103917153</v>
      </c>
      <c r="F168" s="64">
        <v>42013</v>
      </c>
      <c r="G168" s="64">
        <f>IFERROR(CALCOLASCADENZA(Table2[[#This Row],[Data attivazione]],Table2[[#This Row],[Rateizzazione]],Table2[[#This Row],[Data ultimo pagamento]],Table2[[#This Row],[Data prossima scadenza manuale]]),"-")</f>
        <v>42013</v>
      </c>
      <c r="H168" s="67" t="s">
        <v>31</v>
      </c>
      <c r="I168" s="67"/>
      <c r="J168" s="33">
        <v>294</v>
      </c>
      <c r="K168" s="88"/>
      <c r="L168" s="88">
        <v>1374</v>
      </c>
      <c r="M168" s="67" t="s">
        <v>45</v>
      </c>
      <c r="N168" s="67" t="s">
        <v>52</v>
      </c>
      <c r="O168" s="27" t="s">
        <v>1631</v>
      </c>
      <c r="P168" s="33" t="s">
        <v>24</v>
      </c>
      <c r="Q16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8" s="67" t="s">
        <v>2</v>
      </c>
      <c r="V168" s="62"/>
      <c r="W168" s="64">
        <v>693597</v>
      </c>
      <c r="X168" s="29">
        <f>DATE(YEAR(Table2[[#This Row],[Data attivazione]])+VLOOKUP(Table2[[#This Row],[Durata]],VALORE_DURATA,2,FALSE),MONTH(Table2[[#This Row],[Data attivazione]]),DAY(Table2[[#This Row],[Data attivazione]]))</f>
        <v>693962</v>
      </c>
      <c r="Y168" s="65"/>
      <c r="Z168" s="61"/>
      <c r="AA168" s="64" t="s">
        <v>88</v>
      </c>
      <c r="AB168" s="29" t="str">
        <f>IF(Table2[[#This Row],[Data ultimo versamento temp]]=0/1/1900,"-",Table2[[#This Row],[Data ultimo versamento temp]])</f>
        <v>-</v>
      </c>
      <c r="AC168" s="29">
        <f t="array" ref="AC168">MAX(IF(TableVersamenti[Polizza]=Table2[[#This Row],[Polizza]],TableVersamenti[Data prevista versamento],"-"))</f>
        <v>0</v>
      </c>
      <c r="AD168" s="62"/>
      <c r="AE168" s="106">
        <f>DATE(YEAR(Table2[[#This Row],[Data ultimo pagamento]]),MONTH(Table2[[#This Row],[Data ultimo pagamento]]), 1)</f>
        <v>42005</v>
      </c>
      <c r="AF168" s="106">
        <f>DATE(YEAR(Table2[[#This Row],[Data prossima scadenza]]),MONTH(Table2[[#This Row],[Data prossima scadenza]]), 1)</f>
        <v>42005</v>
      </c>
      <c r="AG168" s="33">
        <f>IFERROR(Table2[[#This Row],[Importo annuale]]*VLOOKUP(Table2[[#This Row],[Ramo]],RAMI_POLIZZA,2,FALSE),0)</f>
        <v>71.447999999999993</v>
      </c>
      <c r="AH168" s="65" t="s">
        <v>113</v>
      </c>
      <c r="AI168" s="63" t="str">
        <f>IFERROR(VLOOKUP(Table2[[#This Row],[Contraente]],Table1[[Nome/Ragione sociale]:[Checkbox selezionato]],2,FALSE),"-")</f>
        <v>BELGIOIOSO</v>
      </c>
      <c r="AJ168" s="63">
        <f>IFERROR(VLOOKUP(Table2[[#This Row],[Contraente]],Table1[[Nome/Ragione sociale]:[Checkbox selezionato]],3,FALSE),"-")</f>
        <v>3385815835</v>
      </c>
      <c r="AK168" s="63">
        <f>IFERROR(VLOOKUP(Table2[[#This Row],[Contraente]],Table1[[Nome/Ragione sociale]:[Checkbox selezionato]],4,FALSE),"-")</f>
        <v>0</v>
      </c>
      <c r="AL168" s="63" t="str">
        <f>IFERROR(VLOOKUP(Table2[[#This Row],[Contraente]],Table1[[Nome/Ragione sociale]:[Checkbox selezionato]],5,FALSE),"-")</f>
        <v>ANDREA</v>
      </c>
      <c r="AM168" s="62">
        <f>IFERROR(VLOOKUP(Table2[[#This Row],[Contraente]],Table1[[Nome/Ragione sociale]:[Checkbox selezionato]],6,FALSE),"-")</f>
        <v>27460</v>
      </c>
      <c r="AN168" s="63" t="str">
        <f>IFERROR(VLOOKUP(Table2[[#This Row],[Contraente]],Table1[[Nome/Ragione sociale]:[Checkbox selezionato]],7,FALSE),"-")</f>
        <v>papies@libero.it</v>
      </c>
      <c r="AO168" s="63">
        <f>IFERROR(VLOOKUP(Table2[[#This Row],[Contraente]],Table1[[Nome/Ragione sociale]:[Checkbox selezionato]],8,FALSE),"-")</f>
        <v>0</v>
      </c>
      <c r="AP168" s="63">
        <f>IFERROR(VLOOKUP(Table2[[#This Row],[Contraente]],Table1[[Nome/Ragione sociale]:[Checkbox selezionato]],10,FALSE),"-")</f>
        <v>3385815835</v>
      </c>
      <c r="AQ168" s="63" t="str">
        <f>IFERROR(VLOOKUP(Table2[[#This Row],[Contraente]],Table1[[Nome/Ragione sociale]:[Checkbox selezionato]],11,FALSE),"-")</f>
        <v>SI</v>
      </c>
      <c r="AR168" s="63" t="str">
        <f>IFERROR(VLOOKUP(Table2[[#This Row],[Contraente]],Table1[[Nome/Ragione sociale]:[Checkbox selezionato]],12,FALSE),"-")</f>
        <v>SI</v>
      </c>
    </row>
    <row r="169" spans="1:44" ht="30" hidden="1" customHeight="1" x14ac:dyDescent="0.25">
      <c r="A169" s="60" t="str">
        <f>UPPER(LEFT(Table2[[#This Row],[Contraente]],1))</f>
        <v>B</v>
      </c>
      <c r="B169" s="60" t="s">
        <v>1634</v>
      </c>
      <c r="C169" s="81" t="s">
        <v>372</v>
      </c>
      <c r="D169" s="80" t="s">
        <v>37</v>
      </c>
      <c r="E169" s="86">
        <v>103478636</v>
      </c>
      <c r="F169" s="64">
        <v>42794</v>
      </c>
      <c r="G169" s="64">
        <f>IFERROR(CALCOLASCADENZA(Table2[[#This Row],[Data attivazione]],Table2[[#This Row],[Rateizzazione]],Table2[[#This Row],[Data ultimo pagamento]],Table2[[#This Row],[Data prossima scadenza manuale]]),"-")</f>
        <v>42975</v>
      </c>
      <c r="H169" s="67" t="s">
        <v>30</v>
      </c>
      <c r="I169" s="67" t="s">
        <v>113</v>
      </c>
      <c r="J169" s="33">
        <f>IFERROR(Table2[[#This Row],[Importo annuale]]/(12/VLOOKUP(Table2[[#This Row],[Rateizzazione]],TIPI_RATEIZZAZIONI,2,FALSE)),"-")</f>
        <v>198</v>
      </c>
      <c r="K169" s="88">
        <v>198</v>
      </c>
      <c r="L169" s="88">
        <v>396</v>
      </c>
      <c r="M169" s="67" t="s">
        <v>45</v>
      </c>
      <c r="N169" s="67" t="s">
        <v>51</v>
      </c>
      <c r="O169" s="27" t="s">
        <v>1632</v>
      </c>
      <c r="P169" s="33" t="s">
        <v>22</v>
      </c>
      <c r="Q169" s="60">
        <f>IFERROR(IF(12 / VLOOKUP(Table2[[#This Row],[Rateizzazione]],TIPI_RATEIZZAZIONI,2,FALSE) &gt;=1,  IF(Table2[[#This Row],[Data attivazione]] = "","-",MONTH(Table2[[#This Row],[Data attivazione]])),"-"),"-")</f>
        <v>8</v>
      </c>
      <c r="R1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9" s="67" t="s">
        <v>2</v>
      </c>
      <c r="V169" s="62"/>
      <c r="W169" s="64">
        <v>39323</v>
      </c>
      <c r="X169" s="29">
        <f>DATE(YEAR(Table2[[#This Row],[Data attivazione]])+VLOOKUP(Table2[[#This Row],[Durata]],VALORE_DURATA,2,FALSE),MONTH(Table2[[#This Row],[Data attivazione]]),DAY(Table2[[#This Row],[Data attivazione]]))</f>
        <v>42976</v>
      </c>
      <c r="Y169" s="65"/>
      <c r="Z169" s="61"/>
      <c r="AA169" s="64" t="s">
        <v>85</v>
      </c>
      <c r="AB169" s="29" t="str">
        <f>IF(Table2[[#This Row],[Data ultimo versamento temp]]=0/1/1900,"-",Table2[[#This Row],[Data ultimo versamento temp]])</f>
        <v>-</v>
      </c>
      <c r="AC169" s="29">
        <f t="array" ref="AC169">MAX(IF(TableVersamenti[Polizza]=Table2[[#This Row],[Polizza]],TableVersamenti[Data prevista versamento],"-"))</f>
        <v>0</v>
      </c>
      <c r="AD169" s="62"/>
      <c r="AE169" s="106">
        <f>DATE(YEAR(Table2[[#This Row],[Data ultimo pagamento]]),MONTH(Table2[[#This Row],[Data ultimo pagamento]]), 1)</f>
        <v>42767</v>
      </c>
      <c r="AF169" s="106">
        <f>DATE(YEAR(Table2[[#This Row],[Data prossima scadenza]]),MONTH(Table2[[#This Row],[Data prossima scadenza]]), 1)</f>
        <v>42948</v>
      </c>
      <c r="AG169" s="33">
        <f>IFERROR(Table2[[#This Row],[Importo annuale]]*VLOOKUP(Table2[[#This Row],[Ramo]],RAMI_POLIZZA,2,FALSE),0)</f>
        <v>45.54</v>
      </c>
      <c r="AH169" s="65" t="s">
        <v>113</v>
      </c>
      <c r="AI169" s="63" t="str">
        <f>IFERROR(VLOOKUP(Table2[[#This Row],[Contraente]],Table1[[Nome/Ragione sociale]:[Checkbox selezionato]],2,FALSE),"-")</f>
        <v>BELGIOIOSO</v>
      </c>
      <c r="AJ169" s="63">
        <f>IFERROR(VLOOKUP(Table2[[#This Row],[Contraente]],Table1[[Nome/Ragione sociale]:[Checkbox selezionato]],3,FALSE),"-")</f>
        <v>3385815835</v>
      </c>
      <c r="AK169" s="63">
        <f>IFERROR(VLOOKUP(Table2[[#This Row],[Contraente]],Table1[[Nome/Ragione sociale]:[Checkbox selezionato]],4,FALSE),"-")</f>
        <v>0</v>
      </c>
      <c r="AL169" s="63" t="str">
        <f>IFERROR(VLOOKUP(Table2[[#This Row],[Contraente]],Table1[[Nome/Ragione sociale]:[Checkbox selezionato]],5,FALSE),"-")</f>
        <v>ANDREA</v>
      </c>
      <c r="AM169" s="62">
        <f>IFERROR(VLOOKUP(Table2[[#This Row],[Contraente]],Table1[[Nome/Ragione sociale]:[Checkbox selezionato]],6,FALSE),"-")</f>
        <v>27460</v>
      </c>
      <c r="AN169" s="63" t="str">
        <f>IFERROR(VLOOKUP(Table2[[#This Row],[Contraente]],Table1[[Nome/Ragione sociale]:[Checkbox selezionato]],7,FALSE),"-")</f>
        <v>papies@libero.it</v>
      </c>
      <c r="AO169" s="63">
        <f>IFERROR(VLOOKUP(Table2[[#This Row],[Contraente]],Table1[[Nome/Ragione sociale]:[Checkbox selezionato]],8,FALSE),"-")</f>
        <v>0</v>
      </c>
      <c r="AP169" s="63">
        <f>IFERROR(VLOOKUP(Table2[[#This Row],[Contraente]],Table1[[Nome/Ragione sociale]:[Checkbox selezionato]],10,FALSE),"-")</f>
        <v>3385815835</v>
      </c>
      <c r="AQ169" s="63" t="str">
        <f>IFERROR(VLOOKUP(Table2[[#This Row],[Contraente]],Table1[[Nome/Ragione sociale]:[Checkbox selezionato]],11,FALSE),"-")</f>
        <v>SI</v>
      </c>
      <c r="AR169" s="63" t="str">
        <f>IFERROR(VLOOKUP(Table2[[#This Row],[Contraente]],Table1[[Nome/Ragione sociale]:[Checkbox selezionato]],12,FALSE),"-")</f>
        <v>SI</v>
      </c>
    </row>
    <row r="170" spans="1:44" ht="30" hidden="1" customHeight="1" x14ac:dyDescent="0.25">
      <c r="A170" s="60" t="str">
        <f>UPPER(LEFT(Table2[[#This Row],[Contraente]],1))</f>
        <v>B</v>
      </c>
      <c r="B170" s="60" t="s">
        <v>1634</v>
      </c>
      <c r="C170" s="81" t="s">
        <v>359</v>
      </c>
      <c r="D170" s="80" t="s">
        <v>37</v>
      </c>
      <c r="E170" s="86">
        <v>104144788</v>
      </c>
      <c r="F170" s="64">
        <v>42429</v>
      </c>
      <c r="G170" s="64">
        <f>IFERROR(CALCOLASCADENZA(Table2[[#This Row],[Data attivazione]],Table2[[#This Row],[Rateizzazione]],Table2[[#This Row],[Data ultimo pagamento]],Table2[[#This Row],[Data prossima scadenza manuale]]),"-")</f>
        <v>42788</v>
      </c>
      <c r="H170" s="67" t="s">
        <v>30</v>
      </c>
      <c r="I170" s="67" t="s">
        <v>113</v>
      </c>
      <c r="J170" s="33">
        <f>IFERROR(Table2[[#This Row],[Importo annuale]]/(12/VLOOKUP(Table2[[#This Row],[Rateizzazione]],TIPI_RATEIZZAZIONI,2,FALSE)),"-")</f>
        <v>61</v>
      </c>
      <c r="K170" s="88"/>
      <c r="L170" s="88">
        <v>61</v>
      </c>
      <c r="M170" s="67" t="s">
        <v>43</v>
      </c>
      <c r="N170" s="67" t="s">
        <v>51</v>
      </c>
      <c r="O170" s="27" t="s">
        <v>1631</v>
      </c>
      <c r="P170" s="33" t="s">
        <v>23</v>
      </c>
      <c r="Q170" s="60">
        <f>IFERROR(IF(12 / VLOOKUP(Table2[[#This Row],[Rateizzazione]],TIPI_RATEIZZAZIONI,2,FALSE) &gt;=1,  IF(Table2[[#This Row],[Data attivazione]] = "","-",MONTH(Table2[[#This Row],[Data attivazione]])),"-"),"-")</f>
        <v>2</v>
      </c>
      <c r="R1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0" s="67" t="s">
        <v>2</v>
      </c>
      <c r="V170" s="62"/>
      <c r="W170" s="64">
        <v>42422</v>
      </c>
      <c r="X170" s="29">
        <f>DATE(YEAR(Table2[[#This Row],[Data attivazione]])+VLOOKUP(Table2[[#This Row],[Durata]],VALORE_DURATA,2,FALSE),MONTH(Table2[[#This Row],[Data attivazione]]),DAY(Table2[[#This Row],[Data attivazione]]))</f>
        <v>42788</v>
      </c>
      <c r="Y170" s="65"/>
      <c r="Z170" s="61"/>
      <c r="AA170" s="64" t="s">
        <v>88</v>
      </c>
      <c r="AB170" s="29" t="str">
        <f>IF(Table2[[#This Row],[Data ultimo versamento temp]]=0/1/1900,"-",Table2[[#This Row],[Data ultimo versamento temp]])</f>
        <v>-</v>
      </c>
      <c r="AC170" s="29">
        <f t="array" ref="AC170">MAX(IF(TableVersamenti[Polizza]=Table2[[#This Row],[Polizza]],TableVersamenti[Data prevista versamento],"-"))</f>
        <v>0</v>
      </c>
      <c r="AD170" s="62"/>
      <c r="AE170" s="106">
        <f>DATE(YEAR(Table2[[#This Row],[Data ultimo pagamento]]),MONTH(Table2[[#This Row],[Data ultimo pagamento]]), 1)</f>
        <v>42401</v>
      </c>
      <c r="AF170" s="106">
        <f>DATE(YEAR(Table2[[#This Row],[Data prossima scadenza]]),MONTH(Table2[[#This Row],[Data prossima scadenza]]), 1)</f>
        <v>42767</v>
      </c>
      <c r="AG170" s="33">
        <f>IFERROR(Table2[[#This Row],[Importo annuale]]*VLOOKUP(Table2[[#This Row],[Ramo]],RAMI_POLIZZA,2,FALSE),0)</f>
        <v>7.0150000000000006</v>
      </c>
      <c r="AH170" s="65" t="s">
        <v>113</v>
      </c>
      <c r="AI170" s="63" t="str">
        <f>IFERROR(VLOOKUP(Table2[[#This Row],[Contraente]],Table1[[Nome/Ragione sociale]:[Checkbox selezionato]],2,FALSE),"-")</f>
        <v>PIEVE PORTO MORONE</v>
      </c>
      <c r="AJ170" s="63">
        <f>IFERROR(VLOOKUP(Table2[[#This Row],[Contraente]],Table1[[Nome/Ragione sociale]:[Checkbox selezionato]],3,FALSE),"-")</f>
        <v>3281788270</v>
      </c>
      <c r="AK170" s="63">
        <f>IFERROR(VLOOKUP(Table2[[#This Row],[Contraente]],Table1[[Nome/Ragione sociale]:[Checkbox selezionato]],4,FALSE),"-")</f>
        <v>0</v>
      </c>
      <c r="AL170" s="63" t="str">
        <f>IFERROR(VLOOKUP(Table2[[#This Row],[Contraente]],Table1[[Nome/Ragione sociale]:[Checkbox selezionato]],5,FALSE),"-")</f>
        <v>DANIEL</v>
      </c>
      <c r="AM170" s="62">
        <f>IFERROR(VLOOKUP(Table2[[#This Row],[Contraente]],Table1[[Nome/Ragione sociale]:[Checkbox selezionato]],6,FALSE),"-")</f>
        <v>31120</v>
      </c>
      <c r="AN170" s="63" t="str">
        <f>IFERROR(VLOOKUP(Table2[[#This Row],[Contraente]],Table1[[Nome/Ragione sociale]:[Checkbox selezionato]],7,FALSE),"-")</f>
        <v>papies@email.it</v>
      </c>
      <c r="AO170" s="63">
        <f>IFERROR(VLOOKUP(Table2[[#This Row],[Contraente]],Table1[[Nome/Ragione sociale]:[Checkbox selezionato]],8,FALSE),"-")</f>
        <v>0</v>
      </c>
      <c r="AP170" s="63">
        <f>IFERROR(VLOOKUP(Table2[[#This Row],[Contraente]],Table1[[Nome/Ragione sociale]:[Checkbox selezionato]],10,FALSE),"-")</f>
        <v>3281788270</v>
      </c>
      <c r="AQ170" s="63" t="str">
        <f>IFERROR(VLOOKUP(Table2[[#This Row],[Contraente]],Table1[[Nome/Ragione sociale]:[Checkbox selezionato]],11,FALSE),"-")</f>
        <v>SI</v>
      </c>
      <c r="AR170" s="63" t="str">
        <f>IFERROR(VLOOKUP(Table2[[#This Row],[Contraente]],Table1[[Nome/Ragione sociale]:[Checkbox selezionato]],12,FALSE),"-")</f>
        <v>SI</v>
      </c>
    </row>
    <row r="171" spans="1:44" ht="30" hidden="1" customHeight="1" x14ac:dyDescent="0.25">
      <c r="A171" s="60" t="str">
        <f>UPPER(LEFT(Table2[[#This Row],[Contraente]],1))</f>
        <v>B</v>
      </c>
      <c r="B171" s="60" t="s">
        <v>1634</v>
      </c>
      <c r="C171" s="47" t="s">
        <v>375</v>
      </c>
      <c r="D171" s="116" t="s">
        <v>37</v>
      </c>
      <c r="E171" s="99" t="s">
        <v>1837</v>
      </c>
      <c r="F171" s="109">
        <v>42933</v>
      </c>
      <c r="G171" s="64">
        <f>IFERROR(CALCOLASCADENZA(Table2[[#This Row],[Data attivazione]],Table2[[#This Row],[Rateizzazione]],Table2[[#This Row],[Data ultimo pagamento]],Table2[[#This Row],[Data prossima scadenza manuale]]),"-")</f>
        <v>43298</v>
      </c>
      <c r="H171" s="64" t="s">
        <v>31</v>
      </c>
      <c r="I171" s="64" t="s">
        <v>1838</v>
      </c>
      <c r="J171" s="92">
        <v>480</v>
      </c>
      <c r="K171" s="69">
        <v>480</v>
      </c>
      <c r="L171" s="69">
        <v>480</v>
      </c>
      <c r="M171" s="92" t="s">
        <v>43</v>
      </c>
      <c r="N171" s="92" t="s">
        <v>52</v>
      </c>
      <c r="O171" s="67" t="s">
        <v>1631</v>
      </c>
      <c r="P171" s="92" t="s">
        <v>23</v>
      </c>
      <c r="Q171" s="60">
        <f>IFERROR(IF(12 / VLOOKUP(Table2[[#This Row],[Rateizzazione]],TIPI_RATEIZZAZIONI,2,FALSE) &gt;=1,  IF(Table2[[#This Row],[Data attivazione]] = "","-",MONTH(Table2[[#This Row],[Data attivazione]])),"-"),"-")</f>
        <v>7</v>
      </c>
      <c r="R1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1" s="67" t="s">
        <v>133</v>
      </c>
      <c r="V171" s="62"/>
      <c r="W171" s="64">
        <v>42933</v>
      </c>
      <c r="X171" s="29">
        <f>DATE(YEAR(Table2[[#This Row],[Data attivazione]])+VLOOKUP(Table2[[#This Row],[Durata]],VALORE_DURATA,2,FALSE),MONTH(Table2[[#This Row],[Data attivazione]]),DAY(Table2[[#This Row],[Data attivazione]]))</f>
        <v>43298</v>
      </c>
      <c r="Y171" s="65"/>
      <c r="Z171" s="61"/>
      <c r="AA171" s="64"/>
      <c r="AB171" s="29" t="str">
        <f>IF(Table2[[#This Row],[Data ultimo versamento temp]]=0/1/1900,"-",Table2[[#This Row],[Data ultimo versamento temp]])</f>
        <v>-</v>
      </c>
      <c r="AC171" s="29">
        <f t="array" ref="AC171">MAX(IF(TableVersamenti[Polizza]=Table2[[#This Row],[Polizza]],TableVersamenti[Data prevista versamento],"-"))</f>
        <v>0</v>
      </c>
      <c r="AD171" s="62"/>
      <c r="AE171" s="105">
        <f>DATE(YEAR(Table2[[#This Row],[Data ultimo pagamento]]),MONTH(Table2[[#This Row],[Data ultimo pagamento]]), 1)</f>
        <v>42917</v>
      </c>
      <c r="AF171" s="106">
        <f>DATE(YEAR(Table2[[#This Row],[Data prossima scadenza]]),MONTH(Table2[[#This Row],[Data prossima scadenza]]), 1)</f>
        <v>43282</v>
      </c>
      <c r="AG171" s="92">
        <f>IFERROR(Table2[[#This Row],[Importo annuale]]*VLOOKUP(Table2[[#This Row],[Ramo]],RAMI_POLIZZA,2,FALSE),0)</f>
        <v>24.959999999999997</v>
      </c>
      <c r="AH171" s="65"/>
      <c r="AI171" s="63" t="str">
        <f>IFERROR(VLOOKUP(Table2[[#This Row],[Contraente]],Table1[[Nome/Ragione sociale]:[Checkbox selezionato]],2,FALSE),"-")</f>
        <v>CASTEL SAN GIOVANNI</v>
      </c>
      <c r="AJ171" s="63">
        <f>IFERROR(VLOOKUP(Table2[[#This Row],[Contraente]],Table1[[Nome/Ragione sociale]:[Checkbox selezionato]],3,FALSE),"-")</f>
        <v>0</v>
      </c>
      <c r="AK171" s="63">
        <f>IFERROR(VLOOKUP(Table2[[#This Row],[Contraente]],Table1[[Nome/Ragione sociale]:[Checkbox selezionato]],4,FALSE),"-")</f>
        <v>0</v>
      </c>
      <c r="AL171" s="63" t="str">
        <f>IFERROR(VLOOKUP(Table2[[#This Row],[Contraente]],Table1[[Nome/Ragione sociale]:[Checkbox selezionato]],5,FALSE),"-")</f>
        <v>GHEROGHE</v>
      </c>
      <c r="AM171" s="62">
        <f>IFERROR(VLOOKUP(Table2[[#This Row],[Contraente]],Table1[[Nome/Ragione sociale]:[Checkbox selezionato]],6,FALSE),"-")</f>
        <v>28930</v>
      </c>
      <c r="AN171" s="63" t="str">
        <f>IFERROR(VLOOKUP(Table2[[#This Row],[Contraente]],Table1[[Nome/Ragione sociale]:[Checkbox selezionato]],7,FALSE),"-")</f>
        <v>papies@libero.it</v>
      </c>
      <c r="AO171" s="63">
        <f>IFERROR(VLOOKUP(Table2[[#This Row],[Contraente]],Table1[[Nome/Ragione sociale]:[Checkbox selezionato]],8,FALSE),"-")</f>
        <v>0</v>
      </c>
      <c r="AP171" s="63">
        <f>IFERROR(VLOOKUP(Table2[[#This Row],[Contraente]],Table1[[Nome/Ragione sociale]:[Checkbox selezionato]],10,FALSE),"-")</f>
        <v>0</v>
      </c>
      <c r="AQ171" s="63" t="str">
        <f>IFERROR(VLOOKUP(Table2[[#This Row],[Contraente]],Table1[[Nome/Ragione sociale]:[Checkbox selezionato]],11,FALSE),"-")</f>
        <v>SI</v>
      </c>
      <c r="AR171" s="63" t="str">
        <f>IFERROR(VLOOKUP(Table2[[#This Row],[Contraente]],Table1[[Nome/Ragione sociale]:[Checkbox selezionato]],12,FALSE),"-")</f>
        <v>SI</v>
      </c>
    </row>
    <row r="172" spans="1:44" ht="30" hidden="1" customHeight="1" x14ac:dyDescent="0.25">
      <c r="A172" s="60" t="str">
        <f>UPPER(LEFT(Table2[[#This Row],[Contraente]],1))</f>
        <v>B</v>
      </c>
      <c r="B172" s="60" t="s">
        <v>1634</v>
      </c>
      <c r="C172" s="81" t="s">
        <v>375</v>
      </c>
      <c r="D172" s="80" t="s">
        <v>37</v>
      </c>
      <c r="E172" s="86">
        <v>105945197</v>
      </c>
      <c r="F172" s="64">
        <v>42759</v>
      </c>
      <c r="G172" s="64" t="str">
        <f>IFERROR(CALCOLASCADENZA(Table2[[#This Row],[Data attivazione]],Table2[[#This Row],[Rateizzazione]],Table2[[#This Row],[Data ultimo pagamento]],Table2[[#This Row],[Data prossima scadenza manuale]]),"-")</f>
        <v>-</v>
      </c>
      <c r="H172" s="67" t="s">
        <v>31</v>
      </c>
      <c r="I172" s="67" t="s">
        <v>1202</v>
      </c>
      <c r="J172" s="33">
        <v>-35</v>
      </c>
      <c r="K172" s="88">
        <v>-35</v>
      </c>
      <c r="L172" s="88">
        <v>0</v>
      </c>
      <c r="M172" s="67" t="s">
        <v>43</v>
      </c>
      <c r="N172" s="67" t="s">
        <v>52</v>
      </c>
      <c r="O172" s="27" t="s">
        <v>1631</v>
      </c>
      <c r="P172" s="33" t="s">
        <v>24</v>
      </c>
      <c r="Q1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2" s="67" t="s">
        <v>133</v>
      </c>
      <c r="V172" s="62"/>
      <c r="W172" s="64" t="e">
        <v>#VALUE!</v>
      </c>
      <c r="X172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72" s="65"/>
      <c r="Z172" s="61"/>
      <c r="AA172" s="64" t="s">
        <v>85</v>
      </c>
      <c r="AB172" s="29" t="str">
        <f>IF(Table2[[#This Row],[Data ultimo versamento temp]]=0/1/1900,"-",Table2[[#This Row],[Data ultimo versamento temp]])</f>
        <v>-</v>
      </c>
      <c r="AC172" s="29">
        <f t="array" ref="AC172">MAX(IF(TableVersamenti[Polizza]=Table2[[#This Row],[Polizza]],TableVersamenti[Data prevista versamento],"-"))</f>
        <v>0</v>
      </c>
      <c r="AD172" s="62"/>
      <c r="AE172" s="106">
        <f>DATE(YEAR(Table2[[#This Row],[Data ultimo pagamento]]),MONTH(Table2[[#This Row],[Data ultimo pagamento]]), 1)</f>
        <v>42736</v>
      </c>
      <c r="AF172" s="106" t="e">
        <f>DATE(YEAR(Table2[[#This Row],[Data prossima scadenza]]),MONTH(Table2[[#This Row],[Data prossima scadenza]]), 1)</f>
        <v>#VALUE!</v>
      </c>
      <c r="AG172" s="33">
        <f>IFERROR(Table2[[#This Row],[Importo annuale]]*VLOOKUP(Table2[[#This Row],[Ramo]],RAMI_POLIZZA,2,FALSE),0)</f>
        <v>0</v>
      </c>
      <c r="AH172" s="65" t="s">
        <v>113</v>
      </c>
      <c r="AI172" s="63" t="str">
        <f>IFERROR(VLOOKUP(Table2[[#This Row],[Contraente]],Table1[[Nome/Ragione sociale]:[Checkbox selezionato]],2,FALSE),"-")</f>
        <v>CASTEL SAN GIOVANNI</v>
      </c>
      <c r="AJ172" s="63">
        <f>IFERROR(VLOOKUP(Table2[[#This Row],[Contraente]],Table1[[Nome/Ragione sociale]:[Checkbox selezionato]],3,FALSE),"-")</f>
        <v>0</v>
      </c>
      <c r="AK172" s="63">
        <f>IFERROR(VLOOKUP(Table2[[#This Row],[Contraente]],Table1[[Nome/Ragione sociale]:[Checkbox selezionato]],4,FALSE),"-")</f>
        <v>0</v>
      </c>
      <c r="AL172" s="63" t="str">
        <f>IFERROR(VLOOKUP(Table2[[#This Row],[Contraente]],Table1[[Nome/Ragione sociale]:[Checkbox selezionato]],5,FALSE),"-")</f>
        <v>GHEROGHE</v>
      </c>
      <c r="AM172" s="62">
        <f>IFERROR(VLOOKUP(Table2[[#This Row],[Contraente]],Table1[[Nome/Ragione sociale]:[Checkbox selezionato]],6,FALSE),"-")</f>
        <v>28930</v>
      </c>
      <c r="AN172" s="63" t="str">
        <f>IFERROR(VLOOKUP(Table2[[#This Row],[Contraente]],Table1[[Nome/Ragione sociale]:[Checkbox selezionato]],7,FALSE),"-")</f>
        <v>papies@libero.it</v>
      </c>
      <c r="AO172" s="63">
        <f>IFERROR(VLOOKUP(Table2[[#This Row],[Contraente]],Table1[[Nome/Ragione sociale]:[Checkbox selezionato]],8,FALSE),"-")</f>
        <v>0</v>
      </c>
      <c r="AP172" s="63">
        <f>IFERROR(VLOOKUP(Table2[[#This Row],[Contraente]],Table1[[Nome/Ragione sociale]:[Checkbox selezionato]],10,FALSE),"-")</f>
        <v>0</v>
      </c>
      <c r="AQ172" s="63" t="str">
        <f>IFERROR(VLOOKUP(Table2[[#This Row],[Contraente]],Table1[[Nome/Ragione sociale]:[Checkbox selezionato]],11,FALSE),"-")</f>
        <v>SI</v>
      </c>
      <c r="AR172" s="63" t="str">
        <f>IFERROR(VLOOKUP(Table2[[#This Row],[Contraente]],Table1[[Nome/Ragione sociale]:[Checkbox selezionato]],12,FALSE),"-")</f>
        <v>SI</v>
      </c>
    </row>
    <row r="173" spans="1:44" ht="30" hidden="1" customHeight="1" x14ac:dyDescent="0.25">
      <c r="A173" s="60" t="str">
        <f>UPPER(LEFT(Table2[[#This Row],[Contraente]],1))</f>
        <v>B</v>
      </c>
      <c r="B173" s="60" t="s">
        <v>1634</v>
      </c>
      <c r="C173" s="81" t="s">
        <v>377</v>
      </c>
      <c r="D173" s="80" t="s">
        <v>37</v>
      </c>
      <c r="E173" s="86">
        <v>1083470</v>
      </c>
      <c r="F173" s="64">
        <v>42759</v>
      </c>
      <c r="G173" s="64">
        <f>IFERROR(CALCOLASCADENZA(Table2[[#This Row],[Data attivazione]],Table2[[#This Row],[Rateizzazione]],Table2[[#This Row],[Data ultimo pagamento]],Table2[[#This Row],[Data prossima scadenza manuale]]),"-")</f>
        <v>42849</v>
      </c>
      <c r="H173" s="67" t="s">
        <v>32</v>
      </c>
      <c r="I173" s="67" t="s">
        <v>113</v>
      </c>
      <c r="J173" s="33">
        <f>IFERROR(Table2[[#This Row],[Importo annuale]]/(12/VLOOKUP(Table2[[#This Row],[Rateizzazione]],TIPI_RATEIZZAZIONI,2,FALSE)),"-")</f>
        <v>300</v>
      </c>
      <c r="K173" s="88">
        <v>300</v>
      </c>
      <c r="L173" s="88">
        <v>1200</v>
      </c>
      <c r="M173" s="67" t="s">
        <v>44</v>
      </c>
      <c r="N173" s="67" t="s">
        <v>52</v>
      </c>
      <c r="O173" s="27" t="s">
        <v>1631</v>
      </c>
      <c r="P173" s="33" t="s">
        <v>20</v>
      </c>
      <c r="Q173" s="60">
        <f>IFERROR(IF(12 / VLOOKUP(Table2[[#This Row],[Rateizzazione]],TIPI_RATEIZZAZIONI,2,FALSE) &gt;=1,  IF(Table2[[#This Row],[Data attivazione]] = "","-",MONTH(Table2[[#This Row],[Data attivazione]])),"-"),"-")</f>
        <v>1</v>
      </c>
      <c r="R1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173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10</v>
      </c>
      <c r="U173" s="67" t="s">
        <v>133</v>
      </c>
      <c r="V173" s="62"/>
      <c r="W173" s="64">
        <v>42759</v>
      </c>
      <c r="X173" s="29">
        <f>DATE(YEAR(Table2[[#This Row],[Data attivazione]])+VLOOKUP(Table2[[#This Row],[Durata]],VALORE_DURATA,2,FALSE),MONTH(Table2[[#This Row],[Data attivazione]]),DAY(Table2[[#This Row],[Data attivazione]]))</f>
        <v>43124</v>
      </c>
      <c r="Y173" s="65"/>
      <c r="Z173" s="61"/>
      <c r="AA173" s="64" t="s">
        <v>85</v>
      </c>
      <c r="AB173" s="29" t="str">
        <f>IF(Table2[[#This Row],[Data ultimo versamento temp]]=0/1/1900,"-",Table2[[#This Row],[Data ultimo versamento temp]])</f>
        <v>-</v>
      </c>
      <c r="AC173" s="29">
        <f t="array" ref="AC173">MAX(IF(TableVersamenti[Polizza]=Table2[[#This Row],[Polizza]],TableVersamenti[Data prevista versamento],"-"))</f>
        <v>0</v>
      </c>
      <c r="AD173" s="62"/>
      <c r="AE173" s="106">
        <f>DATE(YEAR(Table2[[#This Row],[Data ultimo pagamento]]),MONTH(Table2[[#This Row],[Data ultimo pagamento]]), 1)</f>
        <v>42736</v>
      </c>
      <c r="AF173" s="106">
        <f>DATE(YEAR(Table2[[#This Row],[Data prossima scadenza]]),MONTH(Table2[[#This Row],[Data prossima scadenza]]), 1)</f>
        <v>42826</v>
      </c>
      <c r="AG173" s="33">
        <f>IFERROR(Table2[[#This Row],[Importo annuale]]*VLOOKUP(Table2[[#This Row],[Ramo]],RAMI_POLIZZA,2,FALSE),0)</f>
        <v>18</v>
      </c>
      <c r="AH173" s="65" t="s">
        <v>113</v>
      </c>
      <c r="AI173" s="63" t="str">
        <f>IFERROR(VLOOKUP(Table2[[#This Row],[Contraente]],Table1[[Nome/Ragione sociale]:[Checkbox selezionato]],2,FALSE),"-")</f>
        <v>ARENA PO</v>
      </c>
      <c r="AJ173" s="63">
        <f>IFERROR(VLOOKUP(Table2[[#This Row],[Contraente]],Table1[[Nome/Ragione sociale]:[Checkbox selezionato]],3,FALSE),"-")</f>
        <v>3936359696</v>
      </c>
      <c r="AK173" s="63">
        <f>IFERROR(VLOOKUP(Table2[[#This Row],[Contraente]],Table1[[Nome/Ragione sociale]:[Checkbox selezionato]],4,FALSE),"-")</f>
        <v>0</v>
      </c>
      <c r="AL173" s="63" t="str">
        <f>IFERROR(VLOOKUP(Table2[[#This Row],[Contraente]],Table1[[Nome/Ragione sociale]:[Checkbox selezionato]],5,FALSE),"-")</f>
        <v>FRANCESCO</v>
      </c>
      <c r="AM173" s="62" t="str">
        <f>IFERROR(VLOOKUP(Table2[[#This Row],[Contraente]],Table1[[Nome/Ragione sociale]:[Checkbox selezionato]],6,FALSE),"-")</f>
        <v>-</v>
      </c>
      <c r="AN173" s="63" t="str">
        <f>IFERROR(VLOOKUP(Table2[[#This Row],[Contraente]],Table1[[Nome/Ragione sociale]:[Checkbox selezionato]],7,FALSE),"-")</f>
        <v>papies@libero.it</v>
      </c>
      <c r="AO173" s="63">
        <f>IFERROR(VLOOKUP(Table2[[#This Row],[Contraente]],Table1[[Nome/Ragione sociale]:[Checkbox selezionato]],8,FALSE),"-")</f>
        <v>0</v>
      </c>
      <c r="AP173" s="63">
        <f>IFERROR(VLOOKUP(Table2[[#This Row],[Contraente]],Table1[[Nome/Ragione sociale]:[Checkbox selezionato]],10,FALSE),"-")</f>
        <v>3936359696</v>
      </c>
      <c r="AQ173" s="63" t="str">
        <f>IFERROR(VLOOKUP(Table2[[#This Row],[Contraente]],Table1[[Nome/Ragione sociale]:[Checkbox selezionato]],11,FALSE),"-")</f>
        <v>SI</v>
      </c>
      <c r="AR173" s="63" t="str">
        <f>IFERROR(VLOOKUP(Table2[[#This Row],[Contraente]],Table1[[Nome/Ragione sociale]:[Checkbox selezionato]],12,FALSE),"-")</f>
        <v>SI</v>
      </c>
    </row>
    <row r="174" spans="1:44" ht="30" hidden="1" customHeight="1" x14ac:dyDescent="0.25">
      <c r="A174" s="60" t="str">
        <f>UPPER(LEFT(Table2[[#This Row],[Contraente]],1))</f>
        <v>B</v>
      </c>
      <c r="B174" s="60" t="s">
        <v>1634</v>
      </c>
      <c r="C174" s="81" t="s">
        <v>379</v>
      </c>
      <c r="D174" s="80" t="s">
        <v>37</v>
      </c>
      <c r="E174" s="86">
        <v>106271988</v>
      </c>
      <c r="F174" s="64">
        <v>42703</v>
      </c>
      <c r="G174" s="64">
        <f>IFERROR(CALCOLASCADENZA(Table2[[#This Row],[Data attivazione]],Table2[[#This Row],[Rateizzazione]],Table2[[#This Row],[Data ultimo pagamento]],Table2[[#This Row],[Data prossima scadenza manuale]]),"-")</f>
        <v>42703</v>
      </c>
      <c r="H174" s="67" t="s">
        <v>31</v>
      </c>
      <c r="I174" s="67" t="s">
        <v>1204</v>
      </c>
      <c r="J174" s="33">
        <v>0</v>
      </c>
      <c r="K174" s="88"/>
      <c r="L174" s="88">
        <v>359</v>
      </c>
      <c r="M174" s="67" t="s">
        <v>43</v>
      </c>
      <c r="N174" s="67" t="s">
        <v>52</v>
      </c>
      <c r="O174" s="27" t="s">
        <v>1631</v>
      </c>
      <c r="P174" s="33" t="s">
        <v>24</v>
      </c>
      <c r="Q17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4" s="67" t="s">
        <v>2</v>
      </c>
      <c r="V174" s="62"/>
      <c r="W174" s="64">
        <v>42339</v>
      </c>
      <c r="X174" s="29">
        <f>DATE(YEAR(Table2[[#This Row],[Data attivazione]])+VLOOKUP(Table2[[#This Row],[Durata]],VALORE_DURATA,2,FALSE),MONTH(Table2[[#This Row],[Data attivazione]]),DAY(Table2[[#This Row],[Data attivazione]]))</f>
        <v>42705</v>
      </c>
      <c r="Y174" s="65"/>
      <c r="Z174" s="61"/>
      <c r="AA174" s="64" t="s">
        <v>88</v>
      </c>
      <c r="AB174" s="29" t="str">
        <f>IF(Table2[[#This Row],[Data ultimo versamento temp]]=0/1/1900,"-",Table2[[#This Row],[Data ultimo versamento temp]])</f>
        <v>-</v>
      </c>
      <c r="AC174" s="29">
        <f t="array" ref="AC174">MAX(IF(TableVersamenti[Polizza]=Table2[[#This Row],[Polizza]],TableVersamenti[Data prevista versamento],"-"))</f>
        <v>0</v>
      </c>
      <c r="AD174" s="62"/>
      <c r="AE174" s="106">
        <f>DATE(YEAR(Table2[[#This Row],[Data ultimo pagamento]]),MONTH(Table2[[#This Row],[Data ultimo pagamento]]), 1)</f>
        <v>42675</v>
      </c>
      <c r="AF174" s="106">
        <f>DATE(YEAR(Table2[[#This Row],[Data prossima scadenza]]),MONTH(Table2[[#This Row],[Data prossima scadenza]]), 1)</f>
        <v>42675</v>
      </c>
      <c r="AG174" s="33">
        <f>IFERROR(Table2[[#This Row],[Importo annuale]]*VLOOKUP(Table2[[#This Row],[Ramo]],RAMI_POLIZZA,2,FALSE),0)</f>
        <v>18.667999999999999</v>
      </c>
      <c r="AH174" s="65" t="s">
        <v>113</v>
      </c>
      <c r="AI174" s="63" t="str">
        <f>IFERROR(VLOOKUP(Table2[[#This Row],[Contraente]],Table1[[Nome/Ragione sociale]:[Checkbox selezionato]],2,FALSE),"-")</f>
        <v>VERRUA PO</v>
      </c>
      <c r="AJ174" s="63">
        <f>IFERROR(VLOOKUP(Table2[[#This Row],[Contraente]],Table1[[Nome/Ragione sociale]:[Checkbox selezionato]],3,FALSE),"-")</f>
        <v>3387059713</v>
      </c>
      <c r="AK174" s="63">
        <f>IFERROR(VLOOKUP(Table2[[#This Row],[Contraente]],Table1[[Nome/Ragione sociale]:[Checkbox selezionato]],4,FALSE),"-")</f>
        <v>0</v>
      </c>
      <c r="AL174" s="63" t="str">
        <f>IFERROR(VLOOKUP(Table2[[#This Row],[Contraente]],Table1[[Nome/Ragione sociale]:[Checkbox selezionato]],5,FALSE),"-")</f>
        <v>VINCENZO</v>
      </c>
      <c r="AM174" s="62">
        <f>IFERROR(VLOOKUP(Table2[[#This Row],[Contraente]],Table1[[Nome/Ragione sociale]:[Checkbox selezionato]],6,FALSE),"-")</f>
        <v>29074</v>
      </c>
      <c r="AN174" s="63" t="str">
        <f>IFERROR(VLOOKUP(Table2[[#This Row],[Contraente]],Table1[[Nome/Ragione sociale]:[Checkbox selezionato]],7,FALSE),"-")</f>
        <v>papies@email.it</v>
      </c>
      <c r="AO174" s="63">
        <f>IFERROR(VLOOKUP(Table2[[#This Row],[Contraente]],Table1[[Nome/Ragione sociale]:[Checkbox selezionato]],8,FALSE),"-")</f>
        <v>0</v>
      </c>
      <c r="AP174" s="63">
        <f>IFERROR(VLOOKUP(Table2[[#This Row],[Contraente]],Table1[[Nome/Ragione sociale]:[Checkbox selezionato]],10,FALSE),"-")</f>
        <v>3387059713</v>
      </c>
      <c r="AQ174" s="63" t="str">
        <f>IFERROR(VLOOKUP(Table2[[#This Row],[Contraente]],Table1[[Nome/Ragione sociale]:[Checkbox selezionato]],11,FALSE),"-")</f>
        <v>SI</v>
      </c>
      <c r="AR174" s="63" t="str">
        <f>IFERROR(VLOOKUP(Table2[[#This Row],[Contraente]],Table1[[Nome/Ragione sociale]:[Checkbox selezionato]],12,FALSE),"-")</f>
        <v>SI</v>
      </c>
    </row>
    <row r="175" spans="1:44" ht="30" hidden="1" customHeight="1" x14ac:dyDescent="0.25">
      <c r="A175" s="60" t="str">
        <f>UPPER(LEFT(Table2[[#This Row],[Contraente]],1))</f>
        <v>B</v>
      </c>
      <c r="B175" s="60" t="s">
        <v>1634</v>
      </c>
      <c r="C175" s="81" t="s">
        <v>378</v>
      </c>
      <c r="D175" s="80" t="s">
        <v>37</v>
      </c>
      <c r="E175" s="86">
        <v>105230504</v>
      </c>
      <c r="F175" s="64">
        <v>42391</v>
      </c>
      <c r="G175" s="64">
        <f>IFERROR(CALCOLASCADENZA(Table2[[#This Row],[Data attivazione]],Table2[[#This Row],[Rateizzazione]],Table2[[#This Row],[Data ultimo pagamento]],Table2[[#This Row],[Data prossima scadenza manuale]]),"-")</f>
        <v>42757</v>
      </c>
      <c r="H175" s="67" t="s">
        <v>31</v>
      </c>
      <c r="I175" s="67" t="s">
        <v>1203</v>
      </c>
      <c r="J175" s="33">
        <f>IFERROR(Table2[[#This Row],[Importo annuale]]/(12/VLOOKUP(Table2[[#This Row],[Rateizzazione]],TIPI_RATEIZZAZIONI,2,FALSE)),"-")</f>
        <v>350</v>
      </c>
      <c r="K175" s="88"/>
      <c r="L175" s="88">
        <v>350</v>
      </c>
      <c r="M175" s="67" t="s">
        <v>44</v>
      </c>
      <c r="N175" s="67" t="s">
        <v>51</v>
      </c>
      <c r="O175" s="27" t="s">
        <v>1631</v>
      </c>
      <c r="P175" s="33" t="s">
        <v>23</v>
      </c>
      <c r="Q175" s="60">
        <f>IFERROR(IF(12 / VLOOKUP(Table2[[#This Row],[Rateizzazione]],TIPI_RATEIZZAZIONI,2,FALSE) &gt;=1,  IF(Table2[[#This Row],[Data attivazione]] = "","-",MONTH(Table2[[#This Row],[Data attivazione]])),"-"),"-")</f>
        <v>1</v>
      </c>
      <c r="R1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5" s="67" t="s">
        <v>2</v>
      </c>
      <c r="V175" s="62"/>
      <c r="W175" s="64">
        <v>42391</v>
      </c>
      <c r="X175" s="29">
        <f>DATE(YEAR(Table2[[#This Row],[Data attivazione]])+VLOOKUP(Table2[[#This Row],[Durata]],VALORE_DURATA,2,FALSE),MONTH(Table2[[#This Row],[Data attivazione]]),DAY(Table2[[#This Row],[Data attivazione]]))</f>
        <v>42757</v>
      </c>
      <c r="Y175" s="65"/>
      <c r="Z175" s="61"/>
      <c r="AA175" s="64" t="s">
        <v>88</v>
      </c>
      <c r="AB175" s="29" t="str">
        <f>IF(Table2[[#This Row],[Data ultimo versamento temp]]=0/1/1900,"-",Table2[[#This Row],[Data ultimo versamento temp]])</f>
        <v>-</v>
      </c>
      <c r="AC175" s="29">
        <f t="array" ref="AC175">MAX(IF(TableVersamenti[Polizza]=Table2[[#This Row],[Polizza]],TableVersamenti[Data prevista versamento],"-"))</f>
        <v>0</v>
      </c>
      <c r="AD175" s="62"/>
      <c r="AE175" s="106">
        <f>DATE(YEAR(Table2[[#This Row],[Data ultimo pagamento]]),MONTH(Table2[[#This Row],[Data ultimo pagamento]]), 1)</f>
        <v>42370</v>
      </c>
      <c r="AF175" s="106">
        <f>DATE(YEAR(Table2[[#This Row],[Data prossima scadenza]]),MONTH(Table2[[#This Row],[Data prossima scadenza]]), 1)</f>
        <v>42736</v>
      </c>
      <c r="AG175" s="33">
        <f>IFERROR(Table2[[#This Row],[Importo annuale]]*VLOOKUP(Table2[[#This Row],[Ramo]],RAMI_POLIZZA,2,FALSE),0)</f>
        <v>18.2</v>
      </c>
      <c r="AH175" s="65" t="s">
        <v>113</v>
      </c>
      <c r="AI175" s="63" t="str">
        <f>IFERROR(VLOOKUP(Table2[[#This Row],[Contraente]],Table1[[Nome/Ragione sociale]:[Checkbox selezionato]],2,FALSE),"-")</f>
        <v>LINAROLO</v>
      </c>
      <c r="AJ175" s="63">
        <f>IFERROR(VLOOKUP(Table2[[#This Row],[Contraente]],Table1[[Nome/Ragione sociale]:[Checkbox selezionato]],3,FALSE),"-")</f>
        <v>3389798026</v>
      </c>
      <c r="AK175" s="63">
        <f>IFERROR(VLOOKUP(Table2[[#This Row],[Contraente]],Table1[[Nome/Ragione sociale]:[Checkbox selezionato]],4,FALSE),"-")</f>
        <v>0</v>
      </c>
      <c r="AL175" s="63" t="str">
        <f>IFERROR(VLOOKUP(Table2[[#This Row],[Contraente]],Table1[[Nome/Ragione sociale]:[Checkbox selezionato]],5,FALSE),"-")</f>
        <v>GIUSEPPE</v>
      </c>
      <c r="AM175" s="62">
        <f>IFERROR(VLOOKUP(Table2[[#This Row],[Contraente]],Table1[[Nome/Ragione sociale]:[Checkbox selezionato]],6,FALSE),"-")</f>
        <v>27094</v>
      </c>
      <c r="AN175" s="63" t="str">
        <f>IFERROR(VLOOKUP(Table2[[#This Row],[Contraente]],Table1[[Nome/Ragione sociale]:[Checkbox selezionato]],7,FALSE),"-")</f>
        <v>papies@libero.it</v>
      </c>
      <c r="AO175" s="63">
        <f>IFERROR(VLOOKUP(Table2[[#This Row],[Contraente]],Table1[[Nome/Ragione sociale]:[Checkbox selezionato]],8,FALSE),"-")</f>
        <v>0</v>
      </c>
      <c r="AP175" s="63">
        <f>IFERROR(VLOOKUP(Table2[[#This Row],[Contraente]],Table1[[Nome/Ragione sociale]:[Checkbox selezionato]],10,FALSE),"-")</f>
        <v>3389798026</v>
      </c>
      <c r="AQ175" s="63" t="str">
        <f>IFERROR(VLOOKUP(Table2[[#This Row],[Contraente]],Table1[[Nome/Ragione sociale]:[Checkbox selezionato]],11,FALSE),"-")</f>
        <v>SI</v>
      </c>
      <c r="AR175" s="63" t="str">
        <f>IFERROR(VLOOKUP(Table2[[#This Row],[Contraente]],Table1[[Nome/Ragione sociale]:[Checkbox selezionato]],12,FALSE),"-")</f>
        <v>SI</v>
      </c>
    </row>
    <row r="176" spans="1:44" ht="30" hidden="1" customHeight="1" x14ac:dyDescent="0.25">
      <c r="A176" s="60" t="str">
        <f>UPPER(LEFT(Table2[[#This Row],[Contraente]],1))</f>
        <v>B</v>
      </c>
      <c r="B176" s="60" t="s">
        <v>1634</v>
      </c>
      <c r="C176" s="81" t="s">
        <v>385</v>
      </c>
      <c r="D176" s="80" t="s">
        <v>37</v>
      </c>
      <c r="E176" s="86">
        <v>106571910</v>
      </c>
      <c r="F176" s="64">
        <v>42794</v>
      </c>
      <c r="G176" s="64">
        <f>IFERROR(CALCOLASCADENZA(Table2[[#This Row],[Data attivazione]],Table2[[#This Row],[Rateizzazione]],Table2[[#This Row],[Data ultimo pagamento]],Table2[[#This Row],[Data prossima scadenza manuale]]),"-")</f>
        <v>42914</v>
      </c>
      <c r="H176" s="67" t="s">
        <v>31</v>
      </c>
      <c r="I176" s="67" t="s">
        <v>1207</v>
      </c>
      <c r="J176" s="33">
        <v>130</v>
      </c>
      <c r="K176" s="88">
        <v>130</v>
      </c>
      <c r="L176" s="88">
        <v>490</v>
      </c>
      <c r="M176" s="67" t="s">
        <v>43</v>
      </c>
      <c r="N176" s="67" t="s">
        <v>52</v>
      </c>
      <c r="O176" s="27" t="s">
        <v>1631</v>
      </c>
      <c r="P176" s="33" t="s">
        <v>21</v>
      </c>
      <c r="Q176" s="60">
        <f>IFERROR(IF(12 / VLOOKUP(Table2[[#This Row],[Rateizzazione]],TIPI_RATEIZZAZIONI,2,FALSE) &gt;=1,  IF(Table2[[#This Row],[Data attivazione]] = "","-",MONTH(Table2[[#This Row],[Data attivazione]])),"-"),"-")</f>
        <v>6</v>
      </c>
      <c r="R1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17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1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6" s="67" t="s">
        <v>2</v>
      </c>
      <c r="V176" s="62"/>
      <c r="W176" s="64">
        <v>42549</v>
      </c>
      <c r="X176" s="29">
        <f>DATE(YEAR(Table2[[#This Row],[Data attivazione]])+VLOOKUP(Table2[[#This Row],[Durata]],VALORE_DURATA,2,FALSE),MONTH(Table2[[#This Row],[Data attivazione]]),DAY(Table2[[#This Row],[Data attivazione]]))</f>
        <v>42914</v>
      </c>
      <c r="Y176" s="65"/>
      <c r="Z176" s="61"/>
      <c r="AA176" s="64" t="s">
        <v>88</v>
      </c>
      <c r="AB176" s="29" t="str">
        <f>IF(Table2[[#This Row],[Data ultimo versamento temp]]=0/1/1900,"-",Table2[[#This Row],[Data ultimo versamento temp]])</f>
        <v>-</v>
      </c>
      <c r="AC176" s="29">
        <f t="array" ref="AC176">MAX(IF(TableVersamenti[Polizza]=Table2[[#This Row],[Polizza]],TableVersamenti[Data prevista versamento],"-"))</f>
        <v>0</v>
      </c>
      <c r="AD176" s="62"/>
      <c r="AE176" s="106">
        <f>DATE(YEAR(Table2[[#This Row],[Data ultimo pagamento]]),MONTH(Table2[[#This Row],[Data ultimo pagamento]]), 1)</f>
        <v>42767</v>
      </c>
      <c r="AF176" s="106">
        <f>DATE(YEAR(Table2[[#This Row],[Data prossima scadenza]]),MONTH(Table2[[#This Row],[Data prossima scadenza]]), 1)</f>
        <v>42887</v>
      </c>
      <c r="AG176" s="33">
        <f>IFERROR(Table2[[#This Row],[Importo annuale]]*VLOOKUP(Table2[[#This Row],[Ramo]],RAMI_POLIZZA,2,FALSE),0)</f>
        <v>25.48</v>
      </c>
      <c r="AH176" s="65" t="s">
        <v>113</v>
      </c>
      <c r="AI176" s="63" t="str">
        <f>IFERROR(VLOOKUP(Table2[[#This Row],[Contraente]],Table1[[Nome/Ragione sociale]:[Checkbox selezionato]],2,FALSE),"-")</f>
        <v>PIOLTELLO</v>
      </c>
      <c r="AJ176" s="63">
        <f>IFERROR(VLOOKUP(Table2[[#This Row],[Contraente]],Table1[[Nome/Ragione sociale]:[Checkbox selezionato]],3,FALSE),"-")</f>
        <v>3338062335</v>
      </c>
      <c r="AK176" s="63">
        <f>IFERROR(VLOOKUP(Table2[[#This Row],[Contraente]],Table1[[Nome/Ragione sociale]:[Checkbox selezionato]],4,FALSE),"-")</f>
        <v>3332523672</v>
      </c>
      <c r="AL176" s="63" t="str">
        <f>IFERROR(VLOOKUP(Table2[[#This Row],[Contraente]],Table1[[Nome/Ragione sociale]:[Checkbox selezionato]],5,FALSE),"-")</f>
        <v>FESTA</v>
      </c>
      <c r="AM176" s="62" t="str">
        <f>IFERROR(VLOOKUP(Table2[[#This Row],[Contraente]],Table1[[Nome/Ragione sociale]:[Checkbox selezionato]],6,FALSE),"-")</f>
        <v>-</v>
      </c>
      <c r="AN176" s="63" t="str">
        <f>IFERROR(VLOOKUP(Table2[[#This Row],[Contraente]],Table1[[Nome/Ragione sociale]:[Checkbox selezionato]],7,FALSE),"-")</f>
        <v>papies@libero.it</v>
      </c>
      <c r="AO176" s="63">
        <f>IFERROR(VLOOKUP(Table2[[#This Row],[Contraente]],Table1[[Nome/Ragione sociale]:[Checkbox selezionato]],8,FALSE),"-")</f>
        <v>0</v>
      </c>
      <c r="AP176" s="63">
        <f>IFERROR(VLOOKUP(Table2[[#This Row],[Contraente]],Table1[[Nome/Ragione sociale]:[Checkbox selezionato]],10,FALSE),"-")</f>
        <v>3338062335</v>
      </c>
      <c r="AQ176" s="63" t="str">
        <f>IFERROR(VLOOKUP(Table2[[#This Row],[Contraente]],Table1[[Nome/Ragione sociale]:[Checkbox selezionato]],11,FALSE),"-")</f>
        <v>SI</v>
      </c>
      <c r="AR176" s="63" t="str">
        <f>IFERROR(VLOOKUP(Table2[[#This Row],[Contraente]],Table1[[Nome/Ragione sociale]:[Checkbox selezionato]],12,FALSE),"-")</f>
        <v>SI</v>
      </c>
    </row>
    <row r="177" spans="1:44" ht="30" hidden="1" customHeight="1" x14ac:dyDescent="0.25">
      <c r="A177" s="60" t="str">
        <f>UPPER(LEFT(Table2[[#This Row],[Contraente]],1))</f>
        <v>B</v>
      </c>
      <c r="B177" s="60" t="s">
        <v>1634</v>
      </c>
      <c r="C177" s="81" t="s">
        <v>382</v>
      </c>
      <c r="D177" s="80" t="s">
        <v>37</v>
      </c>
      <c r="E177" s="86">
        <v>105493770</v>
      </c>
      <c r="F177" s="64">
        <v>42823</v>
      </c>
      <c r="G177" s="64">
        <f>IFERROR(CALCOLASCADENZA(Table2[[#This Row],[Data attivazione]],Table2[[#This Row],[Rateizzazione]],Table2[[#This Row],[Data ultimo pagamento]],Table2[[#This Row],[Data prossima scadenza manuale]]),"-")</f>
        <v>42992</v>
      </c>
      <c r="H177" s="67" t="s">
        <v>31</v>
      </c>
      <c r="I177" s="67" t="s">
        <v>1205</v>
      </c>
      <c r="J177" s="33">
        <f>IFERROR(Table2[[#This Row],[Importo annuale]]/(12/VLOOKUP(Table2[[#This Row],[Rateizzazione]],TIPI_RATEIZZAZIONI,2,FALSE)),"-")</f>
        <v>328</v>
      </c>
      <c r="K177" s="88">
        <v>328</v>
      </c>
      <c r="L177" s="88">
        <v>656</v>
      </c>
      <c r="M177" s="67" t="s">
        <v>44</v>
      </c>
      <c r="N177" s="67" t="s">
        <v>51</v>
      </c>
      <c r="O177" s="27" t="s">
        <v>1631</v>
      </c>
      <c r="P177" s="33" t="s">
        <v>22</v>
      </c>
      <c r="Q177" s="60">
        <f>IFERROR(IF(12 / VLOOKUP(Table2[[#This Row],[Rateizzazione]],TIPI_RATEIZZAZIONI,2,FALSE) &gt;=1,  IF(Table2[[#This Row],[Data attivazione]] = "","-",MONTH(Table2[[#This Row],[Data attivazione]])),"-"),"-")</f>
        <v>9</v>
      </c>
      <c r="R1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7" s="67" t="s">
        <v>133</v>
      </c>
      <c r="V177" s="62"/>
      <c r="W177" s="64">
        <v>42627</v>
      </c>
      <c r="X177" s="29">
        <f>DATE(YEAR(Table2[[#This Row],[Data attivazione]])+VLOOKUP(Table2[[#This Row],[Durata]],VALORE_DURATA,2,FALSE),MONTH(Table2[[#This Row],[Data attivazione]]),DAY(Table2[[#This Row],[Data attivazione]]))</f>
        <v>42992</v>
      </c>
      <c r="Y177" s="65"/>
      <c r="Z177" s="61"/>
      <c r="AA177" s="64" t="s">
        <v>85</v>
      </c>
      <c r="AB177" s="29" t="str">
        <f>IF(Table2[[#This Row],[Data ultimo versamento temp]]=0/1/1900,"-",Table2[[#This Row],[Data ultimo versamento temp]])</f>
        <v>-</v>
      </c>
      <c r="AC177" s="29">
        <f t="array" ref="AC177">MAX(IF(TableVersamenti[Polizza]=Table2[[#This Row],[Polizza]],TableVersamenti[Data prevista versamento],"-"))</f>
        <v>0</v>
      </c>
      <c r="AD177" s="62"/>
      <c r="AE177" s="106">
        <f>DATE(YEAR(Table2[[#This Row],[Data ultimo pagamento]]),MONTH(Table2[[#This Row],[Data ultimo pagamento]]), 1)</f>
        <v>42795</v>
      </c>
      <c r="AF177" s="106">
        <f>DATE(YEAR(Table2[[#This Row],[Data prossima scadenza]]),MONTH(Table2[[#This Row],[Data prossima scadenza]]), 1)</f>
        <v>42979</v>
      </c>
      <c r="AG177" s="33">
        <f>IFERROR(Table2[[#This Row],[Importo annuale]]*VLOOKUP(Table2[[#This Row],[Ramo]],RAMI_POLIZZA,2,FALSE),0)</f>
        <v>34.112000000000002</v>
      </c>
      <c r="AH177" s="65" t="s">
        <v>113</v>
      </c>
      <c r="AI177" s="63" t="str">
        <f>IFERROR(VLOOKUP(Table2[[#This Row],[Contraente]],Table1[[Nome/Ragione sociale]:[Checkbox selezionato]],2,FALSE),"-")</f>
        <v>ARENA PO</v>
      </c>
      <c r="AJ177" s="63">
        <f>IFERROR(VLOOKUP(Table2[[#This Row],[Contraente]],Table1[[Nome/Ragione sociale]:[Checkbox selezionato]],3,FALSE),"-")</f>
        <v>0</v>
      </c>
      <c r="AK177" s="63" t="str">
        <f>IFERROR(VLOOKUP(Table2[[#This Row],[Contraente]],Table1[[Nome/Ragione sociale]:[Checkbox selezionato]],4,FALSE),"-")</f>
        <v>.038570572</v>
      </c>
      <c r="AL177" s="63" t="str">
        <f>IFERROR(VLOOKUP(Table2[[#This Row],[Contraente]],Table1[[Nome/Ragione sociale]:[Checkbox selezionato]],5,FALSE),"-")</f>
        <v>ANNA CATERINA</v>
      </c>
      <c r="AM177" s="62">
        <f>IFERROR(VLOOKUP(Table2[[#This Row],[Contraente]],Table1[[Nome/Ragione sociale]:[Checkbox selezionato]],6,FALSE),"-")</f>
        <v>20290</v>
      </c>
      <c r="AN177" s="63" t="str">
        <f>IFERROR(VLOOKUP(Table2[[#This Row],[Contraente]],Table1[[Nome/Ragione sociale]:[Checkbox selezionato]],7,FALSE),"-")</f>
        <v>papies@email.it</v>
      </c>
      <c r="AO177" s="63">
        <f>IFERROR(VLOOKUP(Table2[[#This Row],[Contraente]],Table1[[Nome/Ragione sociale]:[Checkbox selezionato]],8,FALSE),"-")</f>
        <v>0</v>
      </c>
      <c r="AP177" s="63">
        <f>IFERROR(VLOOKUP(Table2[[#This Row],[Contraente]],Table1[[Nome/Ragione sociale]:[Checkbox selezionato]],10,FALSE),"-")</f>
        <v>0</v>
      </c>
      <c r="AQ177" s="63" t="str">
        <f>IFERROR(VLOOKUP(Table2[[#This Row],[Contraente]],Table1[[Nome/Ragione sociale]:[Checkbox selezionato]],11,FALSE),"-")</f>
        <v>SI</v>
      </c>
      <c r="AR177" s="63" t="str">
        <f>IFERROR(VLOOKUP(Table2[[#This Row],[Contraente]],Table1[[Nome/Ragione sociale]:[Checkbox selezionato]],12,FALSE),"-")</f>
        <v>SI</v>
      </c>
    </row>
    <row r="178" spans="1:44" ht="30" hidden="1" customHeight="1" x14ac:dyDescent="0.25">
      <c r="A178" s="60" t="str">
        <f>UPPER(LEFT(Table2[[#This Row],[Contraente]],1))</f>
        <v>B</v>
      </c>
      <c r="B178" s="60" t="s">
        <v>1634</v>
      </c>
      <c r="C178" s="81" t="s">
        <v>382</v>
      </c>
      <c r="D178" s="80" t="s">
        <v>37</v>
      </c>
      <c r="E178" s="86">
        <v>105795978</v>
      </c>
      <c r="F178" s="64">
        <v>42920</v>
      </c>
      <c r="G178" s="64">
        <f>IFERROR(CALCOLASCADENZA(Table2[[#This Row],[Data attivazione]],Table2[[#This Row],[Rateizzazione]],Table2[[#This Row],[Data ultimo pagamento]],Table2[[#This Row],[Data prossima scadenza manuale]]),"-")</f>
        <v>43088</v>
      </c>
      <c r="H178" s="67" t="s">
        <v>31</v>
      </c>
      <c r="I178" s="67" t="s">
        <v>1206</v>
      </c>
      <c r="J178" s="33">
        <f>IFERROR(Table2[[#This Row],[Importo annuale]]/(12/VLOOKUP(Table2[[#This Row],[Rateizzazione]],TIPI_RATEIZZAZIONI,2,FALSE)),"-")</f>
        <v>273</v>
      </c>
      <c r="K178" s="88">
        <v>543</v>
      </c>
      <c r="L178" s="88">
        <v>546</v>
      </c>
      <c r="M178" s="67" t="s">
        <v>44</v>
      </c>
      <c r="N178" s="67" t="s">
        <v>51</v>
      </c>
      <c r="O178" s="27" t="s">
        <v>1631</v>
      </c>
      <c r="P178" s="33" t="s">
        <v>22</v>
      </c>
      <c r="Q178" s="60">
        <f>IFERROR(IF(12 / VLOOKUP(Table2[[#This Row],[Rateizzazione]],TIPI_RATEIZZAZIONI,2,FALSE) &gt;=1,  IF(Table2[[#This Row],[Data attivazione]] = "","-",MONTH(Table2[[#This Row],[Data attivazione]])),"-"),"-")</f>
        <v>6</v>
      </c>
      <c r="R1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8" s="67" t="s">
        <v>133</v>
      </c>
      <c r="V178" s="62"/>
      <c r="W178" s="64">
        <v>42905</v>
      </c>
      <c r="X178" s="29">
        <f>DATE(YEAR(Table2[[#This Row],[Data attivazione]])+VLOOKUP(Table2[[#This Row],[Durata]],VALORE_DURATA,2,FALSE),MONTH(Table2[[#This Row],[Data attivazione]]),DAY(Table2[[#This Row],[Data attivazione]]))</f>
        <v>43270</v>
      </c>
      <c r="Y178" s="65"/>
      <c r="Z178" s="61"/>
      <c r="AA178" s="64" t="s">
        <v>85</v>
      </c>
      <c r="AB178" s="29">
        <f>IF(Table2[[#This Row],[Data ultimo versamento temp]]=0/1/1900,"-",Table2[[#This Row],[Data ultimo versamento temp]])</f>
        <v>42923</v>
      </c>
      <c r="AC178" s="29">
        <f t="array" ref="AC178">MAX(IF(TableVersamenti[Polizza]=Table2[[#This Row],[Polizza]],TableVersamenti[Data prevista versamento],"-"))</f>
        <v>42923</v>
      </c>
      <c r="AD178" s="62"/>
      <c r="AE178" s="106">
        <f>DATE(YEAR(Table2[[#This Row],[Data ultimo pagamento]]),MONTH(Table2[[#This Row],[Data ultimo pagamento]]), 1)</f>
        <v>42917</v>
      </c>
      <c r="AF178" s="106">
        <f>DATE(YEAR(Table2[[#This Row],[Data prossima scadenza]]),MONTH(Table2[[#This Row],[Data prossima scadenza]]), 1)</f>
        <v>43070</v>
      </c>
      <c r="AG178" s="33">
        <f>IFERROR(Table2[[#This Row],[Importo annuale]]*VLOOKUP(Table2[[#This Row],[Ramo]],RAMI_POLIZZA,2,FALSE),0)</f>
        <v>28.391999999999999</v>
      </c>
      <c r="AH178" s="65" t="s">
        <v>113</v>
      </c>
      <c r="AI178" s="63" t="str">
        <f>IFERROR(VLOOKUP(Table2[[#This Row],[Contraente]],Table1[[Nome/Ragione sociale]:[Checkbox selezionato]],2,FALSE),"-")</f>
        <v>ARENA PO</v>
      </c>
      <c r="AJ178" s="63">
        <f>IFERROR(VLOOKUP(Table2[[#This Row],[Contraente]],Table1[[Nome/Ragione sociale]:[Checkbox selezionato]],3,FALSE),"-")</f>
        <v>0</v>
      </c>
      <c r="AK178" s="63" t="str">
        <f>IFERROR(VLOOKUP(Table2[[#This Row],[Contraente]],Table1[[Nome/Ragione sociale]:[Checkbox selezionato]],4,FALSE),"-")</f>
        <v>.038570572</v>
      </c>
      <c r="AL178" s="63" t="str">
        <f>IFERROR(VLOOKUP(Table2[[#This Row],[Contraente]],Table1[[Nome/Ragione sociale]:[Checkbox selezionato]],5,FALSE),"-")</f>
        <v>ANNA CATERINA</v>
      </c>
      <c r="AM178" s="62">
        <f>IFERROR(VLOOKUP(Table2[[#This Row],[Contraente]],Table1[[Nome/Ragione sociale]:[Checkbox selezionato]],6,FALSE),"-")</f>
        <v>20290</v>
      </c>
      <c r="AN178" s="63" t="str">
        <f>IFERROR(VLOOKUP(Table2[[#This Row],[Contraente]],Table1[[Nome/Ragione sociale]:[Checkbox selezionato]],7,FALSE),"-")</f>
        <v>papies@email.it</v>
      </c>
      <c r="AO178" s="63">
        <f>IFERROR(VLOOKUP(Table2[[#This Row],[Contraente]],Table1[[Nome/Ragione sociale]:[Checkbox selezionato]],8,FALSE),"-")</f>
        <v>0</v>
      </c>
      <c r="AP178" s="63">
        <f>IFERROR(VLOOKUP(Table2[[#This Row],[Contraente]],Table1[[Nome/Ragione sociale]:[Checkbox selezionato]],10,FALSE),"-")</f>
        <v>0</v>
      </c>
      <c r="AQ178" s="63" t="str">
        <f>IFERROR(VLOOKUP(Table2[[#This Row],[Contraente]],Table1[[Nome/Ragione sociale]:[Checkbox selezionato]],11,FALSE),"-")</f>
        <v>SI</v>
      </c>
      <c r="AR178" s="63" t="str">
        <f>IFERROR(VLOOKUP(Table2[[#This Row],[Contraente]],Table1[[Nome/Ragione sociale]:[Checkbox selezionato]],12,FALSE),"-")</f>
        <v>SI</v>
      </c>
    </row>
    <row r="179" spans="1:44" ht="30" hidden="1" customHeight="1" x14ac:dyDescent="0.25">
      <c r="A179" s="60" t="str">
        <f>UPPER(LEFT(Table2[[#This Row],[Contraente]],1))</f>
        <v>B</v>
      </c>
      <c r="B179" s="60" t="s">
        <v>1634</v>
      </c>
      <c r="C179" s="81" t="s">
        <v>382</v>
      </c>
      <c r="D179" s="80" t="s">
        <v>37</v>
      </c>
      <c r="E179" s="86">
        <v>104907877</v>
      </c>
      <c r="F179" s="64">
        <v>42886</v>
      </c>
      <c r="G179" s="64">
        <f>IFERROR(CALCOLASCADENZA(Table2[[#This Row],[Data attivazione]],Table2[[#This Row],[Rateizzazione]],Table2[[#This Row],[Data ultimo pagamento]],Table2[[#This Row],[Data prossima scadenza manuale]]),"-")</f>
        <v>43020</v>
      </c>
      <c r="H179" s="67" t="s">
        <v>30</v>
      </c>
      <c r="I179" s="67" t="s">
        <v>113</v>
      </c>
      <c r="J179" s="33">
        <f>IFERROR(Table2[[#This Row],[Importo annuale]]/(12/VLOOKUP(Table2[[#This Row],[Rateizzazione]],TIPI_RATEIZZAZIONI,2,FALSE)),"-")</f>
        <v>134</v>
      </c>
      <c r="K179" s="88">
        <v>134</v>
      </c>
      <c r="L179" s="88">
        <v>268</v>
      </c>
      <c r="M179" s="67" t="s">
        <v>44</v>
      </c>
      <c r="N179" s="67" t="s">
        <v>51</v>
      </c>
      <c r="O179" s="27" t="s">
        <v>1631</v>
      </c>
      <c r="P179" s="33" t="s">
        <v>22</v>
      </c>
      <c r="Q179" s="60">
        <f>IFERROR(IF(12 / VLOOKUP(Table2[[#This Row],[Rateizzazione]],TIPI_RATEIZZAZIONI,2,FALSE) &gt;=1,  IF(Table2[[#This Row],[Data attivazione]] = "","-",MONTH(Table2[[#This Row],[Data attivazione]])),"-"),"-")</f>
        <v>10</v>
      </c>
      <c r="R1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9" s="67" t="s">
        <v>133</v>
      </c>
      <c r="V179" s="62"/>
      <c r="W179" s="64">
        <v>42655</v>
      </c>
      <c r="X179" s="29">
        <f>DATE(YEAR(Table2[[#This Row],[Data attivazione]])+VLOOKUP(Table2[[#This Row],[Durata]],VALORE_DURATA,2,FALSE),MONTH(Table2[[#This Row],[Data attivazione]]),DAY(Table2[[#This Row],[Data attivazione]]))</f>
        <v>43020</v>
      </c>
      <c r="Y179" s="65"/>
      <c r="Z179" s="61"/>
      <c r="AA179" s="64" t="s">
        <v>85</v>
      </c>
      <c r="AB179" s="29" t="str">
        <f>IF(Table2[[#This Row],[Data ultimo versamento temp]]=0/1/1900,"-",Table2[[#This Row],[Data ultimo versamento temp]])</f>
        <v>-</v>
      </c>
      <c r="AC179" s="29">
        <f t="array" ref="AC179">MAX(IF(TableVersamenti[Polizza]=Table2[[#This Row],[Polizza]],TableVersamenti[Data prevista versamento],"-"))</f>
        <v>0</v>
      </c>
      <c r="AD179" s="62"/>
      <c r="AE179" s="106">
        <f>DATE(YEAR(Table2[[#This Row],[Data ultimo pagamento]]),MONTH(Table2[[#This Row],[Data ultimo pagamento]]), 1)</f>
        <v>42856</v>
      </c>
      <c r="AF179" s="106">
        <f>DATE(YEAR(Table2[[#This Row],[Data prossima scadenza]]),MONTH(Table2[[#This Row],[Data prossima scadenza]]), 1)</f>
        <v>43009</v>
      </c>
      <c r="AG179" s="33">
        <f>IFERROR(Table2[[#This Row],[Importo annuale]]*VLOOKUP(Table2[[#This Row],[Ramo]],RAMI_POLIZZA,2,FALSE),0)</f>
        <v>30.82</v>
      </c>
      <c r="AH179" s="65" t="s">
        <v>113</v>
      </c>
      <c r="AI179" s="63" t="str">
        <f>IFERROR(VLOOKUP(Table2[[#This Row],[Contraente]],Table1[[Nome/Ragione sociale]:[Checkbox selezionato]],2,FALSE),"-")</f>
        <v>ARENA PO</v>
      </c>
      <c r="AJ179" s="63">
        <f>IFERROR(VLOOKUP(Table2[[#This Row],[Contraente]],Table1[[Nome/Ragione sociale]:[Checkbox selezionato]],3,FALSE),"-")</f>
        <v>0</v>
      </c>
      <c r="AK179" s="63" t="str">
        <f>IFERROR(VLOOKUP(Table2[[#This Row],[Contraente]],Table1[[Nome/Ragione sociale]:[Checkbox selezionato]],4,FALSE),"-")</f>
        <v>.038570572</v>
      </c>
      <c r="AL179" s="63" t="str">
        <f>IFERROR(VLOOKUP(Table2[[#This Row],[Contraente]],Table1[[Nome/Ragione sociale]:[Checkbox selezionato]],5,FALSE),"-")</f>
        <v>ANNA CATERINA</v>
      </c>
      <c r="AM179" s="62">
        <f>IFERROR(VLOOKUP(Table2[[#This Row],[Contraente]],Table1[[Nome/Ragione sociale]:[Checkbox selezionato]],6,FALSE),"-")</f>
        <v>20290</v>
      </c>
      <c r="AN179" s="63" t="str">
        <f>IFERROR(VLOOKUP(Table2[[#This Row],[Contraente]],Table1[[Nome/Ragione sociale]:[Checkbox selezionato]],7,FALSE),"-")</f>
        <v>papies@email.it</v>
      </c>
      <c r="AO179" s="63">
        <f>IFERROR(VLOOKUP(Table2[[#This Row],[Contraente]],Table1[[Nome/Ragione sociale]:[Checkbox selezionato]],8,FALSE),"-")</f>
        <v>0</v>
      </c>
      <c r="AP179" s="63">
        <f>IFERROR(VLOOKUP(Table2[[#This Row],[Contraente]],Table1[[Nome/Ragione sociale]:[Checkbox selezionato]],10,FALSE),"-")</f>
        <v>0</v>
      </c>
      <c r="AQ179" s="63" t="str">
        <f>IFERROR(VLOOKUP(Table2[[#This Row],[Contraente]],Table1[[Nome/Ragione sociale]:[Checkbox selezionato]],11,FALSE),"-")</f>
        <v>SI</v>
      </c>
      <c r="AR179" s="63" t="str">
        <f>IFERROR(VLOOKUP(Table2[[#This Row],[Contraente]],Table1[[Nome/Ragione sociale]:[Checkbox selezionato]],12,FALSE),"-")</f>
        <v>SI</v>
      </c>
    </row>
    <row r="180" spans="1:44" ht="30" hidden="1" customHeight="1" x14ac:dyDescent="0.25">
      <c r="A180" s="60" t="str">
        <f>UPPER(LEFT(Table2[[#This Row],[Contraente]],1))</f>
        <v>B</v>
      </c>
      <c r="B180" s="60" t="s">
        <v>1634</v>
      </c>
      <c r="C180" s="81" t="s">
        <v>391</v>
      </c>
      <c r="D180" s="80" t="s">
        <v>37</v>
      </c>
      <c r="E180" s="86">
        <v>106108624</v>
      </c>
      <c r="F180" s="64">
        <v>42653</v>
      </c>
      <c r="G180" s="64">
        <f>IFERROR(CALCOLASCADENZA(Table2[[#This Row],[Data attivazione]],Table2[[#This Row],[Rateizzazione]],Table2[[#This Row],[Data ultimo pagamento]],Table2[[#This Row],[Data prossima scadenza manuale]]),"-")</f>
        <v>43034</v>
      </c>
      <c r="H180" s="67" t="s">
        <v>31</v>
      </c>
      <c r="I180" s="67" t="s">
        <v>1209</v>
      </c>
      <c r="J180" s="33">
        <f>IFERROR(Table2[[#This Row],[Importo annuale]]/(12/VLOOKUP(Table2[[#This Row],[Rateizzazione]],TIPI_RATEIZZAZIONI,2,FALSE)),"-")</f>
        <v>475</v>
      </c>
      <c r="K180" s="88"/>
      <c r="L180" s="88">
        <v>475</v>
      </c>
      <c r="M180" s="67" t="s">
        <v>43</v>
      </c>
      <c r="N180" s="67" t="s">
        <v>51</v>
      </c>
      <c r="O180" s="27" t="s">
        <v>1631</v>
      </c>
      <c r="P180" s="33" t="s">
        <v>23</v>
      </c>
      <c r="Q180" s="60">
        <f>IFERROR(IF(12 / VLOOKUP(Table2[[#This Row],[Rateizzazione]],TIPI_RATEIZZAZIONI,2,FALSE) &gt;=1,  IF(Table2[[#This Row],[Data attivazione]] = "","-",MONTH(Table2[[#This Row],[Data attivazione]])),"-"),"-")</f>
        <v>10</v>
      </c>
      <c r="R1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0" s="67" t="s">
        <v>2</v>
      </c>
      <c r="V180" s="62"/>
      <c r="W180" s="64">
        <v>42669</v>
      </c>
      <c r="X180" s="29">
        <f>DATE(YEAR(Table2[[#This Row],[Data attivazione]])+VLOOKUP(Table2[[#This Row],[Durata]],VALORE_DURATA,2,FALSE),MONTH(Table2[[#This Row],[Data attivazione]]),DAY(Table2[[#This Row],[Data attivazione]]))</f>
        <v>43034</v>
      </c>
      <c r="Y180" s="65"/>
      <c r="Z180" s="61"/>
      <c r="AA180" s="64" t="s">
        <v>85</v>
      </c>
      <c r="AB180" s="29" t="str">
        <f>IF(Table2[[#This Row],[Data ultimo versamento temp]]=0/1/1900,"-",Table2[[#This Row],[Data ultimo versamento temp]])</f>
        <v>-</v>
      </c>
      <c r="AC180" s="29">
        <f t="array" ref="AC180">MAX(IF(TableVersamenti[Polizza]=Table2[[#This Row],[Polizza]],TableVersamenti[Data prevista versamento],"-"))</f>
        <v>0</v>
      </c>
      <c r="AD180" s="62"/>
      <c r="AE180" s="106">
        <f>DATE(YEAR(Table2[[#This Row],[Data ultimo pagamento]]),MONTH(Table2[[#This Row],[Data ultimo pagamento]]), 1)</f>
        <v>42644</v>
      </c>
      <c r="AF180" s="106">
        <f>DATE(YEAR(Table2[[#This Row],[Data prossima scadenza]]),MONTH(Table2[[#This Row],[Data prossima scadenza]]), 1)</f>
        <v>43009</v>
      </c>
      <c r="AG180" s="33">
        <f>IFERROR(Table2[[#This Row],[Importo annuale]]*VLOOKUP(Table2[[#This Row],[Ramo]],RAMI_POLIZZA,2,FALSE),0)</f>
        <v>24.7</v>
      </c>
      <c r="AH180" s="65" t="s">
        <v>113</v>
      </c>
      <c r="AI180" s="63" t="str">
        <f>IFERROR(VLOOKUP(Table2[[#This Row],[Contraente]],Table1[[Nome/Ragione sociale]:[Checkbox selezionato]],2,FALSE),"-")</f>
        <v xml:space="preserve">GENZONE </v>
      </c>
      <c r="AJ180" s="63">
        <f>IFERROR(VLOOKUP(Table2[[#This Row],[Contraente]],Table1[[Nome/Ragione sociale]:[Checkbox selezionato]],3,FALSE),"-")</f>
        <v>3356714091</v>
      </c>
      <c r="AK180" s="63">
        <f>IFERROR(VLOOKUP(Table2[[#This Row],[Contraente]],Table1[[Nome/Ragione sociale]:[Checkbox selezionato]],4,FALSE),"-")</f>
        <v>0</v>
      </c>
      <c r="AL180" s="63" t="str">
        <f>IFERROR(VLOOKUP(Table2[[#This Row],[Contraente]],Table1[[Nome/Ragione sociale]:[Checkbox selezionato]],5,FALSE),"-")</f>
        <v>LUIGI</v>
      </c>
      <c r="AM180" s="62">
        <f>IFERROR(VLOOKUP(Table2[[#This Row],[Contraente]],Table1[[Nome/Ragione sociale]:[Checkbox selezionato]],6,FALSE),"-")</f>
        <v>19888</v>
      </c>
      <c r="AN180" s="63" t="str">
        <f>IFERROR(VLOOKUP(Table2[[#This Row],[Contraente]],Table1[[Nome/Ragione sociale]:[Checkbox selezionato]],7,FALSE),"-")</f>
        <v>papies@libero.it</v>
      </c>
      <c r="AO180" s="63">
        <f>IFERROR(VLOOKUP(Table2[[#This Row],[Contraente]],Table1[[Nome/Ragione sociale]:[Checkbox selezionato]],8,FALSE),"-")</f>
        <v>0</v>
      </c>
      <c r="AP180" s="63">
        <f>IFERROR(VLOOKUP(Table2[[#This Row],[Contraente]],Table1[[Nome/Ragione sociale]:[Checkbox selezionato]],10,FALSE),"-")</f>
        <v>3356714091</v>
      </c>
      <c r="AQ180" s="63" t="str">
        <f>IFERROR(VLOOKUP(Table2[[#This Row],[Contraente]],Table1[[Nome/Ragione sociale]:[Checkbox selezionato]],11,FALSE),"-")</f>
        <v>SI</v>
      </c>
      <c r="AR180" s="63" t="str">
        <f>IFERROR(VLOOKUP(Table2[[#This Row],[Contraente]],Table1[[Nome/Ragione sociale]:[Checkbox selezionato]],12,FALSE),"-")</f>
        <v>SI</v>
      </c>
    </row>
    <row r="181" spans="1:44" ht="30" hidden="1" customHeight="1" x14ac:dyDescent="0.25">
      <c r="A181" s="60" t="str">
        <f>UPPER(LEFT(Table2[[#This Row],[Contraente]],1))</f>
        <v>B</v>
      </c>
      <c r="B181" s="60" t="s">
        <v>1634</v>
      </c>
      <c r="C181" s="81" t="s">
        <v>388</v>
      </c>
      <c r="D181" s="80" t="s">
        <v>37</v>
      </c>
      <c r="E181" s="86">
        <v>106706705</v>
      </c>
      <c r="F181" s="64">
        <v>42830</v>
      </c>
      <c r="G181" s="64">
        <f>IFERROR(CALCOLASCADENZA(Table2[[#This Row],[Data attivazione]],Table2[[#This Row],[Rateizzazione]],Table2[[#This Row],[Data ultimo pagamento]],Table2[[#This Row],[Data prossima scadenza manuale]]),"-")</f>
        <v>43194</v>
      </c>
      <c r="H181" s="67" t="s">
        <v>31</v>
      </c>
      <c r="I181" s="67" t="s">
        <v>1208</v>
      </c>
      <c r="J181" s="33">
        <f>IFERROR(Table2[[#This Row],[Importo annuale]]/(12/VLOOKUP(Table2[[#This Row],[Rateizzazione]],TIPI_RATEIZZAZIONI,2,FALSE)),"-")</f>
        <v>530</v>
      </c>
      <c r="K181" s="88">
        <v>530</v>
      </c>
      <c r="L181" s="88">
        <v>530</v>
      </c>
      <c r="M181" s="67" t="s">
        <v>44</v>
      </c>
      <c r="N181" s="67" t="s">
        <v>51</v>
      </c>
      <c r="O181" s="27" t="s">
        <v>1631</v>
      </c>
      <c r="P181" s="33" t="s">
        <v>23</v>
      </c>
      <c r="Q181" s="60">
        <f>IFERROR(IF(12 / VLOOKUP(Table2[[#This Row],[Rateizzazione]],TIPI_RATEIZZAZIONI,2,FALSE) &gt;=1,  IF(Table2[[#This Row],[Data attivazione]] = "","-",MONTH(Table2[[#This Row],[Data attivazione]])),"-"),"-")</f>
        <v>4</v>
      </c>
      <c r="R1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1" s="67" t="s">
        <v>2</v>
      </c>
      <c r="V181" s="62"/>
      <c r="W181" s="64">
        <v>42829</v>
      </c>
      <c r="X181" s="29">
        <f>DATE(YEAR(Table2[[#This Row],[Data attivazione]])+VLOOKUP(Table2[[#This Row],[Durata]],VALORE_DURATA,2,FALSE),MONTH(Table2[[#This Row],[Data attivazione]]),DAY(Table2[[#This Row],[Data attivazione]]))</f>
        <v>43194</v>
      </c>
      <c r="Y181" s="65"/>
      <c r="Z181" s="61"/>
      <c r="AA181" s="64" t="s">
        <v>85</v>
      </c>
      <c r="AB181" s="29" t="str">
        <f>IF(Table2[[#This Row],[Data ultimo versamento temp]]=0/1/1900,"-",Table2[[#This Row],[Data ultimo versamento temp]])</f>
        <v>-</v>
      </c>
      <c r="AC181" s="29">
        <f t="array" ref="AC181">MAX(IF(TableVersamenti[Polizza]=Table2[[#This Row],[Polizza]],TableVersamenti[Data prevista versamento],"-"))</f>
        <v>0</v>
      </c>
      <c r="AD181" s="62"/>
      <c r="AE181" s="106">
        <f>DATE(YEAR(Table2[[#This Row],[Data ultimo pagamento]]),MONTH(Table2[[#This Row],[Data ultimo pagamento]]), 1)</f>
        <v>42826</v>
      </c>
      <c r="AF181" s="106">
        <f>DATE(YEAR(Table2[[#This Row],[Data prossima scadenza]]),MONTH(Table2[[#This Row],[Data prossima scadenza]]), 1)</f>
        <v>43191</v>
      </c>
      <c r="AG181" s="33">
        <f>IFERROR(Table2[[#This Row],[Importo annuale]]*VLOOKUP(Table2[[#This Row],[Ramo]],RAMI_POLIZZA,2,FALSE),0)</f>
        <v>27.56</v>
      </c>
      <c r="AH181" s="65" t="s">
        <v>113</v>
      </c>
      <c r="AI181" s="63" t="str">
        <f>IFERROR(VLOOKUP(Table2[[#This Row],[Contraente]],Table1[[Nome/Ragione sociale]:[Checkbox selezionato]],2,FALSE),"-")</f>
        <v>BELGIOIOSO</v>
      </c>
      <c r="AJ181" s="63">
        <f>IFERROR(VLOOKUP(Table2[[#This Row],[Contraente]],Table1[[Nome/Ragione sociale]:[Checkbox selezionato]],3,FALSE),"-")</f>
        <v>3381206396</v>
      </c>
      <c r="AK181" s="63">
        <f>IFERROR(VLOOKUP(Table2[[#This Row],[Contraente]],Table1[[Nome/Ragione sociale]:[Checkbox selezionato]],4,FALSE),"-")</f>
        <v>0</v>
      </c>
      <c r="AL181" s="63" t="str">
        <f>IFERROR(VLOOKUP(Table2[[#This Row],[Contraente]],Table1[[Nome/Ragione sociale]:[Checkbox selezionato]],5,FALSE),"-")</f>
        <v>EMILIANO</v>
      </c>
      <c r="AM181" s="62">
        <f>IFERROR(VLOOKUP(Table2[[#This Row],[Contraente]],Table1[[Nome/Ragione sociale]:[Checkbox selezionato]],6,FALSE),"-")</f>
        <v>29180</v>
      </c>
      <c r="AN181" s="63" t="str">
        <f>IFERROR(VLOOKUP(Table2[[#This Row],[Contraente]],Table1[[Nome/Ragione sociale]:[Checkbox selezionato]],7,FALSE),"-")</f>
        <v>papies@libero.it</v>
      </c>
      <c r="AO181" s="63">
        <f>IFERROR(VLOOKUP(Table2[[#This Row],[Contraente]],Table1[[Nome/Ragione sociale]:[Checkbox selezionato]],8,FALSE),"-")</f>
        <v>0</v>
      </c>
      <c r="AP181" s="63">
        <f>IFERROR(VLOOKUP(Table2[[#This Row],[Contraente]],Table1[[Nome/Ragione sociale]:[Checkbox selezionato]],10,FALSE),"-")</f>
        <v>3381206396</v>
      </c>
      <c r="AQ181" s="63" t="str">
        <f>IFERROR(VLOOKUP(Table2[[#This Row],[Contraente]],Table1[[Nome/Ragione sociale]:[Checkbox selezionato]],11,FALSE),"-")</f>
        <v>SI</v>
      </c>
      <c r="AR181" s="63" t="str">
        <f>IFERROR(VLOOKUP(Table2[[#This Row],[Contraente]],Table1[[Nome/Ragione sociale]:[Checkbox selezionato]],12,FALSE),"-")</f>
        <v>SI</v>
      </c>
    </row>
    <row r="182" spans="1:44" ht="30" hidden="1" customHeight="1" x14ac:dyDescent="0.25">
      <c r="A182" s="60" t="str">
        <f>UPPER(LEFT(Table2[[#This Row],[Contraente]],1))</f>
        <v>B</v>
      </c>
      <c r="B182" s="60" t="s">
        <v>1634</v>
      </c>
      <c r="C182" s="81" t="s">
        <v>388</v>
      </c>
      <c r="D182" s="80" t="s">
        <v>37</v>
      </c>
      <c r="E182" s="86">
        <v>102906750</v>
      </c>
      <c r="F182" s="64">
        <v>42830</v>
      </c>
      <c r="G182" s="64">
        <f>IFERROR(CALCOLASCADENZA(Table2[[#This Row],[Data attivazione]],Table2[[#This Row],[Rateizzazione]],Table2[[#This Row],[Data ultimo pagamento]],Table2[[#This Row],[Data prossima scadenza manuale]]),"-")</f>
        <v>43194</v>
      </c>
      <c r="H182" s="67" t="s">
        <v>30</v>
      </c>
      <c r="I182" s="67" t="s">
        <v>113</v>
      </c>
      <c r="J182" s="33">
        <f>IFERROR(Table2[[#This Row],[Importo annuale]]/(12/VLOOKUP(Table2[[#This Row],[Rateizzazione]],TIPI_RATEIZZAZIONI,2,FALSE)),"-")</f>
        <v>69</v>
      </c>
      <c r="K182" s="88">
        <v>69</v>
      </c>
      <c r="L182" s="88">
        <v>69</v>
      </c>
      <c r="M182" s="67" t="s">
        <v>44</v>
      </c>
      <c r="N182" s="67" t="s">
        <v>51</v>
      </c>
      <c r="O182" s="27" t="s">
        <v>1631</v>
      </c>
      <c r="P182" s="33" t="s">
        <v>23</v>
      </c>
      <c r="Q182" s="60">
        <f>IFERROR(IF(12 / VLOOKUP(Table2[[#This Row],[Rateizzazione]],TIPI_RATEIZZAZIONI,2,FALSE) &gt;=1,  IF(Table2[[#This Row],[Data attivazione]] = "","-",MONTH(Table2[[#This Row],[Data attivazione]])),"-"),"-")</f>
        <v>4</v>
      </c>
      <c r="R1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2" s="67" t="s">
        <v>2</v>
      </c>
      <c r="V182" s="62"/>
      <c r="W182" s="64">
        <v>42829</v>
      </c>
      <c r="X182" s="29">
        <f>DATE(YEAR(Table2[[#This Row],[Data attivazione]])+VLOOKUP(Table2[[#This Row],[Durata]],VALORE_DURATA,2,FALSE),MONTH(Table2[[#This Row],[Data attivazione]]),DAY(Table2[[#This Row],[Data attivazione]]))</f>
        <v>43194</v>
      </c>
      <c r="Y182" s="65"/>
      <c r="Z182" s="61"/>
      <c r="AA182" s="64" t="s">
        <v>85</v>
      </c>
      <c r="AB182" s="29" t="str">
        <f>IF(Table2[[#This Row],[Data ultimo versamento temp]]=0/1/1900,"-",Table2[[#This Row],[Data ultimo versamento temp]])</f>
        <v>-</v>
      </c>
      <c r="AC182" s="29">
        <f t="array" ref="AC182">MAX(IF(TableVersamenti[Polizza]=Table2[[#This Row],[Polizza]],TableVersamenti[Data prevista versamento],"-"))</f>
        <v>0</v>
      </c>
      <c r="AD182" s="62"/>
      <c r="AE182" s="106">
        <f>DATE(YEAR(Table2[[#This Row],[Data ultimo pagamento]]),MONTH(Table2[[#This Row],[Data ultimo pagamento]]), 1)</f>
        <v>42826</v>
      </c>
      <c r="AF182" s="106">
        <f>DATE(YEAR(Table2[[#This Row],[Data prossima scadenza]]),MONTH(Table2[[#This Row],[Data prossima scadenza]]), 1)</f>
        <v>43191</v>
      </c>
      <c r="AG182" s="33">
        <f>IFERROR(Table2[[#This Row],[Importo annuale]]*VLOOKUP(Table2[[#This Row],[Ramo]],RAMI_POLIZZA,2,FALSE),0)</f>
        <v>7.9350000000000005</v>
      </c>
      <c r="AH182" s="65" t="s">
        <v>113</v>
      </c>
      <c r="AI182" s="63" t="str">
        <f>IFERROR(VLOOKUP(Table2[[#This Row],[Contraente]],Table1[[Nome/Ragione sociale]:[Checkbox selezionato]],2,FALSE),"-")</f>
        <v>BELGIOIOSO</v>
      </c>
      <c r="AJ182" s="63">
        <f>IFERROR(VLOOKUP(Table2[[#This Row],[Contraente]],Table1[[Nome/Ragione sociale]:[Checkbox selezionato]],3,FALSE),"-")</f>
        <v>3381206396</v>
      </c>
      <c r="AK182" s="63">
        <f>IFERROR(VLOOKUP(Table2[[#This Row],[Contraente]],Table1[[Nome/Ragione sociale]:[Checkbox selezionato]],4,FALSE),"-")</f>
        <v>0</v>
      </c>
      <c r="AL182" s="63" t="str">
        <f>IFERROR(VLOOKUP(Table2[[#This Row],[Contraente]],Table1[[Nome/Ragione sociale]:[Checkbox selezionato]],5,FALSE),"-")</f>
        <v>EMILIANO</v>
      </c>
      <c r="AM182" s="62">
        <f>IFERROR(VLOOKUP(Table2[[#This Row],[Contraente]],Table1[[Nome/Ragione sociale]:[Checkbox selezionato]],6,FALSE),"-")</f>
        <v>29180</v>
      </c>
      <c r="AN182" s="63" t="str">
        <f>IFERROR(VLOOKUP(Table2[[#This Row],[Contraente]],Table1[[Nome/Ragione sociale]:[Checkbox selezionato]],7,FALSE),"-")</f>
        <v>papies@libero.it</v>
      </c>
      <c r="AO182" s="63">
        <f>IFERROR(VLOOKUP(Table2[[#This Row],[Contraente]],Table1[[Nome/Ragione sociale]:[Checkbox selezionato]],8,FALSE),"-")</f>
        <v>0</v>
      </c>
      <c r="AP182" s="63">
        <f>IFERROR(VLOOKUP(Table2[[#This Row],[Contraente]],Table1[[Nome/Ragione sociale]:[Checkbox selezionato]],10,FALSE),"-")</f>
        <v>3381206396</v>
      </c>
      <c r="AQ182" s="63" t="str">
        <f>IFERROR(VLOOKUP(Table2[[#This Row],[Contraente]],Table1[[Nome/Ragione sociale]:[Checkbox selezionato]],11,FALSE),"-")</f>
        <v>SI</v>
      </c>
      <c r="AR182" s="63" t="str">
        <f>IFERROR(VLOOKUP(Table2[[#This Row],[Contraente]],Table1[[Nome/Ragione sociale]:[Checkbox selezionato]],12,FALSE),"-")</f>
        <v>SI</v>
      </c>
    </row>
    <row r="183" spans="1:44" ht="30" hidden="1" customHeight="1" x14ac:dyDescent="0.25">
      <c r="A183" s="60" t="str">
        <f>UPPER(LEFT(Table2[[#This Row],[Contraente]],1))</f>
        <v>B</v>
      </c>
      <c r="B183" s="60" t="s">
        <v>1634</v>
      </c>
      <c r="C183" s="81" t="s">
        <v>392</v>
      </c>
      <c r="D183" s="80" t="s">
        <v>37</v>
      </c>
      <c r="E183" s="86">
        <v>103724241</v>
      </c>
      <c r="F183" s="64">
        <v>42684</v>
      </c>
      <c r="G183" s="64">
        <f>IFERROR(CALCOLASCADENZA(Table2[[#This Row],[Data attivazione]],Table2[[#This Row],[Rateizzazione]],Table2[[#This Row],[Data ultimo pagamento]],Table2[[#This Row],[Data prossima scadenza manuale]]),"-")</f>
        <v>43051</v>
      </c>
      <c r="H183" s="67" t="s">
        <v>30</v>
      </c>
      <c r="I183" s="67" t="s">
        <v>113</v>
      </c>
      <c r="J183" s="33">
        <f>IFERROR(Table2[[#This Row],[Importo annuale]]/(12/VLOOKUP(Table2[[#This Row],[Rateizzazione]],TIPI_RATEIZZAZIONI,2,FALSE)),"-")</f>
        <v>115</v>
      </c>
      <c r="K183" s="88"/>
      <c r="L183" s="88">
        <v>115</v>
      </c>
      <c r="M183" s="67" t="s">
        <v>44</v>
      </c>
      <c r="N183" s="67" t="s">
        <v>51</v>
      </c>
      <c r="O183" s="27" t="s">
        <v>1631</v>
      </c>
      <c r="P183" s="33" t="s">
        <v>23</v>
      </c>
      <c r="Q183" s="60">
        <f>IFERROR(IF(12 / VLOOKUP(Table2[[#This Row],[Rateizzazione]],TIPI_RATEIZZAZIONI,2,FALSE) &gt;=1,  IF(Table2[[#This Row],[Data attivazione]] = "","-",MONTH(Table2[[#This Row],[Data attivazione]])),"-"),"-")</f>
        <v>11</v>
      </c>
      <c r="R1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3" s="67" t="s">
        <v>2</v>
      </c>
      <c r="V183" s="62"/>
      <c r="W183" s="64">
        <v>42686</v>
      </c>
      <c r="X183" s="29">
        <f>DATE(YEAR(Table2[[#This Row],[Data attivazione]])+VLOOKUP(Table2[[#This Row],[Durata]],VALORE_DURATA,2,FALSE),MONTH(Table2[[#This Row],[Data attivazione]]),DAY(Table2[[#This Row],[Data attivazione]]))</f>
        <v>43051</v>
      </c>
      <c r="Y183" s="65"/>
      <c r="Z183" s="61"/>
      <c r="AA183" s="64" t="s">
        <v>85</v>
      </c>
      <c r="AB183" s="29" t="str">
        <f>IF(Table2[[#This Row],[Data ultimo versamento temp]]=0/1/1900,"-",Table2[[#This Row],[Data ultimo versamento temp]])</f>
        <v>-</v>
      </c>
      <c r="AC183" s="29">
        <f t="array" ref="AC183">MAX(IF(TableVersamenti[Polizza]=Table2[[#This Row],[Polizza]],TableVersamenti[Data prevista versamento],"-"))</f>
        <v>0</v>
      </c>
      <c r="AD183" s="62"/>
      <c r="AE183" s="106">
        <f>DATE(YEAR(Table2[[#This Row],[Data ultimo pagamento]]),MONTH(Table2[[#This Row],[Data ultimo pagamento]]), 1)</f>
        <v>42675</v>
      </c>
      <c r="AF183" s="106">
        <f>DATE(YEAR(Table2[[#This Row],[Data prossima scadenza]]),MONTH(Table2[[#This Row],[Data prossima scadenza]]), 1)</f>
        <v>43040</v>
      </c>
      <c r="AG183" s="33">
        <f>IFERROR(Table2[[#This Row],[Importo annuale]]*VLOOKUP(Table2[[#This Row],[Ramo]],RAMI_POLIZZA,2,FALSE),0)</f>
        <v>13.225000000000001</v>
      </c>
      <c r="AH183" s="65" t="s">
        <v>113</v>
      </c>
      <c r="AI183" s="63" t="str">
        <f>IFERROR(VLOOKUP(Table2[[#This Row],[Contraente]],Table1[[Nome/Ragione sociale]:[Checkbox selezionato]],2,FALSE),"-")</f>
        <v xml:space="preserve">GENZONE </v>
      </c>
      <c r="AJ183" s="63">
        <f>IFERROR(VLOOKUP(Table2[[#This Row],[Contraente]],Table1[[Nome/Ragione sociale]:[Checkbox selezionato]],3,FALSE),"-")</f>
        <v>3356714091</v>
      </c>
      <c r="AK183" s="63">
        <f>IFERROR(VLOOKUP(Table2[[#This Row],[Contraente]],Table1[[Nome/Ragione sociale]:[Checkbox selezionato]],4,FALSE),"-")</f>
        <v>0</v>
      </c>
      <c r="AL183" s="63" t="str">
        <f>IFERROR(VLOOKUP(Table2[[#This Row],[Contraente]],Table1[[Nome/Ragione sociale]:[Checkbox selezionato]],5,FALSE),"-")</f>
        <v>LUIGI</v>
      </c>
      <c r="AM183" s="62">
        <f>IFERROR(VLOOKUP(Table2[[#This Row],[Contraente]],Table1[[Nome/Ragione sociale]:[Checkbox selezionato]],6,FALSE),"-")</f>
        <v>19888</v>
      </c>
      <c r="AN183" s="63" t="str">
        <f>IFERROR(VLOOKUP(Table2[[#This Row],[Contraente]],Table1[[Nome/Ragione sociale]:[Checkbox selezionato]],7,FALSE),"-")</f>
        <v>papies@email.it</v>
      </c>
      <c r="AO183" s="63">
        <f>IFERROR(VLOOKUP(Table2[[#This Row],[Contraente]],Table1[[Nome/Ragione sociale]:[Checkbox selezionato]],8,FALSE),"-")</f>
        <v>0</v>
      </c>
      <c r="AP183" s="63">
        <f>IFERROR(VLOOKUP(Table2[[#This Row],[Contraente]],Table1[[Nome/Ragione sociale]:[Checkbox selezionato]],10,FALSE),"-")</f>
        <v>3356714091</v>
      </c>
      <c r="AQ183" s="63" t="str">
        <f>IFERROR(VLOOKUP(Table2[[#This Row],[Contraente]],Table1[[Nome/Ragione sociale]:[Checkbox selezionato]],11,FALSE),"-")</f>
        <v>SI</v>
      </c>
      <c r="AR183" s="63" t="str">
        <f>IFERROR(VLOOKUP(Table2[[#This Row],[Contraente]],Table1[[Nome/Ragione sociale]:[Checkbox selezionato]],12,FALSE),"-")</f>
        <v>SI</v>
      </c>
    </row>
    <row r="184" spans="1:44" ht="30" hidden="1" customHeight="1" x14ac:dyDescent="0.25">
      <c r="A184" s="60" t="str">
        <f>UPPER(LEFT(Table2[[#This Row],[Contraente]],1))</f>
        <v>B</v>
      </c>
      <c r="B184" s="60" t="s">
        <v>1634</v>
      </c>
      <c r="C184" s="81" t="s">
        <v>392</v>
      </c>
      <c r="D184" s="80" t="s">
        <v>37</v>
      </c>
      <c r="E184" s="86">
        <v>103958350</v>
      </c>
      <c r="F184" s="64">
        <v>42748</v>
      </c>
      <c r="G184" s="64">
        <f>IFERROR(CALCOLASCADENZA(Table2[[#This Row],[Data attivazione]],Table2[[#This Row],[Rateizzazione]],Table2[[#This Row],[Data ultimo pagamento]],Table2[[#This Row],[Data prossima scadenza manuale]]),"-")</f>
        <v>43121</v>
      </c>
      <c r="H184" s="67" t="s">
        <v>30</v>
      </c>
      <c r="I184" s="67" t="s">
        <v>113</v>
      </c>
      <c r="J184" s="33">
        <f>IFERROR(Table2[[#This Row],[Importo annuale]]/(12/VLOOKUP(Table2[[#This Row],[Rateizzazione]],TIPI_RATEIZZAZIONI,2,FALSE)),"-")</f>
        <v>190</v>
      </c>
      <c r="K184" s="88">
        <v>190</v>
      </c>
      <c r="L184" s="88">
        <v>190</v>
      </c>
      <c r="M184" s="67" t="s">
        <v>44</v>
      </c>
      <c r="N184" s="67" t="s">
        <v>51</v>
      </c>
      <c r="O184" s="27" t="s">
        <v>1631</v>
      </c>
      <c r="P184" s="33" t="s">
        <v>23</v>
      </c>
      <c r="Q184" s="60">
        <f>IFERROR(IF(12 / VLOOKUP(Table2[[#This Row],[Rateizzazione]],TIPI_RATEIZZAZIONI,2,FALSE) &gt;=1,  IF(Table2[[#This Row],[Data attivazione]] = "","-",MONTH(Table2[[#This Row],[Data attivazione]])),"-"),"-")</f>
        <v>1</v>
      </c>
      <c r="R1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4" s="67" t="s">
        <v>2</v>
      </c>
      <c r="V184" s="62"/>
      <c r="W184" s="64">
        <v>42756</v>
      </c>
      <c r="X184" s="29">
        <f>DATE(YEAR(Table2[[#This Row],[Data attivazione]])+VLOOKUP(Table2[[#This Row],[Durata]],VALORE_DURATA,2,FALSE),MONTH(Table2[[#This Row],[Data attivazione]]),DAY(Table2[[#This Row],[Data attivazione]]))</f>
        <v>43121</v>
      </c>
      <c r="Y184" s="65"/>
      <c r="Z184" s="61"/>
      <c r="AA184" s="64" t="s">
        <v>85</v>
      </c>
      <c r="AB184" s="29" t="str">
        <f>IF(Table2[[#This Row],[Data ultimo versamento temp]]=0/1/1900,"-",Table2[[#This Row],[Data ultimo versamento temp]])</f>
        <v>-</v>
      </c>
      <c r="AC184" s="29">
        <f t="array" ref="AC184">MAX(IF(TableVersamenti[Polizza]=Table2[[#This Row],[Polizza]],TableVersamenti[Data prevista versamento],"-"))</f>
        <v>0</v>
      </c>
      <c r="AD184" s="62"/>
      <c r="AE184" s="106">
        <f>DATE(YEAR(Table2[[#This Row],[Data ultimo pagamento]]),MONTH(Table2[[#This Row],[Data ultimo pagamento]]), 1)</f>
        <v>42736</v>
      </c>
      <c r="AF184" s="106">
        <f>DATE(YEAR(Table2[[#This Row],[Data prossima scadenza]]),MONTH(Table2[[#This Row],[Data prossima scadenza]]), 1)</f>
        <v>43101</v>
      </c>
      <c r="AG184" s="33">
        <f>IFERROR(Table2[[#This Row],[Importo annuale]]*VLOOKUP(Table2[[#This Row],[Ramo]],RAMI_POLIZZA,2,FALSE),0)</f>
        <v>21.85</v>
      </c>
      <c r="AH184" s="65" t="s">
        <v>113</v>
      </c>
      <c r="AI184" s="63" t="str">
        <f>IFERROR(VLOOKUP(Table2[[#This Row],[Contraente]],Table1[[Nome/Ragione sociale]:[Checkbox selezionato]],2,FALSE),"-")</f>
        <v xml:space="preserve">GENZONE </v>
      </c>
      <c r="AJ184" s="63">
        <f>IFERROR(VLOOKUP(Table2[[#This Row],[Contraente]],Table1[[Nome/Ragione sociale]:[Checkbox selezionato]],3,FALSE),"-")</f>
        <v>3356714091</v>
      </c>
      <c r="AK184" s="63">
        <f>IFERROR(VLOOKUP(Table2[[#This Row],[Contraente]],Table1[[Nome/Ragione sociale]:[Checkbox selezionato]],4,FALSE),"-")</f>
        <v>0</v>
      </c>
      <c r="AL184" s="63" t="str">
        <f>IFERROR(VLOOKUP(Table2[[#This Row],[Contraente]],Table1[[Nome/Ragione sociale]:[Checkbox selezionato]],5,FALSE),"-")</f>
        <v>LUIGI</v>
      </c>
      <c r="AM184" s="62">
        <f>IFERROR(VLOOKUP(Table2[[#This Row],[Contraente]],Table1[[Nome/Ragione sociale]:[Checkbox selezionato]],6,FALSE),"-")</f>
        <v>19888</v>
      </c>
      <c r="AN184" s="63" t="str">
        <f>IFERROR(VLOOKUP(Table2[[#This Row],[Contraente]],Table1[[Nome/Ragione sociale]:[Checkbox selezionato]],7,FALSE),"-")</f>
        <v>papies@email.it</v>
      </c>
      <c r="AO184" s="63">
        <f>IFERROR(VLOOKUP(Table2[[#This Row],[Contraente]],Table1[[Nome/Ragione sociale]:[Checkbox selezionato]],8,FALSE),"-")</f>
        <v>0</v>
      </c>
      <c r="AP184" s="63">
        <f>IFERROR(VLOOKUP(Table2[[#This Row],[Contraente]],Table1[[Nome/Ragione sociale]:[Checkbox selezionato]],10,FALSE),"-")</f>
        <v>3356714091</v>
      </c>
      <c r="AQ184" s="63" t="str">
        <f>IFERROR(VLOOKUP(Table2[[#This Row],[Contraente]],Table1[[Nome/Ragione sociale]:[Checkbox selezionato]],11,FALSE),"-")</f>
        <v>SI</v>
      </c>
      <c r="AR184" s="63" t="str">
        <f>IFERROR(VLOOKUP(Table2[[#This Row],[Contraente]],Table1[[Nome/Ragione sociale]:[Checkbox selezionato]],12,FALSE),"-")</f>
        <v>SI</v>
      </c>
    </row>
    <row r="185" spans="1:44" ht="30" hidden="1" customHeight="1" x14ac:dyDescent="0.25">
      <c r="A185" s="60" t="str">
        <f>UPPER(LEFT(Table2[[#This Row],[Contraente]],1))</f>
        <v>B</v>
      </c>
      <c r="B185" s="60" t="s">
        <v>1634</v>
      </c>
      <c r="C185" s="81" t="s">
        <v>392</v>
      </c>
      <c r="D185" s="80" t="s">
        <v>37</v>
      </c>
      <c r="E185" s="86">
        <v>103958527</v>
      </c>
      <c r="F185" s="64">
        <v>42739</v>
      </c>
      <c r="G185" s="64">
        <f>IFERROR(CALCOLASCADENZA(Table2[[#This Row],[Data attivazione]],Table2[[#This Row],[Rateizzazione]],Table2[[#This Row],[Data ultimo pagamento]],Table2[[#This Row],[Data prossima scadenza manuale]]),"-")</f>
        <v>43121</v>
      </c>
      <c r="H185" s="67" t="s">
        <v>30</v>
      </c>
      <c r="I185" s="67" t="s">
        <v>113</v>
      </c>
      <c r="J185" s="33">
        <f>IFERROR(Table2[[#This Row],[Importo annuale]]/(12/VLOOKUP(Table2[[#This Row],[Rateizzazione]],TIPI_RATEIZZAZIONI,2,FALSE)),"-")</f>
        <v>116</v>
      </c>
      <c r="K185" s="88">
        <v>116</v>
      </c>
      <c r="L185" s="88">
        <v>116</v>
      </c>
      <c r="M185" s="67" t="s">
        <v>43</v>
      </c>
      <c r="N185" s="67" t="s">
        <v>51</v>
      </c>
      <c r="O185" s="27" t="s">
        <v>1631</v>
      </c>
      <c r="P185" s="33" t="s">
        <v>23</v>
      </c>
      <c r="Q185" s="60">
        <f>IFERROR(IF(12 / VLOOKUP(Table2[[#This Row],[Rateizzazione]],TIPI_RATEIZZAZIONI,2,FALSE) &gt;=1,  IF(Table2[[#This Row],[Data attivazione]] = "","-",MONTH(Table2[[#This Row],[Data attivazione]])),"-"),"-")</f>
        <v>1</v>
      </c>
      <c r="R1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5" s="67" t="s">
        <v>2</v>
      </c>
      <c r="V185" s="62"/>
      <c r="W185" s="64">
        <v>42756</v>
      </c>
      <c r="X185" s="29">
        <f>DATE(YEAR(Table2[[#This Row],[Data attivazione]])+VLOOKUP(Table2[[#This Row],[Durata]],VALORE_DURATA,2,FALSE),MONTH(Table2[[#This Row],[Data attivazione]]),DAY(Table2[[#This Row],[Data attivazione]]))</f>
        <v>43121</v>
      </c>
      <c r="Y185" s="65"/>
      <c r="Z185" s="61"/>
      <c r="AA185" s="64" t="s">
        <v>85</v>
      </c>
      <c r="AB185" s="29" t="str">
        <f>IF(Table2[[#This Row],[Data ultimo versamento temp]]=0/1/1900,"-",Table2[[#This Row],[Data ultimo versamento temp]])</f>
        <v>-</v>
      </c>
      <c r="AC185" s="29">
        <f t="array" ref="AC185">MAX(IF(TableVersamenti[Polizza]=Table2[[#This Row],[Polizza]],TableVersamenti[Data prevista versamento],"-"))</f>
        <v>0</v>
      </c>
      <c r="AD185" s="62"/>
      <c r="AE185" s="106">
        <f>DATE(YEAR(Table2[[#This Row],[Data ultimo pagamento]]),MONTH(Table2[[#This Row],[Data ultimo pagamento]]), 1)</f>
        <v>42736</v>
      </c>
      <c r="AF185" s="106">
        <f>DATE(YEAR(Table2[[#This Row],[Data prossima scadenza]]),MONTH(Table2[[#This Row],[Data prossima scadenza]]), 1)</f>
        <v>43101</v>
      </c>
      <c r="AG185" s="33">
        <f>IFERROR(Table2[[#This Row],[Importo annuale]]*VLOOKUP(Table2[[#This Row],[Ramo]],RAMI_POLIZZA,2,FALSE),0)</f>
        <v>13.34</v>
      </c>
      <c r="AH185" s="65" t="s">
        <v>113</v>
      </c>
      <c r="AI185" s="63" t="str">
        <f>IFERROR(VLOOKUP(Table2[[#This Row],[Contraente]],Table1[[Nome/Ragione sociale]:[Checkbox selezionato]],2,FALSE),"-")</f>
        <v xml:space="preserve">GENZONE </v>
      </c>
      <c r="AJ185" s="63">
        <f>IFERROR(VLOOKUP(Table2[[#This Row],[Contraente]],Table1[[Nome/Ragione sociale]:[Checkbox selezionato]],3,FALSE),"-")</f>
        <v>3356714091</v>
      </c>
      <c r="AK185" s="63">
        <f>IFERROR(VLOOKUP(Table2[[#This Row],[Contraente]],Table1[[Nome/Ragione sociale]:[Checkbox selezionato]],4,FALSE),"-")</f>
        <v>0</v>
      </c>
      <c r="AL185" s="63" t="str">
        <f>IFERROR(VLOOKUP(Table2[[#This Row],[Contraente]],Table1[[Nome/Ragione sociale]:[Checkbox selezionato]],5,FALSE),"-")</f>
        <v>LUIGI</v>
      </c>
      <c r="AM185" s="62">
        <f>IFERROR(VLOOKUP(Table2[[#This Row],[Contraente]],Table1[[Nome/Ragione sociale]:[Checkbox selezionato]],6,FALSE),"-")</f>
        <v>19888</v>
      </c>
      <c r="AN185" s="63" t="str">
        <f>IFERROR(VLOOKUP(Table2[[#This Row],[Contraente]],Table1[[Nome/Ragione sociale]:[Checkbox selezionato]],7,FALSE),"-")</f>
        <v>papies@email.it</v>
      </c>
      <c r="AO185" s="63">
        <f>IFERROR(VLOOKUP(Table2[[#This Row],[Contraente]],Table1[[Nome/Ragione sociale]:[Checkbox selezionato]],8,FALSE),"-")</f>
        <v>0</v>
      </c>
      <c r="AP185" s="63">
        <f>IFERROR(VLOOKUP(Table2[[#This Row],[Contraente]],Table1[[Nome/Ragione sociale]:[Checkbox selezionato]],10,FALSE),"-")</f>
        <v>3356714091</v>
      </c>
      <c r="AQ185" s="63" t="str">
        <f>IFERROR(VLOOKUP(Table2[[#This Row],[Contraente]],Table1[[Nome/Ragione sociale]:[Checkbox selezionato]],11,FALSE),"-")</f>
        <v>SI</v>
      </c>
      <c r="AR185" s="63" t="str">
        <f>IFERROR(VLOOKUP(Table2[[#This Row],[Contraente]],Table1[[Nome/Ragione sociale]:[Checkbox selezionato]],12,FALSE),"-")</f>
        <v>SI</v>
      </c>
    </row>
    <row r="186" spans="1:44" ht="30" hidden="1" customHeight="1" x14ac:dyDescent="0.25">
      <c r="A186" s="60" t="str">
        <f>UPPER(LEFT(Table2[[#This Row],[Contraente]],1))</f>
        <v>B</v>
      </c>
      <c r="B186" s="60" t="s">
        <v>1634</v>
      </c>
      <c r="C186" s="81" t="s">
        <v>392</v>
      </c>
      <c r="D186" s="80" t="s">
        <v>37</v>
      </c>
      <c r="E186" s="86">
        <v>103958543</v>
      </c>
      <c r="F186" s="64">
        <v>42739</v>
      </c>
      <c r="G186" s="64">
        <f>IFERROR(CALCOLASCADENZA(Table2[[#This Row],[Data attivazione]],Table2[[#This Row],[Rateizzazione]],Table2[[#This Row],[Data ultimo pagamento]],Table2[[#This Row],[Data prossima scadenza manuale]]),"-")</f>
        <v>43121</v>
      </c>
      <c r="H186" s="67" t="s">
        <v>30</v>
      </c>
      <c r="I186" s="67" t="s">
        <v>113</v>
      </c>
      <c r="J186" s="33">
        <f>IFERROR(Table2[[#This Row],[Importo annuale]]/(12/VLOOKUP(Table2[[#This Row],[Rateizzazione]],TIPI_RATEIZZAZIONI,2,FALSE)),"-")</f>
        <v>116</v>
      </c>
      <c r="K186" s="88">
        <v>116</v>
      </c>
      <c r="L186" s="88">
        <v>116</v>
      </c>
      <c r="M186" s="67" t="s">
        <v>43</v>
      </c>
      <c r="N186" s="67" t="s">
        <v>51</v>
      </c>
      <c r="O186" s="27" t="s">
        <v>1631</v>
      </c>
      <c r="P186" s="33" t="s">
        <v>23</v>
      </c>
      <c r="Q186" s="60">
        <f>IFERROR(IF(12 / VLOOKUP(Table2[[#This Row],[Rateizzazione]],TIPI_RATEIZZAZIONI,2,FALSE) &gt;=1,  IF(Table2[[#This Row],[Data attivazione]] = "","-",MONTH(Table2[[#This Row],[Data attivazione]])),"-"),"-")</f>
        <v>1</v>
      </c>
      <c r="R1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6" s="67" t="s">
        <v>2</v>
      </c>
      <c r="V186" s="62"/>
      <c r="W186" s="64">
        <v>42756</v>
      </c>
      <c r="X186" s="29">
        <f>DATE(YEAR(Table2[[#This Row],[Data attivazione]])+VLOOKUP(Table2[[#This Row],[Durata]],VALORE_DURATA,2,FALSE),MONTH(Table2[[#This Row],[Data attivazione]]),DAY(Table2[[#This Row],[Data attivazione]]))</f>
        <v>43121</v>
      </c>
      <c r="Y186" s="65"/>
      <c r="Z186" s="61"/>
      <c r="AA186" s="64" t="s">
        <v>85</v>
      </c>
      <c r="AB186" s="29" t="str">
        <f>IF(Table2[[#This Row],[Data ultimo versamento temp]]=0/1/1900,"-",Table2[[#This Row],[Data ultimo versamento temp]])</f>
        <v>-</v>
      </c>
      <c r="AC186" s="29">
        <f t="array" ref="AC186">MAX(IF(TableVersamenti[Polizza]=Table2[[#This Row],[Polizza]],TableVersamenti[Data prevista versamento],"-"))</f>
        <v>0</v>
      </c>
      <c r="AD186" s="62"/>
      <c r="AE186" s="106">
        <f>DATE(YEAR(Table2[[#This Row],[Data ultimo pagamento]]),MONTH(Table2[[#This Row],[Data ultimo pagamento]]), 1)</f>
        <v>42736</v>
      </c>
      <c r="AF186" s="106">
        <f>DATE(YEAR(Table2[[#This Row],[Data prossima scadenza]]),MONTH(Table2[[#This Row],[Data prossima scadenza]]), 1)</f>
        <v>43101</v>
      </c>
      <c r="AG186" s="33">
        <f>IFERROR(Table2[[#This Row],[Importo annuale]]*VLOOKUP(Table2[[#This Row],[Ramo]],RAMI_POLIZZA,2,FALSE),0)</f>
        <v>13.34</v>
      </c>
      <c r="AH186" s="65" t="s">
        <v>113</v>
      </c>
      <c r="AI186" s="63" t="str">
        <f>IFERROR(VLOOKUP(Table2[[#This Row],[Contraente]],Table1[[Nome/Ragione sociale]:[Checkbox selezionato]],2,FALSE),"-")</f>
        <v xml:space="preserve">GENZONE </v>
      </c>
      <c r="AJ186" s="63">
        <f>IFERROR(VLOOKUP(Table2[[#This Row],[Contraente]],Table1[[Nome/Ragione sociale]:[Checkbox selezionato]],3,FALSE),"-")</f>
        <v>3356714091</v>
      </c>
      <c r="AK186" s="63">
        <f>IFERROR(VLOOKUP(Table2[[#This Row],[Contraente]],Table1[[Nome/Ragione sociale]:[Checkbox selezionato]],4,FALSE),"-")</f>
        <v>0</v>
      </c>
      <c r="AL186" s="63" t="str">
        <f>IFERROR(VLOOKUP(Table2[[#This Row],[Contraente]],Table1[[Nome/Ragione sociale]:[Checkbox selezionato]],5,FALSE),"-")</f>
        <v>LUIGI</v>
      </c>
      <c r="AM186" s="62">
        <f>IFERROR(VLOOKUP(Table2[[#This Row],[Contraente]],Table1[[Nome/Ragione sociale]:[Checkbox selezionato]],6,FALSE),"-")</f>
        <v>19888</v>
      </c>
      <c r="AN186" s="63" t="str">
        <f>IFERROR(VLOOKUP(Table2[[#This Row],[Contraente]],Table1[[Nome/Ragione sociale]:[Checkbox selezionato]],7,FALSE),"-")</f>
        <v>papies@email.it</v>
      </c>
      <c r="AO186" s="63">
        <f>IFERROR(VLOOKUP(Table2[[#This Row],[Contraente]],Table1[[Nome/Ragione sociale]:[Checkbox selezionato]],8,FALSE),"-")</f>
        <v>0</v>
      </c>
      <c r="AP186" s="63">
        <f>IFERROR(VLOOKUP(Table2[[#This Row],[Contraente]],Table1[[Nome/Ragione sociale]:[Checkbox selezionato]],10,FALSE),"-")</f>
        <v>3356714091</v>
      </c>
      <c r="AQ186" s="63" t="str">
        <f>IFERROR(VLOOKUP(Table2[[#This Row],[Contraente]],Table1[[Nome/Ragione sociale]:[Checkbox selezionato]],11,FALSE),"-")</f>
        <v>SI</v>
      </c>
      <c r="AR186" s="63" t="str">
        <f>IFERROR(VLOOKUP(Table2[[#This Row],[Contraente]],Table1[[Nome/Ragione sociale]:[Checkbox selezionato]],12,FALSE),"-")</f>
        <v>SI</v>
      </c>
    </row>
    <row r="187" spans="1:44" ht="30" hidden="1" customHeight="1" x14ac:dyDescent="0.25">
      <c r="A187" s="60" t="str">
        <f>UPPER(LEFT(Table2[[#This Row],[Contraente]],1))</f>
        <v>B</v>
      </c>
      <c r="B187" s="60" t="s">
        <v>1634</v>
      </c>
      <c r="C187" s="81" t="s">
        <v>392</v>
      </c>
      <c r="D187" s="80" t="s">
        <v>37</v>
      </c>
      <c r="E187" s="86">
        <v>104449262</v>
      </c>
      <c r="F187" s="64">
        <v>42859</v>
      </c>
      <c r="G187" s="64">
        <f>IFERROR(CALCOLASCADENZA(Table2[[#This Row],[Data attivazione]],Table2[[#This Row],[Rateizzazione]],Table2[[#This Row],[Data ultimo pagamento]],Table2[[#This Row],[Data prossima scadenza manuale]]),"-")</f>
        <v>43246</v>
      </c>
      <c r="H187" s="67" t="s">
        <v>30</v>
      </c>
      <c r="I187" s="67" t="s">
        <v>113</v>
      </c>
      <c r="J187" s="33">
        <f>IFERROR(Table2[[#This Row],[Importo annuale]]/(12/VLOOKUP(Table2[[#This Row],[Rateizzazione]],TIPI_RATEIZZAZIONI,2,FALSE)),"-")</f>
        <v>167</v>
      </c>
      <c r="K187" s="88">
        <v>167</v>
      </c>
      <c r="L187" s="88">
        <v>167</v>
      </c>
      <c r="M187" s="67" t="s">
        <v>44</v>
      </c>
      <c r="N187" s="67" t="s">
        <v>51</v>
      </c>
      <c r="O187" s="27" t="s">
        <v>1631</v>
      </c>
      <c r="P187" s="33" t="s">
        <v>23</v>
      </c>
      <c r="Q187" s="60">
        <f>IFERROR(IF(12 / VLOOKUP(Table2[[#This Row],[Rateizzazione]],TIPI_RATEIZZAZIONI,2,FALSE) &gt;=1,  IF(Table2[[#This Row],[Data attivazione]] = "","-",MONTH(Table2[[#This Row],[Data attivazione]])),"-"),"-")</f>
        <v>5</v>
      </c>
      <c r="R1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7" s="67" t="s">
        <v>2</v>
      </c>
      <c r="V187" s="62"/>
      <c r="W187" s="64">
        <v>42881</v>
      </c>
      <c r="X187" s="29">
        <f>DATE(YEAR(Table2[[#This Row],[Data attivazione]])+VLOOKUP(Table2[[#This Row],[Durata]],VALORE_DURATA,2,FALSE),MONTH(Table2[[#This Row],[Data attivazione]]),DAY(Table2[[#This Row],[Data attivazione]]))</f>
        <v>43246</v>
      </c>
      <c r="Y187" s="65"/>
      <c r="Z187" s="61"/>
      <c r="AA187" s="64" t="s">
        <v>85</v>
      </c>
      <c r="AB187" s="29" t="str">
        <f>IF(Table2[[#This Row],[Data ultimo versamento temp]]=0/1/1900,"-",Table2[[#This Row],[Data ultimo versamento temp]])</f>
        <v>-</v>
      </c>
      <c r="AC187" s="29">
        <f t="array" ref="AC187">MAX(IF(TableVersamenti[Polizza]=Table2[[#This Row],[Polizza]],TableVersamenti[Data prevista versamento],"-"))</f>
        <v>0</v>
      </c>
      <c r="AD187" s="62"/>
      <c r="AE187" s="106">
        <f>DATE(YEAR(Table2[[#This Row],[Data ultimo pagamento]]),MONTH(Table2[[#This Row],[Data ultimo pagamento]]), 1)</f>
        <v>42856</v>
      </c>
      <c r="AF187" s="106">
        <f>DATE(YEAR(Table2[[#This Row],[Data prossima scadenza]]),MONTH(Table2[[#This Row],[Data prossima scadenza]]), 1)</f>
        <v>43221</v>
      </c>
      <c r="AG187" s="33">
        <f>IFERROR(Table2[[#This Row],[Importo annuale]]*VLOOKUP(Table2[[#This Row],[Ramo]],RAMI_POLIZZA,2,FALSE),0)</f>
        <v>19.205000000000002</v>
      </c>
      <c r="AH187" s="65" t="s">
        <v>113</v>
      </c>
      <c r="AI187" s="63" t="str">
        <f>IFERROR(VLOOKUP(Table2[[#This Row],[Contraente]],Table1[[Nome/Ragione sociale]:[Checkbox selezionato]],2,FALSE),"-")</f>
        <v xml:space="preserve">GENZONE </v>
      </c>
      <c r="AJ187" s="63">
        <f>IFERROR(VLOOKUP(Table2[[#This Row],[Contraente]],Table1[[Nome/Ragione sociale]:[Checkbox selezionato]],3,FALSE),"-")</f>
        <v>3356714091</v>
      </c>
      <c r="AK187" s="63">
        <f>IFERROR(VLOOKUP(Table2[[#This Row],[Contraente]],Table1[[Nome/Ragione sociale]:[Checkbox selezionato]],4,FALSE),"-")</f>
        <v>0</v>
      </c>
      <c r="AL187" s="63" t="str">
        <f>IFERROR(VLOOKUP(Table2[[#This Row],[Contraente]],Table1[[Nome/Ragione sociale]:[Checkbox selezionato]],5,FALSE),"-")</f>
        <v>LUIGI</v>
      </c>
      <c r="AM187" s="62">
        <f>IFERROR(VLOOKUP(Table2[[#This Row],[Contraente]],Table1[[Nome/Ragione sociale]:[Checkbox selezionato]],6,FALSE),"-")</f>
        <v>19888</v>
      </c>
      <c r="AN187" s="63" t="str">
        <f>IFERROR(VLOOKUP(Table2[[#This Row],[Contraente]],Table1[[Nome/Ragione sociale]:[Checkbox selezionato]],7,FALSE),"-")</f>
        <v>papies@email.it</v>
      </c>
      <c r="AO187" s="63">
        <f>IFERROR(VLOOKUP(Table2[[#This Row],[Contraente]],Table1[[Nome/Ragione sociale]:[Checkbox selezionato]],8,FALSE),"-")</f>
        <v>0</v>
      </c>
      <c r="AP187" s="63">
        <f>IFERROR(VLOOKUP(Table2[[#This Row],[Contraente]],Table1[[Nome/Ragione sociale]:[Checkbox selezionato]],10,FALSE),"-")</f>
        <v>3356714091</v>
      </c>
      <c r="AQ187" s="63" t="str">
        <f>IFERROR(VLOOKUP(Table2[[#This Row],[Contraente]],Table1[[Nome/Ragione sociale]:[Checkbox selezionato]],11,FALSE),"-")</f>
        <v>SI</v>
      </c>
      <c r="AR187" s="63" t="str">
        <f>IFERROR(VLOOKUP(Table2[[#This Row],[Contraente]],Table1[[Nome/Ragione sociale]:[Checkbox selezionato]],12,FALSE),"-")</f>
        <v>SI</v>
      </c>
    </row>
    <row r="188" spans="1:44" ht="30" hidden="1" customHeight="1" x14ac:dyDescent="0.25">
      <c r="A188" s="60" t="str">
        <f>UPPER(LEFT(Table2[[#This Row],[Contraente]],1))</f>
        <v>B</v>
      </c>
      <c r="B188" s="60" t="s">
        <v>1634</v>
      </c>
      <c r="C188" s="81" t="s">
        <v>393</v>
      </c>
      <c r="D188" s="80" t="s">
        <v>37</v>
      </c>
      <c r="E188" s="86">
        <v>103162499</v>
      </c>
      <c r="F188" s="64">
        <v>42895</v>
      </c>
      <c r="G188" s="64">
        <f>IFERROR(CALCOLASCADENZA(Table2[[#This Row],[Data attivazione]],Table2[[#This Row],[Rateizzazione]],Table2[[#This Row],[Data ultimo pagamento]],Table2[[#This Row],[Data prossima scadenza manuale]]),"-")</f>
        <v>43259</v>
      </c>
      <c r="H188" s="67" t="s">
        <v>30</v>
      </c>
      <c r="I188" s="67" t="s">
        <v>113</v>
      </c>
      <c r="J188" s="33">
        <f>IFERROR(Table2[[#This Row],[Importo annuale]]/(12/VLOOKUP(Table2[[#This Row],[Rateizzazione]],TIPI_RATEIZZAZIONI,2,FALSE)),"-")</f>
        <v>61</v>
      </c>
      <c r="K188" s="88">
        <v>61</v>
      </c>
      <c r="L188" s="88">
        <v>61</v>
      </c>
      <c r="M188" s="67" t="s">
        <v>44</v>
      </c>
      <c r="N188" s="67" t="s">
        <v>51</v>
      </c>
      <c r="O188" s="27" t="s">
        <v>1631</v>
      </c>
      <c r="P188" s="33" t="s">
        <v>23</v>
      </c>
      <c r="Q188" s="60">
        <f>IFERROR(IF(12 / VLOOKUP(Table2[[#This Row],[Rateizzazione]],TIPI_RATEIZZAZIONI,2,FALSE) &gt;=1,  IF(Table2[[#This Row],[Data attivazione]] = "","-",MONTH(Table2[[#This Row],[Data attivazione]])),"-"),"-")</f>
        <v>6</v>
      </c>
      <c r="R1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8" s="67" t="s">
        <v>2</v>
      </c>
      <c r="V188" s="62"/>
      <c r="W188" s="64">
        <v>42894</v>
      </c>
      <c r="X188" s="29">
        <f>DATE(YEAR(Table2[[#This Row],[Data attivazione]])+VLOOKUP(Table2[[#This Row],[Durata]],VALORE_DURATA,2,FALSE),MONTH(Table2[[#This Row],[Data attivazione]]),DAY(Table2[[#This Row],[Data attivazione]]))</f>
        <v>43259</v>
      </c>
      <c r="Y188" s="65"/>
      <c r="Z188" s="61"/>
      <c r="AA188" s="64" t="s">
        <v>85</v>
      </c>
      <c r="AB188" s="29" t="str">
        <f>IF(Table2[[#This Row],[Data ultimo versamento temp]]=0/1/1900,"-",Table2[[#This Row],[Data ultimo versamento temp]])</f>
        <v>-</v>
      </c>
      <c r="AC188" s="29">
        <f t="array" ref="AC188">MAX(IF(TableVersamenti[Polizza]=Table2[[#This Row],[Polizza]],TableVersamenti[Data prevista versamento],"-"))</f>
        <v>0</v>
      </c>
      <c r="AD188" s="62"/>
      <c r="AE188" s="106">
        <f>DATE(YEAR(Table2[[#This Row],[Data ultimo pagamento]]),MONTH(Table2[[#This Row],[Data ultimo pagamento]]), 1)</f>
        <v>42887</v>
      </c>
      <c r="AF188" s="106">
        <f>DATE(YEAR(Table2[[#This Row],[Data prossima scadenza]]),MONTH(Table2[[#This Row],[Data prossima scadenza]]), 1)</f>
        <v>43252</v>
      </c>
      <c r="AG188" s="33">
        <f>IFERROR(Table2[[#This Row],[Importo annuale]]*VLOOKUP(Table2[[#This Row],[Ramo]],RAMI_POLIZZA,2,FALSE),0)</f>
        <v>7.0150000000000006</v>
      </c>
      <c r="AH188" s="65" t="s">
        <v>113</v>
      </c>
      <c r="AI188" s="63" t="str">
        <f>IFERROR(VLOOKUP(Table2[[#This Row],[Contraente]],Table1[[Nome/Ragione sociale]:[Checkbox selezionato]],2,FALSE),"-")</f>
        <v xml:space="preserve">GENZONE </v>
      </c>
      <c r="AJ188" s="63">
        <f>IFERROR(VLOOKUP(Table2[[#This Row],[Contraente]],Table1[[Nome/Ragione sociale]:[Checkbox selezionato]],3,FALSE),"-")</f>
        <v>3356714091</v>
      </c>
      <c r="AK188" s="63">
        <f>IFERROR(VLOOKUP(Table2[[#This Row],[Contraente]],Table1[[Nome/Ragione sociale]:[Checkbox selezionato]],4,FALSE),"-")</f>
        <v>0</v>
      </c>
      <c r="AL188" s="63" t="str">
        <f>IFERROR(VLOOKUP(Table2[[#This Row],[Contraente]],Table1[[Nome/Ragione sociale]:[Checkbox selezionato]],5,FALSE),"-")</f>
        <v>LUIGI</v>
      </c>
      <c r="AM188" s="62">
        <f>IFERROR(VLOOKUP(Table2[[#This Row],[Contraente]],Table1[[Nome/Ragione sociale]:[Checkbox selezionato]],6,FALSE),"-")</f>
        <v>19888</v>
      </c>
      <c r="AN188" s="63" t="str">
        <f>IFERROR(VLOOKUP(Table2[[#This Row],[Contraente]],Table1[[Nome/Ragione sociale]:[Checkbox selezionato]],7,FALSE),"-")</f>
        <v>papies@libero.it</v>
      </c>
      <c r="AO188" s="63">
        <f>IFERROR(VLOOKUP(Table2[[#This Row],[Contraente]],Table1[[Nome/Ragione sociale]:[Checkbox selezionato]],8,FALSE),"-")</f>
        <v>0</v>
      </c>
      <c r="AP188" s="63">
        <f>IFERROR(VLOOKUP(Table2[[#This Row],[Contraente]],Table1[[Nome/Ragione sociale]:[Checkbox selezionato]],10,FALSE),"-")</f>
        <v>3356714091</v>
      </c>
      <c r="AQ188" s="63" t="str">
        <f>IFERROR(VLOOKUP(Table2[[#This Row],[Contraente]],Table1[[Nome/Ragione sociale]:[Checkbox selezionato]],11,FALSE),"-")</f>
        <v>SI</v>
      </c>
      <c r="AR188" s="63" t="str">
        <f>IFERROR(VLOOKUP(Table2[[#This Row],[Contraente]],Table1[[Nome/Ragione sociale]:[Checkbox selezionato]],12,FALSE),"-")</f>
        <v>SI</v>
      </c>
    </row>
    <row r="189" spans="1:44" ht="30" hidden="1" customHeight="1" x14ac:dyDescent="0.25">
      <c r="A189" s="60" t="str">
        <f>UPPER(LEFT(Table2[[#This Row],[Contraente]],1))</f>
        <v>B</v>
      </c>
      <c r="B189" s="60" t="s">
        <v>1634</v>
      </c>
      <c r="C189" s="81" t="s">
        <v>393</v>
      </c>
      <c r="D189" s="80" t="s">
        <v>37</v>
      </c>
      <c r="E189" s="86">
        <v>105685353</v>
      </c>
      <c r="F189" s="64">
        <v>42895</v>
      </c>
      <c r="G189" s="64">
        <f>IFERROR(CALCOLASCADENZA(Table2[[#This Row],[Data attivazione]],Table2[[#This Row],[Rateizzazione]],Table2[[#This Row],[Data ultimo pagamento]],Table2[[#This Row],[Data prossima scadenza manuale]]),"-")</f>
        <v>43259</v>
      </c>
      <c r="H189" s="67" t="s">
        <v>31</v>
      </c>
      <c r="I189" s="67" t="s">
        <v>1210</v>
      </c>
      <c r="J189" s="33">
        <f>IFERROR(Table2[[#This Row],[Importo annuale]]/(12/VLOOKUP(Table2[[#This Row],[Rateizzazione]],TIPI_RATEIZZAZIONI,2,FALSE)),"-")</f>
        <v>555</v>
      </c>
      <c r="K189" s="88">
        <v>555</v>
      </c>
      <c r="L189" s="88">
        <v>555</v>
      </c>
      <c r="M189" s="67" t="s">
        <v>44</v>
      </c>
      <c r="N189" s="67" t="s">
        <v>51</v>
      </c>
      <c r="O189" s="27" t="s">
        <v>1631</v>
      </c>
      <c r="P189" s="33" t="s">
        <v>23</v>
      </c>
      <c r="Q189" s="60">
        <f>IFERROR(IF(12 / VLOOKUP(Table2[[#This Row],[Rateizzazione]],TIPI_RATEIZZAZIONI,2,FALSE) &gt;=1,  IF(Table2[[#This Row],[Data attivazione]] = "","-",MONTH(Table2[[#This Row],[Data attivazione]])),"-"),"-")</f>
        <v>6</v>
      </c>
      <c r="R1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9" s="67" t="s">
        <v>2</v>
      </c>
      <c r="V189" s="62"/>
      <c r="W189" s="64">
        <v>42894</v>
      </c>
      <c r="X189" s="29">
        <f>DATE(YEAR(Table2[[#This Row],[Data attivazione]])+VLOOKUP(Table2[[#This Row],[Durata]],VALORE_DURATA,2,FALSE),MONTH(Table2[[#This Row],[Data attivazione]]),DAY(Table2[[#This Row],[Data attivazione]]))</f>
        <v>43259</v>
      </c>
      <c r="Y189" s="65"/>
      <c r="Z189" s="61"/>
      <c r="AA189" s="64" t="s">
        <v>85</v>
      </c>
      <c r="AB189" s="29" t="str">
        <f>IF(Table2[[#This Row],[Data ultimo versamento temp]]=0/1/1900,"-",Table2[[#This Row],[Data ultimo versamento temp]])</f>
        <v>-</v>
      </c>
      <c r="AC189" s="29">
        <f t="array" ref="AC189">MAX(IF(TableVersamenti[Polizza]=Table2[[#This Row],[Polizza]],TableVersamenti[Data prevista versamento],"-"))</f>
        <v>0</v>
      </c>
      <c r="AD189" s="62"/>
      <c r="AE189" s="106">
        <f>DATE(YEAR(Table2[[#This Row],[Data ultimo pagamento]]),MONTH(Table2[[#This Row],[Data ultimo pagamento]]), 1)</f>
        <v>42887</v>
      </c>
      <c r="AF189" s="106">
        <f>DATE(YEAR(Table2[[#This Row],[Data prossima scadenza]]),MONTH(Table2[[#This Row],[Data prossima scadenza]]), 1)</f>
        <v>43252</v>
      </c>
      <c r="AG189" s="33">
        <f>IFERROR(Table2[[#This Row],[Importo annuale]]*VLOOKUP(Table2[[#This Row],[Ramo]],RAMI_POLIZZA,2,FALSE),0)</f>
        <v>28.86</v>
      </c>
      <c r="AH189" s="65" t="s">
        <v>113</v>
      </c>
      <c r="AI189" s="63" t="str">
        <f>IFERROR(VLOOKUP(Table2[[#This Row],[Contraente]],Table1[[Nome/Ragione sociale]:[Checkbox selezionato]],2,FALSE),"-")</f>
        <v xml:space="preserve">GENZONE </v>
      </c>
      <c r="AJ189" s="63">
        <f>IFERROR(VLOOKUP(Table2[[#This Row],[Contraente]],Table1[[Nome/Ragione sociale]:[Checkbox selezionato]],3,FALSE),"-")</f>
        <v>3356714091</v>
      </c>
      <c r="AK189" s="63">
        <f>IFERROR(VLOOKUP(Table2[[#This Row],[Contraente]],Table1[[Nome/Ragione sociale]:[Checkbox selezionato]],4,FALSE),"-")</f>
        <v>0</v>
      </c>
      <c r="AL189" s="63" t="str">
        <f>IFERROR(VLOOKUP(Table2[[#This Row],[Contraente]],Table1[[Nome/Ragione sociale]:[Checkbox selezionato]],5,FALSE),"-")</f>
        <v>LUIGI</v>
      </c>
      <c r="AM189" s="62">
        <f>IFERROR(VLOOKUP(Table2[[#This Row],[Contraente]],Table1[[Nome/Ragione sociale]:[Checkbox selezionato]],6,FALSE),"-")</f>
        <v>19888</v>
      </c>
      <c r="AN189" s="63" t="str">
        <f>IFERROR(VLOOKUP(Table2[[#This Row],[Contraente]],Table1[[Nome/Ragione sociale]:[Checkbox selezionato]],7,FALSE),"-")</f>
        <v>papies@libero.it</v>
      </c>
      <c r="AO189" s="63">
        <f>IFERROR(VLOOKUP(Table2[[#This Row],[Contraente]],Table1[[Nome/Ragione sociale]:[Checkbox selezionato]],8,FALSE),"-")</f>
        <v>0</v>
      </c>
      <c r="AP189" s="63">
        <f>IFERROR(VLOOKUP(Table2[[#This Row],[Contraente]],Table1[[Nome/Ragione sociale]:[Checkbox selezionato]],10,FALSE),"-")</f>
        <v>3356714091</v>
      </c>
      <c r="AQ189" s="63" t="str">
        <f>IFERROR(VLOOKUP(Table2[[#This Row],[Contraente]],Table1[[Nome/Ragione sociale]:[Checkbox selezionato]],11,FALSE),"-")</f>
        <v>SI</v>
      </c>
      <c r="AR189" s="63" t="str">
        <f>IFERROR(VLOOKUP(Table2[[#This Row],[Contraente]],Table1[[Nome/Ragione sociale]:[Checkbox selezionato]],12,FALSE),"-")</f>
        <v>SI</v>
      </c>
    </row>
    <row r="190" spans="1:44" ht="30" hidden="1" customHeight="1" x14ac:dyDescent="0.25">
      <c r="A190" s="60" t="str">
        <f>UPPER(LEFT(Table2[[#This Row],[Contraente]],1))</f>
        <v>B</v>
      </c>
      <c r="B190" s="60" t="s">
        <v>1634</v>
      </c>
      <c r="C190" s="81" t="s">
        <v>393</v>
      </c>
      <c r="D190" s="80" t="s">
        <v>37</v>
      </c>
      <c r="E190" s="86">
        <v>102922896</v>
      </c>
      <c r="F190" s="64">
        <v>41738</v>
      </c>
      <c r="G190" s="64">
        <f>IFERROR(CALCOLASCADENZA(Table2[[#This Row],[Data attivazione]],Table2[[#This Row],[Rateizzazione]],Table2[[#This Row],[Data ultimo pagamento]],Table2[[#This Row],[Data prossima scadenza manuale]]),"-")</f>
        <v>693962</v>
      </c>
      <c r="H190" s="67" t="s">
        <v>31</v>
      </c>
      <c r="I190" s="67"/>
      <c r="J190" s="33">
        <f>IFERROR(Table2[[#This Row],[Importo annuale]]/(12/VLOOKUP(Table2[[#This Row],[Rateizzazione]],TIPI_RATEIZZAZIONI,2,FALSE)),"-")</f>
        <v>200.6</v>
      </c>
      <c r="K190" s="88"/>
      <c r="L190" s="88">
        <v>200.6</v>
      </c>
      <c r="M190" s="67" t="s">
        <v>44</v>
      </c>
      <c r="N190" s="67" t="s">
        <v>52</v>
      </c>
      <c r="O190" s="27" t="s">
        <v>1631</v>
      </c>
      <c r="P190" s="33" t="s">
        <v>23</v>
      </c>
      <c r="Q190" s="60">
        <f>IFERROR(IF(12 / VLOOKUP(Table2[[#This Row],[Rateizzazione]],TIPI_RATEIZZAZIONI,2,FALSE) &gt;=1,  IF(Table2[[#This Row],[Data attivazione]] = "","-",MONTH(Table2[[#This Row],[Data attivazione]])),"-"),"-")</f>
        <v>12</v>
      </c>
      <c r="R1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0" s="67" t="s">
        <v>2</v>
      </c>
      <c r="V190" s="62"/>
      <c r="W190" s="64">
        <v>693597</v>
      </c>
      <c r="X190" s="29">
        <f>DATE(YEAR(Table2[[#This Row],[Data attivazione]])+VLOOKUP(Table2[[#This Row],[Durata]],VALORE_DURATA,2,FALSE),MONTH(Table2[[#This Row],[Data attivazione]]),DAY(Table2[[#This Row],[Data attivazione]]))</f>
        <v>693962</v>
      </c>
      <c r="Y190" s="65"/>
      <c r="Z190" s="61"/>
      <c r="AA190" s="64" t="s">
        <v>88</v>
      </c>
      <c r="AB190" s="29" t="str">
        <f>IF(Table2[[#This Row],[Data ultimo versamento temp]]=0/1/1900,"-",Table2[[#This Row],[Data ultimo versamento temp]])</f>
        <v>-</v>
      </c>
      <c r="AC190" s="29">
        <f t="array" ref="AC190">MAX(IF(TableVersamenti[Polizza]=Table2[[#This Row],[Polizza]],TableVersamenti[Data prevista versamento],"-"))</f>
        <v>0</v>
      </c>
      <c r="AD190" s="62"/>
      <c r="AE190" s="106">
        <f>DATE(YEAR(Table2[[#This Row],[Data ultimo pagamento]]),MONTH(Table2[[#This Row],[Data ultimo pagamento]]), 1)</f>
        <v>41730</v>
      </c>
      <c r="AF190" s="106">
        <f>DATE(YEAR(Table2[[#This Row],[Data prossima scadenza]]),MONTH(Table2[[#This Row],[Data prossima scadenza]]), 1)</f>
        <v>693932</v>
      </c>
      <c r="AG190" s="33">
        <f>IFERROR(Table2[[#This Row],[Importo annuale]]*VLOOKUP(Table2[[#This Row],[Ramo]],RAMI_POLIZZA,2,FALSE),0)</f>
        <v>10.431199999999999</v>
      </c>
      <c r="AH190" s="65" t="s">
        <v>113</v>
      </c>
      <c r="AI190" s="63" t="str">
        <f>IFERROR(VLOOKUP(Table2[[#This Row],[Contraente]],Table1[[Nome/Ragione sociale]:[Checkbox selezionato]],2,FALSE),"-")</f>
        <v xml:space="preserve">GENZONE </v>
      </c>
      <c r="AJ190" s="63">
        <f>IFERROR(VLOOKUP(Table2[[#This Row],[Contraente]],Table1[[Nome/Ragione sociale]:[Checkbox selezionato]],3,FALSE),"-")</f>
        <v>3356714091</v>
      </c>
      <c r="AK190" s="63">
        <f>IFERROR(VLOOKUP(Table2[[#This Row],[Contraente]],Table1[[Nome/Ragione sociale]:[Checkbox selezionato]],4,FALSE),"-")</f>
        <v>0</v>
      </c>
      <c r="AL190" s="63" t="str">
        <f>IFERROR(VLOOKUP(Table2[[#This Row],[Contraente]],Table1[[Nome/Ragione sociale]:[Checkbox selezionato]],5,FALSE),"-")</f>
        <v>LUIGI</v>
      </c>
      <c r="AM190" s="62">
        <f>IFERROR(VLOOKUP(Table2[[#This Row],[Contraente]],Table1[[Nome/Ragione sociale]:[Checkbox selezionato]],6,FALSE),"-")</f>
        <v>19888</v>
      </c>
      <c r="AN190" s="63" t="str">
        <f>IFERROR(VLOOKUP(Table2[[#This Row],[Contraente]],Table1[[Nome/Ragione sociale]:[Checkbox selezionato]],7,FALSE),"-")</f>
        <v>papies@libero.it</v>
      </c>
      <c r="AO190" s="63">
        <f>IFERROR(VLOOKUP(Table2[[#This Row],[Contraente]],Table1[[Nome/Ragione sociale]:[Checkbox selezionato]],8,FALSE),"-")</f>
        <v>0</v>
      </c>
      <c r="AP190" s="63">
        <f>IFERROR(VLOOKUP(Table2[[#This Row],[Contraente]],Table1[[Nome/Ragione sociale]:[Checkbox selezionato]],10,FALSE),"-")</f>
        <v>3356714091</v>
      </c>
      <c r="AQ190" s="63" t="str">
        <f>IFERROR(VLOOKUP(Table2[[#This Row],[Contraente]],Table1[[Nome/Ragione sociale]:[Checkbox selezionato]],11,FALSE),"-")</f>
        <v>SI</v>
      </c>
      <c r="AR190" s="63" t="str">
        <f>IFERROR(VLOOKUP(Table2[[#This Row],[Contraente]],Table1[[Nome/Ragione sociale]:[Checkbox selezionato]],12,FALSE),"-")</f>
        <v>SI</v>
      </c>
    </row>
    <row r="191" spans="1:44" ht="30" hidden="1" customHeight="1" x14ac:dyDescent="0.25">
      <c r="A191" s="60" t="str">
        <f>UPPER(LEFT(Table2[[#This Row],[Contraente]],1))</f>
        <v>B</v>
      </c>
      <c r="B191" s="60" t="s">
        <v>1634</v>
      </c>
      <c r="C191" s="81" t="s">
        <v>393</v>
      </c>
      <c r="D191" s="80" t="s">
        <v>37</v>
      </c>
      <c r="E191" s="86">
        <v>103490680</v>
      </c>
      <c r="F191" s="64">
        <v>42619</v>
      </c>
      <c r="G191" s="64">
        <f>IFERROR(CALCOLASCADENZA(Table2[[#This Row],[Data attivazione]],Table2[[#This Row],[Rateizzazione]],Table2[[#This Row],[Data ultimo pagamento]],Table2[[#This Row],[Data prossima scadenza manuale]]),"-")</f>
        <v>42982</v>
      </c>
      <c r="H191" s="67" t="s">
        <v>30</v>
      </c>
      <c r="I191" s="67" t="s">
        <v>113</v>
      </c>
      <c r="J191" s="33">
        <f>IFERROR(Table2[[#This Row],[Importo annuale]]/(12/VLOOKUP(Table2[[#This Row],[Rateizzazione]],TIPI_RATEIZZAZIONI,2,FALSE)),"-")</f>
        <v>143</v>
      </c>
      <c r="K191" s="88"/>
      <c r="L191" s="88">
        <v>143</v>
      </c>
      <c r="M191" s="67" t="s">
        <v>44</v>
      </c>
      <c r="N191" s="67" t="s">
        <v>51</v>
      </c>
      <c r="O191" s="27" t="s">
        <v>1631</v>
      </c>
      <c r="P191" s="33" t="s">
        <v>23</v>
      </c>
      <c r="Q191" s="60">
        <f>IFERROR(IF(12 / VLOOKUP(Table2[[#This Row],[Rateizzazione]],TIPI_RATEIZZAZIONI,2,FALSE) &gt;=1,  IF(Table2[[#This Row],[Data attivazione]] = "","-",MONTH(Table2[[#This Row],[Data attivazione]])),"-"),"-")</f>
        <v>9</v>
      </c>
      <c r="R1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1" s="67" t="s">
        <v>2</v>
      </c>
      <c r="V191" s="62"/>
      <c r="W191" s="64">
        <v>42251</v>
      </c>
      <c r="X191" s="29">
        <f>DATE(YEAR(Table2[[#This Row],[Data attivazione]])+VLOOKUP(Table2[[#This Row],[Durata]],VALORE_DURATA,2,FALSE),MONTH(Table2[[#This Row],[Data attivazione]]),DAY(Table2[[#This Row],[Data attivazione]]))</f>
        <v>42617</v>
      </c>
      <c r="Y191" s="65"/>
      <c r="Z191" s="61"/>
      <c r="AA191" s="64" t="s">
        <v>88</v>
      </c>
      <c r="AB191" s="29" t="str">
        <f>IF(Table2[[#This Row],[Data ultimo versamento temp]]=0/1/1900,"-",Table2[[#This Row],[Data ultimo versamento temp]])</f>
        <v>-</v>
      </c>
      <c r="AC191" s="29">
        <f t="array" ref="AC191">MAX(IF(TableVersamenti[Polizza]=Table2[[#This Row],[Polizza]],TableVersamenti[Data prevista versamento],"-"))</f>
        <v>0</v>
      </c>
      <c r="AD191" s="62"/>
      <c r="AE191" s="106">
        <f>DATE(YEAR(Table2[[#This Row],[Data ultimo pagamento]]),MONTH(Table2[[#This Row],[Data ultimo pagamento]]), 1)</f>
        <v>42614</v>
      </c>
      <c r="AF191" s="106">
        <f>DATE(YEAR(Table2[[#This Row],[Data prossima scadenza]]),MONTH(Table2[[#This Row],[Data prossima scadenza]]), 1)</f>
        <v>42979</v>
      </c>
      <c r="AG191" s="33">
        <f>IFERROR(Table2[[#This Row],[Importo annuale]]*VLOOKUP(Table2[[#This Row],[Ramo]],RAMI_POLIZZA,2,FALSE),0)</f>
        <v>16.445</v>
      </c>
      <c r="AH191" s="65" t="s">
        <v>113</v>
      </c>
      <c r="AI191" s="63" t="str">
        <f>IFERROR(VLOOKUP(Table2[[#This Row],[Contraente]],Table1[[Nome/Ragione sociale]:[Checkbox selezionato]],2,FALSE),"-")</f>
        <v xml:space="preserve">GENZONE </v>
      </c>
      <c r="AJ191" s="63">
        <f>IFERROR(VLOOKUP(Table2[[#This Row],[Contraente]],Table1[[Nome/Ragione sociale]:[Checkbox selezionato]],3,FALSE),"-")</f>
        <v>3356714091</v>
      </c>
      <c r="AK191" s="63">
        <f>IFERROR(VLOOKUP(Table2[[#This Row],[Contraente]],Table1[[Nome/Ragione sociale]:[Checkbox selezionato]],4,FALSE),"-")</f>
        <v>0</v>
      </c>
      <c r="AL191" s="63" t="str">
        <f>IFERROR(VLOOKUP(Table2[[#This Row],[Contraente]],Table1[[Nome/Ragione sociale]:[Checkbox selezionato]],5,FALSE),"-")</f>
        <v>LUIGI</v>
      </c>
      <c r="AM191" s="62">
        <f>IFERROR(VLOOKUP(Table2[[#This Row],[Contraente]],Table1[[Nome/Ragione sociale]:[Checkbox selezionato]],6,FALSE),"-")</f>
        <v>19888</v>
      </c>
      <c r="AN191" s="63" t="str">
        <f>IFERROR(VLOOKUP(Table2[[#This Row],[Contraente]],Table1[[Nome/Ragione sociale]:[Checkbox selezionato]],7,FALSE),"-")</f>
        <v>papies@libero.it</v>
      </c>
      <c r="AO191" s="63">
        <f>IFERROR(VLOOKUP(Table2[[#This Row],[Contraente]],Table1[[Nome/Ragione sociale]:[Checkbox selezionato]],8,FALSE),"-")</f>
        <v>0</v>
      </c>
      <c r="AP191" s="63">
        <f>IFERROR(VLOOKUP(Table2[[#This Row],[Contraente]],Table1[[Nome/Ragione sociale]:[Checkbox selezionato]],10,FALSE),"-")</f>
        <v>3356714091</v>
      </c>
      <c r="AQ191" s="63" t="str">
        <f>IFERROR(VLOOKUP(Table2[[#This Row],[Contraente]],Table1[[Nome/Ragione sociale]:[Checkbox selezionato]],11,FALSE),"-")</f>
        <v>SI</v>
      </c>
      <c r="AR191" s="63" t="str">
        <f>IFERROR(VLOOKUP(Table2[[#This Row],[Contraente]],Table1[[Nome/Ragione sociale]:[Checkbox selezionato]],12,FALSE),"-")</f>
        <v>SI</v>
      </c>
    </row>
    <row r="192" spans="1:44" ht="30" hidden="1" customHeight="1" x14ac:dyDescent="0.25">
      <c r="A192" s="60" t="str">
        <f>UPPER(LEFT(Table2[[#This Row],[Contraente]],1))</f>
        <v>B</v>
      </c>
      <c r="B192" s="60" t="s">
        <v>1634</v>
      </c>
      <c r="C192" s="81" t="s">
        <v>393</v>
      </c>
      <c r="D192" s="80" t="s">
        <v>37</v>
      </c>
      <c r="E192" s="86">
        <v>105830471</v>
      </c>
      <c r="F192" s="64">
        <v>42923</v>
      </c>
      <c r="G192" s="64">
        <f>IFERROR(CALCOLASCADENZA(Table2[[#This Row],[Data attivazione]],Table2[[#This Row],[Rateizzazione]],Table2[[#This Row],[Data ultimo pagamento]],Table2[[#This Row],[Data prossima scadenza manuale]]),"-")</f>
        <v>43291</v>
      </c>
      <c r="H192" s="67" t="s">
        <v>30</v>
      </c>
      <c r="I192" s="67" t="s">
        <v>113</v>
      </c>
      <c r="J192" s="33">
        <f>IFERROR(Table2[[#This Row],[Importo annuale]]/(12/VLOOKUP(Table2[[#This Row],[Rateizzazione]],TIPI_RATEIZZAZIONI,2,FALSE)),"-")</f>
        <v>800</v>
      </c>
      <c r="K192" s="88">
        <v>800</v>
      </c>
      <c r="L192" s="88">
        <v>800</v>
      </c>
      <c r="M192" s="67" t="s">
        <v>44</v>
      </c>
      <c r="N192" s="67" t="s">
        <v>51</v>
      </c>
      <c r="O192" s="27" t="s">
        <v>1631</v>
      </c>
      <c r="P192" s="33" t="s">
        <v>23</v>
      </c>
      <c r="Q192" s="60">
        <f>IFERROR(IF(12 / VLOOKUP(Table2[[#This Row],[Rateizzazione]],TIPI_RATEIZZAZIONI,2,FALSE) &gt;=1,  IF(Table2[[#This Row],[Data attivazione]] = "","-",MONTH(Table2[[#This Row],[Data attivazione]])),"-"),"-")</f>
        <v>7</v>
      </c>
      <c r="R1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2" s="67" t="s">
        <v>2</v>
      </c>
      <c r="V192" s="62"/>
      <c r="W192" s="64">
        <v>42926</v>
      </c>
      <c r="X192" s="29">
        <f>DATE(YEAR(Table2[[#This Row],[Data attivazione]])+VLOOKUP(Table2[[#This Row],[Durata]],VALORE_DURATA,2,FALSE),MONTH(Table2[[#This Row],[Data attivazione]]),DAY(Table2[[#This Row],[Data attivazione]]))</f>
        <v>43291</v>
      </c>
      <c r="Y192" s="65"/>
      <c r="Z192" s="61"/>
      <c r="AA192" s="64" t="s">
        <v>85</v>
      </c>
      <c r="AB192" s="29">
        <f>IF(Table2[[#This Row],[Data ultimo versamento temp]]=0/1/1900,"-",Table2[[#This Row],[Data ultimo versamento temp]])</f>
        <v>42926</v>
      </c>
      <c r="AC192" s="29">
        <f t="array" ref="AC192">MAX(IF(TableVersamenti[Polizza]=Table2[[#This Row],[Polizza]],TableVersamenti[Data prevista versamento],"-"))</f>
        <v>42926</v>
      </c>
      <c r="AD192" s="62"/>
      <c r="AE192" s="106">
        <f>DATE(YEAR(Table2[[#This Row],[Data ultimo pagamento]]),MONTH(Table2[[#This Row],[Data ultimo pagamento]]), 1)</f>
        <v>42917</v>
      </c>
      <c r="AF192" s="106">
        <f>DATE(YEAR(Table2[[#This Row],[Data prossima scadenza]]),MONTH(Table2[[#This Row],[Data prossima scadenza]]), 1)</f>
        <v>43282</v>
      </c>
      <c r="AG192" s="33">
        <f>IFERROR(Table2[[#This Row],[Importo annuale]]*VLOOKUP(Table2[[#This Row],[Ramo]],RAMI_POLIZZA,2,FALSE),0)</f>
        <v>92</v>
      </c>
      <c r="AH192" s="65" t="s">
        <v>113</v>
      </c>
      <c r="AI192" s="63" t="str">
        <f>IFERROR(VLOOKUP(Table2[[#This Row],[Contraente]],Table1[[Nome/Ragione sociale]:[Checkbox selezionato]],2,FALSE),"-")</f>
        <v xml:space="preserve">GENZONE </v>
      </c>
      <c r="AJ192" s="63">
        <f>IFERROR(VLOOKUP(Table2[[#This Row],[Contraente]],Table1[[Nome/Ragione sociale]:[Checkbox selezionato]],3,FALSE),"-")</f>
        <v>3356714091</v>
      </c>
      <c r="AK192" s="63">
        <f>IFERROR(VLOOKUP(Table2[[#This Row],[Contraente]],Table1[[Nome/Ragione sociale]:[Checkbox selezionato]],4,FALSE),"-")</f>
        <v>0</v>
      </c>
      <c r="AL192" s="63" t="str">
        <f>IFERROR(VLOOKUP(Table2[[#This Row],[Contraente]],Table1[[Nome/Ragione sociale]:[Checkbox selezionato]],5,FALSE),"-")</f>
        <v>LUIGI</v>
      </c>
      <c r="AM192" s="62">
        <f>IFERROR(VLOOKUP(Table2[[#This Row],[Contraente]],Table1[[Nome/Ragione sociale]:[Checkbox selezionato]],6,FALSE),"-")</f>
        <v>19888</v>
      </c>
      <c r="AN192" s="63" t="str">
        <f>IFERROR(VLOOKUP(Table2[[#This Row],[Contraente]],Table1[[Nome/Ragione sociale]:[Checkbox selezionato]],7,FALSE),"-")</f>
        <v>papies@libero.it</v>
      </c>
      <c r="AO192" s="63">
        <f>IFERROR(VLOOKUP(Table2[[#This Row],[Contraente]],Table1[[Nome/Ragione sociale]:[Checkbox selezionato]],8,FALSE),"-")</f>
        <v>0</v>
      </c>
      <c r="AP192" s="63">
        <f>IFERROR(VLOOKUP(Table2[[#This Row],[Contraente]],Table1[[Nome/Ragione sociale]:[Checkbox selezionato]],10,FALSE),"-")</f>
        <v>3356714091</v>
      </c>
      <c r="AQ192" s="63" t="str">
        <f>IFERROR(VLOOKUP(Table2[[#This Row],[Contraente]],Table1[[Nome/Ragione sociale]:[Checkbox selezionato]],11,FALSE),"-")</f>
        <v>SI</v>
      </c>
      <c r="AR192" s="63" t="str">
        <f>IFERROR(VLOOKUP(Table2[[#This Row],[Contraente]],Table1[[Nome/Ragione sociale]:[Checkbox selezionato]],12,FALSE),"-")</f>
        <v>SI</v>
      </c>
    </row>
    <row r="193" spans="1:44" ht="30" hidden="1" customHeight="1" x14ac:dyDescent="0.25">
      <c r="A193" s="60" t="str">
        <f>UPPER(LEFT(Table2[[#This Row],[Contraente]],1))</f>
        <v>B</v>
      </c>
      <c r="B193" s="60" t="s">
        <v>1634</v>
      </c>
      <c r="C193" s="81" t="s">
        <v>393</v>
      </c>
      <c r="D193" s="80" t="s">
        <v>37</v>
      </c>
      <c r="E193" s="86">
        <v>103341540</v>
      </c>
      <c r="F193" s="64">
        <v>42923</v>
      </c>
      <c r="G193" s="64">
        <f>IFERROR(CALCOLASCADENZA(Table2[[#This Row],[Data attivazione]],Table2[[#This Row],[Rateizzazione]],Table2[[#This Row],[Data ultimo pagamento]],Table2[[#This Row],[Data prossima scadenza manuale]]),"-")</f>
        <v>43295</v>
      </c>
      <c r="H193" s="67" t="s">
        <v>30</v>
      </c>
      <c r="I193" s="67" t="s">
        <v>113</v>
      </c>
      <c r="J193" s="33">
        <f>IFERROR(Table2[[#This Row],[Importo annuale]]/(12/VLOOKUP(Table2[[#This Row],[Rateizzazione]],TIPI_RATEIZZAZIONI,2,FALSE)),"-")</f>
        <v>136</v>
      </c>
      <c r="K193" s="88">
        <v>136</v>
      </c>
      <c r="L193" s="88">
        <v>136</v>
      </c>
      <c r="M193" s="67" t="s">
        <v>44</v>
      </c>
      <c r="N193" s="67" t="s">
        <v>51</v>
      </c>
      <c r="O193" s="27" t="s">
        <v>1631</v>
      </c>
      <c r="P193" s="33" t="s">
        <v>23</v>
      </c>
      <c r="Q193" s="60">
        <f>IFERROR(IF(12 / VLOOKUP(Table2[[#This Row],[Rateizzazione]],TIPI_RATEIZZAZIONI,2,FALSE) &gt;=1,  IF(Table2[[#This Row],[Data attivazione]] = "","-",MONTH(Table2[[#This Row],[Data attivazione]])),"-"),"-")</f>
        <v>7</v>
      </c>
      <c r="R1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3" s="67" t="s">
        <v>2</v>
      </c>
      <c r="V193" s="62"/>
      <c r="W193" s="64">
        <v>42930</v>
      </c>
      <c r="X193" s="29">
        <f>DATE(YEAR(Table2[[#This Row],[Data attivazione]])+VLOOKUP(Table2[[#This Row],[Durata]],VALORE_DURATA,2,FALSE),MONTH(Table2[[#This Row],[Data attivazione]]),DAY(Table2[[#This Row],[Data attivazione]]))</f>
        <v>43295</v>
      </c>
      <c r="Y193" s="65"/>
      <c r="Z193" s="61"/>
      <c r="AA193" s="64" t="s">
        <v>85</v>
      </c>
      <c r="AB193" s="29">
        <f>IF(Table2[[#This Row],[Data ultimo versamento temp]]=0/1/1900,"-",Table2[[#This Row],[Data ultimo versamento temp]])</f>
        <v>42926</v>
      </c>
      <c r="AC193" s="29">
        <f t="array" ref="AC193">MAX(IF(TableVersamenti[Polizza]=Table2[[#This Row],[Polizza]],TableVersamenti[Data prevista versamento],"-"))</f>
        <v>42926</v>
      </c>
      <c r="AD193" s="62"/>
      <c r="AE193" s="106">
        <f>DATE(YEAR(Table2[[#This Row],[Data ultimo pagamento]]),MONTH(Table2[[#This Row],[Data ultimo pagamento]]), 1)</f>
        <v>42917</v>
      </c>
      <c r="AF193" s="106">
        <f>DATE(YEAR(Table2[[#This Row],[Data prossima scadenza]]),MONTH(Table2[[#This Row],[Data prossima scadenza]]), 1)</f>
        <v>43282</v>
      </c>
      <c r="AG193" s="33">
        <f>IFERROR(Table2[[#This Row],[Importo annuale]]*VLOOKUP(Table2[[#This Row],[Ramo]],RAMI_POLIZZA,2,FALSE),0)</f>
        <v>15.64</v>
      </c>
      <c r="AH193" s="65" t="s">
        <v>113</v>
      </c>
      <c r="AI193" s="63" t="str">
        <f>IFERROR(VLOOKUP(Table2[[#This Row],[Contraente]],Table1[[Nome/Ragione sociale]:[Checkbox selezionato]],2,FALSE),"-")</f>
        <v xml:space="preserve">GENZONE </v>
      </c>
      <c r="AJ193" s="63">
        <f>IFERROR(VLOOKUP(Table2[[#This Row],[Contraente]],Table1[[Nome/Ragione sociale]:[Checkbox selezionato]],3,FALSE),"-")</f>
        <v>3356714091</v>
      </c>
      <c r="AK193" s="63">
        <f>IFERROR(VLOOKUP(Table2[[#This Row],[Contraente]],Table1[[Nome/Ragione sociale]:[Checkbox selezionato]],4,FALSE),"-")</f>
        <v>0</v>
      </c>
      <c r="AL193" s="63" t="str">
        <f>IFERROR(VLOOKUP(Table2[[#This Row],[Contraente]],Table1[[Nome/Ragione sociale]:[Checkbox selezionato]],5,FALSE),"-")</f>
        <v>LUIGI</v>
      </c>
      <c r="AM193" s="62">
        <f>IFERROR(VLOOKUP(Table2[[#This Row],[Contraente]],Table1[[Nome/Ragione sociale]:[Checkbox selezionato]],6,FALSE),"-")</f>
        <v>19888</v>
      </c>
      <c r="AN193" s="63" t="str">
        <f>IFERROR(VLOOKUP(Table2[[#This Row],[Contraente]],Table1[[Nome/Ragione sociale]:[Checkbox selezionato]],7,FALSE),"-")</f>
        <v>papies@libero.it</v>
      </c>
      <c r="AO193" s="63">
        <f>IFERROR(VLOOKUP(Table2[[#This Row],[Contraente]],Table1[[Nome/Ragione sociale]:[Checkbox selezionato]],8,FALSE),"-")</f>
        <v>0</v>
      </c>
      <c r="AP193" s="63">
        <f>IFERROR(VLOOKUP(Table2[[#This Row],[Contraente]],Table1[[Nome/Ragione sociale]:[Checkbox selezionato]],10,FALSE),"-")</f>
        <v>3356714091</v>
      </c>
      <c r="AQ193" s="63" t="str">
        <f>IFERROR(VLOOKUP(Table2[[#This Row],[Contraente]],Table1[[Nome/Ragione sociale]:[Checkbox selezionato]],11,FALSE),"-")</f>
        <v>SI</v>
      </c>
      <c r="AR193" s="63" t="str">
        <f>IFERROR(VLOOKUP(Table2[[#This Row],[Contraente]],Table1[[Nome/Ragione sociale]:[Checkbox selezionato]],12,FALSE),"-")</f>
        <v>SI</v>
      </c>
    </row>
    <row r="194" spans="1:44" ht="30" hidden="1" customHeight="1" x14ac:dyDescent="0.25">
      <c r="A194" s="60" t="str">
        <f>UPPER(LEFT(Table2[[#This Row],[Contraente]],1))</f>
        <v>B</v>
      </c>
      <c r="B194" s="60" t="s">
        <v>1634</v>
      </c>
      <c r="C194" s="81" t="s">
        <v>389</v>
      </c>
      <c r="D194" s="80" t="s">
        <v>37</v>
      </c>
      <c r="E194" s="86">
        <v>105595920</v>
      </c>
      <c r="F194" s="64">
        <v>42877</v>
      </c>
      <c r="G194" s="64">
        <f>IFERROR(CALCOLASCADENZA(Table2[[#This Row],[Data attivazione]],Table2[[#This Row],[Rateizzazione]],Table2[[#This Row],[Data ultimo pagamento]],Table2[[#This Row],[Data prossima scadenza manuale]]),"-")</f>
        <v>43232</v>
      </c>
      <c r="H194" s="67" t="s">
        <v>30</v>
      </c>
      <c r="I194" s="67" t="s">
        <v>113</v>
      </c>
      <c r="J194" s="33">
        <f>IFERROR(Table2[[#This Row],[Importo annuale]]/(12/VLOOKUP(Table2[[#This Row],[Rateizzazione]],TIPI_RATEIZZAZIONI,2,FALSE)),"-")</f>
        <v>370</v>
      </c>
      <c r="K194" s="88">
        <v>370</v>
      </c>
      <c r="L194" s="88">
        <v>370</v>
      </c>
      <c r="M194" s="67" t="s">
        <v>44</v>
      </c>
      <c r="N194" s="67" t="s">
        <v>51</v>
      </c>
      <c r="O194" s="27" t="s">
        <v>1631</v>
      </c>
      <c r="P194" s="33" t="s">
        <v>23</v>
      </c>
      <c r="Q194" s="60">
        <f>IFERROR(IF(12 / VLOOKUP(Table2[[#This Row],[Rateizzazione]],TIPI_RATEIZZAZIONI,2,FALSE) &gt;=1,  IF(Table2[[#This Row],[Data attivazione]] = "","-",MONTH(Table2[[#This Row],[Data attivazione]])),"-"),"-")</f>
        <v>5</v>
      </c>
      <c r="R1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4" s="67" t="s">
        <v>2</v>
      </c>
      <c r="V194" s="62"/>
      <c r="W194" s="64">
        <v>42867</v>
      </c>
      <c r="X194" s="29">
        <f>DATE(YEAR(Table2[[#This Row],[Data attivazione]])+VLOOKUP(Table2[[#This Row],[Durata]],VALORE_DURATA,2,FALSE),MONTH(Table2[[#This Row],[Data attivazione]]),DAY(Table2[[#This Row],[Data attivazione]]))</f>
        <v>43232</v>
      </c>
      <c r="Y194" s="65"/>
      <c r="Z194" s="61"/>
      <c r="AA194" s="64" t="s">
        <v>85</v>
      </c>
      <c r="AB194" s="29" t="str">
        <f>IF(Table2[[#This Row],[Data ultimo versamento temp]]=0/1/1900,"-",Table2[[#This Row],[Data ultimo versamento temp]])</f>
        <v>-</v>
      </c>
      <c r="AC194" s="29">
        <f t="array" ref="AC194">MAX(IF(TableVersamenti[Polizza]=Table2[[#This Row],[Polizza]],TableVersamenti[Data prevista versamento],"-"))</f>
        <v>0</v>
      </c>
      <c r="AD194" s="62"/>
      <c r="AE194" s="106">
        <f>DATE(YEAR(Table2[[#This Row],[Data ultimo pagamento]]),MONTH(Table2[[#This Row],[Data ultimo pagamento]]), 1)</f>
        <v>42856</v>
      </c>
      <c r="AF194" s="106">
        <f>DATE(YEAR(Table2[[#This Row],[Data prossima scadenza]]),MONTH(Table2[[#This Row],[Data prossima scadenza]]), 1)</f>
        <v>43221</v>
      </c>
      <c r="AG194" s="33">
        <f>IFERROR(Table2[[#This Row],[Importo annuale]]*VLOOKUP(Table2[[#This Row],[Ramo]],RAMI_POLIZZA,2,FALSE),0)</f>
        <v>42.550000000000004</v>
      </c>
      <c r="AH194" s="65" t="s">
        <v>113</v>
      </c>
      <c r="AI194" s="63" t="str">
        <f>IFERROR(VLOOKUP(Table2[[#This Row],[Contraente]],Table1[[Nome/Ragione sociale]:[Checkbox selezionato]],2,FALSE),"-")</f>
        <v>FILIGHERA</v>
      </c>
      <c r="AJ194" s="63">
        <f>IFERROR(VLOOKUP(Table2[[#This Row],[Contraente]],Table1[[Nome/Ragione sociale]:[Checkbox selezionato]],3,FALSE),"-")</f>
        <v>0</v>
      </c>
      <c r="AK194" s="63">
        <f>IFERROR(VLOOKUP(Table2[[#This Row],[Contraente]],Table1[[Nome/Ragione sociale]:[Checkbox selezionato]],4,FALSE),"-")</f>
        <v>0</v>
      </c>
      <c r="AL194" s="63" t="str">
        <f>IFERROR(VLOOKUP(Table2[[#This Row],[Contraente]],Table1[[Nome/Ragione sociale]:[Checkbox selezionato]],5,FALSE),"-")</f>
        <v>PIERO</v>
      </c>
      <c r="AM194" s="62">
        <f>IFERROR(VLOOKUP(Table2[[#This Row],[Contraente]],Table1[[Nome/Ragione sociale]:[Checkbox selezionato]],6,FALSE),"-")</f>
        <v>18336</v>
      </c>
      <c r="AN194" s="63" t="str">
        <f>IFERROR(VLOOKUP(Table2[[#This Row],[Contraente]],Table1[[Nome/Ragione sociale]:[Checkbox selezionato]],7,FALSE),"-")</f>
        <v>papies@libero.it</v>
      </c>
      <c r="AO194" s="63">
        <f>IFERROR(VLOOKUP(Table2[[#This Row],[Contraente]],Table1[[Nome/Ragione sociale]:[Checkbox selezionato]],8,FALSE),"-")</f>
        <v>0</v>
      </c>
      <c r="AP194" s="63">
        <f>IFERROR(VLOOKUP(Table2[[#This Row],[Contraente]],Table1[[Nome/Ragione sociale]:[Checkbox selezionato]],10,FALSE),"-")</f>
        <v>0</v>
      </c>
      <c r="AQ194" s="63" t="str">
        <f>IFERROR(VLOOKUP(Table2[[#This Row],[Contraente]],Table1[[Nome/Ragione sociale]:[Checkbox selezionato]],11,FALSE),"-")</f>
        <v>SI</v>
      </c>
      <c r="AR194" s="63" t="str">
        <f>IFERROR(VLOOKUP(Table2[[#This Row],[Contraente]],Table1[[Nome/Ragione sociale]:[Checkbox selezionato]],12,FALSE),"-")</f>
        <v>SI</v>
      </c>
    </row>
    <row r="195" spans="1:44" ht="30" hidden="1" customHeight="1" x14ac:dyDescent="0.25">
      <c r="A195" s="60" t="str">
        <f>UPPER(LEFT(Table2[[#This Row],[Contraente]],1))</f>
        <v>B</v>
      </c>
      <c r="B195" s="60" t="s">
        <v>1634</v>
      </c>
      <c r="C195" s="81" t="s">
        <v>394</v>
      </c>
      <c r="D195" s="80" t="s">
        <v>37</v>
      </c>
      <c r="E195" s="86">
        <v>105309281</v>
      </c>
      <c r="F195" s="64">
        <v>42786</v>
      </c>
      <c r="G195" s="64">
        <f>IFERROR(CALCOLASCADENZA(Table2[[#This Row],[Data attivazione]],Table2[[#This Row],[Rateizzazione]],Table2[[#This Row],[Data ultimo pagamento]],Table2[[#This Row],[Data prossima scadenza manuale]]),"-")</f>
        <v>43149</v>
      </c>
      <c r="H195" s="67" t="s">
        <v>30</v>
      </c>
      <c r="I195" s="67" t="s">
        <v>113</v>
      </c>
      <c r="J195" s="33">
        <f>IFERROR(Table2[[#This Row],[Importo annuale]]/(12/VLOOKUP(Table2[[#This Row],[Rateizzazione]],TIPI_RATEIZZAZIONI,2,FALSE)),"-")</f>
        <v>200</v>
      </c>
      <c r="K195" s="88">
        <v>200</v>
      </c>
      <c r="L195" s="88">
        <v>200</v>
      </c>
      <c r="M195" s="67" t="s">
        <v>43</v>
      </c>
      <c r="N195" s="67" t="s">
        <v>51</v>
      </c>
      <c r="O195" s="27" t="s">
        <v>1631</v>
      </c>
      <c r="P195" s="33" t="s">
        <v>23</v>
      </c>
      <c r="Q195" s="60">
        <f>IFERROR(IF(12 / VLOOKUP(Table2[[#This Row],[Rateizzazione]],TIPI_RATEIZZAZIONI,2,FALSE) &gt;=1,  IF(Table2[[#This Row],[Data attivazione]] = "","-",MONTH(Table2[[#This Row],[Data attivazione]])),"-"),"-")</f>
        <v>2</v>
      </c>
      <c r="R1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5" s="67" t="s">
        <v>2</v>
      </c>
      <c r="V195" s="62"/>
      <c r="W195" s="64">
        <v>42784</v>
      </c>
      <c r="X195" s="29">
        <f>DATE(YEAR(Table2[[#This Row],[Data attivazione]])+VLOOKUP(Table2[[#This Row],[Durata]],VALORE_DURATA,2,FALSE),MONTH(Table2[[#This Row],[Data attivazione]]),DAY(Table2[[#This Row],[Data attivazione]]))</f>
        <v>43149</v>
      </c>
      <c r="Y195" s="65"/>
      <c r="Z195" s="61"/>
      <c r="AA195" s="64" t="s">
        <v>85</v>
      </c>
      <c r="AB195" s="29" t="str">
        <f>IF(Table2[[#This Row],[Data ultimo versamento temp]]=0/1/1900,"-",Table2[[#This Row],[Data ultimo versamento temp]])</f>
        <v>-</v>
      </c>
      <c r="AC195" s="29">
        <f t="array" ref="AC195">MAX(IF(TableVersamenti[Polizza]=Table2[[#This Row],[Polizza]],TableVersamenti[Data prevista versamento],"-"))</f>
        <v>0</v>
      </c>
      <c r="AD195" s="62"/>
      <c r="AE195" s="106">
        <f>DATE(YEAR(Table2[[#This Row],[Data ultimo pagamento]]),MONTH(Table2[[#This Row],[Data ultimo pagamento]]), 1)</f>
        <v>42767</v>
      </c>
      <c r="AF195" s="106">
        <f>DATE(YEAR(Table2[[#This Row],[Data prossima scadenza]]),MONTH(Table2[[#This Row],[Data prossima scadenza]]), 1)</f>
        <v>43132</v>
      </c>
      <c r="AG195" s="33">
        <f>IFERROR(Table2[[#This Row],[Importo annuale]]*VLOOKUP(Table2[[#This Row],[Ramo]],RAMI_POLIZZA,2,FALSE),0)</f>
        <v>23</v>
      </c>
      <c r="AH195" s="65" t="s">
        <v>113</v>
      </c>
      <c r="AI195" s="63" t="str">
        <f>IFERROR(VLOOKUP(Table2[[#This Row],[Contraente]],Table1[[Nome/Ragione sociale]:[Checkbox selezionato]],2,FALSE),"-")</f>
        <v>VALLE SALIMBENE</v>
      </c>
      <c r="AJ195" s="63">
        <f>IFERROR(VLOOKUP(Table2[[#This Row],[Contraente]],Table1[[Nome/Ragione sociale]:[Checkbox selezionato]],3,FALSE),"-")</f>
        <v>3775081622</v>
      </c>
      <c r="AK195" s="63" t="str">
        <f>IFERROR(VLOOKUP(Table2[[#This Row],[Contraente]],Table1[[Nome/Ragione sociale]:[Checkbox selezionato]],4,FALSE),"-")</f>
        <v>.0382.485053</v>
      </c>
      <c r="AL195" s="63" t="str">
        <f>IFERROR(VLOOKUP(Table2[[#This Row],[Contraente]],Table1[[Nome/Ragione sociale]:[Checkbox selezionato]],5,FALSE),"-")</f>
        <v>GIUSEPPE</v>
      </c>
      <c r="AM195" s="62">
        <f>IFERROR(VLOOKUP(Table2[[#This Row],[Contraente]],Table1[[Nome/Ragione sociale]:[Checkbox selezionato]],6,FALSE),"-")</f>
        <v>22646</v>
      </c>
      <c r="AN195" s="63" t="str">
        <f>IFERROR(VLOOKUP(Table2[[#This Row],[Contraente]],Table1[[Nome/Ragione sociale]:[Checkbox selezionato]],7,FALSE),"-")</f>
        <v>papies@email.it</v>
      </c>
      <c r="AO195" s="63">
        <f>IFERROR(VLOOKUP(Table2[[#This Row],[Contraente]],Table1[[Nome/Ragione sociale]:[Checkbox selezionato]],8,FALSE),"-")</f>
        <v>0</v>
      </c>
      <c r="AP195" s="63">
        <f>IFERROR(VLOOKUP(Table2[[#This Row],[Contraente]],Table1[[Nome/Ragione sociale]:[Checkbox selezionato]],10,FALSE),"-")</f>
        <v>3775081622</v>
      </c>
      <c r="AQ195" s="63" t="str">
        <f>IFERROR(VLOOKUP(Table2[[#This Row],[Contraente]],Table1[[Nome/Ragione sociale]:[Checkbox selezionato]],11,FALSE),"-")</f>
        <v>SI</v>
      </c>
      <c r="AR195" s="63" t="str">
        <f>IFERROR(VLOOKUP(Table2[[#This Row],[Contraente]],Table1[[Nome/Ragione sociale]:[Checkbox selezionato]],12,FALSE),"-")</f>
        <v>SI</v>
      </c>
    </row>
    <row r="196" spans="1:44" ht="30" hidden="1" customHeight="1" x14ac:dyDescent="0.25">
      <c r="A196" s="60" t="str">
        <f>UPPER(LEFT(Table2[[#This Row],[Contraente]],1))</f>
        <v>B</v>
      </c>
      <c r="B196" s="60" t="s">
        <v>1634</v>
      </c>
      <c r="C196" s="81" t="s">
        <v>394</v>
      </c>
      <c r="D196" s="80" t="s">
        <v>37</v>
      </c>
      <c r="E196" s="86">
        <v>106875351</v>
      </c>
      <c r="F196" s="64">
        <v>42873</v>
      </c>
      <c r="G196" s="64">
        <f>IFERROR(CALCOLASCADENZA(Table2[[#This Row],[Data attivazione]],Table2[[#This Row],[Rateizzazione]],Table2[[#This Row],[Data ultimo pagamento]],Table2[[#This Row],[Data prossima scadenza manuale]]),"-")</f>
        <v>43240</v>
      </c>
      <c r="H196" s="67" t="s">
        <v>31</v>
      </c>
      <c r="I196" s="67" t="s">
        <v>1211</v>
      </c>
      <c r="J196" s="33">
        <f>IFERROR(Table2[[#This Row],[Importo annuale]]/(12/VLOOKUP(Table2[[#This Row],[Rateizzazione]],TIPI_RATEIZZAZIONI,2,FALSE)),"-")</f>
        <v>210</v>
      </c>
      <c r="K196" s="88">
        <v>210</v>
      </c>
      <c r="L196" s="88">
        <v>210</v>
      </c>
      <c r="M196" s="67" t="s">
        <v>43</v>
      </c>
      <c r="N196" s="67" t="s">
        <v>51</v>
      </c>
      <c r="O196" s="27" t="s">
        <v>1631</v>
      </c>
      <c r="P196" s="33" t="s">
        <v>23</v>
      </c>
      <c r="Q196" s="60">
        <f>IFERROR(IF(12 / VLOOKUP(Table2[[#This Row],[Rateizzazione]],TIPI_RATEIZZAZIONI,2,FALSE) &gt;=1,  IF(Table2[[#This Row],[Data attivazione]] = "","-",MONTH(Table2[[#This Row],[Data attivazione]])),"-"),"-")</f>
        <v>5</v>
      </c>
      <c r="R1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6" s="67" t="s">
        <v>2</v>
      </c>
      <c r="V196" s="62"/>
      <c r="W196" s="64">
        <v>42875</v>
      </c>
      <c r="X196" s="29">
        <f>DATE(YEAR(Table2[[#This Row],[Data attivazione]])+VLOOKUP(Table2[[#This Row],[Durata]],VALORE_DURATA,2,FALSE),MONTH(Table2[[#This Row],[Data attivazione]]),DAY(Table2[[#This Row],[Data attivazione]]))</f>
        <v>43240</v>
      </c>
      <c r="Y196" s="65"/>
      <c r="Z196" s="61"/>
      <c r="AA196" s="64" t="s">
        <v>85</v>
      </c>
      <c r="AB196" s="29" t="str">
        <f>IF(Table2[[#This Row],[Data ultimo versamento temp]]=0/1/1900,"-",Table2[[#This Row],[Data ultimo versamento temp]])</f>
        <v>-</v>
      </c>
      <c r="AC196" s="29">
        <f t="array" ref="AC196">MAX(IF(TableVersamenti[Polizza]=Table2[[#This Row],[Polizza]],TableVersamenti[Data prevista versamento],"-"))</f>
        <v>0</v>
      </c>
      <c r="AD196" s="62"/>
      <c r="AE196" s="106">
        <f>DATE(YEAR(Table2[[#This Row],[Data ultimo pagamento]]),MONTH(Table2[[#This Row],[Data ultimo pagamento]]), 1)</f>
        <v>42856</v>
      </c>
      <c r="AF196" s="106">
        <f>DATE(YEAR(Table2[[#This Row],[Data prossima scadenza]]),MONTH(Table2[[#This Row],[Data prossima scadenza]]), 1)</f>
        <v>43221</v>
      </c>
      <c r="AG196" s="33">
        <f>IFERROR(Table2[[#This Row],[Importo annuale]]*VLOOKUP(Table2[[#This Row],[Ramo]],RAMI_POLIZZA,2,FALSE),0)</f>
        <v>10.92</v>
      </c>
      <c r="AH196" s="65" t="s">
        <v>113</v>
      </c>
      <c r="AI196" s="63" t="str">
        <f>IFERROR(VLOOKUP(Table2[[#This Row],[Contraente]],Table1[[Nome/Ragione sociale]:[Checkbox selezionato]],2,FALSE),"-")</f>
        <v>VALLE SALIMBENE</v>
      </c>
      <c r="AJ196" s="63">
        <f>IFERROR(VLOOKUP(Table2[[#This Row],[Contraente]],Table1[[Nome/Ragione sociale]:[Checkbox selezionato]],3,FALSE),"-")</f>
        <v>3775081622</v>
      </c>
      <c r="AK196" s="63" t="str">
        <f>IFERROR(VLOOKUP(Table2[[#This Row],[Contraente]],Table1[[Nome/Ragione sociale]:[Checkbox selezionato]],4,FALSE),"-")</f>
        <v>.0382.485053</v>
      </c>
      <c r="AL196" s="63" t="str">
        <f>IFERROR(VLOOKUP(Table2[[#This Row],[Contraente]],Table1[[Nome/Ragione sociale]:[Checkbox selezionato]],5,FALSE),"-")</f>
        <v>GIUSEPPE</v>
      </c>
      <c r="AM196" s="62">
        <f>IFERROR(VLOOKUP(Table2[[#This Row],[Contraente]],Table1[[Nome/Ragione sociale]:[Checkbox selezionato]],6,FALSE),"-")</f>
        <v>22646</v>
      </c>
      <c r="AN196" s="63" t="str">
        <f>IFERROR(VLOOKUP(Table2[[#This Row],[Contraente]],Table1[[Nome/Ragione sociale]:[Checkbox selezionato]],7,FALSE),"-")</f>
        <v>papies@email.it</v>
      </c>
      <c r="AO196" s="63">
        <f>IFERROR(VLOOKUP(Table2[[#This Row],[Contraente]],Table1[[Nome/Ragione sociale]:[Checkbox selezionato]],8,FALSE),"-")</f>
        <v>0</v>
      </c>
      <c r="AP196" s="63">
        <f>IFERROR(VLOOKUP(Table2[[#This Row],[Contraente]],Table1[[Nome/Ragione sociale]:[Checkbox selezionato]],10,FALSE),"-")</f>
        <v>3775081622</v>
      </c>
      <c r="AQ196" s="63" t="str">
        <f>IFERROR(VLOOKUP(Table2[[#This Row],[Contraente]],Table1[[Nome/Ragione sociale]:[Checkbox selezionato]],11,FALSE),"-")</f>
        <v>SI</v>
      </c>
      <c r="AR196" s="63" t="str">
        <f>IFERROR(VLOOKUP(Table2[[#This Row],[Contraente]],Table1[[Nome/Ragione sociale]:[Checkbox selezionato]],12,FALSE),"-")</f>
        <v>SI</v>
      </c>
    </row>
    <row r="197" spans="1:44" ht="30" hidden="1" customHeight="1" x14ac:dyDescent="0.25">
      <c r="A197" s="60" t="str">
        <f>UPPER(LEFT(Table2[[#This Row],[Contraente]],1))</f>
        <v>B</v>
      </c>
      <c r="B197" s="60" t="s">
        <v>1634</v>
      </c>
      <c r="C197" s="81" t="s">
        <v>394</v>
      </c>
      <c r="D197" s="80" t="s">
        <v>37</v>
      </c>
      <c r="E197" s="86">
        <v>106395497</v>
      </c>
      <c r="F197" s="64">
        <v>42930</v>
      </c>
      <c r="G197" s="64">
        <f>IFERROR(CALCOLASCADENZA(Table2[[#This Row],[Data attivazione]],Table2[[#This Row],[Rateizzazione]],Table2[[#This Row],[Data ultimo pagamento]],Table2[[#This Row],[Data prossima scadenza manuale]]),"-")</f>
        <v>43116</v>
      </c>
      <c r="H197" s="67" t="s">
        <v>31</v>
      </c>
      <c r="I197" s="67" t="s">
        <v>1212</v>
      </c>
      <c r="J197" s="33">
        <v>502</v>
      </c>
      <c r="K197" s="88">
        <v>1006</v>
      </c>
      <c r="L197" s="88">
        <v>1004</v>
      </c>
      <c r="M197" s="67" t="s">
        <v>43</v>
      </c>
      <c r="N197" s="67" t="s">
        <v>51</v>
      </c>
      <c r="O197" s="27" t="s">
        <v>1631</v>
      </c>
      <c r="P197" s="33" t="s">
        <v>22</v>
      </c>
      <c r="Q197" s="60">
        <f>IFERROR(IF(12 / VLOOKUP(Table2[[#This Row],[Rateizzazione]],TIPI_RATEIZZAZIONI,2,FALSE) &gt;=1,  IF(Table2[[#This Row],[Data attivazione]] = "","-",MONTH(Table2[[#This Row],[Data attivazione]])),"-"),"-")</f>
        <v>7</v>
      </c>
      <c r="R1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7" s="67" t="s">
        <v>2</v>
      </c>
      <c r="V197" s="62"/>
      <c r="W197" s="64">
        <v>42932</v>
      </c>
      <c r="X197" s="29">
        <f>DATE(YEAR(Table2[[#This Row],[Data attivazione]])+VLOOKUP(Table2[[#This Row],[Durata]],VALORE_DURATA,2,FALSE),MONTH(Table2[[#This Row],[Data attivazione]]),DAY(Table2[[#This Row],[Data attivazione]]))</f>
        <v>43297</v>
      </c>
      <c r="Y197" s="65"/>
      <c r="Z197" s="61"/>
      <c r="AA197" s="64" t="s">
        <v>85</v>
      </c>
      <c r="AB197" s="29">
        <f>IF(Table2[[#This Row],[Data ultimo versamento temp]]=0/1/1900,"-",Table2[[#This Row],[Data ultimo versamento temp]])</f>
        <v>42933</v>
      </c>
      <c r="AC197" s="29">
        <f t="array" ref="AC197">MAX(IF(TableVersamenti[Polizza]=Table2[[#This Row],[Polizza]],TableVersamenti[Data prevista versamento],"-"))</f>
        <v>42933</v>
      </c>
      <c r="AD197" s="62"/>
      <c r="AE197" s="106">
        <f>DATE(YEAR(Table2[[#This Row],[Data ultimo pagamento]]),MONTH(Table2[[#This Row],[Data ultimo pagamento]]), 1)</f>
        <v>42917</v>
      </c>
      <c r="AF197" s="106">
        <f>DATE(YEAR(Table2[[#This Row],[Data prossima scadenza]]),MONTH(Table2[[#This Row],[Data prossima scadenza]]), 1)</f>
        <v>43101</v>
      </c>
      <c r="AG197" s="33">
        <f>IFERROR(Table2[[#This Row],[Importo annuale]]*VLOOKUP(Table2[[#This Row],[Ramo]],RAMI_POLIZZA,2,FALSE),0)</f>
        <v>52.207999999999998</v>
      </c>
      <c r="AH197" s="65" t="s">
        <v>113</v>
      </c>
      <c r="AI197" s="63" t="str">
        <f>IFERROR(VLOOKUP(Table2[[#This Row],[Contraente]],Table1[[Nome/Ragione sociale]:[Checkbox selezionato]],2,FALSE),"-")</f>
        <v>VALLE SALIMBENE</v>
      </c>
      <c r="AJ197" s="63">
        <f>IFERROR(VLOOKUP(Table2[[#This Row],[Contraente]],Table1[[Nome/Ragione sociale]:[Checkbox selezionato]],3,FALSE),"-")</f>
        <v>3775081622</v>
      </c>
      <c r="AK197" s="63" t="str">
        <f>IFERROR(VLOOKUP(Table2[[#This Row],[Contraente]],Table1[[Nome/Ragione sociale]:[Checkbox selezionato]],4,FALSE),"-")</f>
        <v>.0382.485053</v>
      </c>
      <c r="AL197" s="63" t="str">
        <f>IFERROR(VLOOKUP(Table2[[#This Row],[Contraente]],Table1[[Nome/Ragione sociale]:[Checkbox selezionato]],5,FALSE),"-")</f>
        <v>GIUSEPPE</v>
      </c>
      <c r="AM197" s="62">
        <f>IFERROR(VLOOKUP(Table2[[#This Row],[Contraente]],Table1[[Nome/Ragione sociale]:[Checkbox selezionato]],6,FALSE),"-")</f>
        <v>22646</v>
      </c>
      <c r="AN197" s="63" t="str">
        <f>IFERROR(VLOOKUP(Table2[[#This Row],[Contraente]],Table1[[Nome/Ragione sociale]:[Checkbox selezionato]],7,FALSE),"-")</f>
        <v>papies@email.it</v>
      </c>
      <c r="AO197" s="63">
        <f>IFERROR(VLOOKUP(Table2[[#This Row],[Contraente]],Table1[[Nome/Ragione sociale]:[Checkbox selezionato]],8,FALSE),"-")</f>
        <v>0</v>
      </c>
      <c r="AP197" s="63">
        <f>IFERROR(VLOOKUP(Table2[[#This Row],[Contraente]],Table1[[Nome/Ragione sociale]:[Checkbox selezionato]],10,FALSE),"-")</f>
        <v>3775081622</v>
      </c>
      <c r="AQ197" s="63" t="str">
        <f>IFERROR(VLOOKUP(Table2[[#This Row],[Contraente]],Table1[[Nome/Ragione sociale]:[Checkbox selezionato]],11,FALSE),"-")</f>
        <v>SI</v>
      </c>
      <c r="AR197" s="63" t="str">
        <f>IFERROR(VLOOKUP(Table2[[#This Row],[Contraente]],Table1[[Nome/Ragione sociale]:[Checkbox selezionato]],12,FALSE),"-")</f>
        <v>SI</v>
      </c>
    </row>
    <row r="198" spans="1:44" ht="30" hidden="1" customHeight="1" x14ac:dyDescent="0.25">
      <c r="A198" s="60" t="str">
        <f>UPPER(LEFT(Table2[[#This Row],[Contraente]],1))</f>
        <v>B</v>
      </c>
      <c r="B198" s="60" t="s">
        <v>1634</v>
      </c>
      <c r="C198" s="81" t="s">
        <v>102</v>
      </c>
      <c r="D198" s="80" t="s">
        <v>37</v>
      </c>
      <c r="E198" s="86">
        <v>101610919</v>
      </c>
      <c r="F198" s="64">
        <v>42846</v>
      </c>
      <c r="G198" s="64">
        <f>IFERROR(CALCOLASCADENZA(Table2[[#This Row],[Data attivazione]],Table2[[#This Row],[Rateizzazione]],Table2[[#This Row],[Data ultimo pagamento]],Table2[[#This Row],[Data prossima scadenza manuale]]),"-")</f>
        <v>43213</v>
      </c>
      <c r="H198" s="67" t="s">
        <v>30</v>
      </c>
      <c r="I198" s="67" t="s">
        <v>113</v>
      </c>
      <c r="J198" s="33">
        <f>IFERROR(Table2[[#This Row],[Importo annuale]]/(12/VLOOKUP(Table2[[#This Row],[Rateizzazione]],TIPI_RATEIZZAZIONI,2,FALSE)),"-")</f>
        <v>100</v>
      </c>
      <c r="K198" s="88">
        <v>100</v>
      </c>
      <c r="L198" s="88">
        <v>100</v>
      </c>
      <c r="M198" s="67" t="s">
        <v>44</v>
      </c>
      <c r="N198" s="67" t="s">
        <v>51</v>
      </c>
      <c r="O198" s="27" t="s">
        <v>1631</v>
      </c>
      <c r="P198" s="33" t="s">
        <v>23</v>
      </c>
      <c r="Q198" s="60">
        <f>IFERROR(IF(12 / VLOOKUP(Table2[[#This Row],[Rateizzazione]],TIPI_RATEIZZAZIONI,2,FALSE) &gt;=1,  IF(Table2[[#This Row],[Data attivazione]] = "","-",MONTH(Table2[[#This Row],[Data attivazione]])),"-"),"-")</f>
        <v>4</v>
      </c>
      <c r="R1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8" s="67" t="s">
        <v>2</v>
      </c>
      <c r="V198" s="62"/>
      <c r="W198" s="64">
        <v>42848</v>
      </c>
      <c r="X198" s="29">
        <f>DATE(YEAR(Table2[[#This Row],[Data attivazione]])+VLOOKUP(Table2[[#This Row],[Durata]],VALORE_DURATA,2,FALSE),MONTH(Table2[[#This Row],[Data attivazione]]),DAY(Table2[[#This Row],[Data attivazione]]))</f>
        <v>43213</v>
      </c>
      <c r="Y198" s="65"/>
      <c r="Z198" s="61"/>
      <c r="AA198" s="64" t="s">
        <v>85</v>
      </c>
      <c r="AB198" s="29" t="str">
        <f>IF(Table2[[#This Row],[Data ultimo versamento temp]]=0/1/1900,"-",Table2[[#This Row],[Data ultimo versamento temp]])</f>
        <v>-</v>
      </c>
      <c r="AC198" s="29">
        <f t="array" ref="AC198">MAX(IF(TableVersamenti[Polizza]=Table2[[#This Row],[Polizza]],TableVersamenti[Data prevista versamento],"-"))</f>
        <v>0</v>
      </c>
      <c r="AD198" s="62"/>
      <c r="AE198" s="106">
        <f>DATE(YEAR(Table2[[#This Row],[Data ultimo pagamento]]),MONTH(Table2[[#This Row],[Data ultimo pagamento]]), 1)</f>
        <v>42826</v>
      </c>
      <c r="AF198" s="106">
        <f>DATE(YEAR(Table2[[#This Row],[Data prossima scadenza]]),MONTH(Table2[[#This Row],[Data prossima scadenza]]), 1)</f>
        <v>43191</v>
      </c>
      <c r="AG198" s="33">
        <f>IFERROR(Table2[[#This Row],[Importo annuale]]*VLOOKUP(Table2[[#This Row],[Ramo]],RAMI_POLIZZA,2,FALSE),0)</f>
        <v>11.5</v>
      </c>
      <c r="AH198" s="65" t="s">
        <v>113</v>
      </c>
      <c r="AI198" s="63" t="str">
        <f>IFERROR(VLOOKUP(Table2[[#This Row],[Contraente]],Table1[[Nome/Ragione sociale]:[Checkbox selezionato]],2,FALSE),"-")</f>
        <v>CORTEOLONA</v>
      </c>
      <c r="AJ198" s="63">
        <f>IFERROR(VLOOKUP(Table2[[#This Row],[Contraente]],Table1[[Nome/Ragione sociale]:[Checkbox selezionato]],3,FALSE),"-")</f>
        <v>3393577545</v>
      </c>
      <c r="AK198" s="63">
        <f>IFERROR(VLOOKUP(Table2[[#This Row],[Contraente]],Table1[[Nome/Ragione sociale]:[Checkbox selezionato]],4,FALSE),"-")</f>
        <v>0</v>
      </c>
      <c r="AL198" s="63" t="str">
        <f>IFERROR(VLOOKUP(Table2[[#This Row],[Contraente]],Table1[[Nome/Ragione sociale]:[Checkbox selezionato]],5,FALSE),"-")</f>
        <v>FEDERICA</v>
      </c>
      <c r="AM198" s="62">
        <f>IFERROR(VLOOKUP(Table2[[#This Row],[Contraente]],Table1[[Nome/Ragione sociale]:[Checkbox selezionato]],6,FALSE),"-")</f>
        <v>32372</v>
      </c>
      <c r="AN198" s="63" t="str">
        <f>IFERROR(VLOOKUP(Table2[[#This Row],[Contraente]],Table1[[Nome/Ragione sociale]:[Checkbox selezionato]],7,FALSE),"-")</f>
        <v>papies@libero.it</v>
      </c>
      <c r="AO198" s="63">
        <f>IFERROR(VLOOKUP(Table2[[#This Row],[Contraente]],Table1[[Nome/Ragione sociale]:[Checkbox selezionato]],8,FALSE),"-")</f>
        <v>0</v>
      </c>
      <c r="AP198" s="63">
        <f>IFERROR(VLOOKUP(Table2[[#This Row],[Contraente]],Table1[[Nome/Ragione sociale]:[Checkbox selezionato]],10,FALSE),"-")</f>
        <v>3393577545</v>
      </c>
      <c r="AQ198" s="63" t="str">
        <f>IFERROR(VLOOKUP(Table2[[#This Row],[Contraente]],Table1[[Nome/Ragione sociale]:[Checkbox selezionato]],11,FALSE),"-")</f>
        <v>SI</v>
      </c>
      <c r="AR198" s="63" t="str">
        <f>IFERROR(VLOOKUP(Table2[[#This Row],[Contraente]],Table1[[Nome/Ragione sociale]:[Checkbox selezionato]],12,FALSE),"-")</f>
        <v>SI</v>
      </c>
    </row>
    <row r="199" spans="1:44" ht="30" hidden="1" customHeight="1" x14ac:dyDescent="0.25">
      <c r="A199" s="60" t="str">
        <f>UPPER(LEFT(Table2[[#This Row],[Contraente]],1))</f>
        <v>B</v>
      </c>
      <c r="B199" s="60" t="s">
        <v>1634</v>
      </c>
      <c r="C199" s="81" t="s">
        <v>102</v>
      </c>
      <c r="D199" s="80" t="s">
        <v>37</v>
      </c>
      <c r="E199" s="86">
        <v>106709568</v>
      </c>
      <c r="F199" s="64">
        <v>42830</v>
      </c>
      <c r="G199" s="64">
        <f>IFERROR(CALCOLASCADENZA(Table2[[#This Row],[Data attivazione]],Table2[[#This Row],[Rateizzazione]],Table2[[#This Row],[Data ultimo pagamento]],Table2[[#This Row],[Data prossima scadenza manuale]]),"-")</f>
        <v>43184</v>
      </c>
      <c r="H199" s="67" t="s">
        <v>31</v>
      </c>
      <c r="I199" s="67" t="s">
        <v>1213</v>
      </c>
      <c r="J199" s="33">
        <f>IFERROR(Table2[[#This Row],[Importo annuale]]/(12/VLOOKUP(Table2[[#This Row],[Rateizzazione]],TIPI_RATEIZZAZIONI,2,FALSE)),"-")</f>
        <v>602</v>
      </c>
      <c r="K199" s="88">
        <v>602</v>
      </c>
      <c r="L199" s="88">
        <v>1204</v>
      </c>
      <c r="M199" s="67" t="s">
        <v>44</v>
      </c>
      <c r="N199" s="67" t="s">
        <v>51</v>
      </c>
      <c r="O199" s="27" t="s">
        <v>1631</v>
      </c>
      <c r="P199" s="33" t="s">
        <v>22</v>
      </c>
      <c r="Q199" s="60">
        <f>IFERROR(IF(12 / VLOOKUP(Table2[[#This Row],[Rateizzazione]],TIPI_RATEIZZAZIONI,2,FALSE) &gt;=1,  IF(Table2[[#This Row],[Data attivazione]] = "","-",MONTH(Table2[[#This Row],[Data attivazione]])),"-"),"-")</f>
        <v>9</v>
      </c>
      <c r="R1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9" s="67" t="s">
        <v>2</v>
      </c>
      <c r="V199" s="62"/>
      <c r="W199" s="64">
        <v>43003</v>
      </c>
      <c r="X199" s="29">
        <f>DATE(YEAR(Table2[[#This Row],[Data attivazione]])+VLOOKUP(Table2[[#This Row],[Durata]],VALORE_DURATA,2,FALSE),MONTH(Table2[[#This Row],[Data attivazione]]),DAY(Table2[[#This Row],[Data attivazione]]))</f>
        <v>43368</v>
      </c>
      <c r="Y199" s="65"/>
      <c r="Z199" s="61"/>
      <c r="AA199" s="64" t="s">
        <v>85</v>
      </c>
      <c r="AB199" s="29" t="str">
        <f>IF(Table2[[#This Row],[Data ultimo versamento temp]]=0/1/1900,"-",Table2[[#This Row],[Data ultimo versamento temp]])</f>
        <v>-</v>
      </c>
      <c r="AC199" s="29">
        <f t="array" ref="AC199">MAX(IF(TableVersamenti[Polizza]=Table2[[#This Row],[Polizza]],TableVersamenti[Data prevista versamento],"-"))</f>
        <v>0</v>
      </c>
      <c r="AD199" s="62"/>
      <c r="AE199" s="106">
        <f>DATE(YEAR(Table2[[#This Row],[Data ultimo pagamento]]),MONTH(Table2[[#This Row],[Data ultimo pagamento]]), 1)</f>
        <v>42826</v>
      </c>
      <c r="AF199" s="106">
        <f>DATE(YEAR(Table2[[#This Row],[Data prossima scadenza]]),MONTH(Table2[[#This Row],[Data prossima scadenza]]), 1)</f>
        <v>43160</v>
      </c>
      <c r="AG199" s="33">
        <f>IFERROR(Table2[[#This Row],[Importo annuale]]*VLOOKUP(Table2[[#This Row],[Ramo]],RAMI_POLIZZA,2,FALSE),0)</f>
        <v>62.607999999999997</v>
      </c>
      <c r="AH199" s="65" t="s">
        <v>113</v>
      </c>
      <c r="AI199" s="63" t="str">
        <f>IFERROR(VLOOKUP(Table2[[#This Row],[Contraente]],Table1[[Nome/Ragione sociale]:[Checkbox selezionato]],2,FALSE),"-")</f>
        <v>CORTEOLONA</v>
      </c>
      <c r="AJ199" s="63">
        <f>IFERROR(VLOOKUP(Table2[[#This Row],[Contraente]],Table1[[Nome/Ragione sociale]:[Checkbox selezionato]],3,FALSE),"-")</f>
        <v>3393577545</v>
      </c>
      <c r="AK199" s="63">
        <f>IFERROR(VLOOKUP(Table2[[#This Row],[Contraente]],Table1[[Nome/Ragione sociale]:[Checkbox selezionato]],4,FALSE),"-")</f>
        <v>0</v>
      </c>
      <c r="AL199" s="63" t="str">
        <f>IFERROR(VLOOKUP(Table2[[#This Row],[Contraente]],Table1[[Nome/Ragione sociale]:[Checkbox selezionato]],5,FALSE),"-")</f>
        <v>FEDERICA</v>
      </c>
      <c r="AM199" s="62">
        <f>IFERROR(VLOOKUP(Table2[[#This Row],[Contraente]],Table1[[Nome/Ragione sociale]:[Checkbox selezionato]],6,FALSE),"-")</f>
        <v>32372</v>
      </c>
      <c r="AN199" s="63" t="str">
        <f>IFERROR(VLOOKUP(Table2[[#This Row],[Contraente]],Table1[[Nome/Ragione sociale]:[Checkbox selezionato]],7,FALSE),"-")</f>
        <v>papies@libero.it</v>
      </c>
      <c r="AO199" s="63">
        <f>IFERROR(VLOOKUP(Table2[[#This Row],[Contraente]],Table1[[Nome/Ragione sociale]:[Checkbox selezionato]],8,FALSE),"-")</f>
        <v>0</v>
      </c>
      <c r="AP199" s="63">
        <f>IFERROR(VLOOKUP(Table2[[#This Row],[Contraente]],Table1[[Nome/Ragione sociale]:[Checkbox selezionato]],10,FALSE),"-")</f>
        <v>3393577545</v>
      </c>
      <c r="AQ199" s="63" t="str">
        <f>IFERROR(VLOOKUP(Table2[[#This Row],[Contraente]],Table1[[Nome/Ragione sociale]:[Checkbox selezionato]],11,FALSE),"-")</f>
        <v>SI</v>
      </c>
      <c r="AR199" s="63" t="str">
        <f>IFERROR(VLOOKUP(Table2[[#This Row],[Contraente]],Table1[[Nome/Ragione sociale]:[Checkbox selezionato]],12,FALSE),"-")</f>
        <v>SI</v>
      </c>
    </row>
    <row r="200" spans="1:44" ht="30" hidden="1" customHeight="1" x14ac:dyDescent="0.25">
      <c r="A200" s="60" t="str">
        <f>UPPER(LEFT(Table2[[#This Row],[Contraente]],1))</f>
        <v>B</v>
      </c>
      <c r="B200" s="60" t="s">
        <v>1634</v>
      </c>
      <c r="C200" s="81" t="s">
        <v>396</v>
      </c>
      <c r="D200" s="80" t="s">
        <v>37</v>
      </c>
      <c r="E200" s="86">
        <v>105872134</v>
      </c>
      <c r="F200" s="64">
        <v>42755</v>
      </c>
      <c r="G200" s="64">
        <f>IFERROR(CALCOLASCADENZA(Table2[[#This Row],[Data attivazione]],Table2[[#This Row],[Rateizzazione]],Table2[[#This Row],[Data ultimo pagamento]],Table2[[#This Row],[Data prossima scadenza manuale]]),"-")</f>
        <v>42934</v>
      </c>
      <c r="H200" s="67" t="s">
        <v>31</v>
      </c>
      <c r="I200" s="67" t="s">
        <v>1214</v>
      </c>
      <c r="J200" s="33">
        <f>IFERROR(Table2[[#This Row],[Importo annuale]]/(12/VLOOKUP(Table2[[#This Row],[Rateizzazione]],TIPI_RATEIZZAZIONI,2,FALSE)),"-")</f>
        <v>329.35</v>
      </c>
      <c r="K200" s="88">
        <v>329.35</v>
      </c>
      <c r="L200" s="88">
        <v>658.7</v>
      </c>
      <c r="M200" s="67" t="s">
        <v>43</v>
      </c>
      <c r="N200" s="67" t="s">
        <v>51</v>
      </c>
      <c r="O200" s="27" t="s">
        <v>1631</v>
      </c>
      <c r="P200" s="33" t="s">
        <v>22</v>
      </c>
      <c r="Q200" s="60">
        <f>IFERROR(IF(12 / VLOOKUP(Table2[[#This Row],[Rateizzazione]],TIPI_RATEIZZAZIONI,2,FALSE) &gt;=1,  IF(Table2[[#This Row],[Data attivazione]] = "","-",MONTH(Table2[[#This Row],[Data attivazione]])),"-"),"-")</f>
        <v>7</v>
      </c>
      <c r="R2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0" s="67" t="s">
        <v>2</v>
      </c>
      <c r="V200" s="62"/>
      <c r="W200" s="64">
        <v>42569</v>
      </c>
      <c r="X200" s="29">
        <f>DATE(YEAR(Table2[[#This Row],[Data attivazione]])+VLOOKUP(Table2[[#This Row],[Durata]],VALORE_DURATA,2,FALSE),MONTH(Table2[[#This Row],[Data attivazione]]),DAY(Table2[[#This Row],[Data attivazione]]))</f>
        <v>42934</v>
      </c>
      <c r="Y200" s="65"/>
      <c r="Z200" s="61"/>
      <c r="AA200" s="64" t="s">
        <v>85</v>
      </c>
      <c r="AB200" s="29" t="str">
        <f>IF(Table2[[#This Row],[Data ultimo versamento temp]]=0/1/1900,"-",Table2[[#This Row],[Data ultimo versamento temp]])</f>
        <v>-</v>
      </c>
      <c r="AC200" s="29">
        <f t="array" ref="AC200">MAX(IF(TableVersamenti[Polizza]=Table2[[#This Row],[Polizza]],TableVersamenti[Data prevista versamento],"-"))</f>
        <v>0</v>
      </c>
      <c r="AD200" s="62"/>
      <c r="AE200" s="106">
        <f>DATE(YEAR(Table2[[#This Row],[Data ultimo pagamento]]),MONTH(Table2[[#This Row],[Data ultimo pagamento]]), 1)</f>
        <v>42736</v>
      </c>
      <c r="AF200" s="106">
        <f>DATE(YEAR(Table2[[#This Row],[Data prossima scadenza]]),MONTH(Table2[[#This Row],[Data prossima scadenza]]), 1)</f>
        <v>42917</v>
      </c>
      <c r="AG200" s="33">
        <f>IFERROR(Table2[[#This Row],[Importo annuale]]*VLOOKUP(Table2[[#This Row],[Ramo]],RAMI_POLIZZA,2,FALSE),0)</f>
        <v>34.252400000000002</v>
      </c>
      <c r="AH200" s="65" t="s">
        <v>113</v>
      </c>
      <c r="AI200" s="63" t="str">
        <f>IFERROR(VLOOKUP(Table2[[#This Row],[Contraente]],Table1[[Nome/Ragione sociale]:[Checkbox selezionato]],2,FALSE),"-")</f>
        <v>CORTEOLONA</v>
      </c>
      <c r="AJ200" s="63">
        <f>IFERROR(VLOOKUP(Table2[[#This Row],[Contraente]],Table1[[Nome/Ragione sociale]:[Checkbox selezionato]],3,FALSE),"-")</f>
        <v>3488624795</v>
      </c>
      <c r="AK200" s="63">
        <f>IFERROR(VLOOKUP(Table2[[#This Row],[Contraente]],Table1[[Nome/Ragione sociale]:[Checkbox selezionato]],4,FALSE),"-")</f>
        <v>0</v>
      </c>
      <c r="AL200" s="63" t="str">
        <f>IFERROR(VLOOKUP(Table2[[#This Row],[Contraente]],Table1[[Nome/Ragione sociale]:[Checkbox selezionato]],5,FALSE),"-")</f>
        <v>MAGGI ATTILIA</v>
      </c>
      <c r="AM200" s="62">
        <f>IFERROR(VLOOKUP(Table2[[#This Row],[Contraente]],Table1[[Nome/Ragione sociale]:[Checkbox selezionato]],6,FALSE),"-")</f>
        <v>22048</v>
      </c>
      <c r="AN200" s="63" t="str">
        <f>IFERROR(VLOOKUP(Table2[[#This Row],[Contraente]],Table1[[Nome/Ragione sociale]:[Checkbox selezionato]],7,FALSE),"-")</f>
        <v>papies@libero.it</v>
      </c>
      <c r="AO200" s="63">
        <f>IFERROR(VLOOKUP(Table2[[#This Row],[Contraente]],Table1[[Nome/Ragione sociale]:[Checkbox selezionato]],8,FALSE),"-")</f>
        <v>0</v>
      </c>
      <c r="AP200" s="63">
        <f>IFERROR(VLOOKUP(Table2[[#This Row],[Contraente]],Table1[[Nome/Ragione sociale]:[Checkbox selezionato]],10,FALSE),"-")</f>
        <v>3488624795</v>
      </c>
      <c r="AQ200" s="63" t="str">
        <f>IFERROR(VLOOKUP(Table2[[#This Row],[Contraente]],Table1[[Nome/Ragione sociale]:[Checkbox selezionato]],11,FALSE),"-")</f>
        <v>SI</v>
      </c>
      <c r="AR200" s="63" t="str">
        <f>IFERROR(VLOOKUP(Table2[[#This Row],[Contraente]],Table1[[Nome/Ragione sociale]:[Checkbox selezionato]],12,FALSE),"-")</f>
        <v>SI</v>
      </c>
    </row>
    <row r="201" spans="1:44" ht="30" hidden="1" customHeight="1" x14ac:dyDescent="0.25">
      <c r="A201" s="60" t="str">
        <f>UPPER(LEFT(Table2[[#This Row],[Contraente]],1))</f>
        <v>B</v>
      </c>
      <c r="B201" s="60" t="s">
        <v>1634</v>
      </c>
      <c r="C201" s="81" t="s">
        <v>396</v>
      </c>
      <c r="D201" s="80" t="s">
        <v>37</v>
      </c>
      <c r="E201" s="86">
        <v>102923882</v>
      </c>
      <c r="F201" s="64">
        <v>42846</v>
      </c>
      <c r="G201" s="64">
        <f>IFERROR(CALCOLASCADENZA(Table2[[#This Row],[Data attivazione]],Table2[[#This Row],[Rateizzazione]],Table2[[#This Row],[Data ultimo pagamento]],Table2[[#This Row],[Data prossima scadenza manuale]]),"-")</f>
        <v>43017</v>
      </c>
      <c r="H201" s="67" t="s">
        <v>31</v>
      </c>
      <c r="I201" s="67" t="s">
        <v>1215</v>
      </c>
      <c r="J201" s="33">
        <f>IFERROR(Table2[[#This Row],[Importo annuale]]/(12/VLOOKUP(Table2[[#This Row],[Rateizzazione]],TIPI_RATEIZZAZIONI,2,FALSE)),"-")</f>
        <v>129.28</v>
      </c>
      <c r="K201" s="88">
        <v>129.28</v>
      </c>
      <c r="L201" s="88">
        <v>258.56</v>
      </c>
      <c r="M201" s="67" t="s">
        <v>43</v>
      </c>
      <c r="N201" s="67" t="s">
        <v>51</v>
      </c>
      <c r="O201" s="27" t="s">
        <v>1631</v>
      </c>
      <c r="P201" s="33" t="s">
        <v>22</v>
      </c>
      <c r="Q201" s="60">
        <f>IFERROR(IF(12 / VLOOKUP(Table2[[#This Row],[Rateizzazione]],TIPI_RATEIZZAZIONI,2,FALSE) &gt;=1,  IF(Table2[[#This Row],[Data attivazione]] = "","-",MONTH(Table2[[#This Row],[Data attivazione]])),"-"),"-")</f>
        <v>10</v>
      </c>
      <c r="R2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1" s="67" t="s">
        <v>2</v>
      </c>
      <c r="V201" s="62"/>
      <c r="W201" s="64">
        <v>42652</v>
      </c>
      <c r="X201" s="29">
        <f>DATE(YEAR(Table2[[#This Row],[Data attivazione]])+VLOOKUP(Table2[[#This Row],[Durata]],VALORE_DURATA,2,FALSE),MONTH(Table2[[#This Row],[Data attivazione]]),DAY(Table2[[#This Row],[Data attivazione]]))</f>
        <v>43017</v>
      </c>
      <c r="Y201" s="65"/>
      <c r="Z201" s="61"/>
      <c r="AA201" s="64" t="s">
        <v>85</v>
      </c>
      <c r="AB201" s="29" t="str">
        <f>IF(Table2[[#This Row],[Data ultimo versamento temp]]=0/1/1900,"-",Table2[[#This Row],[Data ultimo versamento temp]])</f>
        <v>-</v>
      </c>
      <c r="AC201" s="29">
        <f t="array" ref="AC201">MAX(IF(TableVersamenti[Polizza]=Table2[[#This Row],[Polizza]],TableVersamenti[Data prevista versamento],"-"))</f>
        <v>0</v>
      </c>
      <c r="AD201" s="62"/>
      <c r="AE201" s="106">
        <f>DATE(YEAR(Table2[[#This Row],[Data ultimo pagamento]]),MONTH(Table2[[#This Row],[Data ultimo pagamento]]), 1)</f>
        <v>42826</v>
      </c>
      <c r="AF201" s="106">
        <f>DATE(YEAR(Table2[[#This Row],[Data prossima scadenza]]),MONTH(Table2[[#This Row],[Data prossima scadenza]]), 1)</f>
        <v>43009</v>
      </c>
      <c r="AG201" s="33">
        <f>IFERROR(Table2[[#This Row],[Importo annuale]]*VLOOKUP(Table2[[#This Row],[Ramo]],RAMI_POLIZZA,2,FALSE),0)</f>
        <v>13.445119999999999</v>
      </c>
      <c r="AH201" s="65" t="s">
        <v>113</v>
      </c>
      <c r="AI201" s="63" t="str">
        <f>IFERROR(VLOOKUP(Table2[[#This Row],[Contraente]],Table1[[Nome/Ragione sociale]:[Checkbox selezionato]],2,FALSE),"-")</f>
        <v>CORTEOLONA</v>
      </c>
      <c r="AJ201" s="63">
        <f>IFERROR(VLOOKUP(Table2[[#This Row],[Contraente]],Table1[[Nome/Ragione sociale]:[Checkbox selezionato]],3,FALSE),"-")</f>
        <v>3488624795</v>
      </c>
      <c r="AK201" s="63">
        <f>IFERROR(VLOOKUP(Table2[[#This Row],[Contraente]],Table1[[Nome/Ragione sociale]:[Checkbox selezionato]],4,FALSE),"-")</f>
        <v>0</v>
      </c>
      <c r="AL201" s="63" t="str">
        <f>IFERROR(VLOOKUP(Table2[[#This Row],[Contraente]],Table1[[Nome/Ragione sociale]:[Checkbox selezionato]],5,FALSE),"-")</f>
        <v>MAGGI ATTILIA</v>
      </c>
      <c r="AM201" s="62">
        <f>IFERROR(VLOOKUP(Table2[[#This Row],[Contraente]],Table1[[Nome/Ragione sociale]:[Checkbox selezionato]],6,FALSE),"-")</f>
        <v>22048</v>
      </c>
      <c r="AN201" s="63" t="str">
        <f>IFERROR(VLOOKUP(Table2[[#This Row],[Contraente]],Table1[[Nome/Ragione sociale]:[Checkbox selezionato]],7,FALSE),"-")</f>
        <v>papies@libero.it</v>
      </c>
      <c r="AO201" s="63">
        <f>IFERROR(VLOOKUP(Table2[[#This Row],[Contraente]],Table1[[Nome/Ragione sociale]:[Checkbox selezionato]],8,FALSE),"-")</f>
        <v>0</v>
      </c>
      <c r="AP201" s="63">
        <f>IFERROR(VLOOKUP(Table2[[#This Row],[Contraente]],Table1[[Nome/Ragione sociale]:[Checkbox selezionato]],10,FALSE),"-")</f>
        <v>3488624795</v>
      </c>
      <c r="AQ201" s="63" t="str">
        <f>IFERROR(VLOOKUP(Table2[[#This Row],[Contraente]],Table1[[Nome/Ragione sociale]:[Checkbox selezionato]],11,FALSE),"-")</f>
        <v>SI</v>
      </c>
      <c r="AR201" s="63" t="str">
        <f>IFERROR(VLOOKUP(Table2[[#This Row],[Contraente]],Table1[[Nome/Ragione sociale]:[Checkbox selezionato]],12,FALSE),"-")</f>
        <v>SI</v>
      </c>
    </row>
    <row r="202" spans="1:44" ht="30" hidden="1" customHeight="1" x14ac:dyDescent="0.25">
      <c r="A202" s="60" t="str">
        <f>UPPER(LEFT(Table2[[#This Row],[Contraente]],1))</f>
        <v>B</v>
      </c>
      <c r="B202" s="60" t="s">
        <v>1634</v>
      </c>
      <c r="C202" s="81" t="s">
        <v>1669</v>
      </c>
      <c r="D202" s="80" t="s">
        <v>37</v>
      </c>
      <c r="E202" s="86">
        <v>106791822</v>
      </c>
      <c r="F202" s="64">
        <v>42857</v>
      </c>
      <c r="G202" s="64">
        <f>IFERROR(CALCOLASCADENZA(Table2[[#This Row],[Data attivazione]],Table2[[#This Row],[Rateizzazione]],Table2[[#This Row],[Data ultimo pagamento]],Table2[[#This Row],[Data prossima scadenza manuale]]),"-")</f>
        <v>43010</v>
      </c>
      <c r="H202" s="67" t="s">
        <v>31</v>
      </c>
      <c r="I202" s="67" t="s">
        <v>1688</v>
      </c>
      <c r="J202" s="33">
        <f>IFERROR(Table2[[#This Row],[Importo annuale]]/(12/VLOOKUP(Table2[[#This Row],[Rateizzazione]],TIPI_RATEIZZAZIONI,2,FALSE)),"-")</f>
        <v>145</v>
      </c>
      <c r="K202" s="88">
        <v>145</v>
      </c>
      <c r="L202" s="88">
        <v>145</v>
      </c>
      <c r="M202" s="67" t="s">
        <v>43</v>
      </c>
      <c r="N202" s="67" t="s">
        <v>52</v>
      </c>
      <c r="O202" s="27" t="s">
        <v>1631</v>
      </c>
      <c r="P202" s="33" t="s">
        <v>23</v>
      </c>
      <c r="Q202" s="60">
        <f>IFERROR(IF(12 / VLOOKUP(Table2[[#This Row],[Rateizzazione]],TIPI_RATEIZZAZIONI,2,FALSE) &gt;=1,  IF(Table2[[#This Row],[Data attivazione]] = "","-",MONTH(Table2[[#This Row],[Data attivazione]])),"-"),"-")</f>
        <v>10</v>
      </c>
      <c r="R2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2" s="67" t="s">
        <v>2</v>
      </c>
      <c r="V202" s="62"/>
      <c r="W202" s="64">
        <v>42645</v>
      </c>
      <c r="X202" s="29">
        <f>DATE(YEAR(Table2[[#This Row],[Data attivazione]])+VLOOKUP(Table2[[#This Row],[Durata]],VALORE_DURATA,2,FALSE),MONTH(Table2[[#This Row],[Data attivazione]]),DAY(Table2[[#This Row],[Data attivazione]]))</f>
        <v>43010</v>
      </c>
      <c r="Y202" s="65"/>
      <c r="Z202" s="61"/>
      <c r="AA202" s="64" t="s">
        <v>85</v>
      </c>
      <c r="AB202" s="29" t="str">
        <f>IF(Table2[[#This Row],[Data ultimo versamento temp]]=0/1/1900,"-",Table2[[#This Row],[Data ultimo versamento temp]])</f>
        <v>-</v>
      </c>
      <c r="AC202" s="29">
        <f t="array" ref="AC202">MAX(IF(TableVersamenti[Polizza]=Table2[[#This Row],[Polizza]],TableVersamenti[Data prevista versamento],"-"))</f>
        <v>0</v>
      </c>
      <c r="AD202" s="62"/>
      <c r="AE202" s="106">
        <f>DATE(YEAR(Table2[[#This Row],[Data ultimo pagamento]]),MONTH(Table2[[#This Row],[Data ultimo pagamento]]), 1)</f>
        <v>42856</v>
      </c>
      <c r="AF202" s="106">
        <f>DATE(YEAR(Table2[[#This Row],[Data prossima scadenza]]),MONTH(Table2[[#This Row],[Data prossima scadenza]]), 1)</f>
        <v>43009</v>
      </c>
      <c r="AG202" s="33">
        <f>IFERROR(Table2[[#This Row],[Importo annuale]]*VLOOKUP(Table2[[#This Row],[Ramo]],RAMI_POLIZZA,2,FALSE),0)</f>
        <v>7.54</v>
      </c>
      <c r="AH202" s="65" t="s">
        <v>113</v>
      </c>
      <c r="AI202" s="63" t="str">
        <f>IFERROR(VLOOKUP(Table2[[#This Row],[Contraente]],Table1[[Nome/Ragione sociale]:[Checkbox selezionato]],2,FALSE),"-")</f>
        <v>LINAROLO</v>
      </c>
      <c r="AJ202" s="63">
        <f>IFERROR(VLOOKUP(Table2[[#This Row],[Contraente]],Table1[[Nome/Ragione sociale]:[Checkbox selezionato]],3,FALSE),"-")</f>
        <v>3392516747</v>
      </c>
      <c r="AK202" s="63">
        <f>IFERROR(VLOOKUP(Table2[[#This Row],[Contraente]],Table1[[Nome/Ragione sociale]:[Checkbox selezionato]],4,FALSE),"-")</f>
        <v>3315049419</v>
      </c>
      <c r="AL202" s="63" t="str">
        <f>IFERROR(VLOOKUP(Table2[[#This Row],[Contraente]],Table1[[Nome/Ragione sociale]:[Checkbox selezionato]],5,FALSE),"-")</f>
        <v>MARCO</v>
      </c>
      <c r="AM202" s="62" t="str">
        <f>IFERROR(VLOOKUP(Table2[[#This Row],[Contraente]],Table1[[Nome/Ragione sociale]:[Checkbox selezionato]],6,FALSE),"-")</f>
        <v>-</v>
      </c>
      <c r="AN202" s="63" t="str">
        <f>IFERROR(VLOOKUP(Table2[[#This Row],[Contraente]],Table1[[Nome/Ragione sociale]:[Checkbox selezionato]],7,FALSE),"-")</f>
        <v>papies@email.it</v>
      </c>
      <c r="AO202" s="63">
        <f>IFERROR(VLOOKUP(Table2[[#This Row],[Contraente]],Table1[[Nome/Ragione sociale]:[Checkbox selezionato]],8,FALSE),"-")</f>
        <v>0</v>
      </c>
      <c r="AP202" s="63">
        <f>IFERROR(VLOOKUP(Table2[[#This Row],[Contraente]],Table1[[Nome/Ragione sociale]:[Checkbox selezionato]],10,FALSE),"-")</f>
        <v>3392516747</v>
      </c>
      <c r="AQ202" s="63" t="str">
        <f>IFERROR(VLOOKUP(Table2[[#This Row],[Contraente]],Table1[[Nome/Ragione sociale]:[Checkbox selezionato]],11,FALSE),"-")</f>
        <v>SI</v>
      </c>
      <c r="AR202" s="63" t="str">
        <f>IFERROR(VLOOKUP(Table2[[#This Row],[Contraente]],Table1[[Nome/Ragione sociale]:[Checkbox selezionato]],12,FALSE),"-")</f>
        <v>SI</v>
      </c>
    </row>
    <row r="203" spans="1:44" ht="30" hidden="1" customHeight="1" x14ac:dyDescent="0.25">
      <c r="A203" s="60" t="str">
        <f>UPPER(LEFT(Table2[[#This Row],[Contraente]],1))</f>
        <v>B</v>
      </c>
      <c r="B203" s="60" t="s">
        <v>1634</v>
      </c>
      <c r="C203" s="81" t="s">
        <v>398</v>
      </c>
      <c r="D203" s="80" t="s">
        <v>37</v>
      </c>
      <c r="E203" s="86">
        <v>103241165</v>
      </c>
      <c r="F203" s="64">
        <v>42909</v>
      </c>
      <c r="G203" s="64">
        <f>IFERROR(CALCOLASCADENZA(Table2[[#This Row],[Data attivazione]],Table2[[#This Row],[Rateizzazione]],Table2[[#This Row],[Data ultimo pagamento]],Table2[[#This Row],[Data prossima scadenza manuale]]),"-")</f>
        <v>43092</v>
      </c>
      <c r="H203" s="67" t="s">
        <v>30</v>
      </c>
      <c r="I203" s="67" t="s">
        <v>113</v>
      </c>
      <c r="J203" s="33">
        <f>IFERROR(Table2[[#This Row],[Importo annuale]]/(12/VLOOKUP(Table2[[#This Row],[Rateizzazione]],TIPI_RATEIZZAZIONI,2,FALSE)),"-")</f>
        <v>36</v>
      </c>
      <c r="K203" s="88">
        <v>36</v>
      </c>
      <c r="L203" s="88">
        <v>72</v>
      </c>
      <c r="M203" s="67" t="s">
        <v>43</v>
      </c>
      <c r="N203" s="67" t="s">
        <v>51</v>
      </c>
      <c r="O203" s="27" t="s">
        <v>1631</v>
      </c>
      <c r="P203" s="33" t="s">
        <v>22</v>
      </c>
      <c r="Q203" s="60">
        <f>IFERROR(IF(12 / VLOOKUP(Table2[[#This Row],[Rateizzazione]],TIPI_RATEIZZAZIONI,2,FALSE) &gt;=1,  IF(Table2[[#This Row],[Data attivazione]] = "","-",MONTH(Table2[[#This Row],[Data attivazione]])),"-"),"-")</f>
        <v>12</v>
      </c>
      <c r="R2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3" s="67" t="s">
        <v>2</v>
      </c>
      <c r="V203" s="62"/>
      <c r="W203" s="64">
        <v>42727</v>
      </c>
      <c r="X203" s="29">
        <f>DATE(YEAR(Table2[[#This Row],[Data attivazione]])+VLOOKUP(Table2[[#This Row],[Durata]],VALORE_DURATA,2,FALSE),MONTH(Table2[[#This Row],[Data attivazione]]),DAY(Table2[[#This Row],[Data attivazione]]))</f>
        <v>43092</v>
      </c>
      <c r="Y203" s="65"/>
      <c r="Z203" s="61"/>
      <c r="AA203" s="64" t="s">
        <v>85</v>
      </c>
      <c r="AB203" s="29" t="str">
        <f>IF(Table2[[#This Row],[Data ultimo versamento temp]]=0/1/1900,"-",Table2[[#This Row],[Data ultimo versamento temp]])</f>
        <v>-</v>
      </c>
      <c r="AC203" s="29">
        <f t="array" ref="AC203">MAX(IF(TableVersamenti[Polizza]=Table2[[#This Row],[Polizza]],TableVersamenti[Data prevista versamento],"-"))</f>
        <v>0</v>
      </c>
      <c r="AD203" s="62"/>
      <c r="AE203" s="106">
        <f>DATE(YEAR(Table2[[#This Row],[Data ultimo pagamento]]),MONTH(Table2[[#This Row],[Data ultimo pagamento]]), 1)</f>
        <v>42887</v>
      </c>
      <c r="AF203" s="106">
        <f>DATE(YEAR(Table2[[#This Row],[Data prossima scadenza]]),MONTH(Table2[[#This Row],[Data prossima scadenza]]), 1)</f>
        <v>43070</v>
      </c>
      <c r="AG203" s="33">
        <f>IFERROR(Table2[[#This Row],[Importo annuale]]*VLOOKUP(Table2[[#This Row],[Ramo]],RAMI_POLIZZA,2,FALSE),0)</f>
        <v>8.2800000000000011</v>
      </c>
      <c r="AH203" s="65" t="s">
        <v>113</v>
      </c>
      <c r="AI203" s="63" t="str">
        <f>IFERROR(VLOOKUP(Table2[[#This Row],[Contraente]],Table1[[Nome/Ragione sociale]:[Checkbox selezionato]],2,FALSE),"-")</f>
        <v>RIVANAZZANO</v>
      </c>
      <c r="AJ203" s="63">
        <f>IFERROR(VLOOKUP(Table2[[#This Row],[Contraente]],Table1[[Nome/Ragione sociale]:[Checkbox selezionato]],3,FALSE),"-")</f>
        <v>3486001974</v>
      </c>
      <c r="AK203" s="63">
        <f>IFERROR(VLOOKUP(Table2[[#This Row],[Contraente]],Table1[[Nome/Ragione sociale]:[Checkbox selezionato]],4,FALSE),"-")</f>
        <v>0</v>
      </c>
      <c r="AL203" s="63" t="str">
        <f>IFERROR(VLOOKUP(Table2[[#This Row],[Contraente]],Table1[[Nome/Ragione sociale]:[Checkbox selezionato]],5,FALSE),"-")</f>
        <v>GIOVANNA</v>
      </c>
      <c r="AM203" s="62">
        <f>IFERROR(VLOOKUP(Table2[[#This Row],[Contraente]],Table1[[Nome/Ragione sociale]:[Checkbox selezionato]],6,FALSE),"-")</f>
        <v>24451</v>
      </c>
      <c r="AN203" s="63" t="str">
        <f>IFERROR(VLOOKUP(Table2[[#This Row],[Contraente]],Table1[[Nome/Ragione sociale]:[Checkbox selezionato]],7,FALSE),"-")</f>
        <v>papies@libero.it</v>
      </c>
      <c r="AO203" s="63">
        <f>IFERROR(VLOOKUP(Table2[[#This Row],[Contraente]],Table1[[Nome/Ragione sociale]:[Checkbox selezionato]],8,FALSE),"-")</f>
        <v>0</v>
      </c>
      <c r="AP203" s="63">
        <f>IFERROR(VLOOKUP(Table2[[#This Row],[Contraente]],Table1[[Nome/Ragione sociale]:[Checkbox selezionato]],10,FALSE),"-")</f>
        <v>3486001974</v>
      </c>
      <c r="AQ203" s="63" t="str">
        <f>IFERROR(VLOOKUP(Table2[[#This Row],[Contraente]],Table1[[Nome/Ragione sociale]:[Checkbox selezionato]],11,FALSE),"-")</f>
        <v>SI</v>
      </c>
      <c r="AR203" s="63" t="str">
        <f>IFERROR(VLOOKUP(Table2[[#This Row],[Contraente]],Table1[[Nome/Ragione sociale]:[Checkbox selezionato]],12,FALSE),"-")</f>
        <v>SI</v>
      </c>
    </row>
    <row r="204" spans="1:44" ht="30" hidden="1" customHeight="1" x14ac:dyDescent="0.25">
      <c r="A204" s="60" t="str">
        <f>UPPER(LEFT(Table2[[#This Row],[Contraente]],1))</f>
        <v>B</v>
      </c>
      <c r="B204" s="60" t="s">
        <v>1634</v>
      </c>
      <c r="C204" s="81" t="s">
        <v>398</v>
      </c>
      <c r="D204" s="80" t="s">
        <v>37</v>
      </c>
      <c r="E204" s="86">
        <v>105717169</v>
      </c>
      <c r="F204" s="64">
        <v>42909</v>
      </c>
      <c r="G204" s="64">
        <f>IFERROR(CALCOLASCADENZA(Table2[[#This Row],[Data attivazione]],Table2[[#This Row],[Rateizzazione]],Table2[[#This Row],[Data ultimo pagamento]],Table2[[#This Row],[Data prossima scadenza manuale]]),"-")</f>
        <v>43082</v>
      </c>
      <c r="H204" s="67" t="s">
        <v>31</v>
      </c>
      <c r="I204" s="67" t="s">
        <v>1216</v>
      </c>
      <c r="J204" s="33">
        <f>IFERROR(Table2[[#This Row],[Importo annuale]]/(12/VLOOKUP(Table2[[#This Row],[Rateizzazione]],TIPI_RATEIZZAZIONI,2,FALSE)),"-")</f>
        <v>212.58</v>
      </c>
      <c r="K204" s="88">
        <v>212.58</v>
      </c>
      <c r="L204" s="88">
        <v>425.16</v>
      </c>
      <c r="M204" s="67" t="s">
        <v>43</v>
      </c>
      <c r="N204" s="67" t="s">
        <v>51</v>
      </c>
      <c r="O204" s="27" t="s">
        <v>1631</v>
      </c>
      <c r="P204" s="33" t="s">
        <v>22</v>
      </c>
      <c r="Q204" s="60">
        <f>IFERROR(IF(12 / VLOOKUP(Table2[[#This Row],[Rateizzazione]],TIPI_RATEIZZAZIONI,2,FALSE) &gt;=1,  IF(Table2[[#This Row],[Data attivazione]] = "","-",MONTH(Table2[[#This Row],[Data attivazione]])),"-"),"-")</f>
        <v>12</v>
      </c>
      <c r="R2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4" s="67" t="s">
        <v>2</v>
      </c>
      <c r="V204" s="62"/>
      <c r="W204" s="64">
        <v>42717</v>
      </c>
      <c r="X204" s="29">
        <f>DATE(YEAR(Table2[[#This Row],[Data attivazione]])+VLOOKUP(Table2[[#This Row],[Durata]],VALORE_DURATA,2,FALSE),MONTH(Table2[[#This Row],[Data attivazione]]),DAY(Table2[[#This Row],[Data attivazione]]))</f>
        <v>43082</v>
      </c>
      <c r="Y204" s="65"/>
      <c r="Z204" s="61"/>
      <c r="AA204" s="64" t="s">
        <v>85</v>
      </c>
      <c r="AB204" s="29" t="str">
        <f>IF(Table2[[#This Row],[Data ultimo versamento temp]]=0/1/1900,"-",Table2[[#This Row],[Data ultimo versamento temp]])</f>
        <v>-</v>
      </c>
      <c r="AC204" s="29">
        <f t="array" ref="AC204">MAX(IF(TableVersamenti[Polizza]=Table2[[#This Row],[Polizza]],TableVersamenti[Data prevista versamento],"-"))</f>
        <v>0</v>
      </c>
      <c r="AD204" s="62"/>
      <c r="AE204" s="106">
        <f>DATE(YEAR(Table2[[#This Row],[Data ultimo pagamento]]),MONTH(Table2[[#This Row],[Data ultimo pagamento]]), 1)</f>
        <v>42887</v>
      </c>
      <c r="AF204" s="106">
        <f>DATE(YEAR(Table2[[#This Row],[Data prossima scadenza]]),MONTH(Table2[[#This Row],[Data prossima scadenza]]), 1)</f>
        <v>43070</v>
      </c>
      <c r="AG204" s="33">
        <f>IFERROR(Table2[[#This Row],[Importo annuale]]*VLOOKUP(Table2[[#This Row],[Ramo]],RAMI_POLIZZA,2,FALSE),0)</f>
        <v>22.108319999999999</v>
      </c>
      <c r="AH204" s="65" t="s">
        <v>113</v>
      </c>
      <c r="AI204" s="63" t="str">
        <f>IFERROR(VLOOKUP(Table2[[#This Row],[Contraente]],Table1[[Nome/Ragione sociale]:[Checkbox selezionato]],2,FALSE),"-")</f>
        <v>RIVANAZZANO</v>
      </c>
      <c r="AJ204" s="63">
        <f>IFERROR(VLOOKUP(Table2[[#This Row],[Contraente]],Table1[[Nome/Ragione sociale]:[Checkbox selezionato]],3,FALSE),"-")</f>
        <v>3486001974</v>
      </c>
      <c r="AK204" s="63">
        <f>IFERROR(VLOOKUP(Table2[[#This Row],[Contraente]],Table1[[Nome/Ragione sociale]:[Checkbox selezionato]],4,FALSE),"-")</f>
        <v>0</v>
      </c>
      <c r="AL204" s="63" t="str">
        <f>IFERROR(VLOOKUP(Table2[[#This Row],[Contraente]],Table1[[Nome/Ragione sociale]:[Checkbox selezionato]],5,FALSE),"-")</f>
        <v>GIOVANNA</v>
      </c>
      <c r="AM204" s="62">
        <f>IFERROR(VLOOKUP(Table2[[#This Row],[Contraente]],Table1[[Nome/Ragione sociale]:[Checkbox selezionato]],6,FALSE),"-")</f>
        <v>24451</v>
      </c>
      <c r="AN204" s="63" t="str">
        <f>IFERROR(VLOOKUP(Table2[[#This Row],[Contraente]],Table1[[Nome/Ragione sociale]:[Checkbox selezionato]],7,FALSE),"-")</f>
        <v>papies@libero.it</v>
      </c>
      <c r="AO204" s="63">
        <f>IFERROR(VLOOKUP(Table2[[#This Row],[Contraente]],Table1[[Nome/Ragione sociale]:[Checkbox selezionato]],8,FALSE),"-")</f>
        <v>0</v>
      </c>
      <c r="AP204" s="63">
        <f>IFERROR(VLOOKUP(Table2[[#This Row],[Contraente]],Table1[[Nome/Ragione sociale]:[Checkbox selezionato]],10,FALSE),"-")</f>
        <v>3486001974</v>
      </c>
      <c r="AQ204" s="63" t="str">
        <f>IFERROR(VLOOKUP(Table2[[#This Row],[Contraente]],Table1[[Nome/Ragione sociale]:[Checkbox selezionato]],11,FALSE),"-")</f>
        <v>SI</v>
      </c>
      <c r="AR204" s="63" t="str">
        <f>IFERROR(VLOOKUP(Table2[[#This Row],[Contraente]],Table1[[Nome/Ragione sociale]:[Checkbox selezionato]],12,FALSE),"-")</f>
        <v>SI</v>
      </c>
    </row>
    <row r="205" spans="1:44" ht="30" hidden="1" customHeight="1" x14ac:dyDescent="0.25">
      <c r="A205" s="60" t="str">
        <f>UPPER(LEFT(Table2[[#This Row],[Contraente]],1))</f>
        <v>B</v>
      </c>
      <c r="B205" s="60" t="s">
        <v>1634</v>
      </c>
      <c r="C205" s="81" t="s">
        <v>398</v>
      </c>
      <c r="D205" s="80" t="s">
        <v>37</v>
      </c>
      <c r="E205" s="86">
        <v>106232611</v>
      </c>
      <c r="F205" s="64">
        <v>42878</v>
      </c>
      <c r="G205" s="64">
        <f>IFERROR(CALCOLASCADENZA(Table2[[#This Row],[Data attivazione]],Table2[[#This Row],[Rateizzazione]],Table2[[#This Row],[Data ultimo pagamento]],Table2[[#This Row],[Data prossima scadenza manuale]]),"-")</f>
        <v>43055</v>
      </c>
      <c r="H205" s="67" t="s">
        <v>31</v>
      </c>
      <c r="I205" s="67" t="s">
        <v>1217</v>
      </c>
      <c r="J205" s="33">
        <f>IFERROR(Table2[[#This Row],[Importo annuale]]/(12/VLOOKUP(Table2[[#This Row],[Rateizzazione]],TIPI_RATEIZZAZIONI,2,FALSE)),"-")</f>
        <v>645.35</v>
      </c>
      <c r="K205" s="88">
        <v>645.35</v>
      </c>
      <c r="L205" s="88">
        <v>1290.7</v>
      </c>
      <c r="M205" s="67" t="s">
        <v>44</v>
      </c>
      <c r="N205" s="67" t="s">
        <v>52</v>
      </c>
      <c r="O205" s="27" t="s">
        <v>1631</v>
      </c>
      <c r="P205" s="33" t="s">
        <v>22</v>
      </c>
      <c r="Q205" s="60">
        <f>IFERROR(IF(12 / VLOOKUP(Table2[[#This Row],[Rateizzazione]],TIPI_RATEIZZAZIONI,2,FALSE) &gt;=1,  IF(Table2[[#This Row],[Data attivazione]] = "","-",MONTH(Table2[[#This Row],[Data attivazione]])),"-"),"-")</f>
        <v>11</v>
      </c>
      <c r="R2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5" s="67" t="s">
        <v>2</v>
      </c>
      <c r="V205" s="62"/>
      <c r="W205" s="64">
        <v>42690</v>
      </c>
      <c r="X205" s="29">
        <f>DATE(YEAR(Table2[[#This Row],[Data attivazione]])+VLOOKUP(Table2[[#This Row],[Durata]],VALORE_DURATA,2,FALSE),MONTH(Table2[[#This Row],[Data attivazione]]),DAY(Table2[[#This Row],[Data attivazione]]))</f>
        <v>43055</v>
      </c>
      <c r="Y205" s="65"/>
      <c r="Z205" s="61"/>
      <c r="AA205" s="64" t="s">
        <v>85</v>
      </c>
      <c r="AB205" s="29" t="str">
        <f>IF(Table2[[#This Row],[Data ultimo versamento temp]]=0/1/1900,"-",Table2[[#This Row],[Data ultimo versamento temp]])</f>
        <v>-</v>
      </c>
      <c r="AC205" s="29">
        <f t="array" ref="AC205">MAX(IF(TableVersamenti[Polizza]=Table2[[#This Row],[Polizza]],TableVersamenti[Data prevista versamento],"-"))</f>
        <v>0</v>
      </c>
      <c r="AD205" s="62"/>
      <c r="AE205" s="106">
        <f>DATE(YEAR(Table2[[#This Row],[Data ultimo pagamento]]),MONTH(Table2[[#This Row],[Data ultimo pagamento]]), 1)</f>
        <v>42856</v>
      </c>
      <c r="AF205" s="106">
        <f>DATE(YEAR(Table2[[#This Row],[Data prossima scadenza]]),MONTH(Table2[[#This Row],[Data prossima scadenza]]), 1)</f>
        <v>43040</v>
      </c>
      <c r="AG205" s="33">
        <f>IFERROR(Table2[[#This Row],[Importo annuale]]*VLOOKUP(Table2[[#This Row],[Ramo]],RAMI_POLIZZA,2,FALSE),0)</f>
        <v>67.116399999999999</v>
      </c>
      <c r="AH205" s="65" t="s">
        <v>113</v>
      </c>
      <c r="AI205" s="63" t="str">
        <f>IFERROR(VLOOKUP(Table2[[#This Row],[Contraente]],Table1[[Nome/Ragione sociale]:[Checkbox selezionato]],2,FALSE),"-")</f>
        <v>RIVANAZZANO</v>
      </c>
      <c r="AJ205" s="63">
        <f>IFERROR(VLOOKUP(Table2[[#This Row],[Contraente]],Table1[[Nome/Ragione sociale]:[Checkbox selezionato]],3,FALSE),"-")</f>
        <v>3486001974</v>
      </c>
      <c r="AK205" s="63">
        <f>IFERROR(VLOOKUP(Table2[[#This Row],[Contraente]],Table1[[Nome/Ragione sociale]:[Checkbox selezionato]],4,FALSE),"-")</f>
        <v>0</v>
      </c>
      <c r="AL205" s="63" t="str">
        <f>IFERROR(VLOOKUP(Table2[[#This Row],[Contraente]],Table1[[Nome/Ragione sociale]:[Checkbox selezionato]],5,FALSE),"-")</f>
        <v>GIOVANNA</v>
      </c>
      <c r="AM205" s="62">
        <f>IFERROR(VLOOKUP(Table2[[#This Row],[Contraente]],Table1[[Nome/Ragione sociale]:[Checkbox selezionato]],6,FALSE),"-")</f>
        <v>24451</v>
      </c>
      <c r="AN205" s="63" t="str">
        <f>IFERROR(VLOOKUP(Table2[[#This Row],[Contraente]],Table1[[Nome/Ragione sociale]:[Checkbox selezionato]],7,FALSE),"-")</f>
        <v>papies@libero.it</v>
      </c>
      <c r="AO205" s="63">
        <f>IFERROR(VLOOKUP(Table2[[#This Row],[Contraente]],Table1[[Nome/Ragione sociale]:[Checkbox selezionato]],8,FALSE),"-")</f>
        <v>0</v>
      </c>
      <c r="AP205" s="63">
        <f>IFERROR(VLOOKUP(Table2[[#This Row],[Contraente]],Table1[[Nome/Ragione sociale]:[Checkbox selezionato]],10,FALSE),"-")</f>
        <v>3486001974</v>
      </c>
      <c r="AQ205" s="63" t="str">
        <f>IFERROR(VLOOKUP(Table2[[#This Row],[Contraente]],Table1[[Nome/Ragione sociale]:[Checkbox selezionato]],11,FALSE),"-")</f>
        <v>SI</v>
      </c>
      <c r="AR205" s="63" t="str">
        <f>IFERROR(VLOOKUP(Table2[[#This Row],[Contraente]],Table1[[Nome/Ragione sociale]:[Checkbox selezionato]],12,FALSE),"-")</f>
        <v>SI</v>
      </c>
    </row>
    <row r="206" spans="1:44" ht="30" hidden="1" customHeight="1" x14ac:dyDescent="0.25">
      <c r="A206" s="60" t="str">
        <f>UPPER(LEFT(Table2[[#This Row],[Contraente]],1))</f>
        <v>B</v>
      </c>
      <c r="B206" s="60" t="s">
        <v>1634</v>
      </c>
      <c r="C206" s="81" t="s">
        <v>398</v>
      </c>
      <c r="D206" s="80" t="s">
        <v>37</v>
      </c>
      <c r="E206" s="86">
        <v>106232616</v>
      </c>
      <c r="F206" s="64">
        <v>42878</v>
      </c>
      <c r="G206" s="64">
        <f>IFERROR(CALCOLASCADENZA(Table2[[#This Row],[Data attivazione]],Table2[[#This Row],[Rateizzazione]],Table2[[#This Row],[Data ultimo pagamento]],Table2[[#This Row],[Data prossima scadenza manuale]]),"-")</f>
        <v>43051</v>
      </c>
      <c r="H206" s="67" t="s">
        <v>30</v>
      </c>
      <c r="I206" s="67" t="s">
        <v>113</v>
      </c>
      <c r="J206" s="33">
        <f>IFERROR(Table2[[#This Row],[Importo annuale]]/(12/VLOOKUP(Table2[[#This Row],[Rateizzazione]],TIPI_RATEIZZAZIONI,2,FALSE)),"-")</f>
        <v>34</v>
      </c>
      <c r="K206" s="88">
        <v>34</v>
      </c>
      <c r="L206" s="88">
        <v>68</v>
      </c>
      <c r="M206" s="67" t="s">
        <v>44</v>
      </c>
      <c r="N206" s="67" t="s">
        <v>51</v>
      </c>
      <c r="O206" s="27" t="s">
        <v>1631</v>
      </c>
      <c r="P206" s="33" t="s">
        <v>22</v>
      </c>
      <c r="Q206" s="60">
        <f>IFERROR(IF(12 / VLOOKUP(Table2[[#This Row],[Rateizzazione]],TIPI_RATEIZZAZIONI,2,FALSE) &gt;=1,  IF(Table2[[#This Row],[Data attivazione]] = "","-",MONTH(Table2[[#This Row],[Data attivazione]])),"-"),"-")</f>
        <v>11</v>
      </c>
      <c r="R2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6" s="67" t="s">
        <v>2</v>
      </c>
      <c r="V206" s="62"/>
      <c r="W206" s="64">
        <v>42686</v>
      </c>
      <c r="X206" s="29">
        <f>DATE(YEAR(Table2[[#This Row],[Data attivazione]])+VLOOKUP(Table2[[#This Row],[Durata]],VALORE_DURATA,2,FALSE),MONTH(Table2[[#This Row],[Data attivazione]]),DAY(Table2[[#This Row],[Data attivazione]]))</f>
        <v>43051</v>
      </c>
      <c r="Y206" s="65"/>
      <c r="Z206" s="61"/>
      <c r="AA206" s="64" t="s">
        <v>85</v>
      </c>
      <c r="AB206" s="29" t="str">
        <f>IF(Table2[[#This Row],[Data ultimo versamento temp]]=0/1/1900,"-",Table2[[#This Row],[Data ultimo versamento temp]])</f>
        <v>-</v>
      </c>
      <c r="AC206" s="29">
        <f t="array" ref="AC206">MAX(IF(TableVersamenti[Polizza]=Table2[[#This Row],[Polizza]],TableVersamenti[Data prevista versamento],"-"))</f>
        <v>0</v>
      </c>
      <c r="AD206" s="62"/>
      <c r="AE206" s="106">
        <f>DATE(YEAR(Table2[[#This Row],[Data ultimo pagamento]]),MONTH(Table2[[#This Row],[Data ultimo pagamento]]), 1)</f>
        <v>42856</v>
      </c>
      <c r="AF206" s="106">
        <f>DATE(YEAR(Table2[[#This Row],[Data prossima scadenza]]),MONTH(Table2[[#This Row],[Data prossima scadenza]]), 1)</f>
        <v>43040</v>
      </c>
      <c r="AG206" s="33">
        <f>IFERROR(Table2[[#This Row],[Importo annuale]]*VLOOKUP(Table2[[#This Row],[Ramo]],RAMI_POLIZZA,2,FALSE),0)</f>
        <v>7.82</v>
      </c>
      <c r="AH206" s="65" t="s">
        <v>113</v>
      </c>
      <c r="AI206" s="63" t="str">
        <f>IFERROR(VLOOKUP(Table2[[#This Row],[Contraente]],Table1[[Nome/Ragione sociale]:[Checkbox selezionato]],2,FALSE),"-")</f>
        <v>RIVANAZZANO</v>
      </c>
      <c r="AJ206" s="63">
        <f>IFERROR(VLOOKUP(Table2[[#This Row],[Contraente]],Table1[[Nome/Ragione sociale]:[Checkbox selezionato]],3,FALSE),"-")</f>
        <v>3486001974</v>
      </c>
      <c r="AK206" s="63">
        <f>IFERROR(VLOOKUP(Table2[[#This Row],[Contraente]],Table1[[Nome/Ragione sociale]:[Checkbox selezionato]],4,FALSE),"-")</f>
        <v>0</v>
      </c>
      <c r="AL206" s="63" t="str">
        <f>IFERROR(VLOOKUP(Table2[[#This Row],[Contraente]],Table1[[Nome/Ragione sociale]:[Checkbox selezionato]],5,FALSE),"-")</f>
        <v>GIOVANNA</v>
      </c>
      <c r="AM206" s="62">
        <f>IFERROR(VLOOKUP(Table2[[#This Row],[Contraente]],Table1[[Nome/Ragione sociale]:[Checkbox selezionato]],6,FALSE),"-")</f>
        <v>24451</v>
      </c>
      <c r="AN206" s="63" t="str">
        <f>IFERROR(VLOOKUP(Table2[[#This Row],[Contraente]],Table1[[Nome/Ragione sociale]:[Checkbox selezionato]],7,FALSE),"-")</f>
        <v>papies@libero.it</v>
      </c>
      <c r="AO206" s="63">
        <f>IFERROR(VLOOKUP(Table2[[#This Row],[Contraente]],Table1[[Nome/Ragione sociale]:[Checkbox selezionato]],8,FALSE),"-")</f>
        <v>0</v>
      </c>
      <c r="AP206" s="63">
        <f>IFERROR(VLOOKUP(Table2[[#This Row],[Contraente]],Table1[[Nome/Ragione sociale]:[Checkbox selezionato]],10,FALSE),"-")</f>
        <v>3486001974</v>
      </c>
      <c r="AQ206" s="63" t="str">
        <f>IFERROR(VLOOKUP(Table2[[#This Row],[Contraente]],Table1[[Nome/Ragione sociale]:[Checkbox selezionato]],11,FALSE),"-")</f>
        <v>SI</v>
      </c>
      <c r="AR206" s="63" t="str">
        <f>IFERROR(VLOOKUP(Table2[[#This Row],[Contraente]],Table1[[Nome/Ragione sociale]:[Checkbox selezionato]],12,FALSE),"-")</f>
        <v>SI</v>
      </c>
    </row>
    <row r="207" spans="1:44" ht="30" hidden="1" customHeight="1" x14ac:dyDescent="0.25">
      <c r="A207" s="60" t="str">
        <f>UPPER(LEFT(Table2[[#This Row],[Contraente]],1))</f>
        <v>B</v>
      </c>
      <c r="B207" s="60" t="s">
        <v>1634</v>
      </c>
      <c r="C207" s="81" t="s">
        <v>404</v>
      </c>
      <c r="D207" s="80" t="s">
        <v>37</v>
      </c>
      <c r="E207" s="86">
        <v>105488056</v>
      </c>
      <c r="F207" s="64">
        <v>42835</v>
      </c>
      <c r="G207" s="64">
        <f>IFERROR(CALCOLASCADENZA(Table2[[#This Row],[Data attivazione]],Table2[[#This Row],[Rateizzazione]],Table2[[#This Row],[Data ultimo pagamento]],Table2[[#This Row],[Data prossima scadenza manuale]]),"-")</f>
        <v>43023</v>
      </c>
      <c r="H207" s="67" t="s">
        <v>31</v>
      </c>
      <c r="I207" s="67" t="s">
        <v>1219</v>
      </c>
      <c r="J207" s="33">
        <f>IFERROR(Table2[[#This Row],[Importo annuale]]/(12/VLOOKUP(Table2[[#This Row],[Rateizzazione]],TIPI_RATEIZZAZIONI,2,FALSE)),"-")</f>
        <v>671</v>
      </c>
      <c r="K207" s="88">
        <v>671</v>
      </c>
      <c r="L207" s="88">
        <v>1342</v>
      </c>
      <c r="M207" s="67" t="s">
        <v>44</v>
      </c>
      <c r="N207" s="67" t="s">
        <v>51</v>
      </c>
      <c r="O207" s="27" t="s">
        <v>1631</v>
      </c>
      <c r="P207" s="33" t="s">
        <v>22</v>
      </c>
      <c r="Q207" s="60">
        <f>IFERROR(IF(12 / VLOOKUP(Table2[[#This Row],[Rateizzazione]],TIPI_RATEIZZAZIONI,2,FALSE) &gt;=1,  IF(Table2[[#This Row],[Data attivazione]] = "","-",MONTH(Table2[[#This Row],[Data attivazione]])),"-"),"-")</f>
        <v>10</v>
      </c>
      <c r="R2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7" s="67" t="s">
        <v>2</v>
      </c>
      <c r="V207" s="62"/>
      <c r="W207" s="64">
        <v>42658</v>
      </c>
      <c r="X207" s="29">
        <f>DATE(YEAR(Table2[[#This Row],[Data attivazione]])+VLOOKUP(Table2[[#This Row],[Durata]],VALORE_DURATA,2,FALSE),MONTH(Table2[[#This Row],[Data attivazione]]),DAY(Table2[[#This Row],[Data attivazione]]))</f>
        <v>43023</v>
      </c>
      <c r="Y207" s="65"/>
      <c r="Z207" s="61"/>
      <c r="AA207" s="64" t="s">
        <v>85</v>
      </c>
      <c r="AB207" s="29" t="str">
        <f>IF(Table2[[#This Row],[Data ultimo versamento temp]]=0/1/1900,"-",Table2[[#This Row],[Data ultimo versamento temp]])</f>
        <v>-</v>
      </c>
      <c r="AC207" s="29">
        <f t="array" ref="AC207">MAX(IF(TableVersamenti[Polizza]=Table2[[#This Row],[Polizza]],TableVersamenti[Data prevista versamento],"-"))</f>
        <v>0</v>
      </c>
      <c r="AD207" s="62"/>
      <c r="AE207" s="106">
        <f>DATE(YEAR(Table2[[#This Row],[Data ultimo pagamento]]),MONTH(Table2[[#This Row],[Data ultimo pagamento]]), 1)</f>
        <v>42826</v>
      </c>
      <c r="AF207" s="106">
        <f>DATE(YEAR(Table2[[#This Row],[Data prossima scadenza]]),MONTH(Table2[[#This Row],[Data prossima scadenza]]), 1)</f>
        <v>43009</v>
      </c>
      <c r="AG207" s="33">
        <f>IFERROR(Table2[[#This Row],[Importo annuale]]*VLOOKUP(Table2[[#This Row],[Ramo]],RAMI_POLIZZA,2,FALSE),0)</f>
        <v>69.783999999999992</v>
      </c>
      <c r="AH207" s="65" t="s">
        <v>113</v>
      </c>
      <c r="AI207" s="63" t="str">
        <f>IFERROR(VLOOKUP(Table2[[#This Row],[Contraente]],Table1[[Nome/Ragione sociale]:[Checkbox selezionato]],2,FALSE),"-")</f>
        <v>CURA CARPIGNANO</v>
      </c>
      <c r="AJ207" s="63" t="str">
        <f>IFERROR(VLOOKUP(Table2[[#This Row],[Contraente]],Table1[[Nome/Ragione sociale]:[Checkbox selezionato]],3,FALSE),"-")</f>
        <v>.</v>
      </c>
      <c r="AK207" s="63" t="str">
        <f>IFERROR(VLOOKUP(Table2[[#This Row],[Contraente]],Table1[[Nome/Ragione sociale]:[Checkbox selezionato]],4,FALSE),"-")</f>
        <v>.0382463200</v>
      </c>
      <c r="AL207" s="63" t="str">
        <f>IFERROR(VLOOKUP(Table2[[#This Row],[Contraente]],Table1[[Nome/Ragione sociale]:[Checkbox selezionato]],5,FALSE),"-")</f>
        <v>ANNA MARIA</v>
      </c>
      <c r="AM207" s="62">
        <f>IFERROR(VLOOKUP(Table2[[#This Row],[Contraente]],Table1[[Nome/Ragione sociale]:[Checkbox selezionato]],6,FALSE),"-")</f>
        <v>20908</v>
      </c>
      <c r="AN207" s="63" t="str">
        <f>IFERROR(VLOOKUP(Table2[[#This Row],[Contraente]],Table1[[Nome/Ragione sociale]:[Checkbox selezionato]],7,FALSE),"-")</f>
        <v>papies@libero.it</v>
      </c>
      <c r="AO207" s="63">
        <f>IFERROR(VLOOKUP(Table2[[#This Row],[Contraente]],Table1[[Nome/Ragione sociale]:[Checkbox selezionato]],8,FALSE),"-")</f>
        <v>0</v>
      </c>
      <c r="AP207" s="63" t="str">
        <f>IFERROR(VLOOKUP(Table2[[#This Row],[Contraente]],Table1[[Nome/Ragione sociale]:[Checkbox selezionato]],10,FALSE),"-")</f>
        <v>.</v>
      </c>
      <c r="AQ207" s="63" t="str">
        <f>IFERROR(VLOOKUP(Table2[[#This Row],[Contraente]],Table1[[Nome/Ragione sociale]:[Checkbox selezionato]],11,FALSE),"-")</f>
        <v>SI</v>
      </c>
      <c r="AR207" s="63" t="str">
        <f>IFERROR(VLOOKUP(Table2[[#This Row],[Contraente]],Table1[[Nome/Ragione sociale]:[Checkbox selezionato]],12,FALSE),"-")</f>
        <v>SI</v>
      </c>
    </row>
    <row r="208" spans="1:44" ht="30" hidden="1" customHeight="1" x14ac:dyDescent="0.25">
      <c r="A208" s="60" t="str">
        <f>UPPER(LEFT(Table2[[#This Row],[Contraente]],1))</f>
        <v>B</v>
      </c>
      <c r="B208" s="60" t="s">
        <v>1634</v>
      </c>
      <c r="C208" s="81" t="s">
        <v>401</v>
      </c>
      <c r="D208" s="80" t="s">
        <v>37</v>
      </c>
      <c r="E208" s="86">
        <v>1044074</v>
      </c>
      <c r="F208" s="64">
        <v>42711</v>
      </c>
      <c r="G208" s="64">
        <f>IFERROR(CALCOLASCADENZA(Table2[[#This Row],[Data attivazione]],Table2[[#This Row],[Rateizzazione]],Table2[[#This Row],[Data ultimo pagamento]],Table2[[#This Row],[Data prossima scadenza manuale]]),"-")</f>
        <v>43043</v>
      </c>
      <c r="H208" s="67" t="s">
        <v>32</v>
      </c>
      <c r="I208" s="67" t="s">
        <v>113</v>
      </c>
      <c r="J208" s="33">
        <f>IFERROR(Table2[[#This Row],[Importo annuale]]/(12/VLOOKUP(Table2[[#This Row],[Rateizzazione]],TIPI_RATEIZZAZIONI,2,FALSE)),"-")</f>
        <v>252.75</v>
      </c>
      <c r="K208" s="88"/>
      <c r="L208" s="88">
        <v>252.75</v>
      </c>
      <c r="M208" s="67" t="s">
        <v>44</v>
      </c>
      <c r="N208" s="67" t="s">
        <v>51</v>
      </c>
      <c r="O208" s="27" t="s">
        <v>1632</v>
      </c>
      <c r="P208" s="33" t="s">
        <v>23</v>
      </c>
      <c r="Q208" s="60">
        <f>IFERROR(IF(12 / VLOOKUP(Table2[[#This Row],[Rateizzazione]],TIPI_RATEIZZAZIONI,2,FALSE) &gt;=1,  IF(Table2[[#This Row],[Data attivazione]] = "","-",MONTH(Table2[[#This Row],[Data attivazione]])),"-"),"-")</f>
        <v>11</v>
      </c>
      <c r="R2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8" s="67" t="s">
        <v>2</v>
      </c>
      <c r="V208" s="62"/>
      <c r="W208" s="64">
        <v>39390</v>
      </c>
      <c r="X208" s="29">
        <f>DATE(YEAR(Table2[[#This Row],[Data attivazione]])+VLOOKUP(Table2[[#This Row],[Durata]],VALORE_DURATA,2,FALSE),MONTH(Table2[[#This Row],[Data attivazione]]),DAY(Table2[[#This Row],[Data attivazione]]))</f>
        <v>43043</v>
      </c>
      <c r="Y208" s="65"/>
      <c r="Z208" s="61"/>
      <c r="AA208" s="64" t="s">
        <v>85</v>
      </c>
      <c r="AB208" s="29" t="str">
        <f>IF(Table2[[#This Row],[Data ultimo versamento temp]]=0/1/1900,"-",Table2[[#This Row],[Data ultimo versamento temp]])</f>
        <v>-</v>
      </c>
      <c r="AC208" s="29">
        <f t="array" ref="AC208">MAX(IF(TableVersamenti[Polizza]=Table2[[#This Row],[Polizza]],TableVersamenti[Data prevista versamento],"-"))</f>
        <v>0</v>
      </c>
      <c r="AD208" s="62"/>
      <c r="AE208" s="106">
        <f>DATE(YEAR(Table2[[#This Row],[Data ultimo pagamento]]),MONTH(Table2[[#This Row],[Data ultimo pagamento]]), 1)</f>
        <v>42705</v>
      </c>
      <c r="AF208" s="106">
        <f>DATE(YEAR(Table2[[#This Row],[Data prossima scadenza]]),MONTH(Table2[[#This Row],[Data prossima scadenza]]), 1)</f>
        <v>43040</v>
      </c>
      <c r="AG208" s="33">
        <f>IFERROR(Table2[[#This Row],[Importo annuale]]*VLOOKUP(Table2[[#This Row],[Ramo]],RAMI_POLIZZA,2,FALSE),0)</f>
        <v>3.7912499999999998</v>
      </c>
      <c r="AH208" s="65" t="s">
        <v>113</v>
      </c>
      <c r="AI208" s="63" t="str">
        <f>IFERROR(VLOOKUP(Table2[[#This Row],[Contraente]],Table1[[Nome/Ragione sociale]:[Checkbox selezionato]],2,FALSE),"-")</f>
        <v>COPIANO</v>
      </c>
      <c r="AJ208" s="63">
        <f>IFERROR(VLOOKUP(Table2[[#This Row],[Contraente]],Table1[[Nome/Ragione sociale]:[Checkbox selezionato]],3,FALSE),"-")</f>
        <v>3341071278</v>
      </c>
      <c r="AK208" s="63">
        <f>IFERROR(VLOOKUP(Table2[[#This Row],[Contraente]],Table1[[Nome/Ragione sociale]:[Checkbox selezionato]],4,FALSE),"-")</f>
        <v>0</v>
      </c>
      <c r="AL208" s="63" t="str">
        <f>IFERROR(VLOOKUP(Table2[[#This Row],[Contraente]],Table1[[Nome/Ragione sociale]:[Checkbox selezionato]],5,FALSE),"-")</f>
        <v>EMANUELE</v>
      </c>
      <c r="AM208" s="62">
        <f>IFERROR(VLOOKUP(Table2[[#This Row],[Contraente]],Table1[[Nome/Ragione sociale]:[Checkbox selezionato]],6,FALSE),"-")</f>
        <v>28254</v>
      </c>
      <c r="AN208" s="63" t="str">
        <f>IFERROR(VLOOKUP(Table2[[#This Row],[Contraente]],Table1[[Nome/Ragione sociale]:[Checkbox selezionato]],7,FALSE),"-")</f>
        <v>papies@email.it</v>
      </c>
      <c r="AO208" s="63">
        <f>IFERROR(VLOOKUP(Table2[[#This Row],[Contraente]],Table1[[Nome/Ragione sociale]:[Checkbox selezionato]],8,FALSE),"-")</f>
        <v>0</v>
      </c>
      <c r="AP208" s="63">
        <f>IFERROR(VLOOKUP(Table2[[#This Row],[Contraente]],Table1[[Nome/Ragione sociale]:[Checkbox selezionato]],10,FALSE),"-")</f>
        <v>3341071278</v>
      </c>
      <c r="AQ208" s="63" t="str">
        <f>IFERROR(VLOOKUP(Table2[[#This Row],[Contraente]],Table1[[Nome/Ragione sociale]:[Checkbox selezionato]],11,FALSE),"-")</f>
        <v>SI</v>
      </c>
      <c r="AR208" s="63" t="str">
        <f>IFERROR(VLOOKUP(Table2[[#This Row],[Contraente]],Table1[[Nome/Ragione sociale]:[Checkbox selezionato]],12,FALSE),"-")</f>
        <v>SI</v>
      </c>
    </row>
    <row r="209" spans="1:44" ht="30" hidden="1" customHeight="1" x14ac:dyDescent="0.25">
      <c r="A209" s="60" t="str">
        <f>UPPER(LEFT(Table2[[#This Row],[Contraente]],1))</f>
        <v>B</v>
      </c>
      <c r="B209" s="60" t="s">
        <v>1634</v>
      </c>
      <c r="C209" s="81" t="s">
        <v>401</v>
      </c>
      <c r="D209" s="80" t="s">
        <v>37</v>
      </c>
      <c r="E209" s="86">
        <v>104685468</v>
      </c>
      <c r="F209" s="64">
        <v>42578</v>
      </c>
      <c r="G209" s="64">
        <f>IFERROR(CALCOLASCADENZA(Table2[[#This Row],[Data attivazione]],Table2[[#This Row],[Rateizzazione]],Table2[[#This Row],[Data ultimo pagamento]],Table2[[#This Row],[Data prossima scadenza manuale]]),"-")</f>
        <v>42943</v>
      </c>
      <c r="H209" s="67" t="s">
        <v>30</v>
      </c>
      <c r="I209" s="67" t="s">
        <v>113</v>
      </c>
      <c r="J209" s="33">
        <f>IFERROR(Table2[[#This Row],[Importo annuale]]/(12/VLOOKUP(Table2[[#This Row],[Rateizzazione]],TIPI_RATEIZZAZIONI,2,FALSE)),"-")</f>
        <v>374</v>
      </c>
      <c r="K209" s="88"/>
      <c r="L209" s="88">
        <v>374</v>
      </c>
      <c r="M209" s="67" t="s">
        <v>44</v>
      </c>
      <c r="N209" s="67" t="s">
        <v>51</v>
      </c>
      <c r="O209" s="27" t="s">
        <v>1631</v>
      </c>
      <c r="P209" s="33" t="s">
        <v>23</v>
      </c>
      <c r="Q209" s="60">
        <f>IFERROR(IF(12 / VLOOKUP(Table2[[#This Row],[Rateizzazione]],TIPI_RATEIZZAZIONI,2,FALSE) &gt;=1,  IF(Table2[[#This Row],[Data attivazione]] = "","-",MONTH(Table2[[#This Row],[Data attivazione]])),"-"),"-")</f>
        <v>7</v>
      </c>
      <c r="R2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9" s="67" t="s">
        <v>2</v>
      </c>
      <c r="V209" s="62"/>
      <c r="W209" s="64">
        <v>42578</v>
      </c>
      <c r="X209" s="29">
        <f>DATE(YEAR(Table2[[#This Row],[Data attivazione]])+VLOOKUP(Table2[[#This Row],[Durata]],VALORE_DURATA,2,FALSE),MONTH(Table2[[#This Row],[Data attivazione]]),DAY(Table2[[#This Row],[Data attivazione]]))</f>
        <v>42943</v>
      </c>
      <c r="Y209" s="65"/>
      <c r="Z209" s="61"/>
      <c r="AA209" s="64" t="s">
        <v>85</v>
      </c>
      <c r="AB209" s="29" t="str">
        <f>IF(Table2[[#This Row],[Data ultimo versamento temp]]=0/1/1900,"-",Table2[[#This Row],[Data ultimo versamento temp]])</f>
        <v>-</v>
      </c>
      <c r="AC209" s="29">
        <f t="array" ref="AC209">MAX(IF(TableVersamenti[Polizza]=Table2[[#This Row],[Polizza]],TableVersamenti[Data prevista versamento],"-"))</f>
        <v>0</v>
      </c>
      <c r="AD209" s="62"/>
      <c r="AE209" s="106">
        <f>DATE(YEAR(Table2[[#This Row],[Data ultimo pagamento]]),MONTH(Table2[[#This Row],[Data ultimo pagamento]]), 1)</f>
        <v>42552</v>
      </c>
      <c r="AF209" s="106">
        <f>DATE(YEAR(Table2[[#This Row],[Data prossima scadenza]]),MONTH(Table2[[#This Row],[Data prossima scadenza]]), 1)</f>
        <v>42917</v>
      </c>
      <c r="AG209" s="33">
        <f>IFERROR(Table2[[#This Row],[Importo annuale]]*VLOOKUP(Table2[[#This Row],[Ramo]],RAMI_POLIZZA,2,FALSE),0)</f>
        <v>43.010000000000005</v>
      </c>
      <c r="AH209" s="65" t="s">
        <v>113</v>
      </c>
      <c r="AI209" s="63" t="str">
        <f>IFERROR(VLOOKUP(Table2[[#This Row],[Contraente]],Table1[[Nome/Ragione sociale]:[Checkbox selezionato]],2,FALSE),"-")</f>
        <v>COPIANO</v>
      </c>
      <c r="AJ209" s="63">
        <f>IFERROR(VLOOKUP(Table2[[#This Row],[Contraente]],Table1[[Nome/Ragione sociale]:[Checkbox selezionato]],3,FALSE),"-")</f>
        <v>3341071278</v>
      </c>
      <c r="AK209" s="63">
        <f>IFERROR(VLOOKUP(Table2[[#This Row],[Contraente]],Table1[[Nome/Ragione sociale]:[Checkbox selezionato]],4,FALSE),"-")</f>
        <v>0</v>
      </c>
      <c r="AL209" s="63" t="str">
        <f>IFERROR(VLOOKUP(Table2[[#This Row],[Contraente]],Table1[[Nome/Ragione sociale]:[Checkbox selezionato]],5,FALSE),"-")</f>
        <v>EMANUELE</v>
      </c>
      <c r="AM209" s="62">
        <f>IFERROR(VLOOKUP(Table2[[#This Row],[Contraente]],Table1[[Nome/Ragione sociale]:[Checkbox selezionato]],6,FALSE),"-")</f>
        <v>28254</v>
      </c>
      <c r="AN209" s="63" t="str">
        <f>IFERROR(VLOOKUP(Table2[[#This Row],[Contraente]],Table1[[Nome/Ragione sociale]:[Checkbox selezionato]],7,FALSE),"-")</f>
        <v>papies@email.it</v>
      </c>
      <c r="AO209" s="63">
        <f>IFERROR(VLOOKUP(Table2[[#This Row],[Contraente]],Table1[[Nome/Ragione sociale]:[Checkbox selezionato]],8,FALSE),"-")</f>
        <v>0</v>
      </c>
      <c r="AP209" s="63">
        <f>IFERROR(VLOOKUP(Table2[[#This Row],[Contraente]],Table1[[Nome/Ragione sociale]:[Checkbox selezionato]],10,FALSE),"-")</f>
        <v>3341071278</v>
      </c>
      <c r="AQ209" s="63" t="str">
        <f>IFERROR(VLOOKUP(Table2[[#This Row],[Contraente]],Table1[[Nome/Ragione sociale]:[Checkbox selezionato]],11,FALSE),"-")</f>
        <v>SI</v>
      </c>
      <c r="AR209" s="63" t="str">
        <f>IFERROR(VLOOKUP(Table2[[#This Row],[Contraente]],Table1[[Nome/Ragione sociale]:[Checkbox selezionato]],12,FALSE),"-")</f>
        <v>SI</v>
      </c>
    </row>
    <row r="210" spans="1:44" ht="30" hidden="1" customHeight="1" x14ac:dyDescent="0.25">
      <c r="A210" s="60" t="str">
        <f>UPPER(LEFT(Table2[[#This Row],[Contraente]],1))</f>
        <v>B</v>
      </c>
      <c r="B210" s="60" t="s">
        <v>1634</v>
      </c>
      <c r="C210" s="81" t="s">
        <v>401</v>
      </c>
      <c r="D210" s="80" t="s">
        <v>37</v>
      </c>
      <c r="E210" s="86">
        <v>1075856</v>
      </c>
      <c r="F210" s="64">
        <v>42670</v>
      </c>
      <c r="G210" s="64">
        <f>IFERROR(CALCOLASCADENZA(Table2[[#This Row],[Data attivazione]],Table2[[#This Row],[Rateizzazione]],Table2[[#This Row],[Data ultimo pagamento]],Table2[[#This Row],[Data prossima scadenza manuale]]),"-")</f>
        <v>42702</v>
      </c>
      <c r="H210" s="67" t="s">
        <v>32</v>
      </c>
      <c r="I210" s="67" t="s">
        <v>113</v>
      </c>
      <c r="J210" s="33">
        <f>IFERROR(Table2[[#This Row],[Importo annuale]]/(12/VLOOKUP(Table2[[#This Row],[Rateizzazione]],TIPI_RATEIZZAZIONI,2,FALSE)),"-")</f>
        <v>300</v>
      </c>
      <c r="K210" s="88"/>
      <c r="L210" s="88">
        <v>3600</v>
      </c>
      <c r="M210" s="67" t="s">
        <v>44</v>
      </c>
      <c r="N210" s="67" t="s">
        <v>52</v>
      </c>
      <c r="O210" s="27" t="s">
        <v>1631</v>
      </c>
      <c r="P210" s="33" t="s">
        <v>18</v>
      </c>
      <c r="Q210" s="60">
        <f>IFERROR(IF(12 / VLOOKUP(Table2[[#This Row],[Rateizzazione]],TIPI_RATEIZZAZIONI,2,FALSE) &gt;=1,  IF(Table2[[#This Row],[Data attivazione]] = "","-",MONTH(Table2[[#This Row],[Data attivazione]])),"-"),"-")</f>
        <v>11</v>
      </c>
      <c r="R2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1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210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210" s="67" t="s">
        <v>2</v>
      </c>
      <c r="V210" s="62"/>
      <c r="W210" s="64">
        <v>42336</v>
      </c>
      <c r="X210" s="29">
        <f>DATE(YEAR(Table2[[#This Row],[Data attivazione]])+VLOOKUP(Table2[[#This Row],[Durata]],VALORE_DURATA,2,FALSE),MONTH(Table2[[#This Row],[Data attivazione]]),DAY(Table2[[#This Row],[Data attivazione]]))</f>
        <v>42702</v>
      </c>
      <c r="Y210" s="65"/>
      <c r="Z210" s="61"/>
      <c r="AA210" s="64" t="s">
        <v>85</v>
      </c>
      <c r="AB210" s="29" t="str">
        <f>IF(Table2[[#This Row],[Data ultimo versamento temp]]=0/1/1900,"-",Table2[[#This Row],[Data ultimo versamento temp]])</f>
        <v>-</v>
      </c>
      <c r="AC210" s="29">
        <f t="array" ref="AC210">MAX(IF(TableVersamenti[Polizza]=Table2[[#This Row],[Polizza]],TableVersamenti[Data prevista versamento],"-"))</f>
        <v>0</v>
      </c>
      <c r="AD210" s="62"/>
      <c r="AE210" s="106">
        <f>DATE(YEAR(Table2[[#This Row],[Data ultimo pagamento]]),MONTH(Table2[[#This Row],[Data ultimo pagamento]]), 1)</f>
        <v>42644</v>
      </c>
      <c r="AF210" s="106">
        <f>DATE(YEAR(Table2[[#This Row],[Data prossima scadenza]]),MONTH(Table2[[#This Row],[Data prossima scadenza]]), 1)</f>
        <v>42675</v>
      </c>
      <c r="AG210" s="33">
        <f>IFERROR(Table2[[#This Row],[Importo annuale]]*VLOOKUP(Table2[[#This Row],[Ramo]],RAMI_POLIZZA,2,FALSE),0)</f>
        <v>54</v>
      </c>
      <c r="AH210" s="65" t="s">
        <v>113</v>
      </c>
      <c r="AI210" s="63" t="str">
        <f>IFERROR(VLOOKUP(Table2[[#This Row],[Contraente]],Table1[[Nome/Ragione sociale]:[Checkbox selezionato]],2,FALSE),"-")</f>
        <v>COPIANO</v>
      </c>
      <c r="AJ210" s="63">
        <f>IFERROR(VLOOKUP(Table2[[#This Row],[Contraente]],Table1[[Nome/Ragione sociale]:[Checkbox selezionato]],3,FALSE),"-")</f>
        <v>3341071278</v>
      </c>
      <c r="AK210" s="63">
        <f>IFERROR(VLOOKUP(Table2[[#This Row],[Contraente]],Table1[[Nome/Ragione sociale]:[Checkbox selezionato]],4,FALSE),"-")</f>
        <v>0</v>
      </c>
      <c r="AL210" s="63" t="str">
        <f>IFERROR(VLOOKUP(Table2[[#This Row],[Contraente]],Table1[[Nome/Ragione sociale]:[Checkbox selezionato]],5,FALSE),"-")</f>
        <v>EMANUELE</v>
      </c>
      <c r="AM210" s="62">
        <f>IFERROR(VLOOKUP(Table2[[#This Row],[Contraente]],Table1[[Nome/Ragione sociale]:[Checkbox selezionato]],6,FALSE),"-")</f>
        <v>28254</v>
      </c>
      <c r="AN210" s="63" t="str">
        <f>IFERROR(VLOOKUP(Table2[[#This Row],[Contraente]],Table1[[Nome/Ragione sociale]:[Checkbox selezionato]],7,FALSE),"-")</f>
        <v>papies@email.it</v>
      </c>
      <c r="AO210" s="63">
        <f>IFERROR(VLOOKUP(Table2[[#This Row],[Contraente]],Table1[[Nome/Ragione sociale]:[Checkbox selezionato]],8,FALSE),"-")</f>
        <v>0</v>
      </c>
      <c r="AP210" s="63">
        <f>IFERROR(VLOOKUP(Table2[[#This Row],[Contraente]],Table1[[Nome/Ragione sociale]:[Checkbox selezionato]],10,FALSE),"-")</f>
        <v>3341071278</v>
      </c>
      <c r="AQ210" s="63" t="str">
        <f>IFERROR(VLOOKUP(Table2[[#This Row],[Contraente]],Table1[[Nome/Ragione sociale]:[Checkbox selezionato]],11,FALSE),"-")</f>
        <v>SI</v>
      </c>
      <c r="AR210" s="63" t="str">
        <f>IFERROR(VLOOKUP(Table2[[#This Row],[Contraente]],Table1[[Nome/Ragione sociale]:[Checkbox selezionato]],12,FALSE),"-")</f>
        <v>SI</v>
      </c>
    </row>
    <row r="211" spans="1:44" ht="30" hidden="1" customHeight="1" x14ac:dyDescent="0.25">
      <c r="A211" s="60" t="str">
        <f>UPPER(LEFT(Table2[[#This Row],[Contraente]],1))</f>
        <v>B</v>
      </c>
      <c r="B211" s="60" t="s">
        <v>1634</v>
      </c>
      <c r="C211" s="81" t="s">
        <v>401</v>
      </c>
      <c r="D211" s="80" t="s">
        <v>37</v>
      </c>
      <c r="E211" s="86">
        <v>105887587</v>
      </c>
      <c r="F211" s="64">
        <v>42772</v>
      </c>
      <c r="G211" s="64">
        <f>IFERROR(CALCOLASCADENZA(Table2[[#This Row],[Data attivazione]],Table2[[#This Row],[Rateizzazione]],Table2[[#This Row],[Data ultimo pagamento]],Table2[[#This Row],[Data prossima scadenza manuale]]),"-")</f>
        <v>42943</v>
      </c>
      <c r="H211" s="67" t="s">
        <v>31</v>
      </c>
      <c r="I211" s="67" t="s">
        <v>1218</v>
      </c>
      <c r="J211" s="33">
        <f>IFERROR(Table2[[#This Row],[Importo annuale]]/(12/VLOOKUP(Table2[[#This Row],[Rateizzazione]],TIPI_RATEIZZAZIONI,2,FALSE)),"-")</f>
        <v>225</v>
      </c>
      <c r="K211" s="88">
        <v>225</v>
      </c>
      <c r="L211" s="88">
        <v>450</v>
      </c>
      <c r="M211" s="67" t="s">
        <v>44</v>
      </c>
      <c r="N211" s="67" t="s">
        <v>51</v>
      </c>
      <c r="O211" s="27" t="s">
        <v>1631</v>
      </c>
      <c r="P211" s="33" t="s">
        <v>22</v>
      </c>
      <c r="Q211" s="60">
        <f>IFERROR(IF(12 / VLOOKUP(Table2[[#This Row],[Rateizzazione]],TIPI_RATEIZZAZIONI,2,FALSE) &gt;=1,  IF(Table2[[#This Row],[Data attivazione]] = "","-",MONTH(Table2[[#This Row],[Data attivazione]])),"-"),"-")</f>
        <v>7</v>
      </c>
      <c r="R2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1" s="67" t="s">
        <v>2</v>
      </c>
      <c r="V211" s="62"/>
      <c r="W211" s="64">
        <v>42578</v>
      </c>
      <c r="X211" s="29">
        <f>DATE(YEAR(Table2[[#This Row],[Data attivazione]])+VLOOKUP(Table2[[#This Row],[Durata]],VALORE_DURATA,2,FALSE),MONTH(Table2[[#This Row],[Data attivazione]]),DAY(Table2[[#This Row],[Data attivazione]]))</f>
        <v>42943</v>
      </c>
      <c r="Y211" s="65"/>
      <c r="Z211" s="61"/>
      <c r="AA211" s="64" t="s">
        <v>85</v>
      </c>
      <c r="AB211" s="29" t="str">
        <f>IF(Table2[[#This Row],[Data ultimo versamento temp]]=0/1/1900,"-",Table2[[#This Row],[Data ultimo versamento temp]])</f>
        <v>-</v>
      </c>
      <c r="AC211" s="29">
        <f t="array" ref="AC211">MAX(IF(TableVersamenti[Polizza]=Table2[[#This Row],[Polizza]],TableVersamenti[Data prevista versamento],"-"))</f>
        <v>0</v>
      </c>
      <c r="AD211" s="62"/>
      <c r="AE211" s="106">
        <f>DATE(YEAR(Table2[[#This Row],[Data ultimo pagamento]]),MONTH(Table2[[#This Row],[Data ultimo pagamento]]), 1)</f>
        <v>42767</v>
      </c>
      <c r="AF211" s="106">
        <f>DATE(YEAR(Table2[[#This Row],[Data prossima scadenza]]),MONTH(Table2[[#This Row],[Data prossima scadenza]]), 1)</f>
        <v>42917</v>
      </c>
      <c r="AG211" s="33">
        <f>IFERROR(Table2[[#This Row],[Importo annuale]]*VLOOKUP(Table2[[#This Row],[Ramo]],RAMI_POLIZZA,2,FALSE),0)</f>
        <v>23.4</v>
      </c>
      <c r="AH211" s="65" t="s">
        <v>113</v>
      </c>
      <c r="AI211" s="63" t="str">
        <f>IFERROR(VLOOKUP(Table2[[#This Row],[Contraente]],Table1[[Nome/Ragione sociale]:[Checkbox selezionato]],2,FALSE),"-")</f>
        <v>COPIANO</v>
      </c>
      <c r="AJ211" s="63">
        <f>IFERROR(VLOOKUP(Table2[[#This Row],[Contraente]],Table1[[Nome/Ragione sociale]:[Checkbox selezionato]],3,FALSE),"-")</f>
        <v>3341071278</v>
      </c>
      <c r="AK211" s="63">
        <f>IFERROR(VLOOKUP(Table2[[#This Row],[Contraente]],Table1[[Nome/Ragione sociale]:[Checkbox selezionato]],4,FALSE),"-")</f>
        <v>0</v>
      </c>
      <c r="AL211" s="63" t="str">
        <f>IFERROR(VLOOKUP(Table2[[#This Row],[Contraente]],Table1[[Nome/Ragione sociale]:[Checkbox selezionato]],5,FALSE),"-")</f>
        <v>EMANUELE</v>
      </c>
      <c r="AM211" s="62">
        <f>IFERROR(VLOOKUP(Table2[[#This Row],[Contraente]],Table1[[Nome/Ragione sociale]:[Checkbox selezionato]],6,FALSE),"-")</f>
        <v>28254</v>
      </c>
      <c r="AN211" s="63" t="str">
        <f>IFERROR(VLOOKUP(Table2[[#This Row],[Contraente]],Table1[[Nome/Ragione sociale]:[Checkbox selezionato]],7,FALSE),"-")</f>
        <v>papies@email.it</v>
      </c>
      <c r="AO211" s="63">
        <f>IFERROR(VLOOKUP(Table2[[#This Row],[Contraente]],Table1[[Nome/Ragione sociale]:[Checkbox selezionato]],8,FALSE),"-")</f>
        <v>0</v>
      </c>
      <c r="AP211" s="63">
        <f>IFERROR(VLOOKUP(Table2[[#This Row],[Contraente]],Table1[[Nome/Ragione sociale]:[Checkbox selezionato]],10,FALSE),"-")</f>
        <v>3341071278</v>
      </c>
      <c r="AQ211" s="63" t="str">
        <f>IFERROR(VLOOKUP(Table2[[#This Row],[Contraente]],Table1[[Nome/Ragione sociale]:[Checkbox selezionato]],11,FALSE),"-")</f>
        <v>SI</v>
      </c>
      <c r="AR211" s="63" t="str">
        <f>IFERROR(VLOOKUP(Table2[[#This Row],[Contraente]],Table1[[Nome/Ragione sociale]:[Checkbox selezionato]],12,FALSE),"-")</f>
        <v>SI</v>
      </c>
    </row>
    <row r="212" spans="1:44" ht="30" hidden="1" customHeight="1" x14ac:dyDescent="0.25">
      <c r="A212" s="60" t="str">
        <f>UPPER(LEFT(Table2[[#This Row],[Contraente]],1))</f>
        <v>B</v>
      </c>
      <c r="B212" s="60" t="s">
        <v>1634</v>
      </c>
      <c r="C212" s="81" t="s">
        <v>363</v>
      </c>
      <c r="D212" s="80" t="s">
        <v>37</v>
      </c>
      <c r="E212" s="86">
        <v>103187134</v>
      </c>
      <c r="F212" s="64">
        <v>41828</v>
      </c>
      <c r="G212" s="64">
        <f>IFERROR(CALCOLASCADENZA(Table2[[#This Row],[Data attivazione]],Table2[[#This Row],[Rateizzazione]],Table2[[#This Row],[Data ultimo pagamento]],Table2[[#This Row],[Data prossima scadenza manuale]]),"-")</f>
        <v>41828</v>
      </c>
      <c r="H212" s="67" t="s">
        <v>31</v>
      </c>
      <c r="I212" s="67"/>
      <c r="J212" s="33">
        <v>0</v>
      </c>
      <c r="K212" s="88"/>
      <c r="L212" s="88">
        <v>1236.06</v>
      </c>
      <c r="M212" s="67" t="s">
        <v>44</v>
      </c>
      <c r="N212" s="67" t="s">
        <v>52</v>
      </c>
      <c r="O212" s="27" t="s">
        <v>1631</v>
      </c>
      <c r="P212" s="33" t="s">
        <v>24</v>
      </c>
      <c r="Q21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2" s="67" t="s">
        <v>2</v>
      </c>
      <c r="V212" s="62"/>
      <c r="W212" s="64">
        <v>693597</v>
      </c>
      <c r="X212" s="29">
        <f>DATE(YEAR(Table2[[#This Row],[Data attivazione]])+VLOOKUP(Table2[[#This Row],[Durata]],VALORE_DURATA,2,FALSE),MONTH(Table2[[#This Row],[Data attivazione]]),DAY(Table2[[#This Row],[Data attivazione]]))</f>
        <v>693962</v>
      </c>
      <c r="Y212" s="65"/>
      <c r="Z212" s="61"/>
      <c r="AA212" s="64" t="s">
        <v>88</v>
      </c>
      <c r="AB212" s="29" t="str">
        <f>IF(Table2[[#This Row],[Data ultimo versamento temp]]=0/1/1900,"-",Table2[[#This Row],[Data ultimo versamento temp]])</f>
        <v>-</v>
      </c>
      <c r="AC212" s="29">
        <f t="array" ref="AC212">MAX(IF(TableVersamenti[Polizza]=Table2[[#This Row],[Polizza]],TableVersamenti[Data prevista versamento],"-"))</f>
        <v>0</v>
      </c>
      <c r="AD212" s="62"/>
      <c r="AE212" s="106">
        <f>DATE(YEAR(Table2[[#This Row],[Data ultimo pagamento]]),MONTH(Table2[[#This Row],[Data ultimo pagamento]]), 1)</f>
        <v>41821</v>
      </c>
      <c r="AF212" s="106">
        <f>DATE(YEAR(Table2[[#This Row],[Data prossima scadenza]]),MONTH(Table2[[#This Row],[Data prossima scadenza]]), 1)</f>
        <v>41821</v>
      </c>
      <c r="AG212" s="33">
        <f>IFERROR(Table2[[#This Row],[Importo annuale]]*VLOOKUP(Table2[[#This Row],[Ramo]],RAMI_POLIZZA,2,FALSE),0)</f>
        <v>64.275120000000001</v>
      </c>
      <c r="AH212" s="65" t="s">
        <v>113</v>
      </c>
      <c r="AI212" s="63" t="str">
        <f>IFERROR(VLOOKUP(Table2[[#This Row],[Contraente]],Table1[[Nome/Ragione sociale]:[Checkbox selezionato]],2,FALSE),"-")</f>
        <v>SANT'ANGELO LODIGIANO</v>
      </c>
      <c r="AJ212" s="63">
        <f>IFERROR(VLOOKUP(Table2[[#This Row],[Contraente]],Table1[[Nome/Ragione sociale]:[Checkbox selezionato]],3,FALSE),"-")</f>
        <v>3511383892</v>
      </c>
      <c r="AK212" s="63">
        <f>IFERROR(VLOOKUP(Table2[[#This Row],[Contraente]],Table1[[Nome/Ragione sociale]:[Checkbox selezionato]],4,FALSE),"-")</f>
        <v>0</v>
      </c>
      <c r="AL212" s="63" t="str">
        <f>IFERROR(VLOOKUP(Table2[[#This Row],[Contraente]],Table1[[Nome/Ragione sociale]:[Checkbox selezionato]],5,FALSE),"-")</f>
        <v>ALE RAGAZZA</v>
      </c>
      <c r="AM212" s="62">
        <f>IFERROR(VLOOKUP(Table2[[#This Row],[Contraente]],Table1[[Nome/Ragione sociale]:[Checkbox selezionato]],6,FALSE),"-")</f>
        <v>32854</v>
      </c>
      <c r="AN212" s="63" t="str">
        <f>IFERROR(VLOOKUP(Table2[[#This Row],[Contraente]],Table1[[Nome/Ragione sociale]:[Checkbox selezionato]],7,FALSE),"-")</f>
        <v>papies@libero.it</v>
      </c>
      <c r="AO212" s="63">
        <f>IFERROR(VLOOKUP(Table2[[#This Row],[Contraente]],Table1[[Nome/Ragione sociale]:[Checkbox selezionato]],8,FALSE),"-")</f>
        <v>0</v>
      </c>
      <c r="AP212" s="63">
        <f>IFERROR(VLOOKUP(Table2[[#This Row],[Contraente]],Table1[[Nome/Ragione sociale]:[Checkbox selezionato]],10,FALSE),"-")</f>
        <v>3511383892</v>
      </c>
      <c r="AQ212" s="63" t="str">
        <f>IFERROR(VLOOKUP(Table2[[#This Row],[Contraente]],Table1[[Nome/Ragione sociale]:[Checkbox selezionato]],11,FALSE),"-")</f>
        <v>SI</v>
      </c>
      <c r="AR212" s="63" t="str">
        <f>IFERROR(VLOOKUP(Table2[[#This Row],[Contraente]],Table1[[Nome/Ragione sociale]:[Checkbox selezionato]],12,FALSE),"-")</f>
        <v>SI</v>
      </c>
    </row>
    <row r="213" spans="1:44" ht="30" hidden="1" customHeight="1" x14ac:dyDescent="0.25">
      <c r="A213" s="60" t="str">
        <f>UPPER(LEFT(Table2[[#This Row],[Contraente]],1))</f>
        <v>C</v>
      </c>
      <c r="B213" s="60" t="s">
        <v>1634</v>
      </c>
      <c r="C213" s="81" t="s">
        <v>410</v>
      </c>
      <c r="D213" s="80" t="s">
        <v>37</v>
      </c>
      <c r="E213" s="86">
        <v>105675722</v>
      </c>
      <c r="F213" s="64">
        <v>42877</v>
      </c>
      <c r="G213" s="64">
        <f>IFERROR(CALCOLASCADENZA(Table2[[#This Row],[Data attivazione]],Table2[[#This Row],[Rateizzazione]],Table2[[#This Row],[Data ultimo pagamento]],Table2[[#This Row],[Data prossima scadenza manuale]]),"-")</f>
        <v>43072</v>
      </c>
      <c r="H213" s="67" t="s">
        <v>30</v>
      </c>
      <c r="I213" s="67" t="s">
        <v>113</v>
      </c>
      <c r="J213" s="33">
        <f>IFERROR(Table2[[#This Row],[Importo annuale]]/(12/VLOOKUP(Table2[[#This Row],[Rateizzazione]],TIPI_RATEIZZAZIONI,2,FALSE)),"-")</f>
        <v>190</v>
      </c>
      <c r="K213" s="88">
        <v>190</v>
      </c>
      <c r="L213" s="88">
        <v>380</v>
      </c>
      <c r="M213" s="67" t="s">
        <v>44</v>
      </c>
      <c r="N213" s="67" t="s">
        <v>51</v>
      </c>
      <c r="O213" s="27" t="s">
        <v>1631</v>
      </c>
      <c r="P213" s="33" t="s">
        <v>22</v>
      </c>
      <c r="Q213" s="60">
        <f>IFERROR(IF(12 / VLOOKUP(Table2[[#This Row],[Rateizzazione]],TIPI_RATEIZZAZIONI,2,FALSE) &gt;=1,  IF(Table2[[#This Row],[Data attivazione]] = "","-",MONTH(Table2[[#This Row],[Data attivazione]])),"-"),"-")</f>
        <v>12</v>
      </c>
      <c r="R2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3" s="67" t="s">
        <v>2</v>
      </c>
      <c r="V213" s="62"/>
      <c r="W213" s="64">
        <v>42707</v>
      </c>
      <c r="X213" s="29">
        <f>DATE(YEAR(Table2[[#This Row],[Data attivazione]])+VLOOKUP(Table2[[#This Row],[Durata]],VALORE_DURATA,2,FALSE),MONTH(Table2[[#This Row],[Data attivazione]]),DAY(Table2[[#This Row],[Data attivazione]]))</f>
        <v>43072</v>
      </c>
      <c r="Y213" s="65"/>
      <c r="Z213" s="61"/>
      <c r="AA213" s="64" t="s">
        <v>85</v>
      </c>
      <c r="AB213" s="29" t="str">
        <f>IF(Table2[[#This Row],[Data ultimo versamento temp]]=0/1/1900,"-",Table2[[#This Row],[Data ultimo versamento temp]])</f>
        <v>-</v>
      </c>
      <c r="AC213" s="29">
        <f t="array" ref="AC213">MAX(IF(TableVersamenti[Polizza]=Table2[[#This Row],[Polizza]],TableVersamenti[Data prevista versamento],"-"))</f>
        <v>0</v>
      </c>
      <c r="AD213" s="62"/>
      <c r="AE213" s="106">
        <f>DATE(YEAR(Table2[[#This Row],[Data ultimo pagamento]]),MONTH(Table2[[#This Row],[Data ultimo pagamento]]), 1)</f>
        <v>42856</v>
      </c>
      <c r="AF213" s="106">
        <f>DATE(YEAR(Table2[[#This Row],[Data prossima scadenza]]),MONTH(Table2[[#This Row],[Data prossima scadenza]]), 1)</f>
        <v>43070</v>
      </c>
      <c r="AG213" s="33">
        <f>IFERROR(Table2[[#This Row],[Importo annuale]]*VLOOKUP(Table2[[#This Row],[Ramo]],RAMI_POLIZZA,2,FALSE),0)</f>
        <v>43.7</v>
      </c>
      <c r="AH213" s="65" t="s">
        <v>113</v>
      </c>
      <c r="AI213" s="63" t="str">
        <f>IFERROR(VLOOKUP(Table2[[#This Row],[Contraente]],Table1[[Nome/Ragione sociale]:[Checkbox selezionato]],2,FALSE),"-")</f>
        <v>SAN ZENONE AL PO</v>
      </c>
      <c r="AJ213" s="63">
        <f>IFERROR(VLOOKUP(Table2[[#This Row],[Contraente]],Table1[[Nome/Ragione sociale]:[Checkbox selezionato]],3,FALSE),"-")</f>
        <v>3478730222</v>
      </c>
      <c r="AK213" s="63">
        <f>IFERROR(VLOOKUP(Table2[[#This Row],[Contraente]],Table1[[Nome/Ragione sociale]:[Checkbox selezionato]],4,FALSE),"-")</f>
        <v>0</v>
      </c>
      <c r="AL213" s="63" t="str">
        <f>IFERROR(VLOOKUP(Table2[[#This Row],[Contraente]],Table1[[Nome/Ragione sociale]:[Checkbox selezionato]],5,FALSE),"-")</f>
        <v>MARITO</v>
      </c>
      <c r="AM213" s="62">
        <f>IFERROR(VLOOKUP(Table2[[#This Row],[Contraente]],Table1[[Nome/Ragione sociale]:[Checkbox selezionato]],6,FALSE),"-")</f>
        <v>24321</v>
      </c>
      <c r="AN213" s="63" t="str">
        <f>IFERROR(VLOOKUP(Table2[[#This Row],[Contraente]],Table1[[Nome/Ragione sociale]:[Checkbox selezionato]],7,FALSE),"-")</f>
        <v>papies@libero.it</v>
      </c>
      <c r="AO213" s="63">
        <f>IFERROR(VLOOKUP(Table2[[#This Row],[Contraente]],Table1[[Nome/Ragione sociale]:[Checkbox selezionato]],8,FALSE),"-")</f>
        <v>0</v>
      </c>
      <c r="AP213" s="63">
        <f>IFERROR(VLOOKUP(Table2[[#This Row],[Contraente]],Table1[[Nome/Ragione sociale]:[Checkbox selezionato]],10,FALSE),"-")</f>
        <v>3478730222</v>
      </c>
      <c r="AQ213" s="63" t="str">
        <f>IFERROR(VLOOKUP(Table2[[#This Row],[Contraente]],Table1[[Nome/Ragione sociale]:[Checkbox selezionato]],11,FALSE),"-")</f>
        <v>SI</v>
      </c>
      <c r="AR213" s="63" t="str">
        <f>IFERROR(VLOOKUP(Table2[[#This Row],[Contraente]],Table1[[Nome/Ragione sociale]:[Checkbox selezionato]],12,FALSE),"-")</f>
        <v>SI</v>
      </c>
    </row>
    <row r="214" spans="1:44" ht="30" hidden="1" customHeight="1" x14ac:dyDescent="0.25">
      <c r="A214" s="60" t="str">
        <f>UPPER(LEFT(Table2[[#This Row],[Contraente]],1))</f>
        <v>C</v>
      </c>
      <c r="B214" s="60" t="s">
        <v>1634</v>
      </c>
      <c r="C214" s="81" t="s">
        <v>414</v>
      </c>
      <c r="D214" s="80" t="s">
        <v>37</v>
      </c>
      <c r="E214" s="86">
        <v>106456213</v>
      </c>
      <c r="F214" s="64">
        <v>42759</v>
      </c>
      <c r="G214" s="64">
        <f>IFERROR(CALCOLASCADENZA(Table2[[#This Row],[Data attivazione]],Table2[[#This Row],[Rateizzazione]],Table2[[#This Row],[Data ultimo pagamento]],Table2[[#This Row],[Data prossima scadenza manuale]]),"-")</f>
        <v>43121</v>
      </c>
      <c r="H214" s="67" t="s">
        <v>31</v>
      </c>
      <c r="I214" s="67" t="s">
        <v>1221</v>
      </c>
      <c r="J214" s="33">
        <f>IFERROR(Table2[[#This Row],[Importo annuale]]/(12/VLOOKUP(Table2[[#This Row],[Rateizzazione]],TIPI_RATEIZZAZIONI,2,FALSE)),"-")</f>
        <v>239.97</v>
      </c>
      <c r="K214" s="88">
        <v>239.97</v>
      </c>
      <c r="L214" s="88">
        <v>239.97</v>
      </c>
      <c r="M214" s="67" t="s">
        <v>44</v>
      </c>
      <c r="N214" s="67" t="s">
        <v>51</v>
      </c>
      <c r="O214" s="27" t="s">
        <v>1631</v>
      </c>
      <c r="P214" s="33" t="s">
        <v>23</v>
      </c>
      <c r="Q214" s="60">
        <f>IFERROR(IF(12 / VLOOKUP(Table2[[#This Row],[Rateizzazione]],TIPI_RATEIZZAZIONI,2,FALSE) &gt;=1,  IF(Table2[[#This Row],[Data attivazione]] = "","-",MONTH(Table2[[#This Row],[Data attivazione]])),"-"),"-")</f>
        <v>1</v>
      </c>
      <c r="R2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4" s="67" t="s">
        <v>2</v>
      </c>
      <c r="V214" s="62"/>
      <c r="W214" s="64">
        <v>42756</v>
      </c>
      <c r="X214" s="29">
        <f>DATE(YEAR(Table2[[#This Row],[Data attivazione]])+VLOOKUP(Table2[[#This Row],[Durata]],VALORE_DURATA,2,FALSE),MONTH(Table2[[#This Row],[Data attivazione]]),DAY(Table2[[#This Row],[Data attivazione]]))</f>
        <v>43121</v>
      </c>
      <c r="Y214" s="65"/>
      <c r="Z214" s="61"/>
      <c r="AA214" s="64" t="s">
        <v>85</v>
      </c>
      <c r="AB214" s="29" t="str">
        <f>IF(Table2[[#This Row],[Data ultimo versamento temp]]=0/1/1900,"-",Table2[[#This Row],[Data ultimo versamento temp]])</f>
        <v>-</v>
      </c>
      <c r="AC214" s="29">
        <f t="array" ref="AC214">MAX(IF(TableVersamenti[Polizza]=Table2[[#This Row],[Polizza]],TableVersamenti[Data prevista versamento],"-"))</f>
        <v>0</v>
      </c>
      <c r="AD214" s="62"/>
      <c r="AE214" s="106">
        <f>DATE(YEAR(Table2[[#This Row],[Data ultimo pagamento]]),MONTH(Table2[[#This Row],[Data ultimo pagamento]]), 1)</f>
        <v>42736</v>
      </c>
      <c r="AF214" s="106">
        <f>DATE(YEAR(Table2[[#This Row],[Data prossima scadenza]]),MONTH(Table2[[#This Row],[Data prossima scadenza]]), 1)</f>
        <v>43101</v>
      </c>
      <c r="AG214" s="33">
        <f>IFERROR(Table2[[#This Row],[Importo annuale]]*VLOOKUP(Table2[[#This Row],[Ramo]],RAMI_POLIZZA,2,FALSE),0)</f>
        <v>12.478439999999999</v>
      </c>
      <c r="AH214" s="65" t="s">
        <v>113</v>
      </c>
      <c r="AI214" s="63" t="str">
        <f>IFERROR(VLOOKUP(Table2[[#This Row],[Contraente]],Table1[[Nome/Ragione sociale]:[Checkbox selezionato]],2,FALSE),"-")</f>
        <v>BELGIOIOSO</v>
      </c>
      <c r="AJ214" s="63">
        <f>IFERROR(VLOOKUP(Table2[[#This Row],[Contraente]],Table1[[Nome/Ragione sociale]:[Checkbox selezionato]],3,FALSE),"-")</f>
        <v>3382563755</v>
      </c>
      <c r="AK214" s="63">
        <f>IFERROR(VLOOKUP(Table2[[#This Row],[Contraente]],Table1[[Nome/Ragione sociale]:[Checkbox selezionato]],4,FALSE),"-")</f>
        <v>0</v>
      </c>
      <c r="AL214" s="63" t="str">
        <f>IFERROR(VLOOKUP(Table2[[#This Row],[Contraente]],Table1[[Nome/Ragione sociale]:[Checkbox selezionato]],5,FALSE),"-")</f>
        <v>MARIA CRISTINA</v>
      </c>
      <c r="AM214" s="62">
        <f>IFERROR(VLOOKUP(Table2[[#This Row],[Contraente]],Table1[[Nome/Ragione sociale]:[Checkbox selezionato]],6,FALSE),"-")</f>
        <v>24797</v>
      </c>
      <c r="AN214" s="63" t="str">
        <f>IFERROR(VLOOKUP(Table2[[#This Row],[Contraente]],Table1[[Nome/Ragione sociale]:[Checkbox selezionato]],7,FALSE),"-")</f>
        <v>papies@email.it</v>
      </c>
      <c r="AO214" s="63">
        <f>IFERROR(VLOOKUP(Table2[[#This Row],[Contraente]],Table1[[Nome/Ragione sociale]:[Checkbox selezionato]],8,FALSE),"-")</f>
        <v>0</v>
      </c>
      <c r="AP214" s="63">
        <f>IFERROR(VLOOKUP(Table2[[#This Row],[Contraente]],Table1[[Nome/Ragione sociale]:[Checkbox selezionato]],10,FALSE),"-")</f>
        <v>3382563755</v>
      </c>
      <c r="AQ214" s="63" t="str">
        <f>IFERROR(VLOOKUP(Table2[[#This Row],[Contraente]],Table1[[Nome/Ragione sociale]:[Checkbox selezionato]],11,FALSE),"-")</f>
        <v>SI</v>
      </c>
      <c r="AR214" s="63" t="str">
        <f>IFERROR(VLOOKUP(Table2[[#This Row],[Contraente]],Table1[[Nome/Ragione sociale]:[Checkbox selezionato]],12,FALSE),"-")</f>
        <v>SI</v>
      </c>
    </row>
    <row r="215" spans="1:44" ht="30" hidden="1" customHeight="1" x14ac:dyDescent="0.25">
      <c r="A215" s="60" t="str">
        <f>UPPER(LEFT(Table2[[#This Row],[Contraente]],1))</f>
        <v>C</v>
      </c>
      <c r="B215" s="60" t="s">
        <v>1634</v>
      </c>
      <c r="C215" s="81" t="s">
        <v>412</v>
      </c>
      <c r="D215" s="80" t="s">
        <v>37</v>
      </c>
      <c r="E215" s="86">
        <v>103724958</v>
      </c>
      <c r="F215" s="64">
        <v>42059</v>
      </c>
      <c r="G215" s="64">
        <f>IFERROR(CALCOLASCADENZA(Table2[[#This Row],[Data attivazione]],Table2[[#This Row],[Rateizzazione]],Table2[[#This Row],[Data ultimo pagamento]],Table2[[#This Row],[Data prossima scadenza manuale]]),"-")</f>
        <v>42059</v>
      </c>
      <c r="H215" s="67" t="s">
        <v>31</v>
      </c>
      <c r="I215" s="67"/>
      <c r="J215" s="33">
        <v>0</v>
      </c>
      <c r="K215" s="88"/>
      <c r="L215" s="88">
        <v>1740</v>
      </c>
      <c r="M215" s="67" t="s">
        <v>44</v>
      </c>
      <c r="N215" s="67" t="s">
        <v>52</v>
      </c>
      <c r="O215" s="27" t="s">
        <v>1631</v>
      </c>
      <c r="P215" s="33" t="s">
        <v>24</v>
      </c>
      <c r="Q21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5" s="67" t="s">
        <v>2</v>
      </c>
      <c r="V215" s="62"/>
      <c r="W215" s="64">
        <v>693597</v>
      </c>
      <c r="X215" s="29">
        <f>DATE(YEAR(Table2[[#This Row],[Data attivazione]])+VLOOKUP(Table2[[#This Row],[Durata]],VALORE_DURATA,2,FALSE),MONTH(Table2[[#This Row],[Data attivazione]]),DAY(Table2[[#This Row],[Data attivazione]]))</f>
        <v>693962</v>
      </c>
      <c r="Y215" s="65"/>
      <c r="Z215" s="61"/>
      <c r="AA215" s="64" t="s">
        <v>88</v>
      </c>
      <c r="AB215" s="29" t="str">
        <f>IF(Table2[[#This Row],[Data ultimo versamento temp]]=0/1/1900,"-",Table2[[#This Row],[Data ultimo versamento temp]])</f>
        <v>-</v>
      </c>
      <c r="AC215" s="29">
        <f t="array" ref="AC215">MAX(IF(TableVersamenti[Polizza]=Table2[[#This Row],[Polizza]],TableVersamenti[Data prevista versamento],"-"))</f>
        <v>0</v>
      </c>
      <c r="AD215" s="62"/>
      <c r="AE215" s="106">
        <f>DATE(YEAR(Table2[[#This Row],[Data ultimo pagamento]]),MONTH(Table2[[#This Row],[Data ultimo pagamento]]), 1)</f>
        <v>42036</v>
      </c>
      <c r="AF215" s="106">
        <f>DATE(YEAR(Table2[[#This Row],[Data prossima scadenza]]),MONTH(Table2[[#This Row],[Data prossima scadenza]]), 1)</f>
        <v>42036</v>
      </c>
      <c r="AG215" s="33">
        <f>IFERROR(Table2[[#This Row],[Importo annuale]]*VLOOKUP(Table2[[#This Row],[Ramo]],RAMI_POLIZZA,2,FALSE),0)</f>
        <v>90.47999999999999</v>
      </c>
      <c r="AH215" s="65" t="s">
        <v>113</v>
      </c>
      <c r="AI215" s="63" t="str">
        <f>IFERROR(VLOOKUP(Table2[[#This Row],[Contraente]],Table1[[Nome/Ragione sociale]:[Checkbox selezionato]],2,FALSE),"-")</f>
        <v>BELGIOIOSO</v>
      </c>
      <c r="AJ215" s="63">
        <f>IFERROR(VLOOKUP(Table2[[#This Row],[Contraente]],Table1[[Nome/Ragione sociale]:[Checkbox selezionato]],3,FALSE),"-")</f>
        <v>3475003649</v>
      </c>
      <c r="AK215" s="63">
        <f>IFERROR(VLOOKUP(Table2[[#This Row],[Contraente]],Table1[[Nome/Ragione sociale]:[Checkbox selezionato]],4,FALSE),"-")</f>
        <v>0</v>
      </c>
      <c r="AL215" s="63" t="str">
        <f>IFERROR(VLOOKUP(Table2[[#This Row],[Contraente]],Table1[[Nome/Ragione sociale]:[Checkbox selezionato]],5,FALSE),"-")</f>
        <v>GUIDO</v>
      </c>
      <c r="AM215" s="62">
        <f>IFERROR(VLOOKUP(Table2[[#This Row],[Contraente]],Table1[[Nome/Ragione sociale]:[Checkbox selezionato]],6,FALSE),"-")</f>
        <v>23658</v>
      </c>
      <c r="AN215" s="63" t="str">
        <f>IFERROR(VLOOKUP(Table2[[#This Row],[Contraente]],Table1[[Nome/Ragione sociale]:[Checkbox selezionato]],7,FALSE),"-")</f>
        <v>papies@libero.it</v>
      </c>
      <c r="AO215" s="63">
        <f>IFERROR(VLOOKUP(Table2[[#This Row],[Contraente]],Table1[[Nome/Ragione sociale]:[Checkbox selezionato]],8,FALSE),"-")</f>
        <v>0</v>
      </c>
      <c r="AP215" s="63">
        <f>IFERROR(VLOOKUP(Table2[[#This Row],[Contraente]],Table1[[Nome/Ragione sociale]:[Checkbox selezionato]],10,FALSE),"-")</f>
        <v>3475003649</v>
      </c>
      <c r="AQ215" s="63" t="str">
        <f>IFERROR(VLOOKUP(Table2[[#This Row],[Contraente]],Table1[[Nome/Ragione sociale]:[Checkbox selezionato]],11,FALSE),"-")</f>
        <v>SI</v>
      </c>
      <c r="AR215" s="63" t="str">
        <f>IFERROR(VLOOKUP(Table2[[#This Row],[Contraente]],Table1[[Nome/Ragione sociale]:[Checkbox selezionato]],12,FALSE),"-")</f>
        <v>SI</v>
      </c>
    </row>
    <row r="216" spans="1:44" ht="30" hidden="1" customHeight="1" x14ac:dyDescent="0.25">
      <c r="A216" s="60" t="str">
        <f>UPPER(LEFT(Table2[[#This Row],[Contraente]],1))</f>
        <v>C</v>
      </c>
      <c r="B216" s="60" t="s">
        <v>1634</v>
      </c>
      <c r="C216" s="81" t="s">
        <v>408</v>
      </c>
      <c r="D216" s="80" t="s">
        <v>37</v>
      </c>
      <c r="E216" s="86">
        <v>106984994</v>
      </c>
      <c r="F216" s="64">
        <v>42905</v>
      </c>
      <c r="G216" s="64">
        <f>IFERROR(CALCOLASCADENZA(Table2[[#This Row],[Data attivazione]],Table2[[#This Row],[Rateizzazione]],Table2[[#This Row],[Data ultimo pagamento]],Table2[[#This Row],[Data prossima scadenza manuale]]),"-")</f>
        <v>43264</v>
      </c>
      <c r="H216" s="67" t="s">
        <v>31</v>
      </c>
      <c r="I216" s="67" t="s">
        <v>1220</v>
      </c>
      <c r="J216" s="33">
        <f>IFERROR(Table2[[#This Row],[Importo annuale]]/(12/VLOOKUP(Table2[[#This Row],[Rateizzazione]],TIPI_RATEIZZAZIONI,2,FALSE)),"-")</f>
        <v>550</v>
      </c>
      <c r="K216" s="88">
        <v>550</v>
      </c>
      <c r="L216" s="88">
        <v>550</v>
      </c>
      <c r="M216" s="67" t="s">
        <v>43</v>
      </c>
      <c r="N216" s="67" t="s">
        <v>51</v>
      </c>
      <c r="O216" s="27" t="s">
        <v>1631</v>
      </c>
      <c r="P216" s="33" t="s">
        <v>23</v>
      </c>
      <c r="Q216" s="60">
        <f>IFERROR(IF(12 / VLOOKUP(Table2[[#This Row],[Rateizzazione]],TIPI_RATEIZZAZIONI,2,FALSE) &gt;=1,  IF(Table2[[#This Row],[Data attivazione]] = "","-",MONTH(Table2[[#This Row],[Data attivazione]])),"-"),"-")</f>
        <v>6</v>
      </c>
      <c r="R2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6" s="67" t="s">
        <v>2</v>
      </c>
      <c r="V216" s="62"/>
      <c r="W216" s="64">
        <v>42899</v>
      </c>
      <c r="X216" s="29">
        <f>DATE(YEAR(Table2[[#This Row],[Data attivazione]])+VLOOKUP(Table2[[#This Row],[Durata]],VALORE_DURATA,2,FALSE),MONTH(Table2[[#This Row],[Data attivazione]]),DAY(Table2[[#This Row],[Data attivazione]]))</f>
        <v>43264</v>
      </c>
      <c r="Y216" s="65"/>
      <c r="Z216" s="61"/>
      <c r="AA216" s="64" t="s">
        <v>85</v>
      </c>
      <c r="AB216" s="29" t="str">
        <f>IF(Table2[[#This Row],[Data ultimo versamento temp]]=0/1/1900,"-",Table2[[#This Row],[Data ultimo versamento temp]])</f>
        <v>-</v>
      </c>
      <c r="AC216" s="29">
        <f t="array" ref="AC216">MAX(IF(TableVersamenti[Polizza]=Table2[[#This Row],[Polizza]],TableVersamenti[Data prevista versamento],"-"))</f>
        <v>0</v>
      </c>
      <c r="AD216" s="62"/>
      <c r="AE216" s="106">
        <f>DATE(YEAR(Table2[[#This Row],[Data ultimo pagamento]]),MONTH(Table2[[#This Row],[Data ultimo pagamento]]), 1)</f>
        <v>42887</v>
      </c>
      <c r="AF216" s="106">
        <f>DATE(YEAR(Table2[[#This Row],[Data prossima scadenza]]),MONTH(Table2[[#This Row],[Data prossima scadenza]]), 1)</f>
        <v>43252</v>
      </c>
      <c r="AG216" s="33">
        <f>IFERROR(Table2[[#This Row],[Importo annuale]]*VLOOKUP(Table2[[#This Row],[Ramo]],RAMI_POLIZZA,2,FALSE),0)</f>
        <v>28.599999999999998</v>
      </c>
      <c r="AH216" s="65" t="s">
        <v>113</v>
      </c>
      <c r="AI216" s="63" t="str">
        <f>IFERROR(VLOOKUP(Table2[[#This Row],[Contraente]],Table1[[Nome/Ragione sociale]:[Checkbox selezionato]],2,FALSE),"-")</f>
        <v>MILANO</v>
      </c>
      <c r="AJ216" s="63">
        <f>IFERROR(VLOOKUP(Table2[[#This Row],[Contraente]],Table1[[Nome/Ragione sociale]:[Checkbox selezionato]],3,FALSE),"-")</f>
        <v>330211666</v>
      </c>
      <c r="AK216" s="63">
        <f>IFERROR(VLOOKUP(Table2[[#This Row],[Contraente]],Table1[[Nome/Ragione sociale]:[Checkbox selezionato]],4,FALSE),"-")</f>
        <v>0</v>
      </c>
      <c r="AL216" s="63" t="str">
        <f>IFERROR(VLOOKUP(Table2[[#This Row],[Contraente]],Table1[[Nome/Ragione sociale]:[Checkbox selezionato]],5,FALSE),"-")</f>
        <v>RAMAIOLI ERNESTINO</v>
      </c>
      <c r="AM216" s="62">
        <f>IFERROR(VLOOKUP(Table2[[#This Row],[Contraente]],Table1[[Nome/Ragione sociale]:[Checkbox selezionato]],6,FALSE),"-")</f>
        <v>24451</v>
      </c>
      <c r="AN216" s="63" t="str">
        <f>IFERROR(VLOOKUP(Table2[[#This Row],[Contraente]],Table1[[Nome/Ragione sociale]:[Checkbox selezionato]],7,FALSE),"-")</f>
        <v>papies@libero.it</v>
      </c>
      <c r="AO216" s="63">
        <f>IFERROR(VLOOKUP(Table2[[#This Row],[Contraente]],Table1[[Nome/Ragione sociale]:[Checkbox selezionato]],8,FALSE),"-")</f>
        <v>0</v>
      </c>
      <c r="AP216" s="63">
        <f>IFERROR(VLOOKUP(Table2[[#This Row],[Contraente]],Table1[[Nome/Ragione sociale]:[Checkbox selezionato]],10,FALSE),"-")</f>
        <v>330211666</v>
      </c>
      <c r="AQ216" s="63" t="str">
        <f>IFERROR(VLOOKUP(Table2[[#This Row],[Contraente]],Table1[[Nome/Ragione sociale]:[Checkbox selezionato]],11,FALSE),"-")</f>
        <v>SI</v>
      </c>
      <c r="AR216" s="63" t="str">
        <f>IFERROR(VLOOKUP(Table2[[#This Row],[Contraente]],Table1[[Nome/Ragione sociale]:[Checkbox selezionato]],12,FALSE),"-")</f>
        <v>SI</v>
      </c>
    </row>
    <row r="217" spans="1:44" ht="30" hidden="1" customHeight="1" x14ac:dyDescent="0.25">
      <c r="A217" s="60" t="str">
        <f>UPPER(LEFT(Table2[[#This Row],[Contraente]],1))</f>
        <v>C</v>
      </c>
      <c r="B217" s="60" t="s">
        <v>1634</v>
      </c>
      <c r="C217" s="81" t="s">
        <v>424</v>
      </c>
      <c r="D217" s="80" t="s">
        <v>37</v>
      </c>
      <c r="E217" s="86">
        <v>104403605</v>
      </c>
      <c r="F217" s="64">
        <v>42845</v>
      </c>
      <c r="G217" s="64">
        <f>IFERROR(CALCOLASCADENZA(Table2[[#This Row],[Data attivazione]],Table2[[#This Row],[Rateizzazione]],Table2[[#This Row],[Data ultimo pagamento]],Table2[[#This Row],[Data prossima scadenza manuale]]),"-")</f>
        <v>43204</v>
      </c>
      <c r="H217" s="67" t="s">
        <v>30</v>
      </c>
      <c r="I217" s="67" t="s">
        <v>113</v>
      </c>
      <c r="J217" s="33">
        <f>IFERROR(Table2[[#This Row],[Importo annuale]]/(12/VLOOKUP(Table2[[#This Row],[Rateizzazione]],TIPI_RATEIZZAZIONI,2,FALSE)),"-")</f>
        <v>600</v>
      </c>
      <c r="K217" s="88">
        <v>600</v>
      </c>
      <c r="L217" s="88">
        <v>600</v>
      </c>
      <c r="M217" s="67" t="s">
        <v>45</v>
      </c>
      <c r="N217" s="67" t="s">
        <v>51</v>
      </c>
      <c r="O217" s="27" t="s">
        <v>1631</v>
      </c>
      <c r="P217" s="33" t="s">
        <v>23</v>
      </c>
      <c r="Q217" s="60">
        <f>IFERROR(IF(12 / VLOOKUP(Table2[[#This Row],[Rateizzazione]],TIPI_RATEIZZAZIONI,2,FALSE) &gt;=1,  IF(Table2[[#This Row],[Data attivazione]] = "","-",MONTH(Table2[[#This Row],[Data attivazione]])),"-"),"-")</f>
        <v>4</v>
      </c>
      <c r="R2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7" s="67" t="s">
        <v>2</v>
      </c>
      <c r="V217" s="62"/>
      <c r="W217" s="64">
        <v>42839</v>
      </c>
      <c r="X217" s="29">
        <f>DATE(YEAR(Table2[[#This Row],[Data attivazione]])+VLOOKUP(Table2[[#This Row],[Durata]],VALORE_DURATA,2,FALSE),MONTH(Table2[[#This Row],[Data attivazione]]),DAY(Table2[[#This Row],[Data attivazione]]))</f>
        <v>43204</v>
      </c>
      <c r="Y217" s="65"/>
      <c r="Z217" s="61"/>
      <c r="AA217" s="64" t="s">
        <v>85</v>
      </c>
      <c r="AB217" s="29" t="str">
        <f>IF(Table2[[#This Row],[Data ultimo versamento temp]]=0/1/1900,"-",Table2[[#This Row],[Data ultimo versamento temp]])</f>
        <v>-</v>
      </c>
      <c r="AC217" s="29">
        <f t="array" ref="AC217">MAX(IF(TableVersamenti[Polizza]=Table2[[#This Row],[Polizza]],TableVersamenti[Data prevista versamento],"-"))</f>
        <v>0</v>
      </c>
      <c r="AD217" s="62"/>
      <c r="AE217" s="106">
        <f>DATE(YEAR(Table2[[#This Row],[Data ultimo pagamento]]),MONTH(Table2[[#This Row],[Data ultimo pagamento]]), 1)</f>
        <v>42826</v>
      </c>
      <c r="AF217" s="106">
        <f>DATE(YEAR(Table2[[#This Row],[Data prossima scadenza]]),MONTH(Table2[[#This Row],[Data prossima scadenza]]), 1)</f>
        <v>43191</v>
      </c>
      <c r="AG217" s="33">
        <f>IFERROR(Table2[[#This Row],[Importo annuale]]*VLOOKUP(Table2[[#This Row],[Ramo]],RAMI_POLIZZA,2,FALSE),0)</f>
        <v>69</v>
      </c>
      <c r="AH217" s="65" t="s">
        <v>113</v>
      </c>
      <c r="AI217" s="63" t="str">
        <f>IFERROR(VLOOKUP(Table2[[#This Row],[Contraente]],Table1[[Nome/Ragione sociale]:[Checkbox selezionato]],2,FALSE),"-")</f>
        <v>GARLASCO</v>
      </c>
      <c r="AJ217" s="63">
        <f>IFERROR(VLOOKUP(Table2[[#This Row],[Contraente]],Table1[[Nome/Ragione sociale]:[Checkbox selezionato]],3,FALSE),"-")</f>
        <v>3298123346</v>
      </c>
      <c r="AK217" s="63">
        <f>IFERROR(VLOOKUP(Table2[[#This Row],[Contraente]],Table1[[Nome/Ragione sociale]:[Checkbox selezionato]],4,FALSE),"-")</f>
        <v>0</v>
      </c>
      <c r="AL217" s="63" t="str">
        <f>IFERROR(VLOOKUP(Table2[[#This Row],[Contraente]],Table1[[Nome/Ragione sociale]:[Checkbox selezionato]],5,FALSE),"-")</f>
        <v>AVV. CAFFU</v>
      </c>
      <c r="AM217" s="62">
        <f>IFERROR(VLOOKUP(Table2[[#This Row],[Contraente]],Table1[[Nome/Ragione sociale]:[Checkbox selezionato]],6,FALSE),"-")</f>
        <v>21316</v>
      </c>
      <c r="AN217" s="63" t="str">
        <f>IFERROR(VLOOKUP(Table2[[#This Row],[Contraente]],Table1[[Nome/Ragione sociale]:[Checkbox selezionato]],7,FALSE),"-")</f>
        <v>papies@email.it</v>
      </c>
      <c r="AO217" s="63">
        <f>IFERROR(VLOOKUP(Table2[[#This Row],[Contraente]],Table1[[Nome/Ragione sociale]:[Checkbox selezionato]],8,FALSE),"-")</f>
        <v>0</v>
      </c>
      <c r="AP217" s="63">
        <f>IFERROR(VLOOKUP(Table2[[#This Row],[Contraente]],Table1[[Nome/Ragione sociale]:[Checkbox selezionato]],10,FALSE),"-")</f>
        <v>3298123346</v>
      </c>
      <c r="AQ217" s="63" t="str">
        <f>IFERROR(VLOOKUP(Table2[[#This Row],[Contraente]],Table1[[Nome/Ragione sociale]:[Checkbox selezionato]],11,FALSE),"-")</f>
        <v>SI</v>
      </c>
      <c r="AR217" s="63" t="str">
        <f>IFERROR(VLOOKUP(Table2[[#This Row],[Contraente]],Table1[[Nome/Ragione sociale]:[Checkbox selezionato]],12,FALSE),"-")</f>
        <v>SI</v>
      </c>
    </row>
    <row r="218" spans="1:44" ht="30" hidden="1" customHeight="1" x14ac:dyDescent="0.25">
      <c r="A218" s="60" t="str">
        <f>UPPER(LEFT(Table2[[#This Row],[Contraente]],1))</f>
        <v>C</v>
      </c>
      <c r="B218" s="60" t="s">
        <v>1634</v>
      </c>
      <c r="C218" s="81" t="s">
        <v>431</v>
      </c>
      <c r="D218" s="80" t="s">
        <v>37</v>
      </c>
      <c r="E218" s="86">
        <v>105333247</v>
      </c>
      <c r="F218" s="64">
        <v>42886</v>
      </c>
      <c r="G218" s="64">
        <f>IFERROR(CALCOLASCADENZA(Table2[[#This Row],[Data attivazione]],Table2[[#This Row],[Rateizzazione]],Table2[[#This Row],[Data ultimo pagamento]],Table2[[#This Row],[Data prossima scadenza manuale]]),"-")</f>
        <v>43155</v>
      </c>
      <c r="H218" s="67" t="s">
        <v>30</v>
      </c>
      <c r="I218" s="67" t="s">
        <v>113</v>
      </c>
      <c r="J218" s="33">
        <f>IFERROR(Table2[[#This Row],[Importo annuale]]/(12/VLOOKUP(Table2[[#This Row],[Rateizzazione]],TIPI_RATEIZZAZIONI,2,FALSE)),"-")</f>
        <v>233</v>
      </c>
      <c r="K218" s="88">
        <v>233</v>
      </c>
      <c r="L218" s="88">
        <v>233</v>
      </c>
      <c r="M218" s="67" t="s">
        <v>43</v>
      </c>
      <c r="N218" s="67" t="s">
        <v>51</v>
      </c>
      <c r="O218" s="27" t="s">
        <v>1631</v>
      </c>
      <c r="P218" s="33" t="s">
        <v>23</v>
      </c>
      <c r="Q218" s="60">
        <f>IFERROR(IF(12 / VLOOKUP(Table2[[#This Row],[Rateizzazione]],TIPI_RATEIZZAZIONI,2,FALSE) &gt;=1,  IF(Table2[[#This Row],[Data attivazione]] = "","-",MONTH(Table2[[#This Row],[Data attivazione]])),"-"),"-")</f>
        <v>2</v>
      </c>
      <c r="R2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8" s="67" t="s">
        <v>133</v>
      </c>
      <c r="V218" s="62"/>
      <c r="W218" s="64">
        <v>42790</v>
      </c>
      <c r="X218" s="29">
        <f>DATE(YEAR(Table2[[#This Row],[Data attivazione]])+VLOOKUP(Table2[[#This Row],[Durata]],VALORE_DURATA,2,FALSE),MONTH(Table2[[#This Row],[Data attivazione]]),DAY(Table2[[#This Row],[Data attivazione]]))</f>
        <v>43155</v>
      </c>
      <c r="Y218" s="65"/>
      <c r="Z218" s="61"/>
      <c r="AA218" s="64" t="s">
        <v>85</v>
      </c>
      <c r="AB218" s="29" t="str">
        <f>IF(Table2[[#This Row],[Data ultimo versamento temp]]=0/1/1900,"-",Table2[[#This Row],[Data ultimo versamento temp]])</f>
        <v>-</v>
      </c>
      <c r="AC218" s="29">
        <f t="array" ref="AC218">MAX(IF(TableVersamenti[Polizza]=Table2[[#This Row],[Polizza]],TableVersamenti[Data prevista versamento],"-"))</f>
        <v>0</v>
      </c>
      <c r="AD218" s="62"/>
      <c r="AE218" s="106">
        <f>DATE(YEAR(Table2[[#This Row],[Data ultimo pagamento]]),MONTH(Table2[[#This Row],[Data ultimo pagamento]]), 1)</f>
        <v>42856</v>
      </c>
      <c r="AF218" s="106">
        <f>DATE(YEAR(Table2[[#This Row],[Data prossima scadenza]]),MONTH(Table2[[#This Row],[Data prossima scadenza]]), 1)</f>
        <v>43132</v>
      </c>
      <c r="AG218" s="33">
        <f>IFERROR(Table2[[#This Row],[Importo annuale]]*VLOOKUP(Table2[[#This Row],[Ramo]],RAMI_POLIZZA,2,FALSE),0)</f>
        <v>26.795000000000002</v>
      </c>
      <c r="AH218" s="65" t="s">
        <v>113</v>
      </c>
      <c r="AI218" s="63" t="str">
        <f>IFERROR(VLOOKUP(Table2[[#This Row],[Contraente]],Table1[[Nome/Ragione sociale]:[Checkbox selezionato]],2,FALSE),"-")</f>
        <v>ARENA PO</v>
      </c>
      <c r="AJ218" s="63">
        <f>IFERROR(VLOOKUP(Table2[[#This Row],[Contraente]],Table1[[Nome/Ragione sociale]:[Checkbox selezionato]],3,FALSE),"-")</f>
        <v>0</v>
      </c>
      <c r="AK218" s="63" t="str">
        <f>IFERROR(VLOOKUP(Table2[[#This Row],[Contraente]],Table1[[Nome/Ragione sociale]:[Checkbox selezionato]],4,FALSE),"-")</f>
        <v>.038570105</v>
      </c>
      <c r="AL218" s="63" t="str">
        <f>IFERROR(VLOOKUP(Table2[[#This Row],[Contraente]],Table1[[Nome/Ragione sociale]:[Checkbox selezionato]],5,FALSE),"-")</f>
        <v>LUCIA</v>
      </c>
      <c r="AM218" s="62">
        <f>IFERROR(VLOOKUP(Table2[[#This Row],[Contraente]],Table1[[Nome/Ragione sociale]:[Checkbox selezionato]],6,FALSE),"-")</f>
        <v>21614</v>
      </c>
      <c r="AN218" s="63" t="str">
        <f>IFERROR(VLOOKUP(Table2[[#This Row],[Contraente]],Table1[[Nome/Ragione sociale]:[Checkbox selezionato]],7,FALSE),"-")</f>
        <v>papies@libero.it</v>
      </c>
      <c r="AO218" s="63">
        <f>IFERROR(VLOOKUP(Table2[[#This Row],[Contraente]],Table1[[Nome/Ragione sociale]:[Checkbox selezionato]],8,FALSE),"-")</f>
        <v>0</v>
      </c>
      <c r="AP218" s="63">
        <f>IFERROR(VLOOKUP(Table2[[#This Row],[Contraente]],Table1[[Nome/Ragione sociale]:[Checkbox selezionato]],10,FALSE),"-")</f>
        <v>0</v>
      </c>
      <c r="AQ218" s="63" t="str">
        <f>IFERROR(VLOOKUP(Table2[[#This Row],[Contraente]],Table1[[Nome/Ragione sociale]:[Checkbox selezionato]],11,FALSE),"-")</f>
        <v>SI</v>
      </c>
      <c r="AR218" s="63" t="str">
        <f>IFERROR(VLOOKUP(Table2[[#This Row],[Contraente]],Table1[[Nome/Ragione sociale]:[Checkbox selezionato]],12,FALSE),"-")</f>
        <v>SI</v>
      </c>
    </row>
    <row r="219" spans="1:44" ht="30" hidden="1" customHeight="1" x14ac:dyDescent="0.25">
      <c r="A219" s="60" t="str">
        <f>UPPER(LEFT(Table2[[#This Row],[Contraente]],1))</f>
        <v>C</v>
      </c>
      <c r="B219" s="60" t="s">
        <v>1634</v>
      </c>
      <c r="C219" s="81" t="s">
        <v>421</v>
      </c>
      <c r="D219" s="80" t="s">
        <v>37</v>
      </c>
      <c r="E219" s="86">
        <v>105570153</v>
      </c>
      <c r="F219" s="64">
        <v>42642</v>
      </c>
      <c r="G219" s="64" t="str">
        <f>IFERROR(CALCOLASCADENZA(Table2[[#This Row],[Data attivazione]],Table2[[#This Row],[Rateizzazione]],Table2[[#This Row],[Data ultimo pagamento]],Table2[[#This Row],[Data prossima scadenza manuale]]),"-")</f>
        <v>-</v>
      </c>
      <c r="H219" s="67" t="s">
        <v>31</v>
      </c>
      <c r="I219" s="67" t="s">
        <v>1223</v>
      </c>
      <c r="J219" s="33">
        <v>-37.159999999999997</v>
      </c>
      <c r="K219" s="88"/>
      <c r="L219" s="88">
        <v>0</v>
      </c>
      <c r="M219" s="67" t="s">
        <v>43</v>
      </c>
      <c r="N219" s="67" t="s">
        <v>51</v>
      </c>
      <c r="O219" s="27" t="s">
        <v>1631</v>
      </c>
      <c r="P219" s="33" t="s">
        <v>24</v>
      </c>
      <c r="Q21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9" s="67" t="s">
        <v>2</v>
      </c>
      <c r="V219" s="62"/>
      <c r="W219" s="64" t="e">
        <v>#VALUE!</v>
      </c>
      <c r="X21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219" s="65"/>
      <c r="Z219" s="61"/>
      <c r="AA219" s="64" t="s">
        <v>85</v>
      </c>
      <c r="AB219" s="29" t="str">
        <f>IF(Table2[[#This Row],[Data ultimo versamento temp]]=0/1/1900,"-",Table2[[#This Row],[Data ultimo versamento temp]])</f>
        <v>-</v>
      </c>
      <c r="AC219" s="29">
        <f t="array" ref="AC219">MAX(IF(TableVersamenti[Polizza]=Table2[[#This Row],[Polizza]],TableVersamenti[Data prevista versamento],"-"))</f>
        <v>0</v>
      </c>
      <c r="AD219" s="62"/>
      <c r="AE219" s="106">
        <f>DATE(YEAR(Table2[[#This Row],[Data ultimo pagamento]]),MONTH(Table2[[#This Row],[Data ultimo pagamento]]), 1)</f>
        <v>42614</v>
      </c>
      <c r="AF219" s="106" t="e">
        <f>DATE(YEAR(Table2[[#This Row],[Data prossima scadenza]]),MONTH(Table2[[#This Row],[Data prossima scadenza]]), 1)</f>
        <v>#VALUE!</v>
      </c>
      <c r="AG219" s="33">
        <f>IFERROR(Table2[[#This Row],[Importo annuale]]*VLOOKUP(Table2[[#This Row],[Ramo]],RAMI_POLIZZA,2,FALSE),0)</f>
        <v>0</v>
      </c>
      <c r="AH219" s="65" t="s">
        <v>113</v>
      </c>
      <c r="AI219" s="63" t="str">
        <f>IFERROR(VLOOKUP(Table2[[#This Row],[Contraente]],Table1[[Nome/Ragione sociale]:[Checkbox selezionato]],2,FALSE),"-")</f>
        <v>BELGIOIOSO</v>
      </c>
      <c r="AJ219" s="63" t="str">
        <f>IFERROR(VLOOKUP(Table2[[#This Row],[Contraente]],Table1[[Nome/Ragione sociale]:[Checkbox selezionato]],3,FALSE),"-")</f>
        <v>.0382970520</v>
      </c>
      <c r="AK219" s="63">
        <f>IFERROR(VLOOKUP(Table2[[#This Row],[Contraente]],Table1[[Nome/Ragione sociale]:[Checkbox selezionato]],4,FALSE),"-")</f>
        <v>0</v>
      </c>
      <c r="AL219" s="63" t="str">
        <f>IFERROR(VLOOKUP(Table2[[#This Row],[Contraente]],Table1[[Nome/Ragione sociale]:[Checkbox selezionato]],5,FALSE),"-")</f>
        <v>TOMMASO</v>
      </c>
      <c r="AM219" s="62">
        <f>IFERROR(VLOOKUP(Table2[[#This Row],[Contraente]],Table1[[Nome/Ragione sociale]:[Checkbox selezionato]],6,FALSE),"-")</f>
        <v>11999</v>
      </c>
      <c r="AN219" s="63" t="str">
        <f>IFERROR(VLOOKUP(Table2[[#This Row],[Contraente]],Table1[[Nome/Ragione sociale]:[Checkbox selezionato]],7,FALSE),"-")</f>
        <v>papies@libero.it</v>
      </c>
      <c r="AO219" s="63">
        <f>IFERROR(VLOOKUP(Table2[[#This Row],[Contraente]],Table1[[Nome/Ragione sociale]:[Checkbox selezionato]],8,FALSE),"-")</f>
        <v>0</v>
      </c>
      <c r="AP219" s="63" t="str">
        <f>IFERROR(VLOOKUP(Table2[[#This Row],[Contraente]],Table1[[Nome/Ragione sociale]:[Checkbox selezionato]],10,FALSE),"-")</f>
        <v>.0382970520</v>
      </c>
      <c r="AQ219" s="63" t="str">
        <f>IFERROR(VLOOKUP(Table2[[#This Row],[Contraente]],Table1[[Nome/Ragione sociale]:[Checkbox selezionato]],11,FALSE),"-")</f>
        <v>SI</v>
      </c>
      <c r="AR219" s="63" t="str">
        <f>IFERROR(VLOOKUP(Table2[[#This Row],[Contraente]],Table1[[Nome/Ragione sociale]:[Checkbox selezionato]],12,FALSE),"-")</f>
        <v>SI</v>
      </c>
    </row>
    <row r="220" spans="1:44" ht="30" hidden="1" customHeight="1" x14ac:dyDescent="0.25">
      <c r="A220" s="60" t="str">
        <f>UPPER(LEFT(Table2[[#This Row],[Contraente]],1))</f>
        <v>C</v>
      </c>
      <c r="B220" s="60" t="s">
        <v>1634</v>
      </c>
      <c r="C220" s="81" t="s">
        <v>416</v>
      </c>
      <c r="D220" s="80" t="s">
        <v>37</v>
      </c>
      <c r="E220" s="86">
        <v>103516974</v>
      </c>
      <c r="F220" s="64">
        <v>41892</v>
      </c>
      <c r="G220" s="64">
        <f>IFERROR(CALCOLASCADENZA(Table2[[#This Row],[Data attivazione]],Table2[[#This Row],[Rateizzazione]],Table2[[#This Row],[Data ultimo pagamento]],Table2[[#This Row],[Data prossima scadenza manuale]]),"-")</f>
        <v>693962</v>
      </c>
      <c r="H220" s="67" t="s">
        <v>31</v>
      </c>
      <c r="I220" s="67"/>
      <c r="J220" s="33">
        <f>IFERROR(Table2[[#This Row],[Importo annuale]]/(12/VLOOKUP(Table2[[#This Row],[Rateizzazione]],TIPI_RATEIZZAZIONI,2,FALSE)),"-")</f>
        <v>115</v>
      </c>
      <c r="K220" s="88"/>
      <c r="L220" s="88">
        <v>115</v>
      </c>
      <c r="M220" s="67" t="s">
        <v>44</v>
      </c>
      <c r="N220" s="67" t="s">
        <v>51</v>
      </c>
      <c r="O220" s="27" t="s">
        <v>1631</v>
      </c>
      <c r="P220" s="33" t="s">
        <v>23</v>
      </c>
      <c r="Q220" s="60">
        <f>IFERROR(IF(12 / VLOOKUP(Table2[[#This Row],[Rateizzazione]],TIPI_RATEIZZAZIONI,2,FALSE) &gt;=1,  IF(Table2[[#This Row],[Data attivazione]] = "","-",MONTH(Table2[[#This Row],[Data attivazione]])),"-"),"-")</f>
        <v>12</v>
      </c>
      <c r="R2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0" s="67" t="s">
        <v>2</v>
      </c>
      <c r="V220" s="62"/>
      <c r="W220" s="64">
        <v>693597</v>
      </c>
      <c r="X220" s="29">
        <f>DATE(YEAR(Table2[[#This Row],[Data attivazione]])+VLOOKUP(Table2[[#This Row],[Durata]],VALORE_DURATA,2,FALSE),MONTH(Table2[[#This Row],[Data attivazione]]),DAY(Table2[[#This Row],[Data attivazione]]))</f>
        <v>693962</v>
      </c>
      <c r="Y220" s="65"/>
      <c r="Z220" s="61"/>
      <c r="AA220" s="64" t="s">
        <v>88</v>
      </c>
      <c r="AB220" s="29" t="str">
        <f>IF(Table2[[#This Row],[Data ultimo versamento temp]]=0/1/1900,"-",Table2[[#This Row],[Data ultimo versamento temp]])</f>
        <v>-</v>
      </c>
      <c r="AC220" s="29">
        <f t="array" ref="AC220">MAX(IF(TableVersamenti[Polizza]=Table2[[#This Row],[Polizza]],TableVersamenti[Data prevista versamento],"-"))</f>
        <v>0</v>
      </c>
      <c r="AD220" s="62"/>
      <c r="AE220" s="106">
        <f>DATE(YEAR(Table2[[#This Row],[Data ultimo pagamento]]),MONTH(Table2[[#This Row],[Data ultimo pagamento]]), 1)</f>
        <v>41883</v>
      </c>
      <c r="AF220" s="106">
        <f>DATE(YEAR(Table2[[#This Row],[Data prossima scadenza]]),MONTH(Table2[[#This Row],[Data prossima scadenza]]), 1)</f>
        <v>693932</v>
      </c>
      <c r="AG220" s="33">
        <f>IFERROR(Table2[[#This Row],[Importo annuale]]*VLOOKUP(Table2[[#This Row],[Ramo]],RAMI_POLIZZA,2,FALSE),0)</f>
        <v>5.9799999999999995</v>
      </c>
      <c r="AH220" s="65" t="s">
        <v>113</v>
      </c>
      <c r="AI220" s="63" t="str">
        <f>IFERROR(VLOOKUP(Table2[[#This Row],[Contraente]],Table1[[Nome/Ragione sociale]:[Checkbox selezionato]],2,FALSE),"-")</f>
        <v>PAVIA</v>
      </c>
      <c r="AJ220" s="63">
        <f>IFERROR(VLOOKUP(Table2[[#This Row],[Contraente]],Table1[[Nome/Ragione sociale]:[Checkbox selezionato]],3,FALSE),"-")</f>
        <v>0</v>
      </c>
      <c r="AK220" s="63" t="str">
        <f>IFERROR(VLOOKUP(Table2[[#This Row],[Contraente]],Table1[[Nome/Ragione sociale]:[Checkbox selezionato]],4,FALSE),"-")</f>
        <v>.0382468981</v>
      </c>
      <c r="AL220" s="63" t="str">
        <f>IFERROR(VLOOKUP(Table2[[#This Row],[Contraente]],Table1[[Nome/Ragione sociale]:[Checkbox selezionato]],5,FALSE),"-")</f>
        <v>FRANCO</v>
      </c>
      <c r="AM220" s="62">
        <f>IFERROR(VLOOKUP(Table2[[#This Row],[Contraente]],Table1[[Nome/Ragione sociale]:[Checkbox selezionato]],6,FALSE),"-")</f>
        <v>9931</v>
      </c>
      <c r="AN220" s="63" t="str">
        <f>IFERROR(VLOOKUP(Table2[[#This Row],[Contraente]],Table1[[Nome/Ragione sociale]:[Checkbox selezionato]],7,FALSE),"-")</f>
        <v>papies@email.it</v>
      </c>
      <c r="AO220" s="63">
        <f>IFERROR(VLOOKUP(Table2[[#This Row],[Contraente]],Table1[[Nome/Ragione sociale]:[Checkbox selezionato]],8,FALSE),"-")</f>
        <v>0</v>
      </c>
      <c r="AP220" s="63">
        <f>IFERROR(VLOOKUP(Table2[[#This Row],[Contraente]],Table1[[Nome/Ragione sociale]:[Checkbox selezionato]],10,FALSE),"-")</f>
        <v>0</v>
      </c>
      <c r="AQ220" s="63" t="str">
        <f>IFERROR(VLOOKUP(Table2[[#This Row],[Contraente]],Table1[[Nome/Ragione sociale]:[Checkbox selezionato]],11,FALSE),"-")</f>
        <v>SI</v>
      </c>
      <c r="AR220" s="63" t="str">
        <f>IFERROR(VLOOKUP(Table2[[#This Row],[Contraente]],Table1[[Nome/Ragione sociale]:[Checkbox selezionato]],12,FALSE),"-")</f>
        <v>SI</v>
      </c>
    </row>
    <row r="221" spans="1:44" ht="30" hidden="1" customHeight="1" x14ac:dyDescent="0.25">
      <c r="A221" s="60" t="str">
        <f>UPPER(LEFT(Table2[[#This Row],[Contraente]],1))</f>
        <v>C</v>
      </c>
      <c r="B221" s="60" t="s">
        <v>1634</v>
      </c>
      <c r="C221" s="81" t="s">
        <v>416</v>
      </c>
      <c r="D221" s="80" t="s">
        <v>37</v>
      </c>
      <c r="E221" s="86">
        <v>102687624</v>
      </c>
      <c r="F221" s="64">
        <v>41817</v>
      </c>
      <c r="G221" s="64">
        <f>IFERROR(CALCOLASCADENZA(Table2[[#This Row],[Data attivazione]],Table2[[#This Row],[Rateizzazione]],Table2[[#This Row],[Data ultimo pagamento]],Table2[[#This Row],[Data prossima scadenza manuale]]),"-")</f>
        <v>693962</v>
      </c>
      <c r="H221" s="67" t="s">
        <v>31</v>
      </c>
      <c r="I221" s="67"/>
      <c r="J221" s="33">
        <f>IFERROR(Table2[[#This Row],[Importo annuale]]/(12/VLOOKUP(Table2[[#This Row],[Rateizzazione]],TIPI_RATEIZZAZIONI,2,FALSE)),"-")</f>
        <v>89.79</v>
      </c>
      <c r="K221" s="88"/>
      <c r="L221" s="88">
        <v>89.79</v>
      </c>
      <c r="M221" s="67" t="s">
        <v>44</v>
      </c>
      <c r="N221" s="67" t="s">
        <v>51</v>
      </c>
      <c r="O221" s="27" t="s">
        <v>1631</v>
      </c>
      <c r="P221" s="33" t="s">
        <v>23</v>
      </c>
      <c r="Q221" s="60">
        <f>IFERROR(IF(12 / VLOOKUP(Table2[[#This Row],[Rateizzazione]],TIPI_RATEIZZAZIONI,2,FALSE) &gt;=1,  IF(Table2[[#This Row],[Data attivazione]] = "","-",MONTH(Table2[[#This Row],[Data attivazione]])),"-"),"-")</f>
        <v>12</v>
      </c>
      <c r="R2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1" s="67" t="s">
        <v>2</v>
      </c>
      <c r="V221" s="62"/>
      <c r="W221" s="64">
        <v>693597</v>
      </c>
      <c r="X221" s="29">
        <f>DATE(YEAR(Table2[[#This Row],[Data attivazione]])+VLOOKUP(Table2[[#This Row],[Durata]],VALORE_DURATA,2,FALSE),MONTH(Table2[[#This Row],[Data attivazione]]),DAY(Table2[[#This Row],[Data attivazione]]))</f>
        <v>693962</v>
      </c>
      <c r="Y221" s="65"/>
      <c r="Z221" s="61"/>
      <c r="AA221" s="64" t="s">
        <v>88</v>
      </c>
      <c r="AB221" s="29" t="str">
        <f>IF(Table2[[#This Row],[Data ultimo versamento temp]]=0/1/1900,"-",Table2[[#This Row],[Data ultimo versamento temp]])</f>
        <v>-</v>
      </c>
      <c r="AC221" s="29">
        <f t="array" ref="AC221">MAX(IF(TableVersamenti[Polizza]=Table2[[#This Row],[Polizza]],TableVersamenti[Data prevista versamento],"-"))</f>
        <v>0</v>
      </c>
      <c r="AD221" s="62"/>
      <c r="AE221" s="106">
        <f>DATE(YEAR(Table2[[#This Row],[Data ultimo pagamento]]),MONTH(Table2[[#This Row],[Data ultimo pagamento]]), 1)</f>
        <v>41791</v>
      </c>
      <c r="AF221" s="106">
        <f>DATE(YEAR(Table2[[#This Row],[Data prossima scadenza]]),MONTH(Table2[[#This Row],[Data prossima scadenza]]), 1)</f>
        <v>693932</v>
      </c>
      <c r="AG221" s="33">
        <f>IFERROR(Table2[[#This Row],[Importo annuale]]*VLOOKUP(Table2[[#This Row],[Ramo]],RAMI_POLIZZA,2,FALSE),0)</f>
        <v>4.6690800000000001</v>
      </c>
      <c r="AH221" s="65" t="s">
        <v>113</v>
      </c>
      <c r="AI221" s="63" t="str">
        <f>IFERROR(VLOOKUP(Table2[[#This Row],[Contraente]],Table1[[Nome/Ragione sociale]:[Checkbox selezionato]],2,FALSE),"-")</f>
        <v>PAVIA</v>
      </c>
      <c r="AJ221" s="63">
        <f>IFERROR(VLOOKUP(Table2[[#This Row],[Contraente]],Table1[[Nome/Ragione sociale]:[Checkbox selezionato]],3,FALSE),"-")</f>
        <v>0</v>
      </c>
      <c r="AK221" s="63" t="str">
        <f>IFERROR(VLOOKUP(Table2[[#This Row],[Contraente]],Table1[[Nome/Ragione sociale]:[Checkbox selezionato]],4,FALSE),"-")</f>
        <v>.0382468981</v>
      </c>
      <c r="AL221" s="63" t="str">
        <f>IFERROR(VLOOKUP(Table2[[#This Row],[Contraente]],Table1[[Nome/Ragione sociale]:[Checkbox selezionato]],5,FALSE),"-")</f>
        <v>FRANCO</v>
      </c>
      <c r="AM221" s="62">
        <f>IFERROR(VLOOKUP(Table2[[#This Row],[Contraente]],Table1[[Nome/Ragione sociale]:[Checkbox selezionato]],6,FALSE),"-")</f>
        <v>9931</v>
      </c>
      <c r="AN221" s="63" t="str">
        <f>IFERROR(VLOOKUP(Table2[[#This Row],[Contraente]],Table1[[Nome/Ragione sociale]:[Checkbox selezionato]],7,FALSE),"-")</f>
        <v>papies@email.it</v>
      </c>
      <c r="AO221" s="63">
        <f>IFERROR(VLOOKUP(Table2[[#This Row],[Contraente]],Table1[[Nome/Ragione sociale]:[Checkbox selezionato]],8,FALSE),"-")</f>
        <v>0</v>
      </c>
      <c r="AP221" s="63">
        <f>IFERROR(VLOOKUP(Table2[[#This Row],[Contraente]],Table1[[Nome/Ragione sociale]:[Checkbox selezionato]],10,FALSE),"-")</f>
        <v>0</v>
      </c>
      <c r="AQ221" s="63" t="str">
        <f>IFERROR(VLOOKUP(Table2[[#This Row],[Contraente]],Table1[[Nome/Ragione sociale]:[Checkbox selezionato]],11,FALSE),"-")</f>
        <v>SI</v>
      </c>
      <c r="AR221" s="63" t="str">
        <f>IFERROR(VLOOKUP(Table2[[#This Row],[Contraente]],Table1[[Nome/Ragione sociale]:[Checkbox selezionato]],12,FALSE),"-")</f>
        <v>SI</v>
      </c>
    </row>
    <row r="222" spans="1:44" ht="30" hidden="1" customHeight="1" x14ac:dyDescent="0.25">
      <c r="A222" s="60" t="str">
        <f>UPPER(LEFT(Table2[[#This Row],[Contraente]],1))</f>
        <v>C</v>
      </c>
      <c r="B222" s="60" t="s">
        <v>1634</v>
      </c>
      <c r="C222" s="81" t="s">
        <v>419</v>
      </c>
      <c r="D222" s="80" t="s">
        <v>37</v>
      </c>
      <c r="E222" s="86">
        <v>106753067</v>
      </c>
      <c r="F222" s="64">
        <v>42843</v>
      </c>
      <c r="G222" s="64">
        <f>IFERROR(CALCOLASCADENZA(Table2[[#This Row],[Data attivazione]],Table2[[#This Row],[Rateizzazione]],Table2[[#This Row],[Data ultimo pagamento]],Table2[[#This Row],[Data prossima scadenza manuale]]),"-")</f>
        <v>42919</v>
      </c>
      <c r="H222" s="67" t="s">
        <v>31</v>
      </c>
      <c r="I222" s="67" t="s">
        <v>1222</v>
      </c>
      <c r="J222" s="33">
        <f>IFERROR(Table2[[#This Row],[Importo annuale]]/(12/VLOOKUP(Table2[[#This Row],[Rateizzazione]],TIPI_RATEIZZAZIONI,2,FALSE)),"-")</f>
        <v>135</v>
      </c>
      <c r="K222" s="88">
        <v>135</v>
      </c>
      <c r="L222" s="88">
        <v>540</v>
      </c>
      <c r="M222" s="67" t="s">
        <v>44</v>
      </c>
      <c r="N222" s="67" t="s">
        <v>51</v>
      </c>
      <c r="O222" s="27" t="s">
        <v>1631</v>
      </c>
      <c r="P222" s="33" t="s">
        <v>20</v>
      </c>
      <c r="Q222" s="60">
        <f>IFERROR(IF(12 / VLOOKUP(Table2[[#This Row],[Rateizzazione]],TIPI_RATEIZZAZIONI,2,FALSE) &gt;=1,  IF(Table2[[#This Row],[Data attivazione]] = "","-",MONTH(Table2[[#This Row],[Data attivazione]])),"-"),"-")</f>
        <v>7</v>
      </c>
      <c r="R2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22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222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4</v>
      </c>
      <c r="U222" s="67" t="s">
        <v>2</v>
      </c>
      <c r="V222" s="62"/>
      <c r="W222" s="64">
        <v>42554</v>
      </c>
      <c r="X222" s="29">
        <f>DATE(YEAR(Table2[[#This Row],[Data attivazione]])+VLOOKUP(Table2[[#This Row],[Durata]],VALORE_DURATA,2,FALSE),MONTH(Table2[[#This Row],[Data attivazione]]),DAY(Table2[[#This Row],[Data attivazione]]))</f>
        <v>42919</v>
      </c>
      <c r="Y222" s="65"/>
      <c r="Z222" s="61"/>
      <c r="AA222" s="64" t="s">
        <v>85</v>
      </c>
      <c r="AB222" s="29" t="str">
        <f>IF(Table2[[#This Row],[Data ultimo versamento temp]]=0/1/1900,"-",Table2[[#This Row],[Data ultimo versamento temp]])</f>
        <v>-</v>
      </c>
      <c r="AC222" s="29">
        <f t="array" ref="AC222">MAX(IF(TableVersamenti[Polizza]=Table2[[#This Row],[Polizza]],TableVersamenti[Data prevista versamento],"-"))</f>
        <v>0</v>
      </c>
      <c r="AD222" s="62"/>
      <c r="AE222" s="106">
        <f>DATE(YEAR(Table2[[#This Row],[Data ultimo pagamento]]),MONTH(Table2[[#This Row],[Data ultimo pagamento]]), 1)</f>
        <v>42826</v>
      </c>
      <c r="AF222" s="106">
        <f>DATE(YEAR(Table2[[#This Row],[Data prossima scadenza]]),MONTH(Table2[[#This Row],[Data prossima scadenza]]), 1)</f>
        <v>42917</v>
      </c>
      <c r="AG222" s="33">
        <f>IFERROR(Table2[[#This Row],[Importo annuale]]*VLOOKUP(Table2[[#This Row],[Ramo]],RAMI_POLIZZA,2,FALSE),0)</f>
        <v>28.08</v>
      </c>
      <c r="AH222" s="65" t="s">
        <v>113</v>
      </c>
      <c r="AI222" s="63" t="str">
        <f>IFERROR(VLOOKUP(Table2[[#This Row],[Contraente]],Table1[[Nome/Ragione sociale]:[Checkbox selezionato]],2,FALSE),"-")</f>
        <v>BELGIOIOSO</v>
      </c>
      <c r="AJ222" s="63">
        <f>IFERROR(VLOOKUP(Table2[[#This Row],[Contraente]],Table1[[Nome/Ragione sociale]:[Checkbox selezionato]],3,FALSE),"-")</f>
        <v>3396325901</v>
      </c>
      <c r="AK222" s="63">
        <f>IFERROR(VLOOKUP(Table2[[#This Row],[Contraente]],Table1[[Nome/Ragione sociale]:[Checkbox selezionato]],4,FALSE),"-")</f>
        <v>3342869607</v>
      </c>
      <c r="AL222" s="63" t="str">
        <f>IFERROR(VLOOKUP(Table2[[#This Row],[Contraente]],Table1[[Nome/Ragione sociale]:[Checkbox selezionato]],5,FALSE),"-")</f>
        <v xml:space="preserve">SAVOIA EMILIO </v>
      </c>
      <c r="AM222" s="62">
        <f>IFERROR(VLOOKUP(Table2[[#This Row],[Contraente]],Table1[[Nome/Ragione sociale]:[Checkbox selezionato]],6,FALSE),"-")</f>
        <v>20736</v>
      </c>
      <c r="AN222" s="63" t="str">
        <f>IFERROR(VLOOKUP(Table2[[#This Row],[Contraente]],Table1[[Nome/Ragione sociale]:[Checkbox selezionato]],7,FALSE),"-")</f>
        <v>papies@libero.it</v>
      </c>
      <c r="AO222" s="63">
        <f>IFERROR(VLOOKUP(Table2[[#This Row],[Contraente]],Table1[[Nome/Ragione sociale]:[Checkbox selezionato]],8,FALSE),"-")</f>
        <v>0</v>
      </c>
      <c r="AP222" s="63">
        <f>IFERROR(VLOOKUP(Table2[[#This Row],[Contraente]],Table1[[Nome/Ragione sociale]:[Checkbox selezionato]],10,FALSE),"-")</f>
        <v>3396325901</v>
      </c>
      <c r="AQ222" s="63" t="str">
        <f>IFERROR(VLOOKUP(Table2[[#This Row],[Contraente]],Table1[[Nome/Ragione sociale]:[Checkbox selezionato]],11,FALSE),"-")</f>
        <v>SI</v>
      </c>
      <c r="AR222" s="63" t="str">
        <f>IFERROR(VLOOKUP(Table2[[#This Row],[Contraente]],Table1[[Nome/Ragione sociale]:[Checkbox selezionato]],12,FALSE),"-")</f>
        <v>SI</v>
      </c>
    </row>
    <row r="223" spans="1:44" ht="30" hidden="1" customHeight="1" x14ac:dyDescent="0.25">
      <c r="A223" s="60" t="str">
        <f>UPPER(LEFT(Table2[[#This Row],[Contraente]],1))</f>
        <v>C</v>
      </c>
      <c r="B223" s="60" t="s">
        <v>1634</v>
      </c>
      <c r="C223" s="81" t="s">
        <v>556</v>
      </c>
      <c r="D223" s="80" t="s">
        <v>37</v>
      </c>
      <c r="E223" s="86">
        <v>103358108</v>
      </c>
      <c r="F223" s="64">
        <v>42576</v>
      </c>
      <c r="G223" s="64">
        <f>IFERROR(CALCOLASCADENZA(Table2[[#This Row],[Data attivazione]],Table2[[#This Row],[Rateizzazione]],Table2[[#This Row],[Data ultimo pagamento]],Table2[[#This Row],[Data prossima scadenza manuale]]),"-")</f>
        <v>42934</v>
      </c>
      <c r="H223" s="67" t="s">
        <v>30</v>
      </c>
      <c r="I223" s="67" t="s">
        <v>113</v>
      </c>
      <c r="J223" s="33">
        <f>IFERROR(Table2[[#This Row],[Importo annuale]]/(12/VLOOKUP(Table2[[#This Row],[Rateizzazione]],TIPI_RATEIZZAZIONI,2,FALSE)),"-")</f>
        <v>64</v>
      </c>
      <c r="K223" s="88"/>
      <c r="L223" s="88">
        <v>64</v>
      </c>
      <c r="M223" s="67" t="s">
        <v>45</v>
      </c>
      <c r="N223" s="67" t="s">
        <v>51</v>
      </c>
      <c r="O223" s="27" t="s">
        <v>1631</v>
      </c>
      <c r="P223" s="33" t="s">
        <v>23</v>
      </c>
      <c r="Q223" s="60">
        <f>IFERROR(IF(12 / VLOOKUP(Table2[[#This Row],[Rateizzazione]],TIPI_RATEIZZAZIONI,2,FALSE) &gt;=1,  IF(Table2[[#This Row],[Data attivazione]] = "","-",MONTH(Table2[[#This Row],[Data attivazione]])),"-"),"-")</f>
        <v>7</v>
      </c>
      <c r="R2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3" s="67" t="s">
        <v>2</v>
      </c>
      <c r="V223" s="62"/>
      <c r="W223" s="64">
        <v>42569</v>
      </c>
      <c r="X223" s="29">
        <f>DATE(YEAR(Table2[[#This Row],[Data attivazione]])+VLOOKUP(Table2[[#This Row],[Durata]],VALORE_DURATA,2,FALSE),MONTH(Table2[[#This Row],[Data attivazione]]),DAY(Table2[[#This Row],[Data attivazione]]))</f>
        <v>42934</v>
      </c>
      <c r="Y223" s="65"/>
      <c r="Z223" s="61"/>
      <c r="AA223" s="64" t="s">
        <v>85</v>
      </c>
      <c r="AB223" s="29" t="str">
        <f>IF(Table2[[#This Row],[Data ultimo versamento temp]]=0/1/1900,"-",Table2[[#This Row],[Data ultimo versamento temp]])</f>
        <v>-</v>
      </c>
      <c r="AC223" s="29">
        <f t="array" ref="AC223">MAX(IF(TableVersamenti[Polizza]=Table2[[#This Row],[Polizza]],TableVersamenti[Data prevista versamento],"-"))</f>
        <v>0</v>
      </c>
      <c r="AD223" s="62"/>
      <c r="AE223" s="106">
        <f>DATE(YEAR(Table2[[#This Row],[Data ultimo pagamento]]),MONTH(Table2[[#This Row],[Data ultimo pagamento]]), 1)</f>
        <v>42552</v>
      </c>
      <c r="AF223" s="106">
        <f>DATE(YEAR(Table2[[#This Row],[Data prossima scadenza]]),MONTH(Table2[[#This Row],[Data prossima scadenza]]), 1)</f>
        <v>42917</v>
      </c>
      <c r="AG223" s="33">
        <f>IFERROR(Table2[[#This Row],[Importo annuale]]*VLOOKUP(Table2[[#This Row],[Ramo]],RAMI_POLIZZA,2,FALSE),0)</f>
        <v>7.36</v>
      </c>
      <c r="AH223" s="65" t="s">
        <v>113</v>
      </c>
      <c r="AI223" s="63" t="str">
        <f>IFERROR(VLOOKUP(Table2[[#This Row],[Contraente]],Table1[[Nome/Ragione sociale]:[Checkbox selezionato]],2,FALSE),"-")</f>
        <v>BORGIO VEREZZI</v>
      </c>
      <c r="AJ223" s="63">
        <f>IFERROR(VLOOKUP(Table2[[#This Row],[Contraente]],Table1[[Nome/Ragione sociale]:[Checkbox selezionato]],3,FALSE),"-")</f>
        <v>3282120596</v>
      </c>
      <c r="AK223" s="63">
        <f>IFERROR(VLOOKUP(Table2[[#This Row],[Contraente]],Table1[[Nome/Ragione sociale]:[Checkbox selezionato]],4,FALSE),"-")</f>
        <v>0</v>
      </c>
      <c r="AL223" s="63" t="str">
        <f>IFERROR(VLOOKUP(Table2[[#This Row],[Contraente]],Table1[[Nome/Ragione sociale]:[Checkbox selezionato]],5,FALSE),"-")</f>
        <v>ROBERTO</v>
      </c>
      <c r="AM223" s="62" t="str">
        <f>IFERROR(VLOOKUP(Table2[[#This Row],[Contraente]],Table1[[Nome/Ragione sociale]:[Checkbox selezionato]],6,FALSE),"-")</f>
        <v>-</v>
      </c>
      <c r="AN223" s="63" t="str">
        <f>IFERROR(VLOOKUP(Table2[[#This Row],[Contraente]],Table1[[Nome/Ragione sociale]:[Checkbox selezionato]],7,FALSE),"-")</f>
        <v>papies@libero.it</v>
      </c>
      <c r="AO223" s="63">
        <f>IFERROR(VLOOKUP(Table2[[#This Row],[Contraente]],Table1[[Nome/Ragione sociale]:[Checkbox selezionato]],8,FALSE),"-")</f>
        <v>0</v>
      </c>
      <c r="AP223" s="63">
        <f>IFERROR(VLOOKUP(Table2[[#This Row],[Contraente]],Table1[[Nome/Ragione sociale]:[Checkbox selezionato]],10,FALSE),"-")</f>
        <v>3282120596</v>
      </c>
      <c r="AQ223" s="63" t="str">
        <f>IFERROR(VLOOKUP(Table2[[#This Row],[Contraente]],Table1[[Nome/Ragione sociale]:[Checkbox selezionato]],11,FALSE),"-")</f>
        <v>SI</v>
      </c>
      <c r="AR223" s="63" t="str">
        <f>IFERROR(VLOOKUP(Table2[[#This Row],[Contraente]],Table1[[Nome/Ragione sociale]:[Checkbox selezionato]],12,FALSE),"-")</f>
        <v>SI</v>
      </c>
    </row>
    <row r="224" spans="1:44" ht="30" hidden="1" customHeight="1" x14ac:dyDescent="0.25">
      <c r="A224" s="60" t="str">
        <f>UPPER(LEFT(Table2[[#This Row],[Contraente]],1))</f>
        <v>C</v>
      </c>
      <c r="B224" s="60" t="s">
        <v>1634</v>
      </c>
      <c r="C224" s="81" t="s">
        <v>556</v>
      </c>
      <c r="D224" s="80" t="s">
        <v>37</v>
      </c>
      <c r="E224" s="86">
        <v>103358123</v>
      </c>
      <c r="F224" s="64">
        <v>42576</v>
      </c>
      <c r="G224" s="64">
        <f>IFERROR(CALCOLASCADENZA(Table2[[#This Row],[Data attivazione]],Table2[[#This Row],[Rateizzazione]],Table2[[#This Row],[Data ultimo pagamento]],Table2[[#This Row],[Data prossima scadenza manuale]]),"-")</f>
        <v>42934</v>
      </c>
      <c r="H224" s="67" t="s">
        <v>30</v>
      </c>
      <c r="I224" s="67" t="s">
        <v>113</v>
      </c>
      <c r="J224" s="33">
        <f>IFERROR(Table2[[#This Row],[Importo annuale]]/(12/VLOOKUP(Table2[[#This Row],[Rateizzazione]],TIPI_RATEIZZAZIONI,2,FALSE)),"-")</f>
        <v>136</v>
      </c>
      <c r="K224" s="88"/>
      <c r="L224" s="88">
        <v>136</v>
      </c>
      <c r="M224" s="67" t="s">
        <v>45</v>
      </c>
      <c r="N224" s="67" t="s">
        <v>51</v>
      </c>
      <c r="O224" s="27" t="s">
        <v>1631</v>
      </c>
      <c r="P224" s="33" t="s">
        <v>23</v>
      </c>
      <c r="Q224" s="60">
        <f>IFERROR(IF(12 / VLOOKUP(Table2[[#This Row],[Rateizzazione]],TIPI_RATEIZZAZIONI,2,FALSE) &gt;=1,  IF(Table2[[#This Row],[Data attivazione]] = "","-",MONTH(Table2[[#This Row],[Data attivazione]])),"-"),"-")</f>
        <v>7</v>
      </c>
      <c r="R2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4" s="67" t="s">
        <v>2</v>
      </c>
      <c r="V224" s="62"/>
      <c r="W224" s="64">
        <v>42569</v>
      </c>
      <c r="X224" s="29">
        <f>DATE(YEAR(Table2[[#This Row],[Data attivazione]])+VLOOKUP(Table2[[#This Row],[Durata]],VALORE_DURATA,2,FALSE),MONTH(Table2[[#This Row],[Data attivazione]]),DAY(Table2[[#This Row],[Data attivazione]]))</f>
        <v>42934</v>
      </c>
      <c r="Y224" s="65"/>
      <c r="Z224" s="61"/>
      <c r="AA224" s="64" t="s">
        <v>85</v>
      </c>
      <c r="AB224" s="29" t="str">
        <f>IF(Table2[[#This Row],[Data ultimo versamento temp]]=0/1/1900,"-",Table2[[#This Row],[Data ultimo versamento temp]])</f>
        <v>-</v>
      </c>
      <c r="AC224" s="29">
        <f t="array" ref="AC224">MAX(IF(TableVersamenti[Polizza]=Table2[[#This Row],[Polizza]],TableVersamenti[Data prevista versamento],"-"))</f>
        <v>0</v>
      </c>
      <c r="AD224" s="62"/>
      <c r="AE224" s="106">
        <f>DATE(YEAR(Table2[[#This Row],[Data ultimo pagamento]]),MONTH(Table2[[#This Row],[Data ultimo pagamento]]), 1)</f>
        <v>42552</v>
      </c>
      <c r="AF224" s="106">
        <f>DATE(YEAR(Table2[[#This Row],[Data prossima scadenza]]),MONTH(Table2[[#This Row],[Data prossima scadenza]]), 1)</f>
        <v>42917</v>
      </c>
      <c r="AG224" s="33">
        <f>IFERROR(Table2[[#This Row],[Importo annuale]]*VLOOKUP(Table2[[#This Row],[Ramo]],RAMI_POLIZZA,2,FALSE),0)</f>
        <v>15.64</v>
      </c>
      <c r="AH224" s="65" t="s">
        <v>113</v>
      </c>
      <c r="AI224" s="63" t="str">
        <f>IFERROR(VLOOKUP(Table2[[#This Row],[Contraente]],Table1[[Nome/Ragione sociale]:[Checkbox selezionato]],2,FALSE),"-")</f>
        <v>BORGIO VEREZZI</v>
      </c>
      <c r="AJ224" s="63">
        <f>IFERROR(VLOOKUP(Table2[[#This Row],[Contraente]],Table1[[Nome/Ragione sociale]:[Checkbox selezionato]],3,FALSE),"-")</f>
        <v>3282120596</v>
      </c>
      <c r="AK224" s="63">
        <f>IFERROR(VLOOKUP(Table2[[#This Row],[Contraente]],Table1[[Nome/Ragione sociale]:[Checkbox selezionato]],4,FALSE),"-")</f>
        <v>0</v>
      </c>
      <c r="AL224" s="63" t="str">
        <f>IFERROR(VLOOKUP(Table2[[#This Row],[Contraente]],Table1[[Nome/Ragione sociale]:[Checkbox selezionato]],5,FALSE),"-")</f>
        <v>ROBERTO</v>
      </c>
      <c r="AM224" s="62" t="str">
        <f>IFERROR(VLOOKUP(Table2[[#This Row],[Contraente]],Table1[[Nome/Ragione sociale]:[Checkbox selezionato]],6,FALSE),"-")</f>
        <v>-</v>
      </c>
      <c r="AN224" s="63" t="str">
        <f>IFERROR(VLOOKUP(Table2[[#This Row],[Contraente]],Table1[[Nome/Ragione sociale]:[Checkbox selezionato]],7,FALSE),"-")</f>
        <v>papies@libero.it</v>
      </c>
      <c r="AO224" s="63">
        <f>IFERROR(VLOOKUP(Table2[[#This Row],[Contraente]],Table1[[Nome/Ragione sociale]:[Checkbox selezionato]],8,FALSE),"-")</f>
        <v>0</v>
      </c>
      <c r="AP224" s="63">
        <f>IFERROR(VLOOKUP(Table2[[#This Row],[Contraente]],Table1[[Nome/Ragione sociale]:[Checkbox selezionato]],10,FALSE),"-")</f>
        <v>3282120596</v>
      </c>
      <c r="AQ224" s="63" t="str">
        <f>IFERROR(VLOOKUP(Table2[[#This Row],[Contraente]],Table1[[Nome/Ragione sociale]:[Checkbox selezionato]],11,FALSE),"-")</f>
        <v>SI</v>
      </c>
      <c r="AR224" s="63" t="str">
        <f>IFERROR(VLOOKUP(Table2[[#This Row],[Contraente]],Table1[[Nome/Ragione sociale]:[Checkbox selezionato]],12,FALSE),"-")</f>
        <v>SI</v>
      </c>
    </row>
    <row r="225" spans="1:44" ht="30" hidden="1" customHeight="1" x14ac:dyDescent="0.25">
      <c r="A225" s="60" t="str">
        <f>UPPER(LEFT(Table2[[#This Row],[Contraente]],1))</f>
        <v>C</v>
      </c>
      <c r="B225" s="60" t="s">
        <v>1634</v>
      </c>
      <c r="C225" s="81" t="s">
        <v>427</v>
      </c>
      <c r="D225" s="80" t="s">
        <v>37</v>
      </c>
      <c r="E225" s="86">
        <v>105403079</v>
      </c>
      <c r="F225" s="64">
        <v>42807</v>
      </c>
      <c r="G225" s="64">
        <f>IFERROR(CALCOLASCADENZA(Table2[[#This Row],[Data attivazione]],Table2[[#This Row],[Rateizzazione]],Table2[[#This Row],[Data ultimo pagamento]],Table2[[#This Row],[Data prossima scadenza manuale]]),"-")</f>
        <v>42986</v>
      </c>
      <c r="H225" s="67" t="s">
        <v>31</v>
      </c>
      <c r="I225" s="67" t="s">
        <v>1224</v>
      </c>
      <c r="J225" s="33">
        <f>IFERROR(Table2[[#This Row],[Importo annuale]]/(12/VLOOKUP(Table2[[#This Row],[Rateizzazione]],TIPI_RATEIZZAZIONI,2,FALSE)),"-")</f>
        <v>172.23</v>
      </c>
      <c r="K225" s="88">
        <v>172.23</v>
      </c>
      <c r="L225" s="88">
        <v>344.46</v>
      </c>
      <c r="M225" s="67" t="s">
        <v>43</v>
      </c>
      <c r="N225" s="67" t="s">
        <v>51</v>
      </c>
      <c r="O225" s="27" t="s">
        <v>1631</v>
      </c>
      <c r="P225" s="33" t="s">
        <v>22</v>
      </c>
      <c r="Q225" s="60">
        <f>IFERROR(IF(12 / VLOOKUP(Table2[[#This Row],[Rateizzazione]],TIPI_RATEIZZAZIONI,2,FALSE) &gt;=1,  IF(Table2[[#This Row],[Data attivazione]] = "","-",MONTH(Table2[[#This Row],[Data attivazione]])),"-"),"-")</f>
        <v>9</v>
      </c>
      <c r="R2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5" s="67" t="s">
        <v>2</v>
      </c>
      <c r="V225" s="62"/>
      <c r="W225" s="64">
        <v>42621</v>
      </c>
      <c r="X225" s="29">
        <f>DATE(YEAR(Table2[[#This Row],[Data attivazione]])+VLOOKUP(Table2[[#This Row],[Durata]],VALORE_DURATA,2,FALSE),MONTH(Table2[[#This Row],[Data attivazione]]),DAY(Table2[[#This Row],[Data attivazione]]))</f>
        <v>42986</v>
      </c>
      <c r="Y225" s="65"/>
      <c r="Z225" s="61"/>
      <c r="AA225" s="64" t="s">
        <v>85</v>
      </c>
      <c r="AB225" s="29" t="str">
        <f>IF(Table2[[#This Row],[Data ultimo versamento temp]]=0/1/1900,"-",Table2[[#This Row],[Data ultimo versamento temp]])</f>
        <v>-</v>
      </c>
      <c r="AC225" s="29">
        <f t="array" ref="AC225">MAX(IF(TableVersamenti[Polizza]=Table2[[#This Row],[Polizza]],TableVersamenti[Data prevista versamento],"-"))</f>
        <v>0</v>
      </c>
      <c r="AD225" s="62"/>
      <c r="AE225" s="106">
        <f>DATE(YEAR(Table2[[#This Row],[Data ultimo pagamento]]),MONTH(Table2[[#This Row],[Data ultimo pagamento]]), 1)</f>
        <v>42795</v>
      </c>
      <c r="AF225" s="106">
        <f>DATE(YEAR(Table2[[#This Row],[Data prossima scadenza]]),MONTH(Table2[[#This Row],[Data prossima scadenza]]), 1)</f>
        <v>42979</v>
      </c>
      <c r="AG225" s="33">
        <f>IFERROR(Table2[[#This Row],[Importo annuale]]*VLOOKUP(Table2[[#This Row],[Ramo]],RAMI_POLIZZA,2,FALSE),0)</f>
        <v>17.911919999999999</v>
      </c>
      <c r="AH225" s="65" t="s">
        <v>113</v>
      </c>
      <c r="AI225" s="63" t="str">
        <f>IFERROR(VLOOKUP(Table2[[#This Row],[Contraente]],Table1[[Nome/Ragione sociale]:[Checkbox selezionato]],2,FALSE),"-")</f>
        <v>LINAROLO</v>
      </c>
      <c r="AJ225" s="63">
        <f>IFERROR(VLOOKUP(Table2[[#This Row],[Contraente]],Table1[[Nome/Ragione sociale]:[Checkbox selezionato]],3,FALSE),"-")</f>
        <v>3494926388</v>
      </c>
      <c r="AK225" s="63">
        <f>IFERROR(VLOOKUP(Table2[[#This Row],[Contraente]],Table1[[Nome/Ragione sociale]:[Checkbox selezionato]],4,FALSE),"-")</f>
        <v>0</v>
      </c>
      <c r="AL225" s="63" t="str">
        <f>IFERROR(VLOOKUP(Table2[[#This Row],[Contraente]],Table1[[Nome/Ragione sociale]:[Checkbox selezionato]],5,FALSE),"-")</f>
        <v>PAOLA</v>
      </c>
      <c r="AM225" s="62">
        <f>IFERROR(VLOOKUP(Table2[[#This Row],[Contraente]],Table1[[Nome/Ragione sociale]:[Checkbox selezionato]],6,FALSE),"-")</f>
        <v>23961</v>
      </c>
      <c r="AN225" s="63" t="str">
        <f>IFERROR(VLOOKUP(Table2[[#This Row],[Contraente]],Table1[[Nome/Ragione sociale]:[Checkbox selezionato]],7,FALSE),"-")</f>
        <v>papies@email.it</v>
      </c>
      <c r="AO225" s="63">
        <f>IFERROR(VLOOKUP(Table2[[#This Row],[Contraente]],Table1[[Nome/Ragione sociale]:[Checkbox selezionato]],8,FALSE),"-")</f>
        <v>0</v>
      </c>
      <c r="AP225" s="63">
        <f>IFERROR(VLOOKUP(Table2[[#This Row],[Contraente]],Table1[[Nome/Ragione sociale]:[Checkbox selezionato]],10,FALSE),"-")</f>
        <v>3494926388</v>
      </c>
      <c r="AQ225" s="63" t="str">
        <f>IFERROR(VLOOKUP(Table2[[#This Row],[Contraente]],Table1[[Nome/Ragione sociale]:[Checkbox selezionato]],11,FALSE),"-")</f>
        <v>SI</v>
      </c>
      <c r="AR225" s="63" t="str">
        <f>IFERROR(VLOOKUP(Table2[[#This Row],[Contraente]],Table1[[Nome/Ragione sociale]:[Checkbox selezionato]],12,FALSE),"-")</f>
        <v>SI</v>
      </c>
    </row>
    <row r="226" spans="1:44" ht="30" hidden="1" customHeight="1" x14ac:dyDescent="0.25">
      <c r="A226" s="60" t="str">
        <f>UPPER(LEFT(Table2[[#This Row],[Contraente]],1))</f>
        <v>C</v>
      </c>
      <c r="B226" s="60" t="s">
        <v>1634</v>
      </c>
      <c r="C226" s="81" t="s">
        <v>427</v>
      </c>
      <c r="D226" s="80" t="s">
        <v>37</v>
      </c>
      <c r="E226" s="86">
        <v>105948272</v>
      </c>
      <c r="F226" s="64">
        <v>42767</v>
      </c>
      <c r="G226" s="64">
        <f>IFERROR(CALCOLASCADENZA(Table2[[#This Row],[Data attivazione]],Table2[[#This Row],[Rateizzazione]],Table2[[#This Row],[Data ultimo pagamento]],Table2[[#This Row],[Data prossima scadenza manuale]]),"-")</f>
        <v>42947</v>
      </c>
      <c r="H226" s="67" t="s">
        <v>31</v>
      </c>
      <c r="I226" s="67" t="s">
        <v>1225</v>
      </c>
      <c r="J226" s="33">
        <f>IFERROR(Table2[[#This Row],[Importo annuale]]/(12/VLOOKUP(Table2[[#This Row],[Rateizzazione]],TIPI_RATEIZZAZIONI,2,FALSE)),"-")</f>
        <v>218</v>
      </c>
      <c r="K226" s="88">
        <v>218</v>
      </c>
      <c r="L226" s="88">
        <v>436</v>
      </c>
      <c r="M226" s="67" t="s">
        <v>43</v>
      </c>
      <c r="N226" s="67" t="s">
        <v>51</v>
      </c>
      <c r="O226" s="27" t="s">
        <v>1631</v>
      </c>
      <c r="P226" s="33" t="s">
        <v>22</v>
      </c>
      <c r="Q226" s="60">
        <f>IFERROR(IF(12 / VLOOKUP(Table2[[#This Row],[Rateizzazione]],TIPI_RATEIZZAZIONI,2,FALSE) &gt;=1,  IF(Table2[[#This Row],[Data attivazione]] = "","-",MONTH(Table2[[#This Row],[Data attivazione]])),"-"),"-")</f>
        <v>7</v>
      </c>
      <c r="R2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6" s="67" t="s">
        <v>2</v>
      </c>
      <c r="V226" s="62"/>
      <c r="W226" s="64">
        <v>42582</v>
      </c>
      <c r="X226" s="29">
        <f>DATE(YEAR(Table2[[#This Row],[Data attivazione]])+VLOOKUP(Table2[[#This Row],[Durata]],VALORE_DURATA,2,FALSE),MONTH(Table2[[#This Row],[Data attivazione]]),DAY(Table2[[#This Row],[Data attivazione]]))</f>
        <v>42947</v>
      </c>
      <c r="Y226" s="65"/>
      <c r="Z226" s="61"/>
      <c r="AA226" s="64" t="s">
        <v>85</v>
      </c>
      <c r="AB226" s="29" t="str">
        <f>IF(Table2[[#This Row],[Data ultimo versamento temp]]=0/1/1900,"-",Table2[[#This Row],[Data ultimo versamento temp]])</f>
        <v>-</v>
      </c>
      <c r="AC226" s="29">
        <f t="array" ref="AC226">MAX(IF(TableVersamenti[Polizza]=Table2[[#This Row],[Polizza]],TableVersamenti[Data prevista versamento],"-"))</f>
        <v>0</v>
      </c>
      <c r="AD226" s="62"/>
      <c r="AE226" s="106">
        <f>DATE(YEAR(Table2[[#This Row],[Data ultimo pagamento]]),MONTH(Table2[[#This Row],[Data ultimo pagamento]]), 1)</f>
        <v>42767</v>
      </c>
      <c r="AF226" s="106">
        <f>DATE(YEAR(Table2[[#This Row],[Data prossima scadenza]]),MONTH(Table2[[#This Row],[Data prossima scadenza]]), 1)</f>
        <v>42917</v>
      </c>
      <c r="AG226" s="33">
        <f>IFERROR(Table2[[#This Row],[Importo annuale]]*VLOOKUP(Table2[[#This Row],[Ramo]],RAMI_POLIZZA,2,FALSE),0)</f>
        <v>22.672000000000001</v>
      </c>
      <c r="AH226" s="65" t="s">
        <v>113</v>
      </c>
      <c r="AI226" s="63" t="str">
        <f>IFERROR(VLOOKUP(Table2[[#This Row],[Contraente]],Table1[[Nome/Ragione sociale]:[Checkbox selezionato]],2,FALSE),"-")</f>
        <v>LINAROLO</v>
      </c>
      <c r="AJ226" s="63">
        <f>IFERROR(VLOOKUP(Table2[[#This Row],[Contraente]],Table1[[Nome/Ragione sociale]:[Checkbox selezionato]],3,FALSE),"-")</f>
        <v>3494926388</v>
      </c>
      <c r="AK226" s="63">
        <f>IFERROR(VLOOKUP(Table2[[#This Row],[Contraente]],Table1[[Nome/Ragione sociale]:[Checkbox selezionato]],4,FALSE),"-")</f>
        <v>0</v>
      </c>
      <c r="AL226" s="63" t="str">
        <f>IFERROR(VLOOKUP(Table2[[#This Row],[Contraente]],Table1[[Nome/Ragione sociale]:[Checkbox selezionato]],5,FALSE),"-")</f>
        <v>PAOLA</v>
      </c>
      <c r="AM226" s="62">
        <f>IFERROR(VLOOKUP(Table2[[#This Row],[Contraente]],Table1[[Nome/Ragione sociale]:[Checkbox selezionato]],6,FALSE),"-")</f>
        <v>23961</v>
      </c>
      <c r="AN226" s="63" t="str">
        <f>IFERROR(VLOOKUP(Table2[[#This Row],[Contraente]],Table1[[Nome/Ragione sociale]:[Checkbox selezionato]],7,FALSE),"-")</f>
        <v>papies@email.it</v>
      </c>
      <c r="AO226" s="63">
        <f>IFERROR(VLOOKUP(Table2[[#This Row],[Contraente]],Table1[[Nome/Ragione sociale]:[Checkbox selezionato]],8,FALSE),"-")</f>
        <v>0</v>
      </c>
      <c r="AP226" s="63">
        <f>IFERROR(VLOOKUP(Table2[[#This Row],[Contraente]],Table1[[Nome/Ragione sociale]:[Checkbox selezionato]],10,FALSE),"-")</f>
        <v>3494926388</v>
      </c>
      <c r="AQ226" s="63" t="str">
        <f>IFERROR(VLOOKUP(Table2[[#This Row],[Contraente]],Table1[[Nome/Ragione sociale]:[Checkbox selezionato]],11,FALSE),"-")</f>
        <v>SI</v>
      </c>
      <c r="AR226" s="63" t="str">
        <f>IFERROR(VLOOKUP(Table2[[#This Row],[Contraente]],Table1[[Nome/Ragione sociale]:[Checkbox selezionato]],12,FALSE),"-")</f>
        <v>SI</v>
      </c>
    </row>
    <row r="227" spans="1:44" ht="30" hidden="1" customHeight="1" x14ac:dyDescent="0.25">
      <c r="A227" s="60" t="str">
        <f>UPPER(LEFT(Table2[[#This Row],[Contraente]],1))</f>
        <v>C</v>
      </c>
      <c r="B227" s="60" t="s">
        <v>1634</v>
      </c>
      <c r="C227" s="81" t="s">
        <v>427</v>
      </c>
      <c r="D227" s="80" t="s">
        <v>37</v>
      </c>
      <c r="E227" s="86">
        <v>104717189</v>
      </c>
      <c r="F227" s="64">
        <v>42767</v>
      </c>
      <c r="G227" s="64">
        <f>IFERROR(CALCOLASCADENZA(Table2[[#This Row],[Data attivazione]],Table2[[#This Row],[Rateizzazione]],Table2[[#This Row],[Data ultimo pagamento]],Table2[[#This Row],[Data prossima scadenza manuale]]),"-")</f>
        <v>42947</v>
      </c>
      <c r="H227" s="67" t="s">
        <v>30</v>
      </c>
      <c r="I227" s="67" t="s">
        <v>113</v>
      </c>
      <c r="J227" s="33">
        <f>IFERROR(Table2[[#This Row],[Importo annuale]]/(12/VLOOKUP(Table2[[#This Row],[Rateizzazione]],TIPI_RATEIZZAZIONI,2,FALSE)),"-")</f>
        <v>32</v>
      </c>
      <c r="K227" s="88">
        <v>32</v>
      </c>
      <c r="L227" s="88">
        <v>64</v>
      </c>
      <c r="M227" s="67" t="s">
        <v>43</v>
      </c>
      <c r="N227" s="67" t="s">
        <v>51</v>
      </c>
      <c r="O227" s="27" t="s">
        <v>1631</v>
      </c>
      <c r="P227" s="33" t="s">
        <v>22</v>
      </c>
      <c r="Q227" s="60">
        <f>IFERROR(IF(12 / VLOOKUP(Table2[[#This Row],[Rateizzazione]],TIPI_RATEIZZAZIONI,2,FALSE) &gt;=1,  IF(Table2[[#This Row],[Data attivazione]] = "","-",MONTH(Table2[[#This Row],[Data attivazione]])),"-"),"-")</f>
        <v>7</v>
      </c>
      <c r="R2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7" s="67" t="s">
        <v>2</v>
      </c>
      <c r="V227" s="62"/>
      <c r="W227" s="64">
        <v>42582</v>
      </c>
      <c r="X227" s="29">
        <f>DATE(YEAR(Table2[[#This Row],[Data attivazione]])+VLOOKUP(Table2[[#This Row],[Durata]],VALORE_DURATA,2,FALSE),MONTH(Table2[[#This Row],[Data attivazione]]),DAY(Table2[[#This Row],[Data attivazione]]))</f>
        <v>42947</v>
      </c>
      <c r="Y227" s="65"/>
      <c r="Z227" s="61"/>
      <c r="AA227" s="64" t="s">
        <v>85</v>
      </c>
      <c r="AB227" s="29" t="str">
        <f>IF(Table2[[#This Row],[Data ultimo versamento temp]]=0/1/1900,"-",Table2[[#This Row],[Data ultimo versamento temp]])</f>
        <v>-</v>
      </c>
      <c r="AC227" s="29">
        <f t="array" ref="AC227">MAX(IF(TableVersamenti[Polizza]=Table2[[#This Row],[Polizza]],TableVersamenti[Data prevista versamento],"-"))</f>
        <v>0</v>
      </c>
      <c r="AD227" s="62"/>
      <c r="AE227" s="106">
        <f>DATE(YEAR(Table2[[#This Row],[Data ultimo pagamento]]),MONTH(Table2[[#This Row],[Data ultimo pagamento]]), 1)</f>
        <v>42767</v>
      </c>
      <c r="AF227" s="106">
        <f>DATE(YEAR(Table2[[#This Row],[Data prossima scadenza]]),MONTH(Table2[[#This Row],[Data prossima scadenza]]), 1)</f>
        <v>42917</v>
      </c>
      <c r="AG227" s="33">
        <f>IFERROR(Table2[[#This Row],[Importo annuale]]*VLOOKUP(Table2[[#This Row],[Ramo]],RAMI_POLIZZA,2,FALSE),0)</f>
        <v>7.36</v>
      </c>
      <c r="AH227" s="65" t="s">
        <v>113</v>
      </c>
      <c r="AI227" s="63" t="str">
        <f>IFERROR(VLOOKUP(Table2[[#This Row],[Contraente]],Table1[[Nome/Ragione sociale]:[Checkbox selezionato]],2,FALSE),"-")</f>
        <v>LINAROLO</v>
      </c>
      <c r="AJ227" s="63">
        <f>IFERROR(VLOOKUP(Table2[[#This Row],[Contraente]],Table1[[Nome/Ragione sociale]:[Checkbox selezionato]],3,FALSE),"-")</f>
        <v>3494926388</v>
      </c>
      <c r="AK227" s="63">
        <f>IFERROR(VLOOKUP(Table2[[#This Row],[Contraente]],Table1[[Nome/Ragione sociale]:[Checkbox selezionato]],4,FALSE),"-")</f>
        <v>0</v>
      </c>
      <c r="AL227" s="63" t="str">
        <f>IFERROR(VLOOKUP(Table2[[#This Row],[Contraente]],Table1[[Nome/Ragione sociale]:[Checkbox selezionato]],5,FALSE),"-")</f>
        <v>PAOLA</v>
      </c>
      <c r="AM227" s="62">
        <f>IFERROR(VLOOKUP(Table2[[#This Row],[Contraente]],Table1[[Nome/Ragione sociale]:[Checkbox selezionato]],6,FALSE),"-")</f>
        <v>23961</v>
      </c>
      <c r="AN227" s="63" t="str">
        <f>IFERROR(VLOOKUP(Table2[[#This Row],[Contraente]],Table1[[Nome/Ragione sociale]:[Checkbox selezionato]],7,FALSE),"-")</f>
        <v>papies@email.it</v>
      </c>
      <c r="AO227" s="63">
        <f>IFERROR(VLOOKUP(Table2[[#This Row],[Contraente]],Table1[[Nome/Ragione sociale]:[Checkbox selezionato]],8,FALSE),"-")</f>
        <v>0</v>
      </c>
      <c r="AP227" s="63">
        <f>IFERROR(VLOOKUP(Table2[[#This Row],[Contraente]],Table1[[Nome/Ragione sociale]:[Checkbox selezionato]],10,FALSE),"-")</f>
        <v>3494926388</v>
      </c>
      <c r="AQ227" s="63" t="str">
        <f>IFERROR(VLOOKUP(Table2[[#This Row],[Contraente]],Table1[[Nome/Ragione sociale]:[Checkbox selezionato]],11,FALSE),"-")</f>
        <v>SI</v>
      </c>
      <c r="AR227" s="63" t="str">
        <f>IFERROR(VLOOKUP(Table2[[#This Row],[Contraente]],Table1[[Nome/Ragione sociale]:[Checkbox selezionato]],12,FALSE),"-")</f>
        <v>SI</v>
      </c>
    </row>
    <row r="228" spans="1:44" ht="30" hidden="1" customHeight="1" x14ac:dyDescent="0.25">
      <c r="A228" s="60" t="str">
        <f>UPPER(LEFT(Table2[[#This Row],[Contraente]],1))</f>
        <v>C</v>
      </c>
      <c r="B228" s="60" t="s">
        <v>1634</v>
      </c>
      <c r="C228" s="81" t="s">
        <v>428</v>
      </c>
      <c r="D228" s="80" t="s">
        <v>37</v>
      </c>
      <c r="E228" s="86">
        <v>103215971</v>
      </c>
      <c r="F228" s="64">
        <v>42902</v>
      </c>
      <c r="G228" s="64">
        <f>IFERROR(CALCOLASCADENZA(Table2[[#This Row],[Data attivazione]],Table2[[#This Row],[Rateizzazione]],Table2[[#This Row],[Data ultimo pagamento]],Table2[[#This Row],[Data prossima scadenza manuale]]),"-")</f>
        <v>43267</v>
      </c>
      <c r="H228" s="67" t="s">
        <v>30</v>
      </c>
      <c r="I228" s="67" t="s">
        <v>113</v>
      </c>
      <c r="J228" s="33">
        <f>IFERROR(Table2[[#This Row],[Importo annuale]]/(12/VLOOKUP(Table2[[#This Row],[Rateizzazione]],TIPI_RATEIZZAZIONI,2,FALSE)),"-")</f>
        <v>69</v>
      </c>
      <c r="K228" s="88">
        <v>69</v>
      </c>
      <c r="L228" s="88">
        <v>69</v>
      </c>
      <c r="M228" s="67" t="s">
        <v>44</v>
      </c>
      <c r="N228" s="67" t="s">
        <v>51</v>
      </c>
      <c r="O228" s="27" t="s">
        <v>1631</v>
      </c>
      <c r="P228" s="33" t="s">
        <v>23</v>
      </c>
      <c r="Q228" s="60">
        <f>IFERROR(IF(12 / VLOOKUP(Table2[[#This Row],[Rateizzazione]],TIPI_RATEIZZAZIONI,2,FALSE) &gt;=1,  IF(Table2[[#This Row],[Data attivazione]] = "","-",MONTH(Table2[[#This Row],[Data attivazione]])),"-"),"-")</f>
        <v>6</v>
      </c>
      <c r="R2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8" s="67" t="s">
        <v>2</v>
      </c>
      <c r="V228" s="62"/>
      <c r="W228" s="64">
        <v>42902</v>
      </c>
      <c r="X228" s="29">
        <f>DATE(YEAR(Table2[[#This Row],[Data attivazione]])+VLOOKUP(Table2[[#This Row],[Durata]],VALORE_DURATA,2,FALSE),MONTH(Table2[[#This Row],[Data attivazione]]),DAY(Table2[[#This Row],[Data attivazione]]))</f>
        <v>43267</v>
      </c>
      <c r="Y228" s="65"/>
      <c r="Z228" s="61"/>
      <c r="AA228" s="64" t="s">
        <v>85</v>
      </c>
      <c r="AB228" s="29" t="str">
        <f>IF(Table2[[#This Row],[Data ultimo versamento temp]]=0/1/1900,"-",Table2[[#This Row],[Data ultimo versamento temp]])</f>
        <v>-</v>
      </c>
      <c r="AC228" s="29">
        <f t="array" ref="AC228">MAX(IF(TableVersamenti[Polizza]=Table2[[#This Row],[Polizza]],TableVersamenti[Data prevista versamento],"-"))</f>
        <v>0</v>
      </c>
      <c r="AD228" s="62"/>
      <c r="AE228" s="106">
        <f>DATE(YEAR(Table2[[#This Row],[Data ultimo pagamento]]),MONTH(Table2[[#This Row],[Data ultimo pagamento]]), 1)</f>
        <v>42887</v>
      </c>
      <c r="AF228" s="106">
        <f>DATE(YEAR(Table2[[#This Row],[Data prossima scadenza]]),MONTH(Table2[[#This Row],[Data prossima scadenza]]), 1)</f>
        <v>43252</v>
      </c>
      <c r="AG228" s="33">
        <f>IFERROR(Table2[[#This Row],[Importo annuale]]*VLOOKUP(Table2[[#This Row],[Ramo]],RAMI_POLIZZA,2,FALSE),0)</f>
        <v>7.9350000000000005</v>
      </c>
      <c r="AH228" s="65" t="s">
        <v>113</v>
      </c>
      <c r="AI228" s="63" t="str">
        <f>IFERROR(VLOOKUP(Table2[[#This Row],[Contraente]],Table1[[Nome/Ragione sociale]:[Checkbox selezionato]],2,FALSE),"-")</f>
        <v>FILIGHERA</v>
      </c>
      <c r="AJ228" s="63">
        <f>IFERROR(VLOOKUP(Table2[[#This Row],[Contraente]],Table1[[Nome/Ragione sociale]:[Checkbox selezionato]],3,FALSE),"-")</f>
        <v>0</v>
      </c>
      <c r="AK228" s="63" t="str">
        <f>IFERROR(VLOOKUP(Table2[[#This Row],[Contraente]],Table1[[Nome/Ragione sociale]:[Checkbox selezionato]],4,FALSE),"-")</f>
        <v>.0382960723</v>
      </c>
      <c r="AL228" s="63" t="str">
        <f>IFERROR(VLOOKUP(Table2[[#This Row],[Contraente]],Table1[[Nome/Ragione sociale]:[Checkbox selezionato]],5,FALSE),"-")</f>
        <v>CARMELINA</v>
      </c>
      <c r="AM228" s="62">
        <f>IFERROR(VLOOKUP(Table2[[#This Row],[Contraente]],Table1[[Nome/Ragione sociale]:[Checkbox selezionato]],6,FALSE),"-")</f>
        <v>19336</v>
      </c>
      <c r="AN228" s="63" t="str">
        <f>IFERROR(VLOOKUP(Table2[[#This Row],[Contraente]],Table1[[Nome/Ragione sociale]:[Checkbox selezionato]],7,FALSE),"-")</f>
        <v>papies@libero.it</v>
      </c>
      <c r="AO228" s="63">
        <f>IFERROR(VLOOKUP(Table2[[#This Row],[Contraente]],Table1[[Nome/Ragione sociale]:[Checkbox selezionato]],8,FALSE),"-")</f>
        <v>0</v>
      </c>
      <c r="AP228" s="63">
        <f>IFERROR(VLOOKUP(Table2[[#This Row],[Contraente]],Table1[[Nome/Ragione sociale]:[Checkbox selezionato]],10,FALSE),"-")</f>
        <v>0</v>
      </c>
      <c r="AQ228" s="63" t="str">
        <f>IFERROR(VLOOKUP(Table2[[#This Row],[Contraente]],Table1[[Nome/Ragione sociale]:[Checkbox selezionato]],11,FALSE),"-")</f>
        <v>SI</v>
      </c>
      <c r="AR228" s="63" t="str">
        <f>IFERROR(VLOOKUP(Table2[[#This Row],[Contraente]],Table1[[Nome/Ragione sociale]:[Checkbox selezionato]],12,FALSE),"-")</f>
        <v>SI</v>
      </c>
    </row>
    <row r="229" spans="1:44" ht="30" hidden="1" customHeight="1" x14ac:dyDescent="0.25">
      <c r="A229" s="60" t="str">
        <f>UPPER(LEFT(Table2[[#This Row],[Contraente]],1))</f>
        <v>C</v>
      </c>
      <c r="B229" s="60" t="s">
        <v>1634</v>
      </c>
      <c r="C229" s="81" t="s">
        <v>428</v>
      </c>
      <c r="D229" s="80" t="s">
        <v>37</v>
      </c>
      <c r="E229" s="86">
        <v>105732004</v>
      </c>
      <c r="F229" s="64">
        <v>42902</v>
      </c>
      <c r="G229" s="64">
        <f>IFERROR(CALCOLASCADENZA(Table2[[#This Row],[Data attivazione]],Table2[[#This Row],[Rateizzazione]],Table2[[#This Row],[Data ultimo pagamento]],Table2[[#This Row],[Data prossima scadenza manuale]]),"-")</f>
        <v>43267</v>
      </c>
      <c r="H229" s="67" t="s">
        <v>31</v>
      </c>
      <c r="I229" s="67" t="s">
        <v>1226</v>
      </c>
      <c r="J229" s="33">
        <f>IFERROR(Table2[[#This Row],[Importo annuale]]/(12/VLOOKUP(Table2[[#This Row],[Rateizzazione]],TIPI_RATEIZZAZIONI,2,FALSE)),"-")</f>
        <v>481</v>
      </c>
      <c r="K229" s="88">
        <v>481</v>
      </c>
      <c r="L229" s="88">
        <v>481</v>
      </c>
      <c r="M229" s="67" t="s">
        <v>44</v>
      </c>
      <c r="N229" s="67" t="s">
        <v>51</v>
      </c>
      <c r="O229" s="27" t="s">
        <v>1631</v>
      </c>
      <c r="P229" s="33" t="s">
        <v>23</v>
      </c>
      <c r="Q229" s="60">
        <f>IFERROR(IF(12 / VLOOKUP(Table2[[#This Row],[Rateizzazione]],TIPI_RATEIZZAZIONI,2,FALSE) &gt;=1,  IF(Table2[[#This Row],[Data attivazione]] = "","-",MONTH(Table2[[#This Row],[Data attivazione]])),"-"),"-")</f>
        <v>6</v>
      </c>
      <c r="R2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9" s="67" t="s">
        <v>2</v>
      </c>
      <c r="V229" s="62"/>
      <c r="W229" s="64">
        <v>42902</v>
      </c>
      <c r="X229" s="29">
        <f>DATE(YEAR(Table2[[#This Row],[Data attivazione]])+VLOOKUP(Table2[[#This Row],[Durata]],VALORE_DURATA,2,FALSE),MONTH(Table2[[#This Row],[Data attivazione]]),DAY(Table2[[#This Row],[Data attivazione]]))</f>
        <v>43267</v>
      </c>
      <c r="Y229" s="65"/>
      <c r="Z229" s="61"/>
      <c r="AA229" s="64" t="s">
        <v>85</v>
      </c>
      <c r="AB229" s="29" t="str">
        <f>IF(Table2[[#This Row],[Data ultimo versamento temp]]=0/1/1900,"-",Table2[[#This Row],[Data ultimo versamento temp]])</f>
        <v>-</v>
      </c>
      <c r="AC229" s="29">
        <f t="array" ref="AC229">MAX(IF(TableVersamenti[Polizza]=Table2[[#This Row],[Polizza]],TableVersamenti[Data prevista versamento],"-"))</f>
        <v>0</v>
      </c>
      <c r="AD229" s="62"/>
      <c r="AE229" s="106">
        <f>DATE(YEAR(Table2[[#This Row],[Data ultimo pagamento]]),MONTH(Table2[[#This Row],[Data ultimo pagamento]]), 1)</f>
        <v>42887</v>
      </c>
      <c r="AF229" s="106">
        <f>DATE(YEAR(Table2[[#This Row],[Data prossima scadenza]]),MONTH(Table2[[#This Row],[Data prossima scadenza]]), 1)</f>
        <v>43252</v>
      </c>
      <c r="AG229" s="33">
        <f>IFERROR(Table2[[#This Row],[Importo annuale]]*VLOOKUP(Table2[[#This Row],[Ramo]],RAMI_POLIZZA,2,FALSE),0)</f>
        <v>25.012</v>
      </c>
      <c r="AH229" s="65" t="s">
        <v>113</v>
      </c>
      <c r="AI229" s="63" t="str">
        <f>IFERROR(VLOOKUP(Table2[[#This Row],[Contraente]],Table1[[Nome/Ragione sociale]:[Checkbox selezionato]],2,FALSE),"-")</f>
        <v>FILIGHERA</v>
      </c>
      <c r="AJ229" s="63">
        <f>IFERROR(VLOOKUP(Table2[[#This Row],[Contraente]],Table1[[Nome/Ragione sociale]:[Checkbox selezionato]],3,FALSE),"-")</f>
        <v>0</v>
      </c>
      <c r="AK229" s="63" t="str">
        <f>IFERROR(VLOOKUP(Table2[[#This Row],[Contraente]],Table1[[Nome/Ragione sociale]:[Checkbox selezionato]],4,FALSE),"-")</f>
        <v>.0382960723</v>
      </c>
      <c r="AL229" s="63" t="str">
        <f>IFERROR(VLOOKUP(Table2[[#This Row],[Contraente]],Table1[[Nome/Ragione sociale]:[Checkbox selezionato]],5,FALSE),"-")</f>
        <v>CARMELINA</v>
      </c>
      <c r="AM229" s="62">
        <f>IFERROR(VLOOKUP(Table2[[#This Row],[Contraente]],Table1[[Nome/Ragione sociale]:[Checkbox selezionato]],6,FALSE),"-")</f>
        <v>19336</v>
      </c>
      <c r="AN229" s="63" t="str">
        <f>IFERROR(VLOOKUP(Table2[[#This Row],[Contraente]],Table1[[Nome/Ragione sociale]:[Checkbox selezionato]],7,FALSE),"-")</f>
        <v>papies@libero.it</v>
      </c>
      <c r="AO229" s="63">
        <f>IFERROR(VLOOKUP(Table2[[#This Row],[Contraente]],Table1[[Nome/Ragione sociale]:[Checkbox selezionato]],8,FALSE),"-")</f>
        <v>0</v>
      </c>
      <c r="AP229" s="63">
        <f>IFERROR(VLOOKUP(Table2[[#This Row],[Contraente]],Table1[[Nome/Ragione sociale]:[Checkbox selezionato]],10,FALSE),"-")</f>
        <v>0</v>
      </c>
      <c r="AQ229" s="63" t="str">
        <f>IFERROR(VLOOKUP(Table2[[#This Row],[Contraente]],Table1[[Nome/Ragione sociale]:[Checkbox selezionato]],11,FALSE),"-")</f>
        <v>SI</v>
      </c>
      <c r="AR229" s="63" t="str">
        <f>IFERROR(VLOOKUP(Table2[[#This Row],[Contraente]],Table1[[Nome/Ragione sociale]:[Checkbox selezionato]],12,FALSE),"-")</f>
        <v>SI</v>
      </c>
    </row>
    <row r="230" spans="1:44" ht="30" hidden="1" customHeight="1" x14ac:dyDescent="0.25">
      <c r="A230" s="60" t="str">
        <f>UPPER(LEFT(Table2[[#This Row],[Contraente]],1))</f>
        <v>C</v>
      </c>
      <c r="B230" s="60" t="s">
        <v>1634</v>
      </c>
      <c r="C230" s="81" t="s">
        <v>434</v>
      </c>
      <c r="D230" s="80" t="s">
        <v>37</v>
      </c>
      <c r="E230" s="86">
        <v>102687483</v>
      </c>
      <c r="F230" s="64">
        <v>42580</v>
      </c>
      <c r="G230" s="64">
        <f>IFERROR(CALCOLASCADENZA(Table2[[#This Row],[Data attivazione]],Table2[[#This Row],[Rateizzazione]],Table2[[#This Row],[Data ultimo pagamento]],Table2[[#This Row],[Data prossima scadenza manuale]]),"-")</f>
        <v>42948</v>
      </c>
      <c r="H230" s="67" t="s">
        <v>30</v>
      </c>
      <c r="I230" s="67" t="s">
        <v>113</v>
      </c>
      <c r="J230" s="33">
        <f>IFERROR(Table2[[#This Row],[Importo annuale]]/(12/VLOOKUP(Table2[[#This Row],[Rateizzazione]],TIPI_RATEIZZAZIONI,2,FALSE)),"-")</f>
        <v>74</v>
      </c>
      <c r="K230" s="88"/>
      <c r="L230" s="88">
        <v>74</v>
      </c>
      <c r="M230" s="67" t="s">
        <v>44</v>
      </c>
      <c r="N230" s="67" t="s">
        <v>51</v>
      </c>
      <c r="O230" s="27" t="s">
        <v>1631</v>
      </c>
      <c r="P230" s="33" t="s">
        <v>23</v>
      </c>
      <c r="Q230" s="60">
        <f>IFERROR(IF(12 / VLOOKUP(Table2[[#This Row],[Rateizzazione]],TIPI_RATEIZZAZIONI,2,FALSE) &gt;=1,  IF(Table2[[#This Row],[Data attivazione]] = "","-",MONTH(Table2[[#This Row],[Data attivazione]])),"-"),"-")</f>
        <v>8</v>
      </c>
      <c r="R2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0" s="67" t="s">
        <v>2</v>
      </c>
      <c r="V230" s="62"/>
      <c r="W230" s="64">
        <v>42583</v>
      </c>
      <c r="X230" s="29">
        <f>DATE(YEAR(Table2[[#This Row],[Data attivazione]])+VLOOKUP(Table2[[#This Row],[Durata]],VALORE_DURATA,2,FALSE),MONTH(Table2[[#This Row],[Data attivazione]]),DAY(Table2[[#This Row],[Data attivazione]]))</f>
        <v>42948</v>
      </c>
      <c r="Y230" s="65"/>
      <c r="Z230" s="61"/>
      <c r="AA230" s="64" t="s">
        <v>85</v>
      </c>
      <c r="AB230" s="29" t="str">
        <f>IF(Table2[[#This Row],[Data ultimo versamento temp]]=0/1/1900,"-",Table2[[#This Row],[Data ultimo versamento temp]])</f>
        <v>-</v>
      </c>
      <c r="AC230" s="29">
        <f t="array" ref="AC230">MAX(IF(TableVersamenti[Polizza]=Table2[[#This Row],[Polizza]],TableVersamenti[Data prevista versamento],"-"))</f>
        <v>0</v>
      </c>
      <c r="AD230" s="62"/>
      <c r="AE230" s="106">
        <f>DATE(YEAR(Table2[[#This Row],[Data ultimo pagamento]]),MONTH(Table2[[#This Row],[Data ultimo pagamento]]), 1)</f>
        <v>42552</v>
      </c>
      <c r="AF230" s="106">
        <f>DATE(YEAR(Table2[[#This Row],[Data prossima scadenza]]),MONTH(Table2[[#This Row],[Data prossima scadenza]]), 1)</f>
        <v>42948</v>
      </c>
      <c r="AG230" s="33">
        <f>IFERROR(Table2[[#This Row],[Importo annuale]]*VLOOKUP(Table2[[#This Row],[Ramo]],RAMI_POLIZZA,2,FALSE),0)</f>
        <v>8.51</v>
      </c>
      <c r="AH230" s="65" t="s">
        <v>113</v>
      </c>
      <c r="AI230" s="63" t="str">
        <f>IFERROR(VLOOKUP(Table2[[#This Row],[Contraente]],Table1[[Nome/Ragione sociale]:[Checkbox selezionato]],2,FALSE),"-")</f>
        <v>VISTARINO</v>
      </c>
      <c r="AJ230" s="63">
        <f>IFERROR(VLOOKUP(Table2[[#This Row],[Contraente]],Table1[[Nome/Ragione sociale]:[Checkbox selezionato]],3,FALSE),"-")</f>
        <v>3388457662</v>
      </c>
      <c r="AK230" s="63">
        <f>IFERROR(VLOOKUP(Table2[[#This Row],[Contraente]],Table1[[Nome/Ragione sociale]:[Checkbox selezionato]],4,FALSE),"-")</f>
        <v>0</v>
      </c>
      <c r="AL230" s="63" t="str">
        <f>IFERROR(VLOOKUP(Table2[[#This Row],[Contraente]],Table1[[Nome/Ragione sociale]:[Checkbox selezionato]],5,FALSE),"-")</f>
        <v>SERGIO</v>
      </c>
      <c r="AM230" s="62">
        <f>IFERROR(VLOOKUP(Table2[[#This Row],[Contraente]],Table1[[Nome/Ragione sociale]:[Checkbox selezionato]],6,FALSE),"-")</f>
        <v>16991</v>
      </c>
      <c r="AN230" s="63" t="str">
        <f>IFERROR(VLOOKUP(Table2[[#This Row],[Contraente]],Table1[[Nome/Ragione sociale]:[Checkbox selezionato]],7,FALSE),"-")</f>
        <v>papies@libero.it</v>
      </c>
      <c r="AO230" s="63">
        <f>IFERROR(VLOOKUP(Table2[[#This Row],[Contraente]],Table1[[Nome/Ragione sociale]:[Checkbox selezionato]],8,FALSE),"-")</f>
        <v>0</v>
      </c>
      <c r="AP230" s="63">
        <f>IFERROR(VLOOKUP(Table2[[#This Row],[Contraente]],Table1[[Nome/Ragione sociale]:[Checkbox selezionato]],10,FALSE),"-")</f>
        <v>3388457662</v>
      </c>
      <c r="AQ230" s="63" t="str">
        <f>IFERROR(VLOOKUP(Table2[[#This Row],[Contraente]],Table1[[Nome/Ragione sociale]:[Checkbox selezionato]],11,FALSE),"-")</f>
        <v>SI</v>
      </c>
      <c r="AR230" s="63" t="str">
        <f>IFERROR(VLOOKUP(Table2[[#This Row],[Contraente]],Table1[[Nome/Ragione sociale]:[Checkbox selezionato]],12,FALSE),"-")</f>
        <v>SI</v>
      </c>
    </row>
    <row r="231" spans="1:44" ht="30" hidden="1" customHeight="1" x14ac:dyDescent="0.25">
      <c r="A231" s="60" t="str">
        <f>UPPER(LEFT(Table2[[#This Row],[Contraente]],1))</f>
        <v>C</v>
      </c>
      <c r="B231" s="60" t="s">
        <v>1634</v>
      </c>
      <c r="C231" s="81" t="s">
        <v>434</v>
      </c>
      <c r="D231" s="80" t="s">
        <v>37</v>
      </c>
      <c r="E231" s="86">
        <v>102687602</v>
      </c>
      <c r="F231" s="64">
        <v>42885</v>
      </c>
      <c r="G231" s="64">
        <f>IFERROR(CALCOLASCADENZA(Table2[[#This Row],[Data attivazione]],Table2[[#This Row],[Rateizzazione]],Table2[[#This Row],[Data ultimo pagamento]],Table2[[#This Row],[Data prossima scadenza manuale]]),"-")</f>
        <v>43072</v>
      </c>
      <c r="H231" s="67" t="s">
        <v>30</v>
      </c>
      <c r="I231" s="67" t="s">
        <v>113</v>
      </c>
      <c r="J231" s="33">
        <f>IFERROR(Table2[[#This Row],[Importo annuale]]/(12/VLOOKUP(Table2[[#This Row],[Rateizzazione]],TIPI_RATEIZZAZIONI,2,FALSE)),"-")</f>
        <v>99</v>
      </c>
      <c r="K231" s="88">
        <v>99</v>
      </c>
      <c r="L231" s="88">
        <v>198</v>
      </c>
      <c r="M231" s="67" t="s">
        <v>44</v>
      </c>
      <c r="N231" s="67" t="s">
        <v>51</v>
      </c>
      <c r="O231" s="27" t="s">
        <v>1631</v>
      </c>
      <c r="P231" s="33" t="s">
        <v>22</v>
      </c>
      <c r="Q231" s="60">
        <f>IFERROR(IF(12 / VLOOKUP(Table2[[#This Row],[Rateizzazione]],TIPI_RATEIZZAZIONI,2,FALSE) &gt;=1,  IF(Table2[[#This Row],[Data attivazione]] = "","-",MONTH(Table2[[#This Row],[Data attivazione]])),"-"),"-")</f>
        <v>12</v>
      </c>
      <c r="R2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1" s="67" t="s">
        <v>2</v>
      </c>
      <c r="V231" s="62"/>
      <c r="W231" s="64">
        <v>42707</v>
      </c>
      <c r="X231" s="29">
        <f>DATE(YEAR(Table2[[#This Row],[Data attivazione]])+VLOOKUP(Table2[[#This Row],[Durata]],VALORE_DURATA,2,FALSE),MONTH(Table2[[#This Row],[Data attivazione]]),DAY(Table2[[#This Row],[Data attivazione]]))</f>
        <v>43072</v>
      </c>
      <c r="Y231" s="65"/>
      <c r="Z231" s="61"/>
      <c r="AA231" s="64" t="s">
        <v>85</v>
      </c>
      <c r="AB231" s="29" t="str">
        <f>IF(Table2[[#This Row],[Data ultimo versamento temp]]=0/1/1900,"-",Table2[[#This Row],[Data ultimo versamento temp]])</f>
        <v>-</v>
      </c>
      <c r="AC231" s="29">
        <f t="array" ref="AC231">MAX(IF(TableVersamenti[Polizza]=Table2[[#This Row],[Polizza]],TableVersamenti[Data prevista versamento],"-"))</f>
        <v>0</v>
      </c>
      <c r="AD231" s="62"/>
      <c r="AE231" s="106">
        <f>DATE(YEAR(Table2[[#This Row],[Data ultimo pagamento]]),MONTH(Table2[[#This Row],[Data ultimo pagamento]]), 1)</f>
        <v>42856</v>
      </c>
      <c r="AF231" s="106">
        <f>DATE(YEAR(Table2[[#This Row],[Data prossima scadenza]]),MONTH(Table2[[#This Row],[Data prossima scadenza]]), 1)</f>
        <v>43070</v>
      </c>
      <c r="AG231" s="33">
        <f>IFERROR(Table2[[#This Row],[Importo annuale]]*VLOOKUP(Table2[[#This Row],[Ramo]],RAMI_POLIZZA,2,FALSE),0)</f>
        <v>22.77</v>
      </c>
      <c r="AH231" s="65" t="s">
        <v>113</v>
      </c>
      <c r="AI231" s="63" t="str">
        <f>IFERROR(VLOOKUP(Table2[[#This Row],[Contraente]],Table1[[Nome/Ragione sociale]:[Checkbox selezionato]],2,FALSE),"-")</f>
        <v>VISTARINO</v>
      </c>
      <c r="AJ231" s="63">
        <f>IFERROR(VLOOKUP(Table2[[#This Row],[Contraente]],Table1[[Nome/Ragione sociale]:[Checkbox selezionato]],3,FALSE),"-")</f>
        <v>3388457662</v>
      </c>
      <c r="AK231" s="63">
        <f>IFERROR(VLOOKUP(Table2[[#This Row],[Contraente]],Table1[[Nome/Ragione sociale]:[Checkbox selezionato]],4,FALSE),"-")</f>
        <v>0</v>
      </c>
      <c r="AL231" s="63" t="str">
        <f>IFERROR(VLOOKUP(Table2[[#This Row],[Contraente]],Table1[[Nome/Ragione sociale]:[Checkbox selezionato]],5,FALSE),"-")</f>
        <v>SERGIO</v>
      </c>
      <c r="AM231" s="62">
        <f>IFERROR(VLOOKUP(Table2[[#This Row],[Contraente]],Table1[[Nome/Ragione sociale]:[Checkbox selezionato]],6,FALSE),"-")</f>
        <v>16991</v>
      </c>
      <c r="AN231" s="63" t="str">
        <f>IFERROR(VLOOKUP(Table2[[#This Row],[Contraente]],Table1[[Nome/Ragione sociale]:[Checkbox selezionato]],7,FALSE),"-")</f>
        <v>papies@libero.it</v>
      </c>
      <c r="AO231" s="63">
        <f>IFERROR(VLOOKUP(Table2[[#This Row],[Contraente]],Table1[[Nome/Ragione sociale]:[Checkbox selezionato]],8,FALSE),"-")</f>
        <v>0</v>
      </c>
      <c r="AP231" s="63">
        <f>IFERROR(VLOOKUP(Table2[[#This Row],[Contraente]],Table1[[Nome/Ragione sociale]:[Checkbox selezionato]],10,FALSE),"-")</f>
        <v>3388457662</v>
      </c>
      <c r="AQ231" s="63" t="str">
        <f>IFERROR(VLOOKUP(Table2[[#This Row],[Contraente]],Table1[[Nome/Ragione sociale]:[Checkbox selezionato]],11,FALSE),"-")</f>
        <v>SI</v>
      </c>
      <c r="AR231" s="63" t="str">
        <f>IFERROR(VLOOKUP(Table2[[#This Row],[Contraente]],Table1[[Nome/Ragione sociale]:[Checkbox selezionato]],12,FALSE),"-")</f>
        <v>SI</v>
      </c>
    </row>
    <row r="232" spans="1:44" ht="30" hidden="1" customHeight="1" x14ac:dyDescent="0.25">
      <c r="A232" s="60" t="str">
        <f>UPPER(LEFT(Table2[[#This Row],[Contraente]],1))</f>
        <v>C</v>
      </c>
      <c r="B232" s="60" t="s">
        <v>1634</v>
      </c>
      <c r="C232" s="81" t="s">
        <v>436</v>
      </c>
      <c r="D232" s="80" t="s">
        <v>37</v>
      </c>
      <c r="E232" s="86">
        <v>105406559</v>
      </c>
      <c r="F232" s="64">
        <v>42810</v>
      </c>
      <c r="G232" s="64">
        <f>IFERROR(CALCOLASCADENZA(Table2[[#This Row],[Data attivazione]],Table2[[#This Row],[Rateizzazione]],Table2[[#This Row],[Data ultimo pagamento]],Table2[[#This Row],[Data prossima scadenza manuale]]),"-")</f>
        <v>43174</v>
      </c>
      <c r="H232" s="67" t="s">
        <v>30</v>
      </c>
      <c r="I232" s="67" t="s">
        <v>113</v>
      </c>
      <c r="J232" s="33">
        <f>IFERROR(Table2[[#This Row],[Importo annuale]]/(12/VLOOKUP(Table2[[#This Row],[Rateizzazione]],TIPI_RATEIZZAZIONI,2,FALSE)),"-")</f>
        <v>215</v>
      </c>
      <c r="K232" s="88">
        <v>215</v>
      </c>
      <c r="L232" s="88">
        <v>215</v>
      </c>
      <c r="M232" s="67" t="s">
        <v>45</v>
      </c>
      <c r="N232" s="67" t="s">
        <v>51</v>
      </c>
      <c r="O232" s="27" t="s">
        <v>1631</v>
      </c>
      <c r="P232" s="33" t="s">
        <v>23</v>
      </c>
      <c r="Q232" s="60">
        <f>IFERROR(IF(12 / VLOOKUP(Table2[[#This Row],[Rateizzazione]],TIPI_RATEIZZAZIONI,2,FALSE) &gt;=1,  IF(Table2[[#This Row],[Data attivazione]] = "","-",MONTH(Table2[[#This Row],[Data attivazione]])),"-"),"-")</f>
        <v>3</v>
      </c>
      <c r="R2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2" s="67" t="s">
        <v>2</v>
      </c>
      <c r="V232" s="62"/>
      <c r="W232" s="64">
        <v>42809</v>
      </c>
      <c r="X232" s="29">
        <f>DATE(YEAR(Table2[[#This Row],[Data attivazione]])+VLOOKUP(Table2[[#This Row],[Durata]],VALORE_DURATA,2,FALSE),MONTH(Table2[[#This Row],[Data attivazione]]),DAY(Table2[[#This Row],[Data attivazione]]))</f>
        <v>43174</v>
      </c>
      <c r="Y232" s="65"/>
      <c r="Z232" s="61"/>
      <c r="AA232" s="64" t="s">
        <v>85</v>
      </c>
      <c r="AB232" s="29" t="str">
        <f>IF(Table2[[#This Row],[Data ultimo versamento temp]]=0/1/1900,"-",Table2[[#This Row],[Data ultimo versamento temp]])</f>
        <v>-</v>
      </c>
      <c r="AC232" s="29">
        <f t="array" ref="AC232">MAX(IF(TableVersamenti[Polizza]=Table2[[#This Row],[Polizza]],TableVersamenti[Data prevista versamento],"-"))</f>
        <v>0</v>
      </c>
      <c r="AD232" s="62"/>
      <c r="AE232" s="106">
        <f>DATE(YEAR(Table2[[#This Row],[Data ultimo pagamento]]),MONTH(Table2[[#This Row],[Data ultimo pagamento]]), 1)</f>
        <v>42795</v>
      </c>
      <c r="AF232" s="106">
        <f>DATE(YEAR(Table2[[#This Row],[Data prossima scadenza]]),MONTH(Table2[[#This Row],[Data prossima scadenza]]), 1)</f>
        <v>43160</v>
      </c>
      <c r="AG232" s="33">
        <f>IFERROR(Table2[[#This Row],[Importo annuale]]*VLOOKUP(Table2[[#This Row],[Ramo]],RAMI_POLIZZA,2,FALSE),0)</f>
        <v>24.725000000000001</v>
      </c>
      <c r="AH232" s="65" t="s">
        <v>113</v>
      </c>
      <c r="AI232" s="63" t="str">
        <f>IFERROR(VLOOKUP(Table2[[#This Row],[Contraente]],Table1[[Nome/Ragione sociale]:[Checkbox selezionato]],2,FALSE),"-")</f>
        <v>VALERA FRATTA</v>
      </c>
      <c r="AJ232" s="63">
        <f>IFERROR(VLOOKUP(Table2[[#This Row],[Contraente]],Table1[[Nome/Ragione sociale]:[Checkbox selezionato]],3,FALSE),"-")</f>
        <v>0</v>
      </c>
      <c r="AK232" s="63">
        <f>IFERROR(VLOOKUP(Table2[[#This Row],[Contraente]],Table1[[Nome/Ragione sociale]:[Checkbox selezionato]],4,FALSE),"-")</f>
        <v>0</v>
      </c>
      <c r="AL232" s="63" t="str">
        <f>IFERROR(VLOOKUP(Table2[[#This Row],[Contraente]],Table1[[Nome/Ragione sociale]:[Checkbox selezionato]],5,FALSE),"-")</f>
        <v>CRISTIANO</v>
      </c>
      <c r="AM232" s="62">
        <f>IFERROR(VLOOKUP(Table2[[#This Row],[Contraente]],Table1[[Nome/Ragione sociale]:[Checkbox selezionato]],6,FALSE),"-")</f>
        <v>27084</v>
      </c>
      <c r="AN232" s="63" t="str">
        <f>IFERROR(VLOOKUP(Table2[[#This Row],[Contraente]],Table1[[Nome/Ragione sociale]:[Checkbox selezionato]],7,FALSE),"-")</f>
        <v>papies@email.it</v>
      </c>
      <c r="AO232" s="63">
        <f>IFERROR(VLOOKUP(Table2[[#This Row],[Contraente]],Table1[[Nome/Ragione sociale]:[Checkbox selezionato]],8,FALSE),"-")</f>
        <v>0</v>
      </c>
      <c r="AP232" s="63">
        <f>IFERROR(VLOOKUP(Table2[[#This Row],[Contraente]],Table1[[Nome/Ragione sociale]:[Checkbox selezionato]],10,FALSE),"-")</f>
        <v>0</v>
      </c>
      <c r="AQ232" s="63" t="str">
        <f>IFERROR(VLOOKUP(Table2[[#This Row],[Contraente]],Table1[[Nome/Ragione sociale]:[Checkbox selezionato]],11,FALSE),"-")</f>
        <v>SI</v>
      </c>
      <c r="AR232" s="63" t="str">
        <f>IFERROR(VLOOKUP(Table2[[#This Row],[Contraente]],Table1[[Nome/Ragione sociale]:[Checkbox selezionato]],12,FALSE),"-")</f>
        <v>SI</v>
      </c>
    </row>
    <row r="233" spans="1:44" ht="30" hidden="1" customHeight="1" x14ac:dyDescent="0.25">
      <c r="A233" s="60" t="str">
        <f>UPPER(LEFT(Table2[[#This Row],[Contraente]],1))</f>
        <v>C</v>
      </c>
      <c r="B233" s="60" t="s">
        <v>1634</v>
      </c>
      <c r="C233" s="81" t="s">
        <v>439</v>
      </c>
      <c r="D233" s="80" t="s">
        <v>37</v>
      </c>
      <c r="E233" s="86">
        <v>104741083</v>
      </c>
      <c r="F233" s="64">
        <v>42223</v>
      </c>
      <c r="G233" s="64">
        <f>IFERROR(CALCOLASCADENZA(Table2[[#This Row],[Data attivazione]],Table2[[#This Row],[Rateizzazione]],Table2[[#This Row],[Data ultimo pagamento]],Table2[[#This Row],[Data prossima scadenza manuale]]),"-")</f>
        <v>693962</v>
      </c>
      <c r="H233" s="67" t="s">
        <v>31</v>
      </c>
      <c r="I233" s="67" t="s">
        <v>1227</v>
      </c>
      <c r="J233" s="33">
        <f>IFERROR(Table2[[#This Row],[Importo annuale]]/(12/VLOOKUP(Table2[[#This Row],[Rateizzazione]],TIPI_RATEIZZAZIONI,2,FALSE)),"-")</f>
        <v>110</v>
      </c>
      <c r="K233" s="88"/>
      <c r="L233" s="88">
        <v>110</v>
      </c>
      <c r="M233" s="67" t="s">
        <v>43</v>
      </c>
      <c r="N233" s="67" t="s">
        <v>52</v>
      </c>
      <c r="O233" s="27" t="s">
        <v>1631</v>
      </c>
      <c r="P233" s="33" t="s">
        <v>23</v>
      </c>
      <c r="Q233" s="60">
        <f>IFERROR(IF(12 / VLOOKUP(Table2[[#This Row],[Rateizzazione]],TIPI_RATEIZZAZIONI,2,FALSE) &gt;=1,  IF(Table2[[#This Row],[Data attivazione]] = "","-",MONTH(Table2[[#This Row],[Data attivazione]])),"-"),"-")</f>
        <v>12</v>
      </c>
      <c r="R2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3" s="67" t="s">
        <v>2</v>
      </c>
      <c r="V233" s="62"/>
      <c r="W233" s="64">
        <v>693597</v>
      </c>
      <c r="X233" s="29">
        <f>DATE(YEAR(Table2[[#This Row],[Data attivazione]])+VLOOKUP(Table2[[#This Row],[Durata]],VALORE_DURATA,2,FALSE),MONTH(Table2[[#This Row],[Data attivazione]]),DAY(Table2[[#This Row],[Data attivazione]]))</f>
        <v>693962</v>
      </c>
      <c r="Y233" s="65"/>
      <c r="Z233" s="61"/>
      <c r="AA233" s="64" t="s">
        <v>88</v>
      </c>
      <c r="AB233" s="29" t="str">
        <f>IF(Table2[[#This Row],[Data ultimo versamento temp]]=0/1/1900,"-",Table2[[#This Row],[Data ultimo versamento temp]])</f>
        <v>-</v>
      </c>
      <c r="AC233" s="29">
        <f t="array" ref="AC233">MAX(IF(TableVersamenti[Polizza]=Table2[[#This Row],[Polizza]],TableVersamenti[Data prevista versamento],"-"))</f>
        <v>0</v>
      </c>
      <c r="AD233" s="62"/>
      <c r="AE233" s="106">
        <f>DATE(YEAR(Table2[[#This Row],[Data ultimo pagamento]]),MONTH(Table2[[#This Row],[Data ultimo pagamento]]), 1)</f>
        <v>42217</v>
      </c>
      <c r="AF233" s="106">
        <f>DATE(YEAR(Table2[[#This Row],[Data prossima scadenza]]),MONTH(Table2[[#This Row],[Data prossima scadenza]]), 1)</f>
        <v>693932</v>
      </c>
      <c r="AG233" s="33">
        <f>IFERROR(Table2[[#This Row],[Importo annuale]]*VLOOKUP(Table2[[#This Row],[Ramo]],RAMI_POLIZZA,2,FALSE),0)</f>
        <v>5.72</v>
      </c>
      <c r="AH233" s="65" t="s">
        <v>113</v>
      </c>
      <c r="AI233" s="63" t="str">
        <f>IFERROR(VLOOKUP(Table2[[#This Row],[Contraente]],Table1[[Nome/Ragione sociale]:[Checkbox selezionato]],2,FALSE),"-")</f>
        <v>ALBUZZANO</v>
      </c>
      <c r="AJ233" s="63">
        <f>IFERROR(VLOOKUP(Table2[[#This Row],[Contraente]],Table1[[Nome/Ragione sociale]:[Checkbox selezionato]],3,FALSE),"-")</f>
        <v>3773210414</v>
      </c>
      <c r="AK233" s="63">
        <f>IFERROR(VLOOKUP(Table2[[#This Row],[Contraente]],Table1[[Nome/Ragione sociale]:[Checkbox selezionato]],4,FALSE),"-")</f>
        <v>0</v>
      </c>
      <c r="AL233" s="63" t="str">
        <f>IFERROR(VLOOKUP(Table2[[#This Row],[Contraente]],Table1[[Nome/Ragione sociale]:[Checkbox selezionato]],5,FALSE),"-")</f>
        <v>MOGLIE</v>
      </c>
      <c r="AM233" s="62">
        <f>IFERROR(VLOOKUP(Table2[[#This Row],[Contraente]],Table1[[Nome/Ragione sociale]:[Checkbox selezionato]],6,FALSE),"-")</f>
        <v>19031</v>
      </c>
      <c r="AN233" s="63" t="str">
        <f>IFERROR(VLOOKUP(Table2[[#This Row],[Contraente]],Table1[[Nome/Ragione sociale]:[Checkbox selezionato]],7,FALSE),"-")</f>
        <v>papies@libero.it</v>
      </c>
      <c r="AO233" s="63">
        <f>IFERROR(VLOOKUP(Table2[[#This Row],[Contraente]],Table1[[Nome/Ragione sociale]:[Checkbox selezionato]],8,FALSE),"-")</f>
        <v>0</v>
      </c>
      <c r="AP233" s="63">
        <f>IFERROR(VLOOKUP(Table2[[#This Row],[Contraente]],Table1[[Nome/Ragione sociale]:[Checkbox selezionato]],10,FALSE),"-")</f>
        <v>3773210414</v>
      </c>
      <c r="AQ233" s="63" t="str">
        <f>IFERROR(VLOOKUP(Table2[[#This Row],[Contraente]],Table1[[Nome/Ragione sociale]:[Checkbox selezionato]],11,FALSE),"-")</f>
        <v>SI</v>
      </c>
      <c r="AR233" s="63" t="str">
        <f>IFERROR(VLOOKUP(Table2[[#This Row],[Contraente]],Table1[[Nome/Ragione sociale]:[Checkbox selezionato]],12,FALSE),"-")</f>
        <v>SI</v>
      </c>
    </row>
    <row r="234" spans="1:44" ht="30" hidden="1" customHeight="1" x14ac:dyDescent="0.25">
      <c r="A234" s="60" t="str">
        <f>UPPER(LEFT(Table2[[#This Row],[Contraente]],1))</f>
        <v>C</v>
      </c>
      <c r="B234" s="60" t="s">
        <v>1634</v>
      </c>
      <c r="C234" s="81" t="s">
        <v>439</v>
      </c>
      <c r="D234" s="80" t="s">
        <v>37</v>
      </c>
      <c r="E234" s="86">
        <v>104774756</v>
      </c>
      <c r="F234" s="64">
        <v>42503</v>
      </c>
      <c r="G234" s="64">
        <f>IFERROR(CALCOLASCADENZA(Table2[[#This Row],[Data attivazione]],Table2[[#This Row],[Rateizzazione]],Table2[[#This Row],[Data ultimo pagamento]],Table2[[#This Row],[Data prossima scadenza manuale]]),"-")</f>
        <v>42612</v>
      </c>
      <c r="H234" s="67" t="s">
        <v>31</v>
      </c>
      <c r="I234" s="67" t="s">
        <v>1230</v>
      </c>
      <c r="J234" s="33">
        <f>IFERROR(Table2[[#This Row],[Importo annuale]]/(12/VLOOKUP(Table2[[#This Row],[Rateizzazione]],TIPI_RATEIZZAZIONI,2,FALSE)),"-")</f>
        <v>515</v>
      </c>
      <c r="K234" s="88"/>
      <c r="L234" s="88">
        <v>1545</v>
      </c>
      <c r="M234" s="67" t="s">
        <v>44</v>
      </c>
      <c r="N234" s="67" t="s">
        <v>52</v>
      </c>
      <c r="O234" s="27" t="s">
        <v>1631</v>
      </c>
      <c r="P234" s="33" t="s">
        <v>21</v>
      </c>
      <c r="Q234" s="60">
        <f>IFERROR(IF(12 / VLOOKUP(Table2[[#This Row],[Rateizzazione]],TIPI_RATEIZZAZIONI,2,FALSE) &gt;=1,  IF(Table2[[#This Row],[Data attivazione]] = "","-",MONTH(Table2[[#This Row],[Data attivazione]])),"-"),"-")</f>
        <v>8</v>
      </c>
      <c r="R2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3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2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4" s="67" t="s">
        <v>2</v>
      </c>
      <c r="V234" s="62"/>
      <c r="W234" s="64">
        <v>42247</v>
      </c>
      <c r="X234" s="29">
        <f>DATE(YEAR(Table2[[#This Row],[Data attivazione]])+VLOOKUP(Table2[[#This Row],[Durata]],VALORE_DURATA,2,FALSE),MONTH(Table2[[#This Row],[Data attivazione]]),DAY(Table2[[#This Row],[Data attivazione]]))</f>
        <v>42613</v>
      </c>
      <c r="Y234" s="65"/>
      <c r="Z234" s="61"/>
      <c r="AA234" s="64" t="s">
        <v>88</v>
      </c>
      <c r="AB234" s="29" t="str">
        <f>IF(Table2[[#This Row],[Data ultimo versamento temp]]=0/1/1900,"-",Table2[[#This Row],[Data ultimo versamento temp]])</f>
        <v>-</v>
      </c>
      <c r="AC234" s="29">
        <f t="array" ref="AC234">MAX(IF(TableVersamenti[Polizza]=Table2[[#This Row],[Polizza]],TableVersamenti[Data prevista versamento],"-"))</f>
        <v>0</v>
      </c>
      <c r="AD234" s="62"/>
      <c r="AE234" s="106">
        <f>DATE(YEAR(Table2[[#This Row],[Data ultimo pagamento]]),MONTH(Table2[[#This Row],[Data ultimo pagamento]]), 1)</f>
        <v>42491</v>
      </c>
      <c r="AF234" s="106">
        <f>DATE(YEAR(Table2[[#This Row],[Data prossima scadenza]]),MONTH(Table2[[#This Row],[Data prossima scadenza]]), 1)</f>
        <v>42583</v>
      </c>
      <c r="AG234" s="33">
        <f>IFERROR(Table2[[#This Row],[Importo annuale]]*VLOOKUP(Table2[[#This Row],[Ramo]],RAMI_POLIZZA,2,FALSE),0)</f>
        <v>80.34</v>
      </c>
      <c r="AH234" s="65" t="s">
        <v>113</v>
      </c>
      <c r="AI234" s="63" t="str">
        <f>IFERROR(VLOOKUP(Table2[[#This Row],[Contraente]],Table1[[Nome/Ragione sociale]:[Checkbox selezionato]],2,FALSE),"-")</f>
        <v>ALBUZZANO</v>
      </c>
      <c r="AJ234" s="63">
        <f>IFERROR(VLOOKUP(Table2[[#This Row],[Contraente]],Table1[[Nome/Ragione sociale]:[Checkbox selezionato]],3,FALSE),"-")</f>
        <v>3773210414</v>
      </c>
      <c r="AK234" s="63">
        <f>IFERROR(VLOOKUP(Table2[[#This Row],[Contraente]],Table1[[Nome/Ragione sociale]:[Checkbox selezionato]],4,FALSE),"-")</f>
        <v>0</v>
      </c>
      <c r="AL234" s="63" t="str">
        <f>IFERROR(VLOOKUP(Table2[[#This Row],[Contraente]],Table1[[Nome/Ragione sociale]:[Checkbox selezionato]],5,FALSE),"-")</f>
        <v>MOGLIE</v>
      </c>
      <c r="AM234" s="62">
        <f>IFERROR(VLOOKUP(Table2[[#This Row],[Contraente]],Table1[[Nome/Ragione sociale]:[Checkbox selezionato]],6,FALSE),"-")</f>
        <v>19031</v>
      </c>
      <c r="AN234" s="63" t="str">
        <f>IFERROR(VLOOKUP(Table2[[#This Row],[Contraente]],Table1[[Nome/Ragione sociale]:[Checkbox selezionato]],7,FALSE),"-")</f>
        <v>papies@libero.it</v>
      </c>
      <c r="AO234" s="63">
        <f>IFERROR(VLOOKUP(Table2[[#This Row],[Contraente]],Table1[[Nome/Ragione sociale]:[Checkbox selezionato]],8,FALSE),"-")</f>
        <v>0</v>
      </c>
      <c r="AP234" s="63">
        <f>IFERROR(VLOOKUP(Table2[[#This Row],[Contraente]],Table1[[Nome/Ragione sociale]:[Checkbox selezionato]],10,FALSE),"-")</f>
        <v>3773210414</v>
      </c>
      <c r="AQ234" s="63" t="str">
        <f>IFERROR(VLOOKUP(Table2[[#This Row],[Contraente]],Table1[[Nome/Ragione sociale]:[Checkbox selezionato]],11,FALSE),"-")</f>
        <v>SI</v>
      </c>
      <c r="AR234" s="63" t="str">
        <f>IFERROR(VLOOKUP(Table2[[#This Row],[Contraente]],Table1[[Nome/Ragione sociale]:[Checkbox selezionato]],12,FALSE),"-")</f>
        <v>SI</v>
      </c>
    </row>
    <row r="235" spans="1:44" ht="30" hidden="1" customHeight="1" x14ac:dyDescent="0.25">
      <c r="A235" s="60" t="str">
        <f>UPPER(LEFT(Table2[[#This Row],[Contraente]],1))</f>
        <v>C</v>
      </c>
      <c r="B235" s="60" t="s">
        <v>1634</v>
      </c>
      <c r="C235" s="81" t="s">
        <v>439</v>
      </c>
      <c r="D235" s="80" t="s">
        <v>37</v>
      </c>
      <c r="E235" s="86">
        <v>104759518</v>
      </c>
      <c r="F235" s="64">
        <v>42240</v>
      </c>
      <c r="G235" s="64">
        <f>IFERROR(CALCOLASCADENZA(Table2[[#This Row],[Data attivazione]],Table2[[#This Row],[Rateizzazione]],Table2[[#This Row],[Data ultimo pagamento]],Table2[[#This Row],[Data prossima scadenza manuale]]),"-")</f>
        <v>693778</v>
      </c>
      <c r="H235" s="67" t="s">
        <v>31</v>
      </c>
      <c r="I235" s="67" t="s">
        <v>1230</v>
      </c>
      <c r="J235" s="33">
        <f>IFERROR(Table2[[#This Row],[Importo annuale]]/(12/VLOOKUP(Table2[[#This Row],[Rateizzazione]],TIPI_RATEIZZAZIONI,2,FALSE)),"-")</f>
        <v>650</v>
      </c>
      <c r="K235" s="88"/>
      <c r="L235" s="88">
        <v>1300</v>
      </c>
      <c r="M235" s="67" t="s">
        <v>44</v>
      </c>
      <c r="N235" s="67" t="s">
        <v>52</v>
      </c>
      <c r="O235" s="27" t="s">
        <v>1631</v>
      </c>
      <c r="P235" s="33" t="s">
        <v>22</v>
      </c>
      <c r="Q235" s="60">
        <f>IFERROR(IF(12 / VLOOKUP(Table2[[#This Row],[Rateizzazione]],TIPI_RATEIZZAZIONI,2,FALSE) &gt;=1,  IF(Table2[[#This Row],[Data attivazione]] = "","-",MONTH(Table2[[#This Row],[Data attivazione]])),"-"),"-")</f>
        <v>12</v>
      </c>
      <c r="R2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5" s="67" t="s">
        <v>2</v>
      </c>
      <c r="V235" s="62"/>
      <c r="W235" s="64">
        <v>693597</v>
      </c>
      <c r="X235" s="29">
        <f>DATE(YEAR(Table2[[#This Row],[Data attivazione]])+VLOOKUP(Table2[[#This Row],[Durata]],VALORE_DURATA,2,FALSE),MONTH(Table2[[#This Row],[Data attivazione]]),DAY(Table2[[#This Row],[Data attivazione]]))</f>
        <v>693962</v>
      </c>
      <c r="Y235" s="65"/>
      <c r="Z235" s="61"/>
      <c r="AA235" s="64" t="s">
        <v>88</v>
      </c>
      <c r="AB235" s="29" t="str">
        <f>IF(Table2[[#This Row],[Data ultimo versamento temp]]=0/1/1900,"-",Table2[[#This Row],[Data ultimo versamento temp]])</f>
        <v>-</v>
      </c>
      <c r="AC235" s="29">
        <f t="array" ref="AC235">MAX(IF(TableVersamenti[Polizza]=Table2[[#This Row],[Polizza]],TableVersamenti[Data prevista versamento],"-"))</f>
        <v>0</v>
      </c>
      <c r="AD235" s="62"/>
      <c r="AE235" s="106">
        <f>DATE(YEAR(Table2[[#This Row],[Data ultimo pagamento]]),MONTH(Table2[[#This Row],[Data ultimo pagamento]]), 1)</f>
        <v>42217</v>
      </c>
      <c r="AF235" s="106">
        <f>DATE(YEAR(Table2[[#This Row],[Data prossima scadenza]]),MONTH(Table2[[#This Row],[Data prossima scadenza]]), 1)</f>
        <v>693749</v>
      </c>
      <c r="AG235" s="33">
        <f>IFERROR(Table2[[#This Row],[Importo annuale]]*VLOOKUP(Table2[[#This Row],[Ramo]],RAMI_POLIZZA,2,FALSE),0)</f>
        <v>67.599999999999994</v>
      </c>
      <c r="AH235" s="65" t="s">
        <v>113</v>
      </c>
      <c r="AI235" s="63" t="str">
        <f>IFERROR(VLOOKUP(Table2[[#This Row],[Contraente]],Table1[[Nome/Ragione sociale]:[Checkbox selezionato]],2,FALSE),"-")</f>
        <v>ALBUZZANO</v>
      </c>
      <c r="AJ235" s="63">
        <f>IFERROR(VLOOKUP(Table2[[#This Row],[Contraente]],Table1[[Nome/Ragione sociale]:[Checkbox selezionato]],3,FALSE),"-")</f>
        <v>3773210414</v>
      </c>
      <c r="AK235" s="63">
        <f>IFERROR(VLOOKUP(Table2[[#This Row],[Contraente]],Table1[[Nome/Ragione sociale]:[Checkbox selezionato]],4,FALSE),"-")</f>
        <v>0</v>
      </c>
      <c r="AL235" s="63" t="str">
        <f>IFERROR(VLOOKUP(Table2[[#This Row],[Contraente]],Table1[[Nome/Ragione sociale]:[Checkbox selezionato]],5,FALSE),"-")</f>
        <v>MOGLIE</v>
      </c>
      <c r="AM235" s="62">
        <f>IFERROR(VLOOKUP(Table2[[#This Row],[Contraente]],Table1[[Nome/Ragione sociale]:[Checkbox selezionato]],6,FALSE),"-")</f>
        <v>19031</v>
      </c>
      <c r="AN235" s="63" t="str">
        <f>IFERROR(VLOOKUP(Table2[[#This Row],[Contraente]],Table1[[Nome/Ragione sociale]:[Checkbox selezionato]],7,FALSE),"-")</f>
        <v>papies@libero.it</v>
      </c>
      <c r="AO235" s="63">
        <f>IFERROR(VLOOKUP(Table2[[#This Row],[Contraente]],Table1[[Nome/Ragione sociale]:[Checkbox selezionato]],8,FALSE),"-")</f>
        <v>0</v>
      </c>
      <c r="AP235" s="63">
        <f>IFERROR(VLOOKUP(Table2[[#This Row],[Contraente]],Table1[[Nome/Ragione sociale]:[Checkbox selezionato]],10,FALSE),"-")</f>
        <v>3773210414</v>
      </c>
      <c r="AQ235" s="63" t="str">
        <f>IFERROR(VLOOKUP(Table2[[#This Row],[Contraente]],Table1[[Nome/Ragione sociale]:[Checkbox selezionato]],11,FALSE),"-")</f>
        <v>SI</v>
      </c>
      <c r="AR235" s="63" t="str">
        <f>IFERROR(VLOOKUP(Table2[[#This Row],[Contraente]],Table1[[Nome/Ragione sociale]:[Checkbox selezionato]],12,FALSE),"-")</f>
        <v>SI</v>
      </c>
    </row>
    <row r="236" spans="1:44" ht="30" hidden="1" customHeight="1" x14ac:dyDescent="0.25">
      <c r="A236" s="60" t="str">
        <f>UPPER(LEFT(Table2[[#This Row],[Contraente]],1))</f>
        <v>C</v>
      </c>
      <c r="B236" s="60" t="s">
        <v>1634</v>
      </c>
      <c r="C236" s="81" t="s">
        <v>439</v>
      </c>
      <c r="D236" s="81" t="s">
        <v>37</v>
      </c>
      <c r="E236" s="86">
        <v>103449102</v>
      </c>
      <c r="F236" s="64">
        <v>42145</v>
      </c>
      <c r="G236" s="64">
        <f>IFERROR(CALCOLASCADENZA(Table2[[#This Row],[Data attivazione]],Table2[[#This Row],[Rateizzazione]],Table2[[#This Row],[Data ultimo pagamento]],Table2[[#This Row],[Data prossima scadenza manuale]]),"-")</f>
        <v>693687</v>
      </c>
      <c r="H236" s="67" t="s">
        <v>31</v>
      </c>
      <c r="I236" s="67" t="s">
        <v>1228</v>
      </c>
      <c r="J236" s="33">
        <f>IFERROR(Table2[[#This Row],[Importo annuale]]/(12/VLOOKUP(Table2[[#This Row],[Rateizzazione]],TIPI_RATEIZZAZIONI,2,FALSE)),"-")</f>
        <v>302.83</v>
      </c>
      <c r="K236" s="88"/>
      <c r="L236" s="88">
        <v>1211.32</v>
      </c>
      <c r="M236" s="67" t="s">
        <v>44</v>
      </c>
      <c r="N236" s="67" t="s">
        <v>51</v>
      </c>
      <c r="O236" s="27" t="s">
        <v>1631</v>
      </c>
      <c r="P236" s="33" t="s">
        <v>20</v>
      </c>
      <c r="Q236" s="60">
        <f>IFERROR(IF(12 / VLOOKUP(Table2[[#This Row],[Rateizzazione]],TIPI_RATEIZZAZIONI,2,FALSE) &gt;=1,  IF(Table2[[#This Row],[Data attivazione]] = "","-",MONTH(Table2[[#This Row],[Data attivazione]])),"-"),"-")</f>
        <v>12</v>
      </c>
      <c r="R2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3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23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236" s="67" t="s">
        <v>2</v>
      </c>
      <c r="V236" s="62"/>
      <c r="W236" s="64">
        <v>693597</v>
      </c>
      <c r="X236" s="29">
        <f>DATE(YEAR(Table2[[#This Row],[Data attivazione]])+VLOOKUP(Table2[[#This Row],[Durata]],VALORE_DURATA,2,FALSE),MONTH(Table2[[#This Row],[Data attivazione]]),DAY(Table2[[#This Row],[Data attivazione]]))</f>
        <v>693962</v>
      </c>
      <c r="Y236" s="65"/>
      <c r="Z236" s="61"/>
      <c r="AA236" s="64" t="s">
        <v>88</v>
      </c>
      <c r="AB236" s="29" t="str">
        <f>IF(Table2[[#This Row],[Data ultimo versamento temp]]=0/1/1900,"-",Table2[[#This Row],[Data ultimo versamento temp]])</f>
        <v>-</v>
      </c>
      <c r="AC236" s="29">
        <f t="array" ref="AC236">MAX(IF(TableVersamenti[Polizza]=Table2[[#This Row],[Polizza]],TableVersamenti[Data prevista versamento],"-"))</f>
        <v>0</v>
      </c>
      <c r="AD236" s="62"/>
      <c r="AE236" s="106">
        <f>DATE(YEAR(Table2[[#This Row],[Data ultimo pagamento]]),MONTH(Table2[[#This Row],[Data ultimo pagamento]]), 1)</f>
        <v>42125</v>
      </c>
      <c r="AF236" s="106">
        <f>DATE(YEAR(Table2[[#This Row],[Data prossima scadenza]]),MONTH(Table2[[#This Row],[Data prossima scadenza]]), 1)</f>
        <v>693657</v>
      </c>
      <c r="AG236" s="33">
        <f>IFERROR(Table2[[#This Row],[Importo annuale]]*VLOOKUP(Table2[[#This Row],[Ramo]],RAMI_POLIZZA,2,FALSE),0)</f>
        <v>62.988639999999997</v>
      </c>
      <c r="AH236" s="65" t="s">
        <v>113</v>
      </c>
      <c r="AI236" s="63" t="str">
        <f>IFERROR(VLOOKUP(Table2[[#This Row],[Contraente]],Table1[[Nome/Ragione sociale]:[Checkbox selezionato]],2,FALSE),"-")</f>
        <v>ALBUZZANO</v>
      </c>
      <c r="AJ236" s="63">
        <f>IFERROR(VLOOKUP(Table2[[#This Row],[Contraente]],Table1[[Nome/Ragione sociale]:[Checkbox selezionato]],3,FALSE),"-")</f>
        <v>3773210414</v>
      </c>
      <c r="AK236" s="63">
        <f>IFERROR(VLOOKUP(Table2[[#This Row],[Contraente]],Table1[[Nome/Ragione sociale]:[Checkbox selezionato]],4,FALSE),"-")</f>
        <v>0</v>
      </c>
      <c r="AL236" s="63" t="str">
        <f>IFERROR(VLOOKUP(Table2[[#This Row],[Contraente]],Table1[[Nome/Ragione sociale]:[Checkbox selezionato]],5,FALSE),"-")</f>
        <v>MOGLIE</v>
      </c>
      <c r="AM236" s="62">
        <f>IFERROR(VLOOKUP(Table2[[#This Row],[Contraente]],Table1[[Nome/Ragione sociale]:[Checkbox selezionato]],6,FALSE),"-")</f>
        <v>19031</v>
      </c>
      <c r="AN236" s="63" t="str">
        <f>IFERROR(VLOOKUP(Table2[[#This Row],[Contraente]],Table1[[Nome/Ragione sociale]:[Checkbox selezionato]],7,FALSE),"-")</f>
        <v>papies@libero.it</v>
      </c>
      <c r="AO236" s="63">
        <f>IFERROR(VLOOKUP(Table2[[#This Row],[Contraente]],Table1[[Nome/Ragione sociale]:[Checkbox selezionato]],8,FALSE),"-")</f>
        <v>0</v>
      </c>
      <c r="AP236" s="63">
        <f>IFERROR(VLOOKUP(Table2[[#This Row],[Contraente]],Table1[[Nome/Ragione sociale]:[Checkbox selezionato]],10,FALSE),"-")</f>
        <v>3773210414</v>
      </c>
      <c r="AQ236" s="63" t="str">
        <f>IFERROR(VLOOKUP(Table2[[#This Row],[Contraente]],Table1[[Nome/Ragione sociale]:[Checkbox selezionato]],11,FALSE),"-")</f>
        <v>SI</v>
      </c>
      <c r="AR236" s="63" t="str">
        <f>IFERROR(VLOOKUP(Table2[[#This Row],[Contraente]],Table1[[Nome/Ragione sociale]:[Checkbox selezionato]],12,FALSE),"-")</f>
        <v>SI</v>
      </c>
    </row>
    <row r="237" spans="1:44" ht="30" hidden="1" customHeight="1" x14ac:dyDescent="0.25">
      <c r="A237" s="60" t="str">
        <f>UPPER(LEFT(Table2[[#This Row],[Contraente]],1))</f>
        <v>C</v>
      </c>
      <c r="B237" s="60" t="s">
        <v>1634</v>
      </c>
      <c r="C237" s="81" t="s">
        <v>439</v>
      </c>
      <c r="D237" s="81" t="s">
        <v>37</v>
      </c>
      <c r="E237" s="86">
        <v>102687791</v>
      </c>
      <c r="F237" s="64">
        <v>42444</v>
      </c>
      <c r="G237" s="64">
        <f>IFERROR(CALCOLASCADENZA(Table2[[#This Row],[Data attivazione]],Table2[[#This Row],[Rateizzazione]],Table2[[#This Row],[Data ultimo pagamento]],Table2[[#This Row],[Data prossima scadenza manuale]]),"-")</f>
        <v>42519</v>
      </c>
      <c r="H237" s="67" t="s">
        <v>31</v>
      </c>
      <c r="I237" s="67" t="s">
        <v>1229</v>
      </c>
      <c r="J237" s="33">
        <f>IFERROR(Table2[[#This Row],[Importo annuale]]/(12/VLOOKUP(Table2[[#This Row],[Rateizzazione]],TIPI_RATEIZZAZIONI,2,FALSE)),"-")</f>
        <v>290.91000000000003</v>
      </c>
      <c r="K237" s="88"/>
      <c r="L237" s="88">
        <v>1163.6400000000001</v>
      </c>
      <c r="M237" s="67" t="s">
        <v>44</v>
      </c>
      <c r="N237" s="67" t="s">
        <v>51</v>
      </c>
      <c r="O237" s="27" t="s">
        <v>1631</v>
      </c>
      <c r="P237" s="33" t="s">
        <v>20</v>
      </c>
      <c r="Q237" s="60">
        <f>IFERROR(IF(12 / VLOOKUP(Table2[[#This Row],[Rateizzazione]],TIPI_RATEIZZAZIONI,2,FALSE) &gt;=1,  IF(Table2[[#This Row],[Data attivazione]] = "","-",MONTH(Table2[[#This Row],[Data attivazione]])),"-"),"-")</f>
        <v>5</v>
      </c>
      <c r="R2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23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237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237" s="67" t="s">
        <v>2</v>
      </c>
      <c r="V237" s="62"/>
      <c r="W237" s="64">
        <v>42153</v>
      </c>
      <c r="X237" s="29">
        <f>DATE(YEAR(Table2[[#This Row],[Data attivazione]])+VLOOKUP(Table2[[#This Row],[Durata]],VALORE_DURATA,2,FALSE),MONTH(Table2[[#This Row],[Data attivazione]]),DAY(Table2[[#This Row],[Data attivazione]]))</f>
        <v>42519</v>
      </c>
      <c r="Y237" s="65"/>
      <c r="Z237" s="61"/>
      <c r="AA237" s="64" t="s">
        <v>88</v>
      </c>
      <c r="AB237" s="29" t="str">
        <f>IF(Table2[[#This Row],[Data ultimo versamento temp]]=0/1/1900,"-",Table2[[#This Row],[Data ultimo versamento temp]])</f>
        <v>-</v>
      </c>
      <c r="AC237" s="29">
        <f t="array" ref="AC237">MAX(IF(TableVersamenti[Polizza]=Table2[[#This Row],[Polizza]],TableVersamenti[Data prevista versamento],"-"))</f>
        <v>0</v>
      </c>
      <c r="AD237" s="62"/>
      <c r="AE237" s="106">
        <f>DATE(YEAR(Table2[[#This Row],[Data ultimo pagamento]]),MONTH(Table2[[#This Row],[Data ultimo pagamento]]), 1)</f>
        <v>42430</v>
      </c>
      <c r="AF237" s="106">
        <f>DATE(YEAR(Table2[[#This Row],[Data prossima scadenza]]),MONTH(Table2[[#This Row],[Data prossima scadenza]]), 1)</f>
        <v>42491</v>
      </c>
      <c r="AG237" s="33">
        <f>IFERROR(Table2[[#This Row],[Importo annuale]]*VLOOKUP(Table2[[#This Row],[Ramo]],RAMI_POLIZZA,2,FALSE),0)</f>
        <v>60.509280000000004</v>
      </c>
      <c r="AH237" s="65" t="s">
        <v>113</v>
      </c>
      <c r="AI237" s="63" t="str">
        <f>IFERROR(VLOOKUP(Table2[[#This Row],[Contraente]],Table1[[Nome/Ragione sociale]:[Checkbox selezionato]],2,FALSE),"-")</f>
        <v>ALBUZZANO</v>
      </c>
      <c r="AJ237" s="63">
        <f>IFERROR(VLOOKUP(Table2[[#This Row],[Contraente]],Table1[[Nome/Ragione sociale]:[Checkbox selezionato]],3,FALSE),"-")</f>
        <v>3773210414</v>
      </c>
      <c r="AK237" s="63">
        <f>IFERROR(VLOOKUP(Table2[[#This Row],[Contraente]],Table1[[Nome/Ragione sociale]:[Checkbox selezionato]],4,FALSE),"-")</f>
        <v>0</v>
      </c>
      <c r="AL237" s="63" t="str">
        <f>IFERROR(VLOOKUP(Table2[[#This Row],[Contraente]],Table1[[Nome/Ragione sociale]:[Checkbox selezionato]],5,FALSE),"-")</f>
        <v>MOGLIE</v>
      </c>
      <c r="AM237" s="62">
        <f>IFERROR(VLOOKUP(Table2[[#This Row],[Contraente]],Table1[[Nome/Ragione sociale]:[Checkbox selezionato]],6,FALSE),"-")</f>
        <v>19031</v>
      </c>
      <c r="AN237" s="63" t="str">
        <f>IFERROR(VLOOKUP(Table2[[#This Row],[Contraente]],Table1[[Nome/Ragione sociale]:[Checkbox selezionato]],7,FALSE),"-")</f>
        <v>papies@libero.it</v>
      </c>
      <c r="AO237" s="63">
        <f>IFERROR(VLOOKUP(Table2[[#This Row],[Contraente]],Table1[[Nome/Ragione sociale]:[Checkbox selezionato]],8,FALSE),"-")</f>
        <v>0</v>
      </c>
      <c r="AP237" s="63">
        <f>IFERROR(VLOOKUP(Table2[[#This Row],[Contraente]],Table1[[Nome/Ragione sociale]:[Checkbox selezionato]],10,FALSE),"-")</f>
        <v>3773210414</v>
      </c>
      <c r="AQ237" s="63" t="str">
        <f>IFERROR(VLOOKUP(Table2[[#This Row],[Contraente]],Table1[[Nome/Ragione sociale]:[Checkbox selezionato]],11,FALSE),"-")</f>
        <v>SI</v>
      </c>
      <c r="AR237" s="63" t="str">
        <f>IFERROR(VLOOKUP(Table2[[#This Row],[Contraente]],Table1[[Nome/Ragione sociale]:[Checkbox selezionato]],12,FALSE),"-")</f>
        <v>SI</v>
      </c>
    </row>
    <row r="238" spans="1:44" ht="30" hidden="1" customHeight="1" x14ac:dyDescent="0.25">
      <c r="A238" s="60" t="str">
        <f>UPPER(LEFT(Table2[[#This Row],[Contraente]],1))</f>
        <v>C</v>
      </c>
      <c r="B238" s="60" t="s">
        <v>1634</v>
      </c>
      <c r="C238" s="81" t="s">
        <v>440</v>
      </c>
      <c r="D238" s="81" t="s">
        <v>37</v>
      </c>
      <c r="E238" s="86">
        <v>105530734</v>
      </c>
      <c r="F238" s="64">
        <v>42496</v>
      </c>
      <c r="G238" s="64">
        <f>IFERROR(CALCOLASCADENZA(Table2[[#This Row],[Data attivazione]],Table2[[#This Row],[Rateizzazione]],Table2[[#This Row],[Data ultimo pagamento]],Table2[[#This Row],[Data prossima scadenza manuale]]),"-")</f>
        <v>42620</v>
      </c>
      <c r="H238" s="67" t="s">
        <v>31</v>
      </c>
      <c r="I238" s="67" t="s">
        <v>1231</v>
      </c>
      <c r="J238" s="33">
        <f>IFERROR(Table2[[#This Row],[Importo annuale]]/(12/VLOOKUP(Table2[[#This Row],[Rateizzazione]],TIPI_RATEIZZAZIONI,2,FALSE)),"-")</f>
        <v>280</v>
      </c>
      <c r="K238" s="88"/>
      <c r="L238" s="88">
        <v>840</v>
      </c>
      <c r="M238" s="67" t="s">
        <v>43</v>
      </c>
      <c r="N238" s="67" t="s">
        <v>51</v>
      </c>
      <c r="O238" s="27" t="s">
        <v>1631</v>
      </c>
      <c r="P238" s="33" t="s">
        <v>21</v>
      </c>
      <c r="Q238" s="60">
        <f>IFERROR(IF(12 / VLOOKUP(Table2[[#This Row],[Rateizzazione]],TIPI_RATEIZZAZIONI,2,FALSE) &gt;=1,  IF(Table2[[#This Row],[Data attivazione]] = "","-",MONTH(Table2[[#This Row],[Data attivazione]])),"-"),"-")</f>
        <v>9</v>
      </c>
      <c r="R2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3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2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8" s="67" t="s">
        <v>2</v>
      </c>
      <c r="V238" s="62"/>
      <c r="W238" s="64">
        <v>42254</v>
      </c>
      <c r="X238" s="29">
        <f>DATE(YEAR(Table2[[#This Row],[Data attivazione]])+VLOOKUP(Table2[[#This Row],[Durata]],VALORE_DURATA,2,FALSE),MONTH(Table2[[#This Row],[Data attivazione]]),DAY(Table2[[#This Row],[Data attivazione]]))</f>
        <v>42620</v>
      </c>
      <c r="Y238" s="65"/>
      <c r="Z238" s="61"/>
      <c r="AA238" s="64" t="s">
        <v>88</v>
      </c>
      <c r="AB238" s="29" t="str">
        <f>IF(Table2[[#This Row],[Data ultimo versamento temp]]=0/1/1900,"-",Table2[[#This Row],[Data ultimo versamento temp]])</f>
        <v>-</v>
      </c>
      <c r="AC238" s="29">
        <f t="array" ref="AC238">MAX(IF(TableVersamenti[Polizza]=Table2[[#This Row],[Polizza]],TableVersamenti[Data prevista versamento],"-"))</f>
        <v>0</v>
      </c>
      <c r="AD238" s="62"/>
      <c r="AE238" s="106">
        <f>DATE(YEAR(Table2[[#This Row],[Data ultimo pagamento]]),MONTH(Table2[[#This Row],[Data ultimo pagamento]]), 1)</f>
        <v>42491</v>
      </c>
      <c r="AF238" s="106">
        <f>DATE(YEAR(Table2[[#This Row],[Data prossima scadenza]]),MONTH(Table2[[#This Row],[Data prossima scadenza]]), 1)</f>
        <v>42614</v>
      </c>
      <c r="AG238" s="33">
        <f>IFERROR(Table2[[#This Row],[Importo annuale]]*VLOOKUP(Table2[[#This Row],[Ramo]],RAMI_POLIZZA,2,FALSE),0)</f>
        <v>43.68</v>
      </c>
      <c r="AH238" s="65" t="s">
        <v>113</v>
      </c>
      <c r="AI238" s="63" t="str">
        <f>IFERROR(VLOOKUP(Table2[[#This Row],[Contraente]],Table1[[Nome/Ragione sociale]:[Checkbox selezionato]],2,FALSE),"-")</f>
        <v>ALBUZZANO</v>
      </c>
      <c r="AJ238" s="63">
        <f>IFERROR(VLOOKUP(Table2[[#This Row],[Contraente]],Table1[[Nome/Ragione sociale]:[Checkbox selezionato]],3,FALSE),"-")</f>
        <v>3773210414</v>
      </c>
      <c r="AK238" s="63">
        <f>IFERROR(VLOOKUP(Table2[[#This Row],[Contraente]],Table1[[Nome/Ragione sociale]:[Checkbox selezionato]],4,FALSE),"-")</f>
        <v>0</v>
      </c>
      <c r="AL238" s="63" t="str">
        <f>IFERROR(VLOOKUP(Table2[[#This Row],[Contraente]],Table1[[Nome/Ragione sociale]:[Checkbox selezionato]],5,FALSE),"-")</f>
        <v>MOGLIE</v>
      </c>
      <c r="AM238" s="62">
        <f>IFERROR(VLOOKUP(Table2[[#This Row],[Contraente]],Table1[[Nome/Ragione sociale]:[Checkbox selezionato]],6,FALSE),"-")</f>
        <v>19031</v>
      </c>
      <c r="AN238" s="63" t="str">
        <f>IFERROR(VLOOKUP(Table2[[#This Row],[Contraente]],Table1[[Nome/Ragione sociale]:[Checkbox selezionato]],7,FALSE),"-")</f>
        <v>papies@libero.it</v>
      </c>
      <c r="AO238" s="63">
        <f>IFERROR(VLOOKUP(Table2[[#This Row],[Contraente]],Table1[[Nome/Ragione sociale]:[Checkbox selezionato]],8,FALSE),"-")</f>
        <v>0</v>
      </c>
      <c r="AP238" s="63">
        <f>IFERROR(VLOOKUP(Table2[[#This Row],[Contraente]],Table1[[Nome/Ragione sociale]:[Checkbox selezionato]],10,FALSE),"-")</f>
        <v>3773210414</v>
      </c>
      <c r="AQ238" s="63" t="str">
        <f>IFERROR(VLOOKUP(Table2[[#This Row],[Contraente]],Table1[[Nome/Ragione sociale]:[Checkbox selezionato]],11,FALSE),"-")</f>
        <v>SI</v>
      </c>
      <c r="AR238" s="63" t="str">
        <f>IFERROR(VLOOKUP(Table2[[#This Row],[Contraente]],Table1[[Nome/Ragione sociale]:[Checkbox selezionato]],12,FALSE),"-")</f>
        <v>SI</v>
      </c>
    </row>
    <row r="239" spans="1:44" ht="30" hidden="1" customHeight="1" x14ac:dyDescent="0.25">
      <c r="A239" s="60" t="str">
        <f>UPPER(LEFT(Table2[[#This Row],[Contraente]],1))</f>
        <v>C</v>
      </c>
      <c r="B239" s="60" t="s">
        <v>1634</v>
      </c>
      <c r="C239" s="81" t="s">
        <v>441</v>
      </c>
      <c r="D239" s="81" t="s">
        <v>37</v>
      </c>
      <c r="E239" s="86">
        <v>104711949</v>
      </c>
      <c r="F239" s="64">
        <v>42587</v>
      </c>
      <c r="G239" s="64">
        <f>IFERROR(CALCOLASCADENZA(Table2[[#This Row],[Data attivazione]],Table2[[#This Row],[Rateizzazione]],Table2[[#This Row],[Data ultimo pagamento]],Table2[[#This Row],[Data prossima scadenza manuale]]),"-")</f>
        <v>42959</v>
      </c>
      <c r="H239" s="67" t="s">
        <v>30</v>
      </c>
      <c r="I239" s="67" t="s">
        <v>113</v>
      </c>
      <c r="J239" s="33">
        <f>IFERROR(Table2[[#This Row],[Importo annuale]]/(12/VLOOKUP(Table2[[#This Row],[Rateizzazione]],TIPI_RATEIZZAZIONI,2,FALSE)),"-")</f>
        <v>114</v>
      </c>
      <c r="K239" s="88"/>
      <c r="L239" s="88">
        <v>114</v>
      </c>
      <c r="M239" s="67" t="s">
        <v>45</v>
      </c>
      <c r="N239" s="67" t="s">
        <v>51</v>
      </c>
      <c r="O239" s="27" t="s">
        <v>1631</v>
      </c>
      <c r="P239" s="33" t="s">
        <v>23</v>
      </c>
      <c r="Q239" s="60">
        <f>IFERROR(IF(12 / VLOOKUP(Table2[[#This Row],[Rateizzazione]],TIPI_RATEIZZAZIONI,2,FALSE) &gt;=1,  IF(Table2[[#This Row],[Data attivazione]] = "","-",MONTH(Table2[[#This Row],[Data attivazione]])),"-"),"-")</f>
        <v>8</v>
      </c>
      <c r="R2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9" s="67" t="s">
        <v>2</v>
      </c>
      <c r="V239" s="62"/>
      <c r="W239" s="64">
        <v>42228</v>
      </c>
      <c r="X239" s="29">
        <f>DATE(YEAR(Table2[[#This Row],[Data attivazione]])+VLOOKUP(Table2[[#This Row],[Durata]],VALORE_DURATA,2,FALSE),MONTH(Table2[[#This Row],[Data attivazione]]),DAY(Table2[[#This Row],[Data attivazione]]))</f>
        <v>42594</v>
      </c>
      <c r="Y239" s="65"/>
      <c r="Z239" s="61"/>
      <c r="AA239" s="64" t="s">
        <v>88</v>
      </c>
      <c r="AB239" s="29" t="str">
        <f>IF(Table2[[#This Row],[Data ultimo versamento temp]]=0/1/1900,"-",Table2[[#This Row],[Data ultimo versamento temp]])</f>
        <v>-</v>
      </c>
      <c r="AC239" s="29">
        <f t="array" ref="AC239">MAX(IF(TableVersamenti[Polizza]=Table2[[#This Row],[Polizza]],TableVersamenti[Data prevista versamento],"-"))</f>
        <v>0</v>
      </c>
      <c r="AD239" s="62"/>
      <c r="AE239" s="106">
        <f>DATE(YEAR(Table2[[#This Row],[Data ultimo pagamento]]),MONTH(Table2[[#This Row],[Data ultimo pagamento]]), 1)</f>
        <v>42583</v>
      </c>
      <c r="AF239" s="106">
        <f>DATE(YEAR(Table2[[#This Row],[Data prossima scadenza]]),MONTH(Table2[[#This Row],[Data prossima scadenza]]), 1)</f>
        <v>42948</v>
      </c>
      <c r="AG239" s="33">
        <f>IFERROR(Table2[[#This Row],[Importo annuale]]*VLOOKUP(Table2[[#This Row],[Ramo]],RAMI_POLIZZA,2,FALSE),0)</f>
        <v>13.110000000000001</v>
      </c>
      <c r="AH239" s="65" t="s">
        <v>113</v>
      </c>
      <c r="AI239" s="63" t="str">
        <f>IFERROR(VLOOKUP(Table2[[#This Row],[Contraente]],Table1[[Nome/Ragione sociale]:[Checkbox selezionato]],2,FALSE),"-")</f>
        <v>MEZZANINO</v>
      </c>
      <c r="AJ239" s="63">
        <f>IFERROR(VLOOKUP(Table2[[#This Row],[Contraente]],Table1[[Nome/Ragione sociale]:[Checkbox selezionato]],3,FALSE),"-")</f>
        <v>3478329720</v>
      </c>
      <c r="AK239" s="63">
        <f>IFERROR(VLOOKUP(Table2[[#This Row],[Contraente]],Table1[[Nome/Ragione sociale]:[Checkbox selezionato]],4,FALSE),"-")</f>
        <v>0</v>
      </c>
      <c r="AL239" s="63" t="str">
        <f>IFERROR(VLOOKUP(Table2[[#This Row],[Contraente]],Table1[[Nome/Ragione sociale]:[Checkbox selezionato]],5,FALSE),"-")</f>
        <v>GIANLUCA</v>
      </c>
      <c r="AM239" s="62">
        <f>IFERROR(VLOOKUP(Table2[[#This Row],[Contraente]],Table1[[Nome/Ragione sociale]:[Checkbox selezionato]],6,FALSE),"-")</f>
        <v>26421</v>
      </c>
      <c r="AN239" s="63" t="str">
        <f>IFERROR(VLOOKUP(Table2[[#This Row],[Contraente]],Table1[[Nome/Ragione sociale]:[Checkbox selezionato]],7,FALSE),"-")</f>
        <v>papies@email.it</v>
      </c>
      <c r="AO239" s="63">
        <f>IFERROR(VLOOKUP(Table2[[#This Row],[Contraente]],Table1[[Nome/Ragione sociale]:[Checkbox selezionato]],8,FALSE),"-")</f>
        <v>0</v>
      </c>
      <c r="AP239" s="63">
        <f>IFERROR(VLOOKUP(Table2[[#This Row],[Contraente]],Table1[[Nome/Ragione sociale]:[Checkbox selezionato]],10,FALSE),"-")</f>
        <v>3478329720</v>
      </c>
      <c r="AQ239" s="63" t="str">
        <f>IFERROR(VLOOKUP(Table2[[#This Row],[Contraente]],Table1[[Nome/Ragione sociale]:[Checkbox selezionato]],11,FALSE),"-")</f>
        <v>SI</v>
      </c>
      <c r="AR239" s="63" t="str">
        <f>IFERROR(VLOOKUP(Table2[[#This Row],[Contraente]],Table1[[Nome/Ragione sociale]:[Checkbox selezionato]],12,FALSE),"-")</f>
        <v>SI</v>
      </c>
    </row>
    <row r="240" spans="1:44" ht="30" hidden="1" customHeight="1" x14ac:dyDescent="0.25">
      <c r="A240" s="60" t="str">
        <f>UPPER(LEFT(Table2[[#This Row],[Contraente]],1))</f>
        <v>C</v>
      </c>
      <c r="B240" s="60" t="s">
        <v>1634</v>
      </c>
      <c r="C240" s="81" t="s">
        <v>443</v>
      </c>
      <c r="D240" s="81" t="s">
        <v>37</v>
      </c>
      <c r="E240" s="86">
        <v>102687737</v>
      </c>
      <c r="F240" s="64">
        <v>42664</v>
      </c>
      <c r="G240" s="64">
        <f>IFERROR(CALCOLASCADENZA(Table2[[#This Row],[Data attivazione]],Table2[[#This Row],[Rateizzazione]],Table2[[#This Row],[Data ultimo pagamento]],Table2[[#This Row],[Data prossima scadenza manuale]]),"-")</f>
        <v>43029</v>
      </c>
      <c r="H240" s="67" t="s">
        <v>30</v>
      </c>
      <c r="I240" s="67" t="s">
        <v>113</v>
      </c>
      <c r="J240" s="33">
        <f>IFERROR(Table2[[#This Row],[Importo annuale]]/(12/VLOOKUP(Table2[[#This Row],[Rateizzazione]],TIPI_RATEIZZAZIONI,2,FALSE)),"-")</f>
        <v>149</v>
      </c>
      <c r="K240" s="88"/>
      <c r="L240" s="88">
        <v>149</v>
      </c>
      <c r="M240" s="67" t="s">
        <v>43</v>
      </c>
      <c r="N240" s="67" t="s">
        <v>51</v>
      </c>
      <c r="O240" s="27" t="s">
        <v>1631</v>
      </c>
      <c r="P240" s="33" t="s">
        <v>23</v>
      </c>
      <c r="Q240" s="60">
        <f>IFERROR(IF(12 / VLOOKUP(Table2[[#This Row],[Rateizzazione]],TIPI_RATEIZZAZIONI,2,FALSE) &gt;=1,  IF(Table2[[#This Row],[Data attivazione]] = "","-",MONTH(Table2[[#This Row],[Data attivazione]])),"-"),"-")</f>
        <v>10</v>
      </c>
      <c r="R2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0" s="67" t="s">
        <v>133</v>
      </c>
      <c r="V240" s="62"/>
      <c r="W240" s="64">
        <v>42664</v>
      </c>
      <c r="X240" s="29">
        <f>DATE(YEAR(Table2[[#This Row],[Data attivazione]])+VLOOKUP(Table2[[#This Row],[Durata]],VALORE_DURATA,2,FALSE),MONTH(Table2[[#This Row],[Data attivazione]]),DAY(Table2[[#This Row],[Data attivazione]]))</f>
        <v>43029</v>
      </c>
      <c r="Y240" s="65"/>
      <c r="Z240" s="61"/>
      <c r="AA240" s="64" t="s">
        <v>85</v>
      </c>
      <c r="AB240" s="29" t="str">
        <f>IF(Table2[[#This Row],[Data ultimo versamento temp]]=0/1/1900,"-",Table2[[#This Row],[Data ultimo versamento temp]])</f>
        <v>-</v>
      </c>
      <c r="AC240" s="29">
        <f t="array" ref="AC240">MAX(IF(TableVersamenti[Polizza]=Table2[[#This Row],[Polizza]],TableVersamenti[Data prevista versamento],"-"))</f>
        <v>0</v>
      </c>
      <c r="AD240" s="62"/>
      <c r="AE240" s="106">
        <f>DATE(YEAR(Table2[[#This Row],[Data ultimo pagamento]]),MONTH(Table2[[#This Row],[Data ultimo pagamento]]), 1)</f>
        <v>42644</v>
      </c>
      <c r="AF240" s="106">
        <f>DATE(YEAR(Table2[[#This Row],[Data prossima scadenza]]),MONTH(Table2[[#This Row],[Data prossima scadenza]]), 1)</f>
        <v>43009</v>
      </c>
      <c r="AG240" s="33">
        <f>IFERROR(Table2[[#This Row],[Importo annuale]]*VLOOKUP(Table2[[#This Row],[Ramo]],RAMI_POLIZZA,2,FALSE),0)</f>
        <v>17.135000000000002</v>
      </c>
      <c r="AH240" s="65" t="s">
        <v>113</v>
      </c>
      <c r="AI240" s="63" t="str">
        <f>IFERROR(VLOOKUP(Table2[[#This Row],[Contraente]],Table1[[Nome/Ragione sociale]:[Checkbox selezionato]],2,FALSE),"-")</f>
        <v>GAZZOLA</v>
      </c>
      <c r="AJ240" s="63" t="str">
        <f>IFERROR(VLOOKUP(Table2[[#This Row],[Contraente]],Table1[[Nome/Ragione sociale]:[Checkbox selezionato]],3,FALSE),"-")</f>
        <v>-</v>
      </c>
      <c r="AK240" s="63">
        <f>IFERROR(VLOOKUP(Table2[[#This Row],[Contraente]],Table1[[Nome/Ragione sociale]:[Checkbox selezionato]],4,FALSE),"-")</f>
        <v>0</v>
      </c>
      <c r="AL240" s="63" t="str">
        <f>IFERROR(VLOOKUP(Table2[[#This Row],[Contraente]],Table1[[Nome/Ragione sociale]:[Checkbox selezionato]],5,FALSE),"-")</f>
        <v>-</v>
      </c>
      <c r="AM240" s="62" t="str">
        <f>IFERROR(VLOOKUP(Table2[[#This Row],[Contraente]],Table1[[Nome/Ragione sociale]:[Checkbox selezionato]],6,FALSE),"-")</f>
        <v>-</v>
      </c>
      <c r="AN240" s="63" t="str">
        <f>IFERROR(VLOOKUP(Table2[[#This Row],[Contraente]],Table1[[Nome/Ragione sociale]:[Checkbox selezionato]],7,FALSE),"-")</f>
        <v>papies@libero.it</v>
      </c>
      <c r="AO240" s="63">
        <f>IFERROR(VLOOKUP(Table2[[#This Row],[Contraente]],Table1[[Nome/Ragione sociale]:[Checkbox selezionato]],8,FALSE),"-")</f>
        <v>0</v>
      </c>
      <c r="AP240" s="63" t="str">
        <f>IFERROR(VLOOKUP(Table2[[#This Row],[Contraente]],Table1[[Nome/Ragione sociale]:[Checkbox selezionato]],10,FALSE),"-")</f>
        <v>-</v>
      </c>
      <c r="AQ240" s="63" t="str">
        <f>IFERROR(VLOOKUP(Table2[[#This Row],[Contraente]],Table1[[Nome/Ragione sociale]:[Checkbox selezionato]],11,FALSE),"-")</f>
        <v>SI</v>
      </c>
      <c r="AR240" s="63" t="str">
        <f>IFERROR(VLOOKUP(Table2[[#This Row],[Contraente]],Table1[[Nome/Ragione sociale]:[Checkbox selezionato]],12,FALSE),"-")</f>
        <v>SI</v>
      </c>
    </row>
    <row r="241" spans="1:44" ht="30" hidden="1" customHeight="1" x14ac:dyDescent="0.25">
      <c r="A241" s="60" t="str">
        <f>UPPER(LEFT(Table2[[#This Row],[Contraente]],1))</f>
        <v>C</v>
      </c>
      <c r="B241" s="60" t="s">
        <v>1634</v>
      </c>
      <c r="C241" s="81" t="s">
        <v>445</v>
      </c>
      <c r="D241" s="81" t="s">
        <v>37</v>
      </c>
      <c r="E241" s="86">
        <v>106144593</v>
      </c>
      <c r="F241" s="64">
        <v>42845</v>
      </c>
      <c r="G241" s="64">
        <f>IFERROR(CALCOLASCADENZA(Table2[[#This Row],[Data attivazione]],Table2[[#This Row],[Rateizzazione]],Table2[[#This Row],[Data ultimo pagamento]],Table2[[#This Row],[Data prossima scadenza manuale]]),"-")</f>
        <v>43013</v>
      </c>
      <c r="H241" s="67" t="s">
        <v>31</v>
      </c>
      <c r="I241" s="67" t="s">
        <v>1232</v>
      </c>
      <c r="J241" s="33">
        <f>IFERROR(Table2[[#This Row],[Importo annuale]]/(12/VLOOKUP(Table2[[#This Row],[Rateizzazione]],TIPI_RATEIZZAZIONI,2,FALSE)),"-")</f>
        <v>450</v>
      </c>
      <c r="K241" s="88">
        <v>450</v>
      </c>
      <c r="L241" s="88">
        <v>900</v>
      </c>
      <c r="M241" s="67" t="s">
        <v>44</v>
      </c>
      <c r="N241" s="67" t="s">
        <v>51</v>
      </c>
      <c r="O241" s="27" t="s">
        <v>1631</v>
      </c>
      <c r="P241" s="33" t="s">
        <v>22</v>
      </c>
      <c r="Q241" s="60">
        <f>IFERROR(IF(12 / VLOOKUP(Table2[[#This Row],[Rateizzazione]],TIPI_RATEIZZAZIONI,2,FALSE) &gt;=1,  IF(Table2[[#This Row],[Data attivazione]] = "","-",MONTH(Table2[[#This Row],[Data attivazione]])),"-"),"-")</f>
        <v>10</v>
      </c>
      <c r="R2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1" s="67" t="s">
        <v>133</v>
      </c>
      <c r="V241" s="62"/>
      <c r="W241" s="64">
        <v>42648</v>
      </c>
      <c r="X241" s="29">
        <f>DATE(YEAR(Table2[[#This Row],[Data attivazione]])+VLOOKUP(Table2[[#This Row],[Durata]],VALORE_DURATA,2,FALSE),MONTH(Table2[[#This Row],[Data attivazione]]),DAY(Table2[[#This Row],[Data attivazione]]))</f>
        <v>43013</v>
      </c>
      <c r="Y241" s="65"/>
      <c r="Z241" s="61"/>
      <c r="AA241" s="64" t="s">
        <v>85</v>
      </c>
      <c r="AB241" s="29" t="str">
        <f>IF(Table2[[#This Row],[Data ultimo versamento temp]]=0/1/1900,"-",Table2[[#This Row],[Data ultimo versamento temp]])</f>
        <v>-</v>
      </c>
      <c r="AC241" s="29">
        <f t="array" ref="AC241">MAX(IF(TableVersamenti[Polizza]=Table2[[#This Row],[Polizza]],TableVersamenti[Data prevista versamento],"-"))</f>
        <v>0</v>
      </c>
      <c r="AD241" s="62"/>
      <c r="AE241" s="106">
        <f>DATE(YEAR(Table2[[#This Row],[Data ultimo pagamento]]),MONTH(Table2[[#This Row],[Data ultimo pagamento]]), 1)</f>
        <v>42826</v>
      </c>
      <c r="AF241" s="106">
        <f>DATE(YEAR(Table2[[#This Row],[Data prossima scadenza]]),MONTH(Table2[[#This Row],[Data prossima scadenza]]), 1)</f>
        <v>43009</v>
      </c>
      <c r="AG241" s="33">
        <f>IFERROR(Table2[[#This Row],[Importo annuale]]*VLOOKUP(Table2[[#This Row],[Ramo]],RAMI_POLIZZA,2,FALSE),0)</f>
        <v>46.8</v>
      </c>
      <c r="AH241" s="65" t="s">
        <v>113</v>
      </c>
      <c r="AI241" s="63" t="str">
        <f>IFERROR(VLOOKUP(Table2[[#This Row],[Contraente]],Table1[[Nome/Ragione sociale]:[Checkbox selezionato]],2,FALSE),"-")</f>
        <v>GAZZOLA</v>
      </c>
      <c r="AJ241" s="63">
        <f>IFERROR(VLOOKUP(Table2[[#This Row],[Contraente]],Table1[[Nome/Ragione sociale]:[Checkbox selezionato]],3,FALSE),"-")</f>
        <v>3470975448</v>
      </c>
      <c r="AK241" s="63">
        <f>IFERROR(VLOOKUP(Table2[[#This Row],[Contraente]],Table1[[Nome/Ragione sociale]:[Checkbox selezionato]],4,FALSE),"-")</f>
        <v>0</v>
      </c>
      <c r="AL241" s="63" t="str">
        <f>IFERROR(VLOOKUP(Table2[[#This Row],[Contraente]],Table1[[Nome/Ragione sociale]:[Checkbox selezionato]],5,FALSE),"-")</f>
        <v>NATASCIA</v>
      </c>
      <c r="AM241" s="62">
        <f>IFERROR(VLOOKUP(Table2[[#This Row],[Contraente]],Table1[[Nome/Ragione sociale]:[Checkbox selezionato]],6,FALSE),"-")</f>
        <v>29995</v>
      </c>
      <c r="AN241" s="63" t="str">
        <f>IFERROR(VLOOKUP(Table2[[#This Row],[Contraente]],Table1[[Nome/Ragione sociale]:[Checkbox selezionato]],7,FALSE),"-")</f>
        <v>papies@libero.it</v>
      </c>
      <c r="AO241" s="63">
        <f>IFERROR(VLOOKUP(Table2[[#This Row],[Contraente]],Table1[[Nome/Ragione sociale]:[Checkbox selezionato]],8,FALSE),"-")</f>
        <v>0</v>
      </c>
      <c r="AP241" s="63">
        <f>IFERROR(VLOOKUP(Table2[[#This Row],[Contraente]],Table1[[Nome/Ragione sociale]:[Checkbox selezionato]],10,FALSE),"-")</f>
        <v>3470975448</v>
      </c>
      <c r="AQ241" s="63" t="str">
        <f>IFERROR(VLOOKUP(Table2[[#This Row],[Contraente]],Table1[[Nome/Ragione sociale]:[Checkbox selezionato]],11,FALSE),"-")</f>
        <v>SI</v>
      </c>
      <c r="AR241" s="63" t="str">
        <f>IFERROR(VLOOKUP(Table2[[#This Row],[Contraente]],Table1[[Nome/Ragione sociale]:[Checkbox selezionato]],12,FALSE),"-")</f>
        <v>SI</v>
      </c>
    </row>
    <row r="242" spans="1:44" ht="30" hidden="1" customHeight="1" x14ac:dyDescent="0.25">
      <c r="A242" s="60" t="str">
        <f>UPPER(LEFT(Table2[[#This Row],[Contraente]],1))</f>
        <v>C</v>
      </c>
      <c r="B242" s="60" t="s">
        <v>1634</v>
      </c>
      <c r="C242" s="81" t="s">
        <v>447</v>
      </c>
      <c r="D242" s="81" t="s">
        <v>37</v>
      </c>
      <c r="E242" s="86">
        <v>103496701</v>
      </c>
      <c r="F242" s="64">
        <v>42082</v>
      </c>
      <c r="G242" s="64">
        <f>IFERROR(CALCOLASCADENZA(Table2[[#This Row],[Data attivazione]],Table2[[#This Row],[Rateizzazione]],Table2[[#This Row],[Data ultimo pagamento]],Table2[[#This Row],[Data prossima scadenza manuale]]),"-")</f>
        <v>693778</v>
      </c>
      <c r="H242" s="67" t="s">
        <v>31</v>
      </c>
      <c r="I242" s="67"/>
      <c r="J242" s="33">
        <f>IFERROR(Table2[[#This Row],[Importo annuale]]/(12/VLOOKUP(Table2[[#This Row],[Rateizzazione]],TIPI_RATEIZZAZIONI,2,FALSE)),"-")</f>
        <v>359.99</v>
      </c>
      <c r="K242" s="88"/>
      <c r="L242" s="88">
        <v>719.98</v>
      </c>
      <c r="M242" s="67" t="s">
        <v>44</v>
      </c>
      <c r="N242" s="67" t="s">
        <v>51</v>
      </c>
      <c r="O242" s="27" t="s">
        <v>1631</v>
      </c>
      <c r="P242" s="33" t="s">
        <v>22</v>
      </c>
      <c r="Q242" s="60">
        <f>IFERROR(IF(12 / VLOOKUP(Table2[[#This Row],[Rateizzazione]],TIPI_RATEIZZAZIONI,2,FALSE) &gt;=1,  IF(Table2[[#This Row],[Data attivazione]] = "","-",MONTH(Table2[[#This Row],[Data attivazione]])),"-"),"-")</f>
        <v>12</v>
      </c>
      <c r="R2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2" s="67" t="s">
        <v>133</v>
      </c>
      <c r="V242" s="62"/>
      <c r="W242" s="64">
        <v>693597</v>
      </c>
      <c r="X242" s="29">
        <f>DATE(YEAR(Table2[[#This Row],[Data attivazione]])+VLOOKUP(Table2[[#This Row],[Durata]],VALORE_DURATA,2,FALSE),MONTH(Table2[[#This Row],[Data attivazione]]),DAY(Table2[[#This Row],[Data attivazione]]))</f>
        <v>693962</v>
      </c>
      <c r="Y242" s="65"/>
      <c r="Z242" s="61"/>
      <c r="AA242" s="64" t="s">
        <v>88</v>
      </c>
      <c r="AB242" s="29" t="str">
        <f>IF(Table2[[#This Row],[Data ultimo versamento temp]]=0/1/1900,"-",Table2[[#This Row],[Data ultimo versamento temp]])</f>
        <v>-</v>
      </c>
      <c r="AC242" s="29">
        <f t="array" ref="AC242">MAX(IF(TableVersamenti[Polizza]=Table2[[#This Row],[Polizza]],TableVersamenti[Data prevista versamento],"-"))</f>
        <v>0</v>
      </c>
      <c r="AD242" s="62"/>
      <c r="AE242" s="106">
        <f>DATE(YEAR(Table2[[#This Row],[Data ultimo pagamento]]),MONTH(Table2[[#This Row],[Data ultimo pagamento]]), 1)</f>
        <v>42064</v>
      </c>
      <c r="AF242" s="106">
        <f>DATE(YEAR(Table2[[#This Row],[Data prossima scadenza]]),MONTH(Table2[[#This Row],[Data prossima scadenza]]), 1)</f>
        <v>693749</v>
      </c>
      <c r="AG242" s="33">
        <f>IFERROR(Table2[[#This Row],[Importo annuale]]*VLOOKUP(Table2[[#This Row],[Ramo]],RAMI_POLIZZA,2,FALSE),0)</f>
        <v>37.438960000000002</v>
      </c>
      <c r="AH242" s="65" t="s">
        <v>113</v>
      </c>
      <c r="AI242" s="63" t="str">
        <f>IFERROR(VLOOKUP(Table2[[#This Row],[Contraente]],Table1[[Nome/Ragione sociale]:[Checkbox selezionato]],2,FALSE),"-")</f>
        <v>GRAGNANO TREBBIENSE</v>
      </c>
      <c r="AJ242" s="63">
        <f>IFERROR(VLOOKUP(Table2[[#This Row],[Contraente]],Table1[[Nome/Ragione sociale]:[Checkbox selezionato]],3,FALSE),"-")</f>
        <v>3383888973</v>
      </c>
      <c r="AK242" s="63">
        <f>IFERROR(VLOOKUP(Table2[[#This Row],[Contraente]],Table1[[Nome/Ragione sociale]:[Checkbox selezionato]],4,FALSE),"-")</f>
        <v>0</v>
      </c>
      <c r="AL242" s="63" t="str">
        <f>IFERROR(VLOOKUP(Table2[[#This Row],[Contraente]],Table1[[Nome/Ragione sociale]:[Checkbox selezionato]],5,FALSE),"-")</f>
        <v>ORAZIO</v>
      </c>
      <c r="AM242" s="62">
        <f>IFERROR(VLOOKUP(Table2[[#This Row],[Contraente]],Table1[[Nome/Ragione sociale]:[Checkbox selezionato]],6,FALSE),"-")</f>
        <v>21809</v>
      </c>
      <c r="AN242" s="63" t="str">
        <f>IFERROR(VLOOKUP(Table2[[#This Row],[Contraente]],Table1[[Nome/Ragione sociale]:[Checkbox selezionato]],7,FALSE),"-")</f>
        <v>papies@email.it</v>
      </c>
      <c r="AO242" s="63">
        <f>IFERROR(VLOOKUP(Table2[[#This Row],[Contraente]],Table1[[Nome/Ragione sociale]:[Checkbox selezionato]],8,FALSE),"-")</f>
        <v>0</v>
      </c>
      <c r="AP242" s="63">
        <f>IFERROR(VLOOKUP(Table2[[#This Row],[Contraente]],Table1[[Nome/Ragione sociale]:[Checkbox selezionato]],10,FALSE),"-")</f>
        <v>3383888973</v>
      </c>
      <c r="AQ242" s="63" t="str">
        <f>IFERROR(VLOOKUP(Table2[[#This Row],[Contraente]],Table1[[Nome/Ragione sociale]:[Checkbox selezionato]],11,FALSE),"-")</f>
        <v>SI</v>
      </c>
      <c r="AR242" s="63" t="str">
        <f>IFERROR(VLOOKUP(Table2[[#This Row],[Contraente]],Table1[[Nome/Ragione sociale]:[Checkbox selezionato]],12,FALSE),"-")</f>
        <v>SI</v>
      </c>
    </row>
    <row r="243" spans="1:44" ht="30" hidden="1" customHeight="1" x14ac:dyDescent="0.25">
      <c r="A243" s="60" t="str">
        <f>UPPER(LEFT(Table2[[#This Row],[Contraente]],1))</f>
        <v>C</v>
      </c>
      <c r="B243" s="60" t="s">
        <v>1634</v>
      </c>
      <c r="C243" s="81" t="s">
        <v>447</v>
      </c>
      <c r="D243" s="81" t="s">
        <v>37</v>
      </c>
      <c r="E243" s="86">
        <v>102687600</v>
      </c>
      <c r="F243" s="64">
        <v>42822</v>
      </c>
      <c r="G243" s="64">
        <f>IFERROR(CALCOLASCADENZA(Table2[[#This Row],[Data attivazione]],Table2[[#This Row],[Rateizzazione]],Table2[[#This Row],[Data ultimo pagamento]],Table2[[#This Row],[Data prossima scadenza manuale]]),"-")</f>
        <v>42889</v>
      </c>
      <c r="H243" s="67" t="s">
        <v>30</v>
      </c>
      <c r="I243" s="67" t="s">
        <v>113</v>
      </c>
      <c r="J243" s="33">
        <f>IFERROR(Table2[[#This Row],[Importo annuale]]/(12/VLOOKUP(Table2[[#This Row],[Rateizzazione]],TIPI_RATEIZZAZIONI,2,FALSE)),"-")</f>
        <v>157</v>
      </c>
      <c r="K243" s="88">
        <v>157</v>
      </c>
      <c r="L243" s="88">
        <v>314</v>
      </c>
      <c r="M243" s="67" t="s">
        <v>44</v>
      </c>
      <c r="N243" s="67" t="s">
        <v>51</v>
      </c>
      <c r="O243" s="27" t="s">
        <v>1631</v>
      </c>
      <c r="P243" s="33" t="s">
        <v>22</v>
      </c>
      <c r="Q243" s="60">
        <f>IFERROR(IF(12 / VLOOKUP(Table2[[#This Row],[Rateizzazione]],TIPI_RATEIZZAZIONI,2,FALSE) &gt;=1,  IF(Table2[[#This Row],[Data attivazione]] = "","-",MONTH(Table2[[#This Row],[Data attivazione]])),"-"),"-")</f>
        <v>6</v>
      </c>
      <c r="R2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3" s="67" t="s">
        <v>133</v>
      </c>
      <c r="V243" s="62"/>
      <c r="W243" s="64">
        <v>42524</v>
      </c>
      <c r="X243" s="29">
        <f>DATE(YEAR(Table2[[#This Row],[Data attivazione]])+VLOOKUP(Table2[[#This Row],[Durata]],VALORE_DURATA,2,FALSE),MONTH(Table2[[#This Row],[Data attivazione]]),DAY(Table2[[#This Row],[Data attivazione]]))</f>
        <v>42889</v>
      </c>
      <c r="Y243" s="65"/>
      <c r="Z243" s="61"/>
      <c r="AA243" s="64" t="s">
        <v>88</v>
      </c>
      <c r="AB243" s="29" t="str">
        <f>IF(Table2[[#This Row],[Data ultimo versamento temp]]=0/1/1900,"-",Table2[[#This Row],[Data ultimo versamento temp]])</f>
        <v>-</v>
      </c>
      <c r="AC243" s="29">
        <f t="array" ref="AC243">MAX(IF(TableVersamenti[Polizza]=Table2[[#This Row],[Polizza]],TableVersamenti[Data prevista versamento],"-"))</f>
        <v>0</v>
      </c>
      <c r="AD243" s="62"/>
      <c r="AE243" s="106">
        <f>DATE(YEAR(Table2[[#This Row],[Data ultimo pagamento]]),MONTH(Table2[[#This Row],[Data ultimo pagamento]]), 1)</f>
        <v>42795</v>
      </c>
      <c r="AF243" s="106">
        <f>DATE(YEAR(Table2[[#This Row],[Data prossima scadenza]]),MONTH(Table2[[#This Row],[Data prossima scadenza]]), 1)</f>
        <v>42887</v>
      </c>
      <c r="AG243" s="33">
        <f>IFERROR(Table2[[#This Row],[Importo annuale]]*VLOOKUP(Table2[[#This Row],[Ramo]],RAMI_POLIZZA,2,FALSE),0)</f>
        <v>36.11</v>
      </c>
      <c r="AH243" s="65" t="s">
        <v>113</v>
      </c>
      <c r="AI243" s="63" t="str">
        <f>IFERROR(VLOOKUP(Table2[[#This Row],[Contraente]],Table1[[Nome/Ragione sociale]:[Checkbox selezionato]],2,FALSE),"-")</f>
        <v>GRAGNANO TREBBIENSE</v>
      </c>
      <c r="AJ243" s="63">
        <f>IFERROR(VLOOKUP(Table2[[#This Row],[Contraente]],Table1[[Nome/Ragione sociale]:[Checkbox selezionato]],3,FALSE),"-")</f>
        <v>3383888973</v>
      </c>
      <c r="AK243" s="63">
        <f>IFERROR(VLOOKUP(Table2[[#This Row],[Contraente]],Table1[[Nome/Ragione sociale]:[Checkbox selezionato]],4,FALSE),"-")</f>
        <v>0</v>
      </c>
      <c r="AL243" s="63" t="str">
        <f>IFERROR(VLOOKUP(Table2[[#This Row],[Contraente]],Table1[[Nome/Ragione sociale]:[Checkbox selezionato]],5,FALSE),"-")</f>
        <v>ORAZIO</v>
      </c>
      <c r="AM243" s="62">
        <f>IFERROR(VLOOKUP(Table2[[#This Row],[Contraente]],Table1[[Nome/Ragione sociale]:[Checkbox selezionato]],6,FALSE),"-")</f>
        <v>21809</v>
      </c>
      <c r="AN243" s="63" t="str">
        <f>IFERROR(VLOOKUP(Table2[[#This Row],[Contraente]],Table1[[Nome/Ragione sociale]:[Checkbox selezionato]],7,FALSE),"-")</f>
        <v>papies@email.it</v>
      </c>
      <c r="AO243" s="63">
        <f>IFERROR(VLOOKUP(Table2[[#This Row],[Contraente]],Table1[[Nome/Ragione sociale]:[Checkbox selezionato]],8,FALSE),"-")</f>
        <v>0</v>
      </c>
      <c r="AP243" s="63">
        <f>IFERROR(VLOOKUP(Table2[[#This Row],[Contraente]],Table1[[Nome/Ragione sociale]:[Checkbox selezionato]],10,FALSE),"-")</f>
        <v>3383888973</v>
      </c>
      <c r="AQ243" s="63" t="str">
        <f>IFERROR(VLOOKUP(Table2[[#This Row],[Contraente]],Table1[[Nome/Ragione sociale]:[Checkbox selezionato]],11,FALSE),"-")</f>
        <v>SI</v>
      </c>
      <c r="AR243" s="63" t="str">
        <f>IFERROR(VLOOKUP(Table2[[#This Row],[Contraente]],Table1[[Nome/Ragione sociale]:[Checkbox selezionato]],12,FALSE),"-")</f>
        <v>SI</v>
      </c>
    </row>
    <row r="244" spans="1:44" ht="30" hidden="1" customHeight="1" x14ac:dyDescent="0.25">
      <c r="A244" s="60" t="str">
        <f>UPPER(LEFT(Table2[[#This Row],[Contraente]],1))</f>
        <v>C</v>
      </c>
      <c r="B244" s="60" t="s">
        <v>1634</v>
      </c>
      <c r="C244" s="81" t="s">
        <v>1670</v>
      </c>
      <c r="D244" s="81" t="s">
        <v>37</v>
      </c>
      <c r="E244" s="86">
        <v>106759775</v>
      </c>
      <c r="F244" s="64">
        <v>42845</v>
      </c>
      <c r="G244" s="64">
        <f>IFERROR(CALCOLASCADENZA(Table2[[#This Row],[Data attivazione]],Table2[[#This Row],[Rateizzazione]],Table2[[#This Row],[Data ultimo pagamento]],Table2[[#This Row],[Data prossima scadenza manuale]]),"-")</f>
        <v>43028</v>
      </c>
      <c r="H244" s="67" t="s">
        <v>31</v>
      </c>
      <c r="I244" s="67" t="s">
        <v>1689</v>
      </c>
      <c r="J244" s="33">
        <f>IFERROR(Table2[[#This Row],[Importo annuale]]/(12/VLOOKUP(Table2[[#This Row],[Rateizzazione]],TIPI_RATEIZZAZIONI,2,FALSE)),"-")</f>
        <v>340.2</v>
      </c>
      <c r="K244" s="88">
        <v>340.2</v>
      </c>
      <c r="L244" s="88">
        <v>680.4</v>
      </c>
      <c r="M244" s="67" t="s">
        <v>44</v>
      </c>
      <c r="N244" s="67" t="s">
        <v>52</v>
      </c>
      <c r="O244" s="27" t="s">
        <v>1631</v>
      </c>
      <c r="P244" s="33" t="s">
        <v>22</v>
      </c>
      <c r="Q244" s="60">
        <f>IFERROR(IF(12 / VLOOKUP(Table2[[#This Row],[Rateizzazione]],TIPI_RATEIZZAZIONI,2,FALSE) &gt;=1,  IF(Table2[[#This Row],[Data attivazione]] = "","-",MONTH(Table2[[#This Row],[Data attivazione]])),"-"),"-")</f>
        <v>10</v>
      </c>
      <c r="R2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4" s="67" t="s">
        <v>133</v>
      </c>
      <c r="V244" s="62"/>
      <c r="W244" s="64">
        <v>42663</v>
      </c>
      <c r="X244" s="29">
        <f>DATE(YEAR(Table2[[#This Row],[Data attivazione]])+VLOOKUP(Table2[[#This Row],[Durata]],VALORE_DURATA,2,FALSE),MONTH(Table2[[#This Row],[Data attivazione]]),DAY(Table2[[#This Row],[Data attivazione]]))</f>
        <v>43028</v>
      </c>
      <c r="Y244" s="65"/>
      <c r="Z244" s="61"/>
      <c r="AA244" s="64" t="s">
        <v>85</v>
      </c>
      <c r="AB244" s="29" t="str">
        <f>IF(Table2[[#This Row],[Data ultimo versamento temp]]=0/1/1900,"-",Table2[[#This Row],[Data ultimo versamento temp]])</f>
        <v>-</v>
      </c>
      <c r="AC244" s="29">
        <f t="array" ref="AC244">MAX(IF(TableVersamenti[Polizza]=Table2[[#This Row],[Polizza]],TableVersamenti[Data prevista versamento],"-"))</f>
        <v>0</v>
      </c>
      <c r="AD244" s="62"/>
      <c r="AE244" s="106">
        <f>DATE(YEAR(Table2[[#This Row],[Data ultimo pagamento]]),MONTH(Table2[[#This Row],[Data ultimo pagamento]]), 1)</f>
        <v>42826</v>
      </c>
      <c r="AF244" s="106">
        <f>DATE(YEAR(Table2[[#This Row],[Data prossima scadenza]]),MONTH(Table2[[#This Row],[Data prossima scadenza]]), 1)</f>
        <v>43009</v>
      </c>
      <c r="AG244" s="33">
        <f>IFERROR(Table2[[#This Row],[Importo annuale]]*VLOOKUP(Table2[[#This Row],[Ramo]],RAMI_POLIZZA,2,FALSE),0)</f>
        <v>35.380800000000001</v>
      </c>
      <c r="AH244" s="65" t="s">
        <v>113</v>
      </c>
      <c r="AI244" s="63" t="str">
        <f>IFERROR(VLOOKUP(Table2[[#This Row],[Contraente]],Table1[[Nome/Ragione sociale]:[Checkbox selezionato]],2,FALSE),"-")</f>
        <v>GRAGNANO TREBBIENSE</v>
      </c>
      <c r="AJ244" s="63">
        <f>IFERROR(VLOOKUP(Table2[[#This Row],[Contraente]],Table1[[Nome/Ragione sociale]:[Checkbox selezionato]],3,FALSE),"-")</f>
        <v>3383888973</v>
      </c>
      <c r="AK244" s="63">
        <f>IFERROR(VLOOKUP(Table2[[#This Row],[Contraente]],Table1[[Nome/Ragione sociale]:[Checkbox selezionato]],4,FALSE),"-")</f>
        <v>0</v>
      </c>
      <c r="AL244" s="63" t="str">
        <f>IFERROR(VLOOKUP(Table2[[#This Row],[Contraente]],Table1[[Nome/Ragione sociale]:[Checkbox selezionato]],5,FALSE),"-")</f>
        <v>ORAZIO</v>
      </c>
      <c r="AM244" s="62" t="str">
        <f>IFERROR(VLOOKUP(Table2[[#This Row],[Contraente]],Table1[[Nome/Ragione sociale]:[Checkbox selezionato]],6,FALSE),"-")</f>
        <v>-</v>
      </c>
      <c r="AN244" s="63" t="str">
        <f>IFERROR(VLOOKUP(Table2[[#This Row],[Contraente]],Table1[[Nome/Ragione sociale]:[Checkbox selezionato]],7,FALSE),"-")</f>
        <v>papies@libero.it</v>
      </c>
      <c r="AO244" s="63">
        <f>IFERROR(VLOOKUP(Table2[[#This Row],[Contraente]],Table1[[Nome/Ragione sociale]:[Checkbox selezionato]],8,FALSE),"-")</f>
        <v>0</v>
      </c>
      <c r="AP244" s="63">
        <f>IFERROR(VLOOKUP(Table2[[#This Row],[Contraente]],Table1[[Nome/Ragione sociale]:[Checkbox selezionato]],10,FALSE),"-")</f>
        <v>3383888973</v>
      </c>
      <c r="AQ244" s="63" t="str">
        <f>IFERROR(VLOOKUP(Table2[[#This Row],[Contraente]],Table1[[Nome/Ragione sociale]:[Checkbox selezionato]],11,FALSE),"-")</f>
        <v>SI</v>
      </c>
      <c r="AR244" s="63" t="str">
        <f>IFERROR(VLOOKUP(Table2[[#This Row],[Contraente]],Table1[[Nome/Ragione sociale]:[Checkbox selezionato]],12,FALSE),"-")</f>
        <v>SI</v>
      </c>
    </row>
    <row r="245" spans="1:44" ht="30" customHeight="1" x14ac:dyDescent="0.25">
      <c r="A245" s="60" t="str">
        <f>UPPER(LEFT(Table2[[#This Row],[Contraente]],1))</f>
        <v>C</v>
      </c>
      <c r="B245" s="60" t="s">
        <v>1634</v>
      </c>
      <c r="C245" s="81" t="s">
        <v>450</v>
      </c>
      <c r="D245" s="81" t="s">
        <v>38</v>
      </c>
      <c r="E245" s="86">
        <v>7000081411</v>
      </c>
      <c r="F245" s="64">
        <v>42704</v>
      </c>
      <c r="G245" s="64">
        <f>IFERROR(CALCOLASCADENZA(Table2[[#This Row],[Data attivazione]],Table2[[#This Row],[Rateizzazione]],Table2[[#This Row],[Data ultimo pagamento]],Table2[[#This Row],[Data prossima scadenza manuale]]),"-")</f>
        <v>43071</v>
      </c>
      <c r="H245" s="67" t="s">
        <v>30</v>
      </c>
      <c r="I245" s="67" t="s">
        <v>1233</v>
      </c>
      <c r="J245" s="33">
        <f>IFERROR(Table2[[#This Row],[Importo annuale]]/(12/VLOOKUP(Table2[[#This Row],[Rateizzazione]],TIPI_RATEIZZAZIONI,2,FALSE)),"-")</f>
        <v>68</v>
      </c>
      <c r="K245" s="88"/>
      <c r="L245" s="88">
        <v>68</v>
      </c>
      <c r="M245" s="67" t="s">
        <v>44</v>
      </c>
      <c r="N245" s="67" t="s">
        <v>52</v>
      </c>
      <c r="O245" s="27" t="s">
        <v>1631</v>
      </c>
      <c r="P245" s="33" t="s">
        <v>23</v>
      </c>
      <c r="Q245" s="60">
        <f>IFERROR(IF(12 / VLOOKUP(Table2[[#This Row],[Rateizzazione]],TIPI_RATEIZZAZIONI,2,FALSE) &gt;=1,  IF(Table2[[#This Row],[Data attivazione]] = "","-",MONTH(Table2[[#This Row],[Data attivazione]])),"-"),"-")</f>
        <v>12</v>
      </c>
      <c r="R2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5" s="67" t="s">
        <v>2</v>
      </c>
      <c r="V245" s="62"/>
      <c r="W245" s="64">
        <v>42706</v>
      </c>
      <c r="X245" s="29">
        <f>DATE(YEAR(Table2[[#This Row],[Data attivazione]])+VLOOKUP(Table2[[#This Row],[Durata]],VALORE_DURATA,2,FALSE),MONTH(Table2[[#This Row],[Data attivazione]]),DAY(Table2[[#This Row],[Data attivazione]]))</f>
        <v>43071</v>
      </c>
      <c r="Y245" s="65"/>
      <c r="Z245" s="61"/>
      <c r="AA245" s="64" t="s">
        <v>85</v>
      </c>
      <c r="AB245" s="29" t="str">
        <f>IF(Table2[[#This Row],[Data ultimo versamento temp]]=0/1/1900,"-",Table2[[#This Row],[Data ultimo versamento temp]])</f>
        <v>-</v>
      </c>
      <c r="AC245" s="29">
        <f t="array" ref="AC245">MAX(IF(TableVersamenti[Polizza]=Table2[[#This Row],[Polizza]],TableVersamenti[Data prevista versamento],"-"))</f>
        <v>0</v>
      </c>
      <c r="AD245" s="62"/>
      <c r="AE245" s="106">
        <f>DATE(YEAR(Table2[[#This Row],[Data ultimo pagamento]]),MONTH(Table2[[#This Row],[Data ultimo pagamento]]), 1)</f>
        <v>42675</v>
      </c>
      <c r="AF245" s="106">
        <f>DATE(YEAR(Table2[[#This Row],[Data prossima scadenza]]),MONTH(Table2[[#This Row],[Data prossima scadenza]]), 1)</f>
        <v>43070</v>
      </c>
      <c r="AG245" s="33">
        <f>IFERROR(Table2[[#This Row],[Importo annuale]]*VLOOKUP(Table2[[#This Row],[Ramo]],RAMI_POLIZZA,2,FALSE),0)</f>
        <v>7.82</v>
      </c>
      <c r="AH245" s="65" t="s">
        <v>113</v>
      </c>
      <c r="AI245" s="63" t="str">
        <f>IFERROR(VLOOKUP(Table2[[#This Row],[Contraente]],Table1[[Nome/Ragione sociale]:[Checkbox selezionato]],2,FALSE),"-")</f>
        <v>MILANO</v>
      </c>
      <c r="AJ245" s="63">
        <f>IFERROR(VLOOKUP(Table2[[#This Row],[Contraente]],Table1[[Nome/Ragione sociale]:[Checkbox selezionato]],3,FALSE),"-")</f>
        <v>3477597278</v>
      </c>
      <c r="AK245" s="63">
        <f>IFERROR(VLOOKUP(Table2[[#This Row],[Contraente]],Table1[[Nome/Ragione sociale]:[Checkbox selezionato]],4,FALSE),"-")</f>
        <v>0</v>
      </c>
      <c r="AL245" s="63" t="str">
        <f>IFERROR(VLOOKUP(Table2[[#This Row],[Contraente]],Table1[[Nome/Ragione sociale]:[Checkbox selezionato]],5,FALSE),"-")</f>
        <v>CLAUDIO</v>
      </c>
      <c r="AM245" s="62">
        <f>IFERROR(VLOOKUP(Table2[[#This Row],[Contraente]],Table1[[Nome/Ragione sociale]:[Checkbox selezionato]],6,FALSE),"-")</f>
        <v>19619</v>
      </c>
      <c r="AN245" s="63" t="str">
        <f>IFERROR(VLOOKUP(Table2[[#This Row],[Contraente]],Table1[[Nome/Ragione sociale]:[Checkbox selezionato]],7,FALSE),"-")</f>
        <v>papies@libero.it</v>
      </c>
      <c r="AO245" s="63">
        <f>IFERROR(VLOOKUP(Table2[[#This Row],[Contraente]],Table1[[Nome/Ragione sociale]:[Checkbox selezionato]],8,FALSE),"-")</f>
        <v>0</v>
      </c>
      <c r="AP245" s="63">
        <f>IFERROR(VLOOKUP(Table2[[#This Row],[Contraente]],Table1[[Nome/Ragione sociale]:[Checkbox selezionato]],10,FALSE),"-")</f>
        <v>3477597278</v>
      </c>
      <c r="AQ245" s="63" t="str">
        <f>IFERROR(VLOOKUP(Table2[[#This Row],[Contraente]],Table1[[Nome/Ragione sociale]:[Checkbox selezionato]],11,FALSE),"-")</f>
        <v>SI</v>
      </c>
      <c r="AR245" s="63" t="str">
        <f>IFERROR(VLOOKUP(Table2[[#This Row],[Contraente]],Table1[[Nome/Ragione sociale]:[Checkbox selezionato]],12,FALSE),"-")</f>
        <v>SI</v>
      </c>
    </row>
    <row r="246" spans="1:44" ht="30" customHeight="1" x14ac:dyDescent="0.25">
      <c r="A246" s="60" t="str">
        <f>UPPER(LEFT(Table2[[#This Row],[Contraente]],1))</f>
        <v>C</v>
      </c>
      <c r="B246" s="60" t="s">
        <v>1634</v>
      </c>
      <c r="C246" s="81" t="s">
        <v>450</v>
      </c>
      <c r="D246" s="81" t="s">
        <v>37</v>
      </c>
      <c r="E246" s="86">
        <v>106276146</v>
      </c>
      <c r="F246" s="64">
        <v>42704</v>
      </c>
      <c r="G246" s="64">
        <f>IFERROR(CALCOLASCADENZA(Table2[[#This Row],[Data attivazione]],Table2[[#This Row],[Rateizzazione]],Table2[[#This Row],[Data ultimo pagamento]],Table2[[#This Row],[Data prossima scadenza manuale]]),"-")</f>
        <v>43071</v>
      </c>
      <c r="H246" s="67" t="s">
        <v>31</v>
      </c>
      <c r="I246" s="67" t="s">
        <v>1233</v>
      </c>
      <c r="J246" s="33">
        <f>IFERROR(Table2[[#This Row],[Importo annuale]]/(12/VLOOKUP(Table2[[#This Row],[Rateizzazione]],TIPI_RATEIZZAZIONI,2,FALSE)),"-")</f>
        <v>648</v>
      </c>
      <c r="K246" s="88"/>
      <c r="L246" s="88">
        <v>648</v>
      </c>
      <c r="M246" s="67" t="s">
        <v>44</v>
      </c>
      <c r="N246" s="67" t="s">
        <v>51</v>
      </c>
      <c r="O246" s="27" t="s">
        <v>1631</v>
      </c>
      <c r="P246" s="33" t="s">
        <v>23</v>
      </c>
      <c r="Q246" s="60">
        <f>IFERROR(IF(12 / VLOOKUP(Table2[[#This Row],[Rateizzazione]],TIPI_RATEIZZAZIONI,2,FALSE) &gt;=1,  IF(Table2[[#This Row],[Data attivazione]] = "","-",MONTH(Table2[[#This Row],[Data attivazione]])),"-"),"-")</f>
        <v>12</v>
      </c>
      <c r="R2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6" s="67" t="s">
        <v>2</v>
      </c>
      <c r="V246" s="62"/>
      <c r="W246" s="64">
        <v>42706</v>
      </c>
      <c r="X246" s="29">
        <f>DATE(YEAR(Table2[[#This Row],[Data attivazione]])+VLOOKUP(Table2[[#This Row],[Durata]],VALORE_DURATA,2,FALSE),MONTH(Table2[[#This Row],[Data attivazione]]),DAY(Table2[[#This Row],[Data attivazione]]))</f>
        <v>43071</v>
      </c>
      <c r="Y246" s="65"/>
      <c r="Z246" s="61"/>
      <c r="AA246" s="64" t="s">
        <v>85</v>
      </c>
      <c r="AB246" s="29" t="str">
        <f>IF(Table2[[#This Row],[Data ultimo versamento temp]]=0/1/1900,"-",Table2[[#This Row],[Data ultimo versamento temp]])</f>
        <v>-</v>
      </c>
      <c r="AC246" s="29">
        <f t="array" ref="AC246">MAX(IF(TableVersamenti[Polizza]=Table2[[#This Row],[Polizza]],TableVersamenti[Data prevista versamento],"-"))</f>
        <v>0</v>
      </c>
      <c r="AD246" s="62"/>
      <c r="AE246" s="106">
        <f>DATE(YEAR(Table2[[#This Row],[Data ultimo pagamento]]),MONTH(Table2[[#This Row],[Data ultimo pagamento]]), 1)</f>
        <v>42675</v>
      </c>
      <c r="AF246" s="106">
        <f>DATE(YEAR(Table2[[#This Row],[Data prossima scadenza]]),MONTH(Table2[[#This Row],[Data prossima scadenza]]), 1)</f>
        <v>43070</v>
      </c>
      <c r="AG246" s="33">
        <f>IFERROR(Table2[[#This Row],[Importo annuale]]*VLOOKUP(Table2[[#This Row],[Ramo]],RAMI_POLIZZA,2,FALSE),0)</f>
        <v>33.695999999999998</v>
      </c>
      <c r="AH246" s="65" t="s">
        <v>113</v>
      </c>
      <c r="AI246" s="63" t="str">
        <f>IFERROR(VLOOKUP(Table2[[#This Row],[Contraente]],Table1[[Nome/Ragione sociale]:[Checkbox selezionato]],2,FALSE),"-")</f>
        <v>MILANO</v>
      </c>
      <c r="AJ246" s="63">
        <f>IFERROR(VLOOKUP(Table2[[#This Row],[Contraente]],Table1[[Nome/Ragione sociale]:[Checkbox selezionato]],3,FALSE),"-")</f>
        <v>3477597278</v>
      </c>
      <c r="AK246" s="63">
        <f>IFERROR(VLOOKUP(Table2[[#This Row],[Contraente]],Table1[[Nome/Ragione sociale]:[Checkbox selezionato]],4,FALSE),"-")</f>
        <v>0</v>
      </c>
      <c r="AL246" s="63" t="str">
        <f>IFERROR(VLOOKUP(Table2[[#This Row],[Contraente]],Table1[[Nome/Ragione sociale]:[Checkbox selezionato]],5,FALSE),"-")</f>
        <v>CLAUDIO</v>
      </c>
      <c r="AM246" s="62">
        <f>IFERROR(VLOOKUP(Table2[[#This Row],[Contraente]],Table1[[Nome/Ragione sociale]:[Checkbox selezionato]],6,FALSE),"-")</f>
        <v>19619</v>
      </c>
      <c r="AN246" s="63" t="str">
        <f>IFERROR(VLOOKUP(Table2[[#This Row],[Contraente]],Table1[[Nome/Ragione sociale]:[Checkbox selezionato]],7,FALSE),"-")</f>
        <v>papies@libero.it</v>
      </c>
      <c r="AO246" s="63">
        <f>IFERROR(VLOOKUP(Table2[[#This Row],[Contraente]],Table1[[Nome/Ragione sociale]:[Checkbox selezionato]],8,FALSE),"-")</f>
        <v>0</v>
      </c>
      <c r="AP246" s="63">
        <f>IFERROR(VLOOKUP(Table2[[#This Row],[Contraente]],Table1[[Nome/Ragione sociale]:[Checkbox selezionato]],10,FALSE),"-")</f>
        <v>3477597278</v>
      </c>
      <c r="AQ246" s="63" t="str">
        <f>IFERROR(VLOOKUP(Table2[[#This Row],[Contraente]],Table1[[Nome/Ragione sociale]:[Checkbox selezionato]],11,FALSE),"-")</f>
        <v>SI</v>
      </c>
      <c r="AR246" s="63" t="str">
        <f>IFERROR(VLOOKUP(Table2[[#This Row],[Contraente]],Table1[[Nome/Ragione sociale]:[Checkbox selezionato]],12,FALSE),"-")</f>
        <v>SI</v>
      </c>
    </row>
    <row r="247" spans="1:44" ht="30" customHeight="1" x14ac:dyDescent="0.25">
      <c r="A247" s="60" t="str">
        <f>UPPER(LEFT(Table2[[#This Row],[Contraente]],1))</f>
        <v>C</v>
      </c>
      <c r="B247" s="60" t="s">
        <v>1634</v>
      </c>
      <c r="C247" s="81" t="s">
        <v>450</v>
      </c>
      <c r="D247" s="81" t="s">
        <v>37</v>
      </c>
      <c r="E247" s="86">
        <v>106019288</v>
      </c>
      <c r="F247" s="64">
        <v>42807</v>
      </c>
      <c r="G247" s="64">
        <f>IFERROR(CALCOLASCADENZA(Table2[[#This Row],[Data attivazione]],Table2[[#This Row],[Rateizzazione]],Table2[[#This Row],[Data ultimo pagamento]],Table2[[#This Row],[Data prossima scadenza manuale]]),"-")</f>
        <v>42807</v>
      </c>
      <c r="H247" s="67" t="s">
        <v>31</v>
      </c>
      <c r="I247" s="67" t="s">
        <v>1234</v>
      </c>
      <c r="J247" s="33">
        <v>347</v>
      </c>
      <c r="K247" s="88">
        <v>347</v>
      </c>
      <c r="L247" s="88">
        <v>697</v>
      </c>
      <c r="M247" s="67" t="s">
        <v>45</v>
      </c>
      <c r="N247" s="67" t="s">
        <v>51</v>
      </c>
      <c r="O247" s="27" t="s">
        <v>1631</v>
      </c>
      <c r="P247" s="33" t="s">
        <v>24</v>
      </c>
      <c r="Q24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7" s="67" t="s">
        <v>2</v>
      </c>
      <c r="V247" s="62"/>
      <c r="W247" s="64">
        <v>42630</v>
      </c>
      <c r="X247" s="29">
        <f>DATE(YEAR(Table2[[#This Row],[Data attivazione]])+VLOOKUP(Table2[[#This Row],[Durata]],VALORE_DURATA,2,FALSE),MONTH(Table2[[#This Row],[Data attivazione]]),DAY(Table2[[#This Row],[Data attivazione]]))</f>
        <v>42995</v>
      </c>
      <c r="Y247" s="65"/>
      <c r="Z247" s="61"/>
      <c r="AA247" s="64" t="s">
        <v>85</v>
      </c>
      <c r="AB247" s="29" t="str">
        <f>IF(Table2[[#This Row],[Data ultimo versamento temp]]=0/1/1900,"-",Table2[[#This Row],[Data ultimo versamento temp]])</f>
        <v>-</v>
      </c>
      <c r="AC247" s="29">
        <f t="array" ref="AC247">MAX(IF(TableVersamenti[Polizza]=Table2[[#This Row],[Polizza]],TableVersamenti[Data prevista versamento],"-"))</f>
        <v>0</v>
      </c>
      <c r="AD247" s="62"/>
      <c r="AE247" s="106">
        <f>DATE(YEAR(Table2[[#This Row],[Data ultimo pagamento]]),MONTH(Table2[[#This Row],[Data ultimo pagamento]]), 1)</f>
        <v>42795</v>
      </c>
      <c r="AF247" s="106">
        <f>DATE(YEAR(Table2[[#This Row],[Data prossima scadenza]]),MONTH(Table2[[#This Row],[Data prossima scadenza]]), 1)</f>
        <v>42795</v>
      </c>
      <c r="AG247" s="33">
        <f>IFERROR(Table2[[#This Row],[Importo annuale]]*VLOOKUP(Table2[[#This Row],[Ramo]],RAMI_POLIZZA,2,FALSE),0)</f>
        <v>36.244</v>
      </c>
      <c r="AH247" s="65" t="s">
        <v>113</v>
      </c>
      <c r="AI247" s="63" t="str">
        <f>IFERROR(VLOOKUP(Table2[[#This Row],[Contraente]],Table1[[Nome/Ragione sociale]:[Checkbox selezionato]],2,FALSE),"-")</f>
        <v>MILANO</v>
      </c>
      <c r="AJ247" s="63">
        <f>IFERROR(VLOOKUP(Table2[[#This Row],[Contraente]],Table1[[Nome/Ragione sociale]:[Checkbox selezionato]],3,FALSE),"-")</f>
        <v>3477597278</v>
      </c>
      <c r="AK247" s="63">
        <f>IFERROR(VLOOKUP(Table2[[#This Row],[Contraente]],Table1[[Nome/Ragione sociale]:[Checkbox selezionato]],4,FALSE),"-")</f>
        <v>0</v>
      </c>
      <c r="AL247" s="63" t="str">
        <f>IFERROR(VLOOKUP(Table2[[#This Row],[Contraente]],Table1[[Nome/Ragione sociale]:[Checkbox selezionato]],5,FALSE),"-")</f>
        <v>CLAUDIO</v>
      </c>
      <c r="AM247" s="62">
        <f>IFERROR(VLOOKUP(Table2[[#This Row],[Contraente]],Table1[[Nome/Ragione sociale]:[Checkbox selezionato]],6,FALSE),"-")</f>
        <v>19619</v>
      </c>
      <c r="AN247" s="63" t="str">
        <f>IFERROR(VLOOKUP(Table2[[#This Row],[Contraente]],Table1[[Nome/Ragione sociale]:[Checkbox selezionato]],7,FALSE),"-")</f>
        <v>papies@libero.it</v>
      </c>
      <c r="AO247" s="63">
        <f>IFERROR(VLOOKUP(Table2[[#This Row],[Contraente]],Table1[[Nome/Ragione sociale]:[Checkbox selezionato]],8,FALSE),"-")</f>
        <v>0</v>
      </c>
      <c r="AP247" s="63">
        <f>IFERROR(VLOOKUP(Table2[[#This Row],[Contraente]],Table1[[Nome/Ragione sociale]:[Checkbox selezionato]],10,FALSE),"-")</f>
        <v>3477597278</v>
      </c>
      <c r="AQ247" s="63" t="str">
        <f>IFERROR(VLOOKUP(Table2[[#This Row],[Contraente]],Table1[[Nome/Ragione sociale]:[Checkbox selezionato]],11,FALSE),"-")</f>
        <v>SI</v>
      </c>
      <c r="AR247" s="63" t="str">
        <f>IFERROR(VLOOKUP(Table2[[#This Row],[Contraente]],Table1[[Nome/Ragione sociale]:[Checkbox selezionato]],12,FALSE),"-")</f>
        <v>SI</v>
      </c>
    </row>
    <row r="248" spans="1:44" ht="30" hidden="1" customHeight="1" x14ac:dyDescent="0.25">
      <c r="A248" s="60" t="str">
        <f>UPPER(LEFT(Table2[[#This Row],[Contraente]],1))</f>
        <v>C</v>
      </c>
      <c r="B248" s="60" t="s">
        <v>1634</v>
      </c>
      <c r="C248" s="47" t="s">
        <v>1790</v>
      </c>
      <c r="D248" s="98" t="s">
        <v>37</v>
      </c>
      <c r="E248" s="99" t="s">
        <v>1791</v>
      </c>
      <c r="F248" s="64">
        <v>42921</v>
      </c>
      <c r="G248" s="64">
        <f>IFERROR(CALCOLASCADENZA(Table2[[#This Row],[Data attivazione]],Table2[[#This Row],[Rateizzazione]],Table2[[#This Row],[Data ultimo pagamento]],Table2[[#This Row],[Data prossima scadenza manuale]]),"-")</f>
        <v>43103</v>
      </c>
      <c r="H248" s="67" t="s">
        <v>31</v>
      </c>
      <c r="I248" s="67" t="s">
        <v>1792</v>
      </c>
      <c r="J248" s="100">
        <f>IFERROR(Table2[[#This Row],[Importo annuale]]/(12/VLOOKUP(Table2[[#This Row],[Rateizzazione]],TIPI_RATEIZZAZIONI,2,FALSE)),"-")</f>
        <v>430.84</v>
      </c>
      <c r="K248" s="102">
        <v>430.84</v>
      </c>
      <c r="L248" s="69">
        <v>861.68</v>
      </c>
      <c r="M248" s="67" t="s">
        <v>43</v>
      </c>
      <c r="N248" s="67" t="s">
        <v>52</v>
      </c>
      <c r="O248" s="27" t="s">
        <v>1631</v>
      </c>
      <c r="P248" s="92" t="s">
        <v>22</v>
      </c>
      <c r="Q248" s="60">
        <f>IFERROR(IF(12 / VLOOKUP(Table2[[#This Row],[Rateizzazione]],TIPI_RATEIZZAZIONI,2,FALSE) &gt;=1,  IF(Table2[[#This Row],[Data attivazione]] = "","-",MONTH(Table2[[#This Row],[Data attivazione]])),"-"),"-")</f>
        <v>1</v>
      </c>
      <c r="R2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2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8" s="67" t="s">
        <v>1774</v>
      </c>
      <c r="V248" s="62"/>
      <c r="W248" s="64">
        <v>42738</v>
      </c>
      <c r="X248" s="29">
        <f>DATE(YEAR(Table2[[#This Row],[Data attivazione]])+VLOOKUP(Table2[[#This Row],[Durata]],VALORE_DURATA,2,FALSE),MONTH(Table2[[#This Row],[Data attivazione]]),DAY(Table2[[#This Row],[Data attivazione]]))</f>
        <v>43103</v>
      </c>
      <c r="Y248" s="65"/>
      <c r="Z248" s="61"/>
      <c r="AA248" s="64" t="s">
        <v>85</v>
      </c>
      <c r="AB248" s="29" t="str">
        <f>IF(Table2[[#This Row],[Data ultimo versamento temp]]=0/1/1900,"-",Table2[[#This Row],[Data ultimo versamento temp]])</f>
        <v>-</v>
      </c>
      <c r="AC248" s="29">
        <f t="array" ref="AC248">MAX(IF(TableVersamenti[Polizza]=Table2[[#This Row],[Polizza]],TableVersamenti[Data prevista versamento],"-"))</f>
        <v>0</v>
      </c>
      <c r="AD248" s="62"/>
      <c r="AE248" s="106">
        <f>DATE(YEAR(Table2[[#This Row],[Data ultimo pagamento]]),MONTH(Table2[[#This Row],[Data ultimo pagamento]]), 1)</f>
        <v>42917</v>
      </c>
      <c r="AF248" s="106">
        <f>DATE(YEAR(Table2[[#This Row],[Data prossima scadenza]]),MONTH(Table2[[#This Row],[Data prossima scadenza]]), 1)</f>
        <v>43101</v>
      </c>
      <c r="AG248" s="92">
        <f>IFERROR(Table2[[#This Row],[Importo annuale]]*VLOOKUP(Table2[[#This Row],[Ramo]],RAMI_POLIZZA,2,FALSE),0)</f>
        <v>44.807359999999996</v>
      </c>
      <c r="AH248" s="65" t="s">
        <v>113</v>
      </c>
      <c r="AI248" s="63" t="str">
        <f>IFERROR(VLOOKUP(Table2[[#This Row],[Contraente]],Table1[[Nome/Ragione sociale]:[Checkbox selezionato]],2,FALSE),"-")</f>
        <v>CHIGNOLO PO</v>
      </c>
      <c r="AJ248" s="63">
        <f>IFERROR(VLOOKUP(Table2[[#This Row],[Contraente]],Table1[[Nome/Ragione sociale]:[Checkbox selezionato]],3,FALSE),"-")</f>
        <v>0</v>
      </c>
      <c r="AK248" s="63">
        <f>IFERROR(VLOOKUP(Table2[[#This Row],[Contraente]],Table1[[Nome/Ragione sociale]:[Checkbox selezionato]],4,FALSE),"-")</f>
        <v>0</v>
      </c>
      <c r="AL248" s="63">
        <f>IFERROR(VLOOKUP(Table2[[#This Row],[Contraente]],Table1[[Nome/Ragione sociale]:[Checkbox selezionato]],5,FALSE),"-")</f>
        <v>0</v>
      </c>
      <c r="AM248" s="62">
        <f>IFERROR(VLOOKUP(Table2[[#This Row],[Contraente]],Table1[[Nome/Ragione sociale]:[Checkbox selezionato]],6,FALSE),"-")</f>
        <v>0</v>
      </c>
      <c r="AN248" s="63" t="str">
        <f>IFERROR(VLOOKUP(Table2[[#This Row],[Contraente]],Table1[[Nome/Ragione sociale]:[Checkbox selezionato]],7,FALSE),"-")</f>
        <v>papies@email.it</v>
      </c>
      <c r="AO248" s="63">
        <f>IFERROR(VLOOKUP(Table2[[#This Row],[Contraente]],Table1[[Nome/Ragione sociale]:[Checkbox selezionato]],8,FALSE),"-")</f>
        <v>0</v>
      </c>
      <c r="AP248" s="63">
        <f>IFERROR(VLOOKUP(Table2[[#This Row],[Contraente]],Table1[[Nome/Ragione sociale]:[Checkbox selezionato]],10,FALSE),"-")</f>
        <v>0</v>
      </c>
      <c r="AQ248" s="63" t="str">
        <f>IFERROR(VLOOKUP(Table2[[#This Row],[Contraente]],Table1[[Nome/Ragione sociale]:[Checkbox selezionato]],11,FALSE),"-")</f>
        <v>SI</v>
      </c>
      <c r="AR248" s="63" t="str">
        <f>IFERROR(VLOOKUP(Table2[[#This Row],[Contraente]],Table1[[Nome/Ragione sociale]:[Checkbox selezionato]],12,FALSE),"-")</f>
        <v>SI</v>
      </c>
    </row>
    <row r="249" spans="1:44" ht="30" hidden="1" customHeight="1" x14ac:dyDescent="0.25">
      <c r="A249" s="60" t="str">
        <f>UPPER(LEFT(Table2[[#This Row],[Contraente]],1))</f>
        <v>C</v>
      </c>
      <c r="B249" s="60" t="s">
        <v>1634</v>
      </c>
      <c r="C249" s="81" t="s">
        <v>1708</v>
      </c>
      <c r="D249" s="81" t="s">
        <v>37</v>
      </c>
      <c r="E249" s="86">
        <v>107014009</v>
      </c>
      <c r="F249" s="64">
        <v>42906</v>
      </c>
      <c r="G249" s="64">
        <f>IFERROR(CALCOLASCADENZA(Table2[[#This Row],[Data attivazione]],Table2[[#This Row],[Rateizzazione]],Table2[[#This Row],[Data ultimo pagamento]],Table2[[#This Row],[Data prossima scadenza manuale]]),"-")</f>
        <v>43090</v>
      </c>
      <c r="H249" s="67" t="s">
        <v>31</v>
      </c>
      <c r="I249" s="67" t="s">
        <v>1745</v>
      </c>
      <c r="J249" s="33">
        <f>IFERROR(Table2[[#This Row],[Importo annuale]]/(12/VLOOKUP(Table2[[#This Row],[Rateizzazione]],TIPI_RATEIZZAZIONI,2,FALSE)),"-")</f>
        <v>280</v>
      </c>
      <c r="K249" s="88">
        <v>280</v>
      </c>
      <c r="L249" s="88">
        <v>560</v>
      </c>
      <c r="M249" s="67" t="s">
        <v>44</v>
      </c>
      <c r="N249" s="67" t="s">
        <v>52</v>
      </c>
      <c r="O249" s="27" t="s">
        <v>1631</v>
      </c>
      <c r="P249" s="33" t="s">
        <v>22</v>
      </c>
      <c r="Q249" s="60">
        <f>IFERROR(IF(12 / VLOOKUP(Table2[[#This Row],[Rateizzazione]],TIPI_RATEIZZAZIONI,2,FALSE) &gt;=1,  IF(Table2[[#This Row],[Data attivazione]] = "","-",MONTH(Table2[[#This Row],[Data attivazione]])),"-"),"-")</f>
        <v>12</v>
      </c>
      <c r="R2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9" s="67" t="s">
        <v>133</v>
      </c>
      <c r="V249" s="62"/>
      <c r="W249" s="64">
        <v>42725</v>
      </c>
      <c r="X249" s="29">
        <f>DATE(YEAR(Table2[[#This Row],[Data attivazione]])+VLOOKUP(Table2[[#This Row],[Durata]],VALORE_DURATA,2,FALSE),MONTH(Table2[[#This Row],[Data attivazione]]),DAY(Table2[[#This Row],[Data attivazione]]))</f>
        <v>43090</v>
      </c>
      <c r="Y249" s="65"/>
      <c r="Z249" s="61"/>
      <c r="AA249" s="64" t="s">
        <v>85</v>
      </c>
      <c r="AB249" s="29" t="str">
        <f>IF(Table2[[#This Row],[Data ultimo versamento temp]]=0/1/1900,"-",Table2[[#This Row],[Data ultimo versamento temp]])</f>
        <v>-</v>
      </c>
      <c r="AC249" s="29">
        <f t="array" ref="AC249">MAX(IF(TableVersamenti[Polizza]=Table2[[#This Row],[Polizza]],TableVersamenti[Data prevista versamento],"-"))</f>
        <v>0</v>
      </c>
      <c r="AD249" s="62"/>
      <c r="AE249" s="106">
        <f>DATE(YEAR(Table2[[#This Row],[Data ultimo pagamento]]),MONTH(Table2[[#This Row],[Data ultimo pagamento]]), 1)</f>
        <v>42887</v>
      </c>
      <c r="AF249" s="106">
        <f>DATE(YEAR(Table2[[#This Row],[Data prossima scadenza]]),MONTH(Table2[[#This Row],[Data prossima scadenza]]), 1)</f>
        <v>43070</v>
      </c>
      <c r="AG249" s="33">
        <f>IFERROR(Table2[[#This Row],[Importo annuale]]*VLOOKUP(Table2[[#This Row],[Ramo]],RAMI_POLIZZA,2,FALSE),0)</f>
        <v>29.119999999999997</v>
      </c>
      <c r="AH249" s="65" t="s">
        <v>113</v>
      </c>
      <c r="AI249" s="63" t="str">
        <f>IFERROR(VLOOKUP(Table2[[#This Row],[Contraente]],Table1[[Nome/Ragione sociale]:[Checkbox selezionato]],2,FALSE),"-")</f>
        <v>ARENA PO</v>
      </c>
      <c r="AJ249" s="63">
        <f>IFERROR(VLOOKUP(Table2[[#This Row],[Contraente]],Table1[[Nome/Ragione sociale]:[Checkbox selezionato]],3,FALSE),"-")</f>
        <v>0</v>
      </c>
      <c r="AK249" s="63">
        <f>IFERROR(VLOOKUP(Table2[[#This Row],[Contraente]],Table1[[Nome/Ragione sociale]:[Checkbox selezionato]],4,FALSE),"-")</f>
        <v>0</v>
      </c>
      <c r="AL249" s="63" t="str">
        <f>IFERROR(VLOOKUP(Table2[[#This Row],[Contraente]],Table1[[Nome/Ragione sociale]:[Checkbox selezionato]],5,FALSE),"-")</f>
        <v>DANIEL DARIO</v>
      </c>
      <c r="AM249" s="62">
        <f>IFERROR(VLOOKUP(Table2[[#This Row],[Contraente]],Table1[[Nome/Ragione sociale]:[Checkbox selezionato]],6,FALSE),"-")</f>
        <v>0</v>
      </c>
      <c r="AN249" s="63" t="str">
        <f>IFERROR(VLOOKUP(Table2[[#This Row],[Contraente]],Table1[[Nome/Ragione sociale]:[Checkbox selezionato]],7,FALSE),"-")</f>
        <v>papies@libero.it</v>
      </c>
      <c r="AO249" s="63">
        <f>IFERROR(VLOOKUP(Table2[[#This Row],[Contraente]],Table1[[Nome/Ragione sociale]:[Checkbox selezionato]],8,FALSE),"-")</f>
        <v>0</v>
      </c>
      <c r="AP249" s="63">
        <f>IFERROR(VLOOKUP(Table2[[#This Row],[Contraente]],Table1[[Nome/Ragione sociale]:[Checkbox selezionato]],10,FALSE),"-")</f>
        <v>0</v>
      </c>
      <c r="AQ249" s="63" t="str">
        <f>IFERROR(VLOOKUP(Table2[[#This Row],[Contraente]],Table1[[Nome/Ragione sociale]:[Checkbox selezionato]],11,FALSE),"-")</f>
        <v>SI</v>
      </c>
      <c r="AR249" s="63" t="str">
        <f>IFERROR(VLOOKUP(Table2[[#This Row],[Contraente]],Table1[[Nome/Ragione sociale]:[Checkbox selezionato]],12,FALSE),"-")</f>
        <v>SI</v>
      </c>
    </row>
    <row r="250" spans="1:44" ht="30" hidden="1" customHeight="1" x14ac:dyDescent="0.25">
      <c r="A250" s="60" t="str">
        <f>UPPER(LEFT(Table2[[#This Row],[Contraente]],1))</f>
        <v>C</v>
      </c>
      <c r="B250" s="60" t="s">
        <v>1634</v>
      </c>
      <c r="C250" s="81" t="s">
        <v>451</v>
      </c>
      <c r="D250" s="81" t="s">
        <v>37</v>
      </c>
      <c r="E250" s="86">
        <v>103290566</v>
      </c>
      <c r="F250" s="64">
        <v>42921</v>
      </c>
      <c r="G250" s="64">
        <f>IFERROR(CALCOLASCADENZA(Table2[[#This Row],[Data attivazione]],Table2[[#This Row],[Rateizzazione]],Table2[[#This Row],[Data ultimo pagamento]],Table2[[#This Row],[Data prossima scadenza manuale]]),"-")</f>
        <v>43285</v>
      </c>
      <c r="H250" s="67" t="s">
        <v>30</v>
      </c>
      <c r="I250" s="67" t="s">
        <v>113</v>
      </c>
      <c r="J250" s="33">
        <f>IFERROR(Table2[[#This Row],[Importo annuale]]/(12/VLOOKUP(Table2[[#This Row],[Rateizzazione]],TIPI_RATEIZZAZIONI,2,FALSE)),"-")</f>
        <v>470</v>
      </c>
      <c r="K250" s="88">
        <v>470</v>
      </c>
      <c r="L250" s="88">
        <v>470</v>
      </c>
      <c r="M250" s="67" t="s">
        <v>44</v>
      </c>
      <c r="N250" s="67" t="s">
        <v>51</v>
      </c>
      <c r="O250" s="27" t="s">
        <v>1631</v>
      </c>
      <c r="P250" s="33" t="s">
        <v>23</v>
      </c>
      <c r="Q250" s="60">
        <f>IFERROR(IF(12 / VLOOKUP(Table2[[#This Row],[Rateizzazione]],TIPI_RATEIZZAZIONI,2,FALSE) &gt;=1,  IF(Table2[[#This Row],[Data attivazione]] = "","-",MONTH(Table2[[#This Row],[Data attivazione]])),"-"),"-")</f>
        <v>7</v>
      </c>
      <c r="R2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0" s="67" t="s">
        <v>2</v>
      </c>
      <c r="V250" s="62"/>
      <c r="W250" s="64">
        <v>42920</v>
      </c>
      <c r="X250" s="29">
        <f>DATE(YEAR(Table2[[#This Row],[Data attivazione]])+VLOOKUP(Table2[[#This Row],[Durata]],VALORE_DURATA,2,FALSE),MONTH(Table2[[#This Row],[Data attivazione]]),DAY(Table2[[#This Row],[Data attivazione]]))</f>
        <v>43285</v>
      </c>
      <c r="Y250" s="65"/>
      <c r="Z250" s="61"/>
      <c r="AA250" s="64" t="s">
        <v>85</v>
      </c>
      <c r="AB250" s="29">
        <f>IF(Table2[[#This Row],[Data ultimo versamento temp]]=0/1/1900,"-",Table2[[#This Row],[Data ultimo versamento temp]])</f>
        <v>42924</v>
      </c>
      <c r="AC250" s="29">
        <f t="array" ref="AC250">MAX(IF(TableVersamenti[Polizza]=Table2[[#This Row],[Polizza]],TableVersamenti[Data prevista versamento],"-"))</f>
        <v>42924</v>
      </c>
      <c r="AD250" s="62"/>
      <c r="AE250" s="106">
        <f>DATE(YEAR(Table2[[#This Row],[Data ultimo pagamento]]),MONTH(Table2[[#This Row],[Data ultimo pagamento]]), 1)</f>
        <v>42917</v>
      </c>
      <c r="AF250" s="106">
        <f>DATE(YEAR(Table2[[#This Row],[Data prossima scadenza]]),MONTH(Table2[[#This Row],[Data prossima scadenza]]), 1)</f>
        <v>43282</v>
      </c>
      <c r="AG250" s="33">
        <f>IFERROR(Table2[[#This Row],[Importo annuale]]*VLOOKUP(Table2[[#This Row],[Ramo]],RAMI_POLIZZA,2,FALSE),0)</f>
        <v>54.050000000000004</v>
      </c>
      <c r="AH250" s="65" t="s">
        <v>113</v>
      </c>
      <c r="AI250" s="63" t="str">
        <f>IFERROR(VLOOKUP(Table2[[#This Row],[Contraente]],Table1[[Nome/Ragione sociale]:[Checkbox selezionato]],2,FALSE),"-")</f>
        <v>BELGIOIOSO</v>
      </c>
      <c r="AJ250" s="63">
        <f>IFERROR(VLOOKUP(Table2[[#This Row],[Contraente]],Table1[[Nome/Ragione sociale]:[Checkbox selezionato]],3,FALSE),"-")</f>
        <v>3487271552</v>
      </c>
      <c r="AK250" s="63">
        <f>IFERROR(VLOOKUP(Table2[[#This Row],[Contraente]],Table1[[Nome/Ragione sociale]:[Checkbox selezionato]],4,FALSE),"-")</f>
        <v>0</v>
      </c>
      <c r="AL250" s="63" t="str">
        <f>IFERROR(VLOOKUP(Table2[[#This Row],[Contraente]],Table1[[Nome/Ragione sociale]:[Checkbox selezionato]],5,FALSE),"-")</f>
        <v>RIPA</v>
      </c>
      <c r="AM250" s="62" t="str">
        <f>IFERROR(VLOOKUP(Table2[[#This Row],[Contraente]],Table1[[Nome/Ragione sociale]:[Checkbox selezionato]],6,FALSE),"-")</f>
        <v>-</v>
      </c>
      <c r="AN250" s="63" t="str">
        <f>IFERROR(VLOOKUP(Table2[[#This Row],[Contraente]],Table1[[Nome/Ragione sociale]:[Checkbox selezionato]],7,FALSE),"-")</f>
        <v>papies@libero.it</v>
      </c>
      <c r="AO250" s="63">
        <f>IFERROR(VLOOKUP(Table2[[#This Row],[Contraente]],Table1[[Nome/Ragione sociale]:[Checkbox selezionato]],8,FALSE),"-")</f>
        <v>0</v>
      </c>
      <c r="AP250" s="63">
        <f>IFERROR(VLOOKUP(Table2[[#This Row],[Contraente]],Table1[[Nome/Ragione sociale]:[Checkbox selezionato]],10,FALSE),"-")</f>
        <v>3487271552</v>
      </c>
      <c r="AQ250" s="63" t="str">
        <f>IFERROR(VLOOKUP(Table2[[#This Row],[Contraente]],Table1[[Nome/Ragione sociale]:[Checkbox selezionato]],11,FALSE),"-")</f>
        <v>SI</v>
      </c>
      <c r="AR250" s="63" t="str">
        <f>IFERROR(VLOOKUP(Table2[[#This Row],[Contraente]],Table1[[Nome/Ragione sociale]:[Checkbox selezionato]],12,FALSE),"-")</f>
        <v>SI</v>
      </c>
    </row>
    <row r="251" spans="1:44" ht="30" hidden="1" customHeight="1" x14ac:dyDescent="0.25">
      <c r="A251" s="60" t="str">
        <f>UPPER(LEFT(Table2[[#This Row],[Contraente]],1))</f>
        <v>C</v>
      </c>
      <c r="B251" s="60" t="s">
        <v>1634</v>
      </c>
      <c r="C251" s="81" t="s">
        <v>451</v>
      </c>
      <c r="D251" s="81" t="s">
        <v>37</v>
      </c>
      <c r="E251" s="86">
        <v>106611043</v>
      </c>
      <c r="F251" s="64">
        <v>42804</v>
      </c>
      <c r="G251" s="64">
        <f>IFERROR(CALCOLASCADENZA(Table2[[#This Row],[Data attivazione]],Table2[[#This Row],[Rateizzazione]],Table2[[#This Row],[Data ultimo pagamento]],Table2[[#This Row],[Data prossima scadenza manuale]]),"-")</f>
        <v>42988</v>
      </c>
      <c r="H251" s="67" t="s">
        <v>31</v>
      </c>
      <c r="I251" s="67" t="s">
        <v>1235</v>
      </c>
      <c r="J251" s="33">
        <f>IFERROR(Table2[[#This Row],[Importo annuale]]/(12/VLOOKUP(Table2[[#This Row],[Rateizzazione]],TIPI_RATEIZZAZIONI,2,FALSE)),"-")</f>
        <v>215</v>
      </c>
      <c r="K251" s="88">
        <v>215</v>
      </c>
      <c r="L251" s="88">
        <v>430</v>
      </c>
      <c r="M251" s="67" t="s">
        <v>43</v>
      </c>
      <c r="N251" s="67" t="s">
        <v>51</v>
      </c>
      <c r="O251" s="27" t="s">
        <v>1631</v>
      </c>
      <c r="P251" s="33" t="s">
        <v>22</v>
      </c>
      <c r="Q251" s="60">
        <f>IFERROR(IF(12 / VLOOKUP(Table2[[#This Row],[Rateizzazione]],TIPI_RATEIZZAZIONI,2,FALSE) &gt;=1,  IF(Table2[[#This Row],[Data attivazione]] = "","-",MONTH(Table2[[#This Row],[Data attivazione]])),"-"),"-")</f>
        <v>9</v>
      </c>
      <c r="R2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1" s="67" t="s">
        <v>2</v>
      </c>
      <c r="V251" s="62"/>
      <c r="W251" s="64">
        <v>42623</v>
      </c>
      <c r="X251" s="29">
        <f>DATE(YEAR(Table2[[#This Row],[Data attivazione]])+VLOOKUP(Table2[[#This Row],[Durata]],VALORE_DURATA,2,FALSE),MONTH(Table2[[#This Row],[Data attivazione]]),DAY(Table2[[#This Row],[Data attivazione]]))</f>
        <v>42988</v>
      </c>
      <c r="Y251" s="65"/>
      <c r="Z251" s="61"/>
      <c r="AA251" s="64" t="s">
        <v>85</v>
      </c>
      <c r="AB251" s="29" t="str">
        <f>IF(Table2[[#This Row],[Data ultimo versamento temp]]=0/1/1900,"-",Table2[[#This Row],[Data ultimo versamento temp]])</f>
        <v>-</v>
      </c>
      <c r="AC251" s="29">
        <f t="array" ref="AC251">MAX(IF(TableVersamenti[Polizza]=Table2[[#This Row],[Polizza]],TableVersamenti[Data prevista versamento],"-"))</f>
        <v>0</v>
      </c>
      <c r="AD251" s="62"/>
      <c r="AE251" s="106">
        <f>DATE(YEAR(Table2[[#This Row],[Data ultimo pagamento]]),MONTH(Table2[[#This Row],[Data ultimo pagamento]]), 1)</f>
        <v>42795</v>
      </c>
      <c r="AF251" s="106">
        <f>DATE(YEAR(Table2[[#This Row],[Data prossima scadenza]]),MONTH(Table2[[#This Row],[Data prossima scadenza]]), 1)</f>
        <v>42979</v>
      </c>
      <c r="AG251" s="33">
        <f>IFERROR(Table2[[#This Row],[Importo annuale]]*VLOOKUP(Table2[[#This Row],[Ramo]],RAMI_POLIZZA,2,FALSE),0)</f>
        <v>22.36</v>
      </c>
      <c r="AH251" s="65" t="s">
        <v>113</v>
      </c>
      <c r="AI251" s="63" t="str">
        <f>IFERROR(VLOOKUP(Table2[[#This Row],[Contraente]],Table1[[Nome/Ragione sociale]:[Checkbox selezionato]],2,FALSE),"-")</f>
        <v>BELGIOIOSO</v>
      </c>
      <c r="AJ251" s="63">
        <f>IFERROR(VLOOKUP(Table2[[#This Row],[Contraente]],Table1[[Nome/Ragione sociale]:[Checkbox selezionato]],3,FALSE),"-")</f>
        <v>3487271552</v>
      </c>
      <c r="AK251" s="63">
        <f>IFERROR(VLOOKUP(Table2[[#This Row],[Contraente]],Table1[[Nome/Ragione sociale]:[Checkbox selezionato]],4,FALSE),"-")</f>
        <v>0</v>
      </c>
      <c r="AL251" s="63" t="str">
        <f>IFERROR(VLOOKUP(Table2[[#This Row],[Contraente]],Table1[[Nome/Ragione sociale]:[Checkbox selezionato]],5,FALSE),"-")</f>
        <v>RIPA</v>
      </c>
      <c r="AM251" s="62" t="str">
        <f>IFERROR(VLOOKUP(Table2[[#This Row],[Contraente]],Table1[[Nome/Ragione sociale]:[Checkbox selezionato]],6,FALSE),"-")</f>
        <v>-</v>
      </c>
      <c r="AN251" s="63" t="str">
        <f>IFERROR(VLOOKUP(Table2[[#This Row],[Contraente]],Table1[[Nome/Ragione sociale]:[Checkbox selezionato]],7,FALSE),"-")</f>
        <v>papies@libero.it</v>
      </c>
      <c r="AO251" s="63">
        <f>IFERROR(VLOOKUP(Table2[[#This Row],[Contraente]],Table1[[Nome/Ragione sociale]:[Checkbox selezionato]],8,FALSE),"-")</f>
        <v>0</v>
      </c>
      <c r="AP251" s="63">
        <f>IFERROR(VLOOKUP(Table2[[#This Row],[Contraente]],Table1[[Nome/Ragione sociale]:[Checkbox selezionato]],10,FALSE),"-")</f>
        <v>3487271552</v>
      </c>
      <c r="AQ251" s="63" t="str">
        <f>IFERROR(VLOOKUP(Table2[[#This Row],[Contraente]],Table1[[Nome/Ragione sociale]:[Checkbox selezionato]],11,FALSE),"-")</f>
        <v>SI</v>
      </c>
      <c r="AR251" s="63" t="str">
        <f>IFERROR(VLOOKUP(Table2[[#This Row],[Contraente]],Table1[[Nome/Ragione sociale]:[Checkbox selezionato]],12,FALSE),"-")</f>
        <v>SI</v>
      </c>
    </row>
    <row r="252" spans="1:44" ht="30" hidden="1" customHeight="1" x14ac:dyDescent="0.25">
      <c r="A252" s="60" t="str">
        <f>UPPER(LEFT(Table2[[#This Row],[Contraente]],1))</f>
        <v>C</v>
      </c>
      <c r="B252" s="60" t="s">
        <v>1634</v>
      </c>
      <c r="C252" s="81" t="s">
        <v>105</v>
      </c>
      <c r="D252" s="81" t="s">
        <v>37</v>
      </c>
      <c r="E252" s="86">
        <v>106435479</v>
      </c>
      <c r="F252" s="64">
        <v>42858</v>
      </c>
      <c r="G252" s="64">
        <f>IFERROR(CALCOLASCADENZA(Table2[[#This Row],[Data attivazione]],Table2[[#This Row],[Rateizzazione]],Table2[[#This Row],[Data ultimo pagamento]],Table2[[#This Row],[Data prossima scadenza manuale]]),"-")</f>
        <v>42985</v>
      </c>
      <c r="H252" s="67" t="s">
        <v>31</v>
      </c>
      <c r="I252" s="67" t="s">
        <v>1236</v>
      </c>
      <c r="J252" s="33">
        <f>IFERROR(Table2[[#This Row],[Importo annuale]]/(12/VLOOKUP(Table2[[#This Row],[Rateizzazione]],TIPI_RATEIZZAZIONI,2,FALSE)),"-")</f>
        <v>155</v>
      </c>
      <c r="K252" s="88">
        <v>310</v>
      </c>
      <c r="L252" s="88">
        <v>465</v>
      </c>
      <c r="M252" s="67" t="s">
        <v>44</v>
      </c>
      <c r="N252" s="67" t="s">
        <v>51</v>
      </c>
      <c r="O252" s="27" t="s">
        <v>1631</v>
      </c>
      <c r="P252" s="33" t="s">
        <v>21</v>
      </c>
      <c r="Q252" s="60">
        <f>IFERROR(IF(12 / VLOOKUP(Table2[[#This Row],[Rateizzazione]],TIPI_RATEIZZAZIONI,2,FALSE) &gt;=1,  IF(Table2[[#This Row],[Data attivazione]] = "","-",MONTH(Table2[[#This Row],[Data attivazione]])),"-"),"-")</f>
        <v>9</v>
      </c>
      <c r="R2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5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2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2" s="67" t="s">
        <v>2</v>
      </c>
      <c r="V252" s="62"/>
      <c r="W252" s="64">
        <v>42620</v>
      </c>
      <c r="X252" s="29">
        <f>DATE(YEAR(Table2[[#This Row],[Data attivazione]])+VLOOKUP(Table2[[#This Row],[Durata]],VALORE_DURATA,2,FALSE),MONTH(Table2[[#This Row],[Data attivazione]]),DAY(Table2[[#This Row],[Data attivazione]]))</f>
        <v>42985</v>
      </c>
      <c r="Y252" s="65"/>
      <c r="Z252" s="61"/>
      <c r="AA252" s="64" t="s">
        <v>85</v>
      </c>
      <c r="AB252" s="29" t="str">
        <f>IF(Table2[[#This Row],[Data ultimo versamento temp]]=0/1/1900,"-",Table2[[#This Row],[Data ultimo versamento temp]])</f>
        <v>-</v>
      </c>
      <c r="AC252" s="29">
        <f t="array" ref="AC252">MAX(IF(TableVersamenti[Polizza]=Table2[[#This Row],[Polizza]],TableVersamenti[Data prevista versamento],"-"))</f>
        <v>0</v>
      </c>
      <c r="AD252" s="62"/>
      <c r="AE252" s="106">
        <f>DATE(YEAR(Table2[[#This Row],[Data ultimo pagamento]]),MONTH(Table2[[#This Row],[Data ultimo pagamento]]), 1)</f>
        <v>42856</v>
      </c>
      <c r="AF252" s="106">
        <f>DATE(YEAR(Table2[[#This Row],[Data prossima scadenza]]),MONTH(Table2[[#This Row],[Data prossima scadenza]]), 1)</f>
        <v>42979</v>
      </c>
      <c r="AG252" s="33">
        <f>IFERROR(Table2[[#This Row],[Importo annuale]]*VLOOKUP(Table2[[#This Row],[Ramo]],RAMI_POLIZZA,2,FALSE),0)</f>
        <v>24.18</v>
      </c>
      <c r="AH252" s="65" t="s">
        <v>113</v>
      </c>
      <c r="AI252" s="63" t="str">
        <f>IFERROR(VLOOKUP(Table2[[#This Row],[Contraente]],Table1[[Nome/Ragione sociale]:[Checkbox selezionato]],2,FALSE),"-")</f>
        <v>VALLE SALIMBENE</v>
      </c>
      <c r="AJ252" s="63">
        <f>IFERROR(VLOOKUP(Table2[[#This Row],[Contraente]],Table1[[Nome/Ragione sociale]:[Checkbox selezionato]],3,FALSE),"-")</f>
        <v>3775083706</v>
      </c>
      <c r="AK252" s="63" t="str">
        <f>IFERROR(VLOOKUP(Table2[[#This Row],[Contraente]],Table1[[Nome/Ragione sociale]:[Checkbox selezionato]],4,FALSE),"-")</f>
        <v>.0382485053</v>
      </c>
      <c r="AL252" s="63" t="str">
        <f>IFERROR(VLOOKUP(Table2[[#This Row],[Contraente]],Table1[[Nome/Ragione sociale]:[Checkbox selezionato]],5,FALSE),"-")</f>
        <v>ROBERTO</v>
      </c>
      <c r="AM252" s="62">
        <f>IFERROR(VLOOKUP(Table2[[#This Row],[Contraente]],Table1[[Nome/Ragione sociale]:[Checkbox selezionato]],6,FALSE),"-")</f>
        <v>24631</v>
      </c>
      <c r="AN252" s="63" t="str">
        <f>IFERROR(VLOOKUP(Table2[[#This Row],[Contraente]],Table1[[Nome/Ragione sociale]:[Checkbox selezionato]],7,FALSE),"-")</f>
        <v>papies@email.it</v>
      </c>
      <c r="AO252" s="63">
        <f>IFERROR(VLOOKUP(Table2[[#This Row],[Contraente]],Table1[[Nome/Ragione sociale]:[Checkbox selezionato]],8,FALSE),"-")</f>
        <v>0</v>
      </c>
      <c r="AP252" s="63">
        <f>IFERROR(VLOOKUP(Table2[[#This Row],[Contraente]],Table1[[Nome/Ragione sociale]:[Checkbox selezionato]],10,FALSE),"-")</f>
        <v>3775083706</v>
      </c>
      <c r="AQ252" s="63" t="str">
        <f>IFERROR(VLOOKUP(Table2[[#This Row],[Contraente]],Table1[[Nome/Ragione sociale]:[Checkbox selezionato]],11,FALSE),"-")</f>
        <v>SI</v>
      </c>
      <c r="AR252" s="63" t="str">
        <f>IFERROR(VLOOKUP(Table2[[#This Row],[Contraente]],Table1[[Nome/Ragione sociale]:[Checkbox selezionato]],12,FALSE),"-")</f>
        <v>SI</v>
      </c>
    </row>
    <row r="253" spans="1:44" ht="30" hidden="1" customHeight="1" x14ac:dyDescent="0.25">
      <c r="A253" s="60" t="str">
        <f>UPPER(LEFT(Table2[[#This Row],[Contraente]],1))</f>
        <v>C</v>
      </c>
      <c r="B253" s="60" t="s">
        <v>1634</v>
      </c>
      <c r="C253" s="81" t="s">
        <v>105</v>
      </c>
      <c r="D253" s="81" t="s">
        <v>37</v>
      </c>
      <c r="E253" s="86">
        <v>102988443</v>
      </c>
      <c r="F253" s="64">
        <v>42678</v>
      </c>
      <c r="G253" s="64">
        <f>IFERROR(CALCOLASCADENZA(Table2[[#This Row],[Data attivazione]],Table2[[#This Row],[Rateizzazione]],Table2[[#This Row],[Data ultimo pagamento]],Table2[[#This Row],[Data prossima scadenza manuale]]),"-")</f>
        <v>42849</v>
      </c>
      <c r="H253" s="67" t="s">
        <v>31</v>
      </c>
      <c r="I253" s="67" t="s">
        <v>1237</v>
      </c>
      <c r="J253" s="33">
        <f>IFERROR(Table2[[#This Row],[Importo annuale]]/(12/VLOOKUP(Table2[[#This Row],[Rateizzazione]],TIPI_RATEIZZAZIONI,2,FALSE)),"-")</f>
        <v>66.27</v>
      </c>
      <c r="K253" s="88"/>
      <c r="L253" s="88">
        <v>132.54</v>
      </c>
      <c r="M253" s="67" t="s">
        <v>44</v>
      </c>
      <c r="N253" s="67" t="s">
        <v>51</v>
      </c>
      <c r="O253" s="27" t="s">
        <v>1631</v>
      </c>
      <c r="P253" s="33" t="s">
        <v>22</v>
      </c>
      <c r="Q253" s="60">
        <f>IFERROR(IF(12 / VLOOKUP(Table2[[#This Row],[Rateizzazione]],TIPI_RATEIZZAZIONI,2,FALSE) &gt;=1,  IF(Table2[[#This Row],[Data attivazione]] = "","-",MONTH(Table2[[#This Row],[Data attivazione]])),"-"),"-")</f>
        <v>4</v>
      </c>
      <c r="R2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2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3" s="67" t="s">
        <v>2</v>
      </c>
      <c r="V253" s="62"/>
      <c r="W253" s="64">
        <v>42484</v>
      </c>
      <c r="X253" s="29">
        <f>DATE(YEAR(Table2[[#This Row],[Data attivazione]])+VLOOKUP(Table2[[#This Row],[Durata]],VALORE_DURATA,2,FALSE),MONTH(Table2[[#This Row],[Data attivazione]]),DAY(Table2[[#This Row],[Data attivazione]]))</f>
        <v>42849</v>
      </c>
      <c r="Y253" s="65"/>
      <c r="Z253" s="61"/>
      <c r="AA253" s="64" t="s">
        <v>88</v>
      </c>
      <c r="AB253" s="29" t="str">
        <f>IF(Table2[[#This Row],[Data ultimo versamento temp]]=0/1/1900,"-",Table2[[#This Row],[Data ultimo versamento temp]])</f>
        <v>-</v>
      </c>
      <c r="AC253" s="29">
        <f t="array" ref="AC253">MAX(IF(TableVersamenti[Polizza]=Table2[[#This Row],[Polizza]],TableVersamenti[Data prevista versamento],"-"))</f>
        <v>0</v>
      </c>
      <c r="AD253" s="62"/>
      <c r="AE253" s="106">
        <f>DATE(YEAR(Table2[[#This Row],[Data ultimo pagamento]]),MONTH(Table2[[#This Row],[Data ultimo pagamento]]), 1)</f>
        <v>42675</v>
      </c>
      <c r="AF253" s="106">
        <f>DATE(YEAR(Table2[[#This Row],[Data prossima scadenza]]),MONTH(Table2[[#This Row],[Data prossima scadenza]]), 1)</f>
        <v>42826</v>
      </c>
      <c r="AG253" s="33">
        <f>IFERROR(Table2[[#This Row],[Importo annuale]]*VLOOKUP(Table2[[#This Row],[Ramo]],RAMI_POLIZZA,2,FALSE),0)</f>
        <v>6.8920799999999991</v>
      </c>
      <c r="AH253" s="65" t="s">
        <v>113</v>
      </c>
      <c r="AI253" s="63" t="str">
        <f>IFERROR(VLOOKUP(Table2[[#This Row],[Contraente]],Table1[[Nome/Ragione sociale]:[Checkbox selezionato]],2,FALSE),"-")</f>
        <v>VALLE SALIMBENE</v>
      </c>
      <c r="AJ253" s="63">
        <f>IFERROR(VLOOKUP(Table2[[#This Row],[Contraente]],Table1[[Nome/Ragione sociale]:[Checkbox selezionato]],3,FALSE),"-")</f>
        <v>3775083706</v>
      </c>
      <c r="AK253" s="63" t="str">
        <f>IFERROR(VLOOKUP(Table2[[#This Row],[Contraente]],Table1[[Nome/Ragione sociale]:[Checkbox selezionato]],4,FALSE),"-")</f>
        <v>.0382485053</v>
      </c>
      <c r="AL253" s="63" t="str">
        <f>IFERROR(VLOOKUP(Table2[[#This Row],[Contraente]],Table1[[Nome/Ragione sociale]:[Checkbox selezionato]],5,FALSE),"-")</f>
        <v>ROBERTO</v>
      </c>
      <c r="AM253" s="62">
        <f>IFERROR(VLOOKUP(Table2[[#This Row],[Contraente]],Table1[[Nome/Ragione sociale]:[Checkbox selezionato]],6,FALSE),"-")</f>
        <v>24631</v>
      </c>
      <c r="AN253" s="63" t="str">
        <f>IFERROR(VLOOKUP(Table2[[#This Row],[Contraente]],Table1[[Nome/Ragione sociale]:[Checkbox selezionato]],7,FALSE),"-")</f>
        <v>papies@email.it</v>
      </c>
      <c r="AO253" s="63">
        <f>IFERROR(VLOOKUP(Table2[[#This Row],[Contraente]],Table1[[Nome/Ragione sociale]:[Checkbox selezionato]],8,FALSE),"-")</f>
        <v>0</v>
      </c>
      <c r="AP253" s="63">
        <f>IFERROR(VLOOKUP(Table2[[#This Row],[Contraente]],Table1[[Nome/Ragione sociale]:[Checkbox selezionato]],10,FALSE),"-")</f>
        <v>3775083706</v>
      </c>
      <c r="AQ253" s="63" t="str">
        <f>IFERROR(VLOOKUP(Table2[[#This Row],[Contraente]],Table1[[Nome/Ragione sociale]:[Checkbox selezionato]],11,FALSE),"-")</f>
        <v>SI</v>
      </c>
      <c r="AR253" s="63" t="str">
        <f>IFERROR(VLOOKUP(Table2[[#This Row],[Contraente]],Table1[[Nome/Ragione sociale]:[Checkbox selezionato]],12,FALSE),"-")</f>
        <v>SI</v>
      </c>
    </row>
    <row r="254" spans="1:44" ht="30" hidden="1" customHeight="1" x14ac:dyDescent="0.25">
      <c r="A254" s="60" t="str">
        <f>UPPER(LEFT(Table2[[#This Row],[Contraente]],1))</f>
        <v>C</v>
      </c>
      <c r="B254" s="60" t="s">
        <v>1634</v>
      </c>
      <c r="C254" s="81" t="s">
        <v>105</v>
      </c>
      <c r="D254" s="81" t="s">
        <v>37</v>
      </c>
      <c r="E254" s="86">
        <v>103609845</v>
      </c>
      <c r="F254" s="64">
        <v>42858</v>
      </c>
      <c r="G254" s="64">
        <f>IFERROR(CALCOLASCADENZA(Table2[[#This Row],[Data attivazione]],Table2[[#This Row],[Rateizzazione]],Table2[[#This Row],[Data ultimo pagamento]],Table2[[#This Row],[Data prossima scadenza manuale]]),"-")</f>
        <v>43032</v>
      </c>
      <c r="H254" s="67" t="s">
        <v>31</v>
      </c>
      <c r="I254" s="67" t="s">
        <v>1238</v>
      </c>
      <c r="J254" s="33">
        <f>IFERROR(Table2[[#This Row],[Importo annuale]]/(12/VLOOKUP(Table2[[#This Row],[Rateizzazione]],TIPI_RATEIZZAZIONI,2,FALSE)),"-")</f>
        <v>71.59</v>
      </c>
      <c r="K254" s="88">
        <v>71.59</v>
      </c>
      <c r="L254" s="88">
        <v>143.18</v>
      </c>
      <c r="M254" s="67" t="s">
        <v>44</v>
      </c>
      <c r="N254" s="67" t="s">
        <v>51</v>
      </c>
      <c r="O254" s="27" t="s">
        <v>1631</v>
      </c>
      <c r="P254" s="33" t="s">
        <v>22</v>
      </c>
      <c r="Q254" s="60">
        <f>IFERROR(IF(12 / VLOOKUP(Table2[[#This Row],[Rateizzazione]],TIPI_RATEIZZAZIONI,2,FALSE) &gt;=1,  IF(Table2[[#This Row],[Data attivazione]] = "","-",MONTH(Table2[[#This Row],[Data attivazione]])),"-"),"-")</f>
        <v>10</v>
      </c>
      <c r="R2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4" s="67" t="s">
        <v>2</v>
      </c>
      <c r="V254" s="62"/>
      <c r="W254" s="64">
        <v>42667</v>
      </c>
      <c r="X254" s="29">
        <f>DATE(YEAR(Table2[[#This Row],[Data attivazione]])+VLOOKUP(Table2[[#This Row],[Durata]],VALORE_DURATA,2,FALSE),MONTH(Table2[[#This Row],[Data attivazione]]),DAY(Table2[[#This Row],[Data attivazione]]))</f>
        <v>43032</v>
      </c>
      <c r="Y254" s="65"/>
      <c r="Z254" s="61"/>
      <c r="AA254" s="64" t="s">
        <v>85</v>
      </c>
      <c r="AB254" s="29" t="str">
        <f>IF(Table2[[#This Row],[Data ultimo versamento temp]]=0/1/1900,"-",Table2[[#This Row],[Data ultimo versamento temp]])</f>
        <v>-</v>
      </c>
      <c r="AC254" s="29">
        <f t="array" ref="AC254">MAX(IF(TableVersamenti[Polizza]=Table2[[#This Row],[Polizza]],TableVersamenti[Data prevista versamento],"-"))</f>
        <v>0</v>
      </c>
      <c r="AD254" s="62"/>
      <c r="AE254" s="106">
        <f>DATE(YEAR(Table2[[#This Row],[Data ultimo pagamento]]),MONTH(Table2[[#This Row],[Data ultimo pagamento]]), 1)</f>
        <v>42856</v>
      </c>
      <c r="AF254" s="106">
        <f>DATE(YEAR(Table2[[#This Row],[Data prossima scadenza]]),MONTH(Table2[[#This Row],[Data prossima scadenza]]), 1)</f>
        <v>43009</v>
      </c>
      <c r="AG254" s="33">
        <f>IFERROR(Table2[[#This Row],[Importo annuale]]*VLOOKUP(Table2[[#This Row],[Ramo]],RAMI_POLIZZA,2,FALSE),0)</f>
        <v>7.44536</v>
      </c>
      <c r="AH254" s="65" t="s">
        <v>113</v>
      </c>
      <c r="AI254" s="63" t="str">
        <f>IFERROR(VLOOKUP(Table2[[#This Row],[Contraente]],Table1[[Nome/Ragione sociale]:[Checkbox selezionato]],2,FALSE),"-")</f>
        <v>VALLE SALIMBENE</v>
      </c>
      <c r="AJ254" s="63">
        <f>IFERROR(VLOOKUP(Table2[[#This Row],[Contraente]],Table1[[Nome/Ragione sociale]:[Checkbox selezionato]],3,FALSE),"-")</f>
        <v>3775083706</v>
      </c>
      <c r="AK254" s="63" t="str">
        <f>IFERROR(VLOOKUP(Table2[[#This Row],[Contraente]],Table1[[Nome/Ragione sociale]:[Checkbox selezionato]],4,FALSE),"-")</f>
        <v>.0382485053</v>
      </c>
      <c r="AL254" s="63" t="str">
        <f>IFERROR(VLOOKUP(Table2[[#This Row],[Contraente]],Table1[[Nome/Ragione sociale]:[Checkbox selezionato]],5,FALSE),"-")</f>
        <v>ROBERTO</v>
      </c>
      <c r="AM254" s="62">
        <f>IFERROR(VLOOKUP(Table2[[#This Row],[Contraente]],Table1[[Nome/Ragione sociale]:[Checkbox selezionato]],6,FALSE),"-")</f>
        <v>24631</v>
      </c>
      <c r="AN254" s="63" t="str">
        <f>IFERROR(VLOOKUP(Table2[[#This Row],[Contraente]],Table1[[Nome/Ragione sociale]:[Checkbox selezionato]],7,FALSE),"-")</f>
        <v>papies@email.it</v>
      </c>
      <c r="AO254" s="63">
        <f>IFERROR(VLOOKUP(Table2[[#This Row],[Contraente]],Table1[[Nome/Ragione sociale]:[Checkbox selezionato]],8,FALSE),"-")</f>
        <v>0</v>
      </c>
      <c r="AP254" s="63">
        <f>IFERROR(VLOOKUP(Table2[[#This Row],[Contraente]],Table1[[Nome/Ragione sociale]:[Checkbox selezionato]],10,FALSE),"-")</f>
        <v>3775083706</v>
      </c>
      <c r="AQ254" s="63" t="str">
        <f>IFERROR(VLOOKUP(Table2[[#This Row],[Contraente]],Table1[[Nome/Ragione sociale]:[Checkbox selezionato]],11,FALSE),"-")</f>
        <v>SI</v>
      </c>
      <c r="AR254" s="63" t="str">
        <f>IFERROR(VLOOKUP(Table2[[#This Row],[Contraente]],Table1[[Nome/Ragione sociale]:[Checkbox selezionato]],12,FALSE),"-")</f>
        <v>SI</v>
      </c>
    </row>
    <row r="255" spans="1:44" ht="30" hidden="1" customHeight="1" x14ac:dyDescent="0.25">
      <c r="A255" s="60" t="str">
        <f>UPPER(LEFT(Table2[[#This Row],[Contraente]],1))</f>
        <v>C</v>
      </c>
      <c r="B255" s="60" t="s">
        <v>1634</v>
      </c>
      <c r="C255" s="81" t="s">
        <v>453</v>
      </c>
      <c r="D255" s="81" t="s">
        <v>37</v>
      </c>
      <c r="E255" s="86">
        <v>105559316</v>
      </c>
      <c r="F255" s="64">
        <v>42859</v>
      </c>
      <c r="G255" s="64">
        <f>IFERROR(CALCOLASCADENZA(Table2[[#This Row],[Data attivazione]],Table2[[#This Row],[Rateizzazione]],Table2[[#This Row],[Data ultimo pagamento]],Table2[[#This Row],[Data prossima scadenza manuale]]),"-")</f>
        <v>42859</v>
      </c>
      <c r="H255" s="67" t="s">
        <v>31</v>
      </c>
      <c r="I255" s="67" t="s">
        <v>1239</v>
      </c>
      <c r="J255" s="33">
        <v>273</v>
      </c>
      <c r="K255" s="88">
        <v>273</v>
      </c>
      <c r="L255" s="88">
        <v>540</v>
      </c>
      <c r="M255" s="67" t="s">
        <v>43</v>
      </c>
      <c r="N255" s="67" t="s">
        <v>51</v>
      </c>
      <c r="O255" s="27" t="s">
        <v>1631</v>
      </c>
      <c r="P255" s="33" t="s">
        <v>24</v>
      </c>
      <c r="Q25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5" s="67" t="s">
        <v>2</v>
      </c>
      <c r="V255" s="62"/>
      <c r="W255" s="64">
        <v>42677</v>
      </c>
      <c r="X255" s="29">
        <f>DATE(YEAR(Table2[[#This Row],[Data attivazione]])+VLOOKUP(Table2[[#This Row],[Durata]],VALORE_DURATA,2,FALSE),MONTH(Table2[[#This Row],[Data attivazione]]),DAY(Table2[[#This Row],[Data attivazione]]))</f>
        <v>43042</v>
      </c>
      <c r="Y255" s="65"/>
      <c r="Z255" s="61"/>
      <c r="AA255" s="64" t="s">
        <v>85</v>
      </c>
      <c r="AB255" s="29" t="str">
        <f>IF(Table2[[#This Row],[Data ultimo versamento temp]]=0/1/1900,"-",Table2[[#This Row],[Data ultimo versamento temp]])</f>
        <v>-</v>
      </c>
      <c r="AC255" s="29">
        <f t="array" ref="AC255">MAX(IF(TableVersamenti[Polizza]=Table2[[#This Row],[Polizza]],TableVersamenti[Data prevista versamento],"-"))</f>
        <v>0</v>
      </c>
      <c r="AD255" s="62"/>
      <c r="AE255" s="106">
        <f>DATE(YEAR(Table2[[#This Row],[Data ultimo pagamento]]),MONTH(Table2[[#This Row],[Data ultimo pagamento]]), 1)</f>
        <v>42856</v>
      </c>
      <c r="AF255" s="106">
        <f>DATE(YEAR(Table2[[#This Row],[Data prossima scadenza]]),MONTH(Table2[[#This Row],[Data prossima scadenza]]), 1)</f>
        <v>42856</v>
      </c>
      <c r="AG255" s="33">
        <f>IFERROR(Table2[[#This Row],[Importo annuale]]*VLOOKUP(Table2[[#This Row],[Ramo]],RAMI_POLIZZA,2,FALSE),0)</f>
        <v>28.08</v>
      </c>
      <c r="AH255" s="65" t="s">
        <v>113</v>
      </c>
      <c r="AI255" s="63" t="str">
        <f>IFERROR(VLOOKUP(Table2[[#This Row],[Contraente]],Table1[[Nome/Ragione sociale]:[Checkbox selezionato]],2,FALSE),"-")</f>
        <v>CORTEOLONA</v>
      </c>
      <c r="AJ255" s="63">
        <f>IFERROR(VLOOKUP(Table2[[#This Row],[Contraente]],Table1[[Nome/Ragione sociale]:[Checkbox selezionato]],3,FALSE),"-")</f>
        <v>3477597278</v>
      </c>
      <c r="AK255" s="63" t="str">
        <f>IFERROR(VLOOKUP(Table2[[#This Row],[Contraente]],Table1[[Nome/Ragione sociale]:[Checkbox selezionato]],4,FALSE),"-")</f>
        <v>.0382485401</v>
      </c>
      <c r="AL255" s="63" t="str">
        <f>IFERROR(VLOOKUP(Table2[[#This Row],[Contraente]],Table1[[Nome/Ragione sociale]:[Checkbox selezionato]],5,FALSE),"-")</f>
        <v>GIANCARLA</v>
      </c>
      <c r="AM255" s="62">
        <f>IFERROR(VLOOKUP(Table2[[#This Row],[Contraente]],Table1[[Nome/Ragione sociale]:[Checkbox selezionato]],6,FALSE),"-")</f>
        <v>28117</v>
      </c>
      <c r="AN255" s="63" t="str">
        <f>IFERROR(VLOOKUP(Table2[[#This Row],[Contraente]],Table1[[Nome/Ragione sociale]:[Checkbox selezionato]],7,FALSE),"-")</f>
        <v>papies@libero.it</v>
      </c>
      <c r="AO255" s="63">
        <f>IFERROR(VLOOKUP(Table2[[#This Row],[Contraente]],Table1[[Nome/Ragione sociale]:[Checkbox selezionato]],8,FALSE),"-")</f>
        <v>0</v>
      </c>
      <c r="AP255" s="63">
        <f>IFERROR(VLOOKUP(Table2[[#This Row],[Contraente]],Table1[[Nome/Ragione sociale]:[Checkbox selezionato]],10,FALSE),"-")</f>
        <v>3477597278</v>
      </c>
      <c r="AQ255" s="63" t="str">
        <f>IFERROR(VLOOKUP(Table2[[#This Row],[Contraente]],Table1[[Nome/Ragione sociale]:[Checkbox selezionato]],11,FALSE),"-")</f>
        <v>SI</v>
      </c>
      <c r="AR255" s="63" t="str">
        <f>IFERROR(VLOOKUP(Table2[[#This Row],[Contraente]],Table1[[Nome/Ragione sociale]:[Checkbox selezionato]],12,FALSE),"-")</f>
        <v>SI</v>
      </c>
    </row>
    <row r="256" spans="1:44" ht="30" hidden="1" customHeight="1" x14ac:dyDescent="0.25">
      <c r="A256" s="60" t="str">
        <f>UPPER(LEFT(Table2[[#This Row],[Contraente]],1))</f>
        <v>C</v>
      </c>
      <c r="B256" s="60" t="s">
        <v>1634</v>
      </c>
      <c r="C256" s="81" t="s">
        <v>457</v>
      </c>
      <c r="D256" s="81" t="s">
        <v>37</v>
      </c>
      <c r="E256" s="86">
        <v>106632184</v>
      </c>
      <c r="F256" s="64">
        <v>42810</v>
      </c>
      <c r="G256" s="64">
        <f>IFERROR(CALCOLASCADENZA(Table2[[#This Row],[Data attivazione]],Table2[[#This Row],[Rateizzazione]],Table2[[#This Row],[Data ultimo pagamento]],Table2[[#This Row],[Data prossima scadenza manuale]]),"-")</f>
        <v>42932</v>
      </c>
      <c r="H256" s="67" t="s">
        <v>31</v>
      </c>
      <c r="I256" s="67" t="s">
        <v>1241</v>
      </c>
      <c r="J256" s="33">
        <f>IFERROR(Table2[[#This Row],[Importo annuale]]/(12/VLOOKUP(Table2[[#This Row],[Rateizzazione]],TIPI_RATEIZZAZIONI,2,FALSE)),"-")</f>
        <v>270</v>
      </c>
      <c r="K256" s="88">
        <v>270</v>
      </c>
      <c r="L256" s="88">
        <v>810</v>
      </c>
      <c r="M256" s="67" t="s">
        <v>43</v>
      </c>
      <c r="N256" s="67" t="s">
        <v>52</v>
      </c>
      <c r="O256" s="27" t="s">
        <v>1631</v>
      </c>
      <c r="P256" s="33" t="s">
        <v>21</v>
      </c>
      <c r="Q256" s="60">
        <f>IFERROR(IF(12 / VLOOKUP(Table2[[#This Row],[Rateizzazione]],TIPI_RATEIZZAZIONI,2,FALSE) &gt;=1,  IF(Table2[[#This Row],[Data attivazione]] = "","-",MONTH(Table2[[#This Row],[Data attivazione]])),"-"),"-")</f>
        <v>7</v>
      </c>
      <c r="R2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25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2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6" s="67" t="s">
        <v>2</v>
      </c>
      <c r="V256" s="62"/>
      <c r="W256" s="64">
        <v>42567</v>
      </c>
      <c r="X256" s="29">
        <f>DATE(YEAR(Table2[[#This Row],[Data attivazione]])+VLOOKUP(Table2[[#This Row],[Durata]],VALORE_DURATA,2,FALSE),MONTH(Table2[[#This Row],[Data attivazione]]),DAY(Table2[[#This Row],[Data attivazione]]))</f>
        <v>42932</v>
      </c>
      <c r="Y256" s="65"/>
      <c r="Z256" s="61"/>
      <c r="AA256" s="64" t="s">
        <v>85</v>
      </c>
      <c r="AB256" s="29" t="str">
        <f>IF(Table2[[#This Row],[Data ultimo versamento temp]]=0/1/1900,"-",Table2[[#This Row],[Data ultimo versamento temp]])</f>
        <v>-</v>
      </c>
      <c r="AC256" s="29">
        <f t="array" ref="AC256">MAX(IF(TableVersamenti[Polizza]=Table2[[#This Row],[Polizza]],TableVersamenti[Data prevista versamento],"-"))</f>
        <v>0</v>
      </c>
      <c r="AD256" s="62"/>
      <c r="AE256" s="106">
        <f>DATE(YEAR(Table2[[#This Row],[Data ultimo pagamento]]),MONTH(Table2[[#This Row],[Data ultimo pagamento]]), 1)</f>
        <v>42795</v>
      </c>
      <c r="AF256" s="106">
        <f>DATE(YEAR(Table2[[#This Row],[Data prossima scadenza]]),MONTH(Table2[[#This Row],[Data prossima scadenza]]), 1)</f>
        <v>42917</v>
      </c>
      <c r="AG256" s="33">
        <f>IFERROR(Table2[[#This Row],[Importo annuale]]*VLOOKUP(Table2[[#This Row],[Ramo]],RAMI_POLIZZA,2,FALSE),0)</f>
        <v>42.12</v>
      </c>
      <c r="AH256" s="65" t="s">
        <v>113</v>
      </c>
      <c r="AI256" s="63" t="str">
        <f>IFERROR(VLOOKUP(Table2[[#This Row],[Contraente]],Table1[[Nome/Ragione sociale]:[Checkbox selezionato]],2,FALSE),"-")</f>
        <v>VISTARINO</v>
      </c>
      <c r="AJ256" s="63">
        <f>IFERROR(VLOOKUP(Table2[[#This Row],[Contraente]],Table1[[Nome/Ragione sociale]:[Checkbox selezionato]],3,FALSE),"-")</f>
        <v>3349496419</v>
      </c>
      <c r="AK256" s="63">
        <f>IFERROR(VLOOKUP(Table2[[#This Row],[Contraente]],Table1[[Nome/Ragione sociale]:[Checkbox selezionato]],4,FALSE),"-")</f>
        <v>0</v>
      </c>
      <c r="AL256" s="63" t="str">
        <f>IFERROR(VLOOKUP(Table2[[#This Row],[Contraente]],Table1[[Nome/Ragione sociale]:[Checkbox selezionato]],5,FALSE),"-")</f>
        <v>MOGLIE</v>
      </c>
      <c r="AM256" s="62">
        <f>IFERROR(VLOOKUP(Table2[[#This Row],[Contraente]],Table1[[Nome/Ragione sociale]:[Checkbox selezionato]],6,FALSE),"-")</f>
        <v>21100</v>
      </c>
      <c r="AN256" s="63" t="str">
        <f>IFERROR(VLOOKUP(Table2[[#This Row],[Contraente]],Table1[[Nome/Ragione sociale]:[Checkbox selezionato]],7,FALSE),"-")</f>
        <v>papies@libero.it</v>
      </c>
      <c r="AO256" s="63">
        <f>IFERROR(VLOOKUP(Table2[[#This Row],[Contraente]],Table1[[Nome/Ragione sociale]:[Checkbox selezionato]],8,FALSE),"-")</f>
        <v>0</v>
      </c>
      <c r="AP256" s="63">
        <f>IFERROR(VLOOKUP(Table2[[#This Row],[Contraente]],Table1[[Nome/Ragione sociale]:[Checkbox selezionato]],10,FALSE),"-")</f>
        <v>3349496419</v>
      </c>
      <c r="AQ256" s="63" t="str">
        <f>IFERROR(VLOOKUP(Table2[[#This Row],[Contraente]],Table1[[Nome/Ragione sociale]:[Checkbox selezionato]],11,FALSE),"-")</f>
        <v>SI</v>
      </c>
      <c r="AR256" s="63" t="str">
        <f>IFERROR(VLOOKUP(Table2[[#This Row],[Contraente]],Table1[[Nome/Ragione sociale]:[Checkbox selezionato]],12,FALSE),"-")</f>
        <v>SI</v>
      </c>
    </row>
    <row r="257" spans="1:44" ht="30" hidden="1" customHeight="1" x14ac:dyDescent="0.25">
      <c r="A257" s="60" t="str">
        <f>UPPER(LEFT(Table2[[#This Row],[Contraente]],1))</f>
        <v>C</v>
      </c>
      <c r="B257" s="60" t="s">
        <v>1634</v>
      </c>
      <c r="C257" s="81" t="s">
        <v>456</v>
      </c>
      <c r="D257" s="81" t="s">
        <v>37</v>
      </c>
      <c r="E257" s="86">
        <v>103776728</v>
      </c>
      <c r="F257" s="64">
        <v>42163</v>
      </c>
      <c r="G257" s="64">
        <f>IFERROR(CALCOLASCADENZA(Table2[[#This Row],[Data attivazione]],Table2[[#This Row],[Rateizzazione]],Table2[[#This Row],[Data ultimo pagamento]],Table2[[#This Row],[Data prossima scadenza manuale]]),"-")</f>
        <v>693778</v>
      </c>
      <c r="H257" s="67" t="s">
        <v>31</v>
      </c>
      <c r="I257" s="67" t="s">
        <v>1240</v>
      </c>
      <c r="J257" s="33">
        <f>IFERROR(Table2[[#This Row],[Importo annuale]]/(12/VLOOKUP(Table2[[#This Row],[Rateizzazione]],TIPI_RATEIZZAZIONI,2,FALSE)),"-")</f>
        <v>375</v>
      </c>
      <c r="K257" s="88"/>
      <c r="L257" s="88">
        <v>750</v>
      </c>
      <c r="M257" s="67" t="s">
        <v>43</v>
      </c>
      <c r="N257" s="67" t="s">
        <v>52</v>
      </c>
      <c r="O257" s="27" t="s">
        <v>1631</v>
      </c>
      <c r="P257" s="33" t="s">
        <v>22</v>
      </c>
      <c r="Q257" s="60">
        <f>IFERROR(IF(12 / VLOOKUP(Table2[[#This Row],[Rateizzazione]],TIPI_RATEIZZAZIONI,2,FALSE) &gt;=1,  IF(Table2[[#This Row],[Data attivazione]] = "","-",MONTH(Table2[[#This Row],[Data attivazione]])),"-"),"-")</f>
        <v>12</v>
      </c>
      <c r="R2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7" s="67" t="s">
        <v>2</v>
      </c>
      <c r="V257" s="62"/>
      <c r="W257" s="64">
        <v>693597</v>
      </c>
      <c r="X257" s="29">
        <f>DATE(YEAR(Table2[[#This Row],[Data attivazione]])+VLOOKUP(Table2[[#This Row],[Durata]],VALORE_DURATA,2,FALSE),MONTH(Table2[[#This Row],[Data attivazione]]),DAY(Table2[[#This Row],[Data attivazione]]))</f>
        <v>693962</v>
      </c>
      <c r="Y257" s="65"/>
      <c r="Z257" s="61"/>
      <c r="AA257" s="64" t="s">
        <v>88</v>
      </c>
      <c r="AB257" s="29" t="str">
        <f>IF(Table2[[#This Row],[Data ultimo versamento temp]]=0/1/1900,"-",Table2[[#This Row],[Data ultimo versamento temp]])</f>
        <v>-</v>
      </c>
      <c r="AC257" s="29">
        <f t="array" ref="AC257">MAX(IF(TableVersamenti[Polizza]=Table2[[#This Row],[Polizza]],TableVersamenti[Data prevista versamento],"-"))</f>
        <v>0</v>
      </c>
      <c r="AD257" s="62"/>
      <c r="AE257" s="106">
        <f>DATE(YEAR(Table2[[#This Row],[Data ultimo pagamento]]),MONTH(Table2[[#This Row],[Data ultimo pagamento]]), 1)</f>
        <v>42156</v>
      </c>
      <c r="AF257" s="106">
        <f>DATE(YEAR(Table2[[#This Row],[Data prossima scadenza]]),MONTH(Table2[[#This Row],[Data prossima scadenza]]), 1)</f>
        <v>693749</v>
      </c>
      <c r="AG257" s="33">
        <f>IFERROR(Table2[[#This Row],[Importo annuale]]*VLOOKUP(Table2[[#This Row],[Ramo]],RAMI_POLIZZA,2,FALSE),0)</f>
        <v>39</v>
      </c>
      <c r="AH257" s="65" t="s">
        <v>113</v>
      </c>
      <c r="AI257" s="63" t="str">
        <f>IFERROR(VLOOKUP(Table2[[#This Row],[Contraente]],Table1[[Nome/Ragione sociale]:[Checkbox selezionato]],2,FALSE),"-")</f>
        <v>VISTARINO</v>
      </c>
      <c r="AJ257" s="63">
        <f>IFERROR(VLOOKUP(Table2[[#This Row],[Contraente]],Table1[[Nome/Ragione sociale]:[Checkbox selezionato]],3,FALSE),"-")</f>
        <v>3407035117</v>
      </c>
      <c r="AK257" s="63">
        <f>IFERROR(VLOOKUP(Table2[[#This Row],[Contraente]],Table1[[Nome/Ragione sociale]:[Checkbox selezionato]],4,FALSE),"-")</f>
        <v>0</v>
      </c>
      <c r="AL257" s="63" t="str">
        <f>IFERROR(VLOOKUP(Table2[[#This Row],[Contraente]],Table1[[Nome/Ragione sociale]:[Checkbox selezionato]],5,FALSE),"-")</f>
        <v>LUIGI</v>
      </c>
      <c r="AM257" s="62">
        <f>IFERROR(VLOOKUP(Table2[[#This Row],[Contraente]],Table1[[Nome/Ragione sociale]:[Checkbox selezionato]],6,FALSE),"-")</f>
        <v>30937</v>
      </c>
      <c r="AN257" s="63" t="str">
        <f>IFERROR(VLOOKUP(Table2[[#This Row],[Contraente]],Table1[[Nome/Ragione sociale]:[Checkbox selezionato]],7,FALSE),"-")</f>
        <v>papies@email.it</v>
      </c>
      <c r="AO257" s="63">
        <f>IFERROR(VLOOKUP(Table2[[#This Row],[Contraente]],Table1[[Nome/Ragione sociale]:[Checkbox selezionato]],8,FALSE),"-")</f>
        <v>0</v>
      </c>
      <c r="AP257" s="63">
        <f>IFERROR(VLOOKUP(Table2[[#This Row],[Contraente]],Table1[[Nome/Ragione sociale]:[Checkbox selezionato]],10,FALSE),"-")</f>
        <v>3407035117</v>
      </c>
      <c r="AQ257" s="63" t="str">
        <f>IFERROR(VLOOKUP(Table2[[#This Row],[Contraente]],Table1[[Nome/Ragione sociale]:[Checkbox selezionato]],11,FALSE),"-")</f>
        <v>SI</v>
      </c>
      <c r="AR257" s="63" t="str">
        <f>IFERROR(VLOOKUP(Table2[[#This Row],[Contraente]],Table1[[Nome/Ragione sociale]:[Checkbox selezionato]],12,FALSE),"-")</f>
        <v>SI</v>
      </c>
    </row>
    <row r="258" spans="1:44" ht="30" hidden="1" customHeight="1" x14ac:dyDescent="0.25">
      <c r="A258" s="60" t="str">
        <f>UPPER(LEFT(Table2[[#This Row],[Contraente]],1))</f>
        <v>C</v>
      </c>
      <c r="B258" s="60" t="s">
        <v>1634</v>
      </c>
      <c r="C258" s="81" t="s">
        <v>458</v>
      </c>
      <c r="D258" s="81" t="s">
        <v>37</v>
      </c>
      <c r="E258" s="86">
        <v>105197699</v>
      </c>
      <c r="F258" s="64">
        <v>42772</v>
      </c>
      <c r="G258" s="64">
        <f>IFERROR(CALCOLASCADENZA(Table2[[#This Row],[Data attivazione]],Table2[[#This Row],[Rateizzazione]],Table2[[#This Row],[Data ultimo pagamento]],Table2[[#This Row],[Data prossima scadenza manuale]]),"-")</f>
        <v>42929</v>
      </c>
      <c r="H258" s="67" t="s">
        <v>31</v>
      </c>
      <c r="I258" s="67" t="s">
        <v>1242</v>
      </c>
      <c r="J258" s="33">
        <f>IFERROR(Table2[[#This Row],[Importo annuale]]/(12/VLOOKUP(Table2[[#This Row],[Rateizzazione]],TIPI_RATEIZZAZIONI,2,FALSE)),"-")</f>
        <v>403.84</v>
      </c>
      <c r="K258" s="88">
        <v>403.84</v>
      </c>
      <c r="L258" s="88">
        <v>807.68</v>
      </c>
      <c r="M258" s="67" t="s">
        <v>44</v>
      </c>
      <c r="N258" s="67" t="s">
        <v>52</v>
      </c>
      <c r="O258" s="27" t="s">
        <v>1631</v>
      </c>
      <c r="P258" s="33" t="s">
        <v>22</v>
      </c>
      <c r="Q258" s="60">
        <f>IFERROR(IF(12 / VLOOKUP(Table2[[#This Row],[Rateizzazione]],TIPI_RATEIZZAZIONI,2,FALSE) &gt;=1,  IF(Table2[[#This Row],[Data attivazione]] = "","-",MONTH(Table2[[#This Row],[Data attivazione]])),"-"),"-")</f>
        <v>7</v>
      </c>
      <c r="R2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8" s="67" t="s">
        <v>2</v>
      </c>
      <c r="V258" s="62"/>
      <c r="W258" s="64">
        <v>42564</v>
      </c>
      <c r="X258" s="29">
        <f>DATE(YEAR(Table2[[#This Row],[Data attivazione]])+VLOOKUP(Table2[[#This Row],[Durata]],VALORE_DURATA,2,FALSE),MONTH(Table2[[#This Row],[Data attivazione]]),DAY(Table2[[#This Row],[Data attivazione]]))</f>
        <v>42929</v>
      </c>
      <c r="Y258" s="65"/>
      <c r="Z258" s="61"/>
      <c r="AA258" s="64" t="s">
        <v>85</v>
      </c>
      <c r="AB258" s="29" t="str">
        <f>IF(Table2[[#This Row],[Data ultimo versamento temp]]=0/1/1900,"-",Table2[[#This Row],[Data ultimo versamento temp]])</f>
        <v>-</v>
      </c>
      <c r="AC258" s="29">
        <f t="array" ref="AC258">MAX(IF(TableVersamenti[Polizza]=Table2[[#This Row],[Polizza]],TableVersamenti[Data prevista versamento],"-"))</f>
        <v>0</v>
      </c>
      <c r="AD258" s="62"/>
      <c r="AE258" s="106">
        <f>DATE(YEAR(Table2[[#This Row],[Data ultimo pagamento]]),MONTH(Table2[[#This Row],[Data ultimo pagamento]]), 1)</f>
        <v>42767</v>
      </c>
      <c r="AF258" s="106">
        <f>DATE(YEAR(Table2[[#This Row],[Data prossima scadenza]]),MONTH(Table2[[#This Row],[Data prossima scadenza]]), 1)</f>
        <v>42917</v>
      </c>
      <c r="AG258" s="33">
        <f>IFERROR(Table2[[#This Row],[Importo annuale]]*VLOOKUP(Table2[[#This Row],[Ramo]],RAMI_POLIZZA,2,FALSE),0)</f>
        <v>41.999359999999996</v>
      </c>
      <c r="AH258" s="65" t="s">
        <v>113</v>
      </c>
      <c r="AI258" s="63" t="str">
        <f>IFERROR(VLOOKUP(Table2[[#This Row],[Contraente]],Table1[[Nome/Ragione sociale]:[Checkbox selezionato]],2,FALSE),"-")</f>
        <v>BRONI</v>
      </c>
      <c r="AJ258" s="63">
        <f>IFERROR(VLOOKUP(Table2[[#This Row],[Contraente]],Table1[[Nome/Ragione sociale]:[Checkbox selezionato]],3,FALSE),"-")</f>
        <v>333718690</v>
      </c>
      <c r="AK258" s="63">
        <f>IFERROR(VLOOKUP(Table2[[#This Row],[Contraente]],Table1[[Nome/Ragione sociale]:[Checkbox selezionato]],4,FALSE),"-")</f>
        <v>0</v>
      </c>
      <c r="AL258" s="63" t="str">
        <f>IFERROR(VLOOKUP(Table2[[#This Row],[Contraente]],Table1[[Nome/Ragione sociale]:[Checkbox selezionato]],5,FALSE),"-")</f>
        <v>FRATELLO</v>
      </c>
      <c r="AM258" s="62">
        <f>IFERROR(VLOOKUP(Table2[[#This Row],[Contraente]],Table1[[Nome/Ragione sociale]:[Checkbox selezionato]],6,FALSE),"-")</f>
        <v>23985</v>
      </c>
      <c r="AN258" s="63" t="str">
        <f>IFERROR(VLOOKUP(Table2[[#This Row],[Contraente]],Table1[[Nome/Ragione sociale]:[Checkbox selezionato]],7,FALSE),"-")</f>
        <v>papies@libero.it</v>
      </c>
      <c r="AO258" s="63">
        <f>IFERROR(VLOOKUP(Table2[[#This Row],[Contraente]],Table1[[Nome/Ragione sociale]:[Checkbox selezionato]],8,FALSE),"-")</f>
        <v>0</v>
      </c>
      <c r="AP258" s="63">
        <f>IFERROR(VLOOKUP(Table2[[#This Row],[Contraente]],Table1[[Nome/Ragione sociale]:[Checkbox selezionato]],10,FALSE),"-")</f>
        <v>333718690</v>
      </c>
      <c r="AQ258" s="63" t="str">
        <f>IFERROR(VLOOKUP(Table2[[#This Row],[Contraente]],Table1[[Nome/Ragione sociale]:[Checkbox selezionato]],11,FALSE),"-")</f>
        <v>SI</v>
      </c>
      <c r="AR258" s="63" t="str">
        <f>IFERROR(VLOOKUP(Table2[[#This Row],[Contraente]],Table1[[Nome/Ragione sociale]:[Checkbox selezionato]],12,FALSE),"-")</f>
        <v>SI</v>
      </c>
    </row>
    <row r="259" spans="1:44" ht="30" hidden="1" customHeight="1" x14ac:dyDescent="0.25">
      <c r="A259" s="60" t="str">
        <f>UPPER(LEFT(Table2[[#This Row],[Contraente]],1))</f>
        <v>C</v>
      </c>
      <c r="B259" s="60" t="s">
        <v>1634</v>
      </c>
      <c r="C259" s="81" t="s">
        <v>465</v>
      </c>
      <c r="D259" s="81" t="s">
        <v>37</v>
      </c>
      <c r="E259" s="86">
        <v>103206898</v>
      </c>
      <c r="F259" s="64">
        <v>41803</v>
      </c>
      <c r="G259" s="64">
        <f>IFERROR(CALCOLASCADENZA(Table2[[#This Row],[Data attivazione]],Table2[[#This Row],[Rateizzazione]],Table2[[#This Row],[Data ultimo pagamento]],Table2[[#This Row],[Data prossima scadenza manuale]]),"-")</f>
        <v>693962</v>
      </c>
      <c r="H259" s="67" t="s">
        <v>31</v>
      </c>
      <c r="I259" s="67"/>
      <c r="J259" s="33">
        <f>IFERROR(Table2[[#This Row],[Importo annuale]]/(12/VLOOKUP(Table2[[#This Row],[Rateizzazione]],TIPI_RATEIZZAZIONI,2,FALSE)),"-")</f>
        <v>110</v>
      </c>
      <c r="K259" s="88"/>
      <c r="L259" s="88">
        <v>110</v>
      </c>
      <c r="M259" s="67" t="s">
        <v>43</v>
      </c>
      <c r="N259" s="67" t="s">
        <v>52</v>
      </c>
      <c r="O259" s="27" t="s">
        <v>1631</v>
      </c>
      <c r="P259" s="33" t="s">
        <v>23</v>
      </c>
      <c r="Q259" s="60">
        <f>IFERROR(IF(12 / VLOOKUP(Table2[[#This Row],[Rateizzazione]],TIPI_RATEIZZAZIONI,2,FALSE) &gt;=1,  IF(Table2[[#This Row],[Data attivazione]] = "","-",MONTH(Table2[[#This Row],[Data attivazione]])),"-"),"-")</f>
        <v>12</v>
      </c>
      <c r="R2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9" s="67" t="s">
        <v>2</v>
      </c>
      <c r="V259" s="62"/>
      <c r="W259" s="64">
        <v>693597</v>
      </c>
      <c r="X259" s="29">
        <f>DATE(YEAR(Table2[[#This Row],[Data attivazione]])+VLOOKUP(Table2[[#This Row],[Durata]],VALORE_DURATA,2,FALSE),MONTH(Table2[[#This Row],[Data attivazione]]),DAY(Table2[[#This Row],[Data attivazione]]))</f>
        <v>693962</v>
      </c>
      <c r="Y259" s="65"/>
      <c r="Z259" s="61"/>
      <c r="AA259" s="64" t="s">
        <v>88</v>
      </c>
      <c r="AB259" s="29" t="str">
        <f>IF(Table2[[#This Row],[Data ultimo versamento temp]]=0/1/1900,"-",Table2[[#This Row],[Data ultimo versamento temp]])</f>
        <v>-</v>
      </c>
      <c r="AC259" s="29">
        <f t="array" ref="AC259">MAX(IF(TableVersamenti[Polizza]=Table2[[#This Row],[Polizza]],TableVersamenti[Data prevista versamento],"-"))</f>
        <v>0</v>
      </c>
      <c r="AD259" s="62"/>
      <c r="AE259" s="106">
        <f>DATE(YEAR(Table2[[#This Row],[Data ultimo pagamento]]),MONTH(Table2[[#This Row],[Data ultimo pagamento]]), 1)</f>
        <v>41791</v>
      </c>
      <c r="AF259" s="106">
        <f>DATE(YEAR(Table2[[#This Row],[Data prossima scadenza]]),MONTH(Table2[[#This Row],[Data prossima scadenza]]), 1)</f>
        <v>693932</v>
      </c>
      <c r="AG259" s="33">
        <f>IFERROR(Table2[[#This Row],[Importo annuale]]*VLOOKUP(Table2[[#This Row],[Ramo]],RAMI_POLIZZA,2,FALSE),0)</f>
        <v>5.72</v>
      </c>
      <c r="AH259" s="65" t="s">
        <v>113</v>
      </c>
      <c r="AI259" s="63" t="str">
        <f>IFERROR(VLOOKUP(Table2[[#This Row],[Contraente]],Table1[[Nome/Ragione sociale]:[Checkbox selezionato]],2,FALSE),"-")</f>
        <v>SPESSA</v>
      </c>
      <c r="AJ259" s="63">
        <f>IFERROR(VLOOKUP(Table2[[#This Row],[Contraente]],Table1[[Nome/Ragione sociale]:[Checkbox selezionato]],3,FALSE),"-")</f>
        <v>3206240179</v>
      </c>
      <c r="AK259" s="63">
        <f>IFERROR(VLOOKUP(Table2[[#This Row],[Contraente]],Table1[[Nome/Ragione sociale]:[Checkbox selezionato]],4,FALSE),"-")</f>
        <v>0</v>
      </c>
      <c r="AL259" s="63" t="str">
        <f>IFERROR(VLOOKUP(Table2[[#This Row],[Contraente]],Table1[[Nome/Ragione sociale]:[Checkbox selezionato]],5,FALSE),"-")</f>
        <v>MOGLIE</v>
      </c>
      <c r="AM259" s="62">
        <f>IFERROR(VLOOKUP(Table2[[#This Row],[Contraente]],Table1[[Nome/Ragione sociale]:[Checkbox selezionato]],6,FALSE),"-")</f>
        <v>30281</v>
      </c>
      <c r="AN259" s="63" t="str">
        <f>IFERROR(VLOOKUP(Table2[[#This Row],[Contraente]],Table1[[Nome/Ragione sociale]:[Checkbox selezionato]],7,FALSE),"-")</f>
        <v>papies@libero.it</v>
      </c>
      <c r="AO259" s="63">
        <f>IFERROR(VLOOKUP(Table2[[#This Row],[Contraente]],Table1[[Nome/Ragione sociale]:[Checkbox selezionato]],8,FALSE),"-")</f>
        <v>0</v>
      </c>
      <c r="AP259" s="63">
        <f>IFERROR(VLOOKUP(Table2[[#This Row],[Contraente]],Table1[[Nome/Ragione sociale]:[Checkbox selezionato]],10,FALSE),"-")</f>
        <v>3206240179</v>
      </c>
      <c r="AQ259" s="63" t="str">
        <f>IFERROR(VLOOKUP(Table2[[#This Row],[Contraente]],Table1[[Nome/Ragione sociale]:[Checkbox selezionato]],11,FALSE),"-")</f>
        <v>SI</v>
      </c>
      <c r="AR259" s="63" t="str">
        <f>IFERROR(VLOOKUP(Table2[[#This Row],[Contraente]],Table1[[Nome/Ragione sociale]:[Checkbox selezionato]],12,FALSE),"-")</f>
        <v>SI</v>
      </c>
    </row>
    <row r="260" spans="1:44" ht="30" hidden="1" customHeight="1" x14ac:dyDescent="0.25">
      <c r="A260" s="60" t="str">
        <f>UPPER(LEFT(Table2[[#This Row],[Contraente]],1))</f>
        <v>C</v>
      </c>
      <c r="B260" s="60" t="s">
        <v>1634</v>
      </c>
      <c r="C260" s="81" t="s">
        <v>576</v>
      </c>
      <c r="D260" s="81" t="s">
        <v>37</v>
      </c>
      <c r="E260" s="86">
        <v>105847458</v>
      </c>
      <c r="F260" s="64">
        <v>42566</v>
      </c>
      <c r="G260" s="64">
        <f>IFERROR(CALCOLASCADENZA(Table2[[#This Row],[Data attivazione]],Table2[[#This Row],[Rateizzazione]],Table2[[#This Row],[Data ultimo pagamento]],Table2[[#This Row],[Data prossima scadenza manuale]]),"-")</f>
        <v>42931</v>
      </c>
      <c r="H260" s="67" t="s">
        <v>31</v>
      </c>
      <c r="I260" s="67" t="s">
        <v>1264</v>
      </c>
      <c r="J260" s="33">
        <f>IFERROR(Table2[[#This Row],[Importo annuale]]/(12/VLOOKUP(Table2[[#This Row],[Rateizzazione]],TIPI_RATEIZZAZIONI,2,FALSE)),"-")</f>
        <v>689</v>
      </c>
      <c r="K260" s="88"/>
      <c r="L260" s="88">
        <v>689</v>
      </c>
      <c r="M260" s="67" t="s">
        <v>43</v>
      </c>
      <c r="N260" s="67" t="s">
        <v>52</v>
      </c>
      <c r="O260" s="27" t="s">
        <v>1631</v>
      </c>
      <c r="P260" s="33" t="s">
        <v>23</v>
      </c>
      <c r="Q260" s="60">
        <f>IFERROR(IF(12 / VLOOKUP(Table2[[#This Row],[Rateizzazione]],TIPI_RATEIZZAZIONI,2,FALSE) &gt;=1,  IF(Table2[[#This Row],[Data attivazione]] = "","-",MONTH(Table2[[#This Row],[Data attivazione]])),"-"),"-")</f>
        <v>7</v>
      </c>
      <c r="R2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0" s="67" t="s">
        <v>2</v>
      </c>
      <c r="V260" s="62"/>
      <c r="W260" s="64">
        <v>42566</v>
      </c>
      <c r="X260" s="29">
        <f>DATE(YEAR(Table2[[#This Row],[Data attivazione]])+VLOOKUP(Table2[[#This Row],[Durata]],VALORE_DURATA,2,FALSE),MONTH(Table2[[#This Row],[Data attivazione]]),DAY(Table2[[#This Row],[Data attivazione]]))</f>
        <v>42931</v>
      </c>
      <c r="Y260" s="65"/>
      <c r="Z260" s="61"/>
      <c r="AA260" s="64" t="s">
        <v>85</v>
      </c>
      <c r="AB260" s="29" t="str">
        <f>IF(Table2[[#This Row],[Data ultimo versamento temp]]=0/1/1900,"-",Table2[[#This Row],[Data ultimo versamento temp]])</f>
        <v>-</v>
      </c>
      <c r="AC260" s="29">
        <f t="array" ref="AC260">MAX(IF(TableVersamenti[Polizza]=Table2[[#This Row],[Polizza]],TableVersamenti[Data prevista versamento],"-"))</f>
        <v>0</v>
      </c>
      <c r="AD260" s="62"/>
      <c r="AE260" s="106">
        <f>DATE(YEAR(Table2[[#This Row],[Data ultimo pagamento]]),MONTH(Table2[[#This Row],[Data ultimo pagamento]]), 1)</f>
        <v>42552</v>
      </c>
      <c r="AF260" s="106">
        <f>DATE(YEAR(Table2[[#This Row],[Data prossima scadenza]]),MONTH(Table2[[#This Row],[Data prossima scadenza]]), 1)</f>
        <v>42917</v>
      </c>
      <c r="AG260" s="33">
        <f>IFERROR(Table2[[#This Row],[Importo annuale]]*VLOOKUP(Table2[[#This Row],[Ramo]],RAMI_POLIZZA,2,FALSE),0)</f>
        <v>35.827999999999996</v>
      </c>
      <c r="AH260" s="65" t="s">
        <v>113</v>
      </c>
      <c r="AI260" s="63" t="str">
        <f>IFERROR(VLOOKUP(Table2[[#This Row],[Contraente]],Table1[[Nome/Ragione sociale]:[Checkbox selezionato]],2,FALSE),"-")</f>
        <v>BARBIANELLO</v>
      </c>
      <c r="AJ260" s="63">
        <f>IFERROR(VLOOKUP(Table2[[#This Row],[Contraente]],Table1[[Nome/Ragione sociale]:[Checkbox selezionato]],3,FALSE),"-")</f>
        <v>3200251438</v>
      </c>
      <c r="AK260" s="63">
        <f>IFERROR(VLOOKUP(Table2[[#This Row],[Contraente]],Table1[[Nome/Ragione sociale]:[Checkbox selezionato]],4,FALSE),"-")</f>
        <v>0</v>
      </c>
      <c r="AL260" s="63">
        <f>IFERROR(VLOOKUP(Table2[[#This Row],[Contraente]],Table1[[Nome/Ragione sociale]:[Checkbox selezionato]],5,FALSE),"-")</f>
        <v>0</v>
      </c>
      <c r="AM260" s="62">
        <f>IFERROR(VLOOKUP(Table2[[#This Row],[Contraente]],Table1[[Nome/Ragione sociale]:[Checkbox selezionato]],6,FALSE),"-")</f>
        <v>0</v>
      </c>
      <c r="AN260" s="63" t="str">
        <f>IFERROR(VLOOKUP(Table2[[#This Row],[Contraente]],Table1[[Nome/Ragione sociale]:[Checkbox selezionato]],7,FALSE),"-")</f>
        <v>papies@email.it</v>
      </c>
      <c r="AO260" s="63">
        <f>IFERROR(VLOOKUP(Table2[[#This Row],[Contraente]],Table1[[Nome/Ragione sociale]:[Checkbox selezionato]],8,FALSE),"-")</f>
        <v>0</v>
      </c>
      <c r="AP260" s="63">
        <f>IFERROR(VLOOKUP(Table2[[#This Row],[Contraente]],Table1[[Nome/Ragione sociale]:[Checkbox selezionato]],10,FALSE),"-")</f>
        <v>3200251438</v>
      </c>
      <c r="AQ260" s="63" t="str">
        <f>IFERROR(VLOOKUP(Table2[[#This Row],[Contraente]],Table1[[Nome/Ragione sociale]:[Checkbox selezionato]],11,FALSE),"-")</f>
        <v>SI</v>
      </c>
      <c r="AR260" s="63" t="str">
        <f>IFERROR(VLOOKUP(Table2[[#This Row],[Contraente]],Table1[[Nome/Ragione sociale]:[Checkbox selezionato]],12,FALSE),"-")</f>
        <v>SI</v>
      </c>
    </row>
    <row r="261" spans="1:44" ht="30" hidden="1" customHeight="1" x14ac:dyDescent="0.25">
      <c r="A261" s="60" t="str">
        <f>UPPER(LEFT(Table2[[#This Row],[Contraente]],1))</f>
        <v>C</v>
      </c>
      <c r="B261" s="60" t="s">
        <v>1634</v>
      </c>
      <c r="C261" s="81" t="s">
        <v>576</v>
      </c>
      <c r="D261" s="81" t="s">
        <v>37</v>
      </c>
      <c r="E261" s="86">
        <v>105847567</v>
      </c>
      <c r="F261" s="64">
        <v>42566</v>
      </c>
      <c r="G261" s="64">
        <f>IFERROR(CALCOLASCADENZA(Table2[[#This Row],[Data attivazione]],Table2[[#This Row],[Rateizzazione]],Table2[[#This Row],[Data ultimo pagamento]],Table2[[#This Row],[Data prossima scadenza manuale]]),"-")</f>
        <v>42931</v>
      </c>
      <c r="H261" s="67" t="s">
        <v>30</v>
      </c>
      <c r="I261" s="67" t="s">
        <v>113</v>
      </c>
      <c r="J261" s="33">
        <f>IFERROR(Table2[[#This Row],[Importo annuale]]/(12/VLOOKUP(Table2[[#This Row],[Rateizzazione]],TIPI_RATEIZZAZIONI,2,FALSE)),"-")</f>
        <v>115</v>
      </c>
      <c r="K261" s="88"/>
      <c r="L261" s="88">
        <v>115</v>
      </c>
      <c r="M261" s="67" t="s">
        <v>43</v>
      </c>
      <c r="N261" s="67" t="s">
        <v>52</v>
      </c>
      <c r="O261" s="27" t="s">
        <v>1631</v>
      </c>
      <c r="P261" s="33" t="s">
        <v>23</v>
      </c>
      <c r="Q261" s="60">
        <f>IFERROR(IF(12 / VLOOKUP(Table2[[#This Row],[Rateizzazione]],TIPI_RATEIZZAZIONI,2,FALSE) &gt;=1,  IF(Table2[[#This Row],[Data attivazione]] = "","-",MONTH(Table2[[#This Row],[Data attivazione]])),"-"),"-")</f>
        <v>7</v>
      </c>
      <c r="R2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1" s="67" t="s">
        <v>2</v>
      </c>
      <c r="V261" s="62"/>
      <c r="W261" s="64">
        <v>42566</v>
      </c>
      <c r="X261" s="29">
        <f>DATE(YEAR(Table2[[#This Row],[Data attivazione]])+VLOOKUP(Table2[[#This Row],[Durata]],VALORE_DURATA,2,FALSE),MONTH(Table2[[#This Row],[Data attivazione]]),DAY(Table2[[#This Row],[Data attivazione]]))</f>
        <v>42931</v>
      </c>
      <c r="Y261" s="65"/>
      <c r="Z261" s="61"/>
      <c r="AA261" s="64" t="s">
        <v>85</v>
      </c>
      <c r="AB261" s="29" t="str">
        <f>IF(Table2[[#This Row],[Data ultimo versamento temp]]=0/1/1900,"-",Table2[[#This Row],[Data ultimo versamento temp]])</f>
        <v>-</v>
      </c>
      <c r="AC261" s="29">
        <f t="array" ref="AC261">MAX(IF(TableVersamenti[Polizza]=Table2[[#This Row],[Polizza]],TableVersamenti[Data prevista versamento],"-"))</f>
        <v>0</v>
      </c>
      <c r="AD261" s="62"/>
      <c r="AE261" s="106">
        <f>DATE(YEAR(Table2[[#This Row],[Data ultimo pagamento]]),MONTH(Table2[[#This Row],[Data ultimo pagamento]]), 1)</f>
        <v>42552</v>
      </c>
      <c r="AF261" s="106">
        <f>DATE(YEAR(Table2[[#This Row],[Data prossima scadenza]]),MONTH(Table2[[#This Row],[Data prossima scadenza]]), 1)</f>
        <v>42917</v>
      </c>
      <c r="AG261" s="33">
        <f>IFERROR(Table2[[#This Row],[Importo annuale]]*VLOOKUP(Table2[[#This Row],[Ramo]],RAMI_POLIZZA,2,FALSE),0)</f>
        <v>13.225000000000001</v>
      </c>
      <c r="AH261" s="65" t="s">
        <v>113</v>
      </c>
      <c r="AI261" s="63" t="str">
        <f>IFERROR(VLOOKUP(Table2[[#This Row],[Contraente]],Table1[[Nome/Ragione sociale]:[Checkbox selezionato]],2,FALSE),"-")</f>
        <v>BARBIANELLO</v>
      </c>
      <c r="AJ261" s="63">
        <f>IFERROR(VLOOKUP(Table2[[#This Row],[Contraente]],Table1[[Nome/Ragione sociale]:[Checkbox selezionato]],3,FALSE),"-")</f>
        <v>3200251438</v>
      </c>
      <c r="AK261" s="63">
        <f>IFERROR(VLOOKUP(Table2[[#This Row],[Contraente]],Table1[[Nome/Ragione sociale]:[Checkbox selezionato]],4,FALSE),"-")</f>
        <v>0</v>
      </c>
      <c r="AL261" s="63">
        <f>IFERROR(VLOOKUP(Table2[[#This Row],[Contraente]],Table1[[Nome/Ragione sociale]:[Checkbox selezionato]],5,FALSE),"-")</f>
        <v>0</v>
      </c>
      <c r="AM261" s="62">
        <f>IFERROR(VLOOKUP(Table2[[#This Row],[Contraente]],Table1[[Nome/Ragione sociale]:[Checkbox selezionato]],6,FALSE),"-")</f>
        <v>0</v>
      </c>
      <c r="AN261" s="63" t="str">
        <f>IFERROR(VLOOKUP(Table2[[#This Row],[Contraente]],Table1[[Nome/Ragione sociale]:[Checkbox selezionato]],7,FALSE),"-")</f>
        <v>papies@email.it</v>
      </c>
      <c r="AO261" s="63">
        <f>IFERROR(VLOOKUP(Table2[[#This Row],[Contraente]],Table1[[Nome/Ragione sociale]:[Checkbox selezionato]],8,FALSE),"-")</f>
        <v>0</v>
      </c>
      <c r="AP261" s="63">
        <f>IFERROR(VLOOKUP(Table2[[#This Row],[Contraente]],Table1[[Nome/Ragione sociale]:[Checkbox selezionato]],10,FALSE),"-")</f>
        <v>3200251438</v>
      </c>
      <c r="AQ261" s="63" t="str">
        <f>IFERROR(VLOOKUP(Table2[[#This Row],[Contraente]],Table1[[Nome/Ragione sociale]:[Checkbox selezionato]],11,FALSE),"-")</f>
        <v>SI</v>
      </c>
      <c r="AR261" s="63" t="str">
        <f>IFERROR(VLOOKUP(Table2[[#This Row],[Contraente]],Table1[[Nome/Ragione sociale]:[Checkbox selezionato]],12,FALSE),"-")</f>
        <v>SI</v>
      </c>
    </row>
    <row r="262" spans="1:44" ht="30" hidden="1" customHeight="1" x14ac:dyDescent="0.25">
      <c r="A262" s="60" t="str">
        <f>UPPER(LEFT(Table2[[#This Row],[Contraente]],1))</f>
        <v>C</v>
      </c>
      <c r="B262" s="60" t="s">
        <v>1634</v>
      </c>
      <c r="C262" s="81" t="s">
        <v>461</v>
      </c>
      <c r="D262" s="81" t="s">
        <v>37</v>
      </c>
      <c r="E262" s="86">
        <v>103725572</v>
      </c>
      <c r="F262" s="64">
        <v>42317</v>
      </c>
      <c r="G262" s="64">
        <f>IFERROR(CALCOLASCADENZA(Table2[[#This Row],[Data attivazione]],Table2[[#This Row],[Rateizzazione]],Table2[[#This Row],[Data ultimo pagamento]],Table2[[#This Row],[Data prossima scadenza manuale]]),"-")</f>
        <v>42317</v>
      </c>
      <c r="H262" s="67" t="s">
        <v>31</v>
      </c>
      <c r="I262" s="67" t="s">
        <v>1243</v>
      </c>
      <c r="J262" s="33">
        <v>0</v>
      </c>
      <c r="K262" s="88"/>
      <c r="L262" s="88">
        <v>0</v>
      </c>
      <c r="M262" s="67" t="s">
        <v>43</v>
      </c>
      <c r="N262" s="67" t="s">
        <v>52</v>
      </c>
      <c r="O262" s="27" t="s">
        <v>1631</v>
      </c>
      <c r="P262" s="33" t="s">
        <v>24</v>
      </c>
      <c r="Q26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2" s="67" t="s">
        <v>2</v>
      </c>
      <c r="V262" s="62"/>
      <c r="W262" s="64">
        <v>693597</v>
      </c>
      <c r="X262" s="29">
        <f>DATE(YEAR(Table2[[#This Row],[Data attivazione]])+VLOOKUP(Table2[[#This Row],[Durata]],VALORE_DURATA,2,FALSE),MONTH(Table2[[#This Row],[Data attivazione]]),DAY(Table2[[#This Row],[Data attivazione]]))</f>
        <v>693962</v>
      </c>
      <c r="Y262" s="65"/>
      <c r="Z262" s="61"/>
      <c r="AA262" s="64" t="s">
        <v>88</v>
      </c>
      <c r="AB262" s="29" t="str">
        <f>IF(Table2[[#This Row],[Data ultimo versamento temp]]=0/1/1900,"-",Table2[[#This Row],[Data ultimo versamento temp]])</f>
        <v>-</v>
      </c>
      <c r="AC262" s="29">
        <f t="array" ref="AC262">MAX(IF(TableVersamenti[Polizza]=Table2[[#This Row],[Polizza]],TableVersamenti[Data prevista versamento],"-"))</f>
        <v>0</v>
      </c>
      <c r="AD262" s="62"/>
      <c r="AE262" s="106">
        <f>DATE(YEAR(Table2[[#This Row],[Data ultimo pagamento]]),MONTH(Table2[[#This Row],[Data ultimo pagamento]]), 1)</f>
        <v>42309</v>
      </c>
      <c r="AF262" s="106">
        <f>DATE(YEAR(Table2[[#This Row],[Data prossima scadenza]]),MONTH(Table2[[#This Row],[Data prossima scadenza]]), 1)</f>
        <v>42309</v>
      </c>
      <c r="AG262" s="33">
        <f>IFERROR(Table2[[#This Row],[Importo annuale]]*VLOOKUP(Table2[[#This Row],[Ramo]],RAMI_POLIZZA,2,FALSE),0)</f>
        <v>0</v>
      </c>
      <c r="AH262" s="65" t="s">
        <v>113</v>
      </c>
      <c r="AI262" s="63" t="str">
        <f>IFERROR(VLOOKUP(Table2[[#This Row],[Contraente]],Table1[[Nome/Ragione sociale]:[Checkbox selezionato]],2,FALSE),"-")</f>
        <v>-</v>
      </c>
      <c r="AJ262" s="63" t="str">
        <f>IFERROR(VLOOKUP(Table2[[#This Row],[Contraente]],Table1[[Nome/Ragione sociale]:[Checkbox selezionato]],3,FALSE),"-")</f>
        <v>-</v>
      </c>
      <c r="AK262" s="63">
        <f>IFERROR(VLOOKUP(Table2[[#This Row],[Contraente]],Table1[[Nome/Ragione sociale]:[Checkbox selezionato]],4,FALSE),"-")</f>
        <v>0</v>
      </c>
      <c r="AL262" s="63" t="str">
        <f>IFERROR(VLOOKUP(Table2[[#This Row],[Contraente]],Table1[[Nome/Ragione sociale]:[Checkbox selezionato]],5,FALSE),"-")</f>
        <v>-</v>
      </c>
      <c r="AM262" s="62" t="str">
        <f>IFERROR(VLOOKUP(Table2[[#This Row],[Contraente]],Table1[[Nome/Ragione sociale]:[Checkbox selezionato]],6,FALSE),"-")</f>
        <v>-</v>
      </c>
      <c r="AN262" s="63" t="str">
        <f>IFERROR(VLOOKUP(Table2[[#This Row],[Contraente]],Table1[[Nome/Ragione sociale]:[Checkbox selezionato]],7,FALSE),"-")</f>
        <v>papies@libero.it</v>
      </c>
      <c r="AO262" s="63">
        <f>IFERROR(VLOOKUP(Table2[[#This Row],[Contraente]],Table1[[Nome/Ragione sociale]:[Checkbox selezionato]],8,FALSE),"-")</f>
        <v>0</v>
      </c>
      <c r="AP262" s="63" t="str">
        <f>IFERROR(VLOOKUP(Table2[[#This Row],[Contraente]],Table1[[Nome/Ragione sociale]:[Checkbox selezionato]],10,FALSE),"-")</f>
        <v>-</v>
      </c>
      <c r="AQ262" s="63" t="str">
        <f>IFERROR(VLOOKUP(Table2[[#This Row],[Contraente]],Table1[[Nome/Ragione sociale]:[Checkbox selezionato]],11,FALSE),"-")</f>
        <v>SI</v>
      </c>
      <c r="AR262" s="63" t="str">
        <f>IFERROR(VLOOKUP(Table2[[#This Row],[Contraente]],Table1[[Nome/Ragione sociale]:[Checkbox selezionato]],12,FALSE),"-")</f>
        <v>SI</v>
      </c>
    </row>
    <row r="263" spans="1:44" ht="30" hidden="1" customHeight="1" x14ac:dyDescent="0.25">
      <c r="A263" s="60" t="str">
        <f>UPPER(LEFT(Table2[[#This Row],[Contraente]],1))</f>
        <v>C</v>
      </c>
      <c r="B263" s="60" t="s">
        <v>1634</v>
      </c>
      <c r="C263" s="81" t="s">
        <v>462</v>
      </c>
      <c r="D263" s="81" t="s">
        <v>37</v>
      </c>
      <c r="E263" s="86">
        <v>103340122</v>
      </c>
      <c r="F263" s="64">
        <v>42933</v>
      </c>
      <c r="G263" s="64">
        <f>IFERROR(CALCOLASCADENZA(Table2[[#This Row],[Data attivazione]],Table2[[#This Row],[Rateizzazione]],Table2[[#This Row],[Data ultimo pagamento]],Table2[[#This Row],[Data prossima scadenza manuale]]),"-")</f>
        <v>43295</v>
      </c>
      <c r="H263" s="67" t="s">
        <v>30</v>
      </c>
      <c r="I263" s="67" t="s">
        <v>113</v>
      </c>
      <c r="J263" s="33">
        <f>IFERROR(Table2[[#This Row],[Importo annuale]]/(12/VLOOKUP(Table2[[#This Row],[Rateizzazione]],TIPI_RATEIZZAZIONI,2,FALSE)),"-")</f>
        <v>324</v>
      </c>
      <c r="K263" s="88">
        <v>324</v>
      </c>
      <c r="L263" s="88">
        <v>324</v>
      </c>
      <c r="M263" s="67" t="s">
        <v>45</v>
      </c>
      <c r="N263" s="67" t="s">
        <v>51</v>
      </c>
      <c r="O263" s="27" t="s">
        <v>1631</v>
      </c>
      <c r="P263" s="33" t="s">
        <v>23</v>
      </c>
      <c r="Q263" s="60">
        <f>IFERROR(IF(12 / VLOOKUP(Table2[[#This Row],[Rateizzazione]],TIPI_RATEIZZAZIONI,2,FALSE) &gt;=1,  IF(Table2[[#This Row],[Data attivazione]] = "","-",MONTH(Table2[[#This Row],[Data attivazione]])),"-"),"-")</f>
        <v>7</v>
      </c>
      <c r="R2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3" s="67" t="s">
        <v>2</v>
      </c>
      <c r="V263" s="62"/>
      <c r="W263" s="64">
        <v>42565</v>
      </c>
      <c r="X263" s="29">
        <f>DATE(YEAR(Table2[[#This Row],[Data attivazione]])+VLOOKUP(Table2[[#This Row],[Durata]],VALORE_DURATA,2,FALSE),MONTH(Table2[[#This Row],[Data attivazione]]),DAY(Table2[[#This Row],[Data attivazione]]))</f>
        <v>42930</v>
      </c>
      <c r="Y263" s="65"/>
      <c r="Z263" s="61"/>
      <c r="AA263" s="64" t="s">
        <v>88</v>
      </c>
      <c r="AB263" s="29">
        <f>IF(Table2[[#This Row],[Data ultimo versamento temp]]=0/1/1900,"-",Table2[[#This Row],[Data ultimo versamento temp]])</f>
        <v>42936</v>
      </c>
      <c r="AC263" s="29">
        <f t="array" ref="AC263">MAX(IF(TableVersamenti[Polizza]=Table2[[#This Row],[Polizza]],TableVersamenti[Data prevista versamento],"-"))</f>
        <v>42936</v>
      </c>
      <c r="AD263" s="62"/>
      <c r="AE263" s="106">
        <f>DATE(YEAR(Table2[[#This Row],[Data ultimo pagamento]]),MONTH(Table2[[#This Row],[Data ultimo pagamento]]), 1)</f>
        <v>42917</v>
      </c>
      <c r="AF263" s="106">
        <f>DATE(YEAR(Table2[[#This Row],[Data prossima scadenza]]),MONTH(Table2[[#This Row],[Data prossima scadenza]]), 1)</f>
        <v>43282</v>
      </c>
      <c r="AG263" s="33">
        <f>IFERROR(Table2[[#This Row],[Importo annuale]]*VLOOKUP(Table2[[#This Row],[Ramo]],RAMI_POLIZZA,2,FALSE),0)</f>
        <v>37.260000000000005</v>
      </c>
      <c r="AH263" s="65" t="s">
        <v>113</v>
      </c>
      <c r="AI263" s="63" t="str">
        <f>IFERROR(VLOOKUP(Table2[[#This Row],[Contraente]],Table1[[Nome/Ragione sociale]:[Checkbox selezionato]],2,FALSE),"-")</f>
        <v>SAN DAMIANO AL COLLE</v>
      </c>
      <c r="AJ263" s="63">
        <f>IFERROR(VLOOKUP(Table2[[#This Row],[Contraente]],Table1[[Nome/Ragione sociale]:[Checkbox selezionato]],3,FALSE),"-")</f>
        <v>3485248779</v>
      </c>
      <c r="AK263" s="63">
        <f>IFERROR(VLOOKUP(Table2[[#This Row],[Contraente]],Table1[[Nome/Ragione sociale]:[Checkbox selezionato]],4,FALSE),"-")</f>
        <v>0</v>
      </c>
      <c r="AL263" s="63" t="str">
        <f>IFERROR(VLOOKUP(Table2[[#This Row],[Contraente]],Table1[[Nome/Ragione sociale]:[Checkbox selezionato]],5,FALSE),"-")</f>
        <v>FIGLIO</v>
      </c>
      <c r="AM263" s="62">
        <f>IFERROR(VLOOKUP(Table2[[#This Row],[Contraente]],Table1[[Nome/Ragione sociale]:[Checkbox selezionato]],6,FALSE),"-")</f>
        <v>21204</v>
      </c>
      <c r="AN263" s="63" t="str">
        <f>IFERROR(VLOOKUP(Table2[[#This Row],[Contraente]],Table1[[Nome/Ragione sociale]:[Checkbox selezionato]],7,FALSE),"-")</f>
        <v>papies@libero.it</v>
      </c>
      <c r="AO263" s="63">
        <f>IFERROR(VLOOKUP(Table2[[#This Row],[Contraente]],Table1[[Nome/Ragione sociale]:[Checkbox selezionato]],8,FALSE),"-")</f>
        <v>0</v>
      </c>
      <c r="AP263" s="63">
        <f>IFERROR(VLOOKUP(Table2[[#This Row],[Contraente]],Table1[[Nome/Ragione sociale]:[Checkbox selezionato]],10,FALSE),"-")</f>
        <v>3485248779</v>
      </c>
      <c r="AQ263" s="63" t="str">
        <f>IFERROR(VLOOKUP(Table2[[#This Row],[Contraente]],Table1[[Nome/Ragione sociale]:[Checkbox selezionato]],11,FALSE),"-")</f>
        <v>SI</v>
      </c>
      <c r="AR263" s="63" t="str">
        <f>IFERROR(VLOOKUP(Table2[[#This Row],[Contraente]],Table1[[Nome/Ragione sociale]:[Checkbox selezionato]],12,FALSE),"-")</f>
        <v>SI</v>
      </c>
    </row>
    <row r="264" spans="1:44" ht="30" hidden="1" customHeight="1" x14ac:dyDescent="0.25">
      <c r="A264" s="60" t="str">
        <f>UPPER(LEFT(Table2[[#This Row],[Contraente]],1))</f>
        <v>C</v>
      </c>
      <c r="B264" s="60" t="s">
        <v>1634</v>
      </c>
      <c r="C264" s="81" t="s">
        <v>466</v>
      </c>
      <c r="D264" s="81" t="s">
        <v>37</v>
      </c>
      <c r="E264" s="86">
        <v>104646869</v>
      </c>
      <c r="F264" s="64">
        <v>42578</v>
      </c>
      <c r="G264" s="64">
        <f>IFERROR(CALCOLASCADENZA(Table2[[#This Row],[Data attivazione]],Table2[[#This Row],[Rateizzazione]],Table2[[#This Row],[Data ultimo pagamento]],Table2[[#This Row],[Data prossima scadenza manuale]]),"-")</f>
        <v>42945</v>
      </c>
      <c r="H264" s="67" t="s">
        <v>30</v>
      </c>
      <c r="I264" s="67" t="s">
        <v>113</v>
      </c>
      <c r="J264" s="33">
        <f>IFERROR(Table2[[#This Row],[Importo annuale]]/(12/VLOOKUP(Table2[[#This Row],[Rateizzazione]],TIPI_RATEIZZAZIONI,2,FALSE)),"-")</f>
        <v>235</v>
      </c>
      <c r="K264" s="88"/>
      <c r="L264" s="88">
        <v>235</v>
      </c>
      <c r="M264" s="67" t="s">
        <v>44</v>
      </c>
      <c r="N264" s="67" t="s">
        <v>51</v>
      </c>
      <c r="O264" s="27" t="s">
        <v>1631</v>
      </c>
      <c r="P264" s="33" t="s">
        <v>23</v>
      </c>
      <c r="Q264" s="60">
        <f>IFERROR(IF(12 / VLOOKUP(Table2[[#This Row],[Rateizzazione]],TIPI_RATEIZZAZIONI,2,FALSE) &gt;=1,  IF(Table2[[#This Row],[Data attivazione]] = "","-",MONTH(Table2[[#This Row],[Data attivazione]])),"-"),"-")</f>
        <v>7</v>
      </c>
      <c r="R2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4" s="67" t="s">
        <v>2</v>
      </c>
      <c r="V264" s="62"/>
      <c r="W264" s="64">
        <v>42580</v>
      </c>
      <c r="X264" s="29">
        <f>DATE(YEAR(Table2[[#This Row],[Data attivazione]])+VLOOKUP(Table2[[#This Row],[Durata]],VALORE_DURATA,2,FALSE),MONTH(Table2[[#This Row],[Data attivazione]]),DAY(Table2[[#This Row],[Data attivazione]]))</f>
        <v>42945</v>
      </c>
      <c r="Y264" s="65"/>
      <c r="Z264" s="61"/>
      <c r="AA264" s="64" t="s">
        <v>85</v>
      </c>
      <c r="AB264" s="29" t="str">
        <f>IF(Table2[[#This Row],[Data ultimo versamento temp]]=0/1/1900,"-",Table2[[#This Row],[Data ultimo versamento temp]])</f>
        <v>-</v>
      </c>
      <c r="AC264" s="29">
        <f t="array" ref="AC264">MAX(IF(TableVersamenti[Polizza]=Table2[[#This Row],[Polizza]],TableVersamenti[Data prevista versamento],"-"))</f>
        <v>0</v>
      </c>
      <c r="AD264" s="62"/>
      <c r="AE264" s="106">
        <f>DATE(YEAR(Table2[[#This Row],[Data ultimo pagamento]]),MONTH(Table2[[#This Row],[Data ultimo pagamento]]), 1)</f>
        <v>42552</v>
      </c>
      <c r="AF264" s="106">
        <f>DATE(YEAR(Table2[[#This Row],[Data prossima scadenza]]),MONTH(Table2[[#This Row],[Data prossima scadenza]]), 1)</f>
        <v>42917</v>
      </c>
      <c r="AG264" s="33">
        <f>IFERROR(Table2[[#This Row],[Importo annuale]]*VLOOKUP(Table2[[#This Row],[Ramo]],RAMI_POLIZZA,2,FALSE),0)</f>
        <v>27.025000000000002</v>
      </c>
      <c r="AH264" s="65" t="s">
        <v>113</v>
      </c>
      <c r="AI264" s="63" t="str">
        <f>IFERROR(VLOOKUP(Table2[[#This Row],[Contraente]],Table1[[Nome/Ragione sociale]:[Checkbox selezionato]],2,FALSE),"-")</f>
        <v xml:space="preserve">MAGHERNO </v>
      </c>
      <c r="AJ264" s="63" t="str">
        <f>IFERROR(VLOOKUP(Table2[[#This Row],[Contraente]],Table1[[Nome/Ragione sociale]:[Checkbox selezionato]],3,FALSE),"-")</f>
        <v>.0382966793</v>
      </c>
      <c r="AK264" s="63">
        <f>IFERROR(VLOOKUP(Table2[[#This Row],[Contraente]],Table1[[Nome/Ragione sociale]:[Checkbox selezionato]],4,FALSE),"-")</f>
        <v>0</v>
      </c>
      <c r="AL264" s="63" t="str">
        <f>IFERROR(VLOOKUP(Table2[[#This Row],[Contraente]],Table1[[Nome/Ragione sociale]:[Checkbox selezionato]],5,FALSE),"-")</f>
        <v>ENRICA GIUSEPPINA</v>
      </c>
      <c r="AM264" s="62">
        <f>IFERROR(VLOOKUP(Table2[[#This Row],[Contraente]],Table1[[Nome/Ragione sociale]:[Checkbox selezionato]],6,FALSE),"-")</f>
        <v>17310</v>
      </c>
      <c r="AN264" s="63" t="str">
        <f>IFERROR(VLOOKUP(Table2[[#This Row],[Contraente]],Table1[[Nome/Ragione sociale]:[Checkbox selezionato]],7,FALSE),"-")</f>
        <v>papies@email.it</v>
      </c>
      <c r="AO264" s="63">
        <f>IFERROR(VLOOKUP(Table2[[#This Row],[Contraente]],Table1[[Nome/Ragione sociale]:[Checkbox selezionato]],8,FALSE),"-")</f>
        <v>0</v>
      </c>
      <c r="AP264" s="63" t="str">
        <f>IFERROR(VLOOKUP(Table2[[#This Row],[Contraente]],Table1[[Nome/Ragione sociale]:[Checkbox selezionato]],10,FALSE),"-")</f>
        <v>.0382966793</v>
      </c>
      <c r="AQ264" s="63" t="str">
        <f>IFERROR(VLOOKUP(Table2[[#This Row],[Contraente]],Table1[[Nome/Ragione sociale]:[Checkbox selezionato]],11,FALSE),"-")</f>
        <v>SI</v>
      </c>
      <c r="AR264" s="63" t="str">
        <f>IFERROR(VLOOKUP(Table2[[#This Row],[Contraente]],Table1[[Nome/Ragione sociale]:[Checkbox selezionato]],12,FALSE),"-")</f>
        <v>SI</v>
      </c>
    </row>
    <row r="265" spans="1:44" ht="30" hidden="1" customHeight="1" x14ac:dyDescent="0.25">
      <c r="A265" s="60" t="str">
        <f>UPPER(LEFT(Table2[[#This Row],[Contraente]],1))</f>
        <v>C</v>
      </c>
      <c r="B265" s="60" t="s">
        <v>1634</v>
      </c>
      <c r="C265" s="81" t="s">
        <v>1675</v>
      </c>
      <c r="D265" s="81" t="s">
        <v>37</v>
      </c>
      <c r="E265" s="86">
        <v>106772894</v>
      </c>
      <c r="F265" s="64">
        <v>42849</v>
      </c>
      <c r="G265" s="64">
        <f>IFERROR(CALCOLASCADENZA(Table2[[#This Row],[Data attivazione]],Table2[[#This Row],[Rateizzazione]],Table2[[#This Row],[Data ultimo pagamento]],Table2[[#This Row],[Data prossima scadenza manuale]]),"-")</f>
        <v>43214</v>
      </c>
      <c r="H265" s="67" t="s">
        <v>30</v>
      </c>
      <c r="I265" s="67" t="s">
        <v>113</v>
      </c>
      <c r="J265" s="33">
        <f>IFERROR(Table2[[#This Row],[Importo annuale]]/(12/VLOOKUP(Table2[[#This Row],[Rateizzazione]],TIPI_RATEIZZAZIONI,2,FALSE)),"-")</f>
        <v>381</v>
      </c>
      <c r="K265" s="88">
        <v>381</v>
      </c>
      <c r="L265" s="88">
        <v>381</v>
      </c>
      <c r="M265" s="67" t="s">
        <v>46</v>
      </c>
      <c r="N265" s="67" t="s">
        <v>52</v>
      </c>
      <c r="O265" s="27" t="s">
        <v>1631</v>
      </c>
      <c r="P265" s="33" t="s">
        <v>23</v>
      </c>
      <c r="Q265" s="60">
        <f>IFERROR(IF(12 / VLOOKUP(Table2[[#This Row],[Rateizzazione]],TIPI_RATEIZZAZIONI,2,FALSE) &gt;=1,  IF(Table2[[#This Row],[Data attivazione]] = "","-",MONTH(Table2[[#This Row],[Data attivazione]])),"-"),"-")</f>
        <v>4</v>
      </c>
      <c r="R2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5" s="67" t="s">
        <v>2</v>
      </c>
      <c r="V265" s="62"/>
      <c r="W265" s="64">
        <v>42849</v>
      </c>
      <c r="X265" s="29">
        <f>DATE(YEAR(Table2[[#This Row],[Data attivazione]])+VLOOKUP(Table2[[#This Row],[Durata]],VALORE_DURATA,2,FALSE),MONTH(Table2[[#This Row],[Data attivazione]]),DAY(Table2[[#This Row],[Data attivazione]]))</f>
        <v>43214</v>
      </c>
      <c r="Y265" s="65"/>
      <c r="Z265" s="61"/>
      <c r="AA265" s="64" t="s">
        <v>85</v>
      </c>
      <c r="AB265" s="29" t="str">
        <f>IF(Table2[[#This Row],[Data ultimo versamento temp]]=0/1/1900,"-",Table2[[#This Row],[Data ultimo versamento temp]])</f>
        <v>-</v>
      </c>
      <c r="AC265" s="29">
        <f t="array" ref="AC265">MAX(IF(TableVersamenti[Polizza]=Table2[[#This Row],[Polizza]],TableVersamenti[Data prevista versamento],"-"))</f>
        <v>0</v>
      </c>
      <c r="AD265" s="62"/>
      <c r="AE265" s="106">
        <f>DATE(YEAR(Table2[[#This Row],[Data ultimo pagamento]]),MONTH(Table2[[#This Row],[Data ultimo pagamento]]), 1)</f>
        <v>42826</v>
      </c>
      <c r="AF265" s="106">
        <f>DATE(YEAR(Table2[[#This Row],[Data prossima scadenza]]),MONTH(Table2[[#This Row],[Data prossima scadenza]]), 1)</f>
        <v>43191</v>
      </c>
      <c r="AG265" s="33">
        <f>IFERROR(Table2[[#This Row],[Importo annuale]]*VLOOKUP(Table2[[#This Row],[Ramo]],RAMI_POLIZZA,2,FALSE),0)</f>
        <v>43.815000000000005</v>
      </c>
      <c r="AH265" s="65" t="s">
        <v>113</v>
      </c>
      <c r="AI265" s="63" t="str">
        <f>IFERROR(VLOOKUP(Table2[[#This Row],[Contraente]],Table1[[Nome/Ragione sociale]:[Checkbox selezionato]],2,FALSE),"-")</f>
        <v>CHIGNOLO PO</v>
      </c>
      <c r="AJ265" s="63">
        <f>IFERROR(VLOOKUP(Table2[[#This Row],[Contraente]],Table1[[Nome/Ragione sociale]:[Checkbox selezionato]],3,FALSE),"-")</f>
        <v>3346101395</v>
      </c>
      <c r="AK265" s="63">
        <f>IFERROR(VLOOKUP(Table2[[#This Row],[Contraente]],Table1[[Nome/Ragione sociale]:[Checkbox selezionato]],4,FALSE),"-")</f>
        <v>3294752711</v>
      </c>
      <c r="AL265" s="63" t="str">
        <f>IFERROR(VLOOKUP(Table2[[#This Row],[Contraente]],Table1[[Nome/Ragione sociale]:[Checkbox selezionato]],5,FALSE),"-")</f>
        <v>ROBERTO</v>
      </c>
      <c r="AM265" s="62">
        <f>IFERROR(VLOOKUP(Table2[[#This Row],[Contraente]],Table1[[Nome/Ragione sociale]:[Checkbox selezionato]],6,FALSE),"-")</f>
        <v>27017</v>
      </c>
      <c r="AN265" s="63" t="str">
        <f>IFERROR(VLOOKUP(Table2[[#This Row],[Contraente]],Table1[[Nome/Ragione sociale]:[Checkbox selezionato]],7,FALSE),"-")</f>
        <v>papies@libero.it</v>
      </c>
      <c r="AO265" s="63">
        <f>IFERROR(VLOOKUP(Table2[[#This Row],[Contraente]],Table1[[Nome/Ragione sociale]:[Checkbox selezionato]],8,FALSE),"-")</f>
        <v>0</v>
      </c>
      <c r="AP265" s="63">
        <f>IFERROR(VLOOKUP(Table2[[#This Row],[Contraente]],Table1[[Nome/Ragione sociale]:[Checkbox selezionato]],10,FALSE),"-")</f>
        <v>3346101395</v>
      </c>
      <c r="AQ265" s="63" t="str">
        <f>IFERROR(VLOOKUP(Table2[[#This Row],[Contraente]],Table1[[Nome/Ragione sociale]:[Checkbox selezionato]],11,FALSE),"-")</f>
        <v>SI</v>
      </c>
      <c r="AR265" s="63" t="str">
        <f>IFERROR(VLOOKUP(Table2[[#This Row],[Contraente]],Table1[[Nome/Ragione sociale]:[Checkbox selezionato]],12,FALSE),"-")</f>
        <v>SI</v>
      </c>
    </row>
    <row r="266" spans="1:44" ht="30" hidden="1" customHeight="1" x14ac:dyDescent="0.25">
      <c r="A266" s="60" t="str">
        <f>UPPER(LEFT(Table2[[#This Row],[Contraente]],1))</f>
        <v>C</v>
      </c>
      <c r="B266" s="60" t="s">
        <v>1634</v>
      </c>
      <c r="C266" s="81" t="s">
        <v>1675</v>
      </c>
      <c r="D266" s="81" t="s">
        <v>37</v>
      </c>
      <c r="E266" s="86">
        <v>1088265</v>
      </c>
      <c r="F266" s="64">
        <v>42849</v>
      </c>
      <c r="G266" s="64">
        <f>IFERROR(CALCOLASCADENZA(Table2[[#This Row],[Data attivazione]],Table2[[#This Row],[Rateizzazione]],Table2[[#This Row],[Data ultimo pagamento]],Table2[[#This Row],[Data prossima scadenza manuale]]),"-")</f>
        <v>43214</v>
      </c>
      <c r="H266" s="67" t="s">
        <v>32</v>
      </c>
      <c r="I266" s="67" t="s">
        <v>113</v>
      </c>
      <c r="J266" s="33">
        <f>IFERROR(Table2[[#This Row],[Importo annuale]]/(12/VLOOKUP(Table2[[#This Row],[Rateizzazione]],TIPI_RATEIZZAZIONI,2,FALSE)),"-")</f>
        <v>200</v>
      </c>
      <c r="K266" s="88">
        <v>200</v>
      </c>
      <c r="L266" s="88">
        <v>200</v>
      </c>
      <c r="M266" s="67" t="s">
        <v>46</v>
      </c>
      <c r="N266" s="67" t="s">
        <v>52</v>
      </c>
      <c r="O266" s="27" t="s">
        <v>1631</v>
      </c>
      <c r="P266" s="33" t="s">
        <v>23</v>
      </c>
      <c r="Q266" s="60">
        <f>IFERROR(IF(12 / VLOOKUP(Table2[[#This Row],[Rateizzazione]],TIPI_RATEIZZAZIONI,2,FALSE) &gt;=1,  IF(Table2[[#This Row],[Data attivazione]] = "","-",MONTH(Table2[[#This Row],[Data attivazione]])),"-"),"-")</f>
        <v>4</v>
      </c>
      <c r="R2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6" s="67" t="s">
        <v>2</v>
      </c>
      <c r="V266" s="62"/>
      <c r="W266" s="64">
        <v>42849</v>
      </c>
      <c r="X266" s="29">
        <f>DATE(YEAR(Table2[[#This Row],[Data attivazione]])+VLOOKUP(Table2[[#This Row],[Durata]],VALORE_DURATA,2,FALSE),MONTH(Table2[[#This Row],[Data attivazione]]),DAY(Table2[[#This Row],[Data attivazione]]))</f>
        <v>43214</v>
      </c>
      <c r="Y266" s="65"/>
      <c r="Z266" s="61"/>
      <c r="AA266" s="64" t="s">
        <v>85</v>
      </c>
      <c r="AB266" s="29" t="str">
        <f>IF(Table2[[#This Row],[Data ultimo versamento temp]]=0/1/1900,"-",Table2[[#This Row],[Data ultimo versamento temp]])</f>
        <v>-</v>
      </c>
      <c r="AC266" s="29">
        <f t="array" ref="AC266">MAX(IF(TableVersamenti[Polizza]=Table2[[#This Row],[Polizza]],TableVersamenti[Data prevista versamento],"-"))</f>
        <v>0</v>
      </c>
      <c r="AD266" s="62"/>
      <c r="AE266" s="106">
        <f>DATE(YEAR(Table2[[#This Row],[Data ultimo pagamento]]),MONTH(Table2[[#This Row],[Data ultimo pagamento]]), 1)</f>
        <v>42826</v>
      </c>
      <c r="AF266" s="106">
        <f>DATE(YEAR(Table2[[#This Row],[Data prossima scadenza]]),MONTH(Table2[[#This Row],[Data prossima scadenza]]), 1)</f>
        <v>43191</v>
      </c>
      <c r="AG266" s="33">
        <f>IFERROR(Table2[[#This Row],[Importo annuale]]*VLOOKUP(Table2[[#This Row],[Ramo]],RAMI_POLIZZA,2,FALSE),0)</f>
        <v>3</v>
      </c>
      <c r="AH266" s="65" t="s">
        <v>113</v>
      </c>
      <c r="AI266" s="63" t="str">
        <f>IFERROR(VLOOKUP(Table2[[#This Row],[Contraente]],Table1[[Nome/Ragione sociale]:[Checkbox selezionato]],2,FALSE),"-")</f>
        <v>CHIGNOLO PO</v>
      </c>
      <c r="AJ266" s="63">
        <f>IFERROR(VLOOKUP(Table2[[#This Row],[Contraente]],Table1[[Nome/Ragione sociale]:[Checkbox selezionato]],3,FALSE),"-")</f>
        <v>3346101395</v>
      </c>
      <c r="AK266" s="63">
        <f>IFERROR(VLOOKUP(Table2[[#This Row],[Contraente]],Table1[[Nome/Ragione sociale]:[Checkbox selezionato]],4,FALSE),"-")</f>
        <v>3294752711</v>
      </c>
      <c r="AL266" s="63" t="str">
        <f>IFERROR(VLOOKUP(Table2[[#This Row],[Contraente]],Table1[[Nome/Ragione sociale]:[Checkbox selezionato]],5,FALSE),"-")</f>
        <v>ROBERTO</v>
      </c>
      <c r="AM266" s="62">
        <f>IFERROR(VLOOKUP(Table2[[#This Row],[Contraente]],Table1[[Nome/Ragione sociale]:[Checkbox selezionato]],6,FALSE),"-")</f>
        <v>27017</v>
      </c>
      <c r="AN266" s="63" t="str">
        <f>IFERROR(VLOOKUP(Table2[[#This Row],[Contraente]],Table1[[Nome/Ragione sociale]:[Checkbox selezionato]],7,FALSE),"-")</f>
        <v>papies@libero.it</v>
      </c>
      <c r="AO266" s="63">
        <f>IFERROR(VLOOKUP(Table2[[#This Row],[Contraente]],Table1[[Nome/Ragione sociale]:[Checkbox selezionato]],8,FALSE),"-")</f>
        <v>0</v>
      </c>
      <c r="AP266" s="63">
        <f>IFERROR(VLOOKUP(Table2[[#This Row],[Contraente]],Table1[[Nome/Ragione sociale]:[Checkbox selezionato]],10,FALSE),"-")</f>
        <v>3346101395</v>
      </c>
      <c r="AQ266" s="63" t="str">
        <f>IFERROR(VLOOKUP(Table2[[#This Row],[Contraente]],Table1[[Nome/Ragione sociale]:[Checkbox selezionato]],11,FALSE),"-")</f>
        <v>SI</v>
      </c>
      <c r="AR266" s="63" t="str">
        <f>IFERROR(VLOOKUP(Table2[[#This Row],[Contraente]],Table1[[Nome/Ragione sociale]:[Checkbox selezionato]],12,FALSE),"-")</f>
        <v>SI</v>
      </c>
    </row>
    <row r="267" spans="1:44" ht="30" hidden="1" customHeight="1" x14ac:dyDescent="0.25">
      <c r="A267" s="60" t="str">
        <f>UPPER(LEFT(Table2[[#This Row],[Contraente]],1))</f>
        <v>C</v>
      </c>
      <c r="B267" s="60" t="s">
        <v>1634</v>
      </c>
      <c r="C267" s="81" t="s">
        <v>470</v>
      </c>
      <c r="D267" s="81" t="s">
        <v>37</v>
      </c>
      <c r="E267" s="86">
        <v>106180716</v>
      </c>
      <c r="F267" s="64">
        <v>42674</v>
      </c>
      <c r="G267" s="64">
        <f>IFERROR(CALCOLASCADENZA(Table2[[#This Row],[Data attivazione]],Table2[[#This Row],[Rateizzazione]],Table2[[#This Row],[Data ultimo pagamento]],Table2[[#This Row],[Data prossima scadenza manuale]]),"-")</f>
        <v>43039</v>
      </c>
      <c r="H267" s="67" t="s">
        <v>31</v>
      </c>
      <c r="I267" s="67" t="s">
        <v>1244</v>
      </c>
      <c r="J267" s="33">
        <f>IFERROR(Table2[[#This Row],[Importo annuale]]/(12/VLOOKUP(Table2[[#This Row],[Rateizzazione]],TIPI_RATEIZZAZIONI,2,FALSE)),"-")</f>
        <v>1515.4</v>
      </c>
      <c r="K267" s="88"/>
      <c r="L267" s="88">
        <v>1515.4</v>
      </c>
      <c r="M267" s="67" t="s">
        <v>43</v>
      </c>
      <c r="N267" s="67" t="s">
        <v>52</v>
      </c>
      <c r="O267" s="27" t="s">
        <v>1631</v>
      </c>
      <c r="P267" s="33" t="s">
        <v>23</v>
      </c>
      <c r="Q267" s="60">
        <f>IFERROR(IF(12 / VLOOKUP(Table2[[#This Row],[Rateizzazione]],TIPI_RATEIZZAZIONI,2,FALSE) &gt;=1,  IF(Table2[[#This Row],[Data attivazione]] = "","-",MONTH(Table2[[#This Row],[Data attivazione]])),"-"),"-")</f>
        <v>10</v>
      </c>
      <c r="R2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7" s="67" t="s">
        <v>2</v>
      </c>
      <c r="V267" s="62"/>
      <c r="W267" s="64">
        <v>42674</v>
      </c>
      <c r="X267" s="29">
        <f>DATE(YEAR(Table2[[#This Row],[Data attivazione]])+VLOOKUP(Table2[[#This Row],[Durata]],VALORE_DURATA,2,FALSE),MONTH(Table2[[#This Row],[Data attivazione]]),DAY(Table2[[#This Row],[Data attivazione]]))</f>
        <v>43039</v>
      </c>
      <c r="Y267" s="65"/>
      <c r="Z267" s="61"/>
      <c r="AA267" s="64" t="s">
        <v>85</v>
      </c>
      <c r="AB267" s="29" t="str">
        <f>IF(Table2[[#This Row],[Data ultimo versamento temp]]=0/1/1900,"-",Table2[[#This Row],[Data ultimo versamento temp]])</f>
        <v>-</v>
      </c>
      <c r="AC267" s="29">
        <f t="array" ref="AC267">MAX(IF(TableVersamenti[Polizza]=Table2[[#This Row],[Polizza]],TableVersamenti[Data prevista versamento],"-"))</f>
        <v>0</v>
      </c>
      <c r="AD267" s="62"/>
      <c r="AE267" s="106">
        <f>DATE(YEAR(Table2[[#This Row],[Data ultimo pagamento]]),MONTH(Table2[[#This Row],[Data ultimo pagamento]]), 1)</f>
        <v>42644</v>
      </c>
      <c r="AF267" s="106">
        <f>DATE(YEAR(Table2[[#This Row],[Data prossima scadenza]]),MONTH(Table2[[#This Row],[Data prossima scadenza]]), 1)</f>
        <v>43009</v>
      </c>
      <c r="AG267" s="33">
        <f>IFERROR(Table2[[#This Row],[Importo annuale]]*VLOOKUP(Table2[[#This Row],[Ramo]],RAMI_POLIZZA,2,FALSE),0)</f>
        <v>78.800799999999995</v>
      </c>
      <c r="AH267" s="65" t="s">
        <v>113</v>
      </c>
      <c r="AI267" s="63" t="str">
        <f>IFERROR(VLOOKUP(Table2[[#This Row],[Contraente]],Table1[[Nome/Ragione sociale]:[Checkbox selezionato]],2,FALSE),"-")</f>
        <v>SAN COLOMBRANO AL LAMBRO</v>
      </c>
      <c r="AJ267" s="63">
        <f>IFERROR(VLOOKUP(Table2[[#This Row],[Contraente]],Table1[[Nome/Ragione sociale]:[Checkbox selezionato]],3,FALSE),"-")</f>
        <v>3893488942</v>
      </c>
      <c r="AK267" s="63">
        <f>IFERROR(VLOOKUP(Table2[[#This Row],[Contraente]],Table1[[Nome/Ragione sociale]:[Checkbox selezionato]],4,FALSE),"-")</f>
        <v>0</v>
      </c>
      <c r="AL267" s="63" t="str">
        <f>IFERROR(VLOOKUP(Table2[[#This Row],[Contraente]],Table1[[Nome/Ragione sociale]:[Checkbox selezionato]],5,FALSE),"-")</f>
        <v>MARIAN</v>
      </c>
      <c r="AM267" s="62">
        <f>IFERROR(VLOOKUP(Table2[[#This Row],[Contraente]],Table1[[Nome/Ragione sociale]:[Checkbox selezionato]],6,FALSE),"-")</f>
        <v>34385</v>
      </c>
      <c r="AN267" s="63" t="str">
        <f>IFERROR(VLOOKUP(Table2[[#This Row],[Contraente]],Table1[[Nome/Ragione sociale]:[Checkbox selezionato]],7,FALSE),"-")</f>
        <v>papies@libero.it</v>
      </c>
      <c r="AO267" s="63">
        <f>IFERROR(VLOOKUP(Table2[[#This Row],[Contraente]],Table1[[Nome/Ragione sociale]:[Checkbox selezionato]],8,FALSE),"-")</f>
        <v>0</v>
      </c>
      <c r="AP267" s="63">
        <f>IFERROR(VLOOKUP(Table2[[#This Row],[Contraente]],Table1[[Nome/Ragione sociale]:[Checkbox selezionato]],10,FALSE),"-")</f>
        <v>3893488942</v>
      </c>
      <c r="AQ267" s="63" t="str">
        <f>IFERROR(VLOOKUP(Table2[[#This Row],[Contraente]],Table1[[Nome/Ragione sociale]:[Checkbox selezionato]],11,FALSE),"-")</f>
        <v>SI</v>
      </c>
      <c r="AR267" s="63" t="str">
        <f>IFERROR(VLOOKUP(Table2[[#This Row],[Contraente]],Table1[[Nome/Ragione sociale]:[Checkbox selezionato]],12,FALSE),"-")</f>
        <v>SI</v>
      </c>
    </row>
    <row r="268" spans="1:44" ht="30" hidden="1" customHeight="1" x14ac:dyDescent="0.25">
      <c r="A268" s="60" t="str">
        <f>UPPER(LEFT(Table2[[#This Row],[Contraente]],1))</f>
        <v>C</v>
      </c>
      <c r="B268" s="60" t="s">
        <v>1634</v>
      </c>
      <c r="C268" s="81" t="s">
        <v>108</v>
      </c>
      <c r="D268" s="81" t="s">
        <v>37</v>
      </c>
      <c r="E268" s="86">
        <v>105901179</v>
      </c>
      <c r="F268" s="64">
        <v>42773</v>
      </c>
      <c r="G268" s="64">
        <f>IFERROR(CALCOLASCADENZA(Table2[[#This Row],[Data attivazione]],Table2[[#This Row],[Rateizzazione]],Table2[[#This Row],[Data ultimo pagamento]],Table2[[#This Row],[Data prossima scadenza manuale]]),"-")</f>
        <v>42773</v>
      </c>
      <c r="H268" s="67" t="s">
        <v>30</v>
      </c>
      <c r="I268" s="67" t="s">
        <v>113</v>
      </c>
      <c r="J268" s="33">
        <v>154</v>
      </c>
      <c r="K268" s="88">
        <v>154</v>
      </c>
      <c r="L268" s="88">
        <v>355.58</v>
      </c>
      <c r="M268" s="67" t="s">
        <v>44</v>
      </c>
      <c r="N268" s="67" t="s">
        <v>52</v>
      </c>
      <c r="O268" s="27" t="s">
        <v>1631</v>
      </c>
      <c r="P268" s="33" t="s">
        <v>24</v>
      </c>
      <c r="Q26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8" s="67" t="s">
        <v>2</v>
      </c>
      <c r="V268" s="62"/>
      <c r="W268" s="64">
        <v>42582</v>
      </c>
      <c r="X268" s="29">
        <f>DATE(YEAR(Table2[[#This Row],[Data attivazione]])+VLOOKUP(Table2[[#This Row],[Durata]],VALORE_DURATA,2,FALSE),MONTH(Table2[[#This Row],[Data attivazione]]),DAY(Table2[[#This Row],[Data attivazione]]))</f>
        <v>42947</v>
      </c>
      <c r="Y268" s="65"/>
      <c r="Z268" s="61"/>
      <c r="AA268" s="64" t="s">
        <v>85</v>
      </c>
      <c r="AB268" s="29" t="str">
        <f>IF(Table2[[#This Row],[Data ultimo versamento temp]]=0/1/1900,"-",Table2[[#This Row],[Data ultimo versamento temp]])</f>
        <v>-</v>
      </c>
      <c r="AC268" s="29">
        <f t="array" ref="AC268">MAX(IF(TableVersamenti[Polizza]=Table2[[#This Row],[Polizza]],TableVersamenti[Data prevista versamento],"-"))</f>
        <v>0</v>
      </c>
      <c r="AD268" s="62"/>
      <c r="AE268" s="106">
        <f>DATE(YEAR(Table2[[#This Row],[Data ultimo pagamento]]),MONTH(Table2[[#This Row],[Data ultimo pagamento]]), 1)</f>
        <v>42767</v>
      </c>
      <c r="AF268" s="106">
        <f>DATE(YEAR(Table2[[#This Row],[Data prossima scadenza]]),MONTH(Table2[[#This Row],[Data prossima scadenza]]), 1)</f>
        <v>42767</v>
      </c>
      <c r="AG268" s="33">
        <f>IFERROR(Table2[[#This Row],[Importo annuale]]*VLOOKUP(Table2[[#This Row],[Ramo]],RAMI_POLIZZA,2,FALSE),0)</f>
        <v>40.8917</v>
      </c>
      <c r="AH268" s="65" t="s">
        <v>113</v>
      </c>
      <c r="AI268" s="63" t="str">
        <f>IFERROR(VLOOKUP(Table2[[#This Row],[Contraente]],Table1[[Nome/Ragione sociale]:[Checkbox selezionato]],2,FALSE),"-")</f>
        <v>ALBUZZANO</v>
      </c>
      <c r="AJ268" s="63">
        <f>IFERROR(VLOOKUP(Table2[[#This Row],[Contraente]],Table1[[Nome/Ragione sociale]:[Checkbox selezionato]],3,FALSE),"-")</f>
        <v>3477597278</v>
      </c>
      <c r="AK268" s="63">
        <f>IFERROR(VLOOKUP(Table2[[#This Row],[Contraente]],Table1[[Nome/Ragione sociale]:[Checkbox selezionato]],4,FALSE),"-")</f>
        <v>3477597278</v>
      </c>
      <c r="AL268" s="63" t="str">
        <f>IFERROR(VLOOKUP(Table2[[#This Row],[Contraente]],Table1[[Nome/Ragione sociale]:[Checkbox selezionato]],5,FALSE),"-")</f>
        <v>MARIA</v>
      </c>
      <c r="AM268" s="62">
        <f>IFERROR(VLOOKUP(Table2[[#This Row],[Contraente]],Table1[[Nome/Ragione sociale]:[Checkbox selezionato]],6,FALSE),"-")</f>
        <v>26491</v>
      </c>
      <c r="AN268" s="63" t="str">
        <f>IFERROR(VLOOKUP(Table2[[#This Row],[Contraente]],Table1[[Nome/Ragione sociale]:[Checkbox selezionato]],7,FALSE),"-")</f>
        <v>papies@email.it</v>
      </c>
      <c r="AO268" s="63">
        <f>IFERROR(VLOOKUP(Table2[[#This Row],[Contraente]],Table1[[Nome/Ragione sociale]:[Checkbox selezionato]],8,FALSE),"-")</f>
        <v>0</v>
      </c>
      <c r="AP268" s="63">
        <f>IFERROR(VLOOKUP(Table2[[#This Row],[Contraente]],Table1[[Nome/Ragione sociale]:[Checkbox selezionato]],10,FALSE),"-")</f>
        <v>3477597278</v>
      </c>
      <c r="AQ268" s="63" t="str">
        <f>IFERROR(VLOOKUP(Table2[[#This Row],[Contraente]],Table1[[Nome/Ragione sociale]:[Checkbox selezionato]],11,FALSE),"-")</f>
        <v>SI</v>
      </c>
      <c r="AR268" s="63" t="str">
        <f>IFERROR(VLOOKUP(Table2[[#This Row],[Contraente]],Table1[[Nome/Ragione sociale]:[Checkbox selezionato]],12,FALSE),"-")</f>
        <v>SI</v>
      </c>
    </row>
    <row r="269" spans="1:44" ht="30" hidden="1" customHeight="1" x14ac:dyDescent="0.25">
      <c r="A269" s="60" t="str">
        <f>UPPER(LEFT(Table2[[#This Row],[Contraente]],1))</f>
        <v>C</v>
      </c>
      <c r="B269" s="60" t="s">
        <v>1634</v>
      </c>
      <c r="C269" s="81" t="s">
        <v>108</v>
      </c>
      <c r="D269" s="81" t="s">
        <v>37</v>
      </c>
      <c r="E269" s="86">
        <v>104065703</v>
      </c>
      <c r="F269" s="64">
        <v>42773</v>
      </c>
      <c r="G269" s="64">
        <f>IFERROR(CALCOLASCADENZA(Table2[[#This Row],[Data attivazione]],Table2[[#This Row],[Rateizzazione]],Table2[[#This Row],[Data ultimo pagamento]],Table2[[#This Row],[Data prossima scadenza manuale]]),"-")</f>
        <v>42947</v>
      </c>
      <c r="H269" s="67" t="s">
        <v>31</v>
      </c>
      <c r="I269" s="67" t="s">
        <v>1246</v>
      </c>
      <c r="J269" s="33">
        <f>IFERROR(Table2[[#This Row],[Importo annuale]]/(12/VLOOKUP(Table2[[#This Row],[Rateizzazione]],TIPI_RATEIZZAZIONI,2,FALSE)),"-")</f>
        <v>215</v>
      </c>
      <c r="K269" s="88">
        <v>215</v>
      </c>
      <c r="L269" s="88">
        <v>430</v>
      </c>
      <c r="M269" s="67" t="s">
        <v>44</v>
      </c>
      <c r="N269" s="67" t="s">
        <v>51</v>
      </c>
      <c r="O269" s="27" t="s">
        <v>1631</v>
      </c>
      <c r="P269" s="33" t="s">
        <v>22</v>
      </c>
      <c r="Q269" s="60">
        <f>IFERROR(IF(12 / VLOOKUP(Table2[[#This Row],[Rateizzazione]],TIPI_RATEIZZAZIONI,2,FALSE) &gt;=1,  IF(Table2[[#This Row],[Data attivazione]] = "","-",MONTH(Table2[[#This Row],[Data attivazione]])),"-"),"-")</f>
        <v>7</v>
      </c>
      <c r="R2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9" s="67" t="s">
        <v>2</v>
      </c>
      <c r="V269" s="62"/>
      <c r="W269" s="64">
        <v>42582</v>
      </c>
      <c r="X269" s="29">
        <f>DATE(YEAR(Table2[[#This Row],[Data attivazione]])+VLOOKUP(Table2[[#This Row],[Durata]],VALORE_DURATA,2,FALSE),MONTH(Table2[[#This Row],[Data attivazione]]),DAY(Table2[[#This Row],[Data attivazione]]))</f>
        <v>42947</v>
      </c>
      <c r="Y269" s="65"/>
      <c r="Z269" s="61"/>
      <c r="AA269" s="64" t="s">
        <v>85</v>
      </c>
      <c r="AB269" s="29" t="str">
        <f>IF(Table2[[#This Row],[Data ultimo versamento temp]]=0/1/1900,"-",Table2[[#This Row],[Data ultimo versamento temp]])</f>
        <v>-</v>
      </c>
      <c r="AC269" s="29">
        <f t="array" ref="AC269">MAX(IF(TableVersamenti[Polizza]=Table2[[#This Row],[Polizza]],TableVersamenti[Data prevista versamento],"-"))</f>
        <v>0</v>
      </c>
      <c r="AD269" s="62"/>
      <c r="AE269" s="106">
        <f>DATE(YEAR(Table2[[#This Row],[Data ultimo pagamento]]),MONTH(Table2[[#This Row],[Data ultimo pagamento]]), 1)</f>
        <v>42767</v>
      </c>
      <c r="AF269" s="106">
        <f>DATE(YEAR(Table2[[#This Row],[Data prossima scadenza]]),MONTH(Table2[[#This Row],[Data prossima scadenza]]), 1)</f>
        <v>42917</v>
      </c>
      <c r="AG269" s="33">
        <f>IFERROR(Table2[[#This Row],[Importo annuale]]*VLOOKUP(Table2[[#This Row],[Ramo]],RAMI_POLIZZA,2,FALSE),0)</f>
        <v>22.36</v>
      </c>
      <c r="AH269" s="65" t="s">
        <v>113</v>
      </c>
      <c r="AI269" s="63" t="str">
        <f>IFERROR(VLOOKUP(Table2[[#This Row],[Contraente]],Table1[[Nome/Ragione sociale]:[Checkbox selezionato]],2,FALSE),"-")</f>
        <v>ALBUZZANO</v>
      </c>
      <c r="AJ269" s="63">
        <f>IFERROR(VLOOKUP(Table2[[#This Row],[Contraente]],Table1[[Nome/Ragione sociale]:[Checkbox selezionato]],3,FALSE),"-")</f>
        <v>3477597278</v>
      </c>
      <c r="AK269" s="63">
        <f>IFERROR(VLOOKUP(Table2[[#This Row],[Contraente]],Table1[[Nome/Ragione sociale]:[Checkbox selezionato]],4,FALSE),"-")</f>
        <v>3477597278</v>
      </c>
      <c r="AL269" s="63" t="str">
        <f>IFERROR(VLOOKUP(Table2[[#This Row],[Contraente]],Table1[[Nome/Ragione sociale]:[Checkbox selezionato]],5,FALSE),"-")</f>
        <v>MARIA</v>
      </c>
      <c r="AM269" s="62">
        <f>IFERROR(VLOOKUP(Table2[[#This Row],[Contraente]],Table1[[Nome/Ragione sociale]:[Checkbox selezionato]],6,FALSE),"-")</f>
        <v>26491</v>
      </c>
      <c r="AN269" s="63" t="str">
        <f>IFERROR(VLOOKUP(Table2[[#This Row],[Contraente]],Table1[[Nome/Ragione sociale]:[Checkbox selezionato]],7,FALSE),"-")</f>
        <v>papies@email.it</v>
      </c>
      <c r="AO269" s="63">
        <f>IFERROR(VLOOKUP(Table2[[#This Row],[Contraente]],Table1[[Nome/Ragione sociale]:[Checkbox selezionato]],8,FALSE),"-")</f>
        <v>0</v>
      </c>
      <c r="AP269" s="63">
        <f>IFERROR(VLOOKUP(Table2[[#This Row],[Contraente]],Table1[[Nome/Ragione sociale]:[Checkbox selezionato]],10,FALSE),"-")</f>
        <v>3477597278</v>
      </c>
      <c r="AQ269" s="63" t="str">
        <f>IFERROR(VLOOKUP(Table2[[#This Row],[Contraente]],Table1[[Nome/Ragione sociale]:[Checkbox selezionato]],11,FALSE),"-")</f>
        <v>SI</v>
      </c>
      <c r="AR269" s="63" t="str">
        <f>IFERROR(VLOOKUP(Table2[[#This Row],[Contraente]],Table1[[Nome/Ragione sociale]:[Checkbox selezionato]],12,FALSE),"-")</f>
        <v>SI</v>
      </c>
    </row>
    <row r="270" spans="1:44" ht="30" hidden="1" customHeight="1" x14ac:dyDescent="0.25">
      <c r="A270" s="60" t="str">
        <f>UPPER(LEFT(Table2[[#This Row],[Contraente]],1))</f>
        <v>C</v>
      </c>
      <c r="B270" s="60" t="s">
        <v>1634</v>
      </c>
      <c r="C270" s="81" t="s">
        <v>108</v>
      </c>
      <c r="D270" s="81" t="s">
        <v>37</v>
      </c>
      <c r="E270" s="86">
        <v>101333231</v>
      </c>
      <c r="F270" s="64">
        <v>42773</v>
      </c>
      <c r="G270" s="64">
        <f>IFERROR(CALCOLASCADENZA(Table2[[#This Row],[Data attivazione]],Table2[[#This Row],[Rateizzazione]],Table2[[#This Row],[Data ultimo pagamento]],Table2[[#This Row],[Data prossima scadenza manuale]]),"-")</f>
        <v>42947</v>
      </c>
      <c r="H270" s="67" t="s">
        <v>30</v>
      </c>
      <c r="I270" s="67" t="s">
        <v>113</v>
      </c>
      <c r="J270" s="33">
        <f>IFERROR(Table2[[#This Row],[Importo annuale]]/(12/VLOOKUP(Table2[[#This Row],[Rateizzazione]],TIPI_RATEIZZAZIONI,2,FALSE)),"-")</f>
        <v>31</v>
      </c>
      <c r="K270" s="88">
        <v>31</v>
      </c>
      <c r="L270" s="88">
        <v>62</v>
      </c>
      <c r="M270" s="67" t="s">
        <v>44</v>
      </c>
      <c r="N270" s="67" t="s">
        <v>51</v>
      </c>
      <c r="O270" s="27" t="s">
        <v>1631</v>
      </c>
      <c r="P270" s="33" t="s">
        <v>22</v>
      </c>
      <c r="Q270" s="60">
        <f>IFERROR(IF(12 / VLOOKUP(Table2[[#This Row],[Rateizzazione]],TIPI_RATEIZZAZIONI,2,FALSE) &gt;=1,  IF(Table2[[#This Row],[Data attivazione]] = "","-",MONTH(Table2[[#This Row],[Data attivazione]])),"-"),"-")</f>
        <v>7</v>
      </c>
      <c r="R2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0" s="67" t="s">
        <v>2</v>
      </c>
      <c r="V270" s="62"/>
      <c r="W270" s="64">
        <v>42582</v>
      </c>
      <c r="X270" s="29">
        <f>DATE(YEAR(Table2[[#This Row],[Data attivazione]])+VLOOKUP(Table2[[#This Row],[Durata]],VALORE_DURATA,2,FALSE),MONTH(Table2[[#This Row],[Data attivazione]]),DAY(Table2[[#This Row],[Data attivazione]]))</f>
        <v>42947</v>
      </c>
      <c r="Y270" s="65"/>
      <c r="Z270" s="61"/>
      <c r="AA270" s="64" t="s">
        <v>85</v>
      </c>
      <c r="AB270" s="29" t="str">
        <f>IF(Table2[[#This Row],[Data ultimo versamento temp]]=0/1/1900,"-",Table2[[#This Row],[Data ultimo versamento temp]])</f>
        <v>-</v>
      </c>
      <c r="AC270" s="29">
        <f t="array" ref="AC270">MAX(IF(TableVersamenti[Polizza]=Table2[[#This Row],[Polizza]],TableVersamenti[Data prevista versamento],"-"))</f>
        <v>0</v>
      </c>
      <c r="AD270" s="62"/>
      <c r="AE270" s="106">
        <f>DATE(YEAR(Table2[[#This Row],[Data ultimo pagamento]]),MONTH(Table2[[#This Row],[Data ultimo pagamento]]), 1)</f>
        <v>42767</v>
      </c>
      <c r="AF270" s="106">
        <f>DATE(YEAR(Table2[[#This Row],[Data prossima scadenza]]),MONTH(Table2[[#This Row],[Data prossima scadenza]]), 1)</f>
        <v>42917</v>
      </c>
      <c r="AG270" s="33">
        <f>IFERROR(Table2[[#This Row],[Importo annuale]]*VLOOKUP(Table2[[#This Row],[Ramo]],RAMI_POLIZZA,2,FALSE),0)</f>
        <v>7.13</v>
      </c>
      <c r="AH270" s="65" t="s">
        <v>113</v>
      </c>
      <c r="AI270" s="63" t="str">
        <f>IFERROR(VLOOKUP(Table2[[#This Row],[Contraente]],Table1[[Nome/Ragione sociale]:[Checkbox selezionato]],2,FALSE),"-")</f>
        <v>ALBUZZANO</v>
      </c>
      <c r="AJ270" s="63">
        <f>IFERROR(VLOOKUP(Table2[[#This Row],[Contraente]],Table1[[Nome/Ragione sociale]:[Checkbox selezionato]],3,FALSE),"-")</f>
        <v>3477597278</v>
      </c>
      <c r="AK270" s="63">
        <f>IFERROR(VLOOKUP(Table2[[#This Row],[Contraente]],Table1[[Nome/Ragione sociale]:[Checkbox selezionato]],4,FALSE),"-")</f>
        <v>3477597278</v>
      </c>
      <c r="AL270" s="63" t="str">
        <f>IFERROR(VLOOKUP(Table2[[#This Row],[Contraente]],Table1[[Nome/Ragione sociale]:[Checkbox selezionato]],5,FALSE),"-")</f>
        <v>MARIA</v>
      </c>
      <c r="AM270" s="62">
        <f>IFERROR(VLOOKUP(Table2[[#This Row],[Contraente]],Table1[[Nome/Ragione sociale]:[Checkbox selezionato]],6,FALSE),"-")</f>
        <v>26491</v>
      </c>
      <c r="AN270" s="63" t="str">
        <f>IFERROR(VLOOKUP(Table2[[#This Row],[Contraente]],Table1[[Nome/Ragione sociale]:[Checkbox selezionato]],7,FALSE),"-")</f>
        <v>papies@email.it</v>
      </c>
      <c r="AO270" s="63">
        <f>IFERROR(VLOOKUP(Table2[[#This Row],[Contraente]],Table1[[Nome/Ragione sociale]:[Checkbox selezionato]],8,FALSE),"-")</f>
        <v>0</v>
      </c>
      <c r="AP270" s="63">
        <f>IFERROR(VLOOKUP(Table2[[#This Row],[Contraente]],Table1[[Nome/Ragione sociale]:[Checkbox selezionato]],10,FALSE),"-")</f>
        <v>3477597278</v>
      </c>
      <c r="AQ270" s="63" t="str">
        <f>IFERROR(VLOOKUP(Table2[[#This Row],[Contraente]],Table1[[Nome/Ragione sociale]:[Checkbox selezionato]],11,FALSE),"-")</f>
        <v>SI</v>
      </c>
      <c r="AR270" s="63" t="str">
        <f>IFERROR(VLOOKUP(Table2[[#This Row],[Contraente]],Table1[[Nome/Ragione sociale]:[Checkbox selezionato]],12,FALSE),"-")</f>
        <v>SI</v>
      </c>
    </row>
    <row r="271" spans="1:44" ht="30" hidden="1" customHeight="1" x14ac:dyDescent="0.25">
      <c r="A271" s="60" t="str">
        <f>UPPER(LEFT(Table2[[#This Row],[Contraente]],1))</f>
        <v>C</v>
      </c>
      <c r="B271" s="60" t="s">
        <v>1634</v>
      </c>
      <c r="C271" s="81" t="s">
        <v>479</v>
      </c>
      <c r="D271" s="81" t="s">
        <v>37</v>
      </c>
      <c r="E271" s="86">
        <v>103417566</v>
      </c>
      <c r="F271" s="64">
        <v>42776</v>
      </c>
      <c r="G271" s="64">
        <f>IFERROR(CALCOLASCADENZA(Table2[[#This Row],[Data attivazione]],Table2[[#This Row],[Rateizzazione]],Table2[[#This Row],[Data ultimo pagamento]],Table2[[#This Row],[Data prossima scadenza manuale]]),"-")</f>
        <v>42952</v>
      </c>
      <c r="H271" s="67" t="s">
        <v>30</v>
      </c>
      <c r="I271" s="67" t="s">
        <v>113</v>
      </c>
      <c r="J271" s="33">
        <f>IFERROR(Table2[[#This Row],[Importo annuale]]/(12/VLOOKUP(Table2[[#This Row],[Rateizzazione]],TIPI_RATEIZZAZIONI,2,FALSE)),"-")</f>
        <v>144.05000000000001</v>
      </c>
      <c r="K271" s="88">
        <v>144.05000000000001</v>
      </c>
      <c r="L271" s="88">
        <v>288.10000000000002</v>
      </c>
      <c r="M271" s="67" t="s">
        <v>43</v>
      </c>
      <c r="N271" s="67" t="s">
        <v>51</v>
      </c>
      <c r="O271" s="27" t="s">
        <v>1631</v>
      </c>
      <c r="P271" s="33" t="s">
        <v>22</v>
      </c>
      <c r="Q271" s="60">
        <f>IFERROR(IF(12 / VLOOKUP(Table2[[#This Row],[Rateizzazione]],TIPI_RATEIZZAZIONI,2,FALSE) &gt;=1,  IF(Table2[[#This Row],[Data attivazione]] = "","-",MONTH(Table2[[#This Row],[Data attivazione]])),"-"),"-")</f>
        <v>8</v>
      </c>
      <c r="R2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1" s="67" t="s">
        <v>2</v>
      </c>
      <c r="V271" s="62"/>
      <c r="W271" s="64">
        <v>42587</v>
      </c>
      <c r="X271" s="29">
        <f>DATE(YEAR(Table2[[#This Row],[Data attivazione]])+VLOOKUP(Table2[[#This Row],[Durata]],VALORE_DURATA,2,FALSE),MONTH(Table2[[#This Row],[Data attivazione]]),DAY(Table2[[#This Row],[Data attivazione]]))</f>
        <v>42952</v>
      </c>
      <c r="Y271" s="65"/>
      <c r="Z271" s="61"/>
      <c r="AA271" s="64" t="s">
        <v>85</v>
      </c>
      <c r="AB271" s="29" t="str">
        <f>IF(Table2[[#This Row],[Data ultimo versamento temp]]=0/1/1900,"-",Table2[[#This Row],[Data ultimo versamento temp]])</f>
        <v>-</v>
      </c>
      <c r="AC271" s="29">
        <f t="array" ref="AC271">MAX(IF(TableVersamenti[Polizza]=Table2[[#This Row],[Polizza]],TableVersamenti[Data prevista versamento],"-"))</f>
        <v>0</v>
      </c>
      <c r="AD271" s="62"/>
      <c r="AE271" s="106">
        <f>DATE(YEAR(Table2[[#This Row],[Data ultimo pagamento]]),MONTH(Table2[[#This Row],[Data ultimo pagamento]]), 1)</f>
        <v>42767</v>
      </c>
      <c r="AF271" s="106">
        <f>DATE(YEAR(Table2[[#This Row],[Data prossima scadenza]]),MONTH(Table2[[#This Row],[Data prossima scadenza]]), 1)</f>
        <v>42948</v>
      </c>
      <c r="AG271" s="33">
        <f>IFERROR(Table2[[#This Row],[Importo annuale]]*VLOOKUP(Table2[[#This Row],[Ramo]],RAMI_POLIZZA,2,FALSE),0)</f>
        <v>33.131500000000003</v>
      </c>
      <c r="AH271" s="65" t="s">
        <v>113</v>
      </c>
      <c r="AI271" s="63" t="str">
        <f>IFERROR(VLOOKUP(Table2[[#This Row],[Contraente]],Table1[[Nome/Ragione sociale]:[Checkbox selezionato]],2,FALSE),"-")</f>
        <v>CORVINO SAN QUIRICO</v>
      </c>
      <c r="AJ271" s="63">
        <f>IFERROR(VLOOKUP(Table2[[#This Row],[Contraente]],Table1[[Nome/Ragione sociale]:[Checkbox selezionato]],3,FALSE),"-")</f>
        <v>3456034649</v>
      </c>
      <c r="AK271" s="63">
        <f>IFERROR(VLOOKUP(Table2[[#This Row],[Contraente]],Table1[[Nome/Ragione sociale]:[Checkbox selezionato]],4,FALSE),"-")</f>
        <v>0</v>
      </c>
      <c r="AL271" s="63" t="str">
        <f>IFERROR(VLOOKUP(Table2[[#This Row],[Contraente]],Table1[[Nome/Ragione sociale]:[Checkbox selezionato]],5,FALSE),"-")</f>
        <v>MARIA ELENA</v>
      </c>
      <c r="AM271" s="62">
        <f>IFERROR(VLOOKUP(Table2[[#This Row],[Contraente]],Table1[[Nome/Ragione sociale]:[Checkbox selezionato]],6,FALSE),"-")</f>
        <v>31643</v>
      </c>
      <c r="AN271" s="63" t="str">
        <f>IFERROR(VLOOKUP(Table2[[#This Row],[Contraente]],Table1[[Nome/Ragione sociale]:[Checkbox selezionato]],7,FALSE),"-")</f>
        <v>papies@libero.it</v>
      </c>
      <c r="AO271" s="63">
        <f>IFERROR(VLOOKUP(Table2[[#This Row],[Contraente]],Table1[[Nome/Ragione sociale]:[Checkbox selezionato]],8,FALSE),"-")</f>
        <v>0</v>
      </c>
      <c r="AP271" s="63">
        <f>IFERROR(VLOOKUP(Table2[[#This Row],[Contraente]],Table1[[Nome/Ragione sociale]:[Checkbox selezionato]],10,FALSE),"-")</f>
        <v>3456034649</v>
      </c>
      <c r="AQ271" s="63" t="str">
        <f>IFERROR(VLOOKUP(Table2[[#This Row],[Contraente]],Table1[[Nome/Ragione sociale]:[Checkbox selezionato]],11,FALSE),"-")</f>
        <v>SI</v>
      </c>
      <c r="AR271" s="63" t="str">
        <f>IFERROR(VLOOKUP(Table2[[#This Row],[Contraente]],Table1[[Nome/Ragione sociale]:[Checkbox selezionato]],12,FALSE),"-")</f>
        <v>SI</v>
      </c>
    </row>
    <row r="272" spans="1:44" ht="30" hidden="1" customHeight="1" x14ac:dyDescent="0.25">
      <c r="A272" s="60" t="str">
        <f>UPPER(LEFT(Table2[[#This Row],[Contraente]],1))</f>
        <v>C</v>
      </c>
      <c r="B272" s="60" t="s">
        <v>1634</v>
      </c>
      <c r="C272" s="81" t="s">
        <v>494</v>
      </c>
      <c r="D272" s="81" t="s">
        <v>37</v>
      </c>
      <c r="E272" s="86">
        <v>105868997</v>
      </c>
      <c r="F272" s="64">
        <v>42580</v>
      </c>
      <c r="G272" s="64">
        <f>IFERROR(CALCOLASCADENZA(Table2[[#This Row],[Data attivazione]],Table2[[#This Row],[Rateizzazione]],Table2[[#This Row],[Data ultimo pagamento]],Table2[[#This Row],[Data prossima scadenza manuale]]),"-")</f>
        <v>42955</v>
      </c>
      <c r="H272" s="67" t="s">
        <v>31</v>
      </c>
      <c r="I272" s="67" t="s">
        <v>1253</v>
      </c>
      <c r="J272" s="33">
        <f>IFERROR(Table2[[#This Row],[Importo annuale]]/(12/VLOOKUP(Table2[[#This Row],[Rateizzazione]],TIPI_RATEIZZAZIONI,2,FALSE)),"-")</f>
        <v>478.68</v>
      </c>
      <c r="K272" s="88"/>
      <c r="L272" s="88">
        <v>478.68</v>
      </c>
      <c r="M272" s="67" t="s">
        <v>44</v>
      </c>
      <c r="N272" s="67" t="s">
        <v>51</v>
      </c>
      <c r="O272" s="27" t="s">
        <v>1631</v>
      </c>
      <c r="P272" s="33" t="s">
        <v>23</v>
      </c>
      <c r="Q272" s="60">
        <f>IFERROR(IF(12 / VLOOKUP(Table2[[#This Row],[Rateizzazione]],TIPI_RATEIZZAZIONI,2,FALSE) &gt;=1,  IF(Table2[[#This Row],[Data attivazione]] = "","-",MONTH(Table2[[#This Row],[Data attivazione]])),"-"),"-")</f>
        <v>8</v>
      </c>
      <c r="R2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2" s="67" t="s">
        <v>2</v>
      </c>
      <c r="V272" s="62"/>
      <c r="W272" s="64">
        <v>42590</v>
      </c>
      <c r="X272" s="29">
        <f>DATE(YEAR(Table2[[#This Row],[Data attivazione]])+VLOOKUP(Table2[[#This Row],[Durata]],VALORE_DURATA,2,FALSE),MONTH(Table2[[#This Row],[Data attivazione]]),DAY(Table2[[#This Row],[Data attivazione]]))</f>
        <v>42955</v>
      </c>
      <c r="Y272" s="65"/>
      <c r="Z272" s="61"/>
      <c r="AA272" s="64" t="s">
        <v>85</v>
      </c>
      <c r="AB272" s="29" t="str">
        <f>IF(Table2[[#This Row],[Data ultimo versamento temp]]=0/1/1900,"-",Table2[[#This Row],[Data ultimo versamento temp]])</f>
        <v>-</v>
      </c>
      <c r="AC272" s="29">
        <f t="array" ref="AC272">MAX(IF(TableVersamenti[Polizza]=Table2[[#This Row],[Polizza]],TableVersamenti[Data prevista versamento],"-"))</f>
        <v>0</v>
      </c>
      <c r="AD272" s="62"/>
      <c r="AE272" s="106">
        <f>DATE(YEAR(Table2[[#This Row],[Data ultimo pagamento]]),MONTH(Table2[[#This Row],[Data ultimo pagamento]]), 1)</f>
        <v>42552</v>
      </c>
      <c r="AF272" s="106">
        <f>DATE(YEAR(Table2[[#This Row],[Data prossima scadenza]]),MONTH(Table2[[#This Row],[Data prossima scadenza]]), 1)</f>
        <v>42948</v>
      </c>
      <c r="AG272" s="33">
        <f>IFERROR(Table2[[#This Row],[Importo annuale]]*VLOOKUP(Table2[[#This Row],[Ramo]],RAMI_POLIZZA,2,FALSE),0)</f>
        <v>24.891359999999999</v>
      </c>
      <c r="AH272" s="65" t="s">
        <v>113</v>
      </c>
      <c r="AI272" s="63" t="str">
        <f>IFERROR(VLOOKUP(Table2[[#This Row],[Contraente]],Table1[[Nome/Ragione sociale]:[Checkbox selezionato]],2,FALSE),"-")</f>
        <v>BELGIOIOSO</v>
      </c>
      <c r="AJ272" s="63">
        <f>IFERROR(VLOOKUP(Table2[[#This Row],[Contraente]],Table1[[Nome/Ragione sociale]:[Checkbox selezionato]],3,FALSE),"-")</f>
        <v>3393157569</v>
      </c>
      <c r="AK272" s="63">
        <f>IFERROR(VLOOKUP(Table2[[#This Row],[Contraente]],Table1[[Nome/Ragione sociale]:[Checkbox selezionato]],4,FALSE),"-")</f>
        <v>0</v>
      </c>
      <c r="AL272" s="63" t="str">
        <f>IFERROR(VLOOKUP(Table2[[#This Row],[Contraente]],Table1[[Nome/Ragione sociale]:[Checkbox selezionato]],5,FALSE),"-")</f>
        <v>MARIA ADELE</v>
      </c>
      <c r="AM272" s="62">
        <f>IFERROR(VLOOKUP(Table2[[#This Row],[Contraente]],Table1[[Nome/Ragione sociale]:[Checkbox selezionato]],6,FALSE),"-")</f>
        <v>20149</v>
      </c>
      <c r="AN272" s="63" t="str">
        <f>IFERROR(VLOOKUP(Table2[[#This Row],[Contraente]],Table1[[Nome/Ragione sociale]:[Checkbox selezionato]],7,FALSE),"-")</f>
        <v>papies@libero.it</v>
      </c>
      <c r="AO272" s="63">
        <f>IFERROR(VLOOKUP(Table2[[#This Row],[Contraente]],Table1[[Nome/Ragione sociale]:[Checkbox selezionato]],8,FALSE),"-")</f>
        <v>0</v>
      </c>
      <c r="AP272" s="63">
        <f>IFERROR(VLOOKUP(Table2[[#This Row],[Contraente]],Table1[[Nome/Ragione sociale]:[Checkbox selezionato]],10,FALSE),"-")</f>
        <v>3393157569</v>
      </c>
      <c r="AQ272" s="63" t="str">
        <f>IFERROR(VLOOKUP(Table2[[#This Row],[Contraente]],Table1[[Nome/Ragione sociale]:[Checkbox selezionato]],11,FALSE),"-")</f>
        <v>SI</v>
      </c>
      <c r="AR272" s="63" t="str">
        <f>IFERROR(VLOOKUP(Table2[[#This Row],[Contraente]],Table1[[Nome/Ragione sociale]:[Checkbox selezionato]],12,FALSE),"-")</f>
        <v>SI</v>
      </c>
    </row>
    <row r="273" spans="1:44" ht="30" hidden="1" customHeight="1" x14ac:dyDescent="0.25">
      <c r="A273" s="60" t="str">
        <f>UPPER(LEFT(Table2[[#This Row],[Contraente]],1))</f>
        <v>C</v>
      </c>
      <c r="B273" s="60" t="s">
        <v>1634</v>
      </c>
      <c r="C273" s="81" t="s">
        <v>494</v>
      </c>
      <c r="D273" s="81" t="s">
        <v>37</v>
      </c>
      <c r="E273" s="86">
        <v>106616748</v>
      </c>
      <c r="F273" s="64">
        <v>42807</v>
      </c>
      <c r="G273" s="64">
        <f>IFERROR(CALCOLASCADENZA(Table2[[#This Row],[Data attivazione]],Table2[[#This Row],[Rateizzazione]],Table2[[#This Row],[Data ultimo pagamento]],Table2[[#This Row],[Data prossima scadenza manuale]]),"-")</f>
        <v>43167</v>
      </c>
      <c r="H273" s="67" t="s">
        <v>30</v>
      </c>
      <c r="I273" s="67" t="s">
        <v>113</v>
      </c>
      <c r="J273" s="33">
        <f>IFERROR(Table2[[#This Row],[Importo annuale]]/(12/VLOOKUP(Table2[[#This Row],[Rateizzazione]],TIPI_RATEIZZAZIONI,2,FALSE)),"-")</f>
        <v>165</v>
      </c>
      <c r="K273" s="88">
        <v>165</v>
      </c>
      <c r="L273" s="88">
        <v>165</v>
      </c>
      <c r="M273" s="67" t="s">
        <v>44</v>
      </c>
      <c r="N273" s="67" t="s">
        <v>51</v>
      </c>
      <c r="O273" s="27" t="s">
        <v>1631</v>
      </c>
      <c r="P273" s="33" t="s">
        <v>23</v>
      </c>
      <c r="Q273" s="60">
        <f>IFERROR(IF(12 / VLOOKUP(Table2[[#This Row],[Rateizzazione]],TIPI_RATEIZZAZIONI,2,FALSE) &gt;=1,  IF(Table2[[#This Row],[Data attivazione]] = "","-",MONTH(Table2[[#This Row],[Data attivazione]])),"-"),"-")</f>
        <v>3</v>
      </c>
      <c r="R2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3" s="67" t="s">
        <v>2</v>
      </c>
      <c r="V273" s="62"/>
      <c r="W273" s="64">
        <v>42802</v>
      </c>
      <c r="X273" s="29">
        <f>DATE(YEAR(Table2[[#This Row],[Data attivazione]])+VLOOKUP(Table2[[#This Row],[Durata]],VALORE_DURATA,2,FALSE),MONTH(Table2[[#This Row],[Data attivazione]]),DAY(Table2[[#This Row],[Data attivazione]]))</f>
        <v>43167</v>
      </c>
      <c r="Y273" s="65"/>
      <c r="Z273" s="61"/>
      <c r="AA273" s="64" t="s">
        <v>85</v>
      </c>
      <c r="AB273" s="29" t="str">
        <f>IF(Table2[[#This Row],[Data ultimo versamento temp]]=0/1/1900,"-",Table2[[#This Row],[Data ultimo versamento temp]])</f>
        <v>-</v>
      </c>
      <c r="AC273" s="29">
        <f t="array" ref="AC273">MAX(IF(TableVersamenti[Polizza]=Table2[[#This Row],[Polizza]],TableVersamenti[Data prevista versamento],"-"))</f>
        <v>0</v>
      </c>
      <c r="AD273" s="62"/>
      <c r="AE273" s="106">
        <f>DATE(YEAR(Table2[[#This Row],[Data ultimo pagamento]]),MONTH(Table2[[#This Row],[Data ultimo pagamento]]), 1)</f>
        <v>42795</v>
      </c>
      <c r="AF273" s="106">
        <f>DATE(YEAR(Table2[[#This Row],[Data prossima scadenza]]),MONTH(Table2[[#This Row],[Data prossima scadenza]]), 1)</f>
        <v>43160</v>
      </c>
      <c r="AG273" s="33">
        <f>IFERROR(Table2[[#This Row],[Importo annuale]]*VLOOKUP(Table2[[#This Row],[Ramo]],RAMI_POLIZZA,2,FALSE),0)</f>
        <v>18.975000000000001</v>
      </c>
      <c r="AH273" s="65" t="s">
        <v>113</v>
      </c>
      <c r="AI273" s="63" t="str">
        <f>IFERROR(VLOOKUP(Table2[[#This Row],[Contraente]],Table1[[Nome/Ragione sociale]:[Checkbox selezionato]],2,FALSE),"-")</f>
        <v>BELGIOIOSO</v>
      </c>
      <c r="AJ273" s="63">
        <f>IFERROR(VLOOKUP(Table2[[#This Row],[Contraente]],Table1[[Nome/Ragione sociale]:[Checkbox selezionato]],3,FALSE),"-")</f>
        <v>3393157569</v>
      </c>
      <c r="AK273" s="63">
        <f>IFERROR(VLOOKUP(Table2[[#This Row],[Contraente]],Table1[[Nome/Ragione sociale]:[Checkbox selezionato]],4,FALSE),"-")</f>
        <v>0</v>
      </c>
      <c r="AL273" s="63" t="str">
        <f>IFERROR(VLOOKUP(Table2[[#This Row],[Contraente]],Table1[[Nome/Ragione sociale]:[Checkbox selezionato]],5,FALSE),"-")</f>
        <v>MARIA ADELE</v>
      </c>
      <c r="AM273" s="62">
        <f>IFERROR(VLOOKUP(Table2[[#This Row],[Contraente]],Table1[[Nome/Ragione sociale]:[Checkbox selezionato]],6,FALSE),"-")</f>
        <v>20149</v>
      </c>
      <c r="AN273" s="63" t="str">
        <f>IFERROR(VLOOKUP(Table2[[#This Row],[Contraente]],Table1[[Nome/Ragione sociale]:[Checkbox selezionato]],7,FALSE),"-")</f>
        <v>papies@libero.it</v>
      </c>
      <c r="AO273" s="63">
        <f>IFERROR(VLOOKUP(Table2[[#This Row],[Contraente]],Table1[[Nome/Ragione sociale]:[Checkbox selezionato]],8,FALSE),"-")</f>
        <v>0</v>
      </c>
      <c r="AP273" s="63">
        <f>IFERROR(VLOOKUP(Table2[[#This Row],[Contraente]],Table1[[Nome/Ragione sociale]:[Checkbox selezionato]],10,FALSE),"-")</f>
        <v>3393157569</v>
      </c>
      <c r="AQ273" s="63" t="str">
        <f>IFERROR(VLOOKUP(Table2[[#This Row],[Contraente]],Table1[[Nome/Ragione sociale]:[Checkbox selezionato]],11,FALSE),"-")</f>
        <v>SI</v>
      </c>
      <c r="AR273" s="63" t="str">
        <f>IFERROR(VLOOKUP(Table2[[#This Row],[Contraente]],Table1[[Nome/Ragione sociale]:[Checkbox selezionato]],12,FALSE),"-")</f>
        <v>SI</v>
      </c>
    </row>
    <row r="274" spans="1:44" ht="30" hidden="1" customHeight="1" x14ac:dyDescent="0.25">
      <c r="A274" s="60" t="str">
        <f>UPPER(LEFT(Table2[[#This Row],[Contraente]],1))</f>
        <v>C</v>
      </c>
      <c r="B274" s="60" t="s">
        <v>1634</v>
      </c>
      <c r="C274" s="81" t="s">
        <v>494</v>
      </c>
      <c r="D274" s="81" t="s">
        <v>37</v>
      </c>
      <c r="E274" s="86">
        <v>105369211</v>
      </c>
      <c r="F274" s="64">
        <v>42807</v>
      </c>
      <c r="G274" s="64">
        <f>IFERROR(CALCOLASCADENZA(Table2[[#This Row],[Data attivazione]],Table2[[#This Row],[Rateizzazione]],Table2[[#This Row],[Data ultimo pagamento]],Table2[[#This Row],[Data prossima scadenza manuale]]),"-")</f>
        <v>43167</v>
      </c>
      <c r="H274" s="67" t="s">
        <v>30</v>
      </c>
      <c r="I274" s="67" t="s">
        <v>113</v>
      </c>
      <c r="J274" s="33">
        <f>IFERROR(Table2[[#This Row],[Importo annuale]]/(12/VLOOKUP(Table2[[#This Row],[Rateizzazione]],TIPI_RATEIZZAZIONI,2,FALSE)),"-")</f>
        <v>220</v>
      </c>
      <c r="K274" s="88">
        <v>220</v>
      </c>
      <c r="L274" s="88">
        <v>220</v>
      </c>
      <c r="M274" s="67" t="s">
        <v>44</v>
      </c>
      <c r="N274" s="67" t="s">
        <v>51</v>
      </c>
      <c r="O274" s="27" t="s">
        <v>1631</v>
      </c>
      <c r="P274" s="33" t="s">
        <v>23</v>
      </c>
      <c r="Q274" s="60">
        <f>IFERROR(IF(12 / VLOOKUP(Table2[[#This Row],[Rateizzazione]],TIPI_RATEIZZAZIONI,2,FALSE) &gt;=1,  IF(Table2[[#This Row],[Data attivazione]] = "","-",MONTH(Table2[[#This Row],[Data attivazione]])),"-"),"-")</f>
        <v>3</v>
      </c>
      <c r="R2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4" s="67" t="s">
        <v>2</v>
      </c>
      <c r="V274" s="62"/>
      <c r="W274" s="64">
        <v>42802</v>
      </c>
      <c r="X274" s="29">
        <f>DATE(YEAR(Table2[[#This Row],[Data attivazione]])+VLOOKUP(Table2[[#This Row],[Durata]],VALORE_DURATA,2,FALSE),MONTH(Table2[[#This Row],[Data attivazione]]),DAY(Table2[[#This Row],[Data attivazione]]))</f>
        <v>43167</v>
      </c>
      <c r="Y274" s="65"/>
      <c r="Z274" s="61"/>
      <c r="AA274" s="64" t="s">
        <v>85</v>
      </c>
      <c r="AB274" s="29" t="str">
        <f>IF(Table2[[#This Row],[Data ultimo versamento temp]]=0/1/1900,"-",Table2[[#This Row],[Data ultimo versamento temp]])</f>
        <v>-</v>
      </c>
      <c r="AC274" s="29">
        <f t="array" ref="AC274">MAX(IF(TableVersamenti[Polizza]=Table2[[#This Row],[Polizza]],TableVersamenti[Data prevista versamento],"-"))</f>
        <v>0</v>
      </c>
      <c r="AD274" s="62"/>
      <c r="AE274" s="106">
        <f>DATE(YEAR(Table2[[#This Row],[Data ultimo pagamento]]),MONTH(Table2[[#This Row],[Data ultimo pagamento]]), 1)</f>
        <v>42795</v>
      </c>
      <c r="AF274" s="106">
        <f>DATE(YEAR(Table2[[#This Row],[Data prossima scadenza]]),MONTH(Table2[[#This Row],[Data prossima scadenza]]), 1)</f>
        <v>43160</v>
      </c>
      <c r="AG274" s="33">
        <f>IFERROR(Table2[[#This Row],[Importo annuale]]*VLOOKUP(Table2[[#This Row],[Ramo]],RAMI_POLIZZA,2,FALSE),0)</f>
        <v>25.3</v>
      </c>
      <c r="AH274" s="65" t="s">
        <v>113</v>
      </c>
      <c r="AI274" s="63" t="str">
        <f>IFERROR(VLOOKUP(Table2[[#This Row],[Contraente]],Table1[[Nome/Ragione sociale]:[Checkbox selezionato]],2,FALSE),"-")</f>
        <v>BELGIOIOSO</v>
      </c>
      <c r="AJ274" s="63">
        <f>IFERROR(VLOOKUP(Table2[[#This Row],[Contraente]],Table1[[Nome/Ragione sociale]:[Checkbox selezionato]],3,FALSE),"-")</f>
        <v>3393157569</v>
      </c>
      <c r="AK274" s="63">
        <f>IFERROR(VLOOKUP(Table2[[#This Row],[Contraente]],Table1[[Nome/Ragione sociale]:[Checkbox selezionato]],4,FALSE),"-")</f>
        <v>0</v>
      </c>
      <c r="AL274" s="63" t="str">
        <f>IFERROR(VLOOKUP(Table2[[#This Row],[Contraente]],Table1[[Nome/Ragione sociale]:[Checkbox selezionato]],5,FALSE),"-")</f>
        <v>MARIA ADELE</v>
      </c>
      <c r="AM274" s="62">
        <f>IFERROR(VLOOKUP(Table2[[#This Row],[Contraente]],Table1[[Nome/Ragione sociale]:[Checkbox selezionato]],6,FALSE),"-")</f>
        <v>20149</v>
      </c>
      <c r="AN274" s="63" t="str">
        <f>IFERROR(VLOOKUP(Table2[[#This Row],[Contraente]],Table1[[Nome/Ragione sociale]:[Checkbox selezionato]],7,FALSE),"-")</f>
        <v>papies@libero.it</v>
      </c>
      <c r="AO274" s="63">
        <f>IFERROR(VLOOKUP(Table2[[#This Row],[Contraente]],Table1[[Nome/Ragione sociale]:[Checkbox selezionato]],8,FALSE),"-")</f>
        <v>0</v>
      </c>
      <c r="AP274" s="63">
        <f>IFERROR(VLOOKUP(Table2[[#This Row],[Contraente]],Table1[[Nome/Ragione sociale]:[Checkbox selezionato]],10,FALSE),"-")</f>
        <v>3393157569</v>
      </c>
      <c r="AQ274" s="63" t="str">
        <f>IFERROR(VLOOKUP(Table2[[#This Row],[Contraente]],Table1[[Nome/Ragione sociale]:[Checkbox selezionato]],11,FALSE),"-")</f>
        <v>SI</v>
      </c>
      <c r="AR274" s="63" t="str">
        <f>IFERROR(VLOOKUP(Table2[[#This Row],[Contraente]],Table1[[Nome/Ragione sociale]:[Checkbox selezionato]],12,FALSE),"-")</f>
        <v>SI</v>
      </c>
    </row>
    <row r="275" spans="1:44" ht="30" hidden="1" customHeight="1" x14ac:dyDescent="0.25">
      <c r="A275" s="60" t="str">
        <f>UPPER(LEFT(Table2[[#This Row],[Contraente]],1))</f>
        <v>C</v>
      </c>
      <c r="B275" s="60" t="s">
        <v>1634</v>
      </c>
      <c r="C275" s="81" t="s">
        <v>494</v>
      </c>
      <c r="D275" s="81" t="s">
        <v>37</v>
      </c>
      <c r="E275" s="86">
        <v>106325154</v>
      </c>
      <c r="F275" s="64">
        <v>42718</v>
      </c>
      <c r="G275" s="64">
        <f>IFERROR(CALCOLASCADENZA(Table2[[#This Row],[Data attivazione]],Table2[[#This Row],[Rateizzazione]],Table2[[#This Row],[Data ultimo pagamento]],Table2[[#This Row],[Data prossima scadenza manuale]]),"-")</f>
        <v>43082</v>
      </c>
      <c r="H275" s="67" t="s">
        <v>30</v>
      </c>
      <c r="I275" s="67" t="s">
        <v>113</v>
      </c>
      <c r="J275" s="33">
        <f>IFERROR(Table2[[#This Row],[Importo annuale]]/(12/VLOOKUP(Table2[[#This Row],[Rateizzazione]],TIPI_RATEIZZAZIONI,2,FALSE)),"-")</f>
        <v>250</v>
      </c>
      <c r="K275" s="88"/>
      <c r="L275" s="88">
        <v>250</v>
      </c>
      <c r="M275" s="67" t="s">
        <v>44</v>
      </c>
      <c r="N275" s="67" t="s">
        <v>52</v>
      </c>
      <c r="O275" s="27" t="s">
        <v>1631</v>
      </c>
      <c r="P275" s="33" t="s">
        <v>23</v>
      </c>
      <c r="Q275" s="60">
        <f>IFERROR(IF(12 / VLOOKUP(Table2[[#This Row],[Rateizzazione]],TIPI_RATEIZZAZIONI,2,FALSE) &gt;=1,  IF(Table2[[#This Row],[Data attivazione]] = "","-",MONTH(Table2[[#This Row],[Data attivazione]])),"-"),"-")</f>
        <v>12</v>
      </c>
      <c r="R2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5" s="67" t="s">
        <v>2</v>
      </c>
      <c r="V275" s="62"/>
      <c r="W275" s="64">
        <v>42717</v>
      </c>
      <c r="X275" s="29">
        <f>DATE(YEAR(Table2[[#This Row],[Data attivazione]])+VLOOKUP(Table2[[#This Row],[Durata]],VALORE_DURATA,2,FALSE),MONTH(Table2[[#This Row],[Data attivazione]]),DAY(Table2[[#This Row],[Data attivazione]]))</f>
        <v>43082</v>
      </c>
      <c r="Y275" s="65"/>
      <c r="Z275" s="61"/>
      <c r="AA275" s="64" t="s">
        <v>85</v>
      </c>
      <c r="AB275" s="29" t="str">
        <f>IF(Table2[[#This Row],[Data ultimo versamento temp]]=0/1/1900,"-",Table2[[#This Row],[Data ultimo versamento temp]])</f>
        <v>-</v>
      </c>
      <c r="AC275" s="29">
        <f t="array" ref="AC275">MAX(IF(TableVersamenti[Polizza]=Table2[[#This Row],[Polizza]],TableVersamenti[Data prevista versamento],"-"))</f>
        <v>0</v>
      </c>
      <c r="AD275" s="62"/>
      <c r="AE275" s="106">
        <f>DATE(YEAR(Table2[[#This Row],[Data ultimo pagamento]]),MONTH(Table2[[#This Row],[Data ultimo pagamento]]), 1)</f>
        <v>42705</v>
      </c>
      <c r="AF275" s="106">
        <f>DATE(YEAR(Table2[[#This Row],[Data prossima scadenza]]),MONTH(Table2[[#This Row],[Data prossima scadenza]]), 1)</f>
        <v>43070</v>
      </c>
      <c r="AG275" s="33">
        <f>IFERROR(Table2[[#This Row],[Importo annuale]]*VLOOKUP(Table2[[#This Row],[Ramo]],RAMI_POLIZZA,2,FALSE),0)</f>
        <v>28.75</v>
      </c>
      <c r="AH275" s="65" t="s">
        <v>113</v>
      </c>
      <c r="AI275" s="63" t="str">
        <f>IFERROR(VLOOKUP(Table2[[#This Row],[Contraente]],Table1[[Nome/Ragione sociale]:[Checkbox selezionato]],2,FALSE),"-")</f>
        <v>BELGIOIOSO</v>
      </c>
      <c r="AJ275" s="63">
        <f>IFERROR(VLOOKUP(Table2[[#This Row],[Contraente]],Table1[[Nome/Ragione sociale]:[Checkbox selezionato]],3,FALSE),"-")</f>
        <v>3393157569</v>
      </c>
      <c r="AK275" s="63">
        <f>IFERROR(VLOOKUP(Table2[[#This Row],[Contraente]],Table1[[Nome/Ragione sociale]:[Checkbox selezionato]],4,FALSE),"-")</f>
        <v>0</v>
      </c>
      <c r="AL275" s="63" t="str">
        <f>IFERROR(VLOOKUP(Table2[[#This Row],[Contraente]],Table1[[Nome/Ragione sociale]:[Checkbox selezionato]],5,FALSE),"-")</f>
        <v>MARIA ADELE</v>
      </c>
      <c r="AM275" s="62">
        <f>IFERROR(VLOOKUP(Table2[[#This Row],[Contraente]],Table1[[Nome/Ragione sociale]:[Checkbox selezionato]],6,FALSE),"-")</f>
        <v>20149</v>
      </c>
      <c r="AN275" s="63" t="str">
        <f>IFERROR(VLOOKUP(Table2[[#This Row],[Contraente]],Table1[[Nome/Ragione sociale]:[Checkbox selezionato]],7,FALSE),"-")</f>
        <v>papies@libero.it</v>
      </c>
      <c r="AO275" s="63">
        <f>IFERROR(VLOOKUP(Table2[[#This Row],[Contraente]],Table1[[Nome/Ragione sociale]:[Checkbox selezionato]],8,FALSE),"-")</f>
        <v>0</v>
      </c>
      <c r="AP275" s="63">
        <f>IFERROR(VLOOKUP(Table2[[#This Row],[Contraente]],Table1[[Nome/Ragione sociale]:[Checkbox selezionato]],10,FALSE),"-")</f>
        <v>3393157569</v>
      </c>
      <c r="AQ275" s="63" t="str">
        <f>IFERROR(VLOOKUP(Table2[[#This Row],[Contraente]],Table1[[Nome/Ragione sociale]:[Checkbox selezionato]],11,FALSE),"-")</f>
        <v>SI</v>
      </c>
      <c r="AR275" s="63" t="str">
        <f>IFERROR(VLOOKUP(Table2[[#This Row],[Contraente]],Table1[[Nome/Ragione sociale]:[Checkbox selezionato]],12,FALSE),"-")</f>
        <v>SI</v>
      </c>
    </row>
    <row r="276" spans="1:44" ht="30" hidden="1" customHeight="1" x14ac:dyDescent="0.25">
      <c r="A276" s="60" t="str">
        <f>UPPER(LEFT(Table2[[#This Row],[Contraente]],1))</f>
        <v>C</v>
      </c>
      <c r="B276" s="60" t="s">
        <v>1634</v>
      </c>
      <c r="C276" s="81" t="s">
        <v>477</v>
      </c>
      <c r="D276" s="81" t="s">
        <v>38</v>
      </c>
      <c r="E276" s="86">
        <v>7000071699</v>
      </c>
      <c r="F276" s="64">
        <v>42572</v>
      </c>
      <c r="G276" s="64">
        <f>IFERROR(CALCOLASCADENZA(Table2[[#This Row],[Data attivazione]],Table2[[#This Row],[Rateizzazione]],Table2[[#This Row],[Data ultimo pagamento]],Table2[[#This Row],[Data prossima scadenza manuale]]),"-")</f>
        <v>42937</v>
      </c>
      <c r="H276" s="67" t="s">
        <v>30</v>
      </c>
      <c r="I276" s="67" t="s">
        <v>113</v>
      </c>
      <c r="J276" s="33">
        <f>IFERROR(Table2[[#This Row],[Importo annuale]]/(12/VLOOKUP(Table2[[#This Row],[Rateizzazione]],TIPI_RATEIZZAZIONI,2,FALSE)),"-")</f>
        <v>38</v>
      </c>
      <c r="K276" s="88"/>
      <c r="L276" s="88">
        <v>38</v>
      </c>
      <c r="M276" s="67" t="s">
        <v>44</v>
      </c>
      <c r="N276" s="67" t="s">
        <v>52</v>
      </c>
      <c r="O276" s="27" t="s">
        <v>1631</v>
      </c>
      <c r="P276" s="33" t="s">
        <v>23</v>
      </c>
      <c r="Q276" s="60">
        <f>IFERROR(IF(12 / VLOOKUP(Table2[[#This Row],[Rateizzazione]],TIPI_RATEIZZAZIONI,2,FALSE) &gt;=1,  IF(Table2[[#This Row],[Data attivazione]] = "","-",MONTH(Table2[[#This Row],[Data attivazione]])),"-"),"-")</f>
        <v>7</v>
      </c>
      <c r="R2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6" s="67" t="s">
        <v>2</v>
      </c>
      <c r="V276" s="62"/>
      <c r="W276" s="64">
        <v>42572</v>
      </c>
      <c r="X276" s="29">
        <f>DATE(YEAR(Table2[[#This Row],[Data attivazione]])+VLOOKUP(Table2[[#This Row],[Durata]],VALORE_DURATA,2,FALSE),MONTH(Table2[[#This Row],[Data attivazione]]),DAY(Table2[[#This Row],[Data attivazione]]))</f>
        <v>42937</v>
      </c>
      <c r="Y276" s="65"/>
      <c r="Z276" s="61"/>
      <c r="AA276" s="64" t="s">
        <v>85</v>
      </c>
      <c r="AB276" s="29" t="str">
        <f>IF(Table2[[#This Row],[Data ultimo versamento temp]]=0/1/1900,"-",Table2[[#This Row],[Data ultimo versamento temp]])</f>
        <v>-</v>
      </c>
      <c r="AC276" s="29">
        <f t="array" ref="AC276">MAX(IF(TableVersamenti[Polizza]=Table2[[#This Row],[Polizza]],TableVersamenti[Data prevista versamento],"-"))</f>
        <v>0</v>
      </c>
      <c r="AD276" s="62"/>
      <c r="AE276" s="106">
        <f>DATE(YEAR(Table2[[#This Row],[Data ultimo pagamento]]),MONTH(Table2[[#This Row],[Data ultimo pagamento]]), 1)</f>
        <v>42552</v>
      </c>
      <c r="AF276" s="106">
        <f>DATE(YEAR(Table2[[#This Row],[Data prossima scadenza]]),MONTH(Table2[[#This Row],[Data prossima scadenza]]), 1)</f>
        <v>42917</v>
      </c>
      <c r="AG276" s="33">
        <f>IFERROR(Table2[[#This Row],[Importo annuale]]*VLOOKUP(Table2[[#This Row],[Ramo]],RAMI_POLIZZA,2,FALSE),0)</f>
        <v>4.37</v>
      </c>
      <c r="AH276" s="65" t="s">
        <v>113</v>
      </c>
      <c r="AI276" s="63" t="str">
        <f>IFERROR(VLOOKUP(Table2[[#This Row],[Contraente]],Table1[[Nome/Ragione sociale]:[Checkbox selezionato]],2,FALSE),"-")</f>
        <v>GARLASCO</v>
      </c>
      <c r="AJ276" s="63">
        <f>IFERROR(VLOOKUP(Table2[[#This Row],[Contraente]],Table1[[Nome/Ragione sociale]:[Checkbox selezionato]],3,FALSE),"-")</f>
        <v>3383760423</v>
      </c>
      <c r="AK276" s="63">
        <f>IFERROR(VLOOKUP(Table2[[#This Row],[Contraente]],Table1[[Nome/Ragione sociale]:[Checkbox selezionato]],4,FALSE),"-")</f>
        <v>0</v>
      </c>
      <c r="AL276" s="63" t="str">
        <f>IFERROR(VLOOKUP(Table2[[#This Row],[Contraente]],Table1[[Nome/Ragione sociale]:[Checkbox selezionato]],5,FALSE),"-")</f>
        <v>PIER</v>
      </c>
      <c r="AM276" s="62" t="str">
        <f>IFERROR(VLOOKUP(Table2[[#This Row],[Contraente]],Table1[[Nome/Ragione sociale]:[Checkbox selezionato]],6,FALSE),"-")</f>
        <v>-</v>
      </c>
      <c r="AN276" s="63" t="str">
        <f>IFERROR(VLOOKUP(Table2[[#This Row],[Contraente]],Table1[[Nome/Ragione sociale]:[Checkbox selezionato]],7,FALSE),"-")</f>
        <v>papies@email.it</v>
      </c>
      <c r="AO276" s="63">
        <f>IFERROR(VLOOKUP(Table2[[#This Row],[Contraente]],Table1[[Nome/Ragione sociale]:[Checkbox selezionato]],8,FALSE),"-")</f>
        <v>0</v>
      </c>
      <c r="AP276" s="63">
        <f>IFERROR(VLOOKUP(Table2[[#This Row],[Contraente]],Table1[[Nome/Ragione sociale]:[Checkbox selezionato]],10,FALSE),"-")</f>
        <v>3383760423</v>
      </c>
      <c r="AQ276" s="63" t="str">
        <f>IFERROR(VLOOKUP(Table2[[#This Row],[Contraente]],Table1[[Nome/Ragione sociale]:[Checkbox selezionato]],11,FALSE),"-")</f>
        <v>SI</v>
      </c>
      <c r="AR276" s="63" t="str">
        <f>IFERROR(VLOOKUP(Table2[[#This Row],[Contraente]],Table1[[Nome/Ragione sociale]:[Checkbox selezionato]],12,FALSE),"-")</f>
        <v>SI</v>
      </c>
    </row>
    <row r="277" spans="1:44" ht="30" hidden="1" customHeight="1" x14ac:dyDescent="0.25">
      <c r="A277" s="60" t="str">
        <f>UPPER(LEFT(Table2[[#This Row],[Contraente]],1))</f>
        <v>C</v>
      </c>
      <c r="B277" s="60" t="s">
        <v>1634</v>
      </c>
      <c r="C277" s="81" t="s">
        <v>491</v>
      </c>
      <c r="D277" s="81" t="s">
        <v>37</v>
      </c>
      <c r="E277" s="86">
        <v>106893232</v>
      </c>
      <c r="F277" s="64">
        <v>42877</v>
      </c>
      <c r="G277" s="64">
        <f>IFERROR(CALCOLASCADENZA(Table2[[#This Row],[Data attivazione]],Table2[[#This Row],[Rateizzazione]],Table2[[#This Row],[Data ultimo pagamento]],Table2[[#This Row],[Data prossima scadenza manuale]]),"-")</f>
        <v>43228</v>
      </c>
      <c r="H277" s="67" t="s">
        <v>31</v>
      </c>
      <c r="I277" s="67" t="s">
        <v>1252</v>
      </c>
      <c r="J277" s="33">
        <f>IFERROR(Table2[[#This Row],[Importo annuale]]/(12/VLOOKUP(Table2[[#This Row],[Rateizzazione]],TIPI_RATEIZZAZIONI,2,FALSE)),"-")</f>
        <v>950</v>
      </c>
      <c r="K277" s="88">
        <v>950</v>
      </c>
      <c r="L277" s="88">
        <v>950</v>
      </c>
      <c r="M277" s="67" t="s">
        <v>44</v>
      </c>
      <c r="N277" s="67" t="s">
        <v>51</v>
      </c>
      <c r="O277" s="27" t="s">
        <v>1631</v>
      </c>
      <c r="P277" s="33" t="s">
        <v>23</v>
      </c>
      <c r="Q277" s="60">
        <f>IFERROR(IF(12 / VLOOKUP(Table2[[#This Row],[Rateizzazione]],TIPI_RATEIZZAZIONI,2,FALSE) &gt;=1,  IF(Table2[[#This Row],[Data attivazione]] = "","-",MONTH(Table2[[#This Row],[Data attivazione]])),"-"),"-")</f>
        <v>5</v>
      </c>
      <c r="R2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7" s="67" t="s">
        <v>2</v>
      </c>
      <c r="V277" s="62"/>
      <c r="W277" s="64">
        <v>42863</v>
      </c>
      <c r="X277" s="29">
        <f>DATE(YEAR(Table2[[#This Row],[Data attivazione]])+VLOOKUP(Table2[[#This Row],[Durata]],VALORE_DURATA,2,FALSE),MONTH(Table2[[#This Row],[Data attivazione]]),DAY(Table2[[#This Row],[Data attivazione]]))</f>
        <v>43228</v>
      </c>
      <c r="Y277" s="65"/>
      <c r="Z277" s="61"/>
      <c r="AA277" s="64" t="s">
        <v>85</v>
      </c>
      <c r="AB277" s="29" t="str">
        <f>IF(Table2[[#This Row],[Data ultimo versamento temp]]=0/1/1900,"-",Table2[[#This Row],[Data ultimo versamento temp]])</f>
        <v>-</v>
      </c>
      <c r="AC277" s="29">
        <f t="array" ref="AC277">MAX(IF(TableVersamenti[Polizza]=Table2[[#This Row],[Polizza]],TableVersamenti[Data prevista versamento],"-"))</f>
        <v>0</v>
      </c>
      <c r="AD277" s="62"/>
      <c r="AE277" s="106">
        <f>DATE(YEAR(Table2[[#This Row],[Data ultimo pagamento]]),MONTH(Table2[[#This Row],[Data ultimo pagamento]]), 1)</f>
        <v>42856</v>
      </c>
      <c r="AF277" s="106">
        <f>DATE(YEAR(Table2[[#This Row],[Data prossima scadenza]]),MONTH(Table2[[#This Row],[Data prossima scadenza]]), 1)</f>
        <v>43221</v>
      </c>
      <c r="AG277" s="33">
        <f>IFERROR(Table2[[#This Row],[Importo annuale]]*VLOOKUP(Table2[[#This Row],[Ramo]],RAMI_POLIZZA,2,FALSE),0)</f>
        <v>49.4</v>
      </c>
      <c r="AH277" s="65" t="s">
        <v>113</v>
      </c>
      <c r="AI277" s="63" t="str">
        <f>IFERROR(VLOOKUP(Table2[[#This Row],[Contraente]],Table1[[Nome/Ragione sociale]:[Checkbox selezionato]],2,FALSE),"-")</f>
        <v>GERENZAGO</v>
      </c>
      <c r="AJ277" s="63">
        <f>IFERROR(VLOOKUP(Table2[[#This Row],[Contraente]],Table1[[Nome/Ragione sociale]:[Checkbox selezionato]],3,FALSE),"-")</f>
        <v>3388483676</v>
      </c>
      <c r="AK277" s="63">
        <f>IFERROR(VLOOKUP(Table2[[#This Row],[Contraente]],Table1[[Nome/Ragione sociale]:[Checkbox selezionato]],4,FALSE),"-")</f>
        <v>0</v>
      </c>
      <c r="AL277" s="63" t="str">
        <f>IFERROR(VLOOKUP(Table2[[#This Row],[Contraente]],Table1[[Nome/Ragione sociale]:[Checkbox selezionato]],5,FALSE),"-")</f>
        <v>ALBERTO</v>
      </c>
      <c r="AM277" s="62">
        <f>IFERROR(VLOOKUP(Table2[[#This Row],[Contraente]],Table1[[Nome/Ragione sociale]:[Checkbox selezionato]],6,FALSE),"-")</f>
        <v>26381</v>
      </c>
      <c r="AN277" s="63" t="str">
        <f>IFERROR(VLOOKUP(Table2[[#This Row],[Contraente]],Table1[[Nome/Ragione sociale]:[Checkbox selezionato]],7,FALSE),"-")</f>
        <v>papies@libero.it</v>
      </c>
      <c r="AO277" s="63">
        <f>IFERROR(VLOOKUP(Table2[[#This Row],[Contraente]],Table1[[Nome/Ragione sociale]:[Checkbox selezionato]],8,FALSE),"-")</f>
        <v>0</v>
      </c>
      <c r="AP277" s="63">
        <f>IFERROR(VLOOKUP(Table2[[#This Row],[Contraente]],Table1[[Nome/Ragione sociale]:[Checkbox selezionato]],10,FALSE),"-")</f>
        <v>3388483676</v>
      </c>
      <c r="AQ277" s="63" t="str">
        <f>IFERROR(VLOOKUP(Table2[[#This Row],[Contraente]],Table1[[Nome/Ragione sociale]:[Checkbox selezionato]],11,FALSE),"-")</f>
        <v>SI</v>
      </c>
      <c r="AR277" s="63" t="str">
        <f>IFERROR(VLOOKUP(Table2[[#This Row],[Contraente]],Table1[[Nome/Ragione sociale]:[Checkbox selezionato]],12,FALSE),"-")</f>
        <v>SI</v>
      </c>
    </row>
    <row r="278" spans="1:44" ht="30" hidden="1" customHeight="1" x14ac:dyDescent="0.25">
      <c r="A278" s="60" t="str">
        <f>UPPER(LEFT(Table2[[#This Row],[Contraente]],1))</f>
        <v>C</v>
      </c>
      <c r="B278" s="60" t="s">
        <v>1634</v>
      </c>
      <c r="C278" s="81" t="s">
        <v>491</v>
      </c>
      <c r="D278" s="81" t="s">
        <v>37</v>
      </c>
      <c r="E278" s="86">
        <v>104800700</v>
      </c>
      <c r="F278" s="64">
        <v>42636</v>
      </c>
      <c r="G278" s="64">
        <f>IFERROR(CALCOLASCADENZA(Table2[[#This Row],[Data attivazione]],Table2[[#This Row],[Rateizzazione]],Table2[[#This Row],[Data ultimo pagamento]],Table2[[#This Row],[Data prossima scadenza manuale]]),"-")</f>
        <v>42987</v>
      </c>
      <c r="H278" s="67" t="s">
        <v>30</v>
      </c>
      <c r="I278" s="67" t="s">
        <v>113</v>
      </c>
      <c r="J278" s="33">
        <f>IFERROR(Table2[[#This Row],[Importo annuale]]/(12/VLOOKUP(Table2[[#This Row],[Rateizzazione]],TIPI_RATEIZZAZIONI,2,FALSE)),"-")</f>
        <v>286</v>
      </c>
      <c r="K278" s="88"/>
      <c r="L278" s="88">
        <v>286</v>
      </c>
      <c r="M278" s="67" t="s">
        <v>44</v>
      </c>
      <c r="N278" s="67" t="s">
        <v>51</v>
      </c>
      <c r="O278" s="27" t="s">
        <v>1631</v>
      </c>
      <c r="P278" s="33" t="s">
        <v>23</v>
      </c>
      <c r="Q278" s="60">
        <f>IFERROR(IF(12 / VLOOKUP(Table2[[#This Row],[Rateizzazione]],TIPI_RATEIZZAZIONI,2,FALSE) &gt;=1,  IF(Table2[[#This Row],[Data attivazione]] = "","-",MONTH(Table2[[#This Row],[Data attivazione]])),"-"),"-")</f>
        <v>9</v>
      </c>
      <c r="R2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8" s="67" t="s">
        <v>2</v>
      </c>
      <c r="V278" s="62"/>
      <c r="W278" s="64">
        <v>42622</v>
      </c>
      <c r="X278" s="29">
        <f>DATE(YEAR(Table2[[#This Row],[Data attivazione]])+VLOOKUP(Table2[[#This Row],[Durata]],VALORE_DURATA,2,FALSE),MONTH(Table2[[#This Row],[Data attivazione]]),DAY(Table2[[#This Row],[Data attivazione]]))</f>
        <v>42987</v>
      </c>
      <c r="Y278" s="65"/>
      <c r="Z278" s="61"/>
      <c r="AA278" s="64" t="s">
        <v>85</v>
      </c>
      <c r="AB278" s="29" t="str">
        <f>IF(Table2[[#This Row],[Data ultimo versamento temp]]=0/1/1900,"-",Table2[[#This Row],[Data ultimo versamento temp]])</f>
        <v>-</v>
      </c>
      <c r="AC278" s="29">
        <f t="array" ref="AC278">MAX(IF(TableVersamenti[Polizza]=Table2[[#This Row],[Polizza]],TableVersamenti[Data prevista versamento],"-"))</f>
        <v>0</v>
      </c>
      <c r="AD278" s="62"/>
      <c r="AE278" s="106">
        <f>DATE(YEAR(Table2[[#This Row],[Data ultimo pagamento]]),MONTH(Table2[[#This Row],[Data ultimo pagamento]]), 1)</f>
        <v>42614</v>
      </c>
      <c r="AF278" s="106">
        <f>DATE(YEAR(Table2[[#This Row],[Data prossima scadenza]]),MONTH(Table2[[#This Row],[Data prossima scadenza]]), 1)</f>
        <v>42979</v>
      </c>
      <c r="AG278" s="33">
        <f>IFERROR(Table2[[#This Row],[Importo annuale]]*VLOOKUP(Table2[[#This Row],[Ramo]],RAMI_POLIZZA,2,FALSE),0)</f>
        <v>32.89</v>
      </c>
      <c r="AH278" s="65" t="s">
        <v>113</v>
      </c>
      <c r="AI278" s="63" t="str">
        <f>IFERROR(VLOOKUP(Table2[[#This Row],[Contraente]],Table1[[Nome/Ragione sociale]:[Checkbox selezionato]],2,FALSE),"-")</f>
        <v>GERENZAGO</v>
      </c>
      <c r="AJ278" s="63">
        <f>IFERROR(VLOOKUP(Table2[[#This Row],[Contraente]],Table1[[Nome/Ragione sociale]:[Checkbox selezionato]],3,FALSE),"-")</f>
        <v>3388483676</v>
      </c>
      <c r="AK278" s="63">
        <f>IFERROR(VLOOKUP(Table2[[#This Row],[Contraente]],Table1[[Nome/Ragione sociale]:[Checkbox selezionato]],4,FALSE),"-")</f>
        <v>0</v>
      </c>
      <c r="AL278" s="63" t="str">
        <f>IFERROR(VLOOKUP(Table2[[#This Row],[Contraente]],Table1[[Nome/Ragione sociale]:[Checkbox selezionato]],5,FALSE),"-")</f>
        <v>ALBERTO</v>
      </c>
      <c r="AM278" s="62">
        <f>IFERROR(VLOOKUP(Table2[[#This Row],[Contraente]],Table1[[Nome/Ragione sociale]:[Checkbox selezionato]],6,FALSE),"-")</f>
        <v>26381</v>
      </c>
      <c r="AN278" s="63" t="str">
        <f>IFERROR(VLOOKUP(Table2[[#This Row],[Contraente]],Table1[[Nome/Ragione sociale]:[Checkbox selezionato]],7,FALSE),"-")</f>
        <v>papies@libero.it</v>
      </c>
      <c r="AO278" s="63">
        <f>IFERROR(VLOOKUP(Table2[[#This Row],[Contraente]],Table1[[Nome/Ragione sociale]:[Checkbox selezionato]],8,FALSE),"-")</f>
        <v>0</v>
      </c>
      <c r="AP278" s="63">
        <f>IFERROR(VLOOKUP(Table2[[#This Row],[Contraente]],Table1[[Nome/Ragione sociale]:[Checkbox selezionato]],10,FALSE),"-")</f>
        <v>3388483676</v>
      </c>
      <c r="AQ278" s="63" t="str">
        <f>IFERROR(VLOOKUP(Table2[[#This Row],[Contraente]],Table1[[Nome/Ragione sociale]:[Checkbox selezionato]],11,FALSE),"-")</f>
        <v>SI</v>
      </c>
      <c r="AR278" s="63" t="str">
        <f>IFERROR(VLOOKUP(Table2[[#This Row],[Contraente]],Table1[[Nome/Ragione sociale]:[Checkbox selezionato]],12,FALSE),"-")</f>
        <v>SI</v>
      </c>
    </row>
    <row r="279" spans="1:44" ht="30" hidden="1" customHeight="1" x14ac:dyDescent="0.25">
      <c r="A279" s="60" t="str">
        <f>UPPER(LEFT(Table2[[#This Row],[Contraente]],1))</f>
        <v>C</v>
      </c>
      <c r="B279" s="60" t="s">
        <v>1634</v>
      </c>
      <c r="C279" s="81" t="s">
        <v>489</v>
      </c>
      <c r="D279" s="81" t="s">
        <v>37</v>
      </c>
      <c r="E279" s="86">
        <v>106244131</v>
      </c>
      <c r="F279" s="64">
        <v>42692</v>
      </c>
      <c r="G279" s="64">
        <f>IFERROR(CALCOLASCADENZA(Table2[[#This Row],[Data attivazione]],Table2[[#This Row],[Rateizzazione]],Table2[[#This Row],[Data ultimo pagamento]],Table2[[#This Row],[Data prossima scadenza manuale]]),"-")</f>
        <v>43057</v>
      </c>
      <c r="H279" s="67" t="s">
        <v>31</v>
      </c>
      <c r="I279" s="67" t="s">
        <v>1251</v>
      </c>
      <c r="J279" s="33">
        <f>IFERROR(Table2[[#This Row],[Importo annuale]]/(12/VLOOKUP(Table2[[#This Row],[Rateizzazione]],TIPI_RATEIZZAZIONI,2,FALSE)),"-")</f>
        <v>270</v>
      </c>
      <c r="K279" s="88"/>
      <c r="L279" s="88">
        <v>270</v>
      </c>
      <c r="M279" s="67" t="s">
        <v>44</v>
      </c>
      <c r="N279" s="67" t="s">
        <v>52</v>
      </c>
      <c r="O279" s="27" t="s">
        <v>1631</v>
      </c>
      <c r="P279" s="33" t="s">
        <v>23</v>
      </c>
      <c r="Q279" s="60">
        <f>IFERROR(IF(12 / VLOOKUP(Table2[[#This Row],[Rateizzazione]],TIPI_RATEIZZAZIONI,2,FALSE) &gt;=1,  IF(Table2[[#This Row],[Data attivazione]] = "","-",MONTH(Table2[[#This Row],[Data attivazione]])),"-"),"-")</f>
        <v>11</v>
      </c>
      <c r="R2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9" s="67" t="s">
        <v>2</v>
      </c>
      <c r="V279" s="62"/>
      <c r="W279" s="64">
        <v>42692</v>
      </c>
      <c r="X279" s="29">
        <f>DATE(YEAR(Table2[[#This Row],[Data attivazione]])+VLOOKUP(Table2[[#This Row],[Durata]],VALORE_DURATA,2,FALSE),MONTH(Table2[[#This Row],[Data attivazione]]),DAY(Table2[[#This Row],[Data attivazione]]))</f>
        <v>43057</v>
      </c>
      <c r="Y279" s="65"/>
      <c r="Z279" s="61"/>
      <c r="AA279" s="64" t="s">
        <v>85</v>
      </c>
      <c r="AB279" s="29" t="str">
        <f>IF(Table2[[#This Row],[Data ultimo versamento temp]]=0/1/1900,"-",Table2[[#This Row],[Data ultimo versamento temp]])</f>
        <v>-</v>
      </c>
      <c r="AC279" s="29">
        <f t="array" ref="AC279">MAX(IF(TableVersamenti[Polizza]=Table2[[#This Row],[Polizza]],TableVersamenti[Data prevista versamento],"-"))</f>
        <v>0</v>
      </c>
      <c r="AD279" s="62"/>
      <c r="AE279" s="106">
        <f>DATE(YEAR(Table2[[#This Row],[Data ultimo pagamento]]),MONTH(Table2[[#This Row],[Data ultimo pagamento]]), 1)</f>
        <v>42675</v>
      </c>
      <c r="AF279" s="106">
        <f>DATE(YEAR(Table2[[#This Row],[Data prossima scadenza]]),MONTH(Table2[[#This Row],[Data prossima scadenza]]), 1)</f>
        <v>43040</v>
      </c>
      <c r="AG279" s="33">
        <f>IFERROR(Table2[[#This Row],[Importo annuale]]*VLOOKUP(Table2[[#This Row],[Ramo]],RAMI_POLIZZA,2,FALSE),0)</f>
        <v>14.04</v>
      </c>
      <c r="AH279" s="65" t="s">
        <v>113</v>
      </c>
      <c r="AI279" s="63" t="str">
        <f>IFERROR(VLOOKUP(Table2[[#This Row],[Contraente]],Table1[[Nome/Ragione sociale]:[Checkbox selezionato]],2,FALSE),"-")</f>
        <v>PAVIA</v>
      </c>
      <c r="AJ279" s="63">
        <f>IFERROR(VLOOKUP(Table2[[#This Row],[Contraente]],Table1[[Nome/Ragione sociale]:[Checkbox selezionato]],3,FALSE),"-")</f>
        <v>3388483676</v>
      </c>
      <c r="AK279" s="63">
        <f>IFERROR(VLOOKUP(Table2[[#This Row],[Contraente]],Table1[[Nome/Ragione sociale]:[Checkbox selezionato]],4,FALSE),"-")</f>
        <v>0</v>
      </c>
      <c r="AL279" s="63" t="str">
        <f>IFERROR(VLOOKUP(Table2[[#This Row],[Contraente]],Table1[[Nome/Ragione sociale]:[Checkbox selezionato]],5,FALSE),"-")</f>
        <v xml:space="preserve">ALBERTO </v>
      </c>
      <c r="AM279" s="62">
        <f>IFERROR(VLOOKUP(Table2[[#This Row],[Contraente]],Table1[[Nome/Ragione sociale]:[Checkbox selezionato]],6,FALSE),"-")</f>
        <v>21750</v>
      </c>
      <c r="AN279" s="63" t="str">
        <f>IFERROR(VLOOKUP(Table2[[#This Row],[Contraente]],Table1[[Nome/Ragione sociale]:[Checkbox selezionato]],7,FALSE),"-")</f>
        <v>papies@libero.it</v>
      </c>
      <c r="AO279" s="63">
        <f>IFERROR(VLOOKUP(Table2[[#This Row],[Contraente]],Table1[[Nome/Ragione sociale]:[Checkbox selezionato]],8,FALSE),"-")</f>
        <v>0</v>
      </c>
      <c r="AP279" s="63">
        <f>IFERROR(VLOOKUP(Table2[[#This Row],[Contraente]],Table1[[Nome/Ragione sociale]:[Checkbox selezionato]],10,FALSE),"-")</f>
        <v>3388483676</v>
      </c>
      <c r="AQ279" s="63" t="str">
        <f>IFERROR(VLOOKUP(Table2[[#This Row],[Contraente]],Table1[[Nome/Ragione sociale]:[Checkbox selezionato]],11,FALSE),"-")</f>
        <v>SI</v>
      </c>
      <c r="AR279" s="63" t="str">
        <f>IFERROR(VLOOKUP(Table2[[#This Row],[Contraente]],Table1[[Nome/Ragione sociale]:[Checkbox selezionato]],12,FALSE),"-")</f>
        <v>SI</v>
      </c>
    </row>
    <row r="280" spans="1:44" ht="30" hidden="1" customHeight="1" x14ac:dyDescent="0.25">
      <c r="A280" s="60" t="str">
        <f>UPPER(LEFT(Table2[[#This Row],[Contraente]],1))</f>
        <v>C</v>
      </c>
      <c r="B280" s="60" t="s">
        <v>1634</v>
      </c>
      <c r="C280" s="81" t="s">
        <v>486</v>
      </c>
      <c r="D280" s="81" t="s">
        <v>37</v>
      </c>
      <c r="E280" s="86">
        <v>104273372</v>
      </c>
      <c r="F280" s="64">
        <v>42104</v>
      </c>
      <c r="G280" s="64">
        <f>IFERROR(CALCOLASCADENZA(Table2[[#This Row],[Data attivazione]],Table2[[#This Row],[Rateizzazione]],Table2[[#This Row],[Data ultimo pagamento]],Table2[[#This Row],[Data prossima scadenza manuale]]),"-")</f>
        <v>42104</v>
      </c>
      <c r="H280" s="67" t="s">
        <v>31</v>
      </c>
      <c r="I280" s="67" t="s">
        <v>1248</v>
      </c>
      <c r="J280" s="33">
        <v>0</v>
      </c>
      <c r="K280" s="88"/>
      <c r="L280" s="88">
        <v>0</v>
      </c>
      <c r="M280" s="67" t="s">
        <v>43</v>
      </c>
      <c r="N280" s="67" t="s">
        <v>51</v>
      </c>
      <c r="O280" s="27" t="s">
        <v>1631</v>
      </c>
      <c r="P280" s="33" t="s">
        <v>24</v>
      </c>
      <c r="Q28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0" s="67" t="s">
        <v>2</v>
      </c>
      <c r="V280" s="62"/>
      <c r="W280" s="64">
        <v>693597</v>
      </c>
      <c r="X280" s="29">
        <f>DATE(YEAR(Table2[[#This Row],[Data attivazione]])+VLOOKUP(Table2[[#This Row],[Durata]],VALORE_DURATA,2,FALSE),MONTH(Table2[[#This Row],[Data attivazione]]),DAY(Table2[[#This Row],[Data attivazione]]))</f>
        <v>693962</v>
      </c>
      <c r="Y280" s="65"/>
      <c r="Z280" s="61"/>
      <c r="AA280" s="64" t="s">
        <v>88</v>
      </c>
      <c r="AB280" s="29" t="str">
        <f>IF(Table2[[#This Row],[Data ultimo versamento temp]]=0/1/1900,"-",Table2[[#This Row],[Data ultimo versamento temp]])</f>
        <v>-</v>
      </c>
      <c r="AC280" s="29">
        <f t="array" ref="AC280">MAX(IF(TableVersamenti[Polizza]=Table2[[#This Row],[Polizza]],TableVersamenti[Data prevista versamento],"-"))</f>
        <v>0</v>
      </c>
      <c r="AD280" s="62"/>
      <c r="AE280" s="106">
        <f>DATE(YEAR(Table2[[#This Row],[Data ultimo pagamento]]),MONTH(Table2[[#This Row],[Data ultimo pagamento]]), 1)</f>
        <v>42095</v>
      </c>
      <c r="AF280" s="106">
        <f>DATE(YEAR(Table2[[#This Row],[Data prossima scadenza]]),MONTH(Table2[[#This Row],[Data prossima scadenza]]), 1)</f>
        <v>42095</v>
      </c>
      <c r="AG280" s="33">
        <f>IFERROR(Table2[[#This Row],[Importo annuale]]*VLOOKUP(Table2[[#This Row],[Ramo]],RAMI_POLIZZA,2,FALSE),0)</f>
        <v>0</v>
      </c>
      <c r="AH280" s="65" t="s">
        <v>113</v>
      </c>
      <c r="AI280" s="63" t="str">
        <f>IFERROR(VLOOKUP(Table2[[#This Row],[Contraente]],Table1[[Nome/Ragione sociale]:[Checkbox selezionato]],2,FALSE),"-")</f>
        <v>MIRADOLO TERME</v>
      </c>
      <c r="AJ280" s="63">
        <f>IFERROR(VLOOKUP(Table2[[#This Row],[Contraente]],Table1[[Nome/Ragione sociale]:[Checkbox selezionato]],3,FALSE),"-")</f>
        <v>3454897142</v>
      </c>
      <c r="AK280" s="63">
        <f>IFERROR(VLOOKUP(Table2[[#This Row],[Contraente]],Table1[[Nome/Ragione sociale]:[Checkbox selezionato]],4,FALSE),"-")</f>
        <v>3338108588</v>
      </c>
      <c r="AL280" s="63" t="str">
        <f>IFERROR(VLOOKUP(Table2[[#This Row],[Contraente]],Table1[[Nome/Ragione sociale]:[Checkbox selezionato]],5,FALSE),"-")</f>
        <v>LUIGI</v>
      </c>
      <c r="AM280" s="62">
        <f>IFERROR(VLOOKUP(Table2[[#This Row],[Contraente]],Table1[[Nome/Ragione sociale]:[Checkbox selezionato]],6,FALSE),"-")</f>
        <v>23793</v>
      </c>
      <c r="AN280" s="63" t="str">
        <f>IFERROR(VLOOKUP(Table2[[#This Row],[Contraente]],Table1[[Nome/Ragione sociale]:[Checkbox selezionato]],7,FALSE),"-")</f>
        <v>papies@email.it</v>
      </c>
      <c r="AO280" s="63">
        <f>IFERROR(VLOOKUP(Table2[[#This Row],[Contraente]],Table1[[Nome/Ragione sociale]:[Checkbox selezionato]],8,FALSE),"-")</f>
        <v>0</v>
      </c>
      <c r="AP280" s="63">
        <f>IFERROR(VLOOKUP(Table2[[#This Row],[Contraente]],Table1[[Nome/Ragione sociale]:[Checkbox selezionato]],10,FALSE),"-")</f>
        <v>3454897142</v>
      </c>
      <c r="AQ280" s="63" t="str">
        <f>IFERROR(VLOOKUP(Table2[[#This Row],[Contraente]],Table1[[Nome/Ragione sociale]:[Checkbox selezionato]],11,FALSE),"-")</f>
        <v>SI</v>
      </c>
      <c r="AR280" s="63" t="str">
        <f>IFERROR(VLOOKUP(Table2[[#This Row],[Contraente]],Table1[[Nome/Ragione sociale]:[Checkbox selezionato]],12,FALSE),"-")</f>
        <v>SI</v>
      </c>
    </row>
    <row r="281" spans="1:44" ht="30" hidden="1" customHeight="1" x14ac:dyDescent="0.25">
      <c r="A281" s="60" t="str">
        <f>UPPER(LEFT(Table2[[#This Row],[Contraente]],1))</f>
        <v>C</v>
      </c>
      <c r="B281" s="60" t="s">
        <v>1634</v>
      </c>
      <c r="C281" s="80" t="s">
        <v>484</v>
      </c>
      <c r="D281" s="81" t="s">
        <v>1122</v>
      </c>
      <c r="E281" s="85">
        <v>1083378</v>
      </c>
      <c r="F281" s="64">
        <v>42758</v>
      </c>
      <c r="G281" s="64">
        <f>IFERROR(CALCOLASCADENZA(Table2[[#This Row],[Data attivazione]],Table2[[#This Row],[Rateizzazione]],Table2[[#This Row],[Data ultimo pagamento]],Table2[[#This Row],[Data prossima scadenza manuale]]),"-")</f>
        <v>42939</v>
      </c>
      <c r="H281" s="67" t="s">
        <v>32</v>
      </c>
      <c r="I281" s="67" t="s">
        <v>113</v>
      </c>
      <c r="J281" s="33">
        <f>IFERROR(Table2[[#This Row],[Importo annuale]]/(12/VLOOKUP(Table2[[#This Row],[Rateizzazione]],TIPI_RATEIZZAZIONI,2,FALSE)),"-")</f>
        <v>216.97</v>
      </c>
      <c r="K281" s="88">
        <v>216.97</v>
      </c>
      <c r="L281" s="88">
        <v>433.94</v>
      </c>
      <c r="M281" s="67" t="s">
        <v>45</v>
      </c>
      <c r="N281" s="67" t="s">
        <v>52</v>
      </c>
      <c r="O281" s="27" t="s">
        <v>1632</v>
      </c>
      <c r="P281" s="33" t="s">
        <v>22</v>
      </c>
      <c r="Q281" s="60">
        <f>IFERROR(IF(12 / VLOOKUP(Table2[[#This Row],[Rateizzazione]],TIPI_RATEIZZAZIONI,2,FALSE) &gt;=1,  IF(Table2[[#This Row],[Data attivazione]] = "","-",MONTH(Table2[[#This Row],[Data attivazione]])),"-"),"-")</f>
        <v>7</v>
      </c>
      <c r="R2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1" s="67" t="s">
        <v>2</v>
      </c>
      <c r="V281" s="62"/>
      <c r="W281" s="64">
        <v>39286</v>
      </c>
      <c r="X281" s="29">
        <f>DATE(YEAR(Table2[[#This Row],[Data attivazione]])+VLOOKUP(Table2[[#This Row],[Durata]],VALORE_DURATA,2,FALSE),MONTH(Table2[[#This Row],[Data attivazione]]),DAY(Table2[[#This Row],[Data attivazione]]))</f>
        <v>42939</v>
      </c>
      <c r="Y281" s="65"/>
      <c r="Z281" s="61"/>
      <c r="AA281" s="64" t="s">
        <v>85</v>
      </c>
      <c r="AB281" s="29" t="str">
        <f>IF(Table2[[#This Row],[Data ultimo versamento temp]]=0/1/1900,"-",Table2[[#This Row],[Data ultimo versamento temp]])</f>
        <v>-</v>
      </c>
      <c r="AC281" s="29">
        <f t="array" ref="AC281">MAX(IF(TableVersamenti[Polizza]=Table2[[#This Row],[Polizza]],TableVersamenti[Data prevista versamento],"-"))</f>
        <v>0</v>
      </c>
      <c r="AD281" s="62"/>
      <c r="AE281" s="106">
        <f>DATE(YEAR(Table2[[#This Row],[Data ultimo pagamento]]),MONTH(Table2[[#This Row],[Data ultimo pagamento]]), 1)</f>
        <v>42736</v>
      </c>
      <c r="AF281" s="106">
        <f>DATE(YEAR(Table2[[#This Row],[Data prossima scadenza]]),MONTH(Table2[[#This Row],[Data prossima scadenza]]), 1)</f>
        <v>42917</v>
      </c>
      <c r="AG281" s="33">
        <f>IFERROR(Table2[[#This Row],[Importo annuale]]*VLOOKUP(Table2[[#This Row],[Ramo]],RAMI_POLIZZA,2,FALSE),0)</f>
        <v>6.5091000000000001</v>
      </c>
      <c r="AH281" s="65" t="s">
        <v>113</v>
      </c>
      <c r="AI281" s="63" t="str">
        <f>IFERROR(VLOOKUP(Table2[[#This Row],[Contraente]],Table1[[Nome/Ragione sociale]:[Checkbox selezionato]],2,FALSE),"-")</f>
        <v xml:space="preserve"> MIRADOLO TERME </v>
      </c>
      <c r="AJ281" s="63">
        <f>IFERROR(VLOOKUP(Table2[[#This Row],[Contraente]],Table1[[Nome/Ragione sociale]:[Checkbox selezionato]],3,FALSE),"-")</f>
        <v>3338108588</v>
      </c>
      <c r="AK281" s="63">
        <f>IFERROR(VLOOKUP(Table2[[#This Row],[Contraente]],Table1[[Nome/Ragione sociale]:[Checkbox selezionato]],4,FALSE),"-")</f>
        <v>0</v>
      </c>
      <c r="AL281" s="63" t="str">
        <f>IFERROR(VLOOKUP(Table2[[#This Row],[Contraente]],Table1[[Nome/Ragione sociale]:[Checkbox selezionato]],5,FALSE),"-")</f>
        <v>LUIGI</v>
      </c>
      <c r="AM281" s="62">
        <f>IFERROR(VLOOKUP(Table2[[#This Row],[Contraente]],Table1[[Nome/Ragione sociale]:[Checkbox selezionato]],6,FALSE),"-")</f>
        <v>23793</v>
      </c>
      <c r="AN281" s="63" t="str">
        <f>IFERROR(VLOOKUP(Table2[[#This Row],[Contraente]],Table1[[Nome/Ragione sociale]:[Checkbox selezionato]],7,FALSE),"-")</f>
        <v>papies@libero.it</v>
      </c>
      <c r="AO281" s="63">
        <f>IFERROR(VLOOKUP(Table2[[#This Row],[Contraente]],Table1[[Nome/Ragione sociale]:[Checkbox selezionato]],8,FALSE),"-")</f>
        <v>0</v>
      </c>
      <c r="AP281" s="63">
        <f>IFERROR(VLOOKUP(Table2[[#This Row],[Contraente]],Table1[[Nome/Ragione sociale]:[Checkbox selezionato]],10,FALSE),"-")</f>
        <v>3338108588</v>
      </c>
      <c r="AQ281" s="63" t="str">
        <f>IFERROR(VLOOKUP(Table2[[#This Row],[Contraente]],Table1[[Nome/Ragione sociale]:[Checkbox selezionato]],11,FALSE),"-")</f>
        <v>SI</v>
      </c>
      <c r="AR281" s="63" t="str">
        <f>IFERROR(VLOOKUP(Table2[[#This Row],[Contraente]],Table1[[Nome/Ragione sociale]:[Checkbox selezionato]],12,FALSE),"-")</f>
        <v>SI</v>
      </c>
    </row>
    <row r="282" spans="1:44" ht="30" hidden="1" customHeight="1" x14ac:dyDescent="0.25">
      <c r="A282" s="60" t="str">
        <f>UPPER(LEFT(Table2[[#This Row],[Contraente]],1))</f>
        <v>C</v>
      </c>
      <c r="B282" s="60" t="s">
        <v>1634</v>
      </c>
      <c r="C282" s="80" t="s">
        <v>481</v>
      </c>
      <c r="D282" s="81" t="s">
        <v>37</v>
      </c>
      <c r="E282" s="85">
        <v>106397021</v>
      </c>
      <c r="F282" s="64">
        <v>42740</v>
      </c>
      <c r="G282" s="64">
        <f>IFERROR(CALCOLASCADENZA(Table2[[#This Row],[Data attivazione]],Table2[[#This Row],[Rateizzazione]],Table2[[#This Row],[Data ultimo pagamento]],Table2[[#This Row],[Data prossima scadenza manuale]]),"-")</f>
        <v>43100</v>
      </c>
      <c r="H282" s="67" t="s">
        <v>31</v>
      </c>
      <c r="I282" s="67" t="s">
        <v>1247</v>
      </c>
      <c r="J282" s="33">
        <f>IFERROR(Table2[[#This Row],[Importo annuale]]/(12/VLOOKUP(Table2[[#This Row],[Rateizzazione]],TIPI_RATEIZZAZIONI,2,FALSE)),"-")</f>
        <v>359</v>
      </c>
      <c r="K282" s="88">
        <v>359</v>
      </c>
      <c r="L282" s="88">
        <v>359</v>
      </c>
      <c r="M282" s="67" t="s">
        <v>45</v>
      </c>
      <c r="N282" s="67" t="s">
        <v>51</v>
      </c>
      <c r="O282" s="27" t="s">
        <v>1631</v>
      </c>
      <c r="P282" s="33" t="s">
        <v>23</v>
      </c>
      <c r="Q282" s="60">
        <f>IFERROR(IF(12 / VLOOKUP(Table2[[#This Row],[Rateizzazione]],TIPI_RATEIZZAZIONI,2,FALSE) &gt;=1,  IF(Table2[[#This Row],[Data attivazione]] = "","-",MONTH(Table2[[#This Row],[Data attivazione]])),"-"),"-")</f>
        <v>12</v>
      </c>
      <c r="R2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2" s="67" t="s">
        <v>2</v>
      </c>
      <c r="V282" s="62"/>
      <c r="W282" s="64">
        <v>42735</v>
      </c>
      <c r="X282" s="29">
        <f>DATE(YEAR(Table2[[#This Row],[Data attivazione]])+VLOOKUP(Table2[[#This Row],[Durata]],VALORE_DURATA,2,FALSE),MONTH(Table2[[#This Row],[Data attivazione]]),DAY(Table2[[#This Row],[Data attivazione]]))</f>
        <v>43100</v>
      </c>
      <c r="Y282" s="65"/>
      <c r="Z282" s="61"/>
      <c r="AA282" s="64" t="s">
        <v>85</v>
      </c>
      <c r="AB282" s="29" t="str">
        <f>IF(Table2[[#This Row],[Data ultimo versamento temp]]=0/1/1900,"-",Table2[[#This Row],[Data ultimo versamento temp]])</f>
        <v>-</v>
      </c>
      <c r="AC282" s="29">
        <f t="array" ref="AC282">MAX(IF(TableVersamenti[Polizza]=Table2[[#This Row],[Polizza]],TableVersamenti[Data prevista versamento],"-"))</f>
        <v>0</v>
      </c>
      <c r="AD282" s="62"/>
      <c r="AE282" s="106">
        <f>DATE(YEAR(Table2[[#This Row],[Data ultimo pagamento]]),MONTH(Table2[[#This Row],[Data ultimo pagamento]]), 1)</f>
        <v>42736</v>
      </c>
      <c r="AF282" s="106">
        <f>DATE(YEAR(Table2[[#This Row],[Data prossima scadenza]]),MONTH(Table2[[#This Row],[Data prossima scadenza]]), 1)</f>
        <v>43070</v>
      </c>
      <c r="AG282" s="33">
        <f>IFERROR(Table2[[#This Row],[Importo annuale]]*VLOOKUP(Table2[[#This Row],[Ramo]],RAMI_POLIZZA,2,FALSE),0)</f>
        <v>18.667999999999999</v>
      </c>
      <c r="AH282" s="65" t="s">
        <v>113</v>
      </c>
      <c r="AI282" s="63" t="str">
        <f>IFERROR(VLOOKUP(Table2[[#This Row],[Contraente]],Table1[[Nome/Ragione sociale]:[Checkbox selezionato]],2,FALSE),"-")</f>
        <v>DESIO</v>
      </c>
      <c r="AJ282" s="63">
        <f>IFERROR(VLOOKUP(Table2[[#This Row],[Contraente]],Table1[[Nome/Ragione sociale]:[Checkbox selezionato]],3,FALSE),"-")</f>
        <v>3355341894</v>
      </c>
      <c r="AK282" s="63">
        <f>IFERROR(VLOOKUP(Table2[[#This Row],[Contraente]],Table1[[Nome/Ragione sociale]:[Checkbox selezionato]],4,FALSE),"-")</f>
        <v>0</v>
      </c>
      <c r="AL282" s="63" t="str">
        <f>IFERROR(VLOOKUP(Table2[[#This Row],[Contraente]],Table1[[Nome/Ragione sociale]:[Checkbox selezionato]],5,FALSE),"-")</f>
        <v>CEO</v>
      </c>
      <c r="AM282" s="62">
        <f>IFERROR(VLOOKUP(Table2[[#This Row],[Contraente]],Table1[[Nome/Ragione sociale]:[Checkbox selezionato]],6,FALSE),"-")</f>
        <v>21135</v>
      </c>
      <c r="AN282" s="63" t="str">
        <f>IFERROR(VLOOKUP(Table2[[#This Row],[Contraente]],Table1[[Nome/Ragione sociale]:[Checkbox selezionato]],7,FALSE),"-")</f>
        <v>papies@libero.it</v>
      </c>
      <c r="AO282" s="63">
        <f>IFERROR(VLOOKUP(Table2[[#This Row],[Contraente]],Table1[[Nome/Ragione sociale]:[Checkbox selezionato]],8,FALSE),"-")</f>
        <v>0</v>
      </c>
      <c r="AP282" s="63">
        <f>IFERROR(VLOOKUP(Table2[[#This Row],[Contraente]],Table1[[Nome/Ragione sociale]:[Checkbox selezionato]],10,FALSE),"-")</f>
        <v>3355341894</v>
      </c>
      <c r="AQ282" s="63" t="str">
        <f>IFERROR(VLOOKUP(Table2[[#This Row],[Contraente]],Table1[[Nome/Ragione sociale]:[Checkbox selezionato]],11,FALSE),"-")</f>
        <v>SI</v>
      </c>
      <c r="AR282" s="63" t="str">
        <f>IFERROR(VLOOKUP(Table2[[#This Row],[Contraente]],Table1[[Nome/Ragione sociale]:[Checkbox selezionato]],12,FALSE),"-")</f>
        <v>SI</v>
      </c>
    </row>
    <row r="283" spans="1:44" ht="30" hidden="1" customHeight="1" x14ac:dyDescent="0.25">
      <c r="A283" s="60" t="str">
        <f>UPPER(LEFT(Table2[[#This Row],[Contraente]],1))</f>
        <v>C</v>
      </c>
      <c r="B283" s="60" t="s">
        <v>1634</v>
      </c>
      <c r="C283" s="80" t="s">
        <v>487</v>
      </c>
      <c r="D283" s="81" t="s">
        <v>37</v>
      </c>
      <c r="E283" s="85">
        <v>106589763</v>
      </c>
      <c r="F283" s="64">
        <v>42797</v>
      </c>
      <c r="G283" s="64">
        <f>IFERROR(CALCOLASCADENZA(Table2[[#This Row],[Data attivazione]],Table2[[#This Row],[Rateizzazione]],Table2[[#This Row],[Data ultimo pagamento]],Table2[[#This Row],[Data prossima scadenza manuale]]),"-")</f>
        <v>42828</v>
      </c>
      <c r="H283" s="67" t="s">
        <v>31</v>
      </c>
      <c r="I283" s="67" t="s">
        <v>1249</v>
      </c>
      <c r="J283" s="33">
        <f>IFERROR(Table2[[#This Row],[Importo annuale]]/(12/VLOOKUP(Table2[[#This Row],[Rateizzazione]],TIPI_RATEIZZAZIONI,2,FALSE)),"-")</f>
        <v>70</v>
      </c>
      <c r="K283" s="88">
        <v>70</v>
      </c>
      <c r="L283" s="88">
        <v>70</v>
      </c>
      <c r="M283" s="67" t="s">
        <v>43</v>
      </c>
      <c r="N283" s="67" t="s">
        <v>52</v>
      </c>
      <c r="O283" s="27" t="s">
        <v>1631</v>
      </c>
      <c r="P283" s="33" t="s">
        <v>23</v>
      </c>
      <c r="Q283" s="60">
        <f>IFERROR(IF(12 / VLOOKUP(Table2[[#This Row],[Rateizzazione]],TIPI_RATEIZZAZIONI,2,FALSE) &gt;=1,  IF(Table2[[#This Row],[Data attivazione]] = "","-",MONTH(Table2[[#This Row],[Data attivazione]])),"-"),"-")</f>
        <v>4</v>
      </c>
      <c r="R2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3" s="67" t="s">
        <v>2</v>
      </c>
      <c r="V283" s="62"/>
      <c r="W283" s="64">
        <v>42463</v>
      </c>
      <c r="X283" s="29">
        <f>DATE(YEAR(Table2[[#This Row],[Data attivazione]])+VLOOKUP(Table2[[#This Row],[Durata]],VALORE_DURATA,2,FALSE),MONTH(Table2[[#This Row],[Data attivazione]]),DAY(Table2[[#This Row],[Data attivazione]]))</f>
        <v>42828</v>
      </c>
      <c r="Y283" s="65"/>
      <c r="Z283" s="61"/>
      <c r="AA283" s="64" t="s">
        <v>88</v>
      </c>
      <c r="AB283" s="29" t="str">
        <f>IF(Table2[[#This Row],[Data ultimo versamento temp]]=0/1/1900,"-",Table2[[#This Row],[Data ultimo versamento temp]])</f>
        <v>-</v>
      </c>
      <c r="AC283" s="29">
        <f t="array" ref="AC283">MAX(IF(TableVersamenti[Polizza]=Table2[[#This Row],[Polizza]],TableVersamenti[Data prevista versamento],"-"))</f>
        <v>0</v>
      </c>
      <c r="AD283" s="62"/>
      <c r="AE283" s="106">
        <f>DATE(YEAR(Table2[[#This Row],[Data ultimo pagamento]]),MONTH(Table2[[#This Row],[Data ultimo pagamento]]), 1)</f>
        <v>42795</v>
      </c>
      <c r="AF283" s="106">
        <f>DATE(YEAR(Table2[[#This Row],[Data prossima scadenza]]),MONTH(Table2[[#This Row],[Data prossima scadenza]]), 1)</f>
        <v>42826</v>
      </c>
      <c r="AG283" s="33">
        <f>IFERROR(Table2[[#This Row],[Importo annuale]]*VLOOKUP(Table2[[#This Row],[Ramo]],RAMI_POLIZZA,2,FALSE),0)</f>
        <v>3.6399999999999997</v>
      </c>
      <c r="AH283" s="65" t="s">
        <v>113</v>
      </c>
      <c r="AI283" s="63" t="str">
        <f>IFERROR(VLOOKUP(Table2[[#This Row],[Contraente]],Table1[[Nome/Ragione sociale]:[Checkbox selezionato]],2,FALSE),"-")</f>
        <v>BELGIOIOSO</v>
      </c>
      <c r="AJ283" s="63">
        <f>IFERROR(VLOOKUP(Table2[[#This Row],[Contraente]],Table1[[Nome/Ragione sociale]:[Checkbox selezionato]],3,FALSE),"-")</f>
        <v>3490083688</v>
      </c>
      <c r="AK283" s="63">
        <f>IFERROR(VLOOKUP(Table2[[#This Row],[Contraente]],Table1[[Nome/Ragione sociale]:[Checkbox selezionato]],4,FALSE),"-")</f>
        <v>0</v>
      </c>
      <c r="AL283" s="63" t="str">
        <f>IFERROR(VLOOKUP(Table2[[#This Row],[Contraente]],Table1[[Nome/Ragione sociale]:[Checkbox selezionato]],5,FALSE),"-")</f>
        <v>MAURIZIO</v>
      </c>
      <c r="AM283" s="62">
        <f>IFERROR(VLOOKUP(Table2[[#This Row],[Contraente]],Table1[[Nome/Ragione sociale]:[Checkbox selezionato]],6,FALSE),"-")</f>
        <v>26174</v>
      </c>
      <c r="AN283" s="63" t="str">
        <f>IFERROR(VLOOKUP(Table2[[#This Row],[Contraente]],Table1[[Nome/Ragione sociale]:[Checkbox selezionato]],7,FALSE),"-")</f>
        <v>papies@email.it</v>
      </c>
      <c r="AO283" s="63">
        <f>IFERROR(VLOOKUP(Table2[[#This Row],[Contraente]],Table1[[Nome/Ragione sociale]:[Checkbox selezionato]],8,FALSE),"-")</f>
        <v>0</v>
      </c>
      <c r="AP283" s="63">
        <f>IFERROR(VLOOKUP(Table2[[#This Row],[Contraente]],Table1[[Nome/Ragione sociale]:[Checkbox selezionato]],10,FALSE),"-")</f>
        <v>3490083688</v>
      </c>
      <c r="AQ283" s="63" t="str">
        <f>IFERROR(VLOOKUP(Table2[[#This Row],[Contraente]],Table1[[Nome/Ragione sociale]:[Checkbox selezionato]],11,FALSE),"-")</f>
        <v>SI</v>
      </c>
      <c r="AR283" s="63" t="str">
        <f>IFERROR(VLOOKUP(Table2[[#This Row],[Contraente]],Table1[[Nome/Ragione sociale]:[Checkbox selezionato]],12,FALSE),"-")</f>
        <v>SI</v>
      </c>
    </row>
    <row r="284" spans="1:44" ht="30" hidden="1" customHeight="1" x14ac:dyDescent="0.25">
      <c r="A284" s="60" t="str">
        <f>UPPER(LEFT(Table2[[#This Row],[Contraente]],1))</f>
        <v>C</v>
      </c>
      <c r="B284" s="60" t="s">
        <v>1634</v>
      </c>
      <c r="C284" s="80" t="s">
        <v>488</v>
      </c>
      <c r="D284" s="81" t="s">
        <v>37</v>
      </c>
      <c r="E284" s="85">
        <v>105079601</v>
      </c>
      <c r="F284" s="64">
        <v>42905</v>
      </c>
      <c r="G284" s="64">
        <f>IFERROR(CALCOLASCADENZA(Table2[[#This Row],[Data attivazione]],Table2[[#This Row],[Rateizzazione]],Table2[[#This Row],[Data ultimo pagamento]],Table2[[#This Row],[Data prossima scadenza manuale]]),"-")</f>
        <v>42981</v>
      </c>
      <c r="H284" s="67" t="s">
        <v>31</v>
      </c>
      <c r="I284" s="67" t="s">
        <v>1250</v>
      </c>
      <c r="J284" s="33">
        <f>IFERROR(Table2[[#This Row],[Importo annuale]]/(12/VLOOKUP(Table2[[#This Row],[Rateizzazione]],TIPI_RATEIZZAZIONI,2,FALSE)),"-")</f>
        <v>271.7</v>
      </c>
      <c r="K284" s="88">
        <v>543.4</v>
      </c>
      <c r="L284" s="88">
        <v>1086.8</v>
      </c>
      <c r="M284" s="67" t="s">
        <v>44</v>
      </c>
      <c r="N284" s="67" t="s">
        <v>52</v>
      </c>
      <c r="O284" s="27" t="s">
        <v>1631</v>
      </c>
      <c r="P284" s="33" t="s">
        <v>20</v>
      </c>
      <c r="Q284" s="60">
        <f>IFERROR(IF(12 / VLOOKUP(Table2[[#This Row],[Rateizzazione]],TIPI_RATEIZZAZIONI,2,FALSE) &gt;=1,  IF(Table2[[#This Row],[Data attivazione]] = "","-",MONTH(Table2[[#This Row],[Data attivazione]])),"-"),"-")</f>
        <v>9</v>
      </c>
      <c r="R2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8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28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284" s="67" t="s">
        <v>2</v>
      </c>
      <c r="V284" s="62"/>
      <c r="W284" s="64">
        <v>42616</v>
      </c>
      <c r="X284" s="29">
        <f>DATE(YEAR(Table2[[#This Row],[Data attivazione]])+VLOOKUP(Table2[[#This Row],[Durata]],VALORE_DURATA,2,FALSE),MONTH(Table2[[#This Row],[Data attivazione]]),DAY(Table2[[#This Row],[Data attivazione]]))</f>
        <v>42981</v>
      </c>
      <c r="Y284" s="65"/>
      <c r="Z284" s="61"/>
      <c r="AA284" s="64" t="s">
        <v>85</v>
      </c>
      <c r="AB284" s="29" t="str">
        <f>IF(Table2[[#This Row],[Data ultimo versamento temp]]=0/1/1900,"-",Table2[[#This Row],[Data ultimo versamento temp]])</f>
        <v>-</v>
      </c>
      <c r="AC284" s="29">
        <f t="array" ref="AC284">MAX(IF(TableVersamenti[Polizza]=Table2[[#This Row],[Polizza]],TableVersamenti[Data prevista versamento],"-"))</f>
        <v>0</v>
      </c>
      <c r="AD284" s="62"/>
      <c r="AE284" s="106">
        <f>DATE(YEAR(Table2[[#This Row],[Data ultimo pagamento]]),MONTH(Table2[[#This Row],[Data ultimo pagamento]]), 1)</f>
        <v>42887</v>
      </c>
      <c r="AF284" s="106">
        <f>DATE(YEAR(Table2[[#This Row],[Data prossima scadenza]]),MONTH(Table2[[#This Row],[Data prossima scadenza]]), 1)</f>
        <v>42979</v>
      </c>
      <c r="AG284" s="33">
        <f>IFERROR(Table2[[#This Row],[Importo annuale]]*VLOOKUP(Table2[[#This Row],[Ramo]],RAMI_POLIZZA,2,FALSE),0)</f>
        <v>56.513599999999997</v>
      </c>
      <c r="AH284" s="65" t="s">
        <v>113</v>
      </c>
      <c r="AI284" s="63" t="str">
        <f>IFERROR(VLOOKUP(Table2[[#This Row],[Contraente]],Table1[[Nome/Ragione sociale]:[Checkbox selezionato]],2,FALSE),"-")</f>
        <v>BELGIOIOSO</v>
      </c>
      <c r="AJ284" s="63">
        <f>IFERROR(VLOOKUP(Table2[[#This Row],[Contraente]],Table1[[Nome/Ragione sociale]:[Checkbox selezionato]],3,FALSE),"-")</f>
        <v>3490083688</v>
      </c>
      <c r="AK284" s="63">
        <f>IFERROR(VLOOKUP(Table2[[#This Row],[Contraente]],Table1[[Nome/Ragione sociale]:[Checkbox selezionato]],4,FALSE),"-")</f>
        <v>0</v>
      </c>
      <c r="AL284" s="63" t="str">
        <f>IFERROR(VLOOKUP(Table2[[#This Row],[Contraente]],Table1[[Nome/Ragione sociale]:[Checkbox selezionato]],5,FALSE),"-")</f>
        <v>MAURIZIO</v>
      </c>
      <c r="AM284" s="62">
        <f>IFERROR(VLOOKUP(Table2[[#This Row],[Contraente]],Table1[[Nome/Ragione sociale]:[Checkbox selezionato]],6,FALSE),"-")</f>
        <v>26174</v>
      </c>
      <c r="AN284" s="63" t="str">
        <f>IFERROR(VLOOKUP(Table2[[#This Row],[Contraente]],Table1[[Nome/Ragione sociale]:[Checkbox selezionato]],7,FALSE),"-")</f>
        <v>papies@libero.it</v>
      </c>
      <c r="AO284" s="63">
        <f>IFERROR(VLOOKUP(Table2[[#This Row],[Contraente]],Table1[[Nome/Ragione sociale]:[Checkbox selezionato]],8,FALSE),"-")</f>
        <v>0</v>
      </c>
      <c r="AP284" s="63">
        <f>IFERROR(VLOOKUP(Table2[[#This Row],[Contraente]],Table1[[Nome/Ragione sociale]:[Checkbox selezionato]],10,FALSE),"-")</f>
        <v>3490083688</v>
      </c>
      <c r="AQ284" s="63" t="str">
        <f>IFERROR(VLOOKUP(Table2[[#This Row],[Contraente]],Table1[[Nome/Ragione sociale]:[Checkbox selezionato]],11,FALSE),"-")</f>
        <v>SI</v>
      </c>
      <c r="AR284" s="63" t="str">
        <f>IFERROR(VLOOKUP(Table2[[#This Row],[Contraente]],Table1[[Nome/Ragione sociale]:[Checkbox selezionato]],12,FALSE),"-")</f>
        <v>SI</v>
      </c>
    </row>
    <row r="285" spans="1:44" ht="30" hidden="1" customHeight="1" x14ac:dyDescent="0.25">
      <c r="A285" s="60" t="str">
        <f>UPPER(LEFT(Table2[[#This Row],[Contraente]],1))</f>
        <v>C</v>
      </c>
      <c r="B285" s="60" t="s">
        <v>1634</v>
      </c>
      <c r="C285" s="80" t="s">
        <v>1710</v>
      </c>
      <c r="D285" s="81" t="s">
        <v>37</v>
      </c>
      <c r="E285" s="85">
        <v>106922209</v>
      </c>
      <c r="F285" s="64">
        <v>42885</v>
      </c>
      <c r="G285" s="64">
        <f>IFERROR(CALCOLASCADENZA(Table2[[#This Row],[Data attivazione]],Table2[[#This Row],[Rateizzazione]],Table2[[#This Row],[Data ultimo pagamento]],Table2[[#This Row],[Data prossima scadenza manuale]]),"-")</f>
        <v>43251</v>
      </c>
      <c r="H285" s="67" t="s">
        <v>30</v>
      </c>
      <c r="I285" s="67" t="s">
        <v>113</v>
      </c>
      <c r="J285" s="33">
        <f>IFERROR(Table2[[#This Row],[Importo annuale]]/(12/VLOOKUP(Table2[[#This Row],[Rateizzazione]],TIPI_RATEIZZAZIONI,2,FALSE)),"-")</f>
        <v>719</v>
      </c>
      <c r="K285" s="88">
        <v>719</v>
      </c>
      <c r="L285" s="88">
        <v>719</v>
      </c>
      <c r="M285" s="67" t="s">
        <v>44</v>
      </c>
      <c r="N285" s="67" t="s">
        <v>52</v>
      </c>
      <c r="O285" s="27" t="s">
        <v>1631</v>
      </c>
      <c r="P285" s="33" t="s">
        <v>23</v>
      </c>
      <c r="Q285" s="60">
        <f>IFERROR(IF(12 / VLOOKUP(Table2[[#This Row],[Rateizzazione]],TIPI_RATEIZZAZIONI,2,FALSE) &gt;=1,  IF(Table2[[#This Row],[Data attivazione]] = "","-",MONTH(Table2[[#This Row],[Data attivazione]])),"-"),"-")</f>
        <v>5</v>
      </c>
      <c r="R2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5" s="67" t="s">
        <v>2</v>
      </c>
      <c r="V285" s="62"/>
      <c r="W285" s="64">
        <v>42886</v>
      </c>
      <c r="X285" s="29">
        <f>DATE(YEAR(Table2[[#This Row],[Data attivazione]])+VLOOKUP(Table2[[#This Row],[Durata]],VALORE_DURATA,2,FALSE),MONTH(Table2[[#This Row],[Data attivazione]]),DAY(Table2[[#This Row],[Data attivazione]]))</f>
        <v>43251</v>
      </c>
      <c r="Y285" s="65"/>
      <c r="Z285" s="61"/>
      <c r="AA285" s="64" t="s">
        <v>85</v>
      </c>
      <c r="AB285" s="29" t="str">
        <f>IF(Table2[[#This Row],[Data ultimo versamento temp]]=0/1/1900,"-",Table2[[#This Row],[Data ultimo versamento temp]])</f>
        <v>-</v>
      </c>
      <c r="AC285" s="29">
        <f t="array" ref="AC285">MAX(IF(TableVersamenti[Polizza]=Table2[[#This Row],[Polizza]],TableVersamenti[Data prevista versamento],"-"))</f>
        <v>0</v>
      </c>
      <c r="AD285" s="62"/>
      <c r="AE285" s="106">
        <f>DATE(YEAR(Table2[[#This Row],[Data ultimo pagamento]]),MONTH(Table2[[#This Row],[Data ultimo pagamento]]), 1)</f>
        <v>42856</v>
      </c>
      <c r="AF285" s="106">
        <f>DATE(YEAR(Table2[[#This Row],[Data prossima scadenza]]),MONTH(Table2[[#This Row],[Data prossima scadenza]]), 1)</f>
        <v>43221</v>
      </c>
      <c r="AG285" s="33">
        <f>IFERROR(Table2[[#This Row],[Importo annuale]]*VLOOKUP(Table2[[#This Row],[Ramo]],RAMI_POLIZZA,2,FALSE),0)</f>
        <v>82.685000000000002</v>
      </c>
      <c r="AH285" s="65" t="s">
        <v>113</v>
      </c>
      <c r="AI285" s="63" t="str">
        <f>IFERROR(VLOOKUP(Table2[[#This Row],[Contraente]],Table1[[Nome/Ragione sociale]:[Checkbox selezionato]],2,FALSE),"-")</f>
        <v>PAVIA</v>
      </c>
      <c r="AJ285" s="63">
        <f>IFERROR(VLOOKUP(Table2[[#This Row],[Contraente]],Table1[[Nome/Ragione sociale]:[Checkbox selezionato]],3,FALSE),"-")</f>
        <v>0</v>
      </c>
      <c r="AK285" s="63">
        <f>IFERROR(VLOOKUP(Table2[[#This Row],[Contraente]],Table1[[Nome/Ragione sociale]:[Checkbox selezionato]],4,FALSE),"-")</f>
        <v>0</v>
      </c>
      <c r="AL285" s="63" t="str">
        <f>IFERROR(VLOOKUP(Table2[[#This Row],[Contraente]],Table1[[Nome/Ragione sociale]:[Checkbox selezionato]],5,FALSE),"-")</f>
        <v>MONTANINO</v>
      </c>
      <c r="AM285" s="62">
        <f>IFERROR(VLOOKUP(Table2[[#This Row],[Contraente]],Table1[[Nome/Ragione sociale]:[Checkbox selezionato]],6,FALSE),"-")</f>
        <v>0</v>
      </c>
      <c r="AN285" s="63" t="str">
        <f>IFERROR(VLOOKUP(Table2[[#This Row],[Contraente]],Table1[[Nome/Ragione sociale]:[Checkbox selezionato]],7,FALSE),"-")</f>
        <v>papies@libero.it</v>
      </c>
      <c r="AO285" s="63">
        <f>IFERROR(VLOOKUP(Table2[[#This Row],[Contraente]],Table1[[Nome/Ragione sociale]:[Checkbox selezionato]],8,FALSE),"-")</f>
        <v>0</v>
      </c>
      <c r="AP285" s="63">
        <f>IFERROR(VLOOKUP(Table2[[#This Row],[Contraente]],Table1[[Nome/Ragione sociale]:[Checkbox selezionato]],10,FALSE),"-")</f>
        <v>0</v>
      </c>
      <c r="AQ285" s="63" t="str">
        <f>IFERROR(VLOOKUP(Table2[[#This Row],[Contraente]],Table1[[Nome/Ragione sociale]:[Checkbox selezionato]],11,FALSE),"-")</f>
        <v>SI</v>
      </c>
      <c r="AR285" s="63" t="str">
        <f>IFERROR(VLOOKUP(Table2[[#This Row],[Contraente]],Table1[[Nome/Ragione sociale]:[Checkbox selezionato]],12,FALSE),"-")</f>
        <v>SI</v>
      </c>
    </row>
    <row r="286" spans="1:44" ht="30" hidden="1" customHeight="1" x14ac:dyDescent="0.25">
      <c r="A286" s="60" t="str">
        <f>UPPER(LEFT(Table2[[#This Row],[Contraente]],1))</f>
        <v>C</v>
      </c>
      <c r="B286" s="60" t="s">
        <v>1634</v>
      </c>
      <c r="C286" s="80" t="s">
        <v>549</v>
      </c>
      <c r="D286" s="81" t="s">
        <v>37</v>
      </c>
      <c r="E286" s="85">
        <v>105307730</v>
      </c>
      <c r="F286" s="64">
        <v>42787</v>
      </c>
      <c r="G286" s="64">
        <f>IFERROR(CALCOLASCADENZA(Table2[[#This Row],[Data attivazione]],Table2[[#This Row],[Rateizzazione]],Table2[[#This Row],[Data ultimo pagamento]],Table2[[#This Row],[Data prossima scadenza manuale]]),"-")</f>
        <v>42963</v>
      </c>
      <c r="H286" s="67" t="s">
        <v>30</v>
      </c>
      <c r="I286" s="67" t="s">
        <v>113</v>
      </c>
      <c r="J286" s="33">
        <f>IFERROR(Table2[[#This Row],[Importo annuale]]/(12/VLOOKUP(Table2[[#This Row],[Rateizzazione]],TIPI_RATEIZZAZIONI,2,FALSE)),"-")</f>
        <v>300</v>
      </c>
      <c r="K286" s="88">
        <v>300</v>
      </c>
      <c r="L286" s="88">
        <v>600</v>
      </c>
      <c r="M286" s="67" t="s">
        <v>45</v>
      </c>
      <c r="N286" s="67" t="s">
        <v>51</v>
      </c>
      <c r="O286" s="27" t="s">
        <v>1631</v>
      </c>
      <c r="P286" s="33" t="s">
        <v>22</v>
      </c>
      <c r="Q286" s="60">
        <f>IFERROR(IF(12 / VLOOKUP(Table2[[#This Row],[Rateizzazione]],TIPI_RATEIZZAZIONI,2,FALSE) &gt;=1,  IF(Table2[[#This Row],[Data attivazione]] = "","-",MONTH(Table2[[#This Row],[Data attivazione]])),"-"),"-")</f>
        <v>8</v>
      </c>
      <c r="R2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6" s="67" t="s">
        <v>2</v>
      </c>
      <c r="V286" s="62"/>
      <c r="W286" s="64">
        <v>42598</v>
      </c>
      <c r="X286" s="29">
        <f>DATE(YEAR(Table2[[#This Row],[Data attivazione]])+VLOOKUP(Table2[[#This Row],[Durata]],VALORE_DURATA,2,FALSE),MONTH(Table2[[#This Row],[Data attivazione]]),DAY(Table2[[#This Row],[Data attivazione]]))</f>
        <v>42963</v>
      </c>
      <c r="Y286" s="65"/>
      <c r="Z286" s="61"/>
      <c r="AA286" s="64" t="s">
        <v>85</v>
      </c>
      <c r="AB286" s="29" t="str">
        <f>IF(Table2[[#This Row],[Data ultimo versamento temp]]=0/1/1900,"-",Table2[[#This Row],[Data ultimo versamento temp]])</f>
        <v>-</v>
      </c>
      <c r="AC286" s="29">
        <f t="array" ref="AC286">MAX(IF(TableVersamenti[Polizza]=Table2[[#This Row],[Polizza]],TableVersamenti[Data prevista versamento],"-"))</f>
        <v>0</v>
      </c>
      <c r="AD286" s="62"/>
      <c r="AE286" s="106">
        <f>DATE(YEAR(Table2[[#This Row],[Data ultimo pagamento]]),MONTH(Table2[[#This Row],[Data ultimo pagamento]]), 1)</f>
        <v>42767</v>
      </c>
      <c r="AF286" s="106">
        <f>DATE(YEAR(Table2[[#This Row],[Data prossima scadenza]]),MONTH(Table2[[#This Row],[Data prossima scadenza]]), 1)</f>
        <v>42948</v>
      </c>
      <c r="AG286" s="33">
        <f>IFERROR(Table2[[#This Row],[Importo annuale]]*VLOOKUP(Table2[[#This Row],[Ramo]],RAMI_POLIZZA,2,FALSE),0)</f>
        <v>69</v>
      </c>
      <c r="AH286" s="65" t="s">
        <v>113</v>
      </c>
      <c r="AI286" s="63" t="str">
        <f>IFERROR(VLOOKUP(Table2[[#This Row],[Contraente]],Table1[[Nome/Ragione sociale]:[Checkbox selezionato]],2,FALSE),"-")</f>
        <v>VISTARINO</v>
      </c>
      <c r="AJ286" s="63">
        <f>IFERROR(VLOOKUP(Table2[[#This Row],[Contraente]],Table1[[Nome/Ragione sociale]:[Checkbox selezionato]],3,FALSE),"-")</f>
        <v>3486728551</v>
      </c>
      <c r="AK286" s="63">
        <f>IFERROR(VLOOKUP(Table2[[#This Row],[Contraente]],Table1[[Nome/Ragione sociale]:[Checkbox selezionato]],4,FALSE),"-")</f>
        <v>0</v>
      </c>
      <c r="AL286" s="63" t="str">
        <f>IFERROR(VLOOKUP(Table2[[#This Row],[Contraente]],Table1[[Nome/Ragione sociale]:[Checkbox selezionato]],5,FALSE),"-")</f>
        <v>FANELLI</v>
      </c>
      <c r="AM286" s="62" t="str">
        <f>IFERROR(VLOOKUP(Table2[[#This Row],[Contraente]],Table1[[Nome/Ragione sociale]:[Checkbox selezionato]],6,FALSE),"-")</f>
        <v>-</v>
      </c>
      <c r="AN286" s="63" t="str">
        <f>IFERROR(VLOOKUP(Table2[[#This Row],[Contraente]],Table1[[Nome/Ragione sociale]:[Checkbox selezionato]],7,FALSE),"-")</f>
        <v>papies@email.it</v>
      </c>
      <c r="AO286" s="63">
        <f>IFERROR(VLOOKUP(Table2[[#This Row],[Contraente]],Table1[[Nome/Ragione sociale]:[Checkbox selezionato]],8,FALSE),"-")</f>
        <v>0</v>
      </c>
      <c r="AP286" s="63">
        <f>IFERROR(VLOOKUP(Table2[[#This Row],[Contraente]],Table1[[Nome/Ragione sociale]:[Checkbox selezionato]],10,FALSE),"-")</f>
        <v>3486728551</v>
      </c>
      <c r="AQ286" s="63" t="str">
        <f>IFERROR(VLOOKUP(Table2[[#This Row],[Contraente]],Table1[[Nome/Ragione sociale]:[Checkbox selezionato]],11,FALSE),"-")</f>
        <v>SI</v>
      </c>
      <c r="AR286" s="63" t="str">
        <f>IFERROR(VLOOKUP(Table2[[#This Row],[Contraente]],Table1[[Nome/Ragione sociale]:[Checkbox selezionato]],12,FALSE),"-")</f>
        <v>SI</v>
      </c>
    </row>
    <row r="287" spans="1:44" ht="30" hidden="1" customHeight="1" x14ac:dyDescent="0.25">
      <c r="A287" s="60" t="str">
        <f>UPPER(LEFT(Table2[[#This Row],[Contraente]],1))</f>
        <v>C</v>
      </c>
      <c r="B287" s="60" t="s">
        <v>1634</v>
      </c>
      <c r="C287" s="80" t="s">
        <v>540</v>
      </c>
      <c r="D287" s="81" t="s">
        <v>37</v>
      </c>
      <c r="E287" s="85">
        <v>106138428</v>
      </c>
      <c r="F287" s="64">
        <v>42661</v>
      </c>
      <c r="G287" s="64">
        <f>IFERROR(CALCOLASCADENZA(Table2[[#This Row],[Data attivazione]],Table2[[#This Row],[Rateizzazione]],Table2[[#This Row],[Data ultimo pagamento]],Table2[[#This Row],[Data prossima scadenza manuale]]),"-")</f>
        <v>43026</v>
      </c>
      <c r="H287" s="67" t="s">
        <v>30</v>
      </c>
      <c r="I287" s="67" t="s">
        <v>113</v>
      </c>
      <c r="J287" s="33">
        <f>IFERROR(Table2[[#This Row],[Importo annuale]]/(12/VLOOKUP(Table2[[#This Row],[Rateizzazione]],TIPI_RATEIZZAZIONI,2,FALSE)),"-")</f>
        <v>820</v>
      </c>
      <c r="K287" s="88"/>
      <c r="L287" s="88">
        <v>820</v>
      </c>
      <c r="M287" s="67" t="s">
        <v>44</v>
      </c>
      <c r="N287" s="67" t="s">
        <v>52</v>
      </c>
      <c r="O287" s="27" t="s">
        <v>1631</v>
      </c>
      <c r="P287" s="33" t="s">
        <v>23</v>
      </c>
      <c r="Q287" s="60">
        <f>IFERROR(IF(12 / VLOOKUP(Table2[[#This Row],[Rateizzazione]],TIPI_RATEIZZAZIONI,2,FALSE) &gt;=1,  IF(Table2[[#This Row],[Data attivazione]] = "","-",MONTH(Table2[[#This Row],[Data attivazione]])),"-"),"-")</f>
        <v>10</v>
      </c>
      <c r="R2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7" s="67" t="s">
        <v>2</v>
      </c>
      <c r="V287" s="62"/>
      <c r="W287" s="64">
        <v>42661</v>
      </c>
      <c r="X287" s="29">
        <f>DATE(YEAR(Table2[[#This Row],[Data attivazione]])+VLOOKUP(Table2[[#This Row],[Durata]],VALORE_DURATA,2,FALSE),MONTH(Table2[[#This Row],[Data attivazione]]),DAY(Table2[[#This Row],[Data attivazione]]))</f>
        <v>43026</v>
      </c>
      <c r="Y287" s="65"/>
      <c r="Z287" s="61"/>
      <c r="AA287" s="64" t="s">
        <v>85</v>
      </c>
      <c r="AB287" s="29" t="str">
        <f>IF(Table2[[#This Row],[Data ultimo versamento temp]]=0/1/1900,"-",Table2[[#This Row],[Data ultimo versamento temp]])</f>
        <v>-</v>
      </c>
      <c r="AC287" s="29">
        <f t="array" ref="AC287">MAX(IF(TableVersamenti[Polizza]=Table2[[#This Row],[Polizza]],TableVersamenti[Data prevista versamento],"-"))</f>
        <v>0</v>
      </c>
      <c r="AD287" s="62"/>
      <c r="AE287" s="106">
        <f>DATE(YEAR(Table2[[#This Row],[Data ultimo pagamento]]),MONTH(Table2[[#This Row],[Data ultimo pagamento]]), 1)</f>
        <v>42644</v>
      </c>
      <c r="AF287" s="106">
        <f>DATE(YEAR(Table2[[#This Row],[Data prossima scadenza]]),MONTH(Table2[[#This Row],[Data prossima scadenza]]), 1)</f>
        <v>43009</v>
      </c>
      <c r="AG287" s="33">
        <f>IFERROR(Table2[[#This Row],[Importo annuale]]*VLOOKUP(Table2[[#This Row],[Ramo]],RAMI_POLIZZA,2,FALSE),0)</f>
        <v>94.3</v>
      </c>
      <c r="AH287" s="65" t="s">
        <v>113</v>
      </c>
      <c r="AI287" s="63">
        <f>IFERROR(VLOOKUP(Table2[[#This Row],[Contraente]],Table1[[Nome/Ragione sociale]:[Checkbox selezionato]],2,FALSE),"-")</f>
        <v>0</v>
      </c>
      <c r="AJ287" s="63">
        <f>IFERROR(VLOOKUP(Table2[[#This Row],[Contraente]],Table1[[Nome/Ragione sociale]:[Checkbox selezionato]],3,FALSE),"-")</f>
        <v>0</v>
      </c>
      <c r="AK287" s="63">
        <f>IFERROR(VLOOKUP(Table2[[#This Row],[Contraente]],Table1[[Nome/Ragione sociale]:[Checkbox selezionato]],4,FALSE),"-")</f>
        <v>0</v>
      </c>
      <c r="AL287" s="63" t="str">
        <f>IFERROR(VLOOKUP(Table2[[#This Row],[Contraente]],Table1[[Nome/Ragione sociale]:[Checkbox selezionato]],5,FALSE),"-")</f>
        <v>GAVANA</v>
      </c>
      <c r="AM287" s="62" t="str">
        <f>IFERROR(VLOOKUP(Table2[[#This Row],[Contraente]],Table1[[Nome/Ragione sociale]:[Checkbox selezionato]],6,FALSE),"-")</f>
        <v>-</v>
      </c>
      <c r="AN287" s="63" t="str">
        <f>IFERROR(VLOOKUP(Table2[[#This Row],[Contraente]],Table1[[Nome/Ragione sociale]:[Checkbox selezionato]],7,FALSE),"-")</f>
        <v>papies@libero.it</v>
      </c>
      <c r="AO287" s="63">
        <f>IFERROR(VLOOKUP(Table2[[#This Row],[Contraente]],Table1[[Nome/Ragione sociale]:[Checkbox selezionato]],8,FALSE),"-")</f>
        <v>0</v>
      </c>
      <c r="AP287" s="63">
        <f>IFERROR(VLOOKUP(Table2[[#This Row],[Contraente]],Table1[[Nome/Ragione sociale]:[Checkbox selezionato]],10,FALSE),"-")</f>
        <v>0</v>
      </c>
      <c r="AQ287" s="63" t="str">
        <f>IFERROR(VLOOKUP(Table2[[#This Row],[Contraente]],Table1[[Nome/Ragione sociale]:[Checkbox selezionato]],11,FALSE),"-")</f>
        <v>SI</v>
      </c>
      <c r="AR287" s="63" t="str">
        <f>IFERROR(VLOOKUP(Table2[[#This Row],[Contraente]],Table1[[Nome/Ragione sociale]:[Checkbox selezionato]],12,FALSE),"-")</f>
        <v>SI</v>
      </c>
    </row>
    <row r="288" spans="1:44" ht="30" hidden="1" customHeight="1" x14ac:dyDescent="0.25">
      <c r="A288" s="60" t="str">
        <f>UPPER(LEFT(Table2[[#This Row],[Contraente]],1))</f>
        <v>C</v>
      </c>
      <c r="B288" s="60" t="s">
        <v>1634</v>
      </c>
      <c r="C288" s="81" t="s">
        <v>510</v>
      </c>
      <c r="D288" s="81" t="s">
        <v>37</v>
      </c>
      <c r="E288" s="86">
        <v>106049218</v>
      </c>
      <c r="F288" s="64">
        <v>42639</v>
      </c>
      <c r="G288" s="64">
        <f>IFERROR(CALCOLASCADENZA(Table2[[#This Row],[Data attivazione]],Table2[[#This Row],[Rateizzazione]],Table2[[#This Row],[Data ultimo pagamento]],Table2[[#This Row],[Data prossima scadenza manuale]]),"-")</f>
        <v>43001</v>
      </c>
      <c r="H288" s="67" t="s">
        <v>30</v>
      </c>
      <c r="I288" s="67" t="s">
        <v>113</v>
      </c>
      <c r="J288" s="33">
        <f>IFERROR(Table2[[#This Row],[Importo annuale]]/(12/VLOOKUP(Table2[[#This Row],[Rateizzazione]],TIPI_RATEIZZAZIONI,2,FALSE)),"-")</f>
        <v>1500</v>
      </c>
      <c r="K288" s="88"/>
      <c r="L288" s="88">
        <v>1500</v>
      </c>
      <c r="M288" s="67" t="s">
        <v>44</v>
      </c>
      <c r="N288" s="67" t="s">
        <v>52</v>
      </c>
      <c r="O288" s="27" t="s">
        <v>1631</v>
      </c>
      <c r="P288" s="33" t="s">
        <v>23</v>
      </c>
      <c r="Q288" s="60">
        <f>IFERROR(IF(12 / VLOOKUP(Table2[[#This Row],[Rateizzazione]],TIPI_RATEIZZAZIONI,2,FALSE) &gt;=1,  IF(Table2[[#This Row],[Data attivazione]] = "","-",MONTH(Table2[[#This Row],[Data attivazione]])),"-"),"-")</f>
        <v>9</v>
      </c>
      <c r="R2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8" s="67" t="s">
        <v>2</v>
      </c>
      <c r="V288" s="62"/>
      <c r="W288" s="64">
        <v>42636</v>
      </c>
      <c r="X288" s="29">
        <f>DATE(YEAR(Table2[[#This Row],[Data attivazione]])+VLOOKUP(Table2[[#This Row],[Durata]],VALORE_DURATA,2,FALSE),MONTH(Table2[[#This Row],[Data attivazione]]),DAY(Table2[[#This Row],[Data attivazione]]))</f>
        <v>43001</v>
      </c>
      <c r="Y288" s="65"/>
      <c r="Z288" s="61"/>
      <c r="AA288" s="64" t="s">
        <v>85</v>
      </c>
      <c r="AB288" s="29" t="str">
        <f>IF(Table2[[#This Row],[Data ultimo versamento temp]]=0/1/1900,"-",Table2[[#This Row],[Data ultimo versamento temp]])</f>
        <v>-</v>
      </c>
      <c r="AC288" s="29">
        <f t="array" ref="AC288">MAX(IF(TableVersamenti[Polizza]=Table2[[#This Row],[Polizza]],TableVersamenti[Data prevista versamento],"-"))</f>
        <v>0</v>
      </c>
      <c r="AD288" s="62"/>
      <c r="AE288" s="106">
        <f>DATE(YEAR(Table2[[#This Row],[Data ultimo pagamento]]),MONTH(Table2[[#This Row],[Data ultimo pagamento]]), 1)</f>
        <v>42614</v>
      </c>
      <c r="AF288" s="106">
        <f>DATE(YEAR(Table2[[#This Row],[Data prossima scadenza]]),MONTH(Table2[[#This Row],[Data prossima scadenza]]), 1)</f>
        <v>42979</v>
      </c>
      <c r="AG288" s="33">
        <f>IFERROR(Table2[[#This Row],[Importo annuale]]*VLOOKUP(Table2[[#This Row],[Ramo]],RAMI_POLIZZA,2,FALSE),0)</f>
        <v>172.5</v>
      </c>
      <c r="AH288" s="65" t="s">
        <v>113</v>
      </c>
      <c r="AI288" s="63" t="str">
        <f>IFERROR(VLOOKUP(Table2[[#This Row],[Contraente]],Table1[[Nome/Ragione sociale]:[Checkbox selezionato]],2,FALSE),"-")</f>
        <v>PAVIA</v>
      </c>
      <c r="AJ288" s="63">
        <f>IFERROR(VLOOKUP(Table2[[#This Row],[Contraente]],Table1[[Nome/Ragione sociale]:[Checkbox selezionato]],3,FALSE),"-")</f>
        <v>0</v>
      </c>
      <c r="AK288" s="63">
        <f>IFERROR(VLOOKUP(Table2[[#This Row],[Contraente]],Table1[[Nome/Ragione sociale]:[Checkbox selezionato]],4,FALSE),"-")</f>
        <v>0</v>
      </c>
      <c r="AL288" s="63" t="str">
        <f>IFERROR(VLOOKUP(Table2[[#This Row],[Contraente]],Table1[[Nome/Ragione sociale]:[Checkbox selezionato]],5,FALSE),"-")</f>
        <v>GAVANA</v>
      </c>
      <c r="AM288" s="62" t="str">
        <f>IFERROR(VLOOKUP(Table2[[#This Row],[Contraente]],Table1[[Nome/Ragione sociale]:[Checkbox selezionato]],6,FALSE),"-")</f>
        <v>-</v>
      </c>
      <c r="AN288" s="63" t="str">
        <f>IFERROR(VLOOKUP(Table2[[#This Row],[Contraente]],Table1[[Nome/Ragione sociale]:[Checkbox selezionato]],7,FALSE),"-")</f>
        <v>papies@libero.it</v>
      </c>
      <c r="AO288" s="63">
        <f>IFERROR(VLOOKUP(Table2[[#This Row],[Contraente]],Table1[[Nome/Ragione sociale]:[Checkbox selezionato]],8,FALSE),"-")</f>
        <v>0</v>
      </c>
      <c r="AP288" s="63">
        <f>IFERROR(VLOOKUP(Table2[[#This Row],[Contraente]],Table1[[Nome/Ragione sociale]:[Checkbox selezionato]],10,FALSE),"-")</f>
        <v>0</v>
      </c>
      <c r="AQ288" s="63" t="str">
        <f>IFERROR(VLOOKUP(Table2[[#This Row],[Contraente]],Table1[[Nome/Ragione sociale]:[Checkbox selezionato]],11,FALSE),"-")</f>
        <v>SI</v>
      </c>
      <c r="AR288" s="63" t="str">
        <f>IFERROR(VLOOKUP(Table2[[#This Row],[Contraente]],Table1[[Nome/Ragione sociale]:[Checkbox selezionato]],12,FALSE),"-")</f>
        <v>SI</v>
      </c>
    </row>
    <row r="289" spans="1:44" ht="30" hidden="1" customHeight="1" x14ac:dyDescent="0.25">
      <c r="A289" s="60" t="str">
        <f>UPPER(LEFT(Table2[[#This Row],[Contraente]],1))</f>
        <v>C</v>
      </c>
      <c r="B289" s="60" t="s">
        <v>1634</v>
      </c>
      <c r="C289" s="81" t="s">
        <v>507</v>
      </c>
      <c r="D289" s="81" t="s">
        <v>37</v>
      </c>
      <c r="E289" s="86">
        <v>106362163</v>
      </c>
      <c r="F289" s="64">
        <v>42726</v>
      </c>
      <c r="G289" s="64">
        <f>IFERROR(CALCOLASCADENZA(Table2[[#This Row],[Data attivazione]],Table2[[#This Row],[Rateizzazione]],Table2[[#This Row],[Data ultimo pagamento]],Table2[[#This Row],[Data prossima scadenza manuale]]),"-")</f>
        <v>43091</v>
      </c>
      <c r="H289" s="67" t="s">
        <v>30</v>
      </c>
      <c r="I289" s="67" t="s">
        <v>113</v>
      </c>
      <c r="J289" s="33">
        <f>IFERROR(Table2[[#This Row],[Importo annuale]]/(12/VLOOKUP(Table2[[#This Row],[Rateizzazione]],TIPI_RATEIZZAZIONI,2,FALSE)),"-")</f>
        <v>736</v>
      </c>
      <c r="K289" s="88"/>
      <c r="L289" s="88">
        <v>736</v>
      </c>
      <c r="M289" s="67" t="s">
        <v>44</v>
      </c>
      <c r="N289" s="67" t="s">
        <v>52</v>
      </c>
      <c r="O289" s="27" t="s">
        <v>1631</v>
      </c>
      <c r="P289" s="33" t="s">
        <v>23</v>
      </c>
      <c r="Q289" s="60">
        <f>IFERROR(IF(12 / VLOOKUP(Table2[[#This Row],[Rateizzazione]],TIPI_RATEIZZAZIONI,2,FALSE) &gt;=1,  IF(Table2[[#This Row],[Data attivazione]] = "","-",MONTH(Table2[[#This Row],[Data attivazione]])),"-"),"-")</f>
        <v>12</v>
      </c>
      <c r="R2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9" s="67" t="s">
        <v>2</v>
      </c>
      <c r="V289" s="62"/>
      <c r="W289" s="64">
        <v>42726</v>
      </c>
      <c r="X289" s="29">
        <f>DATE(YEAR(Table2[[#This Row],[Data attivazione]])+VLOOKUP(Table2[[#This Row],[Durata]],VALORE_DURATA,2,FALSE),MONTH(Table2[[#This Row],[Data attivazione]]),DAY(Table2[[#This Row],[Data attivazione]]))</f>
        <v>43091</v>
      </c>
      <c r="Y289" s="65"/>
      <c r="Z289" s="61"/>
      <c r="AA289" s="64" t="s">
        <v>85</v>
      </c>
      <c r="AB289" s="29" t="str">
        <f>IF(Table2[[#This Row],[Data ultimo versamento temp]]=0/1/1900,"-",Table2[[#This Row],[Data ultimo versamento temp]])</f>
        <v>-</v>
      </c>
      <c r="AC289" s="29">
        <f t="array" ref="AC289">MAX(IF(TableVersamenti[Polizza]=Table2[[#This Row],[Polizza]],TableVersamenti[Data prevista versamento],"-"))</f>
        <v>0</v>
      </c>
      <c r="AD289" s="62"/>
      <c r="AE289" s="106">
        <f>DATE(YEAR(Table2[[#This Row],[Data ultimo pagamento]]),MONTH(Table2[[#This Row],[Data ultimo pagamento]]), 1)</f>
        <v>42705</v>
      </c>
      <c r="AF289" s="106">
        <f>DATE(YEAR(Table2[[#This Row],[Data prossima scadenza]]),MONTH(Table2[[#This Row],[Data prossima scadenza]]), 1)</f>
        <v>43070</v>
      </c>
      <c r="AG289" s="33">
        <f>IFERROR(Table2[[#This Row],[Importo annuale]]*VLOOKUP(Table2[[#This Row],[Ramo]],RAMI_POLIZZA,2,FALSE),0)</f>
        <v>84.64</v>
      </c>
      <c r="AH289" s="65" t="s">
        <v>113</v>
      </c>
      <c r="AI289" s="63" t="str">
        <f>IFERROR(VLOOKUP(Table2[[#This Row],[Contraente]],Table1[[Nome/Ragione sociale]:[Checkbox selezionato]],2,FALSE),"-")</f>
        <v>PAVIA</v>
      </c>
      <c r="AJ289" s="63">
        <f>IFERROR(VLOOKUP(Table2[[#This Row],[Contraente]],Table1[[Nome/Ragione sociale]:[Checkbox selezionato]],3,FALSE),"-")</f>
        <v>0</v>
      </c>
      <c r="AK289" s="63">
        <f>IFERROR(VLOOKUP(Table2[[#This Row],[Contraente]],Table1[[Nome/Ragione sociale]:[Checkbox selezionato]],4,FALSE),"-")</f>
        <v>0</v>
      </c>
      <c r="AL289" s="63" t="str">
        <f>IFERROR(VLOOKUP(Table2[[#This Row],[Contraente]],Table1[[Nome/Ragione sociale]:[Checkbox selezionato]],5,FALSE),"-")</f>
        <v>GAVANA</v>
      </c>
      <c r="AM289" s="62" t="str">
        <f>IFERROR(VLOOKUP(Table2[[#This Row],[Contraente]],Table1[[Nome/Ragione sociale]:[Checkbox selezionato]],6,FALSE),"-")</f>
        <v>-</v>
      </c>
      <c r="AN289" s="63" t="str">
        <f>IFERROR(VLOOKUP(Table2[[#This Row],[Contraente]],Table1[[Nome/Ragione sociale]:[Checkbox selezionato]],7,FALSE),"-")</f>
        <v>papies@email.it</v>
      </c>
      <c r="AO289" s="63">
        <f>IFERROR(VLOOKUP(Table2[[#This Row],[Contraente]],Table1[[Nome/Ragione sociale]:[Checkbox selezionato]],8,FALSE),"-")</f>
        <v>0</v>
      </c>
      <c r="AP289" s="63">
        <f>IFERROR(VLOOKUP(Table2[[#This Row],[Contraente]],Table1[[Nome/Ragione sociale]:[Checkbox selezionato]],10,FALSE),"-")</f>
        <v>0</v>
      </c>
      <c r="AQ289" s="63" t="str">
        <f>IFERROR(VLOOKUP(Table2[[#This Row],[Contraente]],Table1[[Nome/Ragione sociale]:[Checkbox selezionato]],11,FALSE),"-")</f>
        <v>SI</v>
      </c>
      <c r="AR289" s="63" t="str">
        <f>IFERROR(VLOOKUP(Table2[[#This Row],[Contraente]],Table1[[Nome/Ragione sociale]:[Checkbox selezionato]],12,FALSE),"-")</f>
        <v>SI</v>
      </c>
    </row>
    <row r="290" spans="1:44" ht="30" hidden="1" customHeight="1" x14ac:dyDescent="0.25">
      <c r="A290" s="60" t="str">
        <f>UPPER(LEFT(Table2[[#This Row],[Contraente]],1))</f>
        <v>C</v>
      </c>
      <c r="B290" s="60" t="s">
        <v>1634</v>
      </c>
      <c r="C290" s="81" t="s">
        <v>536</v>
      </c>
      <c r="D290" s="81" t="s">
        <v>37</v>
      </c>
      <c r="E290" s="86">
        <v>106202231</v>
      </c>
      <c r="F290" s="64">
        <v>42916</v>
      </c>
      <c r="G290" s="64">
        <f>IFERROR(CALCOLASCADENZA(Table2[[#This Row],[Data attivazione]],Table2[[#This Row],[Rateizzazione]],Table2[[#This Row],[Data ultimo pagamento]],Table2[[#This Row],[Data prossima scadenza manuale]]),"-")</f>
        <v>43046</v>
      </c>
      <c r="H290" s="67" t="s">
        <v>30</v>
      </c>
      <c r="I290" s="67" t="s">
        <v>113</v>
      </c>
      <c r="J290" s="33">
        <f>IFERROR(Table2[[#This Row],[Importo annuale]]/(12/VLOOKUP(Table2[[#This Row],[Rateizzazione]],TIPI_RATEIZZAZIONI,2,FALSE)),"-")</f>
        <v>1150</v>
      </c>
      <c r="K290" s="88">
        <v>1150</v>
      </c>
      <c r="L290" s="88">
        <v>1150</v>
      </c>
      <c r="M290" s="67" t="s">
        <v>44</v>
      </c>
      <c r="N290" s="67" t="s">
        <v>52</v>
      </c>
      <c r="O290" s="27" t="s">
        <v>1631</v>
      </c>
      <c r="P290" s="33" t="s">
        <v>23</v>
      </c>
      <c r="Q290" s="60">
        <f>IFERROR(IF(12 / VLOOKUP(Table2[[#This Row],[Rateizzazione]],TIPI_RATEIZZAZIONI,2,FALSE) &gt;=1,  IF(Table2[[#This Row],[Data attivazione]] = "","-",MONTH(Table2[[#This Row],[Data attivazione]])),"-"),"-")</f>
        <v>11</v>
      </c>
      <c r="R2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0" s="67" t="s">
        <v>2</v>
      </c>
      <c r="V290" s="62"/>
      <c r="W290" s="64">
        <v>42681</v>
      </c>
      <c r="X290" s="29">
        <f>DATE(YEAR(Table2[[#This Row],[Data attivazione]])+VLOOKUP(Table2[[#This Row],[Durata]],VALORE_DURATA,2,FALSE),MONTH(Table2[[#This Row],[Data attivazione]]),DAY(Table2[[#This Row],[Data attivazione]]))</f>
        <v>43046</v>
      </c>
      <c r="Y290" s="65"/>
      <c r="Z290" s="61"/>
      <c r="AA290" s="64" t="s">
        <v>85</v>
      </c>
      <c r="AB290" s="29" t="str">
        <f>IF(Table2[[#This Row],[Data ultimo versamento temp]]=0/1/1900,"-",Table2[[#This Row],[Data ultimo versamento temp]])</f>
        <v>-</v>
      </c>
      <c r="AC290" s="29">
        <f t="array" ref="AC290">MAX(IF(TableVersamenti[Polizza]=Table2[[#This Row],[Polizza]],TableVersamenti[Data prevista versamento],"-"))</f>
        <v>0</v>
      </c>
      <c r="AD290" s="62"/>
      <c r="AE290" s="106">
        <f>DATE(YEAR(Table2[[#This Row],[Data ultimo pagamento]]),MONTH(Table2[[#This Row],[Data ultimo pagamento]]), 1)</f>
        <v>42887</v>
      </c>
      <c r="AF290" s="106">
        <f>DATE(YEAR(Table2[[#This Row],[Data prossima scadenza]]),MONTH(Table2[[#This Row],[Data prossima scadenza]]), 1)</f>
        <v>43040</v>
      </c>
      <c r="AG290" s="33">
        <f>IFERROR(Table2[[#This Row],[Importo annuale]]*VLOOKUP(Table2[[#This Row],[Ramo]],RAMI_POLIZZA,2,FALSE),0)</f>
        <v>132.25</v>
      </c>
      <c r="AH290" s="65" t="s">
        <v>113</v>
      </c>
      <c r="AI290" s="63">
        <f>IFERROR(VLOOKUP(Table2[[#This Row],[Contraente]],Table1[[Nome/Ragione sociale]:[Checkbox selezionato]],2,FALSE),"-")</f>
        <v>0</v>
      </c>
      <c r="AJ290" s="63">
        <f>IFERROR(VLOOKUP(Table2[[#This Row],[Contraente]],Table1[[Nome/Ragione sociale]:[Checkbox selezionato]],3,FALSE),"-")</f>
        <v>0</v>
      </c>
      <c r="AK290" s="63">
        <f>IFERROR(VLOOKUP(Table2[[#This Row],[Contraente]],Table1[[Nome/Ragione sociale]:[Checkbox selezionato]],4,FALSE),"-")</f>
        <v>0</v>
      </c>
      <c r="AL290" s="63" t="str">
        <f>IFERROR(VLOOKUP(Table2[[#This Row],[Contraente]],Table1[[Nome/Ragione sociale]:[Checkbox selezionato]],5,FALSE),"-")</f>
        <v>PENNETTA</v>
      </c>
      <c r="AM290" s="62" t="str">
        <f>IFERROR(VLOOKUP(Table2[[#This Row],[Contraente]],Table1[[Nome/Ragione sociale]:[Checkbox selezionato]],6,FALSE),"-")</f>
        <v>-</v>
      </c>
      <c r="AN290" s="63" t="str">
        <f>IFERROR(VLOOKUP(Table2[[#This Row],[Contraente]],Table1[[Nome/Ragione sociale]:[Checkbox selezionato]],7,FALSE),"-")</f>
        <v>papies@libero.it</v>
      </c>
      <c r="AO290" s="63">
        <f>IFERROR(VLOOKUP(Table2[[#This Row],[Contraente]],Table1[[Nome/Ragione sociale]:[Checkbox selezionato]],8,FALSE),"-")</f>
        <v>0</v>
      </c>
      <c r="AP290" s="63">
        <f>IFERROR(VLOOKUP(Table2[[#This Row],[Contraente]],Table1[[Nome/Ragione sociale]:[Checkbox selezionato]],10,FALSE),"-")</f>
        <v>0</v>
      </c>
      <c r="AQ290" s="63" t="str">
        <f>IFERROR(VLOOKUP(Table2[[#This Row],[Contraente]],Table1[[Nome/Ragione sociale]:[Checkbox selezionato]],11,FALSE),"-")</f>
        <v>SI</v>
      </c>
      <c r="AR290" s="63" t="str">
        <f>IFERROR(VLOOKUP(Table2[[#This Row],[Contraente]],Table1[[Nome/Ragione sociale]:[Checkbox selezionato]],12,FALSE),"-")</f>
        <v>SI</v>
      </c>
    </row>
    <row r="291" spans="1:44" ht="30" hidden="1" customHeight="1" x14ac:dyDescent="0.25">
      <c r="A291" s="60" t="str">
        <f>UPPER(LEFT(Table2[[#This Row],[Contraente]],1))</f>
        <v>C</v>
      </c>
      <c r="B291" s="60" t="s">
        <v>1634</v>
      </c>
      <c r="C291" s="81" t="s">
        <v>518</v>
      </c>
      <c r="D291" s="81" t="s">
        <v>37</v>
      </c>
      <c r="E291" s="86">
        <v>105332860</v>
      </c>
      <c r="F291" s="64">
        <v>42787</v>
      </c>
      <c r="G291" s="64">
        <f>IFERROR(CALCOLASCADENZA(Table2[[#This Row],[Data attivazione]],Table2[[#This Row],[Rateizzazione]],Table2[[#This Row],[Data ultimo pagamento]],Table2[[#This Row],[Data prossima scadenza manuale]]),"-")</f>
        <v>42966</v>
      </c>
      <c r="H291" s="67" t="s">
        <v>30</v>
      </c>
      <c r="I291" s="67" t="s">
        <v>113</v>
      </c>
      <c r="J291" s="33">
        <f>IFERROR(Table2[[#This Row],[Importo annuale]]/(12/VLOOKUP(Table2[[#This Row],[Rateizzazione]],TIPI_RATEIZZAZIONI,2,FALSE)),"-")</f>
        <v>385</v>
      </c>
      <c r="K291" s="88">
        <v>385</v>
      </c>
      <c r="L291" s="88">
        <v>770</v>
      </c>
      <c r="M291" s="67" t="s">
        <v>45</v>
      </c>
      <c r="N291" s="67" t="s">
        <v>51</v>
      </c>
      <c r="O291" s="27" t="s">
        <v>1631</v>
      </c>
      <c r="P291" s="33" t="s">
        <v>22</v>
      </c>
      <c r="Q291" s="60">
        <f>IFERROR(IF(12 / VLOOKUP(Table2[[#This Row],[Rateizzazione]],TIPI_RATEIZZAZIONI,2,FALSE) &gt;=1,  IF(Table2[[#This Row],[Data attivazione]] = "","-",MONTH(Table2[[#This Row],[Data attivazione]])),"-"),"-")</f>
        <v>8</v>
      </c>
      <c r="R2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1" s="67" t="s">
        <v>2</v>
      </c>
      <c r="V291" s="62"/>
      <c r="W291" s="64">
        <v>42601</v>
      </c>
      <c r="X291" s="29">
        <f>DATE(YEAR(Table2[[#This Row],[Data attivazione]])+VLOOKUP(Table2[[#This Row],[Durata]],VALORE_DURATA,2,FALSE),MONTH(Table2[[#This Row],[Data attivazione]]),DAY(Table2[[#This Row],[Data attivazione]]))</f>
        <v>42966</v>
      </c>
      <c r="Y291" s="65"/>
      <c r="Z291" s="61"/>
      <c r="AA291" s="64" t="s">
        <v>85</v>
      </c>
      <c r="AB291" s="29" t="str">
        <f>IF(Table2[[#This Row],[Data ultimo versamento temp]]=0/1/1900,"-",Table2[[#This Row],[Data ultimo versamento temp]])</f>
        <v>-</v>
      </c>
      <c r="AC291" s="29">
        <f t="array" ref="AC291">MAX(IF(TableVersamenti[Polizza]=Table2[[#This Row],[Polizza]],TableVersamenti[Data prevista versamento],"-"))</f>
        <v>0</v>
      </c>
      <c r="AD291" s="62"/>
      <c r="AE291" s="106">
        <f>DATE(YEAR(Table2[[#This Row],[Data ultimo pagamento]]),MONTH(Table2[[#This Row],[Data ultimo pagamento]]), 1)</f>
        <v>42767</v>
      </c>
      <c r="AF291" s="106">
        <f>DATE(YEAR(Table2[[#This Row],[Data prossima scadenza]]),MONTH(Table2[[#This Row],[Data prossima scadenza]]), 1)</f>
        <v>42948</v>
      </c>
      <c r="AG291" s="33">
        <f>IFERROR(Table2[[#This Row],[Importo annuale]]*VLOOKUP(Table2[[#This Row],[Ramo]],RAMI_POLIZZA,2,FALSE),0)</f>
        <v>88.55</v>
      </c>
      <c r="AH291" s="65" t="s">
        <v>113</v>
      </c>
      <c r="AI291" s="63" t="str">
        <f>IFERROR(VLOOKUP(Table2[[#This Row],[Contraente]],Table1[[Nome/Ragione sociale]:[Checkbox selezionato]],2,FALSE),"-")</f>
        <v>VISTARINO</v>
      </c>
      <c r="AJ291" s="63">
        <f>IFERROR(VLOOKUP(Table2[[#This Row],[Contraente]],Table1[[Nome/Ragione sociale]:[Checkbox selezionato]],3,FALSE),"-")</f>
        <v>3486728551</v>
      </c>
      <c r="AK291" s="63">
        <f>IFERROR(VLOOKUP(Table2[[#This Row],[Contraente]],Table1[[Nome/Ragione sociale]:[Checkbox selezionato]],4,FALSE),"-")</f>
        <v>0</v>
      </c>
      <c r="AL291" s="63" t="str">
        <f>IFERROR(VLOOKUP(Table2[[#This Row],[Contraente]],Table1[[Nome/Ragione sociale]:[Checkbox selezionato]],5,FALSE),"-")</f>
        <v>FANELLI</v>
      </c>
      <c r="AM291" s="62" t="str">
        <f>IFERROR(VLOOKUP(Table2[[#This Row],[Contraente]],Table1[[Nome/Ragione sociale]:[Checkbox selezionato]],6,FALSE),"-")</f>
        <v>-</v>
      </c>
      <c r="AN291" s="63" t="str">
        <f>IFERROR(VLOOKUP(Table2[[#This Row],[Contraente]],Table1[[Nome/Ragione sociale]:[Checkbox selezionato]],7,FALSE),"-")</f>
        <v>papies@libero.it</v>
      </c>
      <c r="AO291" s="63">
        <f>IFERROR(VLOOKUP(Table2[[#This Row],[Contraente]],Table1[[Nome/Ragione sociale]:[Checkbox selezionato]],8,FALSE),"-")</f>
        <v>0</v>
      </c>
      <c r="AP291" s="63">
        <f>IFERROR(VLOOKUP(Table2[[#This Row],[Contraente]],Table1[[Nome/Ragione sociale]:[Checkbox selezionato]],10,FALSE),"-")</f>
        <v>3486728551</v>
      </c>
      <c r="AQ291" s="63" t="str">
        <f>IFERROR(VLOOKUP(Table2[[#This Row],[Contraente]],Table1[[Nome/Ragione sociale]:[Checkbox selezionato]],11,FALSE),"-")</f>
        <v>SI</v>
      </c>
      <c r="AR291" s="63" t="str">
        <f>IFERROR(VLOOKUP(Table2[[#This Row],[Contraente]],Table1[[Nome/Ragione sociale]:[Checkbox selezionato]],12,FALSE),"-")</f>
        <v>SI</v>
      </c>
    </row>
    <row r="292" spans="1:44" ht="30" hidden="1" customHeight="1" x14ac:dyDescent="0.25">
      <c r="A292" s="60" t="str">
        <f>UPPER(LEFT(Table2[[#This Row],[Contraente]],1))</f>
        <v>C</v>
      </c>
      <c r="B292" s="60" t="s">
        <v>1634</v>
      </c>
      <c r="C292" s="81" t="s">
        <v>519</v>
      </c>
      <c r="D292" s="81" t="s">
        <v>37</v>
      </c>
      <c r="E292" s="86">
        <v>105438139</v>
      </c>
      <c r="F292" s="64">
        <v>42821</v>
      </c>
      <c r="G292" s="64">
        <f>IFERROR(CALCOLASCADENZA(Table2[[#This Row],[Data attivazione]],Table2[[#This Row],[Rateizzazione]],Table2[[#This Row],[Data ultimo pagamento]],Table2[[#This Row],[Data prossima scadenza manuale]]),"-")</f>
        <v>42999</v>
      </c>
      <c r="H292" s="67" t="s">
        <v>1628</v>
      </c>
      <c r="I292" s="67" t="s">
        <v>113</v>
      </c>
      <c r="J292" s="33">
        <f>IFERROR(Table2[[#This Row],[Importo annuale]]/(12/VLOOKUP(Table2[[#This Row],[Rateizzazione]],TIPI_RATEIZZAZIONI,2,FALSE)),"-")</f>
        <v>307</v>
      </c>
      <c r="K292" s="88">
        <v>307</v>
      </c>
      <c r="L292" s="88">
        <v>614</v>
      </c>
      <c r="M292" s="67" t="s">
        <v>45</v>
      </c>
      <c r="N292" s="67" t="s">
        <v>51</v>
      </c>
      <c r="O292" s="27" t="s">
        <v>1631</v>
      </c>
      <c r="P292" s="33" t="s">
        <v>22</v>
      </c>
      <c r="Q292" s="60">
        <f>IFERROR(IF(12 / VLOOKUP(Table2[[#This Row],[Rateizzazione]],TIPI_RATEIZZAZIONI,2,FALSE) &gt;=1,  IF(Table2[[#This Row],[Data attivazione]] = "","-",MONTH(Table2[[#This Row],[Data attivazione]])),"-"),"-")</f>
        <v>9</v>
      </c>
      <c r="R2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2" s="67" t="s">
        <v>2</v>
      </c>
      <c r="V292" s="62"/>
      <c r="W292" s="64">
        <v>42634</v>
      </c>
      <c r="X292" s="29">
        <f>DATE(YEAR(Table2[[#This Row],[Data attivazione]])+VLOOKUP(Table2[[#This Row],[Durata]],VALORE_DURATA,2,FALSE),MONTH(Table2[[#This Row],[Data attivazione]]),DAY(Table2[[#This Row],[Data attivazione]]))</f>
        <v>42999</v>
      </c>
      <c r="Y292" s="65"/>
      <c r="Z292" s="61"/>
      <c r="AA292" s="64" t="s">
        <v>85</v>
      </c>
      <c r="AB292" s="29" t="str">
        <f>IF(Table2[[#This Row],[Data ultimo versamento temp]]=0/1/1900,"-",Table2[[#This Row],[Data ultimo versamento temp]])</f>
        <v>-</v>
      </c>
      <c r="AC292" s="29">
        <f t="array" ref="AC292">MAX(IF(TableVersamenti[Polizza]=Table2[[#This Row],[Polizza]],TableVersamenti[Data prevista versamento],"-"))</f>
        <v>0</v>
      </c>
      <c r="AD292" s="62"/>
      <c r="AE292" s="106">
        <f>DATE(YEAR(Table2[[#This Row],[Data ultimo pagamento]]),MONTH(Table2[[#This Row],[Data ultimo pagamento]]), 1)</f>
        <v>42795</v>
      </c>
      <c r="AF292" s="106">
        <f>DATE(YEAR(Table2[[#This Row],[Data prossima scadenza]]),MONTH(Table2[[#This Row],[Data prossima scadenza]]), 1)</f>
        <v>42979</v>
      </c>
      <c r="AG292" s="33">
        <f>IFERROR(Table2[[#This Row],[Importo annuale]]*VLOOKUP(Table2[[#This Row],[Ramo]],RAMI_POLIZZA,2,FALSE),0)</f>
        <v>0</v>
      </c>
      <c r="AH292" s="65" t="s">
        <v>113</v>
      </c>
      <c r="AI292" s="63">
        <f>IFERROR(VLOOKUP(Table2[[#This Row],[Contraente]],Table1[[Nome/Ragione sociale]:[Checkbox selezionato]],2,FALSE),"-")</f>
        <v>0</v>
      </c>
      <c r="AJ292" s="63">
        <f>IFERROR(VLOOKUP(Table2[[#This Row],[Contraente]],Table1[[Nome/Ragione sociale]:[Checkbox selezionato]],3,FALSE),"-")</f>
        <v>0</v>
      </c>
      <c r="AK292" s="63">
        <f>IFERROR(VLOOKUP(Table2[[#This Row],[Contraente]],Table1[[Nome/Ragione sociale]:[Checkbox selezionato]],4,FALSE),"-")</f>
        <v>0</v>
      </c>
      <c r="AL292" s="63" t="str">
        <f>IFERROR(VLOOKUP(Table2[[#This Row],[Contraente]],Table1[[Nome/Ragione sociale]:[Checkbox selezionato]],5,FALSE),"-")</f>
        <v>FANELLI</v>
      </c>
      <c r="AM292" s="62" t="str">
        <f>IFERROR(VLOOKUP(Table2[[#This Row],[Contraente]],Table1[[Nome/Ragione sociale]:[Checkbox selezionato]],6,FALSE),"-")</f>
        <v>-</v>
      </c>
      <c r="AN292" s="63" t="str">
        <f>IFERROR(VLOOKUP(Table2[[#This Row],[Contraente]],Table1[[Nome/Ragione sociale]:[Checkbox selezionato]],7,FALSE),"-")</f>
        <v>papies@email.it</v>
      </c>
      <c r="AO292" s="63">
        <f>IFERROR(VLOOKUP(Table2[[#This Row],[Contraente]],Table1[[Nome/Ragione sociale]:[Checkbox selezionato]],8,FALSE),"-")</f>
        <v>0</v>
      </c>
      <c r="AP292" s="63">
        <f>IFERROR(VLOOKUP(Table2[[#This Row],[Contraente]],Table1[[Nome/Ragione sociale]:[Checkbox selezionato]],10,FALSE),"-")</f>
        <v>0</v>
      </c>
      <c r="AQ292" s="63" t="str">
        <f>IFERROR(VLOOKUP(Table2[[#This Row],[Contraente]],Table1[[Nome/Ragione sociale]:[Checkbox selezionato]],11,FALSE),"-")</f>
        <v>SI</v>
      </c>
      <c r="AR292" s="63" t="str">
        <f>IFERROR(VLOOKUP(Table2[[#This Row],[Contraente]],Table1[[Nome/Ragione sociale]:[Checkbox selezionato]],12,FALSE),"-")</f>
        <v>SI</v>
      </c>
    </row>
    <row r="293" spans="1:44" ht="30" hidden="1" customHeight="1" x14ac:dyDescent="0.25">
      <c r="A293" s="60" t="str">
        <f>UPPER(LEFT(Table2[[#This Row],[Contraente]],1))</f>
        <v>C</v>
      </c>
      <c r="B293" s="60" t="s">
        <v>1634</v>
      </c>
      <c r="C293" s="81" t="s">
        <v>527</v>
      </c>
      <c r="D293" s="81" t="s">
        <v>37</v>
      </c>
      <c r="E293" s="86">
        <v>103514457</v>
      </c>
      <c r="F293" s="64">
        <v>42622</v>
      </c>
      <c r="G293" s="64">
        <f>IFERROR(CALCOLASCADENZA(Table2[[#This Row],[Data attivazione]],Table2[[#This Row],[Rateizzazione]],Table2[[#This Row],[Data ultimo pagamento]],Table2[[#This Row],[Data prossima scadenza manuale]]),"-")</f>
        <v>42987</v>
      </c>
      <c r="H293" s="67" t="s">
        <v>30</v>
      </c>
      <c r="I293" s="67" t="s">
        <v>113</v>
      </c>
      <c r="J293" s="33">
        <f>IFERROR(Table2[[#This Row],[Importo annuale]]/(12/VLOOKUP(Table2[[#This Row],[Rateizzazione]],TIPI_RATEIZZAZIONI,2,FALSE)),"-")</f>
        <v>1850</v>
      </c>
      <c r="K293" s="88"/>
      <c r="L293" s="88">
        <v>1850</v>
      </c>
      <c r="M293" s="67" t="s">
        <v>45</v>
      </c>
      <c r="N293" s="67" t="s">
        <v>51</v>
      </c>
      <c r="O293" s="27" t="s">
        <v>1631</v>
      </c>
      <c r="P293" s="33" t="s">
        <v>23</v>
      </c>
      <c r="Q293" s="60">
        <f>IFERROR(IF(12 / VLOOKUP(Table2[[#This Row],[Rateizzazione]],TIPI_RATEIZZAZIONI,2,FALSE) &gt;=1,  IF(Table2[[#This Row],[Data attivazione]] = "","-",MONTH(Table2[[#This Row],[Data attivazione]])),"-"),"-")</f>
        <v>9</v>
      </c>
      <c r="R2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3" s="67" t="s">
        <v>2</v>
      </c>
      <c r="V293" s="62"/>
      <c r="W293" s="64">
        <v>42622</v>
      </c>
      <c r="X293" s="29">
        <f>DATE(YEAR(Table2[[#This Row],[Data attivazione]])+VLOOKUP(Table2[[#This Row],[Durata]],VALORE_DURATA,2,FALSE),MONTH(Table2[[#This Row],[Data attivazione]]),DAY(Table2[[#This Row],[Data attivazione]]))</f>
        <v>42987</v>
      </c>
      <c r="Y293" s="65"/>
      <c r="Z293" s="61"/>
      <c r="AA293" s="64" t="s">
        <v>85</v>
      </c>
      <c r="AB293" s="29" t="str">
        <f>IF(Table2[[#This Row],[Data ultimo versamento temp]]=0/1/1900,"-",Table2[[#This Row],[Data ultimo versamento temp]])</f>
        <v>-</v>
      </c>
      <c r="AC293" s="29">
        <f t="array" ref="AC293">MAX(IF(TableVersamenti[Polizza]=Table2[[#This Row],[Polizza]],TableVersamenti[Data prevista versamento],"-"))</f>
        <v>0</v>
      </c>
      <c r="AD293" s="62"/>
      <c r="AE293" s="106">
        <f>DATE(YEAR(Table2[[#This Row],[Data ultimo pagamento]]),MONTH(Table2[[#This Row],[Data ultimo pagamento]]), 1)</f>
        <v>42614</v>
      </c>
      <c r="AF293" s="106">
        <f>DATE(YEAR(Table2[[#This Row],[Data prossima scadenza]]),MONTH(Table2[[#This Row],[Data prossima scadenza]]), 1)</f>
        <v>42979</v>
      </c>
      <c r="AG293" s="33">
        <f>IFERROR(Table2[[#This Row],[Importo annuale]]*VLOOKUP(Table2[[#This Row],[Ramo]],RAMI_POLIZZA,2,FALSE),0)</f>
        <v>212.75</v>
      </c>
      <c r="AH293" s="65" t="s">
        <v>113</v>
      </c>
      <c r="AI293" s="63">
        <f>IFERROR(VLOOKUP(Table2[[#This Row],[Contraente]],Table1[[Nome/Ragione sociale]:[Checkbox selezionato]],2,FALSE),"-")</f>
        <v>0</v>
      </c>
      <c r="AJ293" s="63">
        <f>IFERROR(VLOOKUP(Table2[[#This Row],[Contraente]],Table1[[Nome/Ragione sociale]:[Checkbox selezionato]],3,FALSE),"-")</f>
        <v>0</v>
      </c>
      <c r="AK293" s="63">
        <f>IFERROR(VLOOKUP(Table2[[#This Row],[Contraente]],Table1[[Nome/Ragione sociale]:[Checkbox selezionato]],4,FALSE),"-")</f>
        <v>0</v>
      </c>
      <c r="AL293" s="63" t="str">
        <f>IFERROR(VLOOKUP(Table2[[#This Row],[Contraente]],Table1[[Nome/Ragione sociale]:[Checkbox selezionato]],5,FALSE),"-")</f>
        <v>FANELLI</v>
      </c>
      <c r="AM293" s="62" t="str">
        <f>IFERROR(VLOOKUP(Table2[[#This Row],[Contraente]],Table1[[Nome/Ragione sociale]:[Checkbox selezionato]],6,FALSE),"-")</f>
        <v>-</v>
      </c>
      <c r="AN293" s="63" t="str">
        <f>IFERROR(VLOOKUP(Table2[[#This Row],[Contraente]],Table1[[Nome/Ragione sociale]:[Checkbox selezionato]],7,FALSE),"-")</f>
        <v>papies@libero.it</v>
      </c>
      <c r="AO293" s="63">
        <f>IFERROR(VLOOKUP(Table2[[#This Row],[Contraente]],Table1[[Nome/Ragione sociale]:[Checkbox selezionato]],8,FALSE),"-")</f>
        <v>0</v>
      </c>
      <c r="AP293" s="63">
        <f>IFERROR(VLOOKUP(Table2[[#This Row],[Contraente]],Table1[[Nome/Ragione sociale]:[Checkbox selezionato]],10,FALSE),"-")</f>
        <v>0</v>
      </c>
      <c r="AQ293" s="63" t="str">
        <f>IFERROR(VLOOKUP(Table2[[#This Row],[Contraente]],Table1[[Nome/Ragione sociale]:[Checkbox selezionato]],11,FALSE),"-")</f>
        <v>SI</v>
      </c>
      <c r="AR293" s="63" t="str">
        <f>IFERROR(VLOOKUP(Table2[[#This Row],[Contraente]],Table1[[Nome/Ragione sociale]:[Checkbox selezionato]],12,FALSE),"-")</f>
        <v>SI</v>
      </c>
    </row>
    <row r="294" spans="1:44" ht="30" hidden="1" customHeight="1" x14ac:dyDescent="0.25">
      <c r="A294" s="60" t="str">
        <f>UPPER(LEFT(Table2[[#This Row],[Contraente]],1))</f>
        <v>C</v>
      </c>
      <c r="B294" s="60" t="s">
        <v>1634</v>
      </c>
      <c r="C294" s="81" t="s">
        <v>541</v>
      </c>
      <c r="D294" s="81" t="s">
        <v>37</v>
      </c>
      <c r="E294" s="86">
        <v>106138422</v>
      </c>
      <c r="F294" s="64">
        <v>42661</v>
      </c>
      <c r="G294" s="64">
        <f>IFERROR(CALCOLASCADENZA(Table2[[#This Row],[Data attivazione]],Table2[[#This Row],[Rateizzazione]],Table2[[#This Row],[Data ultimo pagamento]],Table2[[#This Row],[Data prossima scadenza manuale]]),"-")</f>
        <v>43026</v>
      </c>
      <c r="H294" s="67" t="s">
        <v>30</v>
      </c>
      <c r="I294" s="67" t="s">
        <v>113</v>
      </c>
      <c r="J294" s="33">
        <f>IFERROR(Table2[[#This Row],[Importo annuale]]/(12/VLOOKUP(Table2[[#This Row],[Rateizzazione]],TIPI_RATEIZZAZIONI,2,FALSE)),"-")</f>
        <v>721</v>
      </c>
      <c r="K294" s="88"/>
      <c r="L294" s="88">
        <v>721</v>
      </c>
      <c r="M294" s="67" t="s">
        <v>44</v>
      </c>
      <c r="N294" s="67" t="s">
        <v>52</v>
      </c>
      <c r="O294" s="27" t="s">
        <v>1631</v>
      </c>
      <c r="P294" s="33" t="s">
        <v>23</v>
      </c>
      <c r="Q294" s="60">
        <f>IFERROR(IF(12 / VLOOKUP(Table2[[#This Row],[Rateizzazione]],TIPI_RATEIZZAZIONI,2,FALSE) &gt;=1,  IF(Table2[[#This Row],[Data attivazione]] = "","-",MONTH(Table2[[#This Row],[Data attivazione]])),"-"),"-")</f>
        <v>10</v>
      </c>
      <c r="R2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4" s="67" t="s">
        <v>2</v>
      </c>
      <c r="V294" s="62"/>
      <c r="W294" s="64">
        <v>42661</v>
      </c>
      <c r="X294" s="29">
        <f>DATE(YEAR(Table2[[#This Row],[Data attivazione]])+VLOOKUP(Table2[[#This Row],[Durata]],VALORE_DURATA,2,FALSE),MONTH(Table2[[#This Row],[Data attivazione]]),DAY(Table2[[#This Row],[Data attivazione]]))</f>
        <v>43026</v>
      </c>
      <c r="Y294" s="65"/>
      <c r="Z294" s="61"/>
      <c r="AA294" s="64" t="s">
        <v>85</v>
      </c>
      <c r="AB294" s="29" t="str">
        <f>IF(Table2[[#This Row],[Data ultimo versamento temp]]=0/1/1900,"-",Table2[[#This Row],[Data ultimo versamento temp]])</f>
        <v>-</v>
      </c>
      <c r="AC294" s="29">
        <f t="array" ref="AC294">MAX(IF(TableVersamenti[Polizza]=Table2[[#This Row],[Polizza]],TableVersamenti[Data prevista versamento],"-"))</f>
        <v>0</v>
      </c>
      <c r="AD294" s="62"/>
      <c r="AE294" s="106">
        <f>DATE(YEAR(Table2[[#This Row],[Data ultimo pagamento]]),MONTH(Table2[[#This Row],[Data ultimo pagamento]]), 1)</f>
        <v>42644</v>
      </c>
      <c r="AF294" s="106">
        <f>DATE(YEAR(Table2[[#This Row],[Data prossima scadenza]]),MONTH(Table2[[#This Row],[Data prossima scadenza]]), 1)</f>
        <v>43009</v>
      </c>
      <c r="AG294" s="33">
        <f>IFERROR(Table2[[#This Row],[Importo annuale]]*VLOOKUP(Table2[[#This Row],[Ramo]],RAMI_POLIZZA,2,FALSE),0)</f>
        <v>82.915000000000006</v>
      </c>
      <c r="AH294" s="65" t="s">
        <v>113</v>
      </c>
      <c r="AI294" s="63">
        <f>IFERROR(VLOOKUP(Table2[[#This Row],[Contraente]],Table1[[Nome/Ragione sociale]:[Checkbox selezionato]],2,FALSE),"-")</f>
        <v>0</v>
      </c>
      <c r="AJ294" s="63">
        <f>IFERROR(VLOOKUP(Table2[[#This Row],[Contraente]],Table1[[Nome/Ragione sociale]:[Checkbox selezionato]],3,FALSE),"-")</f>
        <v>0</v>
      </c>
      <c r="AK294" s="63">
        <f>IFERROR(VLOOKUP(Table2[[#This Row],[Contraente]],Table1[[Nome/Ragione sociale]:[Checkbox selezionato]],4,FALSE),"-")</f>
        <v>0</v>
      </c>
      <c r="AL294" s="63" t="str">
        <f>IFERROR(VLOOKUP(Table2[[#This Row],[Contraente]],Table1[[Nome/Ragione sociale]:[Checkbox selezionato]],5,FALSE),"-")</f>
        <v>GAVANA</v>
      </c>
      <c r="AM294" s="62" t="str">
        <f>IFERROR(VLOOKUP(Table2[[#This Row],[Contraente]],Table1[[Nome/Ragione sociale]:[Checkbox selezionato]],6,FALSE),"-")</f>
        <v>-</v>
      </c>
      <c r="AN294" s="63" t="str">
        <f>IFERROR(VLOOKUP(Table2[[#This Row],[Contraente]],Table1[[Nome/Ragione sociale]:[Checkbox selezionato]],7,FALSE),"-")</f>
        <v>papies@libero.it</v>
      </c>
      <c r="AO294" s="63">
        <f>IFERROR(VLOOKUP(Table2[[#This Row],[Contraente]],Table1[[Nome/Ragione sociale]:[Checkbox selezionato]],8,FALSE),"-")</f>
        <v>0</v>
      </c>
      <c r="AP294" s="63">
        <f>IFERROR(VLOOKUP(Table2[[#This Row],[Contraente]],Table1[[Nome/Ragione sociale]:[Checkbox selezionato]],10,FALSE),"-")</f>
        <v>0</v>
      </c>
      <c r="AQ294" s="63" t="str">
        <f>IFERROR(VLOOKUP(Table2[[#This Row],[Contraente]],Table1[[Nome/Ragione sociale]:[Checkbox selezionato]],11,FALSE),"-")</f>
        <v>SI</v>
      </c>
      <c r="AR294" s="63" t="str">
        <f>IFERROR(VLOOKUP(Table2[[#This Row],[Contraente]],Table1[[Nome/Ragione sociale]:[Checkbox selezionato]],12,FALSE),"-")</f>
        <v>SI</v>
      </c>
    </row>
    <row r="295" spans="1:44" ht="30" hidden="1" customHeight="1" x14ac:dyDescent="0.25">
      <c r="A295" s="60" t="str">
        <f>UPPER(LEFT(Table2[[#This Row],[Contraente]],1))</f>
        <v>C</v>
      </c>
      <c r="B295" s="60" t="s">
        <v>1634</v>
      </c>
      <c r="C295" s="81" t="s">
        <v>520</v>
      </c>
      <c r="D295" s="81" t="s">
        <v>37</v>
      </c>
      <c r="E295" s="86">
        <v>105710291</v>
      </c>
      <c r="F295" s="64">
        <v>42908</v>
      </c>
      <c r="G295" s="64">
        <f>IFERROR(CALCOLASCADENZA(Table2[[#This Row],[Data attivazione]],Table2[[#This Row],[Rateizzazione]],Table2[[#This Row],[Data ultimo pagamento]],Table2[[#This Row],[Data prossima scadenza manuale]]),"-")</f>
        <v>43084</v>
      </c>
      <c r="H295" s="67" t="s">
        <v>30</v>
      </c>
      <c r="I295" s="67" t="s">
        <v>113</v>
      </c>
      <c r="J295" s="33">
        <f>IFERROR(Table2[[#This Row],[Importo annuale]]/(12/VLOOKUP(Table2[[#This Row],[Rateizzazione]],TIPI_RATEIZZAZIONI,2,FALSE)),"-")</f>
        <v>530</v>
      </c>
      <c r="K295" s="88">
        <v>530</v>
      </c>
      <c r="L295" s="88">
        <v>1060</v>
      </c>
      <c r="M295" s="67" t="s">
        <v>45</v>
      </c>
      <c r="N295" s="67" t="s">
        <v>52</v>
      </c>
      <c r="O295" s="27" t="s">
        <v>1631</v>
      </c>
      <c r="P295" s="33" t="s">
        <v>22</v>
      </c>
      <c r="Q295" s="60">
        <f>IFERROR(IF(12 / VLOOKUP(Table2[[#This Row],[Rateizzazione]],TIPI_RATEIZZAZIONI,2,FALSE) &gt;=1,  IF(Table2[[#This Row],[Data attivazione]] = "","-",MONTH(Table2[[#This Row],[Data attivazione]])),"-"),"-")</f>
        <v>12</v>
      </c>
      <c r="R2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5" s="67" t="s">
        <v>2</v>
      </c>
      <c r="V295" s="62"/>
      <c r="W295" s="64">
        <v>42719</v>
      </c>
      <c r="X295" s="29">
        <f>DATE(YEAR(Table2[[#This Row],[Data attivazione]])+VLOOKUP(Table2[[#This Row],[Durata]],VALORE_DURATA,2,FALSE),MONTH(Table2[[#This Row],[Data attivazione]]),DAY(Table2[[#This Row],[Data attivazione]]))</f>
        <v>43084</v>
      </c>
      <c r="Y295" s="65"/>
      <c r="Z295" s="61"/>
      <c r="AA295" s="64" t="s">
        <v>85</v>
      </c>
      <c r="AB295" s="29" t="str">
        <f>IF(Table2[[#This Row],[Data ultimo versamento temp]]=0/1/1900,"-",Table2[[#This Row],[Data ultimo versamento temp]])</f>
        <v>-</v>
      </c>
      <c r="AC295" s="29">
        <f t="array" ref="AC295">MAX(IF(TableVersamenti[Polizza]=Table2[[#This Row],[Polizza]],TableVersamenti[Data prevista versamento],"-"))</f>
        <v>0</v>
      </c>
      <c r="AD295" s="62"/>
      <c r="AE295" s="106">
        <f>DATE(YEAR(Table2[[#This Row],[Data ultimo pagamento]]),MONTH(Table2[[#This Row],[Data ultimo pagamento]]), 1)</f>
        <v>42887</v>
      </c>
      <c r="AF295" s="106">
        <f>DATE(YEAR(Table2[[#This Row],[Data prossima scadenza]]),MONTH(Table2[[#This Row],[Data prossima scadenza]]), 1)</f>
        <v>43070</v>
      </c>
      <c r="AG295" s="33">
        <f>IFERROR(Table2[[#This Row],[Importo annuale]]*VLOOKUP(Table2[[#This Row],[Ramo]],RAMI_POLIZZA,2,FALSE),0)</f>
        <v>121.9</v>
      </c>
      <c r="AH295" s="65" t="s">
        <v>113</v>
      </c>
      <c r="AI295" s="63">
        <f>IFERROR(VLOOKUP(Table2[[#This Row],[Contraente]],Table1[[Nome/Ragione sociale]:[Checkbox selezionato]],2,FALSE),"-")</f>
        <v>0</v>
      </c>
      <c r="AJ295" s="63">
        <f>IFERROR(VLOOKUP(Table2[[#This Row],[Contraente]],Table1[[Nome/Ragione sociale]:[Checkbox selezionato]],3,FALSE),"-")</f>
        <v>0</v>
      </c>
      <c r="AK295" s="63">
        <f>IFERROR(VLOOKUP(Table2[[#This Row],[Contraente]],Table1[[Nome/Ragione sociale]:[Checkbox selezionato]],4,FALSE),"-")</f>
        <v>0</v>
      </c>
      <c r="AL295" s="63" t="str">
        <f>IFERROR(VLOOKUP(Table2[[#This Row],[Contraente]],Table1[[Nome/Ragione sociale]:[Checkbox selezionato]],5,FALSE),"-")</f>
        <v>FANELLI</v>
      </c>
      <c r="AM295" s="62" t="str">
        <f>IFERROR(VLOOKUP(Table2[[#This Row],[Contraente]],Table1[[Nome/Ragione sociale]:[Checkbox selezionato]],6,FALSE),"-")</f>
        <v>-</v>
      </c>
      <c r="AN295" s="63" t="str">
        <f>IFERROR(VLOOKUP(Table2[[#This Row],[Contraente]],Table1[[Nome/Ragione sociale]:[Checkbox selezionato]],7,FALSE),"-")</f>
        <v>papies@email.it</v>
      </c>
      <c r="AO295" s="63">
        <f>IFERROR(VLOOKUP(Table2[[#This Row],[Contraente]],Table1[[Nome/Ragione sociale]:[Checkbox selezionato]],8,FALSE),"-")</f>
        <v>0</v>
      </c>
      <c r="AP295" s="63">
        <f>IFERROR(VLOOKUP(Table2[[#This Row],[Contraente]],Table1[[Nome/Ragione sociale]:[Checkbox selezionato]],10,FALSE),"-")</f>
        <v>0</v>
      </c>
      <c r="AQ295" s="63" t="str">
        <f>IFERROR(VLOOKUP(Table2[[#This Row],[Contraente]],Table1[[Nome/Ragione sociale]:[Checkbox selezionato]],11,FALSE),"-")</f>
        <v>SI</v>
      </c>
      <c r="AR295" s="63" t="str">
        <f>IFERROR(VLOOKUP(Table2[[#This Row],[Contraente]],Table1[[Nome/Ragione sociale]:[Checkbox selezionato]],12,FALSE),"-")</f>
        <v>SI</v>
      </c>
    </row>
    <row r="296" spans="1:44" ht="30" hidden="1" customHeight="1" x14ac:dyDescent="0.25">
      <c r="A296" s="60" t="str">
        <f>UPPER(LEFT(Table2[[#This Row],[Contraente]],1))</f>
        <v>C</v>
      </c>
      <c r="B296" s="60" t="s">
        <v>1634</v>
      </c>
      <c r="C296" s="81" t="s">
        <v>1764</v>
      </c>
      <c r="D296" s="81" t="s">
        <v>37</v>
      </c>
      <c r="E296" s="86">
        <v>107039763</v>
      </c>
      <c r="F296" s="64">
        <v>42913</v>
      </c>
      <c r="G296" s="64">
        <f>IFERROR(CALCOLASCADENZA(Table2[[#This Row],[Data attivazione]],Table2[[#This Row],[Rateizzazione]],Table2[[#This Row],[Data ultimo pagamento]],Table2[[#This Row],[Data prossima scadenza manuale]]),"-")</f>
        <v>43098</v>
      </c>
      <c r="H296" s="67" t="s">
        <v>30</v>
      </c>
      <c r="I296" s="67" t="s">
        <v>113</v>
      </c>
      <c r="J296" s="33">
        <f>IFERROR(Table2[[#This Row],[Importo annuale]]/(12/VLOOKUP(Table2[[#This Row],[Rateizzazione]],TIPI_RATEIZZAZIONI,2,FALSE)),"-")</f>
        <v>1570</v>
      </c>
      <c r="K296" s="88">
        <v>1570</v>
      </c>
      <c r="L296" s="88">
        <v>3140</v>
      </c>
      <c r="M296" s="67" t="s">
        <v>44</v>
      </c>
      <c r="N296" s="67" t="s">
        <v>52</v>
      </c>
      <c r="O296" s="27" t="s">
        <v>1631</v>
      </c>
      <c r="P296" s="33" t="s">
        <v>22</v>
      </c>
      <c r="Q296" s="60">
        <f>IFERROR(IF(12 / VLOOKUP(Table2[[#This Row],[Rateizzazione]],TIPI_RATEIZZAZIONI,2,FALSE) &gt;=1,  IF(Table2[[#This Row],[Data attivazione]] = "","-",MONTH(Table2[[#This Row],[Data attivazione]])),"-"),"-")</f>
        <v>12</v>
      </c>
      <c r="R2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6" s="67" t="s">
        <v>2</v>
      </c>
      <c r="V296" s="62"/>
      <c r="W296" s="64">
        <v>42733</v>
      </c>
      <c r="X296" s="29">
        <f>DATE(YEAR(Table2[[#This Row],[Data attivazione]])+VLOOKUP(Table2[[#This Row],[Durata]],VALORE_DURATA,2,FALSE),MONTH(Table2[[#This Row],[Data attivazione]]),DAY(Table2[[#This Row],[Data attivazione]]))</f>
        <v>43098</v>
      </c>
      <c r="Y296" s="65"/>
      <c r="Z296" s="61"/>
      <c r="AA296" s="64" t="s">
        <v>85</v>
      </c>
      <c r="AB296" s="29" t="str">
        <f>IF(Table2[[#This Row],[Data ultimo versamento temp]]=0/1/1900,"-",Table2[[#This Row],[Data ultimo versamento temp]])</f>
        <v>-</v>
      </c>
      <c r="AC296" s="29">
        <f t="array" ref="AC296">MAX(IF(TableVersamenti[Polizza]=Table2[[#This Row],[Polizza]],TableVersamenti[Data prevista versamento],"-"))</f>
        <v>0</v>
      </c>
      <c r="AD296" s="62"/>
      <c r="AE296" s="106">
        <f>DATE(YEAR(Table2[[#This Row],[Data ultimo pagamento]]),MONTH(Table2[[#This Row],[Data ultimo pagamento]]), 1)</f>
        <v>42887</v>
      </c>
      <c r="AF296" s="106">
        <f>DATE(YEAR(Table2[[#This Row],[Data prossima scadenza]]),MONTH(Table2[[#This Row],[Data prossima scadenza]]), 1)</f>
        <v>43070</v>
      </c>
      <c r="AG296" s="33">
        <f>IFERROR(Table2[[#This Row],[Importo annuale]]*VLOOKUP(Table2[[#This Row],[Ramo]],RAMI_POLIZZA,2,FALSE),0)</f>
        <v>361.1</v>
      </c>
      <c r="AH296" s="65" t="s">
        <v>113</v>
      </c>
      <c r="AI296" s="63" t="str">
        <f>IFERROR(VLOOKUP(Table2[[#This Row],[Contraente]],Table1[[Nome/Ragione sociale]:[Checkbox selezionato]],2,FALSE),"-")</f>
        <v>TRAVACO' SICCOMARIO</v>
      </c>
      <c r="AJ296" s="63">
        <f>IFERROR(VLOOKUP(Table2[[#This Row],[Contraente]],Table1[[Nome/Ragione sociale]:[Checkbox selezionato]],3,FALSE),"-")</f>
        <v>0</v>
      </c>
      <c r="AK296" s="63">
        <f>IFERROR(VLOOKUP(Table2[[#This Row],[Contraente]],Table1[[Nome/Ragione sociale]:[Checkbox selezionato]],4,FALSE),"-")</f>
        <v>0</v>
      </c>
      <c r="AL296" s="63" t="str">
        <f>IFERROR(VLOOKUP(Table2[[#This Row],[Contraente]],Table1[[Nome/Ragione sociale]:[Checkbox selezionato]],5,FALSE),"-")</f>
        <v>GAVANA</v>
      </c>
      <c r="AM296" s="62" t="str">
        <f>IFERROR(VLOOKUP(Table2[[#This Row],[Contraente]],Table1[[Nome/Ragione sociale]:[Checkbox selezionato]],6,FALSE),"-")</f>
        <v>-</v>
      </c>
      <c r="AN296" s="63" t="str">
        <f>IFERROR(VLOOKUP(Table2[[#This Row],[Contraente]],Table1[[Nome/Ragione sociale]:[Checkbox selezionato]],7,FALSE),"-")</f>
        <v>papies@libero.it</v>
      </c>
      <c r="AO296" s="63">
        <f>IFERROR(VLOOKUP(Table2[[#This Row],[Contraente]],Table1[[Nome/Ragione sociale]:[Checkbox selezionato]],8,FALSE),"-")</f>
        <v>0</v>
      </c>
      <c r="AP296" s="63">
        <f>IFERROR(VLOOKUP(Table2[[#This Row],[Contraente]],Table1[[Nome/Ragione sociale]:[Checkbox selezionato]],10,FALSE),"-")</f>
        <v>0</v>
      </c>
      <c r="AQ296" s="63" t="str">
        <f>IFERROR(VLOOKUP(Table2[[#This Row],[Contraente]],Table1[[Nome/Ragione sociale]:[Checkbox selezionato]],11,FALSE),"-")</f>
        <v>SI</v>
      </c>
      <c r="AR296" s="63" t="str">
        <f>IFERROR(VLOOKUP(Table2[[#This Row],[Contraente]],Table1[[Nome/Ragione sociale]:[Checkbox selezionato]],12,FALSE),"-")</f>
        <v>SI</v>
      </c>
    </row>
    <row r="297" spans="1:44" ht="30" hidden="1" customHeight="1" x14ac:dyDescent="0.25">
      <c r="A297" s="60" t="str">
        <f>UPPER(LEFT(Table2[[#This Row],[Contraente]],1))</f>
        <v>C</v>
      </c>
      <c r="B297" s="60" t="s">
        <v>1634</v>
      </c>
      <c r="C297" s="81" t="s">
        <v>512</v>
      </c>
      <c r="D297" s="81" t="s">
        <v>37</v>
      </c>
      <c r="E297" s="86">
        <v>105641938</v>
      </c>
      <c r="F297" s="64">
        <v>42885</v>
      </c>
      <c r="G297" s="64">
        <f>IFERROR(CALCOLASCADENZA(Table2[[#This Row],[Data attivazione]],Table2[[#This Row],[Rateizzazione]],Table2[[#This Row],[Data ultimo pagamento]],Table2[[#This Row],[Data prossima scadenza manuale]]),"-")</f>
        <v>43069</v>
      </c>
      <c r="H297" s="67" t="s">
        <v>30</v>
      </c>
      <c r="I297" s="67" t="s">
        <v>113</v>
      </c>
      <c r="J297" s="33">
        <f>IFERROR(Table2[[#This Row],[Importo annuale]]/(12/VLOOKUP(Table2[[#This Row],[Rateizzazione]],TIPI_RATEIZZAZIONI,2,FALSE)),"-")</f>
        <v>700</v>
      </c>
      <c r="K297" s="88">
        <v>700</v>
      </c>
      <c r="L297" s="88">
        <v>1400</v>
      </c>
      <c r="M297" s="67" t="s">
        <v>44</v>
      </c>
      <c r="N297" s="67" t="s">
        <v>51</v>
      </c>
      <c r="O297" s="27" t="s">
        <v>1631</v>
      </c>
      <c r="P297" s="33" t="s">
        <v>22</v>
      </c>
      <c r="Q297" s="60">
        <f>IFERROR(IF(12 / VLOOKUP(Table2[[#This Row],[Rateizzazione]],TIPI_RATEIZZAZIONI,2,FALSE) &gt;=1,  IF(Table2[[#This Row],[Data attivazione]] = "","-",MONTH(Table2[[#This Row],[Data attivazione]])),"-"),"-")</f>
        <v>11</v>
      </c>
      <c r="R2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7" s="67" t="s">
        <v>2</v>
      </c>
      <c r="V297" s="62"/>
      <c r="W297" s="64">
        <v>42704</v>
      </c>
      <c r="X297" s="29">
        <f>DATE(YEAR(Table2[[#This Row],[Data attivazione]])+VLOOKUP(Table2[[#This Row],[Durata]],VALORE_DURATA,2,FALSE),MONTH(Table2[[#This Row],[Data attivazione]]),DAY(Table2[[#This Row],[Data attivazione]]))</f>
        <v>43069</v>
      </c>
      <c r="Y297" s="65"/>
      <c r="Z297" s="61"/>
      <c r="AA297" s="64" t="s">
        <v>85</v>
      </c>
      <c r="AB297" s="29" t="str">
        <f>IF(Table2[[#This Row],[Data ultimo versamento temp]]=0/1/1900,"-",Table2[[#This Row],[Data ultimo versamento temp]])</f>
        <v>-</v>
      </c>
      <c r="AC297" s="29">
        <f t="array" ref="AC297">MAX(IF(TableVersamenti[Polizza]=Table2[[#This Row],[Polizza]],TableVersamenti[Data prevista versamento],"-"))</f>
        <v>0</v>
      </c>
      <c r="AD297" s="62"/>
      <c r="AE297" s="106">
        <f>DATE(YEAR(Table2[[#This Row],[Data ultimo pagamento]]),MONTH(Table2[[#This Row],[Data ultimo pagamento]]), 1)</f>
        <v>42856</v>
      </c>
      <c r="AF297" s="106">
        <f>DATE(YEAR(Table2[[#This Row],[Data prossima scadenza]]),MONTH(Table2[[#This Row],[Data prossima scadenza]]), 1)</f>
        <v>43040</v>
      </c>
      <c r="AG297" s="33">
        <f>IFERROR(Table2[[#This Row],[Importo annuale]]*VLOOKUP(Table2[[#This Row],[Ramo]],RAMI_POLIZZA,2,FALSE),0)</f>
        <v>161</v>
      </c>
      <c r="AH297" s="65" t="s">
        <v>113</v>
      </c>
      <c r="AI297" s="63" t="str">
        <f>IFERROR(VLOOKUP(Table2[[#This Row],[Contraente]],Table1[[Nome/Ragione sociale]:[Checkbox selezionato]],2,FALSE),"-")</f>
        <v>PAVIA</v>
      </c>
      <c r="AJ297" s="63">
        <f>IFERROR(VLOOKUP(Table2[[#This Row],[Contraente]],Table1[[Nome/Ragione sociale]:[Checkbox selezionato]],3,FALSE),"-")</f>
        <v>0</v>
      </c>
      <c r="AK297" s="63">
        <f>IFERROR(VLOOKUP(Table2[[#This Row],[Contraente]],Table1[[Nome/Ragione sociale]:[Checkbox selezionato]],4,FALSE),"-")</f>
        <v>0</v>
      </c>
      <c r="AL297" s="63" t="str">
        <f>IFERROR(VLOOKUP(Table2[[#This Row],[Contraente]],Table1[[Nome/Ragione sociale]:[Checkbox selezionato]],5,FALSE),"-")</f>
        <v>MONTANINO</v>
      </c>
      <c r="AM297" s="62" t="str">
        <f>IFERROR(VLOOKUP(Table2[[#This Row],[Contraente]],Table1[[Nome/Ragione sociale]:[Checkbox selezionato]],6,FALSE),"-")</f>
        <v>-</v>
      </c>
      <c r="AN297" s="63" t="str">
        <f>IFERROR(VLOOKUP(Table2[[#This Row],[Contraente]],Table1[[Nome/Ragione sociale]:[Checkbox selezionato]],7,FALSE),"-")</f>
        <v>papies@libero.it</v>
      </c>
      <c r="AO297" s="63">
        <f>IFERROR(VLOOKUP(Table2[[#This Row],[Contraente]],Table1[[Nome/Ragione sociale]:[Checkbox selezionato]],8,FALSE),"-")</f>
        <v>0</v>
      </c>
      <c r="AP297" s="63">
        <f>IFERROR(VLOOKUP(Table2[[#This Row],[Contraente]],Table1[[Nome/Ragione sociale]:[Checkbox selezionato]],10,FALSE),"-")</f>
        <v>0</v>
      </c>
      <c r="AQ297" s="63" t="str">
        <f>IFERROR(VLOOKUP(Table2[[#This Row],[Contraente]],Table1[[Nome/Ragione sociale]:[Checkbox selezionato]],11,FALSE),"-")</f>
        <v>SI</v>
      </c>
      <c r="AR297" s="63" t="str">
        <f>IFERROR(VLOOKUP(Table2[[#This Row],[Contraente]],Table1[[Nome/Ragione sociale]:[Checkbox selezionato]],12,FALSE),"-")</f>
        <v>SI</v>
      </c>
    </row>
    <row r="298" spans="1:44" ht="30" hidden="1" customHeight="1" x14ac:dyDescent="0.25">
      <c r="A298" s="60" t="str">
        <f>UPPER(LEFT(Table2[[#This Row],[Contraente]],1))</f>
        <v>C</v>
      </c>
      <c r="B298" s="60" t="s">
        <v>1634</v>
      </c>
      <c r="C298" s="81" t="s">
        <v>523</v>
      </c>
      <c r="D298" s="81" t="s">
        <v>37</v>
      </c>
      <c r="E298" s="86">
        <v>105254825</v>
      </c>
      <c r="F298" s="64">
        <v>42945</v>
      </c>
      <c r="G298" s="64">
        <f>IFERROR(CALCOLASCADENZA(Table2[[#This Row],[Data attivazione]],Table2[[#This Row],[Rateizzazione]],Table2[[#This Row],[Data ultimo pagamento]],Table2[[#This Row],[Data prossima scadenza manuale]]),"-")</f>
        <v>43129</v>
      </c>
      <c r="H298" s="67" t="s">
        <v>30</v>
      </c>
      <c r="I298" s="67" t="s">
        <v>113</v>
      </c>
      <c r="J298" s="33">
        <f>IFERROR(Table2[[#This Row],[Importo annuale]]/(12/VLOOKUP(Table2[[#This Row],[Rateizzazione]],TIPI_RATEIZZAZIONI,2,FALSE)),"-")</f>
        <v>435</v>
      </c>
      <c r="K298" s="88">
        <v>870</v>
      </c>
      <c r="L298" s="88">
        <v>870</v>
      </c>
      <c r="M298" s="67" t="s">
        <v>45</v>
      </c>
      <c r="N298" s="67" t="s">
        <v>51</v>
      </c>
      <c r="O298" s="27" t="s">
        <v>1631</v>
      </c>
      <c r="P298" s="33" t="s">
        <v>22</v>
      </c>
      <c r="Q298" s="60">
        <f>IFERROR(IF(12 / VLOOKUP(Table2[[#This Row],[Rateizzazione]],TIPI_RATEIZZAZIONI,2,FALSE) &gt;=1,  IF(Table2[[#This Row],[Data attivazione]] = "","-",MONTH(Table2[[#This Row],[Data attivazione]])),"-"),"-")</f>
        <v>1</v>
      </c>
      <c r="R2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2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8" s="67" t="s">
        <v>2</v>
      </c>
      <c r="V298" s="62"/>
      <c r="W298" s="64">
        <v>42764</v>
      </c>
      <c r="X298" s="29">
        <f>DATE(YEAR(Table2[[#This Row],[Data attivazione]])+VLOOKUP(Table2[[#This Row],[Durata]],VALORE_DURATA,2,FALSE),MONTH(Table2[[#This Row],[Data attivazione]]),DAY(Table2[[#This Row],[Data attivazione]]))</f>
        <v>43129</v>
      </c>
      <c r="Y298" s="65"/>
      <c r="Z298" s="61"/>
      <c r="AA298" s="64" t="s">
        <v>85</v>
      </c>
      <c r="AB298" s="29">
        <f>IF(Table2[[#This Row],[Data ultimo versamento temp]]=0/1/1900,"-",Table2[[#This Row],[Data ultimo versamento temp]])</f>
        <v>42941</v>
      </c>
      <c r="AC298" s="29">
        <f t="array" ref="AC298">MAX(IF(TableVersamenti[Polizza]=Table2[[#This Row],[Polizza]],TableVersamenti[Data prevista versamento],"-"))</f>
        <v>42941</v>
      </c>
      <c r="AD298" s="62"/>
      <c r="AE298" s="106">
        <f>DATE(YEAR(Table2[[#This Row],[Data ultimo pagamento]]),MONTH(Table2[[#This Row],[Data ultimo pagamento]]), 1)</f>
        <v>42917</v>
      </c>
      <c r="AF298" s="106">
        <f>DATE(YEAR(Table2[[#This Row],[Data prossima scadenza]]),MONTH(Table2[[#This Row],[Data prossima scadenza]]), 1)</f>
        <v>43101</v>
      </c>
      <c r="AG298" s="33">
        <f>IFERROR(Table2[[#This Row],[Importo annuale]]*VLOOKUP(Table2[[#This Row],[Ramo]],RAMI_POLIZZA,2,FALSE),0)</f>
        <v>100.05000000000001</v>
      </c>
      <c r="AH298" s="65" t="s">
        <v>113</v>
      </c>
      <c r="AI298" s="63">
        <f>IFERROR(VLOOKUP(Table2[[#This Row],[Contraente]],Table1[[Nome/Ragione sociale]:[Checkbox selezionato]],2,FALSE),"-")</f>
        <v>0</v>
      </c>
      <c r="AJ298" s="63">
        <f>IFERROR(VLOOKUP(Table2[[#This Row],[Contraente]],Table1[[Nome/Ragione sociale]:[Checkbox selezionato]],3,FALSE),"-")</f>
        <v>0</v>
      </c>
      <c r="AK298" s="63">
        <f>IFERROR(VLOOKUP(Table2[[#This Row],[Contraente]],Table1[[Nome/Ragione sociale]:[Checkbox selezionato]],4,FALSE),"-")</f>
        <v>0</v>
      </c>
      <c r="AL298" s="63" t="str">
        <f>IFERROR(VLOOKUP(Table2[[#This Row],[Contraente]],Table1[[Nome/Ragione sociale]:[Checkbox selezionato]],5,FALSE),"-")</f>
        <v>FANELLI</v>
      </c>
      <c r="AM298" s="62" t="str">
        <f>IFERROR(VLOOKUP(Table2[[#This Row],[Contraente]],Table1[[Nome/Ragione sociale]:[Checkbox selezionato]],6,FALSE),"-")</f>
        <v>-</v>
      </c>
      <c r="AN298" s="63" t="str">
        <f>IFERROR(VLOOKUP(Table2[[#This Row],[Contraente]],Table1[[Nome/Ragione sociale]:[Checkbox selezionato]],7,FALSE),"-")</f>
        <v>papies@email.it</v>
      </c>
      <c r="AO298" s="63">
        <f>IFERROR(VLOOKUP(Table2[[#This Row],[Contraente]],Table1[[Nome/Ragione sociale]:[Checkbox selezionato]],8,FALSE),"-")</f>
        <v>0</v>
      </c>
      <c r="AP298" s="63">
        <f>IFERROR(VLOOKUP(Table2[[#This Row],[Contraente]],Table1[[Nome/Ragione sociale]:[Checkbox selezionato]],10,FALSE),"-")</f>
        <v>0</v>
      </c>
      <c r="AQ298" s="63" t="str">
        <f>IFERROR(VLOOKUP(Table2[[#This Row],[Contraente]],Table1[[Nome/Ragione sociale]:[Checkbox selezionato]],11,FALSE),"-")</f>
        <v>SI</v>
      </c>
      <c r="AR298" s="63" t="str">
        <f>IFERROR(VLOOKUP(Table2[[#This Row],[Contraente]],Table1[[Nome/Ragione sociale]:[Checkbox selezionato]],12,FALSE),"-")</f>
        <v>SI</v>
      </c>
    </row>
    <row r="299" spans="1:44" ht="30" hidden="1" customHeight="1" x14ac:dyDescent="0.25">
      <c r="A299" s="60" t="str">
        <f>UPPER(LEFT(Table2[[#This Row],[Contraente]],1))</f>
        <v>C</v>
      </c>
      <c r="B299" s="60" t="s">
        <v>1634</v>
      </c>
      <c r="C299" s="81" t="s">
        <v>545</v>
      </c>
      <c r="D299" s="81" t="s">
        <v>37</v>
      </c>
      <c r="E299" s="86">
        <v>105338171</v>
      </c>
      <c r="F299" s="64">
        <v>42851</v>
      </c>
      <c r="G299" s="64">
        <f>IFERROR(CALCOLASCADENZA(Table2[[#This Row],[Data attivazione]],Table2[[#This Row],[Rateizzazione]],Table2[[#This Row],[Data ultimo pagamento]],Table2[[#This Row],[Data prossima scadenza manuale]]),"-")</f>
        <v>43216</v>
      </c>
      <c r="H299" s="67" t="s">
        <v>30</v>
      </c>
      <c r="I299" s="67" t="s">
        <v>113</v>
      </c>
      <c r="J299" s="33">
        <f>IFERROR(Table2[[#This Row],[Importo annuale]]/(12/VLOOKUP(Table2[[#This Row],[Rateizzazione]],TIPI_RATEIZZAZIONI,2,FALSE)),"-")</f>
        <v>575</v>
      </c>
      <c r="K299" s="88">
        <v>575</v>
      </c>
      <c r="L299" s="88">
        <v>575</v>
      </c>
      <c r="M299" s="67" t="s">
        <v>44</v>
      </c>
      <c r="N299" s="67" t="s">
        <v>51</v>
      </c>
      <c r="O299" s="27" t="s">
        <v>1631</v>
      </c>
      <c r="P299" s="33" t="s">
        <v>23</v>
      </c>
      <c r="Q299" s="60">
        <f>IFERROR(IF(12 / VLOOKUP(Table2[[#This Row],[Rateizzazione]],TIPI_RATEIZZAZIONI,2,FALSE) &gt;=1,  IF(Table2[[#This Row],[Data attivazione]] = "","-",MONTH(Table2[[#This Row],[Data attivazione]])),"-"),"-")</f>
        <v>4</v>
      </c>
      <c r="R2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9" s="67" t="s">
        <v>2</v>
      </c>
      <c r="V299" s="62"/>
      <c r="W299" s="64">
        <v>42851</v>
      </c>
      <c r="X299" s="29">
        <f>DATE(YEAR(Table2[[#This Row],[Data attivazione]])+VLOOKUP(Table2[[#This Row],[Durata]],VALORE_DURATA,2,FALSE),MONTH(Table2[[#This Row],[Data attivazione]]),DAY(Table2[[#This Row],[Data attivazione]]))</f>
        <v>43216</v>
      </c>
      <c r="Y299" s="65"/>
      <c r="Z299" s="61"/>
      <c r="AA299" s="64" t="s">
        <v>85</v>
      </c>
      <c r="AB299" s="29" t="str">
        <f>IF(Table2[[#This Row],[Data ultimo versamento temp]]=0/1/1900,"-",Table2[[#This Row],[Data ultimo versamento temp]])</f>
        <v>-</v>
      </c>
      <c r="AC299" s="29">
        <f t="array" ref="AC299">MAX(IF(TableVersamenti[Polizza]=Table2[[#This Row],[Polizza]],TableVersamenti[Data prevista versamento],"-"))</f>
        <v>0</v>
      </c>
      <c r="AD299" s="62"/>
      <c r="AE299" s="106">
        <f>DATE(YEAR(Table2[[#This Row],[Data ultimo pagamento]]),MONTH(Table2[[#This Row],[Data ultimo pagamento]]), 1)</f>
        <v>42826</v>
      </c>
      <c r="AF299" s="106">
        <f>DATE(YEAR(Table2[[#This Row],[Data prossima scadenza]]),MONTH(Table2[[#This Row],[Data prossima scadenza]]), 1)</f>
        <v>43191</v>
      </c>
      <c r="AG299" s="33">
        <f>IFERROR(Table2[[#This Row],[Importo annuale]]*VLOOKUP(Table2[[#This Row],[Ramo]],RAMI_POLIZZA,2,FALSE),0)</f>
        <v>66.125</v>
      </c>
      <c r="AH299" s="65" t="s">
        <v>113</v>
      </c>
      <c r="AI299" s="63">
        <f>IFERROR(VLOOKUP(Table2[[#This Row],[Contraente]],Table1[[Nome/Ragione sociale]:[Checkbox selezionato]],2,FALSE),"-")</f>
        <v>0</v>
      </c>
      <c r="AJ299" s="63">
        <f>IFERROR(VLOOKUP(Table2[[#This Row],[Contraente]],Table1[[Nome/Ragione sociale]:[Checkbox selezionato]],3,FALSE),"-")</f>
        <v>0</v>
      </c>
      <c r="AK299" s="63">
        <f>IFERROR(VLOOKUP(Table2[[#This Row],[Contraente]],Table1[[Nome/Ragione sociale]:[Checkbox selezionato]],4,FALSE),"-")</f>
        <v>0</v>
      </c>
      <c r="AL299" s="63" t="str">
        <f>IFERROR(VLOOKUP(Table2[[#This Row],[Contraente]],Table1[[Nome/Ragione sociale]:[Checkbox selezionato]],5,FALSE),"-")</f>
        <v>MONTANINO</v>
      </c>
      <c r="AM299" s="62" t="str">
        <f>IFERROR(VLOOKUP(Table2[[#This Row],[Contraente]],Table1[[Nome/Ragione sociale]:[Checkbox selezionato]],6,FALSE),"-")</f>
        <v>-</v>
      </c>
      <c r="AN299" s="63" t="str">
        <f>IFERROR(VLOOKUP(Table2[[#This Row],[Contraente]],Table1[[Nome/Ragione sociale]:[Checkbox selezionato]],7,FALSE),"-")</f>
        <v>papies@libero.it</v>
      </c>
      <c r="AO299" s="63">
        <f>IFERROR(VLOOKUP(Table2[[#This Row],[Contraente]],Table1[[Nome/Ragione sociale]:[Checkbox selezionato]],8,FALSE),"-")</f>
        <v>0</v>
      </c>
      <c r="AP299" s="63">
        <f>IFERROR(VLOOKUP(Table2[[#This Row],[Contraente]],Table1[[Nome/Ragione sociale]:[Checkbox selezionato]],10,FALSE),"-")</f>
        <v>0</v>
      </c>
      <c r="AQ299" s="63" t="str">
        <f>IFERROR(VLOOKUP(Table2[[#This Row],[Contraente]],Table1[[Nome/Ragione sociale]:[Checkbox selezionato]],11,FALSE),"-")</f>
        <v>SI</v>
      </c>
      <c r="AR299" s="63" t="str">
        <f>IFERROR(VLOOKUP(Table2[[#This Row],[Contraente]],Table1[[Nome/Ragione sociale]:[Checkbox selezionato]],12,FALSE),"-")</f>
        <v>SI</v>
      </c>
    </row>
    <row r="300" spans="1:44" ht="30" hidden="1" customHeight="1" x14ac:dyDescent="0.25">
      <c r="A300" s="60" t="str">
        <f>UPPER(LEFT(Table2[[#This Row],[Contraente]],1))</f>
        <v>C</v>
      </c>
      <c r="B300" s="60" t="s">
        <v>1634</v>
      </c>
      <c r="C300" s="81" t="s">
        <v>529</v>
      </c>
      <c r="D300" s="81" t="s">
        <v>37</v>
      </c>
      <c r="E300" s="86">
        <v>102293544</v>
      </c>
      <c r="F300" s="64">
        <v>42689</v>
      </c>
      <c r="G300" s="64">
        <f>IFERROR(CALCOLASCADENZA(Table2[[#This Row],[Data attivazione]],Table2[[#This Row],[Rateizzazione]],Table2[[#This Row],[Data ultimo pagamento]],Table2[[#This Row],[Data prossima scadenza manuale]]),"-")</f>
        <v>43055</v>
      </c>
      <c r="H300" s="67" t="s">
        <v>30</v>
      </c>
      <c r="I300" s="67" t="s">
        <v>113</v>
      </c>
      <c r="J300" s="33">
        <f>IFERROR(Table2[[#This Row],[Importo annuale]]/(12/VLOOKUP(Table2[[#This Row],[Rateizzazione]],TIPI_RATEIZZAZIONI,2,FALSE)),"-")</f>
        <v>951</v>
      </c>
      <c r="K300" s="88"/>
      <c r="L300" s="88">
        <v>951</v>
      </c>
      <c r="M300" s="67" t="s">
        <v>45</v>
      </c>
      <c r="N300" s="67" t="s">
        <v>51</v>
      </c>
      <c r="O300" s="27" t="s">
        <v>1631</v>
      </c>
      <c r="P300" s="33" t="s">
        <v>23</v>
      </c>
      <c r="Q300" s="60">
        <f>IFERROR(IF(12 / VLOOKUP(Table2[[#This Row],[Rateizzazione]],TIPI_RATEIZZAZIONI,2,FALSE) &gt;=1,  IF(Table2[[#This Row],[Data attivazione]] = "","-",MONTH(Table2[[#This Row],[Data attivazione]])),"-"),"-")</f>
        <v>11</v>
      </c>
      <c r="R3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0" s="67" t="s">
        <v>2</v>
      </c>
      <c r="V300" s="62"/>
      <c r="W300" s="64">
        <v>42690</v>
      </c>
      <c r="X300" s="29">
        <f>DATE(YEAR(Table2[[#This Row],[Data attivazione]])+VLOOKUP(Table2[[#This Row],[Durata]],VALORE_DURATA,2,FALSE),MONTH(Table2[[#This Row],[Data attivazione]]),DAY(Table2[[#This Row],[Data attivazione]]))</f>
        <v>43055</v>
      </c>
      <c r="Y300" s="65"/>
      <c r="Z300" s="61"/>
      <c r="AA300" s="64" t="s">
        <v>85</v>
      </c>
      <c r="AB300" s="29" t="str">
        <f>IF(Table2[[#This Row],[Data ultimo versamento temp]]=0/1/1900,"-",Table2[[#This Row],[Data ultimo versamento temp]])</f>
        <v>-</v>
      </c>
      <c r="AC300" s="29">
        <f t="array" ref="AC300">MAX(IF(TableVersamenti[Polizza]=Table2[[#This Row],[Polizza]],TableVersamenti[Data prevista versamento],"-"))</f>
        <v>0</v>
      </c>
      <c r="AD300" s="62"/>
      <c r="AE300" s="106">
        <f>DATE(YEAR(Table2[[#This Row],[Data ultimo pagamento]]),MONTH(Table2[[#This Row],[Data ultimo pagamento]]), 1)</f>
        <v>42675</v>
      </c>
      <c r="AF300" s="106">
        <f>DATE(YEAR(Table2[[#This Row],[Data prossima scadenza]]),MONTH(Table2[[#This Row],[Data prossima scadenza]]), 1)</f>
        <v>43040</v>
      </c>
      <c r="AG300" s="33">
        <f>IFERROR(Table2[[#This Row],[Importo annuale]]*VLOOKUP(Table2[[#This Row],[Ramo]],RAMI_POLIZZA,2,FALSE),0)</f>
        <v>109.36500000000001</v>
      </c>
      <c r="AH300" s="65" t="s">
        <v>113</v>
      </c>
      <c r="AI300" s="63">
        <f>IFERROR(VLOOKUP(Table2[[#This Row],[Contraente]],Table1[[Nome/Ragione sociale]:[Checkbox selezionato]],2,FALSE),"-")</f>
        <v>0</v>
      </c>
      <c r="AJ300" s="63">
        <f>IFERROR(VLOOKUP(Table2[[#This Row],[Contraente]],Table1[[Nome/Ragione sociale]:[Checkbox selezionato]],3,FALSE),"-")</f>
        <v>0</v>
      </c>
      <c r="AK300" s="63">
        <f>IFERROR(VLOOKUP(Table2[[#This Row],[Contraente]],Table1[[Nome/Ragione sociale]:[Checkbox selezionato]],4,FALSE),"-")</f>
        <v>0</v>
      </c>
      <c r="AL300" s="63" t="str">
        <f>IFERROR(VLOOKUP(Table2[[#This Row],[Contraente]],Table1[[Nome/Ragione sociale]:[Checkbox selezionato]],5,FALSE),"-")</f>
        <v>TARRINI</v>
      </c>
      <c r="AM300" s="62" t="str">
        <f>IFERROR(VLOOKUP(Table2[[#This Row],[Contraente]],Table1[[Nome/Ragione sociale]:[Checkbox selezionato]],6,FALSE),"-")</f>
        <v>-</v>
      </c>
      <c r="AN300" s="63" t="str">
        <f>IFERROR(VLOOKUP(Table2[[#This Row],[Contraente]],Table1[[Nome/Ragione sociale]:[Checkbox selezionato]],7,FALSE),"-")</f>
        <v>papies@libero.it</v>
      </c>
      <c r="AO300" s="63">
        <f>IFERROR(VLOOKUP(Table2[[#This Row],[Contraente]],Table1[[Nome/Ragione sociale]:[Checkbox selezionato]],8,FALSE),"-")</f>
        <v>0</v>
      </c>
      <c r="AP300" s="63">
        <f>IFERROR(VLOOKUP(Table2[[#This Row],[Contraente]],Table1[[Nome/Ragione sociale]:[Checkbox selezionato]],10,FALSE),"-")</f>
        <v>0</v>
      </c>
      <c r="AQ300" s="63" t="str">
        <f>IFERROR(VLOOKUP(Table2[[#This Row],[Contraente]],Table1[[Nome/Ragione sociale]:[Checkbox selezionato]],11,FALSE),"-")</f>
        <v>SI</v>
      </c>
      <c r="AR300" s="63" t="str">
        <f>IFERROR(VLOOKUP(Table2[[#This Row],[Contraente]],Table1[[Nome/Ragione sociale]:[Checkbox selezionato]],12,FALSE),"-")</f>
        <v>SI</v>
      </c>
    </row>
    <row r="301" spans="1:44" ht="30" hidden="1" customHeight="1" x14ac:dyDescent="0.25">
      <c r="A301" s="60" t="str">
        <f>UPPER(LEFT(Table2[[#This Row],[Contraente]],1))</f>
        <v>C</v>
      </c>
      <c r="B301" s="60" t="s">
        <v>1634</v>
      </c>
      <c r="C301" s="81" t="s">
        <v>528</v>
      </c>
      <c r="D301" s="81" t="s">
        <v>37</v>
      </c>
      <c r="E301" s="86">
        <v>105105987</v>
      </c>
      <c r="F301" s="64">
        <v>42723</v>
      </c>
      <c r="G301" s="64">
        <f>IFERROR(CALCOLASCADENZA(Table2[[#This Row],[Data attivazione]],Table2[[#This Row],[Rateizzazione]],Table2[[#This Row],[Data ultimo pagamento]],Table2[[#This Row],[Data prossima scadenza manuale]]),"-")</f>
        <v>43083</v>
      </c>
      <c r="H301" s="67" t="s">
        <v>30</v>
      </c>
      <c r="I301" s="67" t="s">
        <v>113</v>
      </c>
      <c r="J301" s="33">
        <f>IFERROR(Table2[[#This Row],[Importo annuale]]/(12/VLOOKUP(Table2[[#This Row],[Rateizzazione]],TIPI_RATEIZZAZIONI,2,FALSE)),"-")</f>
        <v>1650</v>
      </c>
      <c r="K301" s="88"/>
      <c r="L301" s="88">
        <v>1650</v>
      </c>
      <c r="M301" s="67" t="s">
        <v>44</v>
      </c>
      <c r="N301" s="67" t="s">
        <v>51</v>
      </c>
      <c r="O301" s="27" t="s">
        <v>1631</v>
      </c>
      <c r="P301" s="33" t="s">
        <v>23</v>
      </c>
      <c r="Q301" s="60">
        <f>IFERROR(IF(12 / VLOOKUP(Table2[[#This Row],[Rateizzazione]],TIPI_RATEIZZAZIONI,2,FALSE) &gt;=1,  IF(Table2[[#This Row],[Data attivazione]] = "","-",MONTH(Table2[[#This Row],[Data attivazione]])),"-"),"-")</f>
        <v>12</v>
      </c>
      <c r="R3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1" s="67" t="s">
        <v>2</v>
      </c>
      <c r="V301" s="62"/>
      <c r="W301" s="64">
        <v>42718</v>
      </c>
      <c r="X301" s="29">
        <f>DATE(YEAR(Table2[[#This Row],[Data attivazione]])+VLOOKUP(Table2[[#This Row],[Durata]],VALORE_DURATA,2,FALSE),MONTH(Table2[[#This Row],[Data attivazione]]),DAY(Table2[[#This Row],[Data attivazione]]))</f>
        <v>43083</v>
      </c>
      <c r="Y301" s="65"/>
      <c r="Z301" s="61"/>
      <c r="AA301" s="64" t="s">
        <v>85</v>
      </c>
      <c r="AB301" s="29" t="str">
        <f>IF(Table2[[#This Row],[Data ultimo versamento temp]]=0/1/1900,"-",Table2[[#This Row],[Data ultimo versamento temp]])</f>
        <v>-</v>
      </c>
      <c r="AC301" s="29">
        <f t="array" ref="AC301">MAX(IF(TableVersamenti[Polizza]=Table2[[#This Row],[Polizza]],TableVersamenti[Data prevista versamento],"-"))</f>
        <v>0</v>
      </c>
      <c r="AD301" s="62"/>
      <c r="AE301" s="106">
        <f>DATE(YEAR(Table2[[#This Row],[Data ultimo pagamento]]),MONTH(Table2[[#This Row],[Data ultimo pagamento]]), 1)</f>
        <v>42705</v>
      </c>
      <c r="AF301" s="106">
        <f>DATE(YEAR(Table2[[#This Row],[Data prossima scadenza]]),MONTH(Table2[[#This Row],[Data prossima scadenza]]), 1)</f>
        <v>43070</v>
      </c>
      <c r="AG301" s="33">
        <f>IFERROR(Table2[[#This Row],[Importo annuale]]*VLOOKUP(Table2[[#This Row],[Ramo]],RAMI_POLIZZA,2,FALSE),0)</f>
        <v>189.75</v>
      </c>
      <c r="AH301" s="65" t="s">
        <v>113</v>
      </c>
      <c r="AI301" s="63">
        <f>IFERROR(VLOOKUP(Table2[[#This Row],[Contraente]],Table1[[Nome/Ragione sociale]:[Checkbox selezionato]],2,FALSE),"-")</f>
        <v>0</v>
      </c>
      <c r="AJ301" s="63">
        <f>IFERROR(VLOOKUP(Table2[[#This Row],[Contraente]],Table1[[Nome/Ragione sociale]:[Checkbox selezionato]],3,FALSE),"-")</f>
        <v>0</v>
      </c>
      <c r="AK301" s="63">
        <f>IFERROR(VLOOKUP(Table2[[#This Row],[Contraente]],Table1[[Nome/Ragione sociale]:[Checkbox selezionato]],4,FALSE),"-")</f>
        <v>0</v>
      </c>
      <c r="AL301" s="63" t="str">
        <f>IFERROR(VLOOKUP(Table2[[#This Row],[Contraente]],Table1[[Nome/Ragione sociale]:[Checkbox selezionato]],5,FALSE),"-")</f>
        <v>GAVANA</v>
      </c>
      <c r="AM301" s="62" t="str">
        <f>IFERROR(VLOOKUP(Table2[[#This Row],[Contraente]],Table1[[Nome/Ragione sociale]:[Checkbox selezionato]],6,FALSE),"-")</f>
        <v>-</v>
      </c>
      <c r="AN301" s="63" t="str">
        <f>IFERROR(VLOOKUP(Table2[[#This Row],[Contraente]],Table1[[Nome/Ragione sociale]:[Checkbox selezionato]],7,FALSE),"-")</f>
        <v>papies@email.it</v>
      </c>
      <c r="AO301" s="63">
        <f>IFERROR(VLOOKUP(Table2[[#This Row],[Contraente]],Table1[[Nome/Ragione sociale]:[Checkbox selezionato]],8,FALSE),"-")</f>
        <v>0</v>
      </c>
      <c r="AP301" s="63">
        <f>IFERROR(VLOOKUP(Table2[[#This Row],[Contraente]],Table1[[Nome/Ragione sociale]:[Checkbox selezionato]],10,FALSE),"-")</f>
        <v>0</v>
      </c>
      <c r="AQ301" s="63" t="str">
        <f>IFERROR(VLOOKUP(Table2[[#This Row],[Contraente]],Table1[[Nome/Ragione sociale]:[Checkbox selezionato]],11,FALSE),"-")</f>
        <v>SI</v>
      </c>
      <c r="AR301" s="63" t="str">
        <f>IFERROR(VLOOKUP(Table2[[#This Row],[Contraente]],Table1[[Nome/Ragione sociale]:[Checkbox selezionato]],12,FALSE),"-")</f>
        <v>SI</v>
      </c>
    </row>
    <row r="302" spans="1:44" ht="30" hidden="1" customHeight="1" x14ac:dyDescent="0.25">
      <c r="A302" s="60" t="str">
        <f>UPPER(LEFT(Table2[[#This Row],[Contraente]],1))</f>
        <v>C</v>
      </c>
      <c r="B302" s="60" t="s">
        <v>1634</v>
      </c>
      <c r="C302" s="81" t="s">
        <v>1711</v>
      </c>
      <c r="D302" s="81" t="s">
        <v>37</v>
      </c>
      <c r="E302" s="86">
        <v>106842328</v>
      </c>
      <c r="F302" s="64">
        <v>42877</v>
      </c>
      <c r="G302" s="64">
        <f>IFERROR(CALCOLASCADENZA(Table2[[#This Row],[Data attivazione]],Table2[[#This Row],[Rateizzazione]],Table2[[#This Row],[Data ultimo pagamento]],Table2[[#This Row],[Data prossima scadenza manuale]]),"-")</f>
        <v>43063</v>
      </c>
      <c r="H302" s="67" t="s">
        <v>30</v>
      </c>
      <c r="I302" s="67" t="s">
        <v>113</v>
      </c>
      <c r="J302" s="33">
        <f>IFERROR(Table2[[#This Row],[Importo annuale]]/(12/VLOOKUP(Table2[[#This Row],[Rateizzazione]],TIPI_RATEIZZAZIONI,2,FALSE)),"-")</f>
        <v>535</v>
      </c>
      <c r="K302" s="88">
        <v>535</v>
      </c>
      <c r="L302" s="88">
        <v>1070</v>
      </c>
      <c r="M302" s="67" t="s">
        <v>45</v>
      </c>
      <c r="N302" s="67" t="s">
        <v>52</v>
      </c>
      <c r="O302" s="27" t="s">
        <v>1631</v>
      </c>
      <c r="P302" s="33" t="s">
        <v>22</v>
      </c>
      <c r="Q302" s="60">
        <f>IFERROR(IF(12 / VLOOKUP(Table2[[#This Row],[Rateizzazione]],TIPI_RATEIZZAZIONI,2,FALSE) &gt;=1,  IF(Table2[[#This Row],[Data attivazione]] = "","-",MONTH(Table2[[#This Row],[Data attivazione]])),"-"),"-")</f>
        <v>11</v>
      </c>
      <c r="R3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2" s="67" t="s">
        <v>2</v>
      </c>
      <c r="V302" s="62"/>
      <c r="W302" s="64">
        <v>42698</v>
      </c>
      <c r="X302" s="29">
        <f>DATE(YEAR(Table2[[#This Row],[Data attivazione]])+VLOOKUP(Table2[[#This Row],[Durata]],VALORE_DURATA,2,FALSE),MONTH(Table2[[#This Row],[Data attivazione]]),DAY(Table2[[#This Row],[Data attivazione]]))</f>
        <v>43063</v>
      </c>
      <c r="Y302" s="65"/>
      <c r="Z302" s="61"/>
      <c r="AA302" s="64" t="s">
        <v>85</v>
      </c>
      <c r="AB302" s="29" t="str">
        <f>IF(Table2[[#This Row],[Data ultimo versamento temp]]=0/1/1900,"-",Table2[[#This Row],[Data ultimo versamento temp]])</f>
        <v>-</v>
      </c>
      <c r="AC302" s="29">
        <f t="array" ref="AC302">MAX(IF(TableVersamenti[Polizza]=Table2[[#This Row],[Polizza]],TableVersamenti[Data prevista versamento],"-"))</f>
        <v>0</v>
      </c>
      <c r="AD302" s="62"/>
      <c r="AE302" s="106">
        <f>DATE(YEAR(Table2[[#This Row],[Data ultimo pagamento]]),MONTH(Table2[[#This Row],[Data ultimo pagamento]]), 1)</f>
        <v>42856</v>
      </c>
      <c r="AF302" s="106">
        <f>DATE(YEAR(Table2[[#This Row],[Data prossima scadenza]]),MONTH(Table2[[#This Row],[Data prossima scadenza]]), 1)</f>
        <v>43040</v>
      </c>
      <c r="AG302" s="33">
        <f>IFERROR(Table2[[#This Row],[Importo annuale]]*VLOOKUP(Table2[[#This Row],[Ramo]],RAMI_POLIZZA,2,FALSE),0)</f>
        <v>123.05000000000001</v>
      </c>
      <c r="AH302" s="65" t="s">
        <v>113</v>
      </c>
      <c r="AI302" s="63" t="str">
        <f>IFERROR(VLOOKUP(Table2[[#This Row],[Contraente]],Table1[[Nome/Ragione sociale]:[Checkbox selezionato]],2,FALSE),"-")</f>
        <v>CERANOVA</v>
      </c>
      <c r="AJ302" s="63">
        <f>IFERROR(VLOOKUP(Table2[[#This Row],[Contraente]],Table1[[Nome/Ragione sociale]:[Checkbox selezionato]],3,FALSE),"-")</f>
        <v>0</v>
      </c>
      <c r="AK302" s="63">
        <f>IFERROR(VLOOKUP(Table2[[#This Row],[Contraente]],Table1[[Nome/Ragione sociale]:[Checkbox selezionato]],4,FALSE),"-")</f>
        <v>0</v>
      </c>
      <c r="AL302" s="63" t="str">
        <f>IFERROR(VLOOKUP(Table2[[#This Row],[Contraente]],Table1[[Nome/Ragione sociale]:[Checkbox selezionato]],5,FALSE),"-")</f>
        <v>FANELLI</v>
      </c>
      <c r="AM302" s="62" t="str">
        <f>IFERROR(VLOOKUP(Table2[[#This Row],[Contraente]],Table1[[Nome/Ragione sociale]:[Checkbox selezionato]],6,FALSE),"-")</f>
        <v>-</v>
      </c>
      <c r="AN302" s="63" t="str">
        <f>IFERROR(VLOOKUP(Table2[[#This Row],[Contraente]],Table1[[Nome/Ragione sociale]:[Checkbox selezionato]],7,FALSE),"-")</f>
        <v>papies@libero.it</v>
      </c>
      <c r="AO302" s="63">
        <f>IFERROR(VLOOKUP(Table2[[#This Row],[Contraente]],Table1[[Nome/Ragione sociale]:[Checkbox selezionato]],8,FALSE),"-")</f>
        <v>0</v>
      </c>
      <c r="AP302" s="63">
        <f>IFERROR(VLOOKUP(Table2[[#This Row],[Contraente]],Table1[[Nome/Ragione sociale]:[Checkbox selezionato]],10,FALSE),"-")</f>
        <v>0</v>
      </c>
      <c r="AQ302" s="63" t="str">
        <f>IFERROR(VLOOKUP(Table2[[#This Row],[Contraente]],Table1[[Nome/Ragione sociale]:[Checkbox selezionato]],11,FALSE),"-")</f>
        <v>SI</v>
      </c>
      <c r="AR302" s="63" t="str">
        <f>IFERROR(VLOOKUP(Table2[[#This Row],[Contraente]],Table1[[Nome/Ragione sociale]:[Checkbox selezionato]],12,FALSE),"-")</f>
        <v>SI</v>
      </c>
    </row>
    <row r="303" spans="1:44" ht="30" hidden="1" customHeight="1" x14ac:dyDescent="0.25">
      <c r="A303" s="60" t="str">
        <f>UPPER(LEFT(Table2[[#This Row],[Contraente]],1))</f>
        <v>C</v>
      </c>
      <c r="B303" s="60" t="s">
        <v>1634</v>
      </c>
      <c r="C303" s="81" t="s">
        <v>522</v>
      </c>
      <c r="D303" s="81" t="s">
        <v>37</v>
      </c>
      <c r="E303" s="86">
        <v>101317935</v>
      </c>
      <c r="F303" s="64">
        <v>42797</v>
      </c>
      <c r="G303" s="64">
        <f>IFERROR(CALCOLASCADENZA(Table2[[#This Row],[Data attivazione]],Table2[[#This Row],[Rateizzazione]],Table2[[#This Row],[Data ultimo pagamento]],Table2[[#This Row],[Data prossima scadenza manuale]]),"-")</f>
        <v>43150</v>
      </c>
      <c r="H303" s="67" t="s">
        <v>1628</v>
      </c>
      <c r="I303" s="67" t="s">
        <v>113</v>
      </c>
      <c r="J303" s="33">
        <f>IFERROR(Table2[[#This Row],[Importo annuale]]/(12/VLOOKUP(Table2[[#This Row],[Rateizzazione]],TIPI_RATEIZZAZIONI,2,FALSE)),"-")</f>
        <v>860</v>
      </c>
      <c r="K303" s="88">
        <v>860</v>
      </c>
      <c r="L303" s="88">
        <v>860</v>
      </c>
      <c r="M303" s="67" t="s">
        <v>44</v>
      </c>
      <c r="N303" s="67" t="s">
        <v>51</v>
      </c>
      <c r="O303" s="27" t="s">
        <v>1631</v>
      </c>
      <c r="P303" s="33" t="s">
        <v>23</v>
      </c>
      <c r="Q303" s="60">
        <f>IFERROR(IF(12 / VLOOKUP(Table2[[#This Row],[Rateizzazione]],TIPI_RATEIZZAZIONI,2,FALSE) &gt;=1,  IF(Table2[[#This Row],[Data attivazione]] = "","-",MONTH(Table2[[#This Row],[Data attivazione]])),"-"),"-")</f>
        <v>2</v>
      </c>
      <c r="R3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3" s="67" t="s">
        <v>2</v>
      </c>
      <c r="V303" s="62"/>
      <c r="W303" s="64">
        <v>42785</v>
      </c>
      <c r="X303" s="29">
        <f>DATE(YEAR(Table2[[#This Row],[Data attivazione]])+VLOOKUP(Table2[[#This Row],[Durata]],VALORE_DURATA,2,FALSE),MONTH(Table2[[#This Row],[Data attivazione]]),DAY(Table2[[#This Row],[Data attivazione]]))</f>
        <v>43150</v>
      </c>
      <c r="Y303" s="65"/>
      <c r="Z303" s="61"/>
      <c r="AA303" s="64" t="s">
        <v>85</v>
      </c>
      <c r="AB303" s="29" t="str">
        <f>IF(Table2[[#This Row],[Data ultimo versamento temp]]=0/1/1900,"-",Table2[[#This Row],[Data ultimo versamento temp]])</f>
        <v>-</v>
      </c>
      <c r="AC303" s="29">
        <f t="array" ref="AC303">MAX(IF(TableVersamenti[Polizza]=Table2[[#This Row],[Polizza]],TableVersamenti[Data prevista versamento],"-"))</f>
        <v>0</v>
      </c>
      <c r="AD303" s="62"/>
      <c r="AE303" s="106">
        <f>DATE(YEAR(Table2[[#This Row],[Data ultimo pagamento]]),MONTH(Table2[[#This Row],[Data ultimo pagamento]]), 1)</f>
        <v>42795</v>
      </c>
      <c r="AF303" s="106">
        <f>DATE(YEAR(Table2[[#This Row],[Data prossima scadenza]]),MONTH(Table2[[#This Row],[Data prossima scadenza]]), 1)</f>
        <v>43132</v>
      </c>
      <c r="AG303" s="33">
        <f>IFERROR(Table2[[#This Row],[Importo annuale]]*VLOOKUP(Table2[[#This Row],[Ramo]],RAMI_POLIZZA,2,FALSE),0)</f>
        <v>0</v>
      </c>
      <c r="AH303" s="65" t="s">
        <v>113</v>
      </c>
      <c r="AI303" s="63">
        <f>IFERROR(VLOOKUP(Table2[[#This Row],[Contraente]],Table1[[Nome/Ragione sociale]:[Checkbox selezionato]],2,FALSE),"-")</f>
        <v>0</v>
      </c>
      <c r="AJ303" s="63">
        <f>IFERROR(VLOOKUP(Table2[[#This Row],[Contraente]],Table1[[Nome/Ragione sociale]:[Checkbox selezionato]],3,FALSE),"-")</f>
        <v>0</v>
      </c>
      <c r="AK303" s="63">
        <f>IFERROR(VLOOKUP(Table2[[#This Row],[Contraente]],Table1[[Nome/Ragione sociale]:[Checkbox selezionato]],4,FALSE),"-")</f>
        <v>0</v>
      </c>
      <c r="AL303" s="63" t="str">
        <f>IFERROR(VLOOKUP(Table2[[#This Row],[Contraente]],Table1[[Nome/Ragione sociale]:[Checkbox selezionato]],5,FALSE),"-")</f>
        <v>BARCHERI</v>
      </c>
      <c r="AM303" s="62" t="str">
        <f>IFERROR(VLOOKUP(Table2[[#This Row],[Contraente]],Table1[[Nome/Ragione sociale]:[Checkbox selezionato]],6,FALSE),"-")</f>
        <v>-</v>
      </c>
      <c r="AN303" s="63" t="str">
        <f>IFERROR(VLOOKUP(Table2[[#This Row],[Contraente]],Table1[[Nome/Ragione sociale]:[Checkbox selezionato]],7,FALSE),"-")</f>
        <v>papies@libero.it</v>
      </c>
      <c r="AO303" s="63">
        <f>IFERROR(VLOOKUP(Table2[[#This Row],[Contraente]],Table1[[Nome/Ragione sociale]:[Checkbox selezionato]],8,FALSE),"-")</f>
        <v>0</v>
      </c>
      <c r="AP303" s="63">
        <f>IFERROR(VLOOKUP(Table2[[#This Row],[Contraente]],Table1[[Nome/Ragione sociale]:[Checkbox selezionato]],10,FALSE),"-")</f>
        <v>0</v>
      </c>
      <c r="AQ303" s="63" t="str">
        <f>IFERROR(VLOOKUP(Table2[[#This Row],[Contraente]],Table1[[Nome/Ragione sociale]:[Checkbox selezionato]],11,FALSE),"-")</f>
        <v>SI</v>
      </c>
      <c r="AR303" s="63" t="str">
        <f>IFERROR(VLOOKUP(Table2[[#This Row],[Contraente]],Table1[[Nome/Ragione sociale]:[Checkbox selezionato]],12,FALSE),"-")</f>
        <v>SI</v>
      </c>
    </row>
    <row r="304" spans="1:44" ht="30" hidden="1" customHeight="1" x14ac:dyDescent="0.25">
      <c r="A304" s="60" t="str">
        <f>UPPER(LEFT(Table2[[#This Row],[Contraente]],1))</f>
        <v>C</v>
      </c>
      <c r="B304" s="60" t="s">
        <v>1634</v>
      </c>
      <c r="C304" s="81" t="s">
        <v>509</v>
      </c>
      <c r="D304" s="81" t="s">
        <v>37</v>
      </c>
      <c r="E304" s="86">
        <v>106074370</v>
      </c>
      <c r="F304" s="64">
        <v>42865</v>
      </c>
      <c r="G304" s="64">
        <f>IFERROR(CALCOLASCADENZA(Table2[[#This Row],[Data attivazione]],Table2[[#This Row],[Rateizzazione]],Table2[[#This Row],[Data ultimo pagamento]],Table2[[#This Row],[Data prossima scadenza manuale]]),"-")</f>
        <v>43007</v>
      </c>
      <c r="H304" s="67" t="s">
        <v>30</v>
      </c>
      <c r="I304" s="67" t="s">
        <v>113</v>
      </c>
      <c r="J304" s="33">
        <f>IFERROR(Table2[[#This Row],[Importo annuale]]/(12/VLOOKUP(Table2[[#This Row],[Rateizzazione]],TIPI_RATEIZZAZIONI,2,FALSE)),"-")</f>
        <v>398</v>
      </c>
      <c r="K304" s="88">
        <v>398</v>
      </c>
      <c r="L304" s="88">
        <v>796</v>
      </c>
      <c r="M304" s="67" t="s">
        <v>45</v>
      </c>
      <c r="N304" s="67" t="s">
        <v>52</v>
      </c>
      <c r="O304" s="27" t="s">
        <v>1631</v>
      </c>
      <c r="P304" s="33" t="s">
        <v>22</v>
      </c>
      <c r="Q304" s="60">
        <f>IFERROR(IF(12 / VLOOKUP(Table2[[#This Row],[Rateizzazione]],TIPI_RATEIZZAZIONI,2,FALSE) &gt;=1,  IF(Table2[[#This Row],[Data attivazione]] = "","-",MONTH(Table2[[#This Row],[Data attivazione]])),"-"),"-")</f>
        <v>9</v>
      </c>
      <c r="R3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4" s="67" t="s">
        <v>2</v>
      </c>
      <c r="V304" s="62"/>
      <c r="W304" s="64">
        <v>42642</v>
      </c>
      <c r="X304" s="29">
        <f>DATE(YEAR(Table2[[#This Row],[Data attivazione]])+VLOOKUP(Table2[[#This Row],[Durata]],VALORE_DURATA,2,FALSE),MONTH(Table2[[#This Row],[Data attivazione]]),DAY(Table2[[#This Row],[Data attivazione]]))</f>
        <v>43007</v>
      </c>
      <c r="Y304" s="65"/>
      <c r="Z304" s="61"/>
      <c r="AA304" s="64" t="s">
        <v>85</v>
      </c>
      <c r="AB304" s="29" t="str">
        <f>IF(Table2[[#This Row],[Data ultimo versamento temp]]=0/1/1900,"-",Table2[[#This Row],[Data ultimo versamento temp]])</f>
        <v>-</v>
      </c>
      <c r="AC304" s="29">
        <f t="array" ref="AC304">MAX(IF(TableVersamenti[Polizza]=Table2[[#This Row],[Polizza]],TableVersamenti[Data prevista versamento],"-"))</f>
        <v>0</v>
      </c>
      <c r="AD304" s="62"/>
      <c r="AE304" s="106">
        <f>DATE(YEAR(Table2[[#This Row],[Data ultimo pagamento]]),MONTH(Table2[[#This Row],[Data ultimo pagamento]]), 1)</f>
        <v>42856</v>
      </c>
      <c r="AF304" s="106">
        <f>DATE(YEAR(Table2[[#This Row],[Data prossima scadenza]]),MONTH(Table2[[#This Row],[Data prossima scadenza]]), 1)</f>
        <v>42979</v>
      </c>
      <c r="AG304" s="33">
        <f>IFERROR(Table2[[#This Row],[Importo annuale]]*VLOOKUP(Table2[[#This Row],[Ramo]],RAMI_POLIZZA,2,FALSE),0)</f>
        <v>91.54</v>
      </c>
      <c r="AH304" s="65" t="s">
        <v>113</v>
      </c>
      <c r="AI304" s="63">
        <f>IFERROR(VLOOKUP(Table2[[#This Row],[Contraente]],Table1[[Nome/Ragione sociale]:[Checkbox selezionato]],2,FALSE),"-")</f>
        <v>0</v>
      </c>
      <c r="AJ304" s="63">
        <f>IFERROR(VLOOKUP(Table2[[#This Row],[Contraente]],Table1[[Nome/Ragione sociale]:[Checkbox selezionato]],3,FALSE),"-")</f>
        <v>0</v>
      </c>
      <c r="AK304" s="63">
        <f>IFERROR(VLOOKUP(Table2[[#This Row],[Contraente]],Table1[[Nome/Ragione sociale]:[Checkbox selezionato]],4,FALSE),"-")</f>
        <v>0</v>
      </c>
      <c r="AL304" s="63" t="str">
        <f>IFERROR(VLOOKUP(Table2[[#This Row],[Contraente]],Table1[[Nome/Ragione sociale]:[Checkbox selezionato]],5,FALSE),"-")</f>
        <v>FANELLI</v>
      </c>
      <c r="AM304" s="62" t="str">
        <f>IFERROR(VLOOKUP(Table2[[#This Row],[Contraente]],Table1[[Nome/Ragione sociale]:[Checkbox selezionato]],6,FALSE),"-")</f>
        <v>-</v>
      </c>
      <c r="AN304" s="63" t="str">
        <f>IFERROR(VLOOKUP(Table2[[#This Row],[Contraente]],Table1[[Nome/Ragione sociale]:[Checkbox selezionato]],7,FALSE),"-")</f>
        <v>papies@email.it</v>
      </c>
      <c r="AO304" s="63">
        <f>IFERROR(VLOOKUP(Table2[[#This Row],[Contraente]],Table1[[Nome/Ragione sociale]:[Checkbox selezionato]],8,FALSE),"-")</f>
        <v>0</v>
      </c>
      <c r="AP304" s="63">
        <f>IFERROR(VLOOKUP(Table2[[#This Row],[Contraente]],Table1[[Nome/Ragione sociale]:[Checkbox selezionato]],10,FALSE),"-")</f>
        <v>0</v>
      </c>
      <c r="AQ304" s="63" t="str">
        <f>IFERROR(VLOOKUP(Table2[[#This Row],[Contraente]],Table1[[Nome/Ragione sociale]:[Checkbox selezionato]],11,FALSE),"-")</f>
        <v>SI</v>
      </c>
      <c r="AR304" s="63" t="str">
        <f>IFERROR(VLOOKUP(Table2[[#This Row],[Contraente]],Table1[[Nome/Ragione sociale]:[Checkbox selezionato]],12,FALSE),"-")</f>
        <v>SI</v>
      </c>
    </row>
    <row r="305" spans="1:44" ht="30" hidden="1" customHeight="1" x14ac:dyDescent="0.25">
      <c r="A305" s="60" t="str">
        <f>UPPER(LEFT(Table2[[#This Row],[Contraente]],1))</f>
        <v>C</v>
      </c>
      <c r="B305" s="60" t="s">
        <v>1634</v>
      </c>
      <c r="C305" s="81" t="s">
        <v>511</v>
      </c>
      <c r="D305" s="81" t="s">
        <v>37</v>
      </c>
      <c r="E305" s="86">
        <v>105664646</v>
      </c>
      <c r="F305" s="64">
        <v>42877</v>
      </c>
      <c r="G305" s="64" t="str">
        <f>IFERROR(CALCOLASCADENZA(Table2[[#This Row],[Data attivazione]],Table2[[#This Row],[Rateizzazione]],Table2[[#This Row],[Data ultimo pagamento]],Table2[[#This Row],[Data prossima scadenza manuale]]),"-")</f>
        <v>-</v>
      </c>
      <c r="H305" s="67" t="s">
        <v>30</v>
      </c>
      <c r="I305" s="67" t="s">
        <v>113</v>
      </c>
      <c r="J305" s="33">
        <f>IFERROR(Table2[[#This Row],[Importo annuale]]/(12/VLOOKUP(Table2[[#This Row],[Rateizzazione]],TIPI_RATEIZZAZIONI,2,FALSE)),"-")</f>
        <v>546</v>
      </c>
      <c r="K305" s="88">
        <v>546</v>
      </c>
      <c r="L305" s="88">
        <v>1092</v>
      </c>
      <c r="M305" s="67" t="s">
        <v>45</v>
      </c>
      <c r="N305" s="67" t="s">
        <v>51</v>
      </c>
      <c r="O305" s="27" t="s">
        <v>1631</v>
      </c>
      <c r="P305" s="33" t="s">
        <v>22</v>
      </c>
      <c r="Q30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5" s="67" t="s">
        <v>2</v>
      </c>
      <c r="V305" s="62"/>
      <c r="W305" s="64" t="e">
        <v>#VALUE!</v>
      </c>
      <c r="X305" s="29" t="e">
        <f>DATE(YEAR(Table2[[#This Row],[Data attivazione]])+VLOOKUP(Table2[[#This Row],[Durata]],VALORE_DURATA,2,FALSE),MONTH(Table2[[#This Row],[Data attivazione]]),DAY(Table2[[#This Row],[Data attivazione]]))</f>
        <v>#VALUE!</v>
      </c>
      <c r="Y305" s="65"/>
      <c r="Z305" s="61"/>
      <c r="AA305" s="64" t="s">
        <v>85</v>
      </c>
      <c r="AB305" s="29" t="str">
        <f>IF(Table2[[#This Row],[Data ultimo versamento temp]]=0/1/1900,"-",Table2[[#This Row],[Data ultimo versamento temp]])</f>
        <v>-</v>
      </c>
      <c r="AC305" s="29">
        <f t="array" ref="AC305">MAX(IF(TableVersamenti[Polizza]=Table2[[#This Row],[Polizza]],TableVersamenti[Data prevista versamento],"-"))</f>
        <v>0</v>
      </c>
      <c r="AD305" s="62"/>
      <c r="AE305" s="106">
        <f>DATE(YEAR(Table2[[#This Row],[Data ultimo pagamento]]),MONTH(Table2[[#This Row],[Data ultimo pagamento]]), 1)</f>
        <v>42856</v>
      </c>
      <c r="AF305" s="106" t="e">
        <f>DATE(YEAR(Table2[[#This Row],[Data prossima scadenza]]),MONTH(Table2[[#This Row],[Data prossima scadenza]]), 1)</f>
        <v>#VALUE!</v>
      </c>
      <c r="AG305" s="33">
        <f>IFERROR(Table2[[#This Row],[Importo annuale]]*VLOOKUP(Table2[[#This Row],[Ramo]],RAMI_POLIZZA,2,FALSE),0)</f>
        <v>125.58000000000001</v>
      </c>
      <c r="AH305" s="65" t="s">
        <v>113</v>
      </c>
      <c r="AI305" s="63" t="str">
        <f>IFERROR(VLOOKUP(Table2[[#This Row],[Contraente]],Table1[[Nome/Ragione sociale]:[Checkbox selezionato]],2,FALSE),"-")</f>
        <v>CURA CARPIGNANO</v>
      </c>
      <c r="AJ305" s="63">
        <f>IFERROR(VLOOKUP(Table2[[#This Row],[Contraente]],Table1[[Nome/Ragione sociale]:[Checkbox selezionato]],3,FALSE),"-")</f>
        <v>0</v>
      </c>
      <c r="AK305" s="63">
        <f>IFERROR(VLOOKUP(Table2[[#This Row],[Contraente]],Table1[[Nome/Ragione sociale]:[Checkbox selezionato]],4,FALSE),"-")</f>
        <v>0</v>
      </c>
      <c r="AL305" s="63" t="str">
        <f>IFERROR(VLOOKUP(Table2[[#This Row],[Contraente]],Table1[[Nome/Ragione sociale]:[Checkbox selezionato]],5,FALSE),"-")</f>
        <v>FANELLI</v>
      </c>
      <c r="AM305" s="62" t="str">
        <f>IFERROR(VLOOKUP(Table2[[#This Row],[Contraente]],Table1[[Nome/Ragione sociale]:[Checkbox selezionato]],6,FALSE),"-")</f>
        <v>-</v>
      </c>
      <c r="AN305" s="63" t="str">
        <f>IFERROR(VLOOKUP(Table2[[#This Row],[Contraente]],Table1[[Nome/Ragione sociale]:[Checkbox selezionato]],7,FALSE),"-")</f>
        <v>papies@libero.it</v>
      </c>
      <c r="AO305" s="63">
        <f>IFERROR(VLOOKUP(Table2[[#This Row],[Contraente]],Table1[[Nome/Ragione sociale]:[Checkbox selezionato]],8,FALSE),"-")</f>
        <v>0</v>
      </c>
      <c r="AP305" s="63">
        <f>IFERROR(VLOOKUP(Table2[[#This Row],[Contraente]],Table1[[Nome/Ragione sociale]:[Checkbox selezionato]],10,FALSE),"-")</f>
        <v>0</v>
      </c>
      <c r="AQ305" s="63" t="str">
        <f>IFERROR(VLOOKUP(Table2[[#This Row],[Contraente]],Table1[[Nome/Ragione sociale]:[Checkbox selezionato]],11,FALSE),"-")</f>
        <v>SI</v>
      </c>
      <c r="AR305" s="63" t="str">
        <f>IFERROR(VLOOKUP(Table2[[#This Row],[Contraente]],Table1[[Nome/Ragione sociale]:[Checkbox selezionato]],12,FALSE),"-")</f>
        <v>SI</v>
      </c>
    </row>
    <row r="306" spans="1:44" ht="30" hidden="1" customHeight="1" x14ac:dyDescent="0.25">
      <c r="A306" s="60" t="str">
        <f>UPPER(LEFT(Table2[[#This Row],[Contraente]],1))</f>
        <v>C</v>
      </c>
      <c r="B306" s="60" t="s">
        <v>1634</v>
      </c>
      <c r="C306" s="81" t="s">
        <v>504</v>
      </c>
      <c r="D306" s="81" t="s">
        <v>37</v>
      </c>
      <c r="E306" s="86">
        <v>106354730</v>
      </c>
      <c r="F306" s="64">
        <v>42915</v>
      </c>
      <c r="G306" s="64">
        <f>IFERROR(CALCOLASCADENZA(Table2[[#This Row],[Data attivazione]],Table2[[#This Row],[Rateizzazione]],Table2[[#This Row],[Data ultimo pagamento]],Table2[[#This Row],[Data prossima scadenza manuale]]),"-")</f>
        <v>43099</v>
      </c>
      <c r="H306" s="67" t="s">
        <v>30</v>
      </c>
      <c r="I306" s="67" t="s">
        <v>113</v>
      </c>
      <c r="J306" s="33">
        <f>IFERROR(Table2[[#This Row],[Importo annuale]]/(12/VLOOKUP(Table2[[#This Row],[Rateizzazione]],TIPI_RATEIZZAZIONI,2,FALSE)),"-")</f>
        <v>1015</v>
      </c>
      <c r="K306" s="88">
        <v>1015</v>
      </c>
      <c r="L306" s="88">
        <v>2030</v>
      </c>
      <c r="M306" s="67" t="s">
        <v>44</v>
      </c>
      <c r="N306" s="67" t="s">
        <v>52</v>
      </c>
      <c r="O306" s="27" t="s">
        <v>1631</v>
      </c>
      <c r="P306" s="33" t="s">
        <v>22</v>
      </c>
      <c r="Q306" s="60">
        <f>IFERROR(IF(12 / VLOOKUP(Table2[[#This Row],[Rateizzazione]],TIPI_RATEIZZAZIONI,2,FALSE) &gt;=1,  IF(Table2[[#This Row],[Data attivazione]] = "","-",MONTH(Table2[[#This Row],[Data attivazione]])),"-"),"-")</f>
        <v>12</v>
      </c>
      <c r="R3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6" s="67" t="s">
        <v>2</v>
      </c>
      <c r="V306" s="62"/>
      <c r="W306" s="64">
        <v>42735</v>
      </c>
      <c r="X306" s="29">
        <f>DATE(YEAR(Table2[[#This Row],[Data attivazione]])+VLOOKUP(Table2[[#This Row],[Durata]],VALORE_DURATA,2,FALSE),MONTH(Table2[[#This Row],[Data attivazione]]),DAY(Table2[[#This Row],[Data attivazione]]))</f>
        <v>43100</v>
      </c>
      <c r="Y306" s="65"/>
      <c r="Z306" s="61"/>
      <c r="AA306" s="64" t="s">
        <v>85</v>
      </c>
      <c r="AB306" s="29" t="str">
        <f>IF(Table2[[#This Row],[Data ultimo versamento temp]]=0/1/1900,"-",Table2[[#This Row],[Data ultimo versamento temp]])</f>
        <v>-</v>
      </c>
      <c r="AC306" s="29">
        <f t="array" ref="AC306">MAX(IF(TableVersamenti[Polizza]=Table2[[#This Row],[Polizza]],TableVersamenti[Data prevista versamento],"-"))</f>
        <v>0</v>
      </c>
      <c r="AD306" s="62"/>
      <c r="AE306" s="106">
        <f>DATE(YEAR(Table2[[#This Row],[Data ultimo pagamento]]),MONTH(Table2[[#This Row],[Data ultimo pagamento]]), 1)</f>
        <v>42887</v>
      </c>
      <c r="AF306" s="106">
        <f>DATE(YEAR(Table2[[#This Row],[Data prossima scadenza]]),MONTH(Table2[[#This Row],[Data prossima scadenza]]), 1)</f>
        <v>43070</v>
      </c>
      <c r="AG306" s="33">
        <f>IFERROR(Table2[[#This Row],[Importo annuale]]*VLOOKUP(Table2[[#This Row],[Ramo]],RAMI_POLIZZA,2,FALSE),0)</f>
        <v>233.45000000000002</v>
      </c>
      <c r="AH306" s="65" t="s">
        <v>113</v>
      </c>
      <c r="AI306" s="63" t="str">
        <f>IFERROR(VLOOKUP(Table2[[#This Row],[Contraente]],Table1[[Nome/Ragione sociale]:[Checkbox selezionato]],2,FALSE),"-")</f>
        <v>BELGIOIOSO</v>
      </c>
      <c r="AJ306" s="63">
        <f>IFERROR(VLOOKUP(Table2[[#This Row],[Contraente]],Table1[[Nome/Ragione sociale]:[Checkbox selezionato]],3,FALSE),"-")</f>
        <v>0</v>
      </c>
      <c r="AK306" s="63">
        <f>IFERROR(VLOOKUP(Table2[[#This Row],[Contraente]],Table1[[Nome/Ragione sociale]:[Checkbox selezionato]],4,FALSE),"-")</f>
        <v>0</v>
      </c>
      <c r="AL306" s="63" t="str">
        <f>IFERROR(VLOOKUP(Table2[[#This Row],[Contraente]],Table1[[Nome/Ragione sociale]:[Checkbox selezionato]],5,FALSE),"-")</f>
        <v>MONTANINO</v>
      </c>
      <c r="AM306" s="62" t="str">
        <f>IFERROR(VLOOKUP(Table2[[#This Row],[Contraente]],Table1[[Nome/Ragione sociale]:[Checkbox selezionato]],6,FALSE),"-")</f>
        <v>-</v>
      </c>
      <c r="AN306" s="63" t="str">
        <f>IFERROR(VLOOKUP(Table2[[#This Row],[Contraente]],Table1[[Nome/Ragione sociale]:[Checkbox selezionato]],7,FALSE),"-")</f>
        <v>papies@libero.it</v>
      </c>
      <c r="AO306" s="63">
        <f>IFERROR(VLOOKUP(Table2[[#This Row],[Contraente]],Table1[[Nome/Ragione sociale]:[Checkbox selezionato]],8,FALSE),"-")</f>
        <v>0</v>
      </c>
      <c r="AP306" s="63">
        <f>IFERROR(VLOOKUP(Table2[[#This Row],[Contraente]],Table1[[Nome/Ragione sociale]:[Checkbox selezionato]],10,FALSE),"-")</f>
        <v>0</v>
      </c>
      <c r="AQ306" s="63" t="str">
        <f>IFERROR(VLOOKUP(Table2[[#This Row],[Contraente]],Table1[[Nome/Ragione sociale]:[Checkbox selezionato]],11,FALSE),"-")</f>
        <v>SI</v>
      </c>
      <c r="AR306" s="63" t="str">
        <f>IFERROR(VLOOKUP(Table2[[#This Row],[Contraente]],Table1[[Nome/Ragione sociale]:[Checkbox selezionato]],12,FALSE),"-")</f>
        <v>SI</v>
      </c>
    </row>
    <row r="307" spans="1:44" ht="30" hidden="1" customHeight="1" x14ac:dyDescent="0.25">
      <c r="A307" s="60" t="str">
        <f>UPPER(LEFT(Table2[[#This Row],[Contraente]],1))</f>
        <v>C</v>
      </c>
      <c r="B307" s="60" t="s">
        <v>1634</v>
      </c>
      <c r="C307" s="81" t="s">
        <v>501</v>
      </c>
      <c r="D307" s="81" t="s">
        <v>37</v>
      </c>
      <c r="E307" s="86">
        <v>106460055</v>
      </c>
      <c r="F307" s="64">
        <v>42761</v>
      </c>
      <c r="G307" s="64">
        <f>IFERROR(CALCOLASCADENZA(Table2[[#This Row],[Data attivazione]],Table2[[#This Row],[Rateizzazione]],Table2[[#This Row],[Data ultimo pagamento]],Table2[[#This Row],[Data prossima scadenza manuale]]),"-")</f>
        <v>43126</v>
      </c>
      <c r="H307" s="67" t="s">
        <v>30</v>
      </c>
      <c r="I307" s="67" t="s">
        <v>113</v>
      </c>
      <c r="J307" s="33">
        <f>IFERROR(Table2[[#This Row],[Importo annuale]]/(12/VLOOKUP(Table2[[#This Row],[Rateizzazione]],TIPI_RATEIZZAZIONI,2,FALSE)),"-")</f>
        <v>800</v>
      </c>
      <c r="K307" s="88">
        <v>800</v>
      </c>
      <c r="L307" s="88">
        <v>800</v>
      </c>
      <c r="M307" s="67" t="s">
        <v>44</v>
      </c>
      <c r="N307" s="67" t="s">
        <v>52</v>
      </c>
      <c r="O307" s="27" t="s">
        <v>1631</v>
      </c>
      <c r="P307" s="33" t="s">
        <v>23</v>
      </c>
      <c r="Q307" s="60">
        <f>IFERROR(IF(12 / VLOOKUP(Table2[[#This Row],[Rateizzazione]],TIPI_RATEIZZAZIONI,2,FALSE) &gt;=1,  IF(Table2[[#This Row],[Data attivazione]] = "","-",MONTH(Table2[[#This Row],[Data attivazione]])),"-"),"-")</f>
        <v>1</v>
      </c>
      <c r="R3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7" s="67" t="s">
        <v>2</v>
      </c>
      <c r="V307" s="62"/>
      <c r="W307" s="64">
        <v>42761</v>
      </c>
      <c r="X307" s="29">
        <f>DATE(YEAR(Table2[[#This Row],[Data attivazione]])+VLOOKUP(Table2[[#This Row],[Durata]],VALORE_DURATA,2,FALSE),MONTH(Table2[[#This Row],[Data attivazione]]),DAY(Table2[[#This Row],[Data attivazione]]))</f>
        <v>43126</v>
      </c>
      <c r="Y307" s="65"/>
      <c r="Z307" s="61"/>
      <c r="AA307" s="64" t="s">
        <v>85</v>
      </c>
      <c r="AB307" s="29" t="str">
        <f>IF(Table2[[#This Row],[Data ultimo versamento temp]]=0/1/1900,"-",Table2[[#This Row],[Data ultimo versamento temp]])</f>
        <v>-</v>
      </c>
      <c r="AC307" s="29">
        <f t="array" ref="AC307">MAX(IF(TableVersamenti[Polizza]=Table2[[#This Row],[Polizza]],TableVersamenti[Data prevista versamento],"-"))</f>
        <v>0</v>
      </c>
      <c r="AD307" s="62"/>
      <c r="AE307" s="106">
        <f>DATE(YEAR(Table2[[#This Row],[Data ultimo pagamento]]),MONTH(Table2[[#This Row],[Data ultimo pagamento]]), 1)</f>
        <v>42736</v>
      </c>
      <c r="AF307" s="106">
        <f>DATE(YEAR(Table2[[#This Row],[Data prossima scadenza]]),MONTH(Table2[[#This Row],[Data prossima scadenza]]), 1)</f>
        <v>43101</v>
      </c>
      <c r="AG307" s="33">
        <f>IFERROR(Table2[[#This Row],[Importo annuale]]*VLOOKUP(Table2[[#This Row],[Ramo]],RAMI_POLIZZA,2,FALSE),0)</f>
        <v>92</v>
      </c>
      <c r="AH307" s="65" t="s">
        <v>113</v>
      </c>
      <c r="AI307" s="63" t="str">
        <f>IFERROR(VLOOKUP(Table2[[#This Row],[Contraente]],Table1[[Nome/Ragione sociale]:[Checkbox selezionato]],2,FALSE),"-")</f>
        <v>ZECCONE</v>
      </c>
      <c r="AJ307" s="63">
        <f>IFERROR(VLOOKUP(Table2[[#This Row],[Contraente]],Table1[[Nome/Ragione sociale]:[Checkbox selezionato]],3,FALSE),"-")</f>
        <v>0</v>
      </c>
      <c r="AK307" s="63">
        <f>IFERROR(VLOOKUP(Table2[[#This Row],[Contraente]],Table1[[Nome/Ragione sociale]:[Checkbox selezionato]],4,FALSE),"-")</f>
        <v>0</v>
      </c>
      <c r="AL307" s="63" t="str">
        <f>IFERROR(VLOOKUP(Table2[[#This Row],[Contraente]],Table1[[Nome/Ragione sociale]:[Checkbox selezionato]],5,FALSE),"-")</f>
        <v>BARCHERI</v>
      </c>
      <c r="AM307" s="62" t="str">
        <f>IFERROR(VLOOKUP(Table2[[#This Row],[Contraente]],Table1[[Nome/Ragione sociale]:[Checkbox selezionato]],6,FALSE),"-")</f>
        <v>-</v>
      </c>
      <c r="AN307" s="63" t="str">
        <f>IFERROR(VLOOKUP(Table2[[#This Row],[Contraente]],Table1[[Nome/Ragione sociale]:[Checkbox selezionato]],7,FALSE),"-")</f>
        <v>papies@email.it</v>
      </c>
      <c r="AO307" s="63">
        <f>IFERROR(VLOOKUP(Table2[[#This Row],[Contraente]],Table1[[Nome/Ragione sociale]:[Checkbox selezionato]],8,FALSE),"-")</f>
        <v>0</v>
      </c>
      <c r="AP307" s="63">
        <f>IFERROR(VLOOKUP(Table2[[#This Row],[Contraente]],Table1[[Nome/Ragione sociale]:[Checkbox selezionato]],10,FALSE),"-")</f>
        <v>0</v>
      </c>
      <c r="AQ307" s="63" t="str">
        <f>IFERROR(VLOOKUP(Table2[[#This Row],[Contraente]],Table1[[Nome/Ragione sociale]:[Checkbox selezionato]],11,FALSE),"-")</f>
        <v>SI</v>
      </c>
      <c r="AR307" s="63" t="str">
        <f>IFERROR(VLOOKUP(Table2[[#This Row],[Contraente]],Table1[[Nome/Ragione sociale]:[Checkbox selezionato]],12,FALSE),"-")</f>
        <v>SI</v>
      </c>
    </row>
    <row r="308" spans="1:44" ht="30" hidden="1" customHeight="1" x14ac:dyDescent="0.25">
      <c r="A308" s="60" t="str">
        <f>UPPER(LEFT(Table2[[#This Row],[Contraente]],1))</f>
        <v>C</v>
      </c>
      <c r="B308" s="60" t="s">
        <v>1634</v>
      </c>
      <c r="C308" s="81" t="s">
        <v>501</v>
      </c>
      <c r="D308" s="81" t="s">
        <v>37</v>
      </c>
      <c r="E308" s="86">
        <v>106842553</v>
      </c>
      <c r="F308" s="64">
        <v>42865</v>
      </c>
      <c r="G308" s="64">
        <f>IFERROR(CALCOLASCADENZA(Table2[[#This Row],[Data attivazione]],Table2[[#This Row],[Rateizzazione]],Table2[[#This Row],[Data ultimo pagamento]],Table2[[#This Row],[Data prossima scadenza manuale]]),"-")</f>
        <v>43233</v>
      </c>
      <c r="H308" s="67" t="s">
        <v>30</v>
      </c>
      <c r="I308" s="67" t="s">
        <v>113</v>
      </c>
      <c r="J308" s="33">
        <f>IFERROR(Table2[[#This Row],[Importo annuale]]/(12/VLOOKUP(Table2[[#This Row],[Rateizzazione]],TIPI_RATEIZZAZIONI,2,FALSE)),"-")</f>
        <v>557</v>
      </c>
      <c r="K308" s="88">
        <v>557</v>
      </c>
      <c r="L308" s="88">
        <v>557</v>
      </c>
      <c r="M308" s="67" t="s">
        <v>45</v>
      </c>
      <c r="N308" s="67" t="s">
        <v>52</v>
      </c>
      <c r="O308" s="27" t="s">
        <v>1631</v>
      </c>
      <c r="P308" s="33" t="s">
        <v>23</v>
      </c>
      <c r="Q308" s="60">
        <f>IFERROR(IF(12 / VLOOKUP(Table2[[#This Row],[Rateizzazione]],TIPI_RATEIZZAZIONI,2,FALSE) &gt;=1,  IF(Table2[[#This Row],[Data attivazione]] = "","-",MONTH(Table2[[#This Row],[Data attivazione]])),"-"),"-")</f>
        <v>5</v>
      </c>
      <c r="R3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8" s="67" t="s">
        <v>2</v>
      </c>
      <c r="V308" s="62"/>
      <c r="W308" s="64">
        <v>42868</v>
      </c>
      <c r="X308" s="29">
        <f>DATE(YEAR(Table2[[#This Row],[Data attivazione]])+VLOOKUP(Table2[[#This Row],[Durata]],VALORE_DURATA,2,FALSE),MONTH(Table2[[#This Row],[Data attivazione]]),DAY(Table2[[#This Row],[Data attivazione]]))</f>
        <v>43233</v>
      </c>
      <c r="Y308" s="65"/>
      <c r="Z308" s="61"/>
      <c r="AA308" s="64" t="s">
        <v>85</v>
      </c>
      <c r="AB308" s="29" t="str">
        <f>IF(Table2[[#This Row],[Data ultimo versamento temp]]=0/1/1900,"-",Table2[[#This Row],[Data ultimo versamento temp]])</f>
        <v>-</v>
      </c>
      <c r="AC308" s="29">
        <f t="array" ref="AC308">MAX(IF(TableVersamenti[Polizza]=Table2[[#This Row],[Polizza]],TableVersamenti[Data prevista versamento],"-"))</f>
        <v>0</v>
      </c>
      <c r="AD308" s="62"/>
      <c r="AE308" s="106">
        <f>DATE(YEAR(Table2[[#This Row],[Data ultimo pagamento]]),MONTH(Table2[[#This Row],[Data ultimo pagamento]]), 1)</f>
        <v>42856</v>
      </c>
      <c r="AF308" s="106">
        <f>DATE(YEAR(Table2[[#This Row],[Data prossima scadenza]]),MONTH(Table2[[#This Row],[Data prossima scadenza]]), 1)</f>
        <v>43221</v>
      </c>
      <c r="AG308" s="33">
        <f>IFERROR(Table2[[#This Row],[Importo annuale]]*VLOOKUP(Table2[[#This Row],[Ramo]],RAMI_POLIZZA,2,FALSE),0)</f>
        <v>64.055000000000007</v>
      </c>
      <c r="AH308" s="65" t="s">
        <v>113</v>
      </c>
      <c r="AI308" s="63" t="str">
        <f>IFERROR(VLOOKUP(Table2[[#This Row],[Contraente]],Table1[[Nome/Ragione sociale]:[Checkbox selezionato]],2,FALSE),"-")</f>
        <v>ZECCONE</v>
      </c>
      <c r="AJ308" s="63">
        <f>IFERROR(VLOOKUP(Table2[[#This Row],[Contraente]],Table1[[Nome/Ragione sociale]:[Checkbox selezionato]],3,FALSE),"-")</f>
        <v>0</v>
      </c>
      <c r="AK308" s="63">
        <f>IFERROR(VLOOKUP(Table2[[#This Row],[Contraente]],Table1[[Nome/Ragione sociale]:[Checkbox selezionato]],4,FALSE),"-")</f>
        <v>0</v>
      </c>
      <c r="AL308" s="63" t="str">
        <f>IFERROR(VLOOKUP(Table2[[#This Row],[Contraente]],Table1[[Nome/Ragione sociale]:[Checkbox selezionato]],5,FALSE),"-")</f>
        <v>BARCHERI</v>
      </c>
      <c r="AM308" s="62" t="str">
        <f>IFERROR(VLOOKUP(Table2[[#This Row],[Contraente]],Table1[[Nome/Ragione sociale]:[Checkbox selezionato]],6,FALSE),"-")</f>
        <v>-</v>
      </c>
      <c r="AN308" s="63" t="str">
        <f>IFERROR(VLOOKUP(Table2[[#This Row],[Contraente]],Table1[[Nome/Ragione sociale]:[Checkbox selezionato]],7,FALSE),"-")</f>
        <v>papies@email.it</v>
      </c>
      <c r="AO308" s="63">
        <f>IFERROR(VLOOKUP(Table2[[#This Row],[Contraente]],Table1[[Nome/Ragione sociale]:[Checkbox selezionato]],8,FALSE),"-")</f>
        <v>0</v>
      </c>
      <c r="AP308" s="63">
        <f>IFERROR(VLOOKUP(Table2[[#This Row],[Contraente]],Table1[[Nome/Ragione sociale]:[Checkbox selezionato]],10,FALSE),"-")</f>
        <v>0</v>
      </c>
      <c r="AQ308" s="63" t="str">
        <f>IFERROR(VLOOKUP(Table2[[#This Row],[Contraente]],Table1[[Nome/Ragione sociale]:[Checkbox selezionato]],11,FALSE),"-")</f>
        <v>SI</v>
      </c>
      <c r="AR308" s="63" t="str">
        <f>IFERROR(VLOOKUP(Table2[[#This Row],[Contraente]],Table1[[Nome/Ragione sociale]:[Checkbox selezionato]],12,FALSE),"-")</f>
        <v>SI</v>
      </c>
    </row>
    <row r="309" spans="1:44" ht="30" hidden="1" customHeight="1" x14ac:dyDescent="0.25">
      <c r="A309" s="60" t="str">
        <f>UPPER(LEFT(Table2[[#This Row],[Contraente]],1))</f>
        <v>C</v>
      </c>
      <c r="B309" s="60" t="s">
        <v>1634</v>
      </c>
      <c r="C309" s="81" t="s">
        <v>521</v>
      </c>
      <c r="D309" s="81" t="s">
        <v>37</v>
      </c>
      <c r="E309" s="86">
        <v>105710140</v>
      </c>
      <c r="F309" s="64">
        <v>42908</v>
      </c>
      <c r="G309" s="64">
        <f>IFERROR(CALCOLASCADENZA(Table2[[#This Row],[Data attivazione]],Table2[[#This Row],[Rateizzazione]],Table2[[#This Row],[Data ultimo pagamento]],Table2[[#This Row],[Data prossima scadenza manuale]]),"-")</f>
        <v>43098</v>
      </c>
      <c r="H309" s="67" t="s">
        <v>30</v>
      </c>
      <c r="I309" s="67" t="s">
        <v>113</v>
      </c>
      <c r="J309" s="33">
        <f>IFERROR(Table2[[#This Row],[Importo annuale]]/(12/VLOOKUP(Table2[[#This Row],[Rateizzazione]],TIPI_RATEIZZAZIONI,2,FALSE)),"-")</f>
        <v>532</v>
      </c>
      <c r="K309" s="88">
        <v>532</v>
      </c>
      <c r="L309" s="88">
        <v>1064</v>
      </c>
      <c r="M309" s="67" t="s">
        <v>45</v>
      </c>
      <c r="N309" s="67" t="s">
        <v>52</v>
      </c>
      <c r="O309" s="27" t="s">
        <v>1631</v>
      </c>
      <c r="P309" s="33" t="s">
        <v>22</v>
      </c>
      <c r="Q309" s="60">
        <f>IFERROR(IF(12 / VLOOKUP(Table2[[#This Row],[Rateizzazione]],TIPI_RATEIZZAZIONI,2,FALSE) &gt;=1,  IF(Table2[[#This Row],[Data attivazione]] = "","-",MONTH(Table2[[#This Row],[Data attivazione]])),"-"),"-")</f>
        <v>12</v>
      </c>
      <c r="R3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9" s="67" t="s">
        <v>2</v>
      </c>
      <c r="V309" s="62"/>
      <c r="W309" s="64">
        <v>42733</v>
      </c>
      <c r="X309" s="29">
        <f>DATE(YEAR(Table2[[#This Row],[Data attivazione]])+VLOOKUP(Table2[[#This Row],[Durata]],VALORE_DURATA,2,FALSE),MONTH(Table2[[#This Row],[Data attivazione]]),DAY(Table2[[#This Row],[Data attivazione]]))</f>
        <v>43098</v>
      </c>
      <c r="Y309" s="65"/>
      <c r="Z309" s="61"/>
      <c r="AA309" s="64" t="s">
        <v>85</v>
      </c>
      <c r="AB309" s="29" t="str">
        <f>IF(Table2[[#This Row],[Data ultimo versamento temp]]=0/1/1900,"-",Table2[[#This Row],[Data ultimo versamento temp]])</f>
        <v>-</v>
      </c>
      <c r="AC309" s="29">
        <f t="array" ref="AC309">MAX(IF(TableVersamenti[Polizza]=Table2[[#This Row],[Polizza]],TableVersamenti[Data prevista versamento],"-"))</f>
        <v>0</v>
      </c>
      <c r="AD309" s="62"/>
      <c r="AE309" s="106">
        <f>DATE(YEAR(Table2[[#This Row],[Data ultimo pagamento]]),MONTH(Table2[[#This Row],[Data ultimo pagamento]]), 1)</f>
        <v>42887</v>
      </c>
      <c r="AF309" s="106">
        <f>DATE(YEAR(Table2[[#This Row],[Data prossima scadenza]]),MONTH(Table2[[#This Row],[Data prossima scadenza]]), 1)</f>
        <v>43070</v>
      </c>
      <c r="AG309" s="33">
        <f>IFERROR(Table2[[#This Row],[Importo annuale]]*VLOOKUP(Table2[[#This Row],[Ramo]],RAMI_POLIZZA,2,FALSE),0)</f>
        <v>122.36</v>
      </c>
      <c r="AH309" s="65" t="s">
        <v>113</v>
      </c>
      <c r="AI309" s="63">
        <f>IFERROR(VLOOKUP(Table2[[#This Row],[Contraente]],Table1[[Nome/Ragione sociale]:[Checkbox selezionato]],2,FALSE),"-")</f>
        <v>0</v>
      </c>
      <c r="AJ309" s="63">
        <f>IFERROR(VLOOKUP(Table2[[#This Row],[Contraente]],Table1[[Nome/Ragione sociale]:[Checkbox selezionato]],3,FALSE),"-")</f>
        <v>0</v>
      </c>
      <c r="AK309" s="63">
        <f>IFERROR(VLOOKUP(Table2[[#This Row],[Contraente]],Table1[[Nome/Ragione sociale]:[Checkbox selezionato]],4,FALSE),"-")</f>
        <v>0</v>
      </c>
      <c r="AL309" s="63" t="str">
        <f>IFERROR(VLOOKUP(Table2[[#This Row],[Contraente]],Table1[[Nome/Ragione sociale]:[Checkbox selezionato]],5,FALSE),"-")</f>
        <v>FANELLI</v>
      </c>
      <c r="AM309" s="62" t="str">
        <f>IFERROR(VLOOKUP(Table2[[#This Row],[Contraente]],Table1[[Nome/Ragione sociale]:[Checkbox selezionato]],6,FALSE),"-")</f>
        <v>-</v>
      </c>
      <c r="AN309" s="63" t="str">
        <f>IFERROR(VLOOKUP(Table2[[#This Row],[Contraente]],Table1[[Nome/Ragione sociale]:[Checkbox selezionato]],7,FALSE),"-")</f>
        <v>papies@libero.it</v>
      </c>
      <c r="AO309" s="63">
        <f>IFERROR(VLOOKUP(Table2[[#This Row],[Contraente]],Table1[[Nome/Ragione sociale]:[Checkbox selezionato]],8,FALSE),"-")</f>
        <v>0</v>
      </c>
      <c r="AP309" s="63">
        <f>IFERROR(VLOOKUP(Table2[[#This Row],[Contraente]],Table1[[Nome/Ragione sociale]:[Checkbox selezionato]],10,FALSE),"-")</f>
        <v>0</v>
      </c>
      <c r="AQ309" s="63" t="str">
        <f>IFERROR(VLOOKUP(Table2[[#This Row],[Contraente]],Table1[[Nome/Ragione sociale]:[Checkbox selezionato]],11,FALSE),"-")</f>
        <v>SI</v>
      </c>
      <c r="AR309" s="63" t="str">
        <f>IFERROR(VLOOKUP(Table2[[#This Row],[Contraente]],Table1[[Nome/Ragione sociale]:[Checkbox selezionato]],12,FALSE),"-")</f>
        <v>SI</v>
      </c>
    </row>
    <row r="310" spans="1:44" ht="30" hidden="1" customHeight="1" x14ac:dyDescent="0.25">
      <c r="A310" s="60" t="str">
        <f>UPPER(LEFT(Table2[[#This Row],[Contraente]],1))</f>
        <v>C</v>
      </c>
      <c r="B310" s="60" t="s">
        <v>1634</v>
      </c>
      <c r="C310" s="81" t="s">
        <v>524</v>
      </c>
      <c r="D310" s="81" t="s">
        <v>37</v>
      </c>
      <c r="E310" s="86">
        <v>105546593</v>
      </c>
      <c r="F310" s="64">
        <v>42858</v>
      </c>
      <c r="G310" s="64">
        <f>IFERROR(CALCOLASCADENZA(Table2[[#This Row],[Data attivazione]],Table2[[#This Row],[Rateizzazione]],Table2[[#This Row],[Data ultimo pagamento]],Table2[[#This Row],[Data prossima scadenza manuale]]),"-")</f>
        <v>43219</v>
      </c>
      <c r="H310" s="67" t="s">
        <v>30</v>
      </c>
      <c r="I310" s="67" t="s">
        <v>113</v>
      </c>
      <c r="J310" s="33">
        <f>IFERROR(Table2[[#This Row],[Importo annuale]]/(12/VLOOKUP(Table2[[#This Row],[Rateizzazione]],TIPI_RATEIZZAZIONI,2,FALSE)),"-")</f>
        <v>1100</v>
      </c>
      <c r="K310" s="88">
        <v>1100</v>
      </c>
      <c r="L310" s="88">
        <v>1100</v>
      </c>
      <c r="M310" s="67" t="s">
        <v>45</v>
      </c>
      <c r="N310" s="67" t="s">
        <v>51</v>
      </c>
      <c r="O310" s="27" t="s">
        <v>1631</v>
      </c>
      <c r="P310" s="33" t="s">
        <v>23</v>
      </c>
      <c r="Q310" s="60">
        <f>IFERROR(IF(12 / VLOOKUP(Table2[[#This Row],[Rateizzazione]],TIPI_RATEIZZAZIONI,2,FALSE) &gt;=1,  IF(Table2[[#This Row],[Data attivazione]] = "","-",MONTH(Table2[[#This Row],[Data attivazione]])),"-"),"-")</f>
        <v>4</v>
      </c>
      <c r="R3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0" s="67" t="s">
        <v>2</v>
      </c>
      <c r="V310" s="62"/>
      <c r="W310" s="64">
        <v>42854</v>
      </c>
      <c r="X310" s="29">
        <f>DATE(YEAR(Table2[[#This Row],[Data attivazione]])+VLOOKUP(Table2[[#This Row],[Durata]],VALORE_DURATA,2,FALSE),MONTH(Table2[[#This Row],[Data attivazione]]),DAY(Table2[[#This Row],[Data attivazione]]))</f>
        <v>43219</v>
      </c>
      <c r="Y310" s="65"/>
      <c r="Z310" s="61"/>
      <c r="AA310" s="64" t="s">
        <v>85</v>
      </c>
      <c r="AB310" s="29" t="str">
        <f>IF(Table2[[#This Row],[Data ultimo versamento temp]]=0/1/1900,"-",Table2[[#This Row],[Data ultimo versamento temp]])</f>
        <v>-</v>
      </c>
      <c r="AC310" s="29">
        <f t="array" ref="AC310">MAX(IF(TableVersamenti[Polizza]=Table2[[#This Row],[Polizza]],TableVersamenti[Data prevista versamento],"-"))</f>
        <v>0</v>
      </c>
      <c r="AD310" s="62"/>
      <c r="AE310" s="106">
        <f>DATE(YEAR(Table2[[#This Row],[Data ultimo pagamento]]),MONTH(Table2[[#This Row],[Data ultimo pagamento]]), 1)</f>
        <v>42856</v>
      </c>
      <c r="AF310" s="106">
        <f>DATE(YEAR(Table2[[#This Row],[Data prossima scadenza]]),MONTH(Table2[[#This Row],[Data prossima scadenza]]), 1)</f>
        <v>43191</v>
      </c>
      <c r="AG310" s="33">
        <f>IFERROR(Table2[[#This Row],[Importo annuale]]*VLOOKUP(Table2[[#This Row],[Ramo]],RAMI_POLIZZA,2,FALSE),0)</f>
        <v>126.5</v>
      </c>
      <c r="AH310" s="65" t="s">
        <v>113</v>
      </c>
      <c r="AI310" s="63">
        <f>IFERROR(VLOOKUP(Table2[[#This Row],[Contraente]],Table1[[Nome/Ragione sociale]:[Checkbox selezionato]],2,FALSE),"-")</f>
        <v>0</v>
      </c>
      <c r="AJ310" s="63">
        <f>IFERROR(VLOOKUP(Table2[[#This Row],[Contraente]],Table1[[Nome/Ragione sociale]:[Checkbox selezionato]],3,FALSE),"-")</f>
        <v>0</v>
      </c>
      <c r="AK310" s="63">
        <f>IFERROR(VLOOKUP(Table2[[#This Row],[Contraente]],Table1[[Nome/Ragione sociale]:[Checkbox selezionato]],4,FALSE),"-")</f>
        <v>0</v>
      </c>
      <c r="AL310" s="63" t="str">
        <f>IFERROR(VLOOKUP(Table2[[#This Row],[Contraente]],Table1[[Nome/Ragione sociale]:[Checkbox selezionato]],5,FALSE),"-")</f>
        <v>BARCHERI</v>
      </c>
      <c r="AM310" s="62" t="str">
        <f>IFERROR(VLOOKUP(Table2[[#This Row],[Contraente]],Table1[[Nome/Ragione sociale]:[Checkbox selezionato]],6,FALSE),"-")</f>
        <v>-</v>
      </c>
      <c r="AN310" s="63" t="str">
        <f>IFERROR(VLOOKUP(Table2[[#This Row],[Contraente]],Table1[[Nome/Ragione sociale]:[Checkbox selezionato]],7,FALSE),"-")</f>
        <v>papies@libero.it</v>
      </c>
      <c r="AO310" s="63">
        <f>IFERROR(VLOOKUP(Table2[[#This Row],[Contraente]],Table1[[Nome/Ragione sociale]:[Checkbox selezionato]],8,FALSE),"-")</f>
        <v>0</v>
      </c>
      <c r="AP310" s="63">
        <f>IFERROR(VLOOKUP(Table2[[#This Row],[Contraente]],Table1[[Nome/Ragione sociale]:[Checkbox selezionato]],10,FALSE),"-")</f>
        <v>0</v>
      </c>
      <c r="AQ310" s="63" t="str">
        <f>IFERROR(VLOOKUP(Table2[[#This Row],[Contraente]],Table1[[Nome/Ragione sociale]:[Checkbox selezionato]],11,FALSE),"-")</f>
        <v>SI</v>
      </c>
      <c r="AR310" s="63" t="str">
        <f>IFERROR(VLOOKUP(Table2[[#This Row],[Contraente]],Table1[[Nome/Ragione sociale]:[Checkbox selezionato]],12,FALSE),"-")</f>
        <v>SI</v>
      </c>
    </row>
    <row r="311" spans="1:44" ht="30" hidden="1" customHeight="1" x14ac:dyDescent="0.25">
      <c r="A311" s="60" t="str">
        <f>UPPER(LEFT(Table2[[#This Row],[Contraente]],1))</f>
        <v>C</v>
      </c>
      <c r="B311" s="60" t="s">
        <v>1634</v>
      </c>
      <c r="C311" s="81" t="s">
        <v>544</v>
      </c>
      <c r="D311" s="81" t="s">
        <v>37</v>
      </c>
      <c r="E311" s="86">
        <v>104890706</v>
      </c>
      <c r="F311" s="64">
        <v>42846</v>
      </c>
      <c r="G311" s="64">
        <f>IFERROR(CALCOLASCADENZA(Table2[[#This Row],[Data attivazione]],Table2[[#This Row],[Rateizzazione]],Table2[[#This Row],[Data ultimo pagamento]],Table2[[#This Row],[Data prossima scadenza manuale]]),"-")</f>
        <v>43014</v>
      </c>
      <c r="H311" s="67" t="s">
        <v>30</v>
      </c>
      <c r="I311" s="67" t="s">
        <v>113</v>
      </c>
      <c r="J311" s="33">
        <f>IFERROR(Table2[[#This Row],[Importo annuale]]/(12/VLOOKUP(Table2[[#This Row],[Rateizzazione]],TIPI_RATEIZZAZIONI,2,FALSE)),"-")</f>
        <v>885</v>
      </c>
      <c r="K311" s="88">
        <v>885</v>
      </c>
      <c r="L311" s="88">
        <v>1770</v>
      </c>
      <c r="M311" s="67" t="s">
        <v>45</v>
      </c>
      <c r="N311" s="67" t="s">
        <v>51</v>
      </c>
      <c r="O311" s="27" t="s">
        <v>1631</v>
      </c>
      <c r="P311" s="33" t="s">
        <v>22</v>
      </c>
      <c r="Q311" s="60">
        <f>IFERROR(IF(12 / VLOOKUP(Table2[[#This Row],[Rateizzazione]],TIPI_RATEIZZAZIONI,2,FALSE) &gt;=1,  IF(Table2[[#This Row],[Data attivazione]] = "","-",MONTH(Table2[[#This Row],[Data attivazione]])),"-"),"-")</f>
        <v>10</v>
      </c>
      <c r="R3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1" s="67" t="s">
        <v>2</v>
      </c>
      <c r="V311" s="62"/>
      <c r="W311" s="64">
        <v>42649</v>
      </c>
      <c r="X311" s="29">
        <f>DATE(YEAR(Table2[[#This Row],[Data attivazione]])+VLOOKUP(Table2[[#This Row],[Durata]],VALORE_DURATA,2,FALSE),MONTH(Table2[[#This Row],[Data attivazione]]),DAY(Table2[[#This Row],[Data attivazione]]))</f>
        <v>43014</v>
      </c>
      <c r="Y311" s="65"/>
      <c r="Z311" s="61"/>
      <c r="AA311" s="64" t="s">
        <v>85</v>
      </c>
      <c r="AB311" s="29" t="str">
        <f>IF(Table2[[#This Row],[Data ultimo versamento temp]]=0/1/1900,"-",Table2[[#This Row],[Data ultimo versamento temp]])</f>
        <v>-</v>
      </c>
      <c r="AC311" s="29">
        <f t="array" ref="AC311">MAX(IF(TableVersamenti[Polizza]=Table2[[#This Row],[Polizza]],TableVersamenti[Data prevista versamento],"-"))</f>
        <v>0</v>
      </c>
      <c r="AD311" s="62"/>
      <c r="AE311" s="106">
        <f>DATE(YEAR(Table2[[#This Row],[Data ultimo pagamento]]),MONTH(Table2[[#This Row],[Data ultimo pagamento]]), 1)</f>
        <v>42826</v>
      </c>
      <c r="AF311" s="106">
        <f>DATE(YEAR(Table2[[#This Row],[Data prossima scadenza]]),MONTH(Table2[[#This Row],[Data prossima scadenza]]), 1)</f>
        <v>43009</v>
      </c>
      <c r="AG311" s="33">
        <f>IFERROR(Table2[[#This Row],[Importo annuale]]*VLOOKUP(Table2[[#This Row],[Ramo]],RAMI_POLIZZA,2,FALSE),0)</f>
        <v>203.55</v>
      </c>
      <c r="AH311" s="65" t="s">
        <v>113</v>
      </c>
      <c r="AI311" s="63" t="str">
        <f>IFERROR(VLOOKUP(Table2[[#This Row],[Contraente]],Table1[[Nome/Ragione sociale]:[Checkbox selezionato]],2,FALSE),"-")</f>
        <v xml:space="preserve">PAVIA </v>
      </c>
      <c r="AJ311" s="63">
        <f>IFERROR(VLOOKUP(Table2[[#This Row],[Contraente]],Table1[[Nome/Ragione sociale]:[Checkbox selezionato]],3,FALSE),"-")</f>
        <v>0</v>
      </c>
      <c r="AK311" s="63">
        <f>IFERROR(VLOOKUP(Table2[[#This Row],[Contraente]],Table1[[Nome/Ragione sociale]:[Checkbox selezionato]],4,FALSE),"-")</f>
        <v>0</v>
      </c>
      <c r="AL311" s="63" t="str">
        <f>IFERROR(VLOOKUP(Table2[[#This Row],[Contraente]],Table1[[Nome/Ragione sociale]:[Checkbox selezionato]],5,FALSE),"-")</f>
        <v>MONTANINO</v>
      </c>
      <c r="AM311" s="62" t="str">
        <f>IFERROR(VLOOKUP(Table2[[#This Row],[Contraente]],Table1[[Nome/Ragione sociale]:[Checkbox selezionato]],6,FALSE),"-")</f>
        <v>-</v>
      </c>
      <c r="AN311" s="63" t="str">
        <f>IFERROR(VLOOKUP(Table2[[#This Row],[Contraente]],Table1[[Nome/Ragione sociale]:[Checkbox selezionato]],7,FALSE),"-")</f>
        <v>papies@email.it</v>
      </c>
      <c r="AO311" s="63">
        <f>IFERROR(VLOOKUP(Table2[[#This Row],[Contraente]],Table1[[Nome/Ragione sociale]:[Checkbox selezionato]],8,FALSE),"-")</f>
        <v>0</v>
      </c>
      <c r="AP311" s="63">
        <f>IFERROR(VLOOKUP(Table2[[#This Row],[Contraente]],Table1[[Nome/Ragione sociale]:[Checkbox selezionato]],10,FALSE),"-")</f>
        <v>0</v>
      </c>
      <c r="AQ311" s="63" t="str">
        <f>IFERROR(VLOOKUP(Table2[[#This Row],[Contraente]],Table1[[Nome/Ragione sociale]:[Checkbox selezionato]],11,FALSE),"-")</f>
        <v>SI</v>
      </c>
      <c r="AR311" s="63" t="str">
        <f>IFERROR(VLOOKUP(Table2[[#This Row],[Contraente]],Table1[[Nome/Ragione sociale]:[Checkbox selezionato]],12,FALSE),"-")</f>
        <v>SI</v>
      </c>
    </row>
    <row r="312" spans="1:44" ht="30" hidden="1" customHeight="1" x14ac:dyDescent="0.25">
      <c r="A312" s="60" t="str">
        <f>UPPER(LEFT(Table2[[#This Row],[Contraente]],1))</f>
        <v>C</v>
      </c>
      <c r="B312" s="60" t="s">
        <v>1634</v>
      </c>
      <c r="C312" s="81" t="s">
        <v>1672</v>
      </c>
      <c r="D312" s="81" t="s">
        <v>37</v>
      </c>
      <c r="E312" s="86">
        <v>106761761</v>
      </c>
      <c r="F312" s="64">
        <v>42845</v>
      </c>
      <c r="G312" s="64">
        <f>IFERROR(CALCOLASCADENZA(Table2[[#This Row],[Data attivazione]],Table2[[#This Row],[Rateizzazione]],Table2[[#This Row],[Data ultimo pagamento]],Table2[[#This Row],[Data prossima scadenza manuale]]),"-")</f>
        <v>43211</v>
      </c>
      <c r="H312" s="67" t="s">
        <v>30</v>
      </c>
      <c r="I312" s="67" t="s">
        <v>113</v>
      </c>
      <c r="J312" s="33">
        <f>IFERROR(Table2[[#This Row],[Importo annuale]]/(12/VLOOKUP(Table2[[#This Row],[Rateizzazione]],TIPI_RATEIZZAZIONI,2,FALSE)),"-")</f>
        <v>2332</v>
      </c>
      <c r="K312" s="88">
        <v>2332</v>
      </c>
      <c r="L312" s="88">
        <v>2332</v>
      </c>
      <c r="M312" s="67" t="s">
        <v>44</v>
      </c>
      <c r="N312" s="67" t="s">
        <v>52</v>
      </c>
      <c r="O312" s="27" t="s">
        <v>1631</v>
      </c>
      <c r="P312" s="33" t="s">
        <v>23</v>
      </c>
      <c r="Q312" s="60">
        <f>IFERROR(IF(12 / VLOOKUP(Table2[[#This Row],[Rateizzazione]],TIPI_RATEIZZAZIONI,2,FALSE) &gt;=1,  IF(Table2[[#This Row],[Data attivazione]] = "","-",MONTH(Table2[[#This Row],[Data attivazione]])),"-"),"-")</f>
        <v>4</v>
      </c>
      <c r="R3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2" s="67" t="s">
        <v>2</v>
      </c>
      <c r="V312" s="62"/>
      <c r="W312" s="64">
        <v>42846</v>
      </c>
      <c r="X312" s="29">
        <f>DATE(YEAR(Table2[[#This Row],[Data attivazione]])+VLOOKUP(Table2[[#This Row],[Durata]],VALORE_DURATA,2,FALSE),MONTH(Table2[[#This Row],[Data attivazione]]),DAY(Table2[[#This Row],[Data attivazione]]))</f>
        <v>43211</v>
      </c>
      <c r="Y312" s="65"/>
      <c r="Z312" s="61"/>
      <c r="AA312" s="64" t="s">
        <v>85</v>
      </c>
      <c r="AB312" s="29" t="str">
        <f>IF(Table2[[#This Row],[Data ultimo versamento temp]]=0/1/1900,"-",Table2[[#This Row],[Data ultimo versamento temp]])</f>
        <v>-</v>
      </c>
      <c r="AC312" s="29">
        <f t="array" ref="AC312">MAX(IF(TableVersamenti[Polizza]=Table2[[#This Row],[Polizza]],TableVersamenti[Data prevista versamento],"-"))</f>
        <v>0</v>
      </c>
      <c r="AD312" s="62"/>
      <c r="AE312" s="106">
        <f>DATE(YEAR(Table2[[#This Row],[Data ultimo pagamento]]),MONTH(Table2[[#This Row],[Data ultimo pagamento]]), 1)</f>
        <v>42826</v>
      </c>
      <c r="AF312" s="106">
        <f>DATE(YEAR(Table2[[#This Row],[Data prossima scadenza]]),MONTH(Table2[[#This Row],[Data prossima scadenza]]), 1)</f>
        <v>43191</v>
      </c>
      <c r="AG312" s="33">
        <f>IFERROR(Table2[[#This Row],[Importo annuale]]*VLOOKUP(Table2[[#This Row],[Ramo]],RAMI_POLIZZA,2,FALSE),0)</f>
        <v>268.18</v>
      </c>
      <c r="AH312" s="65" t="s">
        <v>113</v>
      </c>
      <c r="AI312" s="63" t="str">
        <f>IFERROR(VLOOKUP(Table2[[#This Row],[Contraente]],Table1[[Nome/Ragione sociale]:[Checkbox selezionato]],2,FALSE),"-")</f>
        <v>SAN MARTINO SICCOMARIO</v>
      </c>
      <c r="AJ312" s="63">
        <f>IFERROR(VLOOKUP(Table2[[#This Row],[Contraente]],Table1[[Nome/Ragione sociale]:[Checkbox selezionato]],3,FALSE),"-")</f>
        <v>0</v>
      </c>
      <c r="AK312" s="63">
        <f>IFERROR(VLOOKUP(Table2[[#This Row],[Contraente]],Table1[[Nome/Ragione sociale]:[Checkbox selezionato]],4,FALSE),"-")</f>
        <v>0</v>
      </c>
      <c r="AL312" s="63" t="str">
        <f>IFERROR(VLOOKUP(Table2[[#This Row],[Contraente]],Table1[[Nome/Ragione sociale]:[Checkbox selezionato]],5,FALSE),"-")</f>
        <v>GAVANA</v>
      </c>
      <c r="AM312" s="62" t="str">
        <f>IFERROR(VLOOKUP(Table2[[#This Row],[Contraente]],Table1[[Nome/Ragione sociale]:[Checkbox selezionato]],6,FALSE),"-")</f>
        <v>-</v>
      </c>
      <c r="AN312" s="63" t="str">
        <f>IFERROR(VLOOKUP(Table2[[#This Row],[Contraente]],Table1[[Nome/Ragione sociale]:[Checkbox selezionato]],7,FALSE),"-")</f>
        <v>papies@libero.it</v>
      </c>
      <c r="AO312" s="63">
        <f>IFERROR(VLOOKUP(Table2[[#This Row],[Contraente]],Table1[[Nome/Ragione sociale]:[Checkbox selezionato]],8,FALSE),"-")</f>
        <v>0</v>
      </c>
      <c r="AP312" s="63">
        <f>IFERROR(VLOOKUP(Table2[[#This Row],[Contraente]],Table1[[Nome/Ragione sociale]:[Checkbox selezionato]],10,FALSE),"-")</f>
        <v>0</v>
      </c>
      <c r="AQ312" s="63" t="str">
        <f>IFERROR(VLOOKUP(Table2[[#This Row],[Contraente]],Table1[[Nome/Ragione sociale]:[Checkbox selezionato]],11,FALSE),"-")</f>
        <v>SI</v>
      </c>
      <c r="AR312" s="63" t="str">
        <f>IFERROR(VLOOKUP(Table2[[#This Row],[Contraente]],Table1[[Nome/Ragione sociale]:[Checkbox selezionato]],12,FALSE),"-")</f>
        <v>SI</v>
      </c>
    </row>
    <row r="313" spans="1:44" ht="30" hidden="1" customHeight="1" x14ac:dyDescent="0.25">
      <c r="A313" s="60" t="str">
        <f>UPPER(LEFT(Table2[[#This Row],[Contraente]],1))</f>
        <v>C</v>
      </c>
      <c r="B313" s="60" t="s">
        <v>1634</v>
      </c>
      <c r="C313" s="81" t="s">
        <v>548</v>
      </c>
      <c r="D313" s="81" t="s">
        <v>37</v>
      </c>
      <c r="E313" s="86">
        <v>105903553</v>
      </c>
      <c r="F313" s="64">
        <v>42933</v>
      </c>
      <c r="G313" s="64">
        <f>IFERROR(CALCOLASCADENZA(Table2[[#This Row],[Data attivazione]],Table2[[#This Row],[Rateizzazione]],Table2[[#This Row],[Data ultimo pagamento]],Table2[[#This Row],[Data prossima scadenza manuale]]),"-")</f>
        <v>43122</v>
      </c>
      <c r="H313" s="67" t="s">
        <v>30</v>
      </c>
      <c r="I313" s="67" t="s">
        <v>113</v>
      </c>
      <c r="J313" s="33">
        <f>IFERROR(Table2[[#This Row],[Importo annuale]]/(12/VLOOKUP(Table2[[#This Row],[Rateizzazione]],TIPI_RATEIZZAZIONI,2,FALSE)),"-")</f>
        <v>770</v>
      </c>
      <c r="K313" s="88">
        <v>1540</v>
      </c>
      <c r="L313" s="88">
        <v>1540</v>
      </c>
      <c r="M313" s="67" t="s">
        <v>45</v>
      </c>
      <c r="N313" s="67" t="s">
        <v>51</v>
      </c>
      <c r="O313" s="27" t="s">
        <v>1631</v>
      </c>
      <c r="P313" s="33" t="s">
        <v>22</v>
      </c>
      <c r="Q313" s="60">
        <f>IFERROR(IF(12 / VLOOKUP(Table2[[#This Row],[Rateizzazione]],TIPI_RATEIZZAZIONI,2,FALSE) &gt;=1,  IF(Table2[[#This Row],[Data attivazione]] = "","-",MONTH(Table2[[#This Row],[Data attivazione]])),"-"),"-")</f>
        <v>7</v>
      </c>
      <c r="R3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3" s="67" t="s">
        <v>2</v>
      </c>
      <c r="V313" s="62"/>
      <c r="W313" s="64">
        <v>42938</v>
      </c>
      <c r="X313" s="29">
        <f>DATE(YEAR(Table2[[#This Row],[Data attivazione]])+VLOOKUP(Table2[[#This Row],[Durata]],VALORE_DURATA,2,FALSE),MONTH(Table2[[#This Row],[Data attivazione]]),DAY(Table2[[#This Row],[Data attivazione]]))</f>
        <v>43303</v>
      </c>
      <c r="Y313" s="65"/>
      <c r="Z313" s="61"/>
      <c r="AA313" s="64" t="s">
        <v>85</v>
      </c>
      <c r="AB313" s="29">
        <f>IF(Table2[[#This Row],[Data ultimo versamento temp]]=0/1/1900,"-",Table2[[#This Row],[Data ultimo versamento temp]])</f>
        <v>42936</v>
      </c>
      <c r="AC313" s="29">
        <f t="array" ref="AC313">MAX(IF(TableVersamenti[Polizza]=Table2[[#This Row],[Polizza]],TableVersamenti[Data prevista versamento],"-"))</f>
        <v>42936</v>
      </c>
      <c r="AD313" s="62"/>
      <c r="AE313" s="106">
        <f>DATE(YEAR(Table2[[#This Row],[Data ultimo pagamento]]),MONTH(Table2[[#This Row],[Data ultimo pagamento]]), 1)</f>
        <v>42917</v>
      </c>
      <c r="AF313" s="106">
        <f>DATE(YEAR(Table2[[#This Row],[Data prossima scadenza]]),MONTH(Table2[[#This Row],[Data prossima scadenza]]), 1)</f>
        <v>43101</v>
      </c>
      <c r="AG313" s="33">
        <f>IFERROR(Table2[[#This Row],[Importo annuale]]*VLOOKUP(Table2[[#This Row],[Ramo]],RAMI_POLIZZA,2,FALSE),0)</f>
        <v>177.1</v>
      </c>
      <c r="AH313" s="65" t="s">
        <v>113</v>
      </c>
      <c r="AI313" s="63">
        <f>IFERROR(VLOOKUP(Table2[[#This Row],[Contraente]],Table1[[Nome/Ragione sociale]:[Checkbox selezionato]],2,FALSE),"-")</f>
        <v>0</v>
      </c>
      <c r="AJ313" s="63">
        <f>IFERROR(VLOOKUP(Table2[[#This Row],[Contraente]],Table1[[Nome/Ragione sociale]:[Checkbox selezionato]],3,FALSE),"-")</f>
        <v>0</v>
      </c>
      <c r="AK313" s="63">
        <f>IFERROR(VLOOKUP(Table2[[#This Row],[Contraente]],Table1[[Nome/Ragione sociale]:[Checkbox selezionato]],4,FALSE),"-")</f>
        <v>0</v>
      </c>
      <c r="AL313" s="63" t="str">
        <f>IFERROR(VLOOKUP(Table2[[#This Row],[Contraente]],Table1[[Nome/Ragione sociale]:[Checkbox selezionato]],5,FALSE),"-")</f>
        <v>VALLE</v>
      </c>
      <c r="AM313" s="62" t="str">
        <f>IFERROR(VLOOKUP(Table2[[#This Row],[Contraente]],Table1[[Nome/Ragione sociale]:[Checkbox selezionato]],6,FALSE),"-")</f>
        <v>-</v>
      </c>
      <c r="AN313" s="63" t="str">
        <f>IFERROR(VLOOKUP(Table2[[#This Row],[Contraente]],Table1[[Nome/Ragione sociale]:[Checkbox selezionato]],7,FALSE),"-")</f>
        <v>papies@libero.it</v>
      </c>
      <c r="AO313" s="63">
        <f>IFERROR(VLOOKUP(Table2[[#This Row],[Contraente]],Table1[[Nome/Ragione sociale]:[Checkbox selezionato]],8,FALSE),"-")</f>
        <v>0</v>
      </c>
      <c r="AP313" s="63">
        <f>IFERROR(VLOOKUP(Table2[[#This Row],[Contraente]],Table1[[Nome/Ragione sociale]:[Checkbox selezionato]],10,FALSE),"-")</f>
        <v>0</v>
      </c>
      <c r="AQ313" s="63" t="str">
        <f>IFERROR(VLOOKUP(Table2[[#This Row],[Contraente]],Table1[[Nome/Ragione sociale]:[Checkbox selezionato]],11,FALSE),"-")</f>
        <v>SI</v>
      </c>
      <c r="AR313" s="63" t="str">
        <f>IFERROR(VLOOKUP(Table2[[#This Row],[Contraente]],Table1[[Nome/Ragione sociale]:[Checkbox selezionato]],12,FALSE),"-")</f>
        <v>SI</v>
      </c>
    </row>
    <row r="314" spans="1:44" ht="30" hidden="1" customHeight="1" x14ac:dyDescent="0.25">
      <c r="A314" s="60" t="str">
        <f>UPPER(LEFT(Table2[[#This Row],[Contraente]],1))</f>
        <v>C</v>
      </c>
      <c r="B314" s="60" t="s">
        <v>1634</v>
      </c>
      <c r="C314" s="81" t="s">
        <v>547</v>
      </c>
      <c r="D314" s="81" t="s">
        <v>37</v>
      </c>
      <c r="E314" s="86">
        <v>105900569</v>
      </c>
      <c r="F314" s="64">
        <v>42933</v>
      </c>
      <c r="G314" s="64">
        <f>IFERROR(CALCOLASCADENZA(Table2[[#This Row],[Data attivazione]],Table2[[#This Row],[Rateizzazione]],Table2[[#This Row],[Data ultimo pagamento]],Table2[[#This Row],[Data prossima scadenza manuale]]),"-")</f>
        <v>43122</v>
      </c>
      <c r="H314" s="67" t="s">
        <v>30</v>
      </c>
      <c r="I314" s="67" t="s">
        <v>113</v>
      </c>
      <c r="J314" s="33">
        <f>IFERROR(Table2[[#This Row],[Importo annuale]]/(12/VLOOKUP(Table2[[#This Row],[Rateizzazione]],TIPI_RATEIZZAZIONI,2,FALSE)),"-")</f>
        <v>770</v>
      </c>
      <c r="K314" s="88">
        <v>1540</v>
      </c>
      <c r="L314" s="88">
        <v>1540</v>
      </c>
      <c r="M314" s="67" t="s">
        <v>45</v>
      </c>
      <c r="N314" s="67" t="s">
        <v>51</v>
      </c>
      <c r="O314" s="27" t="s">
        <v>1631</v>
      </c>
      <c r="P314" s="33" t="s">
        <v>22</v>
      </c>
      <c r="Q314" s="60">
        <f>IFERROR(IF(12 / VLOOKUP(Table2[[#This Row],[Rateizzazione]],TIPI_RATEIZZAZIONI,2,FALSE) &gt;=1,  IF(Table2[[#This Row],[Data attivazione]] = "","-",MONTH(Table2[[#This Row],[Data attivazione]])),"-"),"-")</f>
        <v>7</v>
      </c>
      <c r="R3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4" s="67" t="s">
        <v>2</v>
      </c>
      <c r="V314" s="62"/>
      <c r="W314" s="64">
        <v>42938</v>
      </c>
      <c r="X314" s="29">
        <f>DATE(YEAR(Table2[[#This Row],[Data attivazione]])+VLOOKUP(Table2[[#This Row],[Durata]],VALORE_DURATA,2,FALSE),MONTH(Table2[[#This Row],[Data attivazione]]),DAY(Table2[[#This Row],[Data attivazione]]))</f>
        <v>43303</v>
      </c>
      <c r="Y314" s="65"/>
      <c r="Z314" s="61"/>
      <c r="AA314" s="64" t="s">
        <v>85</v>
      </c>
      <c r="AB314" s="29">
        <f>IF(Table2[[#This Row],[Data ultimo versamento temp]]=0/1/1900,"-",Table2[[#This Row],[Data ultimo versamento temp]])</f>
        <v>42936</v>
      </c>
      <c r="AC314" s="29">
        <f t="array" ref="AC314">MAX(IF(TableVersamenti[Polizza]=Table2[[#This Row],[Polizza]],TableVersamenti[Data prevista versamento],"-"))</f>
        <v>42936</v>
      </c>
      <c r="AD314" s="62"/>
      <c r="AE314" s="106">
        <f>DATE(YEAR(Table2[[#This Row],[Data ultimo pagamento]]),MONTH(Table2[[#This Row],[Data ultimo pagamento]]), 1)</f>
        <v>42917</v>
      </c>
      <c r="AF314" s="106">
        <f>DATE(YEAR(Table2[[#This Row],[Data prossima scadenza]]),MONTH(Table2[[#This Row],[Data prossima scadenza]]), 1)</f>
        <v>43101</v>
      </c>
      <c r="AG314" s="33">
        <f>IFERROR(Table2[[#This Row],[Importo annuale]]*VLOOKUP(Table2[[#This Row],[Ramo]],RAMI_POLIZZA,2,FALSE),0)</f>
        <v>177.1</v>
      </c>
      <c r="AH314" s="65" t="s">
        <v>113</v>
      </c>
      <c r="AI314" s="63">
        <f>IFERROR(VLOOKUP(Table2[[#This Row],[Contraente]],Table1[[Nome/Ragione sociale]:[Checkbox selezionato]],2,FALSE),"-")</f>
        <v>0</v>
      </c>
      <c r="AJ314" s="63">
        <f>IFERROR(VLOOKUP(Table2[[#This Row],[Contraente]],Table1[[Nome/Ragione sociale]:[Checkbox selezionato]],3,FALSE),"-")</f>
        <v>0</v>
      </c>
      <c r="AK314" s="63">
        <f>IFERROR(VLOOKUP(Table2[[#This Row],[Contraente]],Table1[[Nome/Ragione sociale]:[Checkbox selezionato]],4,FALSE),"-")</f>
        <v>0</v>
      </c>
      <c r="AL314" s="63" t="str">
        <f>IFERROR(VLOOKUP(Table2[[#This Row],[Contraente]],Table1[[Nome/Ragione sociale]:[Checkbox selezionato]],5,FALSE),"-")</f>
        <v>VALLE</v>
      </c>
      <c r="AM314" s="62" t="str">
        <f>IFERROR(VLOOKUP(Table2[[#This Row],[Contraente]],Table1[[Nome/Ragione sociale]:[Checkbox selezionato]],6,FALSE),"-")</f>
        <v>-</v>
      </c>
      <c r="AN314" s="63" t="str">
        <f>IFERROR(VLOOKUP(Table2[[#This Row],[Contraente]],Table1[[Nome/Ragione sociale]:[Checkbox selezionato]],7,FALSE),"-")</f>
        <v>papies@email.it</v>
      </c>
      <c r="AO314" s="63">
        <f>IFERROR(VLOOKUP(Table2[[#This Row],[Contraente]],Table1[[Nome/Ragione sociale]:[Checkbox selezionato]],8,FALSE),"-")</f>
        <v>0</v>
      </c>
      <c r="AP314" s="63">
        <f>IFERROR(VLOOKUP(Table2[[#This Row],[Contraente]],Table1[[Nome/Ragione sociale]:[Checkbox selezionato]],10,FALSE),"-")</f>
        <v>0</v>
      </c>
      <c r="AQ314" s="63" t="str">
        <f>IFERROR(VLOOKUP(Table2[[#This Row],[Contraente]],Table1[[Nome/Ragione sociale]:[Checkbox selezionato]],11,FALSE),"-")</f>
        <v>SI</v>
      </c>
      <c r="AR314" s="63" t="str">
        <f>IFERROR(VLOOKUP(Table2[[#This Row],[Contraente]],Table1[[Nome/Ragione sociale]:[Checkbox selezionato]],12,FALSE),"-")</f>
        <v>SI</v>
      </c>
    </row>
    <row r="315" spans="1:44" ht="30" hidden="1" customHeight="1" x14ac:dyDescent="0.25">
      <c r="A315" s="60" t="str">
        <f>UPPER(LEFT(Table2[[#This Row],[Contraente]],1))</f>
        <v>C</v>
      </c>
      <c r="B315" s="60" t="s">
        <v>1634</v>
      </c>
      <c r="C315" s="81" t="s">
        <v>525</v>
      </c>
      <c r="D315" s="81" t="s">
        <v>37</v>
      </c>
      <c r="E315" s="86">
        <v>105526359</v>
      </c>
      <c r="F315" s="64">
        <v>42845</v>
      </c>
      <c r="G315" s="64">
        <f>IFERROR(CALCOLASCADENZA(Table2[[#This Row],[Data attivazione]],Table2[[#This Row],[Rateizzazione]],Table2[[#This Row],[Data ultimo pagamento]],Table2[[#This Row],[Data prossima scadenza manuale]]),"-")</f>
        <v>43017</v>
      </c>
      <c r="H315" s="67" t="s">
        <v>30</v>
      </c>
      <c r="I315" s="67" t="s">
        <v>113</v>
      </c>
      <c r="J315" s="33">
        <f>IFERROR(Table2[[#This Row],[Importo annuale]]/(12/VLOOKUP(Table2[[#This Row],[Rateizzazione]],TIPI_RATEIZZAZIONI,2,FALSE)),"-")</f>
        <v>298</v>
      </c>
      <c r="K315" s="88">
        <v>298</v>
      </c>
      <c r="L315" s="88">
        <v>596</v>
      </c>
      <c r="M315" s="67" t="s">
        <v>45</v>
      </c>
      <c r="N315" s="67" t="s">
        <v>51</v>
      </c>
      <c r="O315" s="27" t="s">
        <v>1631</v>
      </c>
      <c r="P315" s="33" t="s">
        <v>22</v>
      </c>
      <c r="Q315" s="60">
        <f>IFERROR(IF(12 / VLOOKUP(Table2[[#This Row],[Rateizzazione]],TIPI_RATEIZZAZIONI,2,FALSE) &gt;=1,  IF(Table2[[#This Row],[Data attivazione]] = "","-",MONTH(Table2[[#This Row],[Data attivazione]])),"-"),"-")</f>
        <v>10</v>
      </c>
      <c r="R3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5" s="67" t="s">
        <v>2</v>
      </c>
      <c r="V315" s="62"/>
      <c r="W315" s="64">
        <v>42652</v>
      </c>
      <c r="X315" s="29">
        <f>DATE(YEAR(Table2[[#This Row],[Data attivazione]])+VLOOKUP(Table2[[#This Row],[Durata]],VALORE_DURATA,2,FALSE),MONTH(Table2[[#This Row],[Data attivazione]]),DAY(Table2[[#This Row],[Data attivazione]]))</f>
        <v>43017</v>
      </c>
      <c r="Y315" s="65"/>
      <c r="Z315" s="61"/>
      <c r="AA315" s="64" t="s">
        <v>85</v>
      </c>
      <c r="AB315" s="29" t="str">
        <f>IF(Table2[[#This Row],[Data ultimo versamento temp]]=0/1/1900,"-",Table2[[#This Row],[Data ultimo versamento temp]])</f>
        <v>-</v>
      </c>
      <c r="AC315" s="29">
        <f t="array" ref="AC315">MAX(IF(TableVersamenti[Polizza]=Table2[[#This Row],[Polizza]],TableVersamenti[Data prevista versamento],"-"))</f>
        <v>0</v>
      </c>
      <c r="AD315" s="62"/>
      <c r="AE315" s="106">
        <f>DATE(YEAR(Table2[[#This Row],[Data ultimo pagamento]]),MONTH(Table2[[#This Row],[Data ultimo pagamento]]), 1)</f>
        <v>42826</v>
      </c>
      <c r="AF315" s="106">
        <f>DATE(YEAR(Table2[[#This Row],[Data prossima scadenza]]),MONTH(Table2[[#This Row],[Data prossima scadenza]]), 1)</f>
        <v>43009</v>
      </c>
      <c r="AG315" s="33">
        <f>IFERROR(Table2[[#This Row],[Importo annuale]]*VLOOKUP(Table2[[#This Row],[Ramo]],RAMI_POLIZZA,2,FALSE),0)</f>
        <v>68.540000000000006</v>
      </c>
      <c r="AH315" s="65" t="s">
        <v>113</v>
      </c>
      <c r="AI315" s="63">
        <f>IFERROR(VLOOKUP(Table2[[#This Row],[Contraente]],Table1[[Nome/Ragione sociale]:[Checkbox selezionato]],2,FALSE),"-")</f>
        <v>0</v>
      </c>
      <c r="AJ315" s="63">
        <f>IFERROR(VLOOKUP(Table2[[#This Row],[Contraente]],Table1[[Nome/Ragione sociale]:[Checkbox selezionato]],3,FALSE),"-")</f>
        <v>0</v>
      </c>
      <c r="AK315" s="63">
        <f>IFERROR(VLOOKUP(Table2[[#This Row],[Contraente]],Table1[[Nome/Ragione sociale]:[Checkbox selezionato]],4,FALSE),"-")</f>
        <v>0</v>
      </c>
      <c r="AL315" s="63" t="str">
        <f>IFERROR(VLOOKUP(Table2[[#This Row],[Contraente]],Table1[[Nome/Ragione sociale]:[Checkbox selezionato]],5,FALSE),"-")</f>
        <v>FANELLI</v>
      </c>
      <c r="AM315" s="62" t="str">
        <f>IFERROR(VLOOKUP(Table2[[#This Row],[Contraente]],Table1[[Nome/Ragione sociale]:[Checkbox selezionato]],6,FALSE),"-")</f>
        <v>-</v>
      </c>
      <c r="AN315" s="63" t="str">
        <f>IFERROR(VLOOKUP(Table2[[#This Row],[Contraente]],Table1[[Nome/Ragione sociale]:[Checkbox selezionato]],7,FALSE),"-")</f>
        <v>papies@libero.it</v>
      </c>
      <c r="AO315" s="63">
        <f>IFERROR(VLOOKUP(Table2[[#This Row],[Contraente]],Table1[[Nome/Ragione sociale]:[Checkbox selezionato]],8,FALSE),"-")</f>
        <v>0</v>
      </c>
      <c r="AP315" s="63">
        <f>IFERROR(VLOOKUP(Table2[[#This Row],[Contraente]],Table1[[Nome/Ragione sociale]:[Checkbox selezionato]],10,FALSE),"-")</f>
        <v>0</v>
      </c>
      <c r="AQ315" s="63" t="str">
        <f>IFERROR(VLOOKUP(Table2[[#This Row],[Contraente]],Table1[[Nome/Ragione sociale]:[Checkbox selezionato]],11,FALSE),"-")</f>
        <v>SI</v>
      </c>
      <c r="AR315" s="63" t="str">
        <f>IFERROR(VLOOKUP(Table2[[#This Row],[Contraente]],Table1[[Nome/Ragione sociale]:[Checkbox selezionato]],12,FALSE),"-")</f>
        <v>SI</v>
      </c>
    </row>
    <row r="316" spans="1:44" ht="30" hidden="1" customHeight="1" x14ac:dyDescent="0.25">
      <c r="A316" s="60" t="str">
        <f>UPPER(LEFT(Table2[[#This Row],[Contraente]],1))</f>
        <v>C</v>
      </c>
      <c r="B316" s="60" t="s">
        <v>1634</v>
      </c>
      <c r="C316" s="81" t="s">
        <v>526</v>
      </c>
      <c r="D316" s="81" t="s">
        <v>37</v>
      </c>
      <c r="E316" s="86">
        <v>105332958</v>
      </c>
      <c r="F316" s="64">
        <v>42787</v>
      </c>
      <c r="G316" s="64">
        <f>IFERROR(CALCOLASCADENZA(Table2[[#This Row],[Data attivazione]],Table2[[#This Row],[Rateizzazione]],Table2[[#This Row],[Data ultimo pagamento]],Table2[[#This Row],[Data prossima scadenza manuale]]),"-")</f>
        <v>42968</v>
      </c>
      <c r="H316" s="67" t="s">
        <v>1628</v>
      </c>
      <c r="I316" s="67" t="s">
        <v>113</v>
      </c>
      <c r="J316" s="33">
        <f>IFERROR(Table2[[#This Row],[Importo annuale]]/(12/VLOOKUP(Table2[[#This Row],[Rateizzazione]],TIPI_RATEIZZAZIONI,2,FALSE)),"-")</f>
        <v>181</v>
      </c>
      <c r="K316" s="88">
        <v>181</v>
      </c>
      <c r="L316" s="88">
        <v>362</v>
      </c>
      <c r="M316" s="67" t="s">
        <v>45</v>
      </c>
      <c r="N316" s="67" t="s">
        <v>51</v>
      </c>
      <c r="O316" s="27" t="s">
        <v>1631</v>
      </c>
      <c r="P316" s="33" t="s">
        <v>22</v>
      </c>
      <c r="Q316" s="60">
        <f>IFERROR(IF(12 / VLOOKUP(Table2[[#This Row],[Rateizzazione]],TIPI_RATEIZZAZIONI,2,FALSE) &gt;=1,  IF(Table2[[#This Row],[Data attivazione]] = "","-",MONTH(Table2[[#This Row],[Data attivazione]])),"-"),"-")</f>
        <v>8</v>
      </c>
      <c r="R3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6" s="67" t="s">
        <v>2</v>
      </c>
      <c r="V316" s="62"/>
      <c r="W316" s="64">
        <v>42603</v>
      </c>
      <c r="X316" s="29">
        <f>DATE(YEAR(Table2[[#This Row],[Data attivazione]])+VLOOKUP(Table2[[#This Row],[Durata]],VALORE_DURATA,2,FALSE),MONTH(Table2[[#This Row],[Data attivazione]]),DAY(Table2[[#This Row],[Data attivazione]]))</f>
        <v>42968</v>
      </c>
      <c r="Y316" s="65"/>
      <c r="Z316" s="61"/>
      <c r="AA316" s="64" t="s">
        <v>85</v>
      </c>
      <c r="AB316" s="29" t="str">
        <f>IF(Table2[[#This Row],[Data ultimo versamento temp]]=0/1/1900,"-",Table2[[#This Row],[Data ultimo versamento temp]])</f>
        <v>-</v>
      </c>
      <c r="AC316" s="29">
        <f t="array" ref="AC316">MAX(IF(TableVersamenti[Polizza]=Table2[[#This Row],[Polizza]],TableVersamenti[Data prevista versamento],"-"))</f>
        <v>0</v>
      </c>
      <c r="AD316" s="62"/>
      <c r="AE316" s="106">
        <f>DATE(YEAR(Table2[[#This Row],[Data ultimo pagamento]]),MONTH(Table2[[#This Row],[Data ultimo pagamento]]), 1)</f>
        <v>42767</v>
      </c>
      <c r="AF316" s="106">
        <f>DATE(YEAR(Table2[[#This Row],[Data prossima scadenza]]),MONTH(Table2[[#This Row],[Data prossima scadenza]]), 1)</f>
        <v>42948</v>
      </c>
      <c r="AG316" s="33">
        <f>IFERROR(Table2[[#This Row],[Importo annuale]]*VLOOKUP(Table2[[#This Row],[Ramo]],RAMI_POLIZZA,2,FALSE),0)</f>
        <v>0</v>
      </c>
      <c r="AH316" s="65" t="s">
        <v>113</v>
      </c>
      <c r="AI316" s="63">
        <f>IFERROR(VLOOKUP(Table2[[#This Row],[Contraente]],Table1[[Nome/Ragione sociale]:[Checkbox selezionato]],2,FALSE),"-")</f>
        <v>0</v>
      </c>
      <c r="AJ316" s="63">
        <f>IFERROR(VLOOKUP(Table2[[#This Row],[Contraente]],Table1[[Nome/Ragione sociale]:[Checkbox selezionato]],3,FALSE),"-")</f>
        <v>0</v>
      </c>
      <c r="AK316" s="63">
        <f>IFERROR(VLOOKUP(Table2[[#This Row],[Contraente]],Table1[[Nome/Ragione sociale]:[Checkbox selezionato]],4,FALSE),"-")</f>
        <v>0</v>
      </c>
      <c r="AL316" s="63" t="str">
        <f>IFERROR(VLOOKUP(Table2[[#This Row],[Contraente]],Table1[[Nome/Ragione sociale]:[Checkbox selezionato]],5,FALSE),"-")</f>
        <v>FANELLI</v>
      </c>
      <c r="AM316" s="62" t="str">
        <f>IFERROR(VLOOKUP(Table2[[#This Row],[Contraente]],Table1[[Nome/Ragione sociale]:[Checkbox selezionato]],6,FALSE),"-")</f>
        <v>-</v>
      </c>
      <c r="AN316" s="63" t="str">
        <f>IFERROR(VLOOKUP(Table2[[#This Row],[Contraente]],Table1[[Nome/Ragione sociale]:[Checkbox selezionato]],7,FALSE),"-")</f>
        <v>papies@libero.it</v>
      </c>
      <c r="AO316" s="63">
        <f>IFERROR(VLOOKUP(Table2[[#This Row],[Contraente]],Table1[[Nome/Ragione sociale]:[Checkbox selezionato]],8,FALSE),"-")</f>
        <v>0</v>
      </c>
      <c r="AP316" s="63">
        <f>IFERROR(VLOOKUP(Table2[[#This Row],[Contraente]],Table1[[Nome/Ragione sociale]:[Checkbox selezionato]],10,FALSE),"-")</f>
        <v>0</v>
      </c>
      <c r="AQ316" s="63" t="str">
        <f>IFERROR(VLOOKUP(Table2[[#This Row],[Contraente]],Table1[[Nome/Ragione sociale]:[Checkbox selezionato]],11,FALSE),"-")</f>
        <v>SI</v>
      </c>
      <c r="AR316" s="63" t="str">
        <f>IFERROR(VLOOKUP(Table2[[#This Row],[Contraente]],Table1[[Nome/Ragione sociale]:[Checkbox selezionato]],12,FALSE),"-")</f>
        <v>SI</v>
      </c>
    </row>
    <row r="317" spans="1:44" ht="30" hidden="1" customHeight="1" x14ac:dyDescent="0.25">
      <c r="A317" s="60" t="str">
        <f>UPPER(LEFT(Table2[[#This Row],[Contraente]],1))</f>
        <v>C</v>
      </c>
      <c r="B317" s="60" t="s">
        <v>1634</v>
      </c>
      <c r="C317" s="81" t="s">
        <v>1673</v>
      </c>
      <c r="D317" s="81" t="s">
        <v>37</v>
      </c>
      <c r="E317" s="86">
        <v>106761709</v>
      </c>
      <c r="F317" s="64">
        <v>42845</v>
      </c>
      <c r="G317" s="64">
        <f>IFERROR(CALCOLASCADENZA(Table2[[#This Row],[Data attivazione]],Table2[[#This Row],[Rateizzazione]],Table2[[#This Row],[Data ultimo pagamento]],Table2[[#This Row],[Data prossima scadenza manuale]]),"-")</f>
        <v>43220</v>
      </c>
      <c r="H317" s="67" t="s">
        <v>30</v>
      </c>
      <c r="I317" s="67" t="s">
        <v>113</v>
      </c>
      <c r="J317" s="33">
        <f>IFERROR(Table2[[#This Row],[Importo annuale]]/(12/VLOOKUP(Table2[[#This Row],[Rateizzazione]],TIPI_RATEIZZAZIONI,2,FALSE)),"-")</f>
        <v>740</v>
      </c>
      <c r="K317" s="88">
        <v>740</v>
      </c>
      <c r="L317" s="88">
        <v>740</v>
      </c>
      <c r="M317" s="67" t="s">
        <v>44</v>
      </c>
      <c r="N317" s="67" t="s">
        <v>52</v>
      </c>
      <c r="O317" s="27" t="s">
        <v>1631</v>
      </c>
      <c r="P317" s="33" t="s">
        <v>23</v>
      </c>
      <c r="Q317" s="60">
        <f>IFERROR(IF(12 / VLOOKUP(Table2[[#This Row],[Rateizzazione]],TIPI_RATEIZZAZIONI,2,FALSE) &gt;=1,  IF(Table2[[#This Row],[Data attivazione]] = "","-",MONTH(Table2[[#This Row],[Data attivazione]])),"-"),"-")</f>
        <v>4</v>
      </c>
      <c r="R3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7" s="67" t="s">
        <v>2</v>
      </c>
      <c r="V317" s="62"/>
      <c r="W317" s="64">
        <v>42855</v>
      </c>
      <c r="X317" s="29">
        <f>DATE(YEAR(Table2[[#This Row],[Data attivazione]])+VLOOKUP(Table2[[#This Row],[Durata]],VALORE_DURATA,2,FALSE),MONTH(Table2[[#This Row],[Data attivazione]]),DAY(Table2[[#This Row],[Data attivazione]]))</f>
        <v>43220</v>
      </c>
      <c r="Y317" s="65"/>
      <c r="Z317" s="61"/>
      <c r="AA317" s="64" t="s">
        <v>85</v>
      </c>
      <c r="AB317" s="29" t="str">
        <f>IF(Table2[[#This Row],[Data ultimo versamento temp]]=0/1/1900,"-",Table2[[#This Row],[Data ultimo versamento temp]])</f>
        <v>-</v>
      </c>
      <c r="AC317" s="29">
        <f t="array" ref="AC317">MAX(IF(TableVersamenti[Polizza]=Table2[[#This Row],[Polizza]],TableVersamenti[Data prevista versamento],"-"))</f>
        <v>0</v>
      </c>
      <c r="AD317" s="62"/>
      <c r="AE317" s="106">
        <f>DATE(YEAR(Table2[[#This Row],[Data ultimo pagamento]]),MONTH(Table2[[#This Row],[Data ultimo pagamento]]), 1)</f>
        <v>42826</v>
      </c>
      <c r="AF317" s="106">
        <f>DATE(YEAR(Table2[[#This Row],[Data prossima scadenza]]),MONTH(Table2[[#This Row],[Data prossima scadenza]]), 1)</f>
        <v>43191</v>
      </c>
      <c r="AG317" s="33">
        <f>IFERROR(Table2[[#This Row],[Importo annuale]]*VLOOKUP(Table2[[#This Row],[Ramo]],RAMI_POLIZZA,2,FALSE),0)</f>
        <v>85.100000000000009</v>
      </c>
      <c r="AH317" s="65" t="s">
        <v>113</v>
      </c>
      <c r="AI317" s="63" t="str">
        <f>IFERROR(VLOOKUP(Table2[[#This Row],[Contraente]],Table1[[Nome/Ragione sociale]:[Checkbox selezionato]],2,FALSE),"-")</f>
        <v>CERTOSA DI PAVIA</v>
      </c>
      <c r="AJ317" s="63">
        <f>IFERROR(VLOOKUP(Table2[[#This Row],[Contraente]],Table1[[Nome/Ragione sociale]:[Checkbox selezionato]],3,FALSE),"-")</f>
        <v>0</v>
      </c>
      <c r="AK317" s="63">
        <f>IFERROR(VLOOKUP(Table2[[#This Row],[Contraente]],Table1[[Nome/Ragione sociale]:[Checkbox selezionato]],4,FALSE),"-")</f>
        <v>0</v>
      </c>
      <c r="AL317" s="63" t="str">
        <f>IFERROR(VLOOKUP(Table2[[#This Row],[Contraente]],Table1[[Nome/Ragione sociale]:[Checkbox selezionato]],5,FALSE),"-")</f>
        <v>VALLE</v>
      </c>
      <c r="AM317" s="62" t="str">
        <f>IFERROR(VLOOKUP(Table2[[#This Row],[Contraente]],Table1[[Nome/Ragione sociale]:[Checkbox selezionato]],6,FALSE),"-")</f>
        <v>-</v>
      </c>
      <c r="AN317" s="63" t="str">
        <f>IFERROR(VLOOKUP(Table2[[#This Row],[Contraente]],Table1[[Nome/Ragione sociale]:[Checkbox selezionato]],7,FALSE),"-")</f>
        <v>papies@email.it</v>
      </c>
      <c r="AO317" s="63">
        <f>IFERROR(VLOOKUP(Table2[[#This Row],[Contraente]],Table1[[Nome/Ragione sociale]:[Checkbox selezionato]],8,FALSE),"-")</f>
        <v>0</v>
      </c>
      <c r="AP317" s="63">
        <f>IFERROR(VLOOKUP(Table2[[#This Row],[Contraente]],Table1[[Nome/Ragione sociale]:[Checkbox selezionato]],10,FALSE),"-")</f>
        <v>0</v>
      </c>
      <c r="AQ317" s="63" t="str">
        <f>IFERROR(VLOOKUP(Table2[[#This Row],[Contraente]],Table1[[Nome/Ragione sociale]:[Checkbox selezionato]],11,FALSE),"-")</f>
        <v>SI</v>
      </c>
      <c r="AR317" s="63" t="str">
        <f>IFERROR(VLOOKUP(Table2[[#This Row],[Contraente]],Table1[[Nome/Ragione sociale]:[Checkbox selezionato]],12,FALSE),"-")</f>
        <v>SI</v>
      </c>
    </row>
    <row r="318" spans="1:44" ht="30" hidden="1" customHeight="1" x14ac:dyDescent="0.25">
      <c r="A318" s="60" t="str">
        <f>UPPER(LEFT(Table2[[#This Row],[Contraente]],1))</f>
        <v>C</v>
      </c>
      <c r="B318" s="60" t="s">
        <v>1634</v>
      </c>
      <c r="C318" s="81" t="s">
        <v>534</v>
      </c>
      <c r="D318" s="81" t="s">
        <v>37</v>
      </c>
      <c r="E318" s="86">
        <v>106202227</v>
      </c>
      <c r="F318" s="64">
        <v>42681</v>
      </c>
      <c r="G318" s="64">
        <f>IFERROR(CALCOLASCADENZA(Table2[[#This Row],[Data attivazione]],Table2[[#This Row],[Rateizzazione]],Table2[[#This Row],[Data ultimo pagamento]],Table2[[#This Row],[Data prossima scadenza manuale]]),"-")</f>
        <v>43046</v>
      </c>
      <c r="H318" s="67" t="s">
        <v>30</v>
      </c>
      <c r="I318" s="67" t="s">
        <v>113</v>
      </c>
      <c r="J318" s="33">
        <f>IFERROR(Table2[[#This Row],[Importo annuale]]/(12/VLOOKUP(Table2[[#This Row],[Rateizzazione]],TIPI_RATEIZZAZIONI,2,FALSE)),"-")</f>
        <v>902</v>
      </c>
      <c r="K318" s="88"/>
      <c r="L318" s="88">
        <v>902</v>
      </c>
      <c r="M318" s="67" t="s">
        <v>44</v>
      </c>
      <c r="N318" s="67" t="s">
        <v>52</v>
      </c>
      <c r="O318" s="27" t="s">
        <v>1631</v>
      </c>
      <c r="P318" s="33" t="s">
        <v>23</v>
      </c>
      <c r="Q318" s="60">
        <f>IFERROR(IF(12 / VLOOKUP(Table2[[#This Row],[Rateizzazione]],TIPI_RATEIZZAZIONI,2,FALSE) &gt;=1,  IF(Table2[[#This Row],[Data attivazione]] = "","-",MONTH(Table2[[#This Row],[Data attivazione]])),"-"),"-")</f>
        <v>11</v>
      </c>
      <c r="R3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8" s="67" t="s">
        <v>2</v>
      </c>
      <c r="V318" s="62"/>
      <c r="W318" s="64">
        <v>42681</v>
      </c>
      <c r="X318" s="29">
        <f>DATE(YEAR(Table2[[#This Row],[Data attivazione]])+VLOOKUP(Table2[[#This Row],[Durata]],VALORE_DURATA,2,FALSE),MONTH(Table2[[#This Row],[Data attivazione]]),DAY(Table2[[#This Row],[Data attivazione]]))</f>
        <v>43046</v>
      </c>
      <c r="Y318" s="65"/>
      <c r="Z318" s="61"/>
      <c r="AA318" s="64" t="s">
        <v>85</v>
      </c>
      <c r="AB318" s="29" t="str">
        <f>IF(Table2[[#This Row],[Data ultimo versamento temp]]=0/1/1900,"-",Table2[[#This Row],[Data ultimo versamento temp]])</f>
        <v>-</v>
      </c>
      <c r="AC318" s="29">
        <f t="array" ref="AC318">MAX(IF(TableVersamenti[Polizza]=Table2[[#This Row],[Polizza]],TableVersamenti[Data prevista versamento],"-"))</f>
        <v>0</v>
      </c>
      <c r="AD318" s="62"/>
      <c r="AE318" s="106">
        <f>DATE(YEAR(Table2[[#This Row],[Data ultimo pagamento]]),MONTH(Table2[[#This Row],[Data ultimo pagamento]]), 1)</f>
        <v>42675</v>
      </c>
      <c r="AF318" s="106">
        <f>DATE(YEAR(Table2[[#This Row],[Data prossima scadenza]]),MONTH(Table2[[#This Row],[Data prossima scadenza]]), 1)</f>
        <v>43040</v>
      </c>
      <c r="AG318" s="33">
        <f>IFERROR(Table2[[#This Row],[Importo annuale]]*VLOOKUP(Table2[[#This Row],[Ramo]],RAMI_POLIZZA,2,FALSE),0)</f>
        <v>103.73</v>
      </c>
      <c r="AH318" s="65" t="s">
        <v>113</v>
      </c>
      <c r="AI318" s="63">
        <f>IFERROR(VLOOKUP(Table2[[#This Row],[Contraente]],Table1[[Nome/Ragione sociale]:[Checkbox selezionato]],2,FALSE),"-")</f>
        <v>0</v>
      </c>
      <c r="AJ318" s="63">
        <f>IFERROR(VLOOKUP(Table2[[#This Row],[Contraente]],Table1[[Nome/Ragione sociale]:[Checkbox selezionato]],3,FALSE),"-")</f>
        <v>0</v>
      </c>
      <c r="AK318" s="63">
        <f>IFERROR(VLOOKUP(Table2[[#This Row],[Contraente]],Table1[[Nome/Ragione sociale]:[Checkbox selezionato]],4,FALSE),"-")</f>
        <v>0</v>
      </c>
      <c r="AL318" s="63" t="str">
        <f>IFERROR(VLOOKUP(Table2[[#This Row],[Contraente]],Table1[[Nome/Ragione sociale]:[Checkbox selezionato]],5,FALSE),"-")</f>
        <v>VALLE</v>
      </c>
      <c r="AM318" s="62" t="str">
        <f>IFERROR(VLOOKUP(Table2[[#This Row],[Contraente]],Table1[[Nome/Ragione sociale]:[Checkbox selezionato]],6,FALSE),"-")</f>
        <v>-</v>
      </c>
      <c r="AN318" s="63" t="str">
        <f>IFERROR(VLOOKUP(Table2[[#This Row],[Contraente]],Table1[[Nome/Ragione sociale]:[Checkbox selezionato]],7,FALSE),"-")</f>
        <v>papies@libero.it</v>
      </c>
      <c r="AO318" s="63">
        <f>IFERROR(VLOOKUP(Table2[[#This Row],[Contraente]],Table1[[Nome/Ragione sociale]:[Checkbox selezionato]],8,FALSE),"-")</f>
        <v>0</v>
      </c>
      <c r="AP318" s="63">
        <f>IFERROR(VLOOKUP(Table2[[#This Row],[Contraente]],Table1[[Nome/Ragione sociale]:[Checkbox selezionato]],10,FALSE),"-")</f>
        <v>0</v>
      </c>
      <c r="AQ318" s="63" t="str">
        <f>IFERROR(VLOOKUP(Table2[[#This Row],[Contraente]],Table1[[Nome/Ragione sociale]:[Checkbox selezionato]],11,FALSE),"-")</f>
        <v>SI</v>
      </c>
      <c r="AR318" s="63" t="str">
        <f>IFERROR(VLOOKUP(Table2[[#This Row],[Contraente]],Table1[[Nome/Ragione sociale]:[Checkbox selezionato]],12,FALSE),"-")</f>
        <v>SI</v>
      </c>
    </row>
    <row r="319" spans="1:44" ht="30" hidden="1" customHeight="1" x14ac:dyDescent="0.25">
      <c r="A319" s="60" t="str">
        <f>UPPER(LEFT(Table2[[#This Row],[Contraente]],1))</f>
        <v>C</v>
      </c>
      <c r="B319" s="60" t="s">
        <v>1634</v>
      </c>
      <c r="C319" s="81" t="s">
        <v>551</v>
      </c>
      <c r="D319" s="81" t="s">
        <v>37</v>
      </c>
      <c r="E319" s="86">
        <v>102483825</v>
      </c>
      <c r="F319" s="64">
        <v>42724</v>
      </c>
      <c r="G319" s="64">
        <f>IFERROR(CALCOLASCADENZA(Table2[[#This Row],[Data attivazione]],Table2[[#This Row],[Rateizzazione]],Table2[[#This Row],[Data ultimo pagamento]],Table2[[#This Row],[Data prossima scadenza manuale]]),"-")</f>
        <v>43084</v>
      </c>
      <c r="H319" s="67" t="s">
        <v>30</v>
      </c>
      <c r="I319" s="67"/>
      <c r="J319" s="33">
        <f>IFERROR(Table2[[#This Row],[Importo annuale]]/(12/VLOOKUP(Table2[[#This Row],[Rateizzazione]],TIPI_RATEIZZAZIONI,2,FALSE)),"-")</f>
        <v>1574</v>
      </c>
      <c r="K319" s="88"/>
      <c r="L319" s="88">
        <v>1574</v>
      </c>
      <c r="M319" s="67" t="s">
        <v>45</v>
      </c>
      <c r="N319" s="67" t="s">
        <v>51</v>
      </c>
      <c r="O319" s="27" t="s">
        <v>1631</v>
      </c>
      <c r="P319" s="33" t="s">
        <v>23</v>
      </c>
      <c r="Q319" s="60">
        <f>IFERROR(IF(12 / VLOOKUP(Table2[[#This Row],[Rateizzazione]],TIPI_RATEIZZAZIONI,2,FALSE) &gt;=1,  IF(Table2[[#This Row],[Data attivazione]] = "","-",MONTH(Table2[[#This Row],[Data attivazione]])),"-"),"-")</f>
        <v>12</v>
      </c>
      <c r="R3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9" s="67" t="s">
        <v>2</v>
      </c>
      <c r="V319" s="62"/>
      <c r="W319" s="64">
        <v>42719</v>
      </c>
      <c r="X319" s="29">
        <f>DATE(YEAR(Table2[[#This Row],[Data attivazione]])+VLOOKUP(Table2[[#This Row],[Durata]],VALORE_DURATA,2,FALSE),MONTH(Table2[[#This Row],[Data attivazione]]),DAY(Table2[[#This Row],[Data attivazione]]))</f>
        <v>43084</v>
      </c>
      <c r="Y319" s="65"/>
      <c r="Z319" s="61"/>
      <c r="AA319" s="64" t="s">
        <v>85</v>
      </c>
      <c r="AB319" s="29" t="str">
        <f>IF(Table2[[#This Row],[Data ultimo versamento temp]]=0/1/1900,"-",Table2[[#This Row],[Data ultimo versamento temp]])</f>
        <v>-</v>
      </c>
      <c r="AC319" s="29">
        <f t="array" ref="AC319">MAX(IF(TableVersamenti[Polizza]=Table2[[#This Row],[Polizza]],TableVersamenti[Data prevista versamento],"-"))</f>
        <v>0</v>
      </c>
      <c r="AD319" s="62"/>
      <c r="AE319" s="106">
        <f>DATE(YEAR(Table2[[#This Row],[Data ultimo pagamento]]),MONTH(Table2[[#This Row],[Data ultimo pagamento]]), 1)</f>
        <v>42705</v>
      </c>
      <c r="AF319" s="106">
        <f>DATE(YEAR(Table2[[#This Row],[Data prossima scadenza]]),MONTH(Table2[[#This Row],[Data prossima scadenza]]), 1)</f>
        <v>43070</v>
      </c>
      <c r="AG319" s="33">
        <f>IFERROR(Table2[[#This Row],[Importo annuale]]*VLOOKUP(Table2[[#This Row],[Ramo]],RAMI_POLIZZA,2,FALSE),0)</f>
        <v>181.01000000000002</v>
      </c>
      <c r="AH319" s="65" t="s">
        <v>113</v>
      </c>
      <c r="AI319" s="63">
        <f>IFERROR(VLOOKUP(Table2[[#This Row],[Contraente]],Table1[[Nome/Ragione sociale]:[Checkbox selezionato]],2,FALSE),"-")</f>
        <v>0</v>
      </c>
      <c r="AJ319" s="63">
        <f>IFERROR(VLOOKUP(Table2[[#This Row],[Contraente]],Table1[[Nome/Ragione sociale]:[Checkbox selezionato]],3,FALSE),"-")</f>
        <v>0</v>
      </c>
      <c r="AK319" s="63">
        <f>IFERROR(VLOOKUP(Table2[[#This Row],[Contraente]],Table1[[Nome/Ragione sociale]:[Checkbox selezionato]],4,FALSE),"-")</f>
        <v>0</v>
      </c>
      <c r="AL319" s="63" t="str">
        <f>IFERROR(VLOOKUP(Table2[[#This Row],[Contraente]],Table1[[Nome/Ragione sociale]:[Checkbox selezionato]],5,FALSE),"-")</f>
        <v>BARCHERI</v>
      </c>
      <c r="AM319" s="62" t="str">
        <f>IFERROR(VLOOKUP(Table2[[#This Row],[Contraente]],Table1[[Nome/Ragione sociale]:[Checkbox selezionato]],6,FALSE),"-")</f>
        <v>-</v>
      </c>
      <c r="AN319" s="63" t="str">
        <f>IFERROR(VLOOKUP(Table2[[#This Row],[Contraente]],Table1[[Nome/Ragione sociale]:[Checkbox selezionato]],7,FALSE),"-")</f>
        <v>papies@libero.it</v>
      </c>
      <c r="AO319" s="63">
        <f>IFERROR(VLOOKUP(Table2[[#This Row],[Contraente]],Table1[[Nome/Ragione sociale]:[Checkbox selezionato]],8,FALSE),"-")</f>
        <v>0</v>
      </c>
      <c r="AP319" s="63">
        <f>IFERROR(VLOOKUP(Table2[[#This Row],[Contraente]],Table1[[Nome/Ragione sociale]:[Checkbox selezionato]],10,FALSE),"-")</f>
        <v>0</v>
      </c>
      <c r="AQ319" s="63" t="str">
        <f>IFERROR(VLOOKUP(Table2[[#This Row],[Contraente]],Table1[[Nome/Ragione sociale]:[Checkbox selezionato]],11,FALSE),"-")</f>
        <v>SI</v>
      </c>
      <c r="AR319" s="63" t="str">
        <f>IFERROR(VLOOKUP(Table2[[#This Row],[Contraente]],Table1[[Nome/Ragione sociale]:[Checkbox selezionato]],12,FALSE),"-")</f>
        <v>SI</v>
      </c>
    </row>
    <row r="320" spans="1:44" ht="30" hidden="1" customHeight="1" x14ac:dyDescent="0.25">
      <c r="A320" s="60" t="str">
        <f>UPPER(LEFT(Table2[[#This Row],[Contraente]],1))</f>
        <v>C</v>
      </c>
      <c r="B320" s="60" t="s">
        <v>1634</v>
      </c>
      <c r="C320" s="81" t="s">
        <v>538</v>
      </c>
      <c r="D320" s="81" t="s">
        <v>37</v>
      </c>
      <c r="E320" s="86">
        <v>106138429</v>
      </c>
      <c r="F320" s="64">
        <v>42846</v>
      </c>
      <c r="G320" s="64">
        <f>IFERROR(CALCOLASCADENZA(Table2[[#This Row],[Data attivazione]],Table2[[#This Row],[Rateizzazione]],Table2[[#This Row],[Data ultimo pagamento]],Table2[[#This Row],[Data prossima scadenza manuale]]),"-")</f>
        <v>43026</v>
      </c>
      <c r="H320" s="67" t="s">
        <v>30</v>
      </c>
      <c r="I320" s="67" t="s">
        <v>113</v>
      </c>
      <c r="J320" s="33">
        <v>1550</v>
      </c>
      <c r="K320" s="88">
        <v>1550</v>
      </c>
      <c r="L320" s="88">
        <v>3200</v>
      </c>
      <c r="M320" s="67" t="s">
        <v>44</v>
      </c>
      <c r="N320" s="67" t="s">
        <v>52</v>
      </c>
      <c r="O320" s="27" t="s">
        <v>1631</v>
      </c>
      <c r="P320" s="33" t="s">
        <v>22</v>
      </c>
      <c r="Q320" s="60">
        <f>IFERROR(IF(12 / VLOOKUP(Table2[[#This Row],[Rateizzazione]],TIPI_RATEIZZAZIONI,2,FALSE) &gt;=1,  IF(Table2[[#This Row],[Data attivazione]] = "","-",MONTH(Table2[[#This Row],[Data attivazione]])),"-"),"-")</f>
        <v>10</v>
      </c>
      <c r="R3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0" s="67" t="s">
        <v>2</v>
      </c>
      <c r="V320" s="62"/>
      <c r="W320" s="64">
        <v>42661</v>
      </c>
      <c r="X320" s="29">
        <f>DATE(YEAR(Table2[[#This Row],[Data attivazione]])+VLOOKUP(Table2[[#This Row],[Durata]],VALORE_DURATA,2,FALSE),MONTH(Table2[[#This Row],[Data attivazione]]),DAY(Table2[[#This Row],[Data attivazione]]))</f>
        <v>43026</v>
      </c>
      <c r="Y320" s="65"/>
      <c r="Z320" s="61"/>
      <c r="AA320" s="64" t="s">
        <v>85</v>
      </c>
      <c r="AB320" s="29" t="str">
        <f>IF(Table2[[#This Row],[Data ultimo versamento temp]]=0/1/1900,"-",Table2[[#This Row],[Data ultimo versamento temp]])</f>
        <v>-</v>
      </c>
      <c r="AC320" s="29">
        <f t="array" ref="AC320">MAX(IF(TableVersamenti[Polizza]=Table2[[#This Row],[Polizza]],TableVersamenti[Data prevista versamento],"-"))</f>
        <v>0</v>
      </c>
      <c r="AD320" s="62"/>
      <c r="AE320" s="106">
        <f>DATE(YEAR(Table2[[#This Row],[Data ultimo pagamento]]),MONTH(Table2[[#This Row],[Data ultimo pagamento]]), 1)</f>
        <v>42826</v>
      </c>
      <c r="AF320" s="106">
        <f>DATE(YEAR(Table2[[#This Row],[Data prossima scadenza]]),MONTH(Table2[[#This Row],[Data prossima scadenza]]), 1)</f>
        <v>43009</v>
      </c>
      <c r="AG320" s="33">
        <f>IFERROR(Table2[[#This Row],[Importo annuale]]*VLOOKUP(Table2[[#This Row],[Ramo]],RAMI_POLIZZA,2,FALSE),0)</f>
        <v>368</v>
      </c>
      <c r="AH320" s="65" t="s">
        <v>113</v>
      </c>
      <c r="AI320" s="63">
        <f>IFERROR(VLOOKUP(Table2[[#This Row],[Contraente]],Table1[[Nome/Ragione sociale]:[Checkbox selezionato]],2,FALSE),"-")</f>
        <v>0</v>
      </c>
      <c r="AJ320" s="63">
        <f>IFERROR(VLOOKUP(Table2[[#This Row],[Contraente]],Table1[[Nome/Ragione sociale]:[Checkbox selezionato]],3,FALSE),"-")</f>
        <v>0</v>
      </c>
      <c r="AK320" s="63">
        <f>IFERROR(VLOOKUP(Table2[[#This Row],[Contraente]],Table1[[Nome/Ragione sociale]:[Checkbox selezionato]],4,FALSE),"-")</f>
        <v>0</v>
      </c>
      <c r="AL320" s="63" t="str">
        <f>IFERROR(VLOOKUP(Table2[[#This Row],[Contraente]],Table1[[Nome/Ragione sociale]:[Checkbox selezionato]],5,FALSE),"-")</f>
        <v>MONTANINO</v>
      </c>
      <c r="AM320" s="62" t="str">
        <f>IFERROR(VLOOKUP(Table2[[#This Row],[Contraente]],Table1[[Nome/Ragione sociale]:[Checkbox selezionato]],6,FALSE),"-")</f>
        <v>-</v>
      </c>
      <c r="AN320" s="63" t="str">
        <f>IFERROR(VLOOKUP(Table2[[#This Row],[Contraente]],Table1[[Nome/Ragione sociale]:[Checkbox selezionato]],7,FALSE),"-")</f>
        <v>papies@email.it</v>
      </c>
      <c r="AO320" s="63">
        <f>IFERROR(VLOOKUP(Table2[[#This Row],[Contraente]],Table1[[Nome/Ragione sociale]:[Checkbox selezionato]],8,FALSE),"-")</f>
        <v>0</v>
      </c>
      <c r="AP320" s="63">
        <f>IFERROR(VLOOKUP(Table2[[#This Row],[Contraente]],Table1[[Nome/Ragione sociale]:[Checkbox selezionato]],10,FALSE),"-")</f>
        <v>0</v>
      </c>
      <c r="AQ320" s="63" t="str">
        <f>IFERROR(VLOOKUP(Table2[[#This Row],[Contraente]],Table1[[Nome/Ragione sociale]:[Checkbox selezionato]],11,FALSE),"-")</f>
        <v>SI</v>
      </c>
      <c r="AR320" s="63" t="str">
        <f>IFERROR(VLOOKUP(Table2[[#This Row],[Contraente]],Table1[[Nome/Ragione sociale]:[Checkbox selezionato]],12,FALSE),"-")</f>
        <v>SI</v>
      </c>
    </row>
    <row r="321" spans="1:44" ht="30" hidden="1" customHeight="1" x14ac:dyDescent="0.25">
      <c r="A321" s="60" t="str">
        <f>UPPER(LEFT(Table2[[#This Row],[Contraente]],1))</f>
        <v>C</v>
      </c>
      <c r="B321" s="60" t="s">
        <v>1634</v>
      </c>
      <c r="C321" s="81" t="s">
        <v>533</v>
      </c>
      <c r="D321" s="81" t="s">
        <v>37</v>
      </c>
      <c r="E321" s="86">
        <v>105060574</v>
      </c>
      <c r="F321" s="64">
        <v>42692</v>
      </c>
      <c r="G321" s="64">
        <f>IFERROR(CALCOLASCADENZA(Table2[[#This Row],[Data attivazione]],Table2[[#This Row],[Rateizzazione]],Table2[[#This Row],[Data ultimo pagamento]],Table2[[#This Row],[Data prossima scadenza manuale]]),"-")</f>
        <v>43067</v>
      </c>
      <c r="H321" s="67" t="s">
        <v>30</v>
      </c>
      <c r="I321" s="67" t="s">
        <v>113</v>
      </c>
      <c r="J321" s="33">
        <f>IFERROR(Table2[[#This Row],[Importo annuale]]/(12/VLOOKUP(Table2[[#This Row],[Rateizzazione]],TIPI_RATEIZZAZIONI,2,FALSE)),"-")</f>
        <v>800</v>
      </c>
      <c r="K321" s="88"/>
      <c r="L321" s="88">
        <v>800</v>
      </c>
      <c r="M321" s="67" t="s">
        <v>44</v>
      </c>
      <c r="N321" s="67" t="s">
        <v>51</v>
      </c>
      <c r="O321" s="27" t="s">
        <v>1631</v>
      </c>
      <c r="P321" s="33" t="s">
        <v>23</v>
      </c>
      <c r="Q321" s="60">
        <f>IFERROR(IF(12 / VLOOKUP(Table2[[#This Row],[Rateizzazione]],TIPI_RATEIZZAZIONI,2,FALSE) &gt;=1,  IF(Table2[[#This Row],[Data attivazione]] = "","-",MONTH(Table2[[#This Row],[Data attivazione]])),"-"),"-")</f>
        <v>11</v>
      </c>
      <c r="R3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1" s="67" t="s">
        <v>2</v>
      </c>
      <c r="V321" s="62"/>
      <c r="W321" s="64">
        <v>42702</v>
      </c>
      <c r="X321" s="29">
        <f>DATE(YEAR(Table2[[#This Row],[Data attivazione]])+VLOOKUP(Table2[[#This Row],[Durata]],VALORE_DURATA,2,FALSE),MONTH(Table2[[#This Row],[Data attivazione]]),DAY(Table2[[#This Row],[Data attivazione]]))</f>
        <v>43067</v>
      </c>
      <c r="Y321" s="65"/>
      <c r="Z321" s="61"/>
      <c r="AA321" s="64" t="s">
        <v>85</v>
      </c>
      <c r="AB321" s="29" t="str">
        <f>IF(Table2[[#This Row],[Data ultimo versamento temp]]=0/1/1900,"-",Table2[[#This Row],[Data ultimo versamento temp]])</f>
        <v>-</v>
      </c>
      <c r="AC321" s="29">
        <f t="array" ref="AC321">MAX(IF(TableVersamenti[Polizza]=Table2[[#This Row],[Polizza]],TableVersamenti[Data prevista versamento],"-"))</f>
        <v>0</v>
      </c>
      <c r="AD321" s="62"/>
      <c r="AE321" s="106">
        <f>DATE(YEAR(Table2[[#This Row],[Data ultimo pagamento]]),MONTH(Table2[[#This Row],[Data ultimo pagamento]]), 1)</f>
        <v>42675</v>
      </c>
      <c r="AF321" s="106">
        <f>DATE(YEAR(Table2[[#This Row],[Data prossima scadenza]]),MONTH(Table2[[#This Row],[Data prossima scadenza]]), 1)</f>
        <v>43040</v>
      </c>
      <c r="AG321" s="33">
        <f>IFERROR(Table2[[#This Row],[Importo annuale]]*VLOOKUP(Table2[[#This Row],[Ramo]],RAMI_POLIZZA,2,FALSE),0)</f>
        <v>92</v>
      </c>
      <c r="AH321" s="65" t="s">
        <v>113</v>
      </c>
      <c r="AI321" s="63" t="str">
        <f>IFERROR(VLOOKUP(Table2[[#This Row],[Contraente]],Table1[[Nome/Ragione sociale]:[Checkbox selezionato]],2,FALSE),"-")</f>
        <v>PAVIA</v>
      </c>
      <c r="AJ321" s="63">
        <f>IFERROR(VLOOKUP(Table2[[#This Row],[Contraente]],Table1[[Nome/Ragione sociale]:[Checkbox selezionato]],3,FALSE),"-")</f>
        <v>0</v>
      </c>
      <c r="AK321" s="63">
        <f>IFERROR(VLOOKUP(Table2[[#This Row],[Contraente]],Table1[[Nome/Ragione sociale]:[Checkbox selezionato]],4,FALSE),"-")</f>
        <v>0</v>
      </c>
      <c r="AL321" s="63" t="str">
        <f>IFERROR(VLOOKUP(Table2[[#This Row],[Contraente]],Table1[[Nome/Ragione sociale]:[Checkbox selezionato]],5,FALSE),"-")</f>
        <v>GAVANA</v>
      </c>
      <c r="AM321" s="62" t="str">
        <f>IFERROR(VLOOKUP(Table2[[#This Row],[Contraente]],Table1[[Nome/Ragione sociale]:[Checkbox selezionato]],6,FALSE),"-")</f>
        <v>-</v>
      </c>
      <c r="AN321" s="63" t="str">
        <f>IFERROR(VLOOKUP(Table2[[#This Row],[Contraente]],Table1[[Nome/Ragione sociale]:[Checkbox selezionato]],7,FALSE),"-")</f>
        <v>papies@libero.it</v>
      </c>
      <c r="AO321" s="63">
        <f>IFERROR(VLOOKUP(Table2[[#This Row],[Contraente]],Table1[[Nome/Ragione sociale]:[Checkbox selezionato]],8,FALSE),"-")</f>
        <v>0</v>
      </c>
      <c r="AP321" s="63">
        <f>IFERROR(VLOOKUP(Table2[[#This Row],[Contraente]],Table1[[Nome/Ragione sociale]:[Checkbox selezionato]],10,FALSE),"-")</f>
        <v>0</v>
      </c>
      <c r="AQ321" s="63" t="str">
        <f>IFERROR(VLOOKUP(Table2[[#This Row],[Contraente]],Table1[[Nome/Ragione sociale]:[Checkbox selezionato]],11,FALSE),"-")</f>
        <v>SI</v>
      </c>
      <c r="AR321" s="63" t="str">
        <f>IFERROR(VLOOKUP(Table2[[#This Row],[Contraente]],Table1[[Nome/Ragione sociale]:[Checkbox selezionato]],12,FALSE),"-")</f>
        <v>SI</v>
      </c>
    </row>
    <row r="322" spans="1:44" ht="30" hidden="1" customHeight="1" x14ac:dyDescent="0.25">
      <c r="A322" s="60" t="str">
        <f>UPPER(LEFT(Table2[[#This Row],[Contraente]],1))</f>
        <v>C</v>
      </c>
      <c r="B322" s="60" t="s">
        <v>1634</v>
      </c>
      <c r="C322" s="81" t="s">
        <v>1765</v>
      </c>
      <c r="D322" s="81" t="s">
        <v>37</v>
      </c>
      <c r="E322" s="86">
        <v>107051976</v>
      </c>
      <c r="F322" s="64">
        <v>42916</v>
      </c>
      <c r="G322" s="64">
        <f>IFERROR(CALCOLASCADENZA(Table2[[#This Row],[Data attivazione]],Table2[[#This Row],[Rateizzazione]],Table2[[#This Row],[Data ultimo pagamento]],Table2[[#This Row],[Data prossima scadenza manuale]]),"-")</f>
        <v>43281</v>
      </c>
      <c r="H322" s="67" t="s">
        <v>30</v>
      </c>
      <c r="I322" s="67" t="s">
        <v>113</v>
      </c>
      <c r="J322" s="33">
        <f>IFERROR(Table2[[#This Row],[Importo annuale]]/(12/VLOOKUP(Table2[[#This Row],[Rateizzazione]],TIPI_RATEIZZAZIONI,2,FALSE)),"-")</f>
        <v>500</v>
      </c>
      <c r="K322" s="88">
        <v>500</v>
      </c>
      <c r="L322" s="88">
        <v>500</v>
      </c>
      <c r="M322" s="67" t="s">
        <v>45</v>
      </c>
      <c r="N322" s="67" t="s">
        <v>52</v>
      </c>
      <c r="O322" s="27" t="s">
        <v>1631</v>
      </c>
      <c r="P322" s="33" t="s">
        <v>23</v>
      </c>
      <c r="Q322" s="60">
        <f>IFERROR(IF(12 / VLOOKUP(Table2[[#This Row],[Rateizzazione]],TIPI_RATEIZZAZIONI,2,FALSE) &gt;=1,  IF(Table2[[#This Row],[Data attivazione]] = "","-",MONTH(Table2[[#This Row],[Data attivazione]])),"-"),"-")</f>
        <v>6</v>
      </c>
      <c r="R3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2" s="67" t="s">
        <v>2</v>
      </c>
      <c r="V322" s="62"/>
      <c r="W322" s="64">
        <v>42916</v>
      </c>
      <c r="X322" s="29">
        <f>DATE(YEAR(Table2[[#This Row],[Data attivazione]])+VLOOKUP(Table2[[#This Row],[Durata]],VALORE_DURATA,2,FALSE),MONTH(Table2[[#This Row],[Data attivazione]]),DAY(Table2[[#This Row],[Data attivazione]]))</f>
        <v>43281</v>
      </c>
      <c r="Y322" s="65"/>
      <c r="Z322" s="61"/>
      <c r="AA322" s="64" t="s">
        <v>85</v>
      </c>
      <c r="AB322" s="29" t="str">
        <f>IF(Table2[[#This Row],[Data ultimo versamento temp]]=0/1/1900,"-",Table2[[#This Row],[Data ultimo versamento temp]])</f>
        <v>-</v>
      </c>
      <c r="AC322" s="29">
        <f t="array" ref="AC322">MAX(IF(TableVersamenti[Polizza]=Table2[[#This Row],[Polizza]],TableVersamenti[Data prevista versamento],"-"))</f>
        <v>0</v>
      </c>
      <c r="AD322" s="62"/>
      <c r="AE322" s="106">
        <f>DATE(YEAR(Table2[[#This Row],[Data ultimo pagamento]]),MONTH(Table2[[#This Row],[Data ultimo pagamento]]), 1)</f>
        <v>42887</v>
      </c>
      <c r="AF322" s="106">
        <f>DATE(YEAR(Table2[[#This Row],[Data prossima scadenza]]),MONTH(Table2[[#This Row],[Data prossima scadenza]]), 1)</f>
        <v>43252</v>
      </c>
      <c r="AG322" s="33">
        <f>IFERROR(Table2[[#This Row],[Importo annuale]]*VLOOKUP(Table2[[#This Row],[Ramo]],RAMI_POLIZZA,2,FALSE),0)</f>
        <v>57.5</v>
      </c>
      <c r="AH322" s="65" t="s">
        <v>113</v>
      </c>
      <c r="AI322" s="63" t="str">
        <f>IFERROR(VLOOKUP(Table2[[#This Row],[Contraente]],Table1[[Nome/Ragione sociale]:[Checkbox selezionato]],2,FALSE),"-")</f>
        <v>FOSSARMATO</v>
      </c>
      <c r="AJ322" s="63">
        <f>IFERROR(VLOOKUP(Table2[[#This Row],[Contraente]],Table1[[Nome/Ragione sociale]:[Checkbox selezionato]],3,FALSE),"-")</f>
        <v>0</v>
      </c>
      <c r="AK322" s="63">
        <f>IFERROR(VLOOKUP(Table2[[#This Row],[Contraente]],Table1[[Nome/Ragione sociale]:[Checkbox selezionato]],4,FALSE),"-")</f>
        <v>0</v>
      </c>
      <c r="AL322" s="63" t="str">
        <f>IFERROR(VLOOKUP(Table2[[#This Row],[Contraente]],Table1[[Nome/Ragione sociale]:[Checkbox selezionato]],5,FALSE),"-")</f>
        <v>CICERO</v>
      </c>
      <c r="AM322" s="62" t="str">
        <f>IFERROR(VLOOKUP(Table2[[#This Row],[Contraente]],Table1[[Nome/Ragione sociale]:[Checkbox selezionato]],6,FALSE),"-")</f>
        <v>-</v>
      </c>
      <c r="AN322" s="63" t="str">
        <f>IFERROR(VLOOKUP(Table2[[#This Row],[Contraente]],Table1[[Nome/Ragione sociale]:[Checkbox selezionato]],7,FALSE),"-")</f>
        <v>papies@libero.it</v>
      </c>
      <c r="AO322" s="63">
        <f>IFERROR(VLOOKUP(Table2[[#This Row],[Contraente]],Table1[[Nome/Ragione sociale]:[Checkbox selezionato]],8,FALSE),"-")</f>
        <v>0</v>
      </c>
      <c r="AP322" s="63">
        <f>IFERROR(VLOOKUP(Table2[[#This Row],[Contraente]],Table1[[Nome/Ragione sociale]:[Checkbox selezionato]],10,FALSE),"-")</f>
        <v>0</v>
      </c>
      <c r="AQ322" s="63" t="str">
        <f>IFERROR(VLOOKUP(Table2[[#This Row],[Contraente]],Table1[[Nome/Ragione sociale]:[Checkbox selezionato]],11,FALSE),"-")</f>
        <v>SI</v>
      </c>
      <c r="AR322" s="63" t="str">
        <f>IFERROR(VLOOKUP(Table2[[#This Row],[Contraente]],Table1[[Nome/Ragione sociale]:[Checkbox selezionato]],12,FALSE),"-")</f>
        <v>SI</v>
      </c>
    </row>
    <row r="323" spans="1:44" ht="30" hidden="1" customHeight="1" x14ac:dyDescent="0.25">
      <c r="A323" s="60" t="str">
        <f>UPPER(LEFT(Table2[[#This Row],[Contraente]],1))</f>
        <v>C</v>
      </c>
      <c r="B323" s="60" t="s">
        <v>1634</v>
      </c>
      <c r="C323" s="81" t="s">
        <v>531</v>
      </c>
      <c r="D323" s="81" t="s">
        <v>37</v>
      </c>
      <c r="E323" s="86">
        <v>106202229</v>
      </c>
      <c r="F323" s="64">
        <v>42885</v>
      </c>
      <c r="G323" s="64">
        <f>IFERROR(CALCOLASCADENZA(Table2[[#This Row],[Data attivazione]],Table2[[#This Row],[Rateizzazione]],Table2[[#This Row],[Data ultimo pagamento]],Table2[[#This Row],[Data prossima scadenza manuale]]),"-")</f>
        <v>43069</v>
      </c>
      <c r="H323" s="67" t="s">
        <v>30</v>
      </c>
      <c r="I323" s="67" t="s">
        <v>113</v>
      </c>
      <c r="J323" s="33">
        <f>IFERROR(Table2[[#This Row],[Importo annuale]]/(12/VLOOKUP(Table2[[#This Row],[Rateizzazione]],TIPI_RATEIZZAZIONI,2,FALSE)),"-")</f>
        <v>2248</v>
      </c>
      <c r="K323" s="88">
        <v>2248</v>
      </c>
      <c r="L323" s="88">
        <v>4496</v>
      </c>
      <c r="M323" s="67" t="s">
        <v>44</v>
      </c>
      <c r="N323" s="67" t="s">
        <v>52</v>
      </c>
      <c r="O323" s="27" t="s">
        <v>1631</v>
      </c>
      <c r="P323" s="33" t="s">
        <v>22</v>
      </c>
      <c r="Q323" s="60">
        <f>IFERROR(IF(12 / VLOOKUP(Table2[[#This Row],[Rateizzazione]],TIPI_RATEIZZAZIONI,2,FALSE) &gt;=1,  IF(Table2[[#This Row],[Data attivazione]] = "","-",MONTH(Table2[[#This Row],[Data attivazione]])),"-"),"-")</f>
        <v>11</v>
      </c>
      <c r="R3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3" s="67" t="s">
        <v>2</v>
      </c>
      <c r="V323" s="62"/>
      <c r="W323" s="64">
        <v>42704</v>
      </c>
      <c r="X323" s="29">
        <f>DATE(YEAR(Table2[[#This Row],[Data attivazione]])+VLOOKUP(Table2[[#This Row],[Durata]],VALORE_DURATA,2,FALSE),MONTH(Table2[[#This Row],[Data attivazione]]),DAY(Table2[[#This Row],[Data attivazione]]))</f>
        <v>43069</v>
      </c>
      <c r="Y323" s="65"/>
      <c r="Z323" s="61"/>
      <c r="AA323" s="64" t="s">
        <v>85</v>
      </c>
      <c r="AB323" s="29" t="str">
        <f>IF(Table2[[#This Row],[Data ultimo versamento temp]]=0/1/1900,"-",Table2[[#This Row],[Data ultimo versamento temp]])</f>
        <v>-</v>
      </c>
      <c r="AC323" s="29">
        <f t="array" ref="AC323">MAX(IF(TableVersamenti[Polizza]=Table2[[#This Row],[Polizza]],TableVersamenti[Data prevista versamento],"-"))</f>
        <v>0</v>
      </c>
      <c r="AD323" s="62"/>
      <c r="AE323" s="106">
        <f>DATE(YEAR(Table2[[#This Row],[Data ultimo pagamento]]),MONTH(Table2[[#This Row],[Data ultimo pagamento]]), 1)</f>
        <v>42856</v>
      </c>
      <c r="AF323" s="106">
        <f>DATE(YEAR(Table2[[#This Row],[Data prossima scadenza]]),MONTH(Table2[[#This Row],[Data prossima scadenza]]), 1)</f>
        <v>43040</v>
      </c>
      <c r="AG323" s="33">
        <f>IFERROR(Table2[[#This Row],[Importo annuale]]*VLOOKUP(Table2[[#This Row],[Ramo]],RAMI_POLIZZA,2,FALSE),0)</f>
        <v>517.04000000000008</v>
      </c>
      <c r="AH323" s="65" t="s">
        <v>113</v>
      </c>
      <c r="AI323" s="63" t="str">
        <f>IFERROR(VLOOKUP(Table2[[#This Row],[Contraente]],Table1[[Nome/Ragione sociale]:[Checkbox selezionato]],2,FALSE),"-")</f>
        <v>PAVIA</v>
      </c>
      <c r="AJ323" s="63">
        <f>IFERROR(VLOOKUP(Table2[[#This Row],[Contraente]],Table1[[Nome/Ragione sociale]:[Checkbox selezionato]],3,FALSE),"-")</f>
        <v>0</v>
      </c>
      <c r="AK323" s="63">
        <f>IFERROR(VLOOKUP(Table2[[#This Row],[Contraente]],Table1[[Nome/Ragione sociale]:[Checkbox selezionato]],4,FALSE),"-")</f>
        <v>0</v>
      </c>
      <c r="AL323" s="63" t="str">
        <f>IFERROR(VLOOKUP(Table2[[#This Row],[Contraente]],Table1[[Nome/Ragione sociale]:[Checkbox selezionato]],5,FALSE),"-")</f>
        <v>GAVANA</v>
      </c>
      <c r="AM323" s="62" t="str">
        <f>IFERROR(VLOOKUP(Table2[[#This Row],[Contraente]],Table1[[Nome/Ragione sociale]:[Checkbox selezionato]],6,FALSE),"-")</f>
        <v>-</v>
      </c>
      <c r="AN323" s="63" t="str">
        <f>IFERROR(VLOOKUP(Table2[[#This Row],[Contraente]],Table1[[Nome/Ragione sociale]:[Checkbox selezionato]],7,FALSE),"-")</f>
        <v>papies@email.it</v>
      </c>
      <c r="AO323" s="63">
        <f>IFERROR(VLOOKUP(Table2[[#This Row],[Contraente]],Table1[[Nome/Ragione sociale]:[Checkbox selezionato]],8,FALSE),"-")</f>
        <v>0</v>
      </c>
      <c r="AP323" s="63">
        <f>IFERROR(VLOOKUP(Table2[[#This Row],[Contraente]],Table1[[Nome/Ragione sociale]:[Checkbox selezionato]],10,FALSE),"-")</f>
        <v>0</v>
      </c>
      <c r="AQ323" s="63" t="str">
        <f>IFERROR(VLOOKUP(Table2[[#This Row],[Contraente]],Table1[[Nome/Ragione sociale]:[Checkbox selezionato]],11,FALSE),"-")</f>
        <v>SI</v>
      </c>
      <c r="AR323" s="63" t="str">
        <f>IFERROR(VLOOKUP(Table2[[#This Row],[Contraente]],Table1[[Nome/Ragione sociale]:[Checkbox selezionato]],12,FALSE),"-")</f>
        <v>SI</v>
      </c>
    </row>
    <row r="324" spans="1:44" ht="30" hidden="1" customHeight="1" x14ac:dyDescent="0.25">
      <c r="A324" s="60" t="str">
        <f>UPPER(LEFT(Table2[[#This Row],[Contraente]],1))</f>
        <v>C</v>
      </c>
      <c r="B324" s="60" t="s">
        <v>1634</v>
      </c>
      <c r="C324" s="81" t="s">
        <v>111</v>
      </c>
      <c r="D324" s="81" t="s">
        <v>37</v>
      </c>
      <c r="E324" s="86">
        <v>105826542</v>
      </c>
      <c r="F324" s="64">
        <v>42929</v>
      </c>
      <c r="G324" s="64">
        <f>IFERROR(CALCOLASCADENZA(Table2[[#This Row],[Data attivazione]],Table2[[#This Row],[Rateizzazione]],Table2[[#This Row],[Data ultimo pagamento]],Table2[[#This Row],[Data prossima scadenza manuale]]),"-")</f>
        <v>43292</v>
      </c>
      <c r="H324" s="67" t="s">
        <v>30</v>
      </c>
      <c r="I324" s="67" t="s">
        <v>113</v>
      </c>
      <c r="J324" s="33">
        <f>IFERROR(Table2[[#This Row],[Importo annuale]]/(12/VLOOKUP(Table2[[#This Row],[Rateizzazione]],TIPI_RATEIZZAZIONI,2,FALSE)),"-")</f>
        <v>865</v>
      </c>
      <c r="K324" s="88">
        <v>865</v>
      </c>
      <c r="L324" s="88">
        <v>865</v>
      </c>
      <c r="M324" s="67" t="s">
        <v>45</v>
      </c>
      <c r="N324" s="67" t="s">
        <v>51</v>
      </c>
      <c r="O324" s="27" t="s">
        <v>1631</v>
      </c>
      <c r="P324" s="33" t="s">
        <v>23</v>
      </c>
      <c r="Q324" s="60">
        <f>IFERROR(IF(12 / VLOOKUP(Table2[[#This Row],[Rateizzazione]],TIPI_RATEIZZAZIONI,2,FALSE) &gt;=1,  IF(Table2[[#This Row],[Data attivazione]] = "","-",MONTH(Table2[[#This Row],[Data attivazione]])),"-"),"-")</f>
        <v>7</v>
      </c>
      <c r="R3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4" s="67" t="s">
        <v>2</v>
      </c>
      <c r="V324" s="62"/>
      <c r="W324" s="64">
        <v>42927</v>
      </c>
      <c r="X324" s="29">
        <f>DATE(YEAR(Table2[[#This Row],[Data attivazione]])+VLOOKUP(Table2[[#This Row],[Durata]],VALORE_DURATA,2,FALSE),MONTH(Table2[[#This Row],[Data attivazione]]),DAY(Table2[[#This Row],[Data attivazione]]))</f>
        <v>43292</v>
      </c>
      <c r="Y324" s="65"/>
      <c r="Z324" s="61"/>
      <c r="AA324" s="64" t="s">
        <v>85</v>
      </c>
      <c r="AB324" s="29">
        <f>IF(Table2[[#This Row],[Data ultimo versamento temp]]=0/1/1900,"-",Table2[[#This Row],[Data ultimo versamento temp]])</f>
        <v>42932</v>
      </c>
      <c r="AC324" s="29">
        <f t="array" ref="AC324">MAX(IF(TableVersamenti[Polizza]=Table2[[#This Row],[Polizza]],TableVersamenti[Data prevista versamento],"-"))</f>
        <v>42932</v>
      </c>
      <c r="AD324" s="62"/>
      <c r="AE324" s="106">
        <f>DATE(YEAR(Table2[[#This Row],[Data ultimo pagamento]]),MONTH(Table2[[#This Row],[Data ultimo pagamento]]), 1)</f>
        <v>42917</v>
      </c>
      <c r="AF324" s="106">
        <f>DATE(YEAR(Table2[[#This Row],[Data prossima scadenza]]),MONTH(Table2[[#This Row],[Data prossima scadenza]]), 1)</f>
        <v>43282</v>
      </c>
      <c r="AG324" s="33">
        <f>IFERROR(Table2[[#This Row],[Importo annuale]]*VLOOKUP(Table2[[#This Row],[Ramo]],RAMI_POLIZZA,2,FALSE),0)</f>
        <v>99.475000000000009</v>
      </c>
      <c r="AH324" s="65" t="s">
        <v>113</v>
      </c>
      <c r="AI324" s="63">
        <f>IFERROR(VLOOKUP(Table2[[#This Row],[Contraente]],Table1[[Nome/Ragione sociale]:[Checkbox selezionato]],2,FALSE),"-")</f>
        <v>0</v>
      </c>
      <c r="AJ324" s="63">
        <f>IFERROR(VLOOKUP(Table2[[#This Row],[Contraente]],Table1[[Nome/Ragione sociale]:[Checkbox selezionato]],3,FALSE),"-")</f>
        <v>0</v>
      </c>
      <c r="AK324" s="63">
        <f>IFERROR(VLOOKUP(Table2[[#This Row],[Contraente]],Table1[[Nome/Ragione sociale]:[Checkbox selezionato]],4,FALSE),"-")</f>
        <v>0</v>
      </c>
      <c r="AL324" s="63" t="str">
        <f>IFERROR(VLOOKUP(Table2[[#This Row],[Contraente]],Table1[[Nome/Ragione sociale]:[Checkbox selezionato]],5,FALSE),"-")</f>
        <v>TARRINI</v>
      </c>
      <c r="AM324" s="62" t="str">
        <f>IFERROR(VLOOKUP(Table2[[#This Row],[Contraente]],Table1[[Nome/Ragione sociale]:[Checkbox selezionato]],6,FALSE),"-")</f>
        <v>-</v>
      </c>
      <c r="AN324" s="63" t="str">
        <f>IFERROR(VLOOKUP(Table2[[#This Row],[Contraente]],Table1[[Nome/Ragione sociale]:[Checkbox selezionato]],7,FALSE),"-")</f>
        <v>papies@libero.it</v>
      </c>
      <c r="AO324" s="63">
        <f>IFERROR(VLOOKUP(Table2[[#This Row],[Contraente]],Table1[[Nome/Ragione sociale]:[Checkbox selezionato]],8,FALSE),"-")</f>
        <v>0</v>
      </c>
      <c r="AP324" s="63">
        <f>IFERROR(VLOOKUP(Table2[[#This Row],[Contraente]],Table1[[Nome/Ragione sociale]:[Checkbox selezionato]],10,FALSE),"-")</f>
        <v>0</v>
      </c>
      <c r="AQ324" s="63" t="str">
        <f>IFERROR(VLOOKUP(Table2[[#This Row],[Contraente]],Table1[[Nome/Ragione sociale]:[Checkbox selezionato]],11,FALSE),"-")</f>
        <v>SI</v>
      </c>
      <c r="AR324" s="63" t="str">
        <f>IFERROR(VLOOKUP(Table2[[#This Row],[Contraente]],Table1[[Nome/Ragione sociale]:[Checkbox selezionato]],12,FALSE),"-")</f>
        <v>SI</v>
      </c>
    </row>
    <row r="325" spans="1:44" ht="30" hidden="1" customHeight="1" x14ac:dyDescent="0.25">
      <c r="A325" s="60" t="str">
        <f>UPPER(LEFT(Table2[[#This Row],[Contraente]],1))</f>
        <v>C</v>
      </c>
      <c r="B325" s="60" t="s">
        <v>1634</v>
      </c>
      <c r="C325" s="81" t="s">
        <v>111</v>
      </c>
      <c r="D325" s="81" t="s">
        <v>37</v>
      </c>
      <c r="E325" s="86">
        <v>104867732</v>
      </c>
      <c r="F325" s="64">
        <v>42640</v>
      </c>
      <c r="G325" s="64">
        <f>IFERROR(CALCOLASCADENZA(Table2[[#This Row],[Data attivazione]],Table2[[#This Row],[Rateizzazione]],Table2[[#This Row],[Data ultimo pagamento]],Table2[[#This Row],[Data prossima scadenza manuale]]),"-")</f>
        <v>42998</v>
      </c>
      <c r="H325" s="67" t="s">
        <v>30</v>
      </c>
      <c r="I325" s="67" t="s">
        <v>113</v>
      </c>
      <c r="J325" s="33">
        <f>IFERROR(Table2[[#This Row],[Importo annuale]]/(12/VLOOKUP(Table2[[#This Row],[Rateizzazione]],TIPI_RATEIZZAZIONI,2,FALSE)),"-")</f>
        <v>877</v>
      </c>
      <c r="K325" s="88"/>
      <c r="L325" s="88">
        <v>877</v>
      </c>
      <c r="M325" s="67" t="s">
        <v>44</v>
      </c>
      <c r="N325" s="67" t="s">
        <v>51</v>
      </c>
      <c r="O325" s="27" t="s">
        <v>1631</v>
      </c>
      <c r="P325" s="33" t="s">
        <v>23</v>
      </c>
      <c r="Q325" s="60">
        <f>IFERROR(IF(12 / VLOOKUP(Table2[[#This Row],[Rateizzazione]],TIPI_RATEIZZAZIONI,2,FALSE) &gt;=1,  IF(Table2[[#This Row],[Data attivazione]] = "","-",MONTH(Table2[[#This Row],[Data attivazione]])),"-"),"-")</f>
        <v>9</v>
      </c>
      <c r="R3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5" s="67" t="s">
        <v>2</v>
      </c>
      <c r="V325" s="62"/>
      <c r="W325" s="64">
        <v>42633</v>
      </c>
      <c r="X325" s="29">
        <f>DATE(YEAR(Table2[[#This Row],[Data attivazione]])+VLOOKUP(Table2[[#This Row],[Durata]],VALORE_DURATA,2,FALSE),MONTH(Table2[[#This Row],[Data attivazione]]),DAY(Table2[[#This Row],[Data attivazione]]))</f>
        <v>42998</v>
      </c>
      <c r="Y325" s="65"/>
      <c r="Z325" s="61"/>
      <c r="AA325" s="64" t="s">
        <v>85</v>
      </c>
      <c r="AB325" s="29" t="str">
        <f>IF(Table2[[#This Row],[Data ultimo versamento temp]]=0/1/1900,"-",Table2[[#This Row],[Data ultimo versamento temp]])</f>
        <v>-</v>
      </c>
      <c r="AC325" s="29">
        <f t="array" ref="AC325">MAX(IF(TableVersamenti[Polizza]=Table2[[#This Row],[Polizza]],TableVersamenti[Data prevista versamento],"-"))</f>
        <v>0</v>
      </c>
      <c r="AD325" s="62"/>
      <c r="AE325" s="106">
        <f>DATE(YEAR(Table2[[#This Row],[Data ultimo pagamento]]),MONTH(Table2[[#This Row],[Data ultimo pagamento]]), 1)</f>
        <v>42614</v>
      </c>
      <c r="AF325" s="106">
        <f>DATE(YEAR(Table2[[#This Row],[Data prossima scadenza]]),MONTH(Table2[[#This Row],[Data prossima scadenza]]), 1)</f>
        <v>42979</v>
      </c>
      <c r="AG325" s="33">
        <f>IFERROR(Table2[[#This Row],[Importo annuale]]*VLOOKUP(Table2[[#This Row],[Ramo]],RAMI_POLIZZA,2,FALSE),0)</f>
        <v>100.855</v>
      </c>
      <c r="AH325" s="65" t="s">
        <v>113</v>
      </c>
      <c r="AI325" s="63">
        <f>IFERROR(VLOOKUP(Table2[[#This Row],[Contraente]],Table1[[Nome/Ragione sociale]:[Checkbox selezionato]],2,FALSE),"-")</f>
        <v>0</v>
      </c>
      <c r="AJ325" s="63">
        <f>IFERROR(VLOOKUP(Table2[[#This Row],[Contraente]],Table1[[Nome/Ragione sociale]:[Checkbox selezionato]],3,FALSE),"-")</f>
        <v>0</v>
      </c>
      <c r="AK325" s="63">
        <f>IFERROR(VLOOKUP(Table2[[#This Row],[Contraente]],Table1[[Nome/Ragione sociale]:[Checkbox selezionato]],4,FALSE),"-")</f>
        <v>0</v>
      </c>
      <c r="AL325" s="63" t="str">
        <f>IFERROR(VLOOKUP(Table2[[#This Row],[Contraente]],Table1[[Nome/Ragione sociale]:[Checkbox selezionato]],5,FALSE),"-")</f>
        <v>TARRINI</v>
      </c>
      <c r="AM325" s="62" t="str">
        <f>IFERROR(VLOOKUP(Table2[[#This Row],[Contraente]],Table1[[Nome/Ragione sociale]:[Checkbox selezionato]],6,FALSE),"-")</f>
        <v>-</v>
      </c>
      <c r="AN325" s="63" t="str">
        <f>IFERROR(VLOOKUP(Table2[[#This Row],[Contraente]],Table1[[Nome/Ragione sociale]:[Checkbox selezionato]],7,FALSE),"-")</f>
        <v>papies@libero.it</v>
      </c>
      <c r="AO325" s="63">
        <f>IFERROR(VLOOKUP(Table2[[#This Row],[Contraente]],Table1[[Nome/Ragione sociale]:[Checkbox selezionato]],8,FALSE),"-")</f>
        <v>0</v>
      </c>
      <c r="AP325" s="63">
        <f>IFERROR(VLOOKUP(Table2[[#This Row],[Contraente]],Table1[[Nome/Ragione sociale]:[Checkbox selezionato]],10,FALSE),"-")</f>
        <v>0</v>
      </c>
      <c r="AQ325" s="63" t="str">
        <f>IFERROR(VLOOKUP(Table2[[#This Row],[Contraente]],Table1[[Nome/Ragione sociale]:[Checkbox selezionato]],11,FALSE),"-")</f>
        <v>SI</v>
      </c>
      <c r="AR325" s="63" t="str">
        <f>IFERROR(VLOOKUP(Table2[[#This Row],[Contraente]],Table1[[Nome/Ragione sociale]:[Checkbox selezionato]],12,FALSE),"-")</f>
        <v>SI</v>
      </c>
    </row>
    <row r="326" spans="1:44" ht="30" hidden="1" customHeight="1" x14ac:dyDescent="0.25">
      <c r="A326" s="60" t="str">
        <f>UPPER(LEFT(Table2[[#This Row],[Contraente]],1))</f>
        <v>C</v>
      </c>
      <c r="B326" s="60" t="s">
        <v>1634</v>
      </c>
      <c r="C326" s="81" t="s">
        <v>543</v>
      </c>
      <c r="D326" s="81" t="s">
        <v>37</v>
      </c>
      <c r="E326" s="86">
        <v>105407610</v>
      </c>
      <c r="F326" s="64">
        <v>42832</v>
      </c>
      <c r="G326" s="64">
        <f>IFERROR(CALCOLASCADENZA(Table2[[#This Row],[Data attivazione]],Table2[[#This Row],[Rateizzazione]],Table2[[#This Row],[Data ultimo pagamento]],Table2[[#This Row],[Data prossima scadenza manuale]]),"-")</f>
        <v>43177</v>
      </c>
      <c r="H326" s="67" t="s">
        <v>30</v>
      </c>
      <c r="I326" s="67" t="s">
        <v>113</v>
      </c>
      <c r="J326" s="33">
        <f>IFERROR(Table2[[#This Row],[Importo annuale]]/(12/VLOOKUP(Table2[[#This Row],[Rateizzazione]],TIPI_RATEIZZAZIONI,2,FALSE)),"-")</f>
        <v>1100</v>
      </c>
      <c r="K326" s="88">
        <v>1100</v>
      </c>
      <c r="L326" s="88">
        <v>1100</v>
      </c>
      <c r="M326" s="67" t="s">
        <v>44</v>
      </c>
      <c r="N326" s="67" t="s">
        <v>51</v>
      </c>
      <c r="O326" s="27" t="s">
        <v>1631</v>
      </c>
      <c r="P326" s="33" t="s">
        <v>23</v>
      </c>
      <c r="Q326" s="60">
        <f>IFERROR(IF(12 / VLOOKUP(Table2[[#This Row],[Rateizzazione]],TIPI_RATEIZZAZIONI,2,FALSE) &gt;=1,  IF(Table2[[#This Row],[Data attivazione]] = "","-",MONTH(Table2[[#This Row],[Data attivazione]])),"-"),"-")</f>
        <v>3</v>
      </c>
      <c r="R3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6" s="67" t="s">
        <v>2</v>
      </c>
      <c r="V326" s="62"/>
      <c r="W326" s="64">
        <v>42447</v>
      </c>
      <c r="X326" s="29">
        <f>DATE(YEAR(Table2[[#This Row],[Data attivazione]])+VLOOKUP(Table2[[#This Row],[Durata]],VALORE_DURATA,2,FALSE),MONTH(Table2[[#This Row],[Data attivazione]]),DAY(Table2[[#This Row],[Data attivazione]]))</f>
        <v>42812</v>
      </c>
      <c r="Y326" s="65"/>
      <c r="Z326" s="61"/>
      <c r="AA326" s="64" t="s">
        <v>88</v>
      </c>
      <c r="AB326" s="29" t="str">
        <f>IF(Table2[[#This Row],[Data ultimo versamento temp]]=0/1/1900,"-",Table2[[#This Row],[Data ultimo versamento temp]])</f>
        <v>-</v>
      </c>
      <c r="AC326" s="29">
        <f t="array" ref="AC326">MAX(IF(TableVersamenti[Polizza]=Table2[[#This Row],[Polizza]],TableVersamenti[Data prevista versamento],"-"))</f>
        <v>0</v>
      </c>
      <c r="AD326" s="62"/>
      <c r="AE326" s="106">
        <f>DATE(YEAR(Table2[[#This Row],[Data ultimo pagamento]]),MONTH(Table2[[#This Row],[Data ultimo pagamento]]), 1)</f>
        <v>42826</v>
      </c>
      <c r="AF326" s="106">
        <f>DATE(YEAR(Table2[[#This Row],[Data prossima scadenza]]),MONTH(Table2[[#This Row],[Data prossima scadenza]]), 1)</f>
        <v>43160</v>
      </c>
      <c r="AG326" s="33">
        <f>IFERROR(Table2[[#This Row],[Importo annuale]]*VLOOKUP(Table2[[#This Row],[Ramo]],RAMI_POLIZZA,2,FALSE),0)</f>
        <v>126.5</v>
      </c>
      <c r="AH326" s="65" t="s">
        <v>113</v>
      </c>
      <c r="AI326" s="63">
        <f>IFERROR(VLOOKUP(Table2[[#This Row],[Contraente]],Table1[[Nome/Ragione sociale]:[Checkbox selezionato]],2,FALSE),"-")</f>
        <v>0</v>
      </c>
      <c r="AJ326" s="63">
        <f>IFERROR(VLOOKUP(Table2[[#This Row],[Contraente]],Table1[[Nome/Ragione sociale]:[Checkbox selezionato]],3,FALSE),"-")</f>
        <v>0</v>
      </c>
      <c r="AK326" s="63">
        <f>IFERROR(VLOOKUP(Table2[[#This Row],[Contraente]],Table1[[Nome/Ragione sociale]:[Checkbox selezionato]],4,FALSE),"-")</f>
        <v>0</v>
      </c>
      <c r="AL326" s="63" t="str">
        <f>IFERROR(VLOOKUP(Table2[[#This Row],[Contraente]],Table1[[Nome/Ragione sociale]:[Checkbox selezionato]],5,FALSE),"-")</f>
        <v>PENNETTA</v>
      </c>
      <c r="AM326" s="62" t="str">
        <f>IFERROR(VLOOKUP(Table2[[#This Row],[Contraente]],Table1[[Nome/Ragione sociale]:[Checkbox selezionato]],6,FALSE),"-")</f>
        <v>-</v>
      </c>
      <c r="AN326" s="63" t="str">
        <f>IFERROR(VLOOKUP(Table2[[#This Row],[Contraente]],Table1[[Nome/Ragione sociale]:[Checkbox selezionato]],7,FALSE),"-")</f>
        <v>papies@libero.it</v>
      </c>
      <c r="AO326" s="63">
        <f>IFERROR(VLOOKUP(Table2[[#This Row],[Contraente]],Table1[[Nome/Ragione sociale]:[Checkbox selezionato]],8,FALSE),"-")</f>
        <v>0</v>
      </c>
      <c r="AP326" s="63">
        <f>IFERROR(VLOOKUP(Table2[[#This Row],[Contraente]],Table1[[Nome/Ragione sociale]:[Checkbox selezionato]],10,FALSE),"-")</f>
        <v>0</v>
      </c>
      <c r="AQ326" s="63" t="str">
        <f>IFERROR(VLOOKUP(Table2[[#This Row],[Contraente]],Table1[[Nome/Ragione sociale]:[Checkbox selezionato]],11,FALSE),"-")</f>
        <v>SI</v>
      </c>
      <c r="AR326" s="63" t="str">
        <f>IFERROR(VLOOKUP(Table2[[#This Row],[Contraente]],Table1[[Nome/Ragione sociale]:[Checkbox selezionato]],12,FALSE),"-")</f>
        <v>SI</v>
      </c>
    </row>
    <row r="327" spans="1:44" ht="30" hidden="1" customHeight="1" x14ac:dyDescent="0.25">
      <c r="A327" s="60" t="str">
        <f>UPPER(LEFT(Table2[[#This Row],[Contraente]],1))</f>
        <v>C</v>
      </c>
      <c r="B327" s="60" t="s">
        <v>1634</v>
      </c>
      <c r="C327" s="81" t="s">
        <v>532</v>
      </c>
      <c r="D327" s="81" t="s">
        <v>37</v>
      </c>
      <c r="E327" s="86">
        <v>105066022</v>
      </c>
      <c r="F327" s="64">
        <v>42916</v>
      </c>
      <c r="G327" s="64">
        <f>IFERROR(CALCOLASCADENZA(Table2[[#This Row],[Data attivazione]],Table2[[#This Row],[Rateizzazione]],Table2[[#This Row],[Data ultimo pagamento]],Table2[[#This Row],[Data prossima scadenza manuale]]),"-")</f>
        <v>43069</v>
      </c>
      <c r="H327" s="67" t="s">
        <v>30</v>
      </c>
      <c r="I327" s="67" t="s">
        <v>113</v>
      </c>
      <c r="J327" s="33">
        <f>IFERROR(Table2[[#This Row],[Importo annuale]]/(12/VLOOKUP(Table2[[#This Row],[Rateizzazione]],TIPI_RATEIZZAZIONI,2,FALSE)),"-")</f>
        <v>800</v>
      </c>
      <c r="K327" s="88">
        <v>800</v>
      </c>
      <c r="L327" s="88">
        <v>800</v>
      </c>
      <c r="M327" s="67" t="s">
        <v>44</v>
      </c>
      <c r="N327" s="67" t="s">
        <v>52</v>
      </c>
      <c r="O327" s="27" t="s">
        <v>1631</v>
      </c>
      <c r="P327" s="33" t="s">
        <v>23</v>
      </c>
      <c r="Q327" s="60">
        <f>IFERROR(IF(12 / VLOOKUP(Table2[[#This Row],[Rateizzazione]],TIPI_RATEIZZAZIONI,2,FALSE) &gt;=1,  IF(Table2[[#This Row],[Data attivazione]] = "","-",MONTH(Table2[[#This Row],[Data attivazione]])),"-"),"-")</f>
        <v>11</v>
      </c>
      <c r="R3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7" s="67" t="s">
        <v>2</v>
      </c>
      <c r="V327" s="62"/>
      <c r="W327" s="64">
        <v>42704</v>
      </c>
      <c r="X327" s="29">
        <f>DATE(YEAR(Table2[[#This Row],[Data attivazione]])+VLOOKUP(Table2[[#This Row],[Durata]],VALORE_DURATA,2,FALSE),MONTH(Table2[[#This Row],[Data attivazione]]),DAY(Table2[[#This Row],[Data attivazione]]))</f>
        <v>43069</v>
      </c>
      <c r="Y327" s="65"/>
      <c r="Z327" s="61"/>
      <c r="AA327" s="64" t="s">
        <v>85</v>
      </c>
      <c r="AB327" s="29" t="str">
        <f>IF(Table2[[#This Row],[Data ultimo versamento temp]]=0/1/1900,"-",Table2[[#This Row],[Data ultimo versamento temp]])</f>
        <v>-</v>
      </c>
      <c r="AC327" s="29">
        <f t="array" ref="AC327">MAX(IF(TableVersamenti[Polizza]=Table2[[#This Row],[Polizza]],TableVersamenti[Data prevista versamento],"-"))</f>
        <v>0</v>
      </c>
      <c r="AD327" s="62"/>
      <c r="AE327" s="106">
        <f>DATE(YEAR(Table2[[#This Row],[Data ultimo pagamento]]),MONTH(Table2[[#This Row],[Data ultimo pagamento]]), 1)</f>
        <v>42887</v>
      </c>
      <c r="AF327" s="106">
        <f>DATE(YEAR(Table2[[#This Row],[Data prossima scadenza]]),MONTH(Table2[[#This Row],[Data prossima scadenza]]), 1)</f>
        <v>43040</v>
      </c>
      <c r="AG327" s="33">
        <f>IFERROR(Table2[[#This Row],[Importo annuale]]*VLOOKUP(Table2[[#This Row],[Ramo]],RAMI_POLIZZA,2,FALSE),0)</f>
        <v>92</v>
      </c>
      <c r="AH327" s="65" t="s">
        <v>113</v>
      </c>
      <c r="AI327" s="63">
        <f>IFERROR(VLOOKUP(Table2[[#This Row],[Contraente]],Table1[[Nome/Ragione sociale]:[Checkbox selezionato]],2,FALSE),"-")</f>
        <v>0</v>
      </c>
      <c r="AJ327" s="63">
        <f>IFERROR(VLOOKUP(Table2[[#This Row],[Contraente]],Table1[[Nome/Ragione sociale]:[Checkbox selezionato]],3,FALSE),"-")</f>
        <v>0</v>
      </c>
      <c r="AK327" s="63">
        <f>IFERROR(VLOOKUP(Table2[[#This Row],[Contraente]],Table1[[Nome/Ragione sociale]:[Checkbox selezionato]],4,FALSE),"-")</f>
        <v>0</v>
      </c>
      <c r="AL327" s="63" t="str">
        <f>IFERROR(VLOOKUP(Table2[[#This Row],[Contraente]],Table1[[Nome/Ragione sociale]:[Checkbox selezionato]],5,FALSE),"-")</f>
        <v>PENNETTA</v>
      </c>
      <c r="AM327" s="62" t="str">
        <f>IFERROR(VLOOKUP(Table2[[#This Row],[Contraente]],Table1[[Nome/Ragione sociale]:[Checkbox selezionato]],6,FALSE),"-")</f>
        <v>-</v>
      </c>
      <c r="AN327" s="63" t="str">
        <f>IFERROR(VLOOKUP(Table2[[#This Row],[Contraente]],Table1[[Nome/Ragione sociale]:[Checkbox selezionato]],7,FALSE),"-")</f>
        <v>papies@email.it</v>
      </c>
      <c r="AO327" s="63">
        <f>IFERROR(VLOOKUP(Table2[[#This Row],[Contraente]],Table1[[Nome/Ragione sociale]:[Checkbox selezionato]],8,FALSE),"-")</f>
        <v>0</v>
      </c>
      <c r="AP327" s="63">
        <f>IFERROR(VLOOKUP(Table2[[#This Row],[Contraente]],Table1[[Nome/Ragione sociale]:[Checkbox selezionato]],10,FALSE),"-")</f>
        <v>0</v>
      </c>
      <c r="AQ327" s="63" t="str">
        <f>IFERROR(VLOOKUP(Table2[[#This Row],[Contraente]],Table1[[Nome/Ragione sociale]:[Checkbox selezionato]],11,FALSE),"-")</f>
        <v>SI</v>
      </c>
      <c r="AR327" s="63" t="str">
        <f>IFERROR(VLOOKUP(Table2[[#This Row],[Contraente]],Table1[[Nome/Ragione sociale]:[Checkbox selezionato]],12,FALSE),"-")</f>
        <v>SI</v>
      </c>
    </row>
    <row r="328" spans="1:44" ht="30" hidden="1" customHeight="1" x14ac:dyDescent="0.25">
      <c r="A328" s="60" t="str">
        <f>UPPER(LEFT(Table2[[#This Row],[Contraente]],1))</f>
        <v>C</v>
      </c>
      <c r="B328" s="60" t="s">
        <v>1634</v>
      </c>
      <c r="C328" s="81" t="s">
        <v>499</v>
      </c>
      <c r="D328" s="81" t="s">
        <v>37</v>
      </c>
      <c r="E328" s="86">
        <v>106594915</v>
      </c>
      <c r="F328" s="64">
        <v>42802</v>
      </c>
      <c r="G328" s="64">
        <f>IFERROR(CALCOLASCADENZA(Table2[[#This Row],[Data attivazione]],Table2[[#This Row],[Rateizzazione]],Table2[[#This Row],[Data ultimo pagamento]],Table2[[#This Row],[Data prossima scadenza manuale]]),"-")</f>
        <v>43167</v>
      </c>
      <c r="H328" s="67" t="s">
        <v>30</v>
      </c>
      <c r="I328" s="67" t="s">
        <v>113</v>
      </c>
      <c r="J328" s="33">
        <f>IFERROR(Table2[[#This Row],[Importo annuale]]/(12/VLOOKUP(Table2[[#This Row],[Rateizzazione]],TIPI_RATEIZZAZIONI,2,FALSE)),"-")</f>
        <v>800</v>
      </c>
      <c r="K328" s="88">
        <v>800</v>
      </c>
      <c r="L328" s="88">
        <v>800</v>
      </c>
      <c r="M328" s="67" t="s">
        <v>44</v>
      </c>
      <c r="N328" s="67" t="s">
        <v>52</v>
      </c>
      <c r="O328" s="27" t="s">
        <v>1631</v>
      </c>
      <c r="P328" s="33" t="s">
        <v>23</v>
      </c>
      <c r="Q328" s="60">
        <f>IFERROR(IF(12 / VLOOKUP(Table2[[#This Row],[Rateizzazione]],TIPI_RATEIZZAZIONI,2,FALSE) &gt;=1,  IF(Table2[[#This Row],[Data attivazione]] = "","-",MONTH(Table2[[#This Row],[Data attivazione]])),"-"),"-")</f>
        <v>3</v>
      </c>
      <c r="R3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8" s="67" t="s">
        <v>2</v>
      </c>
      <c r="V328" s="62"/>
      <c r="W328" s="64">
        <v>42802</v>
      </c>
      <c r="X328" s="29">
        <f>DATE(YEAR(Table2[[#This Row],[Data attivazione]])+VLOOKUP(Table2[[#This Row],[Durata]],VALORE_DURATA,2,FALSE),MONTH(Table2[[#This Row],[Data attivazione]]),DAY(Table2[[#This Row],[Data attivazione]]))</f>
        <v>43167</v>
      </c>
      <c r="Y328" s="65"/>
      <c r="Z328" s="61"/>
      <c r="AA328" s="64" t="s">
        <v>85</v>
      </c>
      <c r="AB328" s="29" t="str">
        <f>IF(Table2[[#This Row],[Data ultimo versamento temp]]=0/1/1900,"-",Table2[[#This Row],[Data ultimo versamento temp]])</f>
        <v>-</v>
      </c>
      <c r="AC328" s="29">
        <f t="array" ref="AC328">MAX(IF(TableVersamenti[Polizza]=Table2[[#This Row],[Polizza]],TableVersamenti[Data prevista versamento],"-"))</f>
        <v>0</v>
      </c>
      <c r="AD328" s="62"/>
      <c r="AE328" s="106">
        <f>DATE(YEAR(Table2[[#This Row],[Data ultimo pagamento]]),MONTH(Table2[[#This Row],[Data ultimo pagamento]]), 1)</f>
        <v>42795</v>
      </c>
      <c r="AF328" s="106">
        <f>DATE(YEAR(Table2[[#This Row],[Data prossima scadenza]]),MONTH(Table2[[#This Row],[Data prossima scadenza]]), 1)</f>
        <v>43160</v>
      </c>
      <c r="AG328" s="33">
        <f>IFERROR(Table2[[#This Row],[Importo annuale]]*VLOOKUP(Table2[[#This Row],[Ramo]],RAMI_POLIZZA,2,FALSE),0)</f>
        <v>92</v>
      </c>
      <c r="AH328" s="65" t="s">
        <v>113</v>
      </c>
      <c r="AI328" s="63" t="str">
        <f>IFERROR(VLOOKUP(Table2[[#This Row],[Contraente]],Table1[[Nome/Ragione sociale]:[Checkbox selezionato]],2,FALSE),"-")</f>
        <v>PAVIA</v>
      </c>
      <c r="AJ328" s="63">
        <f>IFERROR(VLOOKUP(Table2[[#This Row],[Contraente]],Table1[[Nome/Ragione sociale]:[Checkbox selezionato]],3,FALSE),"-")</f>
        <v>0</v>
      </c>
      <c r="AK328" s="63">
        <f>IFERROR(VLOOKUP(Table2[[#This Row],[Contraente]],Table1[[Nome/Ragione sociale]:[Checkbox selezionato]],4,FALSE),"-")</f>
        <v>0</v>
      </c>
      <c r="AL328" s="63" t="str">
        <f>IFERROR(VLOOKUP(Table2[[#This Row],[Contraente]],Table1[[Nome/Ragione sociale]:[Checkbox selezionato]],5,FALSE),"-")</f>
        <v>PENNETTA</v>
      </c>
      <c r="AM328" s="62" t="str">
        <f>IFERROR(VLOOKUP(Table2[[#This Row],[Contraente]],Table1[[Nome/Ragione sociale]:[Checkbox selezionato]],6,FALSE),"-")</f>
        <v>-</v>
      </c>
      <c r="AN328" s="63" t="str">
        <f>IFERROR(VLOOKUP(Table2[[#This Row],[Contraente]],Table1[[Nome/Ragione sociale]:[Checkbox selezionato]],7,FALSE),"-")</f>
        <v>papies@libero.it</v>
      </c>
      <c r="AO328" s="63">
        <f>IFERROR(VLOOKUP(Table2[[#This Row],[Contraente]],Table1[[Nome/Ragione sociale]:[Checkbox selezionato]],8,FALSE),"-")</f>
        <v>0</v>
      </c>
      <c r="AP328" s="63">
        <f>IFERROR(VLOOKUP(Table2[[#This Row],[Contraente]],Table1[[Nome/Ragione sociale]:[Checkbox selezionato]],10,FALSE),"-")</f>
        <v>0</v>
      </c>
      <c r="AQ328" s="63" t="str">
        <f>IFERROR(VLOOKUP(Table2[[#This Row],[Contraente]],Table1[[Nome/Ragione sociale]:[Checkbox selezionato]],11,FALSE),"-")</f>
        <v>SI</v>
      </c>
      <c r="AR328" s="63" t="str">
        <f>IFERROR(VLOOKUP(Table2[[#This Row],[Contraente]],Table1[[Nome/Ragione sociale]:[Checkbox selezionato]],12,FALSE),"-")</f>
        <v>SI</v>
      </c>
    </row>
    <row r="329" spans="1:44" ht="30" hidden="1" customHeight="1" x14ac:dyDescent="0.25">
      <c r="A329" s="60" t="str">
        <f>UPPER(LEFT(Table2[[#This Row],[Contraente]],1))</f>
        <v>C</v>
      </c>
      <c r="B329" s="60" t="s">
        <v>1634</v>
      </c>
      <c r="C329" s="81" t="s">
        <v>1712</v>
      </c>
      <c r="D329" s="81" t="s">
        <v>37</v>
      </c>
      <c r="E329" s="86">
        <v>106971070</v>
      </c>
      <c r="F329" s="64">
        <v>42898</v>
      </c>
      <c r="G329" s="64">
        <f>IFERROR(CALCOLASCADENZA(Table2[[#This Row],[Data attivazione]],Table2[[#This Row],[Rateizzazione]],Table2[[#This Row],[Data ultimo pagamento]],Table2[[#This Row],[Data prossima scadenza manuale]]),"-")</f>
        <v>43241</v>
      </c>
      <c r="H329" s="67" t="s">
        <v>30</v>
      </c>
      <c r="I329" s="67" t="s">
        <v>113</v>
      </c>
      <c r="J329" s="33">
        <f>IFERROR(Table2[[#This Row],[Importo annuale]]/(12/VLOOKUP(Table2[[#This Row],[Rateizzazione]],TIPI_RATEIZZAZIONI,2,FALSE)),"-")</f>
        <v>546</v>
      </c>
      <c r="K329" s="88">
        <v>546</v>
      </c>
      <c r="L329" s="88">
        <v>546</v>
      </c>
      <c r="M329" s="67" t="s">
        <v>45</v>
      </c>
      <c r="N329" s="67" t="s">
        <v>52</v>
      </c>
      <c r="O329" s="27" t="s">
        <v>1631</v>
      </c>
      <c r="P329" s="33" t="s">
        <v>23</v>
      </c>
      <c r="Q329" s="60">
        <f>IFERROR(IF(12 / VLOOKUP(Table2[[#This Row],[Rateizzazione]],TIPI_RATEIZZAZIONI,2,FALSE) &gt;=1,  IF(Table2[[#This Row],[Data attivazione]] = "","-",MONTH(Table2[[#This Row],[Data attivazione]])),"-"),"-")</f>
        <v>5</v>
      </c>
      <c r="R3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9" s="67" t="s">
        <v>2</v>
      </c>
      <c r="V329" s="62"/>
      <c r="W329" s="64">
        <v>42876</v>
      </c>
      <c r="X329" s="29">
        <f>DATE(YEAR(Table2[[#This Row],[Data attivazione]])+VLOOKUP(Table2[[#This Row],[Durata]],VALORE_DURATA,2,FALSE),MONTH(Table2[[#This Row],[Data attivazione]]),DAY(Table2[[#This Row],[Data attivazione]]))</f>
        <v>43241</v>
      </c>
      <c r="Y329" s="65"/>
      <c r="Z329" s="61"/>
      <c r="AA329" s="64" t="s">
        <v>85</v>
      </c>
      <c r="AB329" s="29" t="str">
        <f>IF(Table2[[#This Row],[Data ultimo versamento temp]]=0/1/1900,"-",Table2[[#This Row],[Data ultimo versamento temp]])</f>
        <v>-</v>
      </c>
      <c r="AC329" s="29">
        <f t="array" ref="AC329">MAX(IF(TableVersamenti[Polizza]=Table2[[#This Row],[Polizza]],TableVersamenti[Data prevista versamento],"-"))</f>
        <v>0</v>
      </c>
      <c r="AD329" s="62"/>
      <c r="AE329" s="106">
        <f>DATE(YEAR(Table2[[#This Row],[Data ultimo pagamento]]),MONTH(Table2[[#This Row],[Data ultimo pagamento]]), 1)</f>
        <v>42887</v>
      </c>
      <c r="AF329" s="106">
        <f>DATE(YEAR(Table2[[#This Row],[Data prossima scadenza]]),MONTH(Table2[[#This Row],[Data prossima scadenza]]), 1)</f>
        <v>43221</v>
      </c>
      <c r="AG329" s="33">
        <f>IFERROR(Table2[[#This Row],[Importo annuale]]*VLOOKUP(Table2[[#This Row],[Ramo]],RAMI_POLIZZA,2,FALSE),0)</f>
        <v>62.790000000000006</v>
      </c>
      <c r="AH329" s="65" t="s">
        <v>113</v>
      </c>
      <c r="AI329" s="63">
        <f>IFERROR(VLOOKUP(Table2[[#This Row],[Contraente]],Table1[[Nome/Ragione sociale]:[Checkbox selezionato]],2,FALSE),"-")</f>
        <v>0</v>
      </c>
      <c r="AJ329" s="63">
        <f>IFERROR(VLOOKUP(Table2[[#This Row],[Contraente]],Table1[[Nome/Ragione sociale]:[Checkbox selezionato]],3,FALSE),"-")</f>
        <v>0</v>
      </c>
      <c r="AK329" s="63">
        <f>IFERROR(VLOOKUP(Table2[[#This Row],[Contraente]],Table1[[Nome/Ragione sociale]:[Checkbox selezionato]],4,FALSE),"-")</f>
        <v>0</v>
      </c>
      <c r="AL329" s="63" t="str">
        <f>IFERROR(VLOOKUP(Table2[[#This Row],[Contraente]],Table1[[Nome/Ragione sociale]:[Checkbox selezionato]],5,FALSE),"-")</f>
        <v>TAROZZO</v>
      </c>
      <c r="AM329" s="62" t="str">
        <f>IFERROR(VLOOKUP(Table2[[#This Row],[Contraente]],Table1[[Nome/Ragione sociale]:[Checkbox selezionato]],6,FALSE),"-")</f>
        <v>-</v>
      </c>
      <c r="AN329" s="63" t="str">
        <f>IFERROR(VLOOKUP(Table2[[#This Row],[Contraente]],Table1[[Nome/Ragione sociale]:[Checkbox selezionato]],7,FALSE),"-")</f>
        <v>papies@libero.it</v>
      </c>
      <c r="AO329" s="63">
        <f>IFERROR(VLOOKUP(Table2[[#This Row],[Contraente]],Table1[[Nome/Ragione sociale]:[Checkbox selezionato]],8,FALSE),"-")</f>
        <v>0</v>
      </c>
      <c r="AP329" s="63">
        <f>IFERROR(VLOOKUP(Table2[[#This Row],[Contraente]],Table1[[Nome/Ragione sociale]:[Checkbox selezionato]],10,FALSE),"-")</f>
        <v>0</v>
      </c>
      <c r="AQ329" s="63" t="str">
        <f>IFERROR(VLOOKUP(Table2[[#This Row],[Contraente]],Table1[[Nome/Ragione sociale]:[Checkbox selezionato]],11,FALSE),"-")</f>
        <v>SI</v>
      </c>
      <c r="AR329" s="63" t="str">
        <f>IFERROR(VLOOKUP(Table2[[#This Row],[Contraente]],Table1[[Nome/Ragione sociale]:[Checkbox selezionato]],12,FALSE),"-")</f>
        <v>SI</v>
      </c>
    </row>
    <row r="330" spans="1:44" ht="30" hidden="1" customHeight="1" x14ac:dyDescent="0.25">
      <c r="A330" s="60" t="str">
        <f>UPPER(LEFT(Table2[[#This Row],[Contraente]],1))</f>
        <v>C</v>
      </c>
      <c r="B330" s="60" t="s">
        <v>1634</v>
      </c>
      <c r="C330" s="81" t="s">
        <v>517</v>
      </c>
      <c r="D330" s="81" t="s">
        <v>37</v>
      </c>
      <c r="E330" s="86">
        <v>106530307</v>
      </c>
      <c r="F330" s="64">
        <v>42787</v>
      </c>
      <c r="G330" s="64">
        <f>IFERROR(CALCOLASCADENZA(Table2[[#This Row],[Data attivazione]],Table2[[#This Row],[Rateizzazione]],Table2[[#This Row],[Data ultimo pagamento]],Table2[[#This Row],[Data prossima scadenza manuale]]),"-")</f>
        <v>42968</v>
      </c>
      <c r="H330" s="67" t="s">
        <v>30</v>
      </c>
      <c r="I330" s="67" t="s">
        <v>113</v>
      </c>
      <c r="J330" s="33">
        <f>IFERROR(Table2[[#This Row],[Importo annuale]]/(12/VLOOKUP(Table2[[#This Row],[Rateizzazione]],TIPI_RATEIZZAZIONI,2,FALSE)),"-")</f>
        <v>710</v>
      </c>
      <c r="K330" s="88">
        <v>710</v>
      </c>
      <c r="L330" s="88">
        <v>1420</v>
      </c>
      <c r="M330" s="67" t="s">
        <v>45</v>
      </c>
      <c r="N330" s="67" t="s">
        <v>51</v>
      </c>
      <c r="O330" s="27" t="s">
        <v>1631</v>
      </c>
      <c r="P330" s="33" t="s">
        <v>22</v>
      </c>
      <c r="Q330" s="60">
        <f>IFERROR(IF(12 / VLOOKUP(Table2[[#This Row],[Rateizzazione]],TIPI_RATEIZZAZIONI,2,FALSE) &gt;=1,  IF(Table2[[#This Row],[Data attivazione]] = "","-",MONTH(Table2[[#This Row],[Data attivazione]])),"-"),"-")</f>
        <v>8</v>
      </c>
      <c r="R3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0" s="67" t="s">
        <v>2</v>
      </c>
      <c r="V330" s="62"/>
      <c r="W330" s="64">
        <v>42603</v>
      </c>
      <c r="X330" s="29">
        <f>DATE(YEAR(Table2[[#This Row],[Data attivazione]])+VLOOKUP(Table2[[#This Row],[Durata]],VALORE_DURATA,2,FALSE),MONTH(Table2[[#This Row],[Data attivazione]]),DAY(Table2[[#This Row],[Data attivazione]]))</f>
        <v>42968</v>
      </c>
      <c r="Y330" s="65"/>
      <c r="Z330" s="61"/>
      <c r="AA330" s="64" t="s">
        <v>85</v>
      </c>
      <c r="AB330" s="29" t="str">
        <f>IF(Table2[[#This Row],[Data ultimo versamento temp]]=0/1/1900,"-",Table2[[#This Row],[Data ultimo versamento temp]])</f>
        <v>-</v>
      </c>
      <c r="AC330" s="29">
        <f t="array" ref="AC330">MAX(IF(TableVersamenti[Polizza]=Table2[[#This Row],[Polizza]],TableVersamenti[Data prevista versamento],"-"))</f>
        <v>0</v>
      </c>
      <c r="AD330" s="62"/>
      <c r="AE330" s="106">
        <f>DATE(YEAR(Table2[[#This Row],[Data ultimo pagamento]]),MONTH(Table2[[#This Row],[Data ultimo pagamento]]), 1)</f>
        <v>42767</v>
      </c>
      <c r="AF330" s="106">
        <f>DATE(YEAR(Table2[[#This Row],[Data prossima scadenza]]),MONTH(Table2[[#This Row],[Data prossima scadenza]]), 1)</f>
        <v>42948</v>
      </c>
      <c r="AG330" s="33">
        <f>IFERROR(Table2[[#This Row],[Importo annuale]]*VLOOKUP(Table2[[#This Row],[Ramo]],RAMI_POLIZZA,2,FALSE),0)</f>
        <v>163.30000000000001</v>
      </c>
      <c r="AH330" s="65" t="s">
        <v>113</v>
      </c>
      <c r="AI330" s="63" t="str">
        <f>IFERROR(VLOOKUP(Table2[[#This Row],[Contraente]],Table1[[Nome/Ragione sociale]:[Checkbox selezionato]],2,FALSE),"-")</f>
        <v>VISTARINO</v>
      </c>
      <c r="AJ330" s="63">
        <f>IFERROR(VLOOKUP(Table2[[#This Row],[Contraente]],Table1[[Nome/Ragione sociale]:[Checkbox selezionato]],3,FALSE),"-")</f>
        <v>3486728551</v>
      </c>
      <c r="AK330" s="63">
        <f>IFERROR(VLOOKUP(Table2[[#This Row],[Contraente]],Table1[[Nome/Ragione sociale]:[Checkbox selezionato]],4,FALSE),"-")</f>
        <v>0</v>
      </c>
      <c r="AL330" s="63" t="str">
        <f>IFERROR(VLOOKUP(Table2[[#This Row],[Contraente]],Table1[[Nome/Ragione sociale]:[Checkbox selezionato]],5,FALSE),"-")</f>
        <v>FANELLI</v>
      </c>
      <c r="AM330" s="62" t="str">
        <f>IFERROR(VLOOKUP(Table2[[#This Row],[Contraente]],Table1[[Nome/Ragione sociale]:[Checkbox selezionato]],6,FALSE),"-")</f>
        <v>-</v>
      </c>
      <c r="AN330" s="63" t="str">
        <f>IFERROR(VLOOKUP(Table2[[#This Row],[Contraente]],Table1[[Nome/Ragione sociale]:[Checkbox selezionato]],7,FALSE),"-")</f>
        <v>papies@email.it</v>
      </c>
      <c r="AO330" s="63">
        <f>IFERROR(VLOOKUP(Table2[[#This Row],[Contraente]],Table1[[Nome/Ragione sociale]:[Checkbox selezionato]],8,FALSE),"-")</f>
        <v>0</v>
      </c>
      <c r="AP330" s="63">
        <f>IFERROR(VLOOKUP(Table2[[#This Row],[Contraente]],Table1[[Nome/Ragione sociale]:[Checkbox selezionato]],10,FALSE),"-")</f>
        <v>3486728551</v>
      </c>
      <c r="AQ330" s="63" t="str">
        <f>IFERROR(VLOOKUP(Table2[[#This Row],[Contraente]],Table1[[Nome/Ragione sociale]:[Checkbox selezionato]],11,FALSE),"-")</f>
        <v>SI</v>
      </c>
      <c r="AR330" s="63" t="str">
        <f>IFERROR(VLOOKUP(Table2[[#This Row],[Contraente]],Table1[[Nome/Ragione sociale]:[Checkbox selezionato]],12,FALSE),"-")</f>
        <v>SI</v>
      </c>
    </row>
    <row r="331" spans="1:44" ht="30" hidden="1" customHeight="1" x14ac:dyDescent="0.25">
      <c r="A331" s="60" t="str">
        <f>UPPER(LEFT(Table2[[#This Row],[Contraente]],1))</f>
        <v>C</v>
      </c>
      <c r="B331" s="60" t="s">
        <v>1634</v>
      </c>
      <c r="C331" s="81" t="s">
        <v>550</v>
      </c>
      <c r="D331" s="81" t="s">
        <v>37</v>
      </c>
      <c r="E331" s="86">
        <v>105135635</v>
      </c>
      <c r="F331" s="64">
        <v>42915</v>
      </c>
      <c r="G331" s="64">
        <f>IFERROR(CALCOLASCADENZA(Table2[[#This Row],[Data attivazione]],Table2[[#This Row],[Rateizzazione]],Table2[[#This Row],[Data ultimo pagamento]],Table2[[#This Row],[Data prossima scadenza manuale]]),"-")</f>
        <v>43084</v>
      </c>
      <c r="H331" s="67" t="s">
        <v>30</v>
      </c>
      <c r="I331" s="67" t="s">
        <v>113</v>
      </c>
      <c r="J331" s="33">
        <f>IFERROR(Table2[[#This Row],[Importo annuale]]/(12/VLOOKUP(Table2[[#This Row],[Rateizzazione]],TIPI_RATEIZZAZIONI,2,FALSE)),"-")</f>
        <v>385</v>
      </c>
      <c r="K331" s="88">
        <v>385</v>
      </c>
      <c r="L331" s="88">
        <v>770</v>
      </c>
      <c r="M331" s="67" t="s">
        <v>44</v>
      </c>
      <c r="N331" s="67" t="s">
        <v>52</v>
      </c>
      <c r="O331" s="27" t="s">
        <v>1631</v>
      </c>
      <c r="P331" s="33" t="s">
        <v>22</v>
      </c>
      <c r="Q331" s="60">
        <f>IFERROR(IF(12 / VLOOKUP(Table2[[#This Row],[Rateizzazione]],TIPI_RATEIZZAZIONI,2,FALSE) &gt;=1,  IF(Table2[[#This Row],[Data attivazione]] = "","-",MONTH(Table2[[#This Row],[Data attivazione]])),"-"),"-")</f>
        <v>12</v>
      </c>
      <c r="R3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1" s="67" t="s">
        <v>2</v>
      </c>
      <c r="V331" s="62"/>
      <c r="W331" s="64">
        <v>42719</v>
      </c>
      <c r="X331" s="29">
        <f>DATE(YEAR(Table2[[#This Row],[Data attivazione]])+VLOOKUP(Table2[[#This Row],[Durata]],VALORE_DURATA,2,FALSE),MONTH(Table2[[#This Row],[Data attivazione]]),DAY(Table2[[#This Row],[Data attivazione]]))</f>
        <v>43084</v>
      </c>
      <c r="Y331" s="65"/>
      <c r="Z331" s="61"/>
      <c r="AA331" s="64" t="s">
        <v>85</v>
      </c>
      <c r="AB331" s="29" t="str">
        <f>IF(Table2[[#This Row],[Data ultimo versamento temp]]=0/1/1900,"-",Table2[[#This Row],[Data ultimo versamento temp]])</f>
        <v>-</v>
      </c>
      <c r="AC331" s="29">
        <f t="array" ref="AC331">MAX(IF(TableVersamenti[Polizza]=Table2[[#This Row],[Polizza]],TableVersamenti[Data prevista versamento],"-"))</f>
        <v>0</v>
      </c>
      <c r="AD331" s="62"/>
      <c r="AE331" s="106">
        <f>DATE(YEAR(Table2[[#This Row],[Data ultimo pagamento]]),MONTH(Table2[[#This Row],[Data ultimo pagamento]]), 1)</f>
        <v>42887</v>
      </c>
      <c r="AF331" s="106">
        <f>DATE(YEAR(Table2[[#This Row],[Data prossima scadenza]]),MONTH(Table2[[#This Row],[Data prossima scadenza]]), 1)</f>
        <v>43070</v>
      </c>
      <c r="AG331" s="33">
        <f>IFERROR(Table2[[#This Row],[Importo annuale]]*VLOOKUP(Table2[[#This Row],[Ramo]],RAMI_POLIZZA,2,FALSE),0)</f>
        <v>88.55</v>
      </c>
      <c r="AH331" s="65" t="s">
        <v>113</v>
      </c>
      <c r="AI331" s="63">
        <f>IFERROR(VLOOKUP(Table2[[#This Row],[Contraente]],Table1[[Nome/Ragione sociale]:[Checkbox selezionato]],2,FALSE),"-")</f>
        <v>0</v>
      </c>
      <c r="AJ331" s="63">
        <f>IFERROR(VLOOKUP(Table2[[#This Row],[Contraente]],Table1[[Nome/Ragione sociale]:[Checkbox selezionato]],3,FALSE),"-")</f>
        <v>0</v>
      </c>
      <c r="AK331" s="63">
        <f>IFERROR(VLOOKUP(Table2[[#This Row],[Contraente]],Table1[[Nome/Ragione sociale]:[Checkbox selezionato]],4,FALSE),"-")</f>
        <v>0</v>
      </c>
      <c r="AL331" s="63" t="str">
        <f>IFERROR(VLOOKUP(Table2[[#This Row],[Contraente]],Table1[[Nome/Ragione sociale]:[Checkbox selezionato]],5,FALSE),"-")</f>
        <v>MONTANINO</v>
      </c>
      <c r="AM331" s="62" t="str">
        <f>IFERROR(VLOOKUP(Table2[[#This Row],[Contraente]],Table1[[Nome/Ragione sociale]:[Checkbox selezionato]],6,FALSE),"-")</f>
        <v>-</v>
      </c>
      <c r="AN331" s="63" t="str">
        <f>IFERROR(VLOOKUP(Table2[[#This Row],[Contraente]],Table1[[Nome/Ragione sociale]:[Checkbox selezionato]],7,FALSE),"-")</f>
        <v>papies@libero.it</v>
      </c>
      <c r="AO331" s="63">
        <f>IFERROR(VLOOKUP(Table2[[#This Row],[Contraente]],Table1[[Nome/Ragione sociale]:[Checkbox selezionato]],8,FALSE),"-")</f>
        <v>0</v>
      </c>
      <c r="AP331" s="63">
        <f>IFERROR(VLOOKUP(Table2[[#This Row],[Contraente]],Table1[[Nome/Ragione sociale]:[Checkbox selezionato]],10,FALSE),"-")</f>
        <v>0</v>
      </c>
      <c r="AQ331" s="63" t="str">
        <f>IFERROR(VLOOKUP(Table2[[#This Row],[Contraente]],Table1[[Nome/Ragione sociale]:[Checkbox selezionato]],11,FALSE),"-")</f>
        <v>SI</v>
      </c>
      <c r="AR331" s="63" t="str">
        <f>IFERROR(VLOOKUP(Table2[[#This Row],[Contraente]],Table1[[Nome/Ragione sociale]:[Checkbox selezionato]],12,FALSE),"-")</f>
        <v>SI</v>
      </c>
    </row>
    <row r="332" spans="1:44" ht="30" hidden="1" customHeight="1" x14ac:dyDescent="0.25">
      <c r="A332" s="60" t="str">
        <f>UPPER(LEFT(Table2[[#This Row],[Contraente]],1))</f>
        <v>C</v>
      </c>
      <c r="B332" s="60" t="s">
        <v>1634</v>
      </c>
      <c r="C332" s="81" t="s">
        <v>542</v>
      </c>
      <c r="D332" s="81" t="s">
        <v>37</v>
      </c>
      <c r="E332" s="86">
        <v>103844091</v>
      </c>
      <c r="F332" s="64">
        <v>42915</v>
      </c>
      <c r="G332" s="64">
        <f>IFERROR(CALCOLASCADENZA(Table2[[#This Row],[Data attivazione]],Table2[[#This Row],[Rateizzazione]],Table2[[#This Row],[Data ultimo pagamento]],Table2[[#This Row],[Data prossima scadenza manuale]]),"-")</f>
        <v>43099</v>
      </c>
      <c r="H332" s="67" t="s">
        <v>30</v>
      </c>
      <c r="I332" s="67" t="s">
        <v>113</v>
      </c>
      <c r="J332" s="33">
        <f>IFERROR(Table2[[#This Row],[Importo annuale]]/(12/VLOOKUP(Table2[[#This Row],[Rateizzazione]],TIPI_RATEIZZAZIONI,2,FALSE)),"-")</f>
        <v>580</v>
      </c>
      <c r="K332" s="88">
        <v>1160</v>
      </c>
      <c r="L332" s="88">
        <v>1160</v>
      </c>
      <c r="M332" s="67" t="s">
        <v>44</v>
      </c>
      <c r="N332" s="67" t="s">
        <v>51</v>
      </c>
      <c r="O332" s="27" t="s">
        <v>1631</v>
      </c>
      <c r="P332" s="33" t="s">
        <v>22</v>
      </c>
      <c r="Q332" s="60">
        <f>IFERROR(IF(12 / VLOOKUP(Table2[[#This Row],[Rateizzazione]],TIPI_RATEIZZAZIONI,2,FALSE) &gt;=1,  IF(Table2[[#This Row],[Data attivazione]] = "","-",MONTH(Table2[[#This Row],[Data attivazione]])),"-"),"-")</f>
        <v>12</v>
      </c>
      <c r="R3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2" s="67" t="s">
        <v>2</v>
      </c>
      <c r="V332" s="62"/>
      <c r="W332" s="64">
        <v>42735</v>
      </c>
      <c r="X332" s="29">
        <f>DATE(YEAR(Table2[[#This Row],[Data attivazione]])+VLOOKUP(Table2[[#This Row],[Durata]],VALORE_DURATA,2,FALSE),MONTH(Table2[[#This Row],[Data attivazione]]),DAY(Table2[[#This Row],[Data attivazione]]))</f>
        <v>43100</v>
      </c>
      <c r="Y332" s="65"/>
      <c r="Z332" s="61"/>
      <c r="AA332" s="64" t="s">
        <v>85</v>
      </c>
      <c r="AB332" s="29" t="str">
        <f>IF(Table2[[#This Row],[Data ultimo versamento temp]]=0/1/1900,"-",Table2[[#This Row],[Data ultimo versamento temp]])</f>
        <v>-</v>
      </c>
      <c r="AC332" s="29">
        <f t="array" ref="AC332">MAX(IF(TableVersamenti[Polizza]=Table2[[#This Row],[Polizza]],TableVersamenti[Data prevista versamento],"-"))</f>
        <v>0</v>
      </c>
      <c r="AD332" s="62"/>
      <c r="AE332" s="106">
        <f>DATE(YEAR(Table2[[#This Row],[Data ultimo pagamento]]),MONTH(Table2[[#This Row],[Data ultimo pagamento]]), 1)</f>
        <v>42887</v>
      </c>
      <c r="AF332" s="106">
        <f>DATE(YEAR(Table2[[#This Row],[Data prossima scadenza]]),MONTH(Table2[[#This Row],[Data prossima scadenza]]), 1)</f>
        <v>43070</v>
      </c>
      <c r="AG332" s="33">
        <f>IFERROR(Table2[[#This Row],[Importo annuale]]*VLOOKUP(Table2[[#This Row],[Ramo]],RAMI_POLIZZA,2,FALSE),0)</f>
        <v>133.4</v>
      </c>
      <c r="AH332" s="65" t="s">
        <v>113</v>
      </c>
      <c r="AI332" s="63">
        <f>IFERROR(VLOOKUP(Table2[[#This Row],[Contraente]],Table1[[Nome/Ragione sociale]:[Checkbox selezionato]],2,FALSE),"-")</f>
        <v>0</v>
      </c>
      <c r="AJ332" s="63">
        <f>IFERROR(VLOOKUP(Table2[[#This Row],[Contraente]],Table1[[Nome/Ragione sociale]:[Checkbox selezionato]],3,FALSE),"-")</f>
        <v>0</v>
      </c>
      <c r="AK332" s="63">
        <f>IFERROR(VLOOKUP(Table2[[#This Row],[Contraente]],Table1[[Nome/Ragione sociale]:[Checkbox selezionato]],4,FALSE),"-")</f>
        <v>0</v>
      </c>
      <c r="AL332" s="63" t="str">
        <f>IFERROR(VLOOKUP(Table2[[#This Row],[Contraente]],Table1[[Nome/Ragione sociale]:[Checkbox selezionato]],5,FALSE),"-")</f>
        <v>MONTANINO</v>
      </c>
      <c r="AM332" s="62" t="str">
        <f>IFERROR(VLOOKUP(Table2[[#This Row],[Contraente]],Table1[[Nome/Ragione sociale]:[Checkbox selezionato]],6,FALSE),"-")</f>
        <v>-</v>
      </c>
      <c r="AN332" s="63" t="str">
        <f>IFERROR(VLOOKUP(Table2[[#This Row],[Contraente]],Table1[[Nome/Ragione sociale]:[Checkbox selezionato]],7,FALSE),"-")</f>
        <v>papies@libero.it</v>
      </c>
      <c r="AO332" s="63">
        <f>IFERROR(VLOOKUP(Table2[[#This Row],[Contraente]],Table1[[Nome/Ragione sociale]:[Checkbox selezionato]],8,FALSE),"-")</f>
        <v>0</v>
      </c>
      <c r="AP332" s="63">
        <f>IFERROR(VLOOKUP(Table2[[#This Row],[Contraente]],Table1[[Nome/Ragione sociale]:[Checkbox selezionato]],10,FALSE),"-")</f>
        <v>0</v>
      </c>
      <c r="AQ332" s="63" t="str">
        <f>IFERROR(VLOOKUP(Table2[[#This Row],[Contraente]],Table1[[Nome/Ragione sociale]:[Checkbox selezionato]],11,FALSE),"-")</f>
        <v>SI</v>
      </c>
      <c r="AR332" s="63" t="str">
        <f>IFERROR(VLOOKUP(Table2[[#This Row],[Contraente]],Table1[[Nome/Ragione sociale]:[Checkbox selezionato]],12,FALSE),"-")</f>
        <v>SI</v>
      </c>
    </row>
    <row r="333" spans="1:44" ht="30" hidden="1" customHeight="1" x14ac:dyDescent="0.25">
      <c r="A333" s="60" t="str">
        <f>UPPER(LEFT(Table2[[#This Row],[Contraente]],1))</f>
        <v>C</v>
      </c>
      <c r="B333" s="60" t="s">
        <v>1634</v>
      </c>
      <c r="C333" s="81" t="s">
        <v>553</v>
      </c>
      <c r="D333" s="81" t="s">
        <v>37</v>
      </c>
      <c r="E333" s="86">
        <v>105065875</v>
      </c>
      <c r="F333" s="64">
        <v>42702</v>
      </c>
      <c r="G333" s="64">
        <f>IFERROR(CALCOLASCADENZA(Table2[[#This Row],[Data attivazione]],Table2[[#This Row],[Rateizzazione]],Table2[[#This Row],[Data ultimo pagamento]],Table2[[#This Row],[Data prossima scadenza manuale]]),"-")</f>
        <v>43069</v>
      </c>
      <c r="H333" s="67" t="s">
        <v>30</v>
      </c>
      <c r="I333" s="67" t="s">
        <v>113</v>
      </c>
      <c r="J333" s="33">
        <f>IFERROR(Table2[[#This Row],[Importo annuale]]/(12/VLOOKUP(Table2[[#This Row],[Rateizzazione]],TIPI_RATEIZZAZIONI,2,FALSE)),"-")</f>
        <v>906</v>
      </c>
      <c r="K333" s="88"/>
      <c r="L333" s="88">
        <v>906</v>
      </c>
      <c r="M333" s="67" t="s">
        <v>44</v>
      </c>
      <c r="N333" s="67" t="s">
        <v>51</v>
      </c>
      <c r="O333" s="27" t="s">
        <v>1631</v>
      </c>
      <c r="P333" s="33" t="s">
        <v>23</v>
      </c>
      <c r="Q333" s="60">
        <f>IFERROR(IF(12 / VLOOKUP(Table2[[#This Row],[Rateizzazione]],TIPI_RATEIZZAZIONI,2,FALSE) &gt;=1,  IF(Table2[[#This Row],[Data attivazione]] = "","-",MONTH(Table2[[#This Row],[Data attivazione]])),"-"),"-")</f>
        <v>11</v>
      </c>
      <c r="R3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3" s="67" t="s">
        <v>2</v>
      </c>
      <c r="V333" s="62"/>
      <c r="W333" s="64">
        <v>42704</v>
      </c>
      <c r="X333" s="29">
        <f>DATE(YEAR(Table2[[#This Row],[Data attivazione]])+VLOOKUP(Table2[[#This Row],[Durata]],VALORE_DURATA,2,FALSE),MONTH(Table2[[#This Row],[Data attivazione]]),DAY(Table2[[#This Row],[Data attivazione]]))</f>
        <v>43069</v>
      </c>
      <c r="Y333" s="65"/>
      <c r="Z333" s="61"/>
      <c r="AA333" s="64" t="s">
        <v>85</v>
      </c>
      <c r="AB333" s="29" t="str">
        <f>IF(Table2[[#This Row],[Data ultimo versamento temp]]=0/1/1900,"-",Table2[[#This Row],[Data ultimo versamento temp]])</f>
        <v>-</v>
      </c>
      <c r="AC333" s="29">
        <f t="array" ref="AC333">MAX(IF(TableVersamenti[Polizza]=Table2[[#This Row],[Polizza]],TableVersamenti[Data prevista versamento],"-"))</f>
        <v>0</v>
      </c>
      <c r="AD333" s="62"/>
      <c r="AE333" s="106">
        <f>DATE(YEAR(Table2[[#This Row],[Data ultimo pagamento]]),MONTH(Table2[[#This Row],[Data ultimo pagamento]]), 1)</f>
        <v>42675</v>
      </c>
      <c r="AF333" s="106">
        <f>DATE(YEAR(Table2[[#This Row],[Data prossima scadenza]]),MONTH(Table2[[#This Row],[Data prossima scadenza]]), 1)</f>
        <v>43040</v>
      </c>
      <c r="AG333" s="33">
        <f>IFERROR(Table2[[#This Row],[Importo annuale]]*VLOOKUP(Table2[[#This Row],[Ramo]],RAMI_POLIZZA,2,FALSE),0)</f>
        <v>104.19</v>
      </c>
      <c r="AH333" s="65" t="s">
        <v>113</v>
      </c>
      <c r="AI333" s="63">
        <f>IFERROR(VLOOKUP(Table2[[#This Row],[Contraente]],Table1[[Nome/Ragione sociale]:[Checkbox selezionato]],2,FALSE),"-")</f>
        <v>0</v>
      </c>
      <c r="AJ333" s="63">
        <f>IFERROR(VLOOKUP(Table2[[#This Row],[Contraente]],Table1[[Nome/Ragione sociale]:[Checkbox selezionato]],3,FALSE),"-")</f>
        <v>0</v>
      </c>
      <c r="AK333" s="63">
        <f>IFERROR(VLOOKUP(Table2[[#This Row],[Contraente]],Table1[[Nome/Ragione sociale]:[Checkbox selezionato]],4,FALSE),"-")</f>
        <v>0</v>
      </c>
      <c r="AL333" s="63" t="str">
        <f>IFERROR(VLOOKUP(Table2[[#This Row],[Contraente]],Table1[[Nome/Ragione sociale]:[Checkbox selezionato]],5,FALSE),"-")</f>
        <v>BARCHERI</v>
      </c>
      <c r="AM333" s="62" t="str">
        <f>IFERROR(VLOOKUP(Table2[[#This Row],[Contraente]],Table1[[Nome/Ragione sociale]:[Checkbox selezionato]],6,FALSE),"-")</f>
        <v>-</v>
      </c>
      <c r="AN333" s="63" t="str">
        <f>IFERROR(VLOOKUP(Table2[[#This Row],[Contraente]],Table1[[Nome/Ragione sociale]:[Checkbox selezionato]],7,FALSE),"-")</f>
        <v>papies@email.it</v>
      </c>
      <c r="AO333" s="63">
        <f>IFERROR(VLOOKUP(Table2[[#This Row],[Contraente]],Table1[[Nome/Ragione sociale]:[Checkbox selezionato]],8,FALSE),"-")</f>
        <v>0</v>
      </c>
      <c r="AP333" s="63">
        <f>IFERROR(VLOOKUP(Table2[[#This Row],[Contraente]],Table1[[Nome/Ragione sociale]:[Checkbox selezionato]],10,FALSE),"-")</f>
        <v>0</v>
      </c>
      <c r="AQ333" s="63" t="str">
        <f>IFERROR(VLOOKUP(Table2[[#This Row],[Contraente]],Table1[[Nome/Ragione sociale]:[Checkbox selezionato]],11,FALSE),"-")</f>
        <v>SI</v>
      </c>
      <c r="AR333" s="63" t="str">
        <f>IFERROR(VLOOKUP(Table2[[#This Row],[Contraente]],Table1[[Nome/Ragione sociale]:[Checkbox selezionato]],12,FALSE),"-")</f>
        <v>SI</v>
      </c>
    </row>
    <row r="334" spans="1:44" ht="30" hidden="1" customHeight="1" x14ac:dyDescent="0.25">
      <c r="A334" s="60" t="str">
        <f>UPPER(LEFT(Table2[[#This Row],[Contraente]],1))</f>
        <v>C</v>
      </c>
      <c r="B334" s="60" t="s">
        <v>1634</v>
      </c>
      <c r="C334" s="47" t="s">
        <v>1805</v>
      </c>
      <c r="D334" s="98" t="s">
        <v>37</v>
      </c>
      <c r="E334" s="99" t="s">
        <v>1806</v>
      </c>
      <c r="F334" s="109">
        <v>42926</v>
      </c>
      <c r="G334" s="64">
        <f>IFERROR(CALCOLASCADENZA(Table2[[#This Row],[Data attivazione]],Table2[[#This Row],[Rateizzazione]],Table2[[#This Row],[Data ultimo pagamento]],Table2[[#This Row],[Data prossima scadenza manuale]]),"-")</f>
        <v>43110</v>
      </c>
      <c r="H334" s="64" t="s">
        <v>30</v>
      </c>
      <c r="I334" s="64" t="s">
        <v>113</v>
      </c>
      <c r="J334" s="92">
        <v>461</v>
      </c>
      <c r="K334" s="69">
        <v>461</v>
      </c>
      <c r="L334" s="69">
        <v>922</v>
      </c>
      <c r="M334" s="92" t="s">
        <v>45</v>
      </c>
      <c r="N334" s="92" t="s">
        <v>52</v>
      </c>
      <c r="O334" s="67" t="s">
        <v>1631</v>
      </c>
      <c r="P334" s="33" t="s">
        <v>22</v>
      </c>
      <c r="Q334" s="60">
        <f>IFERROR(IF(12 / VLOOKUP(Table2[[#This Row],[Rateizzazione]],TIPI_RATEIZZAZIONI,2,FALSE) &gt;=1,  IF(Table2[[#This Row],[Data attivazione]] = "","-",MONTH(Table2[[#This Row],[Data attivazione]])),"-"),"-")</f>
        <v>7</v>
      </c>
      <c r="R3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4" s="68" t="s">
        <v>2</v>
      </c>
      <c r="V334" s="62"/>
      <c r="W334" s="64">
        <v>42926</v>
      </c>
      <c r="X334" s="29">
        <f>DATE(YEAR(Table2[[#This Row],[Data attivazione]])+VLOOKUP(Table2[[#This Row],[Durata]],VALORE_DURATA,2,FALSE),MONTH(Table2[[#This Row],[Data attivazione]]),DAY(Table2[[#This Row],[Data attivazione]]))</f>
        <v>43291</v>
      </c>
      <c r="Y334" s="65"/>
      <c r="Z334" s="61"/>
      <c r="AA334" s="64" t="s">
        <v>85</v>
      </c>
      <c r="AB334" s="29" t="str">
        <f>IF(Table2[[#This Row],[Data ultimo versamento temp]]=0/1/1900,"-",Table2[[#This Row],[Data ultimo versamento temp]])</f>
        <v>-</v>
      </c>
      <c r="AC334" s="29">
        <f t="array" ref="AC334">MAX(IF(TableVersamenti[Polizza]=Table2[[#This Row],[Polizza]],TableVersamenti[Data prevista versamento],"-"))</f>
        <v>0</v>
      </c>
      <c r="AD334" s="62"/>
      <c r="AE334" s="105">
        <f>DATE(YEAR(Table2[[#This Row],[Data ultimo pagamento]]),MONTH(Table2[[#This Row],[Data ultimo pagamento]]), 1)</f>
        <v>42917</v>
      </c>
      <c r="AF334" s="106">
        <f>DATE(YEAR(Table2[[#This Row],[Data prossima scadenza]]),MONTH(Table2[[#This Row],[Data prossima scadenza]]), 1)</f>
        <v>43101</v>
      </c>
      <c r="AG334" s="92">
        <f>IFERROR(Table2[[#This Row],[Importo annuale]]*VLOOKUP(Table2[[#This Row],[Ramo]],RAMI_POLIZZA,2,FALSE),0)</f>
        <v>106.03</v>
      </c>
      <c r="AH334" s="65"/>
      <c r="AI334" s="63" t="str">
        <f>IFERROR(VLOOKUP(Table2[[#This Row],[Contraente]],Table1[[Nome/Ragione sociale]:[Checkbox selezionato]],2,FALSE),"-")</f>
        <v>CERANOVA</v>
      </c>
      <c r="AJ334" s="63">
        <f>IFERROR(VLOOKUP(Table2[[#This Row],[Contraente]],Table1[[Nome/Ragione sociale]:[Checkbox selezionato]],3,FALSE),"-")</f>
        <v>0</v>
      </c>
      <c r="AK334" s="63">
        <f>IFERROR(VLOOKUP(Table2[[#This Row],[Contraente]],Table1[[Nome/Ragione sociale]:[Checkbox selezionato]],4,FALSE),"-")</f>
        <v>0</v>
      </c>
      <c r="AL334" s="63" t="str">
        <f>IFERROR(VLOOKUP(Table2[[#This Row],[Contraente]],Table1[[Nome/Ragione sociale]:[Checkbox selezionato]],5,FALSE),"-")</f>
        <v>FANELLI</v>
      </c>
      <c r="AM334" s="62" t="str">
        <f>IFERROR(VLOOKUP(Table2[[#This Row],[Contraente]],Table1[[Nome/Ragione sociale]:[Checkbox selezionato]],6,FALSE),"-")</f>
        <v>-</v>
      </c>
      <c r="AN334" s="63" t="str">
        <f>IFERROR(VLOOKUP(Table2[[#This Row],[Contraente]],Table1[[Nome/Ragione sociale]:[Checkbox selezionato]],7,FALSE),"-")</f>
        <v>papies@libero.it</v>
      </c>
      <c r="AO334" s="63">
        <f>IFERROR(VLOOKUP(Table2[[#This Row],[Contraente]],Table1[[Nome/Ragione sociale]:[Checkbox selezionato]],8,FALSE),"-")</f>
        <v>0</v>
      </c>
      <c r="AP334" s="63">
        <f>IFERROR(VLOOKUP(Table2[[#This Row],[Contraente]],Table1[[Nome/Ragione sociale]:[Checkbox selezionato]],10,FALSE),"-")</f>
        <v>0</v>
      </c>
      <c r="AQ334" s="63" t="str">
        <f>IFERROR(VLOOKUP(Table2[[#This Row],[Contraente]],Table1[[Nome/Ragione sociale]:[Checkbox selezionato]],11,FALSE),"-")</f>
        <v>SI</v>
      </c>
      <c r="AR334" s="63" t="str">
        <f>IFERROR(VLOOKUP(Table2[[#This Row],[Contraente]],Table1[[Nome/Ragione sociale]:[Checkbox selezionato]],12,FALSE),"-")</f>
        <v>SI</v>
      </c>
    </row>
    <row r="335" spans="1:44" ht="30" hidden="1" customHeight="1" x14ac:dyDescent="0.25">
      <c r="A335" s="60" t="str">
        <f>UPPER(LEFT(Table2[[#This Row],[Contraente]],1))</f>
        <v>C</v>
      </c>
      <c r="B335" s="60" t="s">
        <v>1634</v>
      </c>
      <c r="C335" s="81" t="s">
        <v>554</v>
      </c>
      <c r="D335" s="81" t="s">
        <v>37</v>
      </c>
      <c r="E335" s="86">
        <v>105866367</v>
      </c>
      <c r="F335" s="64">
        <v>42758</v>
      </c>
      <c r="G335" s="64">
        <f>IFERROR(CALCOLASCADENZA(Table2[[#This Row],[Data attivazione]],Table2[[#This Row],[Rateizzazione]],Table2[[#This Row],[Data ultimo pagamento]],Table2[[#This Row],[Data prossima scadenza manuale]]),"-")</f>
        <v>42938</v>
      </c>
      <c r="H335" s="67" t="s">
        <v>30</v>
      </c>
      <c r="I335" s="67" t="s">
        <v>113</v>
      </c>
      <c r="J335" s="33">
        <f>IFERROR(Table2[[#This Row],[Importo annuale]]/(12/VLOOKUP(Table2[[#This Row],[Rateizzazione]],TIPI_RATEIZZAZIONI,2,FALSE)),"-")</f>
        <v>892</v>
      </c>
      <c r="K335" s="88">
        <v>892</v>
      </c>
      <c r="L335" s="88">
        <v>1784</v>
      </c>
      <c r="M335" s="67" t="s">
        <v>44</v>
      </c>
      <c r="N335" s="67" t="s">
        <v>51</v>
      </c>
      <c r="O335" s="27" t="s">
        <v>1631</v>
      </c>
      <c r="P335" s="33" t="s">
        <v>22</v>
      </c>
      <c r="Q335" s="60">
        <f>IFERROR(IF(12 / VLOOKUP(Table2[[#This Row],[Rateizzazione]],TIPI_RATEIZZAZIONI,2,FALSE) &gt;=1,  IF(Table2[[#This Row],[Data attivazione]] = "","-",MONTH(Table2[[#This Row],[Data attivazione]])),"-"),"-")</f>
        <v>7</v>
      </c>
      <c r="R3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5" s="67" t="s">
        <v>2</v>
      </c>
      <c r="V335" s="62"/>
      <c r="W335" s="64">
        <v>42573</v>
      </c>
      <c r="X335" s="29">
        <f>DATE(YEAR(Table2[[#This Row],[Data attivazione]])+VLOOKUP(Table2[[#This Row],[Durata]],VALORE_DURATA,2,FALSE),MONTH(Table2[[#This Row],[Data attivazione]]),DAY(Table2[[#This Row],[Data attivazione]]))</f>
        <v>42938</v>
      </c>
      <c r="Y335" s="65"/>
      <c r="Z335" s="61"/>
      <c r="AA335" s="64" t="s">
        <v>85</v>
      </c>
      <c r="AB335" s="29" t="str">
        <f>IF(Table2[[#This Row],[Data ultimo versamento temp]]=0/1/1900,"-",Table2[[#This Row],[Data ultimo versamento temp]])</f>
        <v>-</v>
      </c>
      <c r="AC335" s="29">
        <f t="array" ref="AC335">MAX(IF(TableVersamenti[Polizza]=Table2[[#This Row],[Polizza]],TableVersamenti[Data prevista versamento],"-"))</f>
        <v>0</v>
      </c>
      <c r="AD335" s="62"/>
      <c r="AE335" s="106">
        <f>DATE(YEAR(Table2[[#This Row],[Data ultimo pagamento]]),MONTH(Table2[[#This Row],[Data ultimo pagamento]]), 1)</f>
        <v>42736</v>
      </c>
      <c r="AF335" s="106">
        <f>DATE(YEAR(Table2[[#This Row],[Data prossima scadenza]]),MONTH(Table2[[#This Row],[Data prossima scadenza]]), 1)</f>
        <v>42917</v>
      </c>
      <c r="AG335" s="33">
        <f>IFERROR(Table2[[#This Row],[Importo annuale]]*VLOOKUP(Table2[[#This Row],[Ramo]],RAMI_POLIZZA,2,FALSE),0)</f>
        <v>205.16</v>
      </c>
      <c r="AH335" s="65" t="s">
        <v>113</v>
      </c>
      <c r="AI335" s="63">
        <f>IFERROR(VLOOKUP(Table2[[#This Row],[Contraente]],Table1[[Nome/Ragione sociale]:[Checkbox selezionato]],2,FALSE),"-")</f>
        <v>0</v>
      </c>
      <c r="AJ335" s="63">
        <f>IFERROR(VLOOKUP(Table2[[#This Row],[Contraente]],Table1[[Nome/Ragione sociale]:[Checkbox selezionato]],3,FALSE),"-")</f>
        <v>0</v>
      </c>
      <c r="AK335" s="63">
        <f>IFERROR(VLOOKUP(Table2[[#This Row],[Contraente]],Table1[[Nome/Ragione sociale]:[Checkbox selezionato]],4,FALSE),"-")</f>
        <v>0</v>
      </c>
      <c r="AL335" s="63" t="str">
        <f>IFERROR(VLOOKUP(Table2[[#This Row],[Contraente]],Table1[[Nome/Ragione sociale]:[Checkbox selezionato]],5,FALSE),"-")</f>
        <v>MONTANINO</v>
      </c>
      <c r="AM335" s="62" t="str">
        <f>IFERROR(VLOOKUP(Table2[[#This Row],[Contraente]],Table1[[Nome/Ragione sociale]:[Checkbox selezionato]],6,FALSE),"-")</f>
        <v>-</v>
      </c>
      <c r="AN335" s="63" t="str">
        <f>IFERROR(VLOOKUP(Table2[[#This Row],[Contraente]],Table1[[Nome/Ragione sociale]:[Checkbox selezionato]],7,FALSE),"-")</f>
        <v>papies@libero.it</v>
      </c>
      <c r="AO335" s="63">
        <f>IFERROR(VLOOKUP(Table2[[#This Row],[Contraente]],Table1[[Nome/Ragione sociale]:[Checkbox selezionato]],8,FALSE),"-")</f>
        <v>0</v>
      </c>
      <c r="AP335" s="63">
        <f>IFERROR(VLOOKUP(Table2[[#This Row],[Contraente]],Table1[[Nome/Ragione sociale]:[Checkbox selezionato]],10,FALSE),"-")</f>
        <v>0</v>
      </c>
      <c r="AQ335" s="63" t="str">
        <f>IFERROR(VLOOKUP(Table2[[#This Row],[Contraente]],Table1[[Nome/Ragione sociale]:[Checkbox selezionato]],11,FALSE),"-")</f>
        <v>SI</v>
      </c>
      <c r="AR335" s="63" t="str">
        <f>IFERROR(VLOOKUP(Table2[[#This Row],[Contraente]],Table1[[Nome/Ragione sociale]:[Checkbox selezionato]],12,FALSE),"-")</f>
        <v>SI</v>
      </c>
    </row>
    <row r="336" spans="1:44" ht="30" hidden="1" customHeight="1" x14ac:dyDescent="0.25">
      <c r="A336" s="60" t="str">
        <f>UPPER(LEFT(Table2[[#This Row],[Contraente]],1))</f>
        <v>C</v>
      </c>
      <c r="B336" s="60" t="s">
        <v>1634</v>
      </c>
      <c r="C336" s="81" t="s">
        <v>513</v>
      </c>
      <c r="D336" s="81" t="s">
        <v>37</v>
      </c>
      <c r="E336" s="86">
        <v>105611488</v>
      </c>
      <c r="F336" s="64">
        <v>42872</v>
      </c>
      <c r="G336" s="64">
        <f>IFERROR(CALCOLASCADENZA(Table2[[#This Row],[Data attivazione]],Table2[[#This Row],[Rateizzazione]],Table2[[#This Row],[Data ultimo pagamento]],Table2[[#This Row],[Data prossima scadenza manuale]]),"-")</f>
        <v>43237</v>
      </c>
      <c r="H336" s="67" t="s">
        <v>30</v>
      </c>
      <c r="I336" s="67" t="s">
        <v>113</v>
      </c>
      <c r="J336" s="33">
        <f>IFERROR(Table2[[#This Row],[Importo annuale]]/(12/VLOOKUP(Table2[[#This Row],[Rateizzazione]],TIPI_RATEIZZAZIONI,2,FALSE)),"-")</f>
        <v>863</v>
      </c>
      <c r="K336" s="88">
        <v>863</v>
      </c>
      <c r="L336" s="88">
        <v>863</v>
      </c>
      <c r="M336" s="67" t="s">
        <v>44</v>
      </c>
      <c r="N336" s="67" t="s">
        <v>51</v>
      </c>
      <c r="O336" s="27" t="s">
        <v>1631</v>
      </c>
      <c r="P336" s="33" t="s">
        <v>23</v>
      </c>
      <c r="Q336" s="60">
        <f>IFERROR(IF(12 / VLOOKUP(Table2[[#This Row],[Rateizzazione]],TIPI_RATEIZZAZIONI,2,FALSE) &gt;=1,  IF(Table2[[#This Row],[Data attivazione]] = "","-",MONTH(Table2[[#This Row],[Data attivazione]])),"-"),"-")</f>
        <v>5</v>
      </c>
      <c r="R3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6" s="67" t="s">
        <v>2</v>
      </c>
      <c r="V336" s="62"/>
      <c r="W336" s="64">
        <v>42872</v>
      </c>
      <c r="X336" s="29">
        <f>DATE(YEAR(Table2[[#This Row],[Data attivazione]])+VLOOKUP(Table2[[#This Row],[Durata]],VALORE_DURATA,2,FALSE),MONTH(Table2[[#This Row],[Data attivazione]]),DAY(Table2[[#This Row],[Data attivazione]]))</f>
        <v>43237</v>
      </c>
      <c r="Y336" s="65"/>
      <c r="Z336" s="61"/>
      <c r="AA336" s="64" t="s">
        <v>85</v>
      </c>
      <c r="AB336" s="29" t="str">
        <f>IF(Table2[[#This Row],[Data ultimo versamento temp]]=0/1/1900,"-",Table2[[#This Row],[Data ultimo versamento temp]])</f>
        <v>-</v>
      </c>
      <c r="AC336" s="29">
        <f t="array" ref="AC336">MAX(IF(TableVersamenti[Polizza]=Table2[[#This Row],[Polizza]],TableVersamenti[Data prevista versamento],"-"))</f>
        <v>0</v>
      </c>
      <c r="AD336" s="62"/>
      <c r="AE336" s="106">
        <f>DATE(YEAR(Table2[[#This Row],[Data ultimo pagamento]]),MONTH(Table2[[#This Row],[Data ultimo pagamento]]), 1)</f>
        <v>42856</v>
      </c>
      <c r="AF336" s="106">
        <f>DATE(YEAR(Table2[[#This Row],[Data prossima scadenza]]),MONTH(Table2[[#This Row],[Data prossima scadenza]]), 1)</f>
        <v>43221</v>
      </c>
      <c r="AG336" s="33">
        <f>IFERROR(Table2[[#This Row],[Importo annuale]]*VLOOKUP(Table2[[#This Row],[Ramo]],RAMI_POLIZZA,2,FALSE),0)</f>
        <v>99.245000000000005</v>
      </c>
      <c r="AH336" s="65" t="s">
        <v>113</v>
      </c>
      <c r="AI336" s="63" t="str">
        <f>IFERROR(VLOOKUP(Table2[[#This Row],[Contraente]],Table1[[Nome/Ragione sociale]:[Checkbox selezionato]],2,FALSE),"-")</f>
        <v>PAVIA</v>
      </c>
      <c r="AJ336" s="63">
        <f>IFERROR(VLOOKUP(Table2[[#This Row],[Contraente]],Table1[[Nome/Ragione sociale]:[Checkbox selezionato]],3,FALSE),"-")</f>
        <v>0</v>
      </c>
      <c r="AK336" s="63">
        <f>IFERROR(VLOOKUP(Table2[[#This Row],[Contraente]],Table1[[Nome/Ragione sociale]:[Checkbox selezionato]],4,FALSE),"-")</f>
        <v>0</v>
      </c>
      <c r="AL336" s="63" t="str">
        <f>IFERROR(VLOOKUP(Table2[[#This Row],[Contraente]],Table1[[Nome/Ragione sociale]:[Checkbox selezionato]],5,FALSE),"-")</f>
        <v>GAVANA</v>
      </c>
      <c r="AM336" s="62" t="str">
        <f>IFERROR(VLOOKUP(Table2[[#This Row],[Contraente]],Table1[[Nome/Ragione sociale]:[Checkbox selezionato]],6,FALSE),"-")</f>
        <v>-</v>
      </c>
      <c r="AN336" s="63" t="str">
        <f>IFERROR(VLOOKUP(Table2[[#This Row],[Contraente]],Table1[[Nome/Ragione sociale]:[Checkbox selezionato]],7,FALSE),"-")</f>
        <v>papies@email.it</v>
      </c>
      <c r="AO336" s="63">
        <f>IFERROR(VLOOKUP(Table2[[#This Row],[Contraente]],Table1[[Nome/Ragione sociale]:[Checkbox selezionato]],8,FALSE),"-")</f>
        <v>0</v>
      </c>
      <c r="AP336" s="63">
        <f>IFERROR(VLOOKUP(Table2[[#This Row],[Contraente]],Table1[[Nome/Ragione sociale]:[Checkbox selezionato]],10,FALSE),"-")</f>
        <v>0</v>
      </c>
      <c r="AQ336" s="63" t="str">
        <f>IFERROR(VLOOKUP(Table2[[#This Row],[Contraente]],Table1[[Nome/Ragione sociale]:[Checkbox selezionato]],11,FALSE),"-")</f>
        <v>SI</v>
      </c>
      <c r="AR336" s="63" t="str">
        <f>IFERROR(VLOOKUP(Table2[[#This Row],[Contraente]],Table1[[Nome/Ragione sociale]:[Checkbox selezionato]],12,FALSE),"-")</f>
        <v>SI</v>
      </c>
    </row>
    <row r="337" spans="1:44" ht="30" hidden="1" customHeight="1" x14ac:dyDescent="0.25">
      <c r="A337" s="60" t="str">
        <f>UPPER(LEFT(Table2[[#This Row],[Contraente]],1))</f>
        <v>C</v>
      </c>
      <c r="B337" s="60" t="s">
        <v>1634</v>
      </c>
      <c r="C337" s="81" t="s">
        <v>537</v>
      </c>
      <c r="D337" s="81" t="s">
        <v>37</v>
      </c>
      <c r="E337" s="86">
        <v>106005950</v>
      </c>
      <c r="F337" s="64">
        <v>42808</v>
      </c>
      <c r="G337" s="64">
        <f>IFERROR(CALCOLASCADENZA(Table2[[#This Row],[Data attivazione]],Table2[[#This Row],[Rateizzazione]],Table2[[#This Row],[Data ultimo pagamento]],Table2[[#This Row],[Data prossima scadenza manuale]]),"-")</f>
        <v>42986</v>
      </c>
      <c r="H337" s="67" t="s">
        <v>30</v>
      </c>
      <c r="I337" s="67" t="s">
        <v>113</v>
      </c>
      <c r="J337" s="33">
        <f>IFERROR(Table2[[#This Row],[Importo annuale]]/(12/VLOOKUP(Table2[[#This Row],[Rateizzazione]],TIPI_RATEIZZAZIONI,2,FALSE)),"-")</f>
        <v>388</v>
      </c>
      <c r="K337" s="88">
        <v>388</v>
      </c>
      <c r="L337" s="88">
        <v>776</v>
      </c>
      <c r="M337" s="67" t="s">
        <v>45</v>
      </c>
      <c r="N337" s="67" t="s">
        <v>52</v>
      </c>
      <c r="O337" s="27" t="s">
        <v>1631</v>
      </c>
      <c r="P337" s="33" t="s">
        <v>22</v>
      </c>
      <c r="Q337" s="60">
        <f>IFERROR(IF(12 / VLOOKUP(Table2[[#This Row],[Rateizzazione]],TIPI_RATEIZZAZIONI,2,FALSE) &gt;=1,  IF(Table2[[#This Row],[Data attivazione]] = "","-",MONTH(Table2[[#This Row],[Data attivazione]])),"-"),"-")</f>
        <v>9</v>
      </c>
      <c r="R3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7" s="67" t="s">
        <v>2</v>
      </c>
      <c r="V337" s="62"/>
      <c r="W337" s="64">
        <v>42621</v>
      </c>
      <c r="X337" s="29">
        <f>DATE(YEAR(Table2[[#This Row],[Data attivazione]])+VLOOKUP(Table2[[#This Row],[Durata]],VALORE_DURATA,2,FALSE),MONTH(Table2[[#This Row],[Data attivazione]]),DAY(Table2[[#This Row],[Data attivazione]]))</f>
        <v>42986</v>
      </c>
      <c r="Y337" s="65"/>
      <c r="Z337" s="61"/>
      <c r="AA337" s="64" t="s">
        <v>85</v>
      </c>
      <c r="AB337" s="29" t="str">
        <f>IF(Table2[[#This Row],[Data ultimo versamento temp]]=0/1/1900,"-",Table2[[#This Row],[Data ultimo versamento temp]])</f>
        <v>-</v>
      </c>
      <c r="AC337" s="29">
        <f t="array" ref="AC337">MAX(IF(TableVersamenti[Polizza]=Table2[[#This Row],[Polizza]],TableVersamenti[Data prevista versamento],"-"))</f>
        <v>0</v>
      </c>
      <c r="AD337" s="62"/>
      <c r="AE337" s="106">
        <f>DATE(YEAR(Table2[[#This Row],[Data ultimo pagamento]]),MONTH(Table2[[#This Row],[Data ultimo pagamento]]), 1)</f>
        <v>42795</v>
      </c>
      <c r="AF337" s="106">
        <f>DATE(YEAR(Table2[[#This Row],[Data prossima scadenza]]),MONTH(Table2[[#This Row],[Data prossima scadenza]]), 1)</f>
        <v>42979</v>
      </c>
      <c r="AG337" s="33">
        <f>IFERROR(Table2[[#This Row],[Importo annuale]]*VLOOKUP(Table2[[#This Row],[Ramo]],RAMI_POLIZZA,2,FALSE),0)</f>
        <v>89.240000000000009</v>
      </c>
      <c r="AH337" s="65" t="s">
        <v>113</v>
      </c>
      <c r="AI337" s="63">
        <f>IFERROR(VLOOKUP(Table2[[#This Row],[Contraente]],Table1[[Nome/Ragione sociale]:[Checkbox selezionato]],2,FALSE),"-")</f>
        <v>0</v>
      </c>
      <c r="AJ337" s="63">
        <f>IFERROR(VLOOKUP(Table2[[#This Row],[Contraente]],Table1[[Nome/Ragione sociale]:[Checkbox selezionato]],3,FALSE),"-")</f>
        <v>0</v>
      </c>
      <c r="AK337" s="63">
        <f>IFERROR(VLOOKUP(Table2[[#This Row],[Contraente]],Table1[[Nome/Ragione sociale]:[Checkbox selezionato]],4,FALSE),"-")</f>
        <v>0</v>
      </c>
      <c r="AL337" s="63" t="str">
        <f>IFERROR(VLOOKUP(Table2[[#This Row],[Contraente]],Table1[[Nome/Ragione sociale]:[Checkbox selezionato]],5,FALSE),"-")</f>
        <v>FANELLI</v>
      </c>
      <c r="AM337" s="62" t="str">
        <f>IFERROR(VLOOKUP(Table2[[#This Row],[Contraente]],Table1[[Nome/Ragione sociale]:[Checkbox selezionato]],6,FALSE),"-")</f>
        <v>-</v>
      </c>
      <c r="AN337" s="63" t="str">
        <f>IFERROR(VLOOKUP(Table2[[#This Row],[Contraente]],Table1[[Nome/Ragione sociale]:[Checkbox selezionato]],7,FALSE),"-")</f>
        <v>papies@libero.it</v>
      </c>
      <c r="AO337" s="63">
        <f>IFERROR(VLOOKUP(Table2[[#This Row],[Contraente]],Table1[[Nome/Ragione sociale]:[Checkbox selezionato]],8,FALSE),"-")</f>
        <v>0</v>
      </c>
      <c r="AP337" s="63">
        <f>IFERROR(VLOOKUP(Table2[[#This Row],[Contraente]],Table1[[Nome/Ragione sociale]:[Checkbox selezionato]],10,FALSE),"-")</f>
        <v>0</v>
      </c>
      <c r="AQ337" s="63" t="str">
        <f>IFERROR(VLOOKUP(Table2[[#This Row],[Contraente]],Table1[[Nome/Ragione sociale]:[Checkbox selezionato]],11,FALSE),"-")</f>
        <v>SI</v>
      </c>
      <c r="AR337" s="63" t="str">
        <f>IFERROR(VLOOKUP(Table2[[#This Row],[Contraente]],Table1[[Nome/Ragione sociale]:[Checkbox selezionato]],12,FALSE),"-")</f>
        <v>SI</v>
      </c>
    </row>
    <row r="338" spans="1:44" ht="30" hidden="1" customHeight="1" x14ac:dyDescent="0.25">
      <c r="A338" s="60" t="str">
        <f>UPPER(LEFT(Table2[[#This Row],[Contraente]],1))</f>
        <v>C</v>
      </c>
      <c r="B338" s="60" t="s">
        <v>1634</v>
      </c>
      <c r="C338" s="81" t="s">
        <v>555</v>
      </c>
      <c r="D338" s="81" t="s">
        <v>37</v>
      </c>
      <c r="E338" s="86">
        <v>105858230</v>
      </c>
      <c r="F338" s="64">
        <v>42941</v>
      </c>
      <c r="G338" s="64">
        <f>IFERROR(CALCOLASCADENZA(Table2[[#This Row],[Data attivazione]],Table2[[#This Row],[Rateizzazione]],Table2[[#This Row],[Data ultimo pagamento]],Table2[[#This Row],[Data prossima scadenza manuale]]),"-")</f>
        <v>43125</v>
      </c>
      <c r="H338" s="67" t="s">
        <v>30</v>
      </c>
      <c r="I338" s="67" t="s">
        <v>113</v>
      </c>
      <c r="J338" s="33">
        <f>IFERROR(Table2[[#This Row],[Importo annuale]]/(12/VLOOKUP(Table2[[#This Row],[Rateizzazione]],TIPI_RATEIZZAZIONI,2,FALSE)),"-")</f>
        <v>540</v>
      </c>
      <c r="K338" s="88">
        <v>1080</v>
      </c>
      <c r="L338" s="88">
        <v>1080</v>
      </c>
      <c r="M338" s="67" t="s">
        <v>45</v>
      </c>
      <c r="N338" s="67" t="s">
        <v>51</v>
      </c>
      <c r="O338" s="27" t="s">
        <v>1631</v>
      </c>
      <c r="P338" s="33" t="s">
        <v>22</v>
      </c>
      <c r="Q338" s="60">
        <f>IFERROR(IF(12 / VLOOKUP(Table2[[#This Row],[Rateizzazione]],TIPI_RATEIZZAZIONI,2,FALSE) &gt;=1,  IF(Table2[[#This Row],[Data attivazione]] = "","-",MONTH(Table2[[#This Row],[Data attivazione]])),"-"),"-")</f>
        <v>7</v>
      </c>
      <c r="R3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8" s="67" t="s">
        <v>2</v>
      </c>
      <c r="V338" s="62"/>
      <c r="W338" s="64">
        <v>42941</v>
      </c>
      <c r="X338" s="29">
        <f>DATE(YEAR(Table2[[#This Row],[Data attivazione]])+VLOOKUP(Table2[[#This Row],[Durata]],VALORE_DURATA,2,FALSE),MONTH(Table2[[#This Row],[Data attivazione]]),DAY(Table2[[#This Row],[Data attivazione]]))</f>
        <v>43306</v>
      </c>
      <c r="Y338" s="65"/>
      <c r="Z338" s="61"/>
      <c r="AA338" s="64" t="s">
        <v>85</v>
      </c>
      <c r="AB338" s="29">
        <f>IF(Table2[[#This Row],[Data ultimo versamento temp]]=0/1/1900,"-",Table2[[#This Row],[Data ultimo versamento temp]])</f>
        <v>42941</v>
      </c>
      <c r="AC338" s="29">
        <f t="array" ref="AC338">MAX(IF(TableVersamenti[Polizza]=Table2[[#This Row],[Polizza]],TableVersamenti[Data prevista versamento],"-"))</f>
        <v>42941</v>
      </c>
      <c r="AD338" s="62"/>
      <c r="AE338" s="106">
        <f>DATE(YEAR(Table2[[#This Row],[Data ultimo pagamento]]),MONTH(Table2[[#This Row],[Data ultimo pagamento]]), 1)</f>
        <v>42917</v>
      </c>
      <c r="AF338" s="106">
        <f>DATE(YEAR(Table2[[#This Row],[Data prossima scadenza]]),MONTH(Table2[[#This Row],[Data prossima scadenza]]), 1)</f>
        <v>43101</v>
      </c>
      <c r="AG338" s="33">
        <f>IFERROR(Table2[[#This Row],[Importo annuale]]*VLOOKUP(Table2[[#This Row],[Ramo]],RAMI_POLIZZA,2,FALSE),0)</f>
        <v>124.2</v>
      </c>
      <c r="AH338" s="65" t="s">
        <v>113</v>
      </c>
      <c r="AI338" s="63">
        <f>IFERROR(VLOOKUP(Table2[[#This Row],[Contraente]],Table1[[Nome/Ragione sociale]:[Checkbox selezionato]],2,FALSE),"-")</f>
        <v>0</v>
      </c>
      <c r="AJ338" s="63">
        <f>IFERROR(VLOOKUP(Table2[[#This Row],[Contraente]],Table1[[Nome/Ragione sociale]:[Checkbox selezionato]],3,FALSE),"-")</f>
        <v>0</v>
      </c>
      <c r="AK338" s="63">
        <f>IFERROR(VLOOKUP(Table2[[#This Row],[Contraente]],Table1[[Nome/Ragione sociale]:[Checkbox selezionato]],4,FALSE),"-")</f>
        <v>0</v>
      </c>
      <c r="AL338" s="63" t="str">
        <f>IFERROR(VLOOKUP(Table2[[#This Row],[Contraente]],Table1[[Nome/Ragione sociale]:[Checkbox selezionato]],5,FALSE),"-")</f>
        <v>FANELLI</v>
      </c>
      <c r="AM338" s="62" t="str">
        <f>IFERROR(VLOOKUP(Table2[[#This Row],[Contraente]],Table1[[Nome/Ragione sociale]:[Checkbox selezionato]],6,FALSE),"-")</f>
        <v>-</v>
      </c>
      <c r="AN338" s="63" t="str">
        <f>IFERROR(VLOOKUP(Table2[[#This Row],[Contraente]],Table1[[Nome/Ragione sociale]:[Checkbox selezionato]],7,FALSE),"-")</f>
        <v>papies@libero.it</v>
      </c>
      <c r="AO338" s="63">
        <f>IFERROR(VLOOKUP(Table2[[#This Row],[Contraente]],Table1[[Nome/Ragione sociale]:[Checkbox selezionato]],8,FALSE),"-")</f>
        <v>0</v>
      </c>
      <c r="AP338" s="63">
        <f>IFERROR(VLOOKUP(Table2[[#This Row],[Contraente]],Table1[[Nome/Ragione sociale]:[Checkbox selezionato]],10,FALSE),"-")</f>
        <v>0</v>
      </c>
      <c r="AQ338" s="63" t="str">
        <f>IFERROR(VLOOKUP(Table2[[#This Row],[Contraente]],Table1[[Nome/Ragione sociale]:[Checkbox selezionato]],11,FALSE),"-")</f>
        <v>SI</v>
      </c>
      <c r="AR338" s="63" t="str">
        <f>IFERROR(VLOOKUP(Table2[[#This Row],[Contraente]],Table1[[Nome/Ragione sociale]:[Checkbox selezionato]],12,FALSE),"-")</f>
        <v>SI</v>
      </c>
    </row>
    <row r="339" spans="1:44" ht="30" hidden="1" customHeight="1" x14ac:dyDescent="0.25">
      <c r="A339" s="60" t="str">
        <f>UPPER(LEFT(Table2[[#This Row],[Contraente]],1))</f>
        <v>C</v>
      </c>
      <c r="B339" s="60" t="s">
        <v>1634</v>
      </c>
      <c r="C339" s="81" t="s">
        <v>1766</v>
      </c>
      <c r="D339" s="81" t="s">
        <v>37</v>
      </c>
      <c r="E339" s="86">
        <v>106727162</v>
      </c>
      <c r="F339" s="64">
        <v>42915</v>
      </c>
      <c r="G339" s="64">
        <f>IFERROR(CALCOLASCADENZA(Table2[[#This Row],[Data attivazione]],Table2[[#This Row],[Rateizzazione]],Table2[[#This Row],[Data ultimo pagamento]],Table2[[#This Row],[Data prossima scadenza manuale]]),"-")</f>
        <v>43271</v>
      </c>
      <c r="H339" s="67" t="s">
        <v>30</v>
      </c>
      <c r="I339" s="67" t="s">
        <v>113</v>
      </c>
      <c r="J339" s="33">
        <f>IFERROR(Table2[[#This Row],[Importo annuale]]/(12/VLOOKUP(Table2[[#This Row],[Rateizzazione]],TIPI_RATEIZZAZIONI,2,FALSE)),"-")</f>
        <v>1700</v>
      </c>
      <c r="K339" s="88">
        <v>2051</v>
      </c>
      <c r="L339" s="88">
        <v>1700</v>
      </c>
      <c r="M339" s="67" t="s">
        <v>44</v>
      </c>
      <c r="N339" s="67" t="s">
        <v>52</v>
      </c>
      <c r="O339" s="27" t="s">
        <v>1631</v>
      </c>
      <c r="P339" s="33" t="s">
        <v>23</v>
      </c>
      <c r="Q339" s="60">
        <f>IFERROR(IF(12 / VLOOKUP(Table2[[#This Row],[Rateizzazione]],TIPI_RATEIZZAZIONI,2,FALSE) &gt;=1,  IF(Table2[[#This Row],[Data attivazione]] = "","-",MONTH(Table2[[#This Row],[Data attivazione]])),"-"),"-")</f>
        <v>6</v>
      </c>
      <c r="R3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9" s="67" t="s">
        <v>2</v>
      </c>
      <c r="V339" s="62"/>
      <c r="W339" s="64">
        <v>42906</v>
      </c>
      <c r="X339" s="29">
        <f>DATE(YEAR(Table2[[#This Row],[Data attivazione]])+VLOOKUP(Table2[[#This Row],[Durata]],VALORE_DURATA,2,FALSE),MONTH(Table2[[#This Row],[Data attivazione]]),DAY(Table2[[#This Row],[Data attivazione]]))</f>
        <v>43271</v>
      </c>
      <c r="Y339" s="65"/>
      <c r="Z339" s="61"/>
      <c r="AA339" s="64" t="s">
        <v>85</v>
      </c>
      <c r="AB339" s="29" t="str">
        <f>IF(Table2[[#This Row],[Data ultimo versamento temp]]=0/1/1900,"-",Table2[[#This Row],[Data ultimo versamento temp]])</f>
        <v>-</v>
      </c>
      <c r="AC339" s="29">
        <f t="array" ref="AC339">MAX(IF(TableVersamenti[Polizza]=Table2[[#This Row],[Polizza]],TableVersamenti[Data prevista versamento],"-"))</f>
        <v>0</v>
      </c>
      <c r="AD339" s="62"/>
      <c r="AE339" s="106">
        <f>DATE(YEAR(Table2[[#This Row],[Data ultimo pagamento]]),MONTH(Table2[[#This Row],[Data ultimo pagamento]]), 1)</f>
        <v>42887</v>
      </c>
      <c r="AF339" s="106">
        <f>DATE(YEAR(Table2[[#This Row],[Data prossima scadenza]]),MONTH(Table2[[#This Row],[Data prossima scadenza]]), 1)</f>
        <v>43252</v>
      </c>
      <c r="AG339" s="33">
        <f>IFERROR(Table2[[#This Row],[Importo annuale]]*VLOOKUP(Table2[[#This Row],[Ramo]],RAMI_POLIZZA,2,FALSE),0)</f>
        <v>195.5</v>
      </c>
      <c r="AH339" s="65" t="s">
        <v>113</v>
      </c>
      <c r="AI339" s="63" t="str">
        <f>IFERROR(VLOOKUP(Table2[[#This Row],[Contraente]],Table1[[Nome/Ragione sociale]:[Checkbox selezionato]],2,FALSE),"-")</f>
        <v>MILANO</v>
      </c>
      <c r="AJ339" s="63">
        <f>IFERROR(VLOOKUP(Table2[[#This Row],[Contraente]],Table1[[Nome/Ragione sociale]:[Checkbox selezionato]],3,FALSE),"-")</f>
        <v>0</v>
      </c>
      <c r="AK339" s="63">
        <f>IFERROR(VLOOKUP(Table2[[#This Row],[Contraente]],Table1[[Nome/Ragione sociale]:[Checkbox selezionato]],4,FALSE),"-")</f>
        <v>0</v>
      </c>
      <c r="AL339" s="63" t="str">
        <f>IFERROR(VLOOKUP(Table2[[#This Row],[Contraente]],Table1[[Nome/Ragione sociale]:[Checkbox selezionato]],5,FALSE),"-")</f>
        <v>MONTANINO</v>
      </c>
      <c r="AM339" s="62" t="str">
        <f>IFERROR(VLOOKUP(Table2[[#This Row],[Contraente]],Table1[[Nome/Ragione sociale]:[Checkbox selezionato]],6,FALSE),"-")</f>
        <v>-</v>
      </c>
      <c r="AN339" s="63" t="str">
        <f>IFERROR(VLOOKUP(Table2[[#This Row],[Contraente]],Table1[[Nome/Ragione sociale]:[Checkbox selezionato]],7,FALSE),"-")</f>
        <v>papies@email.it</v>
      </c>
      <c r="AO339" s="63">
        <f>IFERROR(VLOOKUP(Table2[[#This Row],[Contraente]],Table1[[Nome/Ragione sociale]:[Checkbox selezionato]],8,FALSE),"-")</f>
        <v>0</v>
      </c>
      <c r="AP339" s="63">
        <f>IFERROR(VLOOKUP(Table2[[#This Row],[Contraente]],Table1[[Nome/Ragione sociale]:[Checkbox selezionato]],10,FALSE),"-")</f>
        <v>0</v>
      </c>
      <c r="AQ339" s="63" t="str">
        <f>IFERROR(VLOOKUP(Table2[[#This Row],[Contraente]],Table1[[Nome/Ragione sociale]:[Checkbox selezionato]],11,FALSE),"-")</f>
        <v>SI</v>
      </c>
      <c r="AR339" s="63" t="str">
        <f>IFERROR(VLOOKUP(Table2[[#This Row],[Contraente]],Table1[[Nome/Ragione sociale]:[Checkbox selezionato]],12,FALSE),"-")</f>
        <v>SI</v>
      </c>
    </row>
    <row r="340" spans="1:44" ht="30" hidden="1" customHeight="1" x14ac:dyDescent="0.25">
      <c r="A340" s="60" t="str">
        <f>UPPER(LEFT(Table2[[#This Row],[Contraente]],1))</f>
        <v>C</v>
      </c>
      <c r="B340" s="60" t="s">
        <v>1634</v>
      </c>
      <c r="C340" s="81" t="s">
        <v>552</v>
      </c>
      <c r="D340" s="81" t="s">
        <v>37</v>
      </c>
      <c r="E340" s="86">
        <v>104885377</v>
      </c>
      <c r="F340" s="64">
        <v>42661</v>
      </c>
      <c r="G340" s="64">
        <f>IFERROR(CALCOLASCADENZA(Table2[[#This Row],[Data attivazione]],Table2[[#This Row],[Rateizzazione]],Table2[[#This Row],[Data ultimo pagamento]],Table2[[#This Row],[Data prossima scadenza manuale]]),"-")</f>
        <v>43010</v>
      </c>
      <c r="H340" s="67" t="s">
        <v>30</v>
      </c>
      <c r="I340" s="67" t="s">
        <v>113</v>
      </c>
      <c r="J340" s="33">
        <f>IFERROR(Table2[[#This Row],[Importo annuale]]/(12/VLOOKUP(Table2[[#This Row],[Rateizzazione]],TIPI_RATEIZZAZIONI,2,FALSE)),"-")</f>
        <v>830</v>
      </c>
      <c r="K340" s="88"/>
      <c r="L340" s="88">
        <v>830</v>
      </c>
      <c r="M340" s="67" t="s">
        <v>44</v>
      </c>
      <c r="N340" s="67" t="s">
        <v>51</v>
      </c>
      <c r="O340" s="27" t="s">
        <v>1631</v>
      </c>
      <c r="P340" s="33" t="s">
        <v>23</v>
      </c>
      <c r="Q340" s="60">
        <f>IFERROR(IF(12 / VLOOKUP(Table2[[#This Row],[Rateizzazione]],TIPI_RATEIZZAZIONI,2,FALSE) &gt;=1,  IF(Table2[[#This Row],[Data attivazione]] = "","-",MONTH(Table2[[#This Row],[Data attivazione]])),"-"),"-")</f>
        <v>10</v>
      </c>
      <c r="R3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0" s="67" t="s">
        <v>2</v>
      </c>
      <c r="V340" s="62"/>
      <c r="W340" s="64">
        <v>42645</v>
      </c>
      <c r="X340" s="29">
        <f>DATE(YEAR(Table2[[#This Row],[Data attivazione]])+VLOOKUP(Table2[[#This Row],[Durata]],VALORE_DURATA,2,FALSE),MONTH(Table2[[#This Row],[Data attivazione]]),DAY(Table2[[#This Row],[Data attivazione]]))</f>
        <v>43010</v>
      </c>
      <c r="Y340" s="65"/>
      <c r="Z340" s="61"/>
      <c r="AA340" s="64" t="s">
        <v>85</v>
      </c>
      <c r="AB340" s="29" t="str">
        <f>IF(Table2[[#This Row],[Data ultimo versamento temp]]=0/1/1900,"-",Table2[[#This Row],[Data ultimo versamento temp]])</f>
        <v>-</v>
      </c>
      <c r="AC340" s="29">
        <f t="array" ref="AC340">MAX(IF(TableVersamenti[Polizza]=Table2[[#This Row],[Polizza]],TableVersamenti[Data prevista versamento],"-"))</f>
        <v>0</v>
      </c>
      <c r="AD340" s="62"/>
      <c r="AE340" s="106">
        <f>DATE(YEAR(Table2[[#This Row],[Data ultimo pagamento]]),MONTH(Table2[[#This Row],[Data ultimo pagamento]]), 1)</f>
        <v>42644</v>
      </c>
      <c r="AF340" s="106">
        <f>DATE(YEAR(Table2[[#This Row],[Data prossima scadenza]]),MONTH(Table2[[#This Row],[Data prossima scadenza]]), 1)</f>
        <v>43009</v>
      </c>
      <c r="AG340" s="33">
        <f>IFERROR(Table2[[#This Row],[Importo annuale]]*VLOOKUP(Table2[[#This Row],[Ramo]],RAMI_POLIZZA,2,FALSE),0)</f>
        <v>95.45</v>
      </c>
      <c r="AH340" s="65" t="s">
        <v>113</v>
      </c>
      <c r="AI340" s="63">
        <f>IFERROR(VLOOKUP(Table2[[#This Row],[Contraente]],Table1[[Nome/Ragione sociale]:[Checkbox selezionato]],2,FALSE),"-")</f>
        <v>0</v>
      </c>
      <c r="AJ340" s="63">
        <f>IFERROR(VLOOKUP(Table2[[#This Row],[Contraente]],Table1[[Nome/Ragione sociale]:[Checkbox selezionato]],3,FALSE),"-")</f>
        <v>0</v>
      </c>
      <c r="AK340" s="63">
        <f>IFERROR(VLOOKUP(Table2[[#This Row],[Contraente]],Table1[[Nome/Ragione sociale]:[Checkbox selezionato]],4,FALSE),"-")</f>
        <v>0</v>
      </c>
      <c r="AL340" s="63" t="str">
        <f>IFERROR(VLOOKUP(Table2[[#This Row],[Contraente]],Table1[[Nome/Ragione sociale]:[Checkbox selezionato]],5,FALSE),"-")</f>
        <v>PENNETTA</v>
      </c>
      <c r="AM340" s="62" t="str">
        <f>IFERROR(VLOOKUP(Table2[[#This Row],[Contraente]],Table1[[Nome/Ragione sociale]:[Checkbox selezionato]],6,FALSE),"-")</f>
        <v>-</v>
      </c>
      <c r="AN340" s="63" t="str">
        <f>IFERROR(VLOOKUP(Table2[[#This Row],[Contraente]],Table1[[Nome/Ragione sociale]:[Checkbox selezionato]],7,FALSE),"-")</f>
        <v>papies@libero.it</v>
      </c>
      <c r="AO340" s="63">
        <f>IFERROR(VLOOKUP(Table2[[#This Row],[Contraente]],Table1[[Nome/Ragione sociale]:[Checkbox selezionato]],8,FALSE),"-")</f>
        <v>0</v>
      </c>
      <c r="AP340" s="63">
        <f>IFERROR(VLOOKUP(Table2[[#This Row],[Contraente]],Table1[[Nome/Ragione sociale]:[Checkbox selezionato]],10,FALSE),"-")</f>
        <v>0</v>
      </c>
      <c r="AQ340" s="63" t="str">
        <f>IFERROR(VLOOKUP(Table2[[#This Row],[Contraente]],Table1[[Nome/Ragione sociale]:[Checkbox selezionato]],11,FALSE),"-")</f>
        <v>SI</v>
      </c>
      <c r="AR340" s="63" t="str">
        <f>IFERROR(VLOOKUP(Table2[[#This Row],[Contraente]],Table1[[Nome/Ragione sociale]:[Checkbox selezionato]],12,FALSE),"-")</f>
        <v>SI</v>
      </c>
    </row>
    <row r="341" spans="1:44" ht="30" hidden="1" customHeight="1" x14ac:dyDescent="0.25">
      <c r="A341" s="60" t="str">
        <f>UPPER(LEFT(Table2[[#This Row],[Contraente]],1))</f>
        <v>C</v>
      </c>
      <c r="B341" s="60" t="s">
        <v>1634</v>
      </c>
      <c r="C341" s="81" t="s">
        <v>1674</v>
      </c>
      <c r="D341" s="81" t="s">
        <v>37</v>
      </c>
      <c r="E341" s="86">
        <v>106725337</v>
      </c>
      <c r="F341" s="64">
        <v>42838</v>
      </c>
      <c r="G341" s="64">
        <f>IFERROR(CALCOLASCADENZA(Table2[[#This Row],[Data attivazione]],Table2[[#This Row],[Rateizzazione]],Table2[[#This Row],[Data ultimo pagamento]],Table2[[#This Row],[Data prossima scadenza manuale]]),"-")</f>
        <v>43203</v>
      </c>
      <c r="H341" s="67" t="s">
        <v>30</v>
      </c>
      <c r="I341" s="67" t="s">
        <v>113</v>
      </c>
      <c r="J341" s="33">
        <f>IFERROR(Table2[[#This Row],[Importo annuale]]/(12/VLOOKUP(Table2[[#This Row],[Rateizzazione]],TIPI_RATEIZZAZIONI,2,FALSE)),"-")</f>
        <v>850</v>
      </c>
      <c r="K341" s="88">
        <v>850</v>
      </c>
      <c r="L341" s="88">
        <v>850</v>
      </c>
      <c r="M341" s="67" t="s">
        <v>44</v>
      </c>
      <c r="N341" s="67" t="s">
        <v>52</v>
      </c>
      <c r="O341" s="27" t="s">
        <v>1631</v>
      </c>
      <c r="P341" s="33" t="s">
        <v>23</v>
      </c>
      <c r="Q341" s="60">
        <f>IFERROR(IF(12 / VLOOKUP(Table2[[#This Row],[Rateizzazione]],TIPI_RATEIZZAZIONI,2,FALSE) &gt;=1,  IF(Table2[[#This Row],[Data attivazione]] = "","-",MONTH(Table2[[#This Row],[Data attivazione]])),"-"),"-")</f>
        <v>4</v>
      </c>
      <c r="R3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1" s="67" t="s">
        <v>2</v>
      </c>
      <c r="V341" s="62"/>
      <c r="W341" s="64">
        <v>42838</v>
      </c>
      <c r="X341" s="29">
        <f>DATE(YEAR(Table2[[#This Row],[Data attivazione]])+VLOOKUP(Table2[[#This Row],[Durata]],VALORE_DURATA,2,FALSE),MONTH(Table2[[#This Row],[Data attivazione]]),DAY(Table2[[#This Row],[Data attivazione]]))</f>
        <v>43203</v>
      </c>
      <c r="Y341" s="65"/>
      <c r="Z341" s="61"/>
      <c r="AA341" s="64" t="s">
        <v>85</v>
      </c>
      <c r="AB341" s="29" t="str">
        <f>IF(Table2[[#This Row],[Data ultimo versamento temp]]=0/1/1900,"-",Table2[[#This Row],[Data ultimo versamento temp]])</f>
        <v>-</v>
      </c>
      <c r="AC341" s="29">
        <f t="array" ref="AC341">MAX(IF(TableVersamenti[Polizza]=Table2[[#This Row],[Polizza]],TableVersamenti[Data prevista versamento],"-"))</f>
        <v>0</v>
      </c>
      <c r="AD341" s="62"/>
      <c r="AE341" s="106">
        <f>DATE(YEAR(Table2[[#This Row],[Data ultimo pagamento]]),MONTH(Table2[[#This Row],[Data ultimo pagamento]]), 1)</f>
        <v>42826</v>
      </c>
      <c r="AF341" s="106">
        <f>DATE(YEAR(Table2[[#This Row],[Data prossima scadenza]]),MONTH(Table2[[#This Row],[Data prossima scadenza]]), 1)</f>
        <v>43191</v>
      </c>
      <c r="AG341" s="33">
        <f>IFERROR(Table2[[#This Row],[Importo annuale]]*VLOOKUP(Table2[[#This Row],[Ramo]],RAMI_POLIZZA,2,FALSE),0)</f>
        <v>97.75</v>
      </c>
      <c r="AH341" s="65" t="s">
        <v>113</v>
      </c>
      <c r="AI341" s="63" t="str">
        <f>IFERROR(VLOOKUP(Table2[[#This Row],[Contraente]],Table1[[Nome/Ragione sociale]:[Checkbox selezionato]],2,FALSE),"-")</f>
        <v>PAVIA</v>
      </c>
      <c r="AJ341" s="63">
        <f>IFERROR(VLOOKUP(Table2[[#This Row],[Contraente]],Table1[[Nome/Ragione sociale]:[Checkbox selezionato]],3,FALSE),"-")</f>
        <v>0</v>
      </c>
      <c r="AK341" s="63">
        <f>IFERROR(VLOOKUP(Table2[[#This Row],[Contraente]],Table1[[Nome/Ragione sociale]:[Checkbox selezionato]],4,FALSE),"-")</f>
        <v>0</v>
      </c>
      <c r="AL341" s="63" t="str">
        <f>IFERROR(VLOOKUP(Table2[[#This Row],[Contraente]],Table1[[Nome/Ragione sociale]:[Checkbox selezionato]],5,FALSE),"-")</f>
        <v>PENNETTA</v>
      </c>
      <c r="AM341" s="62" t="str">
        <f>IFERROR(VLOOKUP(Table2[[#This Row],[Contraente]],Table1[[Nome/Ragione sociale]:[Checkbox selezionato]],6,FALSE),"-")</f>
        <v>-</v>
      </c>
      <c r="AN341" s="63" t="str">
        <f>IFERROR(VLOOKUP(Table2[[#This Row],[Contraente]],Table1[[Nome/Ragione sociale]:[Checkbox selezionato]],7,FALSE),"-")</f>
        <v>papies@libero.it</v>
      </c>
      <c r="AO341" s="63">
        <f>IFERROR(VLOOKUP(Table2[[#This Row],[Contraente]],Table1[[Nome/Ragione sociale]:[Checkbox selezionato]],8,FALSE),"-")</f>
        <v>0</v>
      </c>
      <c r="AP341" s="63">
        <f>IFERROR(VLOOKUP(Table2[[#This Row],[Contraente]],Table1[[Nome/Ragione sociale]:[Checkbox selezionato]],10,FALSE),"-")</f>
        <v>0</v>
      </c>
      <c r="AQ341" s="63" t="str">
        <f>IFERROR(VLOOKUP(Table2[[#This Row],[Contraente]],Table1[[Nome/Ragione sociale]:[Checkbox selezionato]],11,FALSE),"-")</f>
        <v>SI</v>
      </c>
      <c r="AR341" s="63" t="str">
        <f>IFERROR(VLOOKUP(Table2[[#This Row],[Contraente]],Table1[[Nome/Ragione sociale]:[Checkbox selezionato]],12,FALSE),"-")</f>
        <v>SI</v>
      </c>
    </row>
    <row r="342" spans="1:44" ht="30" hidden="1" customHeight="1" x14ac:dyDescent="0.25">
      <c r="A342" s="60" t="str">
        <f>UPPER(LEFT(Table2[[#This Row],[Contraente]],1))</f>
        <v>C</v>
      </c>
      <c r="B342" s="60" t="s">
        <v>1634</v>
      </c>
      <c r="C342" s="81" t="s">
        <v>539</v>
      </c>
      <c r="D342" s="81" t="s">
        <v>37</v>
      </c>
      <c r="E342" s="86">
        <v>106138430</v>
      </c>
      <c r="F342" s="64">
        <v>42846</v>
      </c>
      <c r="G342" s="64">
        <f>IFERROR(CALCOLASCADENZA(Table2[[#This Row],[Data attivazione]],Table2[[#This Row],[Rateizzazione]],Table2[[#This Row],[Data ultimo pagamento]],Table2[[#This Row],[Data prossima scadenza manuale]]),"-")</f>
        <v>43025</v>
      </c>
      <c r="H342" s="67" t="s">
        <v>30</v>
      </c>
      <c r="I342" s="67" t="s">
        <v>113</v>
      </c>
      <c r="J342" s="33">
        <f>IFERROR(Table2[[#This Row],[Importo annuale]]/(12/VLOOKUP(Table2[[#This Row],[Rateizzazione]],TIPI_RATEIZZAZIONI,2,FALSE)),"-")</f>
        <v>830</v>
      </c>
      <c r="K342" s="88">
        <v>830</v>
      </c>
      <c r="L342" s="88">
        <v>1660</v>
      </c>
      <c r="M342" s="67" t="s">
        <v>44</v>
      </c>
      <c r="N342" s="67" t="s">
        <v>52</v>
      </c>
      <c r="O342" s="27" t="s">
        <v>1631</v>
      </c>
      <c r="P342" s="33" t="s">
        <v>22</v>
      </c>
      <c r="Q342" s="60">
        <f>IFERROR(IF(12 / VLOOKUP(Table2[[#This Row],[Rateizzazione]],TIPI_RATEIZZAZIONI,2,FALSE) &gt;=1,  IF(Table2[[#This Row],[Data attivazione]] = "","-",MONTH(Table2[[#This Row],[Data attivazione]])),"-"),"-")</f>
        <v>10</v>
      </c>
      <c r="R3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2" s="67" t="s">
        <v>2</v>
      </c>
      <c r="V342" s="62"/>
      <c r="W342" s="64">
        <v>42660</v>
      </c>
      <c r="X342" s="29">
        <f>DATE(YEAR(Table2[[#This Row],[Data attivazione]])+VLOOKUP(Table2[[#This Row],[Durata]],VALORE_DURATA,2,FALSE),MONTH(Table2[[#This Row],[Data attivazione]]),DAY(Table2[[#This Row],[Data attivazione]]))</f>
        <v>43025</v>
      </c>
      <c r="Y342" s="65"/>
      <c r="Z342" s="61"/>
      <c r="AA342" s="64" t="s">
        <v>85</v>
      </c>
      <c r="AB342" s="29" t="str">
        <f>IF(Table2[[#This Row],[Data ultimo versamento temp]]=0/1/1900,"-",Table2[[#This Row],[Data ultimo versamento temp]])</f>
        <v>-</v>
      </c>
      <c r="AC342" s="29">
        <f t="array" ref="AC342">MAX(IF(TableVersamenti[Polizza]=Table2[[#This Row],[Polizza]],TableVersamenti[Data prevista versamento],"-"))</f>
        <v>0</v>
      </c>
      <c r="AD342" s="62"/>
      <c r="AE342" s="106">
        <f>DATE(YEAR(Table2[[#This Row],[Data ultimo pagamento]]),MONTH(Table2[[#This Row],[Data ultimo pagamento]]), 1)</f>
        <v>42826</v>
      </c>
      <c r="AF342" s="106">
        <f>DATE(YEAR(Table2[[#This Row],[Data prossima scadenza]]),MONTH(Table2[[#This Row],[Data prossima scadenza]]), 1)</f>
        <v>43009</v>
      </c>
      <c r="AG342" s="33">
        <f>IFERROR(Table2[[#This Row],[Importo annuale]]*VLOOKUP(Table2[[#This Row],[Ramo]],RAMI_POLIZZA,2,FALSE),0)</f>
        <v>190.9</v>
      </c>
      <c r="AH342" s="65" t="s">
        <v>113</v>
      </c>
      <c r="AI342" s="63">
        <f>IFERROR(VLOOKUP(Table2[[#This Row],[Contraente]],Table1[[Nome/Ragione sociale]:[Checkbox selezionato]],2,FALSE),"-")</f>
        <v>0</v>
      </c>
      <c r="AJ342" s="63">
        <f>IFERROR(VLOOKUP(Table2[[#This Row],[Contraente]],Table1[[Nome/Ragione sociale]:[Checkbox selezionato]],3,FALSE),"-")</f>
        <v>0</v>
      </c>
      <c r="AK342" s="63">
        <f>IFERROR(VLOOKUP(Table2[[#This Row],[Contraente]],Table1[[Nome/Ragione sociale]:[Checkbox selezionato]],4,FALSE),"-")</f>
        <v>0</v>
      </c>
      <c r="AL342" s="63" t="str">
        <f>IFERROR(VLOOKUP(Table2[[#This Row],[Contraente]],Table1[[Nome/Ragione sociale]:[Checkbox selezionato]],5,FALSE),"-")</f>
        <v>MONTANINO</v>
      </c>
      <c r="AM342" s="62" t="str">
        <f>IFERROR(VLOOKUP(Table2[[#This Row],[Contraente]],Table1[[Nome/Ragione sociale]:[Checkbox selezionato]],6,FALSE),"-")</f>
        <v>-</v>
      </c>
      <c r="AN342" s="63" t="str">
        <f>IFERROR(VLOOKUP(Table2[[#This Row],[Contraente]],Table1[[Nome/Ragione sociale]:[Checkbox selezionato]],7,FALSE),"-")</f>
        <v>papies@email.it</v>
      </c>
      <c r="AO342" s="63">
        <f>IFERROR(VLOOKUP(Table2[[#This Row],[Contraente]],Table1[[Nome/Ragione sociale]:[Checkbox selezionato]],8,FALSE),"-")</f>
        <v>0</v>
      </c>
      <c r="AP342" s="63">
        <f>IFERROR(VLOOKUP(Table2[[#This Row],[Contraente]],Table1[[Nome/Ragione sociale]:[Checkbox selezionato]],10,FALSE),"-")</f>
        <v>0</v>
      </c>
      <c r="AQ342" s="63" t="str">
        <f>IFERROR(VLOOKUP(Table2[[#This Row],[Contraente]],Table1[[Nome/Ragione sociale]:[Checkbox selezionato]],11,FALSE),"-")</f>
        <v>SI</v>
      </c>
      <c r="AR342" s="63" t="str">
        <f>IFERROR(VLOOKUP(Table2[[#This Row],[Contraente]],Table1[[Nome/Ragione sociale]:[Checkbox selezionato]],12,FALSE),"-")</f>
        <v>SI</v>
      </c>
    </row>
    <row r="343" spans="1:44" ht="30" hidden="1" customHeight="1" x14ac:dyDescent="0.25">
      <c r="A343" s="60" t="str">
        <f>UPPER(LEFT(Table2[[#This Row],[Contraente]],1))</f>
        <v>C</v>
      </c>
      <c r="B343" s="60" t="s">
        <v>1634</v>
      </c>
      <c r="C343" s="81" t="s">
        <v>505</v>
      </c>
      <c r="D343" s="81" t="s">
        <v>37</v>
      </c>
      <c r="E343" s="86">
        <v>106269376</v>
      </c>
      <c r="F343" s="64">
        <v>42702</v>
      </c>
      <c r="G343" s="64">
        <f>IFERROR(CALCOLASCADENZA(Table2[[#This Row],[Data attivazione]],Table2[[#This Row],[Rateizzazione]],Table2[[#This Row],[Data ultimo pagamento]],Table2[[#This Row],[Data prossima scadenza manuale]]),"-")</f>
        <v>43055</v>
      </c>
      <c r="H343" s="67" t="s">
        <v>30</v>
      </c>
      <c r="I343" s="67" t="s">
        <v>113</v>
      </c>
      <c r="J343" s="33">
        <f>IFERROR(Table2[[#This Row],[Importo annuale]]/(12/VLOOKUP(Table2[[#This Row],[Rateizzazione]],TIPI_RATEIZZAZIONI,2,FALSE)),"-")</f>
        <v>1200</v>
      </c>
      <c r="K343" s="88"/>
      <c r="L343" s="88">
        <v>1200</v>
      </c>
      <c r="M343" s="67" t="s">
        <v>44</v>
      </c>
      <c r="N343" s="67" t="s">
        <v>52</v>
      </c>
      <c r="O343" s="27" t="s">
        <v>1631</v>
      </c>
      <c r="P343" s="33" t="s">
        <v>23</v>
      </c>
      <c r="Q343" s="60">
        <f>IFERROR(IF(12 / VLOOKUP(Table2[[#This Row],[Rateizzazione]],TIPI_RATEIZZAZIONI,2,FALSE) &gt;=1,  IF(Table2[[#This Row],[Data attivazione]] = "","-",MONTH(Table2[[#This Row],[Data attivazione]])),"-"),"-")</f>
        <v>11</v>
      </c>
      <c r="R3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3" s="67" t="s">
        <v>2</v>
      </c>
      <c r="V343" s="62"/>
      <c r="W343" s="64">
        <v>42690</v>
      </c>
      <c r="X343" s="29">
        <f>DATE(YEAR(Table2[[#This Row],[Data attivazione]])+VLOOKUP(Table2[[#This Row],[Durata]],VALORE_DURATA,2,FALSE),MONTH(Table2[[#This Row],[Data attivazione]]),DAY(Table2[[#This Row],[Data attivazione]]))</f>
        <v>43055</v>
      </c>
      <c r="Y343" s="65"/>
      <c r="Z343" s="61"/>
      <c r="AA343" s="64" t="s">
        <v>85</v>
      </c>
      <c r="AB343" s="29" t="str">
        <f>IF(Table2[[#This Row],[Data ultimo versamento temp]]=0/1/1900,"-",Table2[[#This Row],[Data ultimo versamento temp]])</f>
        <v>-</v>
      </c>
      <c r="AC343" s="29">
        <f t="array" ref="AC343">MAX(IF(TableVersamenti[Polizza]=Table2[[#This Row],[Polizza]],TableVersamenti[Data prevista versamento],"-"))</f>
        <v>0</v>
      </c>
      <c r="AD343" s="62"/>
      <c r="AE343" s="106">
        <f>DATE(YEAR(Table2[[#This Row],[Data ultimo pagamento]]),MONTH(Table2[[#This Row],[Data ultimo pagamento]]), 1)</f>
        <v>42675</v>
      </c>
      <c r="AF343" s="106">
        <f>DATE(YEAR(Table2[[#This Row],[Data prossima scadenza]]),MONTH(Table2[[#This Row],[Data prossima scadenza]]), 1)</f>
        <v>43040</v>
      </c>
      <c r="AG343" s="33">
        <f>IFERROR(Table2[[#This Row],[Importo annuale]]*VLOOKUP(Table2[[#This Row],[Ramo]],RAMI_POLIZZA,2,FALSE),0)</f>
        <v>138</v>
      </c>
      <c r="AH343" s="65" t="s">
        <v>113</v>
      </c>
      <c r="AI343" s="63" t="str">
        <f>IFERROR(VLOOKUP(Table2[[#This Row],[Contraente]],Table1[[Nome/Ragione sociale]:[Checkbox selezionato]],2,FALSE),"-")</f>
        <v>PAVIA</v>
      </c>
      <c r="AJ343" s="63">
        <f>IFERROR(VLOOKUP(Table2[[#This Row],[Contraente]],Table1[[Nome/Ragione sociale]:[Checkbox selezionato]],3,FALSE),"-")</f>
        <v>0</v>
      </c>
      <c r="AK343" s="63">
        <f>IFERROR(VLOOKUP(Table2[[#This Row],[Contraente]],Table1[[Nome/Ragione sociale]:[Checkbox selezionato]],4,FALSE),"-")</f>
        <v>0</v>
      </c>
      <c r="AL343" s="63" t="str">
        <f>IFERROR(VLOOKUP(Table2[[#This Row],[Contraente]],Table1[[Nome/Ragione sociale]:[Checkbox selezionato]],5,FALSE),"-")</f>
        <v xml:space="preserve">ROGNONI </v>
      </c>
      <c r="AM343" s="62" t="str">
        <f>IFERROR(VLOOKUP(Table2[[#This Row],[Contraente]],Table1[[Nome/Ragione sociale]:[Checkbox selezionato]],6,FALSE),"-")</f>
        <v>-</v>
      </c>
      <c r="AN343" s="63" t="str">
        <f>IFERROR(VLOOKUP(Table2[[#This Row],[Contraente]],Table1[[Nome/Ragione sociale]:[Checkbox selezionato]],7,FALSE),"-")</f>
        <v>papies@libero.it</v>
      </c>
      <c r="AO343" s="63">
        <f>IFERROR(VLOOKUP(Table2[[#This Row],[Contraente]],Table1[[Nome/Ragione sociale]:[Checkbox selezionato]],8,FALSE),"-")</f>
        <v>0</v>
      </c>
      <c r="AP343" s="63">
        <f>IFERROR(VLOOKUP(Table2[[#This Row],[Contraente]],Table1[[Nome/Ragione sociale]:[Checkbox selezionato]],10,FALSE),"-")</f>
        <v>0</v>
      </c>
      <c r="AQ343" s="63" t="str">
        <f>IFERROR(VLOOKUP(Table2[[#This Row],[Contraente]],Table1[[Nome/Ragione sociale]:[Checkbox selezionato]],11,FALSE),"-")</f>
        <v>SI</v>
      </c>
      <c r="AR343" s="63" t="str">
        <f>IFERROR(VLOOKUP(Table2[[#This Row],[Contraente]],Table1[[Nome/Ragione sociale]:[Checkbox selezionato]],12,FALSE),"-")</f>
        <v>SI</v>
      </c>
    </row>
    <row r="344" spans="1:44" ht="30" hidden="1" customHeight="1" x14ac:dyDescent="0.25">
      <c r="A344" s="60" t="str">
        <f>UPPER(LEFT(Table2[[#This Row],[Contraente]],1))</f>
        <v>C</v>
      </c>
      <c r="B344" s="60" t="s">
        <v>1634</v>
      </c>
      <c r="C344" s="81" t="s">
        <v>546</v>
      </c>
      <c r="D344" s="81" t="s">
        <v>37</v>
      </c>
      <c r="E344" s="86">
        <v>105137866</v>
      </c>
      <c r="F344" s="64">
        <v>42909</v>
      </c>
      <c r="G344" s="64">
        <f>IFERROR(CALCOLASCADENZA(Table2[[#This Row],[Data attivazione]],Table2[[#This Row],[Rateizzazione]],Table2[[#This Row],[Data ultimo pagamento]],Table2[[#This Row],[Data prossima scadenza manuale]]),"-")</f>
        <v>43084</v>
      </c>
      <c r="H344" s="67" t="s">
        <v>30</v>
      </c>
      <c r="I344" s="67" t="s">
        <v>113</v>
      </c>
      <c r="J344" s="33">
        <f>IFERROR(Table2[[#This Row],[Importo annuale]]/(12/VLOOKUP(Table2[[#This Row],[Rateizzazione]],TIPI_RATEIZZAZIONI,2,FALSE)),"-")</f>
        <v>800</v>
      </c>
      <c r="K344" s="88">
        <v>800</v>
      </c>
      <c r="L344" s="88">
        <v>1600</v>
      </c>
      <c r="M344" s="67" t="s">
        <v>44</v>
      </c>
      <c r="N344" s="67" t="s">
        <v>52</v>
      </c>
      <c r="O344" s="27" t="s">
        <v>1631</v>
      </c>
      <c r="P344" s="33" t="s">
        <v>22</v>
      </c>
      <c r="Q344" s="60">
        <f>IFERROR(IF(12 / VLOOKUP(Table2[[#This Row],[Rateizzazione]],TIPI_RATEIZZAZIONI,2,FALSE) &gt;=1,  IF(Table2[[#This Row],[Data attivazione]] = "","-",MONTH(Table2[[#This Row],[Data attivazione]])),"-"),"-")</f>
        <v>12</v>
      </c>
      <c r="R3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4" s="67" t="s">
        <v>2</v>
      </c>
      <c r="V344" s="62"/>
      <c r="W344" s="64">
        <v>42719</v>
      </c>
      <c r="X344" s="29">
        <f>DATE(YEAR(Table2[[#This Row],[Data attivazione]])+VLOOKUP(Table2[[#This Row],[Durata]],VALORE_DURATA,2,FALSE),MONTH(Table2[[#This Row],[Data attivazione]]),DAY(Table2[[#This Row],[Data attivazione]]))</f>
        <v>43084</v>
      </c>
      <c r="Y344" s="65"/>
      <c r="Z344" s="61"/>
      <c r="AA344" s="64" t="s">
        <v>85</v>
      </c>
      <c r="AB344" s="29" t="str">
        <f>IF(Table2[[#This Row],[Data ultimo versamento temp]]=0/1/1900,"-",Table2[[#This Row],[Data ultimo versamento temp]])</f>
        <v>-</v>
      </c>
      <c r="AC344" s="29">
        <f t="array" ref="AC344">MAX(IF(TableVersamenti[Polizza]=Table2[[#This Row],[Polizza]],TableVersamenti[Data prevista versamento],"-"))</f>
        <v>0</v>
      </c>
      <c r="AD344" s="62"/>
      <c r="AE344" s="106">
        <f>DATE(YEAR(Table2[[#This Row],[Data ultimo pagamento]]),MONTH(Table2[[#This Row],[Data ultimo pagamento]]), 1)</f>
        <v>42887</v>
      </c>
      <c r="AF344" s="106">
        <f>DATE(YEAR(Table2[[#This Row],[Data prossima scadenza]]),MONTH(Table2[[#This Row],[Data prossima scadenza]]), 1)</f>
        <v>43070</v>
      </c>
      <c r="AG344" s="33">
        <f>IFERROR(Table2[[#This Row],[Importo annuale]]*VLOOKUP(Table2[[#This Row],[Ramo]],RAMI_POLIZZA,2,FALSE),0)</f>
        <v>184</v>
      </c>
      <c r="AH344" s="65" t="s">
        <v>113</v>
      </c>
      <c r="AI344" s="63">
        <f>IFERROR(VLOOKUP(Table2[[#This Row],[Contraente]],Table1[[Nome/Ragione sociale]:[Checkbox selezionato]],2,FALSE),"-")</f>
        <v>0</v>
      </c>
      <c r="AJ344" s="63">
        <f>IFERROR(VLOOKUP(Table2[[#This Row],[Contraente]],Table1[[Nome/Ragione sociale]:[Checkbox selezionato]],3,FALSE),"-")</f>
        <v>0</v>
      </c>
      <c r="AK344" s="63">
        <f>IFERROR(VLOOKUP(Table2[[#This Row],[Contraente]],Table1[[Nome/Ragione sociale]:[Checkbox selezionato]],4,FALSE),"-")</f>
        <v>0</v>
      </c>
      <c r="AL344" s="63" t="str">
        <f>IFERROR(VLOOKUP(Table2[[#This Row],[Contraente]],Table1[[Nome/Ragione sociale]:[Checkbox selezionato]],5,FALSE),"-")</f>
        <v>MONTANINO</v>
      </c>
      <c r="AM344" s="62" t="str">
        <f>IFERROR(VLOOKUP(Table2[[#This Row],[Contraente]],Table1[[Nome/Ragione sociale]:[Checkbox selezionato]],6,FALSE),"-")</f>
        <v>-</v>
      </c>
      <c r="AN344" s="63" t="str">
        <f>IFERROR(VLOOKUP(Table2[[#This Row],[Contraente]],Table1[[Nome/Ragione sociale]:[Checkbox selezionato]],7,FALSE),"-")</f>
        <v>papies@libero.it</v>
      </c>
      <c r="AO344" s="63">
        <f>IFERROR(VLOOKUP(Table2[[#This Row],[Contraente]],Table1[[Nome/Ragione sociale]:[Checkbox selezionato]],8,FALSE),"-")</f>
        <v>0</v>
      </c>
      <c r="AP344" s="63">
        <f>IFERROR(VLOOKUP(Table2[[#This Row],[Contraente]],Table1[[Nome/Ragione sociale]:[Checkbox selezionato]],10,FALSE),"-")</f>
        <v>0</v>
      </c>
      <c r="AQ344" s="63" t="str">
        <f>IFERROR(VLOOKUP(Table2[[#This Row],[Contraente]],Table1[[Nome/Ragione sociale]:[Checkbox selezionato]],11,FALSE),"-")</f>
        <v>SI</v>
      </c>
      <c r="AR344" s="63" t="str">
        <f>IFERROR(VLOOKUP(Table2[[#This Row],[Contraente]],Table1[[Nome/Ragione sociale]:[Checkbox selezionato]],12,FALSE),"-")</f>
        <v>SI</v>
      </c>
    </row>
    <row r="345" spans="1:44" ht="30" hidden="1" customHeight="1" x14ac:dyDescent="0.25">
      <c r="A345" s="60" t="str">
        <f>UPPER(LEFT(Table2[[#This Row],[Contraente]],1))</f>
        <v>C</v>
      </c>
      <c r="B345" s="60" t="s">
        <v>1634</v>
      </c>
      <c r="C345" s="81" t="s">
        <v>514</v>
      </c>
      <c r="D345" s="81" t="s">
        <v>37</v>
      </c>
      <c r="E345" s="86">
        <v>105406333</v>
      </c>
      <c r="F345" s="64">
        <v>42802</v>
      </c>
      <c r="G345" s="64">
        <f>IFERROR(CALCOLASCADENZA(Table2[[#This Row],[Data attivazione]],Table2[[#This Row],[Rateizzazione]],Table2[[#This Row],[Data ultimo pagamento]],Table2[[#This Row],[Data prossima scadenza manuale]]),"-")</f>
        <v>43185</v>
      </c>
      <c r="H345" s="67" t="s">
        <v>30</v>
      </c>
      <c r="I345" s="67" t="s">
        <v>113</v>
      </c>
      <c r="J345" s="33">
        <f>IFERROR(Table2[[#This Row],[Importo annuale]]/(12/VLOOKUP(Table2[[#This Row],[Rateizzazione]],TIPI_RATEIZZAZIONI,2,FALSE)),"-")</f>
        <v>1050</v>
      </c>
      <c r="K345" s="88">
        <v>1050</v>
      </c>
      <c r="L345" s="88">
        <v>1050</v>
      </c>
      <c r="M345" s="67" t="s">
        <v>45</v>
      </c>
      <c r="N345" s="67" t="s">
        <v>51</v>
      </c>
      <c r="O345" s="27" t="s">
        <v>1631</v>
      </c>
      <c r="P345" s="33" t="s">
        <v>23</v>
      </c>
      <c r="Q345" s="60">
        <f>IFERROR(IF(12 / VLOOKUP(Table2[[#This Row],[Rateizzazione]],TIPI_RATEIZZAZIONI,2,FALSE) &gt;=1,  IF(Table2[[#This Row],[Data attivazione]] = "","-",MONTH(Table2[[#This Row],[Data attivazione]])),"-"),"-")</f>
        <v>3</v>
      </c>
      <c r="R3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5" s="67" t="s">
        <v>2</v>
      </c>
      <c r="V345" s="62"/>
      <c r="W345" s="64">
        <v>42820</v>
      </c>
      <c r="X345" s="29">
        <f>DATE(YEAR(Table2[[#This Row],[Data attivazione]])+VLOOKUP(Table2[[#This Row],[Durata]],VALORE_DURATA,2,FALSE),MONTH(Table2[[#This Row],[Data attivazione]]),DAY(Table2[[#This Row],[Data attivazione]]))</f>
        <v>43185</v>
      </c>
      <c r="Y345" s="65"/>
      <c r="Z345" s="61"/>
      <c r="AA345" s="64" t="s">
        <v>85</v>
      </c>
      <c r="AB345" s="29" t="str">
        <f>IF(Table2[[#This Row],[Data ultimo versamento temp]]=0/1/1900,"-",Table2[[#This Row],[Data ultimo versamento temp]])</f>
        <v>-</v>
      </c>
      <c r="AC345" s="29">
        <f t="array" ref="AC345">MAX(IF(TableVersamenti[Polizza]=Table2[[#This Row],[Polizza]],TableVersamenti[Data prevista versamento],"-"))</f>
        <v>0</v>
      </c>
      <c r="AD345" s="62"/>
      <c r="AE345" s="106">
        <f>DATE(YEAR(Table2[[#This Row],[Data ultimo pagamento]]),MONTH(Table2[[#This Row],[Data ultimo pagamento]]), 1)</f>
        <v>42795</v>
      </c>
      <c r="AF345" s="106">
        <f>DATE(YEAR(Table2[[#This Row],[Data prossima scadenza]]),MONTH(Table2[[#This Row],[Data prossima scadenza]]), 1)</f>
        <v>43160</v>
      </c>
      <c r="AG345" s="33">
        <f>IFERROR(Table2[[#This Row],[Importo annuale]]*VLOOKUP(Table2[[#This Row],[Ramo]],RAMI_POLIZZA,2,FALSE),0)</f>
        <v>120.75</v>
      </c>
      <c r="AH345" s="65" t="s">
        <v>113</v>
      </c>
      <c r="AI345" s="63" t="str">
        <f>IFERROR(VLOOKUP(Table2[[#This Row],[Contraente]],Table1[[Nome/Ragione sociale]:[Checkbox selezionato]],2,FALSE),"-")</f>
        <v>PAVIA</v>
      </c>
      <c r="AJ345" s="63" t="str">
        <f>IFERROR(VLOOKUP(Table2[[#This Row],[Contraente]],Table1[[Nome/Ragione sociale]:[Checkbox selezionato]],3,FALSE),"-")</f>
        <v>.0382463781</v>
      </c>
      <c r="AK345" s="63">
        <f>IFERROR(VLOOKUP(Table2[[#This Row],[Contraente]],Table1[[Nome/Ragione sociale]:[Checkbox selezionato]],4,FALSE),"-")</f>
        <v>0</v>
      </c>
      <c r="AL345" s="63" t="str">
        <f>IFERROR(VLOOKUP(Table2[[#This Row],[Contraente]],Table1[[Nome/Ragione sociale]:[Checkbox selezionato]],5,FALSE),"-")</f>
        <v>ROBBIATI</v>
      </c>
      <c r="AM345" s="62" t="str">
        <f>IFERROR(VLOOKUP(Table2[[#This Row],[Contraente]],Table1[[Nome/Ragione sociale]:[Checkbox selezionato]],6,FALSE),"-")</f>
        <v>-</v>
      </c>
      <c r="AN345" s="63" t="str">
        <f>IFERROR(VLOOKUP(Table2[[#This Row],[Contraente]],Table1[[Nome/Ragione sociale]:[Checkbox selezionato]],7,FALSE),"-")</f>
        <v>papies@email.it</v>
      </c>
      <c r="AO345" s="63">
        <f>IFERROR(VLOOKUP(Table2[[#This Row],[Contraente]],Table1[[Nome/Ragione sociale]:[Checkbox selezionato]],8,FALSE),"-")</f>
        <v>0</v>
      </c>
      <c r="AP345" s="63" t="str">
        <f>IFERROR(VLOOKUP(Table2[[#This Row],[Contraente]],Table1[[Nome/Ragione sociale]:[Checkbox selezionato]],10,FALSE),"-")</f>
        <v>.0382463781</v>
      </c>
      <c r="AQ345" s="63" t="str">
        <f>IFERROR(VLOOKUP(Table2[[#This Row],[Contraente]],Table1[[Nome/Ragione sociale]:[Checkbox selezionato]],11,FALSE),"-")</f>
        <v>SI</v>
      </c>
      <c r="AR345" s="63" t="str">
        <f>IFERROR(VLOOKUP(Table2[[#This Row],[Contraente]],Table1[[Nome/Ragione sociale]:[Checkbox selezionato]],12,FALSE),"-")</f>
        <v>SI</v>
      </c>
    </row>
    <row r="346" spans="1:44" ht="30" hidden="1" customHeight="1" x14ac:dyDescent="0.25">
      <c r="A346" s="60" t="str">
        <f>UPPER(LEFT(Table2[[#This Row],[Contraente]],1))</f>
        <v>C</v>
      </c>
      <c r="B346" s="60" t="s">
        <v>1634</v>
      </c>
      <c r="C346" s="81" t="s">
        <v>496</v>
      </c>
      <c r="D346" s="81" t="s">
        <v>37</v>
      </c>
      <c r="E346" s="86">
        <v>1071459</v>
      </c>
      <c r="F346" s="64">
        <v>42846</v>
      </c>
      <c r="G346" s="64">
        <f>IFERROR(CALCOLASCADENZA(Table2[[#This Row],[Data attivazione]],Table2[[#This Row],[Rateizzazione]],Table2[[#This Row],[Data ultimo pagamento]],Table2[[#This Row],[Data prossima scadenza manuale]]),"-")</f>
        <v>43205</v>
      </c>
      <c r="H346" s="67" t="s">
        <v>32</v>
      </c>
      <c r="I346" s="67" t="s">
        <v>113</v>
      </c>
      <c r="J346" s="33">
        <f>IFERROR(Table2[[#This Row],[Importo annuale]]/(12/VLOOKUP(Table2[[#This Row],[Rateizzazione]],TIPI_RATEIZZAZIONI,2,FALSE)),"-")</f>
        <v>184.81</v>
      </c>
      <c r="K346" s="88">
        <v>184.81</v>
      </c>
      <c r="L346" s="88">
        <v>184.81</v>
      </c>
      <c r="M346" s="67" t="s">
        <v>45</v>
      </c>
      <c r="N346" s="67" t="s">
        <v>51</v>
      </c>
      <c r="O346" s="27" t="s">
        <v>1631</v>
      </c>
      <c r="P346" s="33" t="s">
        <v>23</v>
      </c>
      <c r="Q346" s="60">
        <f>IFERROR(IF(12 / VLOOKUP(Table2[[#This Row],[Rateizzazione]],TIPI_RATEIZZAZIONI,2,FALSE) &gt;=1,  IF(Table2[[#This Row],[Data attivazione]] = "","-",MONTH(Table2[[#This Row],[Data attivazione]])),"-"),"-")</f>
        <v>4</v>
      </c>
      <c r="R3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6" s="67" t="s">
        <v>2</v>
      </c>
      <c r="V346" s="62"/>
      <c r="W346" s="64">
        <v>42840</v>
      </c>
      <c r="X346" s="29">
        <f>DATE(YEAR(Table2[[#This Row],[Data attivazione]])+VLOOKUP(Table2[[#This Row],[Durata]],VALORE_DURATA,2,FALSE),MONTH(Table2[[#This Row],[Data attivazione]]),DAY(Table2[[#This Row],[Data attivazione]]))</f>
        <v>43205</v>
      </c>
      <c r="Y346" s="65"/>
      <c r="Z346" s="61"/>
      <c r="AA346" s="64" t="s">
        <v>85</v>
      </c>
      <c r="AB346" s="29" t="str">
        <f>IF(Table2[[#This Row],[Data ultimo versamento temp]]=0/1/1900,"-",Table2[[#This Row],[Data ultimo versamento temp]])</f>
        <v>-</v>
      </c>
      <c r="AC346" s="29">
        <f t="array" ref="AC346">MAX(IF(TableVersamenti[Polizza]=Table2[[#This Row],[Polizza]],TableVersamenti[Data prevista versamento],"-"))</f>
        <v>0</v>
      </c>
      <c r="AD346" s="62"/>
      <c r="AE346" s="106">
        <f>DATE(YEAR(Table2[[#This Row],[Data ultimo pagamento]]),MONTH(Table2[[#This Row],[Data ultimo pagamento]]), 1)</f>
        <v>42826</v>
      </c>
      <c r="AF346" s="106">
        <f>DATE(YEAR(Table2[[#This Row],[Data prossima scadenza]]),MONTH(Table2[[#This Row],[Data prossima scadenza]]), 1)</f>
        <v>43191</v>
      </c>
      <c r="AG346" s="33">
        <f>IFERROR(Table2[[#This Row],[Importo annuale]]*VLOOKUP(Table2[[#This Row],[Ramo]],RAMI_POLIZZA,2,FALSE),0)</f>
        <v>2.7721499999999999</v>
      </c>
      <c r="AH346" s="65" t="s">
        <v>113</v>
      </c>
      <c r="AI346" s="63" t="str">
        <f>IFERROR(VLOOKUP(Table2[[#This Row],[Contraente]],Table1[[Nome/Ragione sociale]:[Checkbox selezionato]],2,FALSE),"-")</f>
        <v xml:space="preserve">LISSONE </v>
      </c>
      <c r="AJ346" s="63">
        <f>IFERROR(VLOOKUP(Table2[[#This Row],[Contraente]],Table1[[Nome/Ragione sociale]:[Checkbox selezionato]],3,FALSE),"-")</f>
        <v>3355341894</v>
      </c>
      <c r="AK346" s="63">
        <f>IFERROR(VLOOKUP(Table2[[#This Row],[Contraente]],Table1[[Nome/Ragione sociale]:[Checkbox selezionato]],4,FALSE),"-")</f>
        <v>0</v>
      </c>
      <c r="AL346" s="63" t="str">
        <f>IFERROR(VLOOKUP(Table2[[#This Row],[Contraente]],Table1[[Nome/Ragione sociale]:[Checkbox selezionato]],5,FALSE),"-")</f>
        <v>CEO</v>
      </c>
      <c r="AM346" s="62" t="str">
        <f>IFERROR(VLOOKUP(Table2[[#This Row],[Contraente]],Table1[[Nome/Ragione sociale]:[Checkbox selezionato]],6,FALSE),"-")</f>
        <v xml:space="preserve"> 07-06-1988</v>
      </c>
      <c r="AN346" s="63" t="str">
        <f>IFERROR(VLOOKUP(Table2[[#This Row],[Contraente]],Table1[[Nome/Ragione sociale]:[Checkbox selezionato]],7,FALSE),"-")</f>
        <v>papies@libero.it</v>
      </c>
      <c r="AO346" s="63">
        <f>IFERROR(VLOOKUP(Table2[[#This Row],[Contraente]],Table1[[Nome/Ragione sociale]:[Checkbox selezionato]],8,FALSE),"-")</f>
        <v>0</v>
      </c>
      <c r="AP346" s="63">
        <f>IFERROR(VLOOKUP(Table2[[#This Row],[Contraente]],Table1[[Nome/Ragione sociale]:[Checkbox selezionato]],10,FALSE),"-")</f>
        <v>3355341894</v>
      </c>
      <c r="AQ346" s="63" t="str">
        <f>IFERROR(VLOOKUP(Table2[[#This Row],[Contraente]],Table1[[Nome/Ragione sociale]:[Checkbox selezionato]],11,FALSE),"-")</f>
        <v>SI</v>
      </c>
      <c r="AR346" s="63" t="str">
        <f>IFERROR(VLOOKUP(Table2[[#This Row],[Contraente]],Table1[[Nome/Ragione sociale]:[Checkbox selezionato]],12,FALSE),"-")</f>
        <v>SI</v>
      </c>
    </row>
    <row r="347" spans="1:44" ht="30" hidden="1" customHeight="1" x14ac:dyDescent="0.25">
      <c r="A347" s="60" t="str">
        <f>UPPER(LEFT(Table2[[#This Row],[Contraente]],1))</f>
        <v>C</v>
      </c>
      <c r="B347" s="60" t="s">
        <v>1634</v>
      </c>
      <c r="C347" s="81" t="s">
        <v>473</v>
      </c>
      <c r="D347" s="81" t="s">
        <v>37</v>
      </c>
      <c r="E347" s="86">
        <v>106062858</v>
      </c>
      <c r="F347" s="64">
        <v>42640</v>
      </c>
      <c r="G347" s="64">
        <f>IFERROR(CALCOLASCADENZA(Table2[[#This Row],[Data attivazione]],Table2[[#This Row],[Rateizzazione]],Table2[[#This Row],[Data ultimo pagamento]],Table2[[#This Row],[Data prossima scadenza manuale]]),"-")</f>
        <v>43008</v>
      </c>
      <c r="H347" s="67" t="s">
        <v>30</v>
      </c>
      <c r="I347" s="67" t="s">
        <v>113</v>
      </c>
      <c r="J347" s="33">
        <f>IFERROR(Table2[[#This Row],[Importo annuale]]/(12/VLOOKUP(Table2[[#This Row],[Rateizzazione]],TIPI_RATEIZZAZIONI,2,FALSE)),"-")</f>
        <v>256</v>
      </c>
      <c r="K347" s="88"/>
      <c r="L347" s="88">
        <v>256</v>
      </c>
      <c r="M347" s="67" t="s">
        <v>44</v>
      </c>
      <c r="N347" s="67" t="s">
        <v>52</v>
      </c>
      <c r="O347" s="27" t="s">
        <v>1631</v>
      </c>
      <c r="P347" s="33" t="s">
        <v>23</v>
      </c>
      <c r="Q347" s="60">
        <f>IFERROR(IF(12 / VLOOKUP(Table2[[#This Row],[Rateizzazione]],TIPI_RATEIZZAZIONI,2,FALSE) &gt;=1,  IF(Table2[[#This Row],[Data attivazione]] = "","-",MONTH(Table2[[#This Row],[Data attivazione]])),"-"),"-")</f>
        <v>9</v>
      </c>
      <c r="R3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7" s="67" t="s">
        <v>2</v>
      </c>
      <c r="V347" s="62"/>
      <c r="W347" s="64">
        <v>42643</v>
      </c>
      <c r="X347" s="29">
        <f>DATE(YEAR(Table2[[#This Row],[Data attivazione]])+VLOOKUP(Table2[[#This Row],[Durata]],VALORE_DURATA,2,FALSE),MONTH(Table2[[#This Row],[Data attivazione]]),DAY(Table2[[#This Row],[Data attivazione]]))</f>
        <v>43008</v>
      </c>
      <c r="Y347" s="65"/>
      <c r="Z347" s="61"/>
      <c r="AA347" s="64" t="s">
        <v>85</v>
      </c>
      <c r="AB347" s="29" t="str">
        <f>IF(Table2[[#This Row],[Data ultimo versamento temp]]=0/1/1900,"-",Table2[[#This Row],[Data ultimo versamento temp]])</f>
        <v>-</v>
      </c>
      <c r="AC347" s="29">
        <f t="array" ref="AC347">MAX(IF(TableVersamenti[Polizza]=Table2[[#This Row],[Polizza]],TableVersamenti[Data prevista versamento],"-"))</f>
        <v>0</v>
      </c>
      <c r="AD347" s="62"/>
      <c r="AE347" s="106">
        <f>DATE(YEAR(Table2[[#This Row],[Data ultimo pagamento]]),MONTH(Table2[[#This Row],[Data ultimo pagamento]]), 1)</f>
        <v>42614</v>
      </c>
      <c r="AF347" s="106">
        <f>DATE(YEAR(Table2[[#This Row],[Data prossima scadenza]]),MONTH(Table2[[#This Row],[Data prossima scadenza]]), 1)</f>
        <v>42979</v>
      </c>
      <c r="AG347" s="33">
        <f>IFERROR(Table2[[#This Row],[Importo annuale]]*VLOOKUP(Table2[[#This Row],[Ramo]],RAMI_POLIZZA,2,FALSE),0)</f>
        <v>29.44</v>
      </c>
      <c r="AH347" s="65" t="s">
        <v>113</v>
      </c>
      <c r="AI347" s="63" t="str">
        <f>IFERROR(VLOOKUP(Table2[[#This Row],[Contraente]],Table1[[Nome/Ragione sociale]:[Checkbox selezionato]],2,FALSE),"-")</f>
        <v>PAVIA</v>
      </c>
      <c r="AJ347" s="63">
        <f>IFERROR(VLOOKUP(Table2[[#This Row],[Contraente]],Table1[[Nome/Ragione sociale]:[Checkbox selezionato]],3,FALSE),"-")</f>
        <v>3474137980</v>
      </c>
      <c r="AK347" s="63">
        <f>IFERROR(VLOOKUP(Table2[[#This Row],[Contraente]],Table1[[Nome/Ragione sociale]:[Checkbox selezionato]],4,FALSE),"-")</f>
        <v>0</v>
      </c>
      <c r="AL347" s="63" t="str">
        <f>IFERROR(VLOOKUP(Table2[[#This Row],[Contraente]],Table1[[Nome/Ragione sociale]:[Checkbox selezionato]],5,FALSE),"-")</f>
        <v>ROBERTA (SORELLA)</v>
      </c>
      <c r="AM347" s="62">
        <f>IFERROR(VLOOKUP(Table2[[#This Row],[Contraente]],Table1[[Nome/Ragione sociale]:[Checkbox selezionato]],6,FALSE),"-")</f>
        <v>22632</v>
      </c>
      <c r="AN347" s="63" t="str">
        <f>IFERROR(VLOOKUP(Table2[[#This Row],[Contraente]],Table1[[Nome/Ragione sociale]:[Checkbox selezionato]],7,FALSE),"-")</f>
        <v>papies@libero.it</v>
      </c>
      <c r="AO347" s="63">
        <f>IFERROR(VLOOKUP(Table2[[#This Row],[Contraente]],Table1[[Nome/Ragione sociale]:[Checkbox selezionato]],8,FALSE),"-")</f>
        <v>0</v>
      </c>
      <c r="AP347" s="63">
        <f>IFERROR(VLOOKUP(Table2[[#This Row],[Contraente]],Table1[[Nome/Ragione sociale]:[Checkbox selezionato]],10,FALSE),"-")</f>
        <v>3474137980</v>
      </c>
      <c r="AQ347" s="63" t="str">
        <f>IFERROR(VLOOKUP(Table2[[#This Row],[Contraente]],Table1[[Nome/Ragione sociale]:[Checkbox selezionato]],11,FALSE),"-")</f>
        <v>SI</v>
      </c>
      <c r="AR347" s="63" t="str">
        <f>IFERROR(VLOOKUP(Table2[[#This Row],[Contraente]],Table1[[Nome/Ragione sociale]:[Checkbox selezionato]],12,FALSE),"-")</f>
        <v>SI</v>
      </c>
    </row>
    <row r="348" spans="1:44" ht="30" hidden="1" customHeight="1" x14ac:dyDescent="0.25">
      <c r="A348" s="60" t="str">
        <f>UPPER(LEFT(Table2[[#This Row],[Contraente]],1))</f>
        <v>C</v>
      </c>
      <c r="B348" s="60" t="s">
        <v>1634</v>
      </c>
      <c r="C348" s="81" t="s">
        <v>475</v>
      </c>
      <c r="D348" s="81" t="s">
        <v>37</v>
      </c>
      <c r="E348" s="86">
        <v>106062868</v>
      </c>
      <c r="F348" s="64">
        <v>42640</v>
      </c>
      <c r="G348" s="64">
        <f>IFERROR(CALCOLASCADENZA(Table2[[#This Row],[Data attivazione]],Table2[[#This Row],[Rateizzazione]],Table2[[#This Row],[Data ultimo pagamento]],Table2[[#This Row],[Data prossima scadenza manuale]]),"-")</f>
        <v>43008</v>
      </c>
      <c r="H348" s="67" t="s">
        <v>30</v>
      </c>
      <c r="I348" s="67" t="s">
        <v>113</v>
      </c>
      <c r="J348" s="33">
        <f>IFERROR(Table2[[#This Row],[Importo annuale]]/(12/VLOOKUP(Table2[[#This Row],[Rateizzazione]],TIPI_RATEIZZAZIONI,2,FALSE)),"-")</f>
        <v>323</v>
      </c>
      <c r="K348" s="88"/>
      <c r="L348" s="88">
        <v>323</v>
      </c>
      <c r="M348" s="67" t="s">
        <v>44</v>
      </c>
      <c r="N348" s="67" t="s">
        <v>52</v>
      </c>
      <c r="O348" s="27" t="s">
        <v>1631</v>
      </c>
      <c r="P348" s="33" t="s">
        <v>23</v>
      </c>
      <c r="Q348" s="60">
        <f>IFERROR(IF(12 / VLOOKUP(Table2[[#This Row],[Rateizzazione]],TIPI_RATEIZZAZIONI,2,FALSE) &gt;=1,  IF(Table2[[#This Row],[Data attivazione]] = "","-",MONTH(Table2[[#This Row],[Data attivazione]])),"-"),"-")</f>
        <v>9</v>
      </c>
      <c r="R3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8" s="67" t="s">
        <v>2</v>
      </c>
      <c r="V348" s="62"/>
      <c r="W348" s="64">
        <v>42643</v>
      </c>
      <c r="X348" s="29">
        <f>DATE(YEAR(Table2[[#This Row],[Data attivazione]])+VLOOKUP(Table2[[#This Row],[Durata]],VALORE_DURATA,2,FALSE),MONTH(Table2[[#This Row],[Data attivazione]]),DAY(Table2[[#This Row],[Data attivazione]]))</f>
        <v>43008</v>
      </c>
      <c r="Y348" s="65"/>
      <c r="Z348" s="61"/>
      <c r="AA348" s="64" t="s">
        <v>85</v>
      </c>
      <c r="AB348" s="29" t="str">
        <f>IF(Table2[[#This Row],[Data ultimo versamento temp]]=0/1/1900,"-",Table2[[#This Row],[Data ultimo versamento temp]])</f>
        <v>-</v>
      </c>
      <c r="AC348" s="29">
        <f t="array" ref="AC348">MAX(IF(TableVersamenti[Polizza]=Table2[[#This Row],[Polizza]],TableVersamenti[Data prevista versamento],"-"))</f>
        <v>0</v>
      </c>
      <c r="AD348" s="62"/>
      <c r="AE348" s="106">
        <f>DATE(YEAR(Table2[[#This Row],[Data ultimo pagamento]]),MONTH(Table2[[#This Row],[Data ultimo pagamento]]), 1)</f>
        <v>42614</v>
      </c>
      <c r="AF348" s="106">
        <f>DATE(YEAR(Table2[[#This Row],[Data prossima scadenza]]),MONTH(Table2[[#This Row],[Data prossima scadenza]]), 1)</f>
        <v>42979</v>
      </c>
      <c r="AG348" s="33">
        <f>IFERROR(Table2[[#This Row],[Importo annuale]]*VLOOKUP(Table2[[#This Row],[Ramo]],RAMI_POLIZZA,2,FALSE),0)</f>
        <v>37.145000000000003</v>
      </c>
      <c r="AH348" s="65" t="s">
        <v>113</v>
      </c>
      <c r="AI348" s="63" t="str">
        <f>IFERROR(VLOOKUP(Table2[[#This Row],[Contraente]],Table1[[Nome/Ragione sociale]:[Checkbox selezionato]],2,FALSE),"-")</f>
        <v>PIEVE PORTO MORONE</v>
      </c>
      <c r="AJ348" s="63">
        <f>IFERROR(VLOOKUP(Table2[[#This Row],[Contraente]],Table1[[Nome/Ragione sociale]:[Checkbox selezionato]],3,FALSE),"-")</f>
        <v>3474137980</v>
      </c>
      <c r="AK348" s="63">
        <f>IFERROR(VLOOKUP(Table2[[#This Row],[Contraente]],Table1[[Nome/Ragione sociale]:[Checkbox selezionato]],4,FALSE),"-")</f>
        <v>0</v>
      </c>
      <c r="AL348" s="63" t="str">
        <f>IFERROR(VLOOKUP(Table2[[#This Row],[Contraente]],Table1[[Nome/Ragione sociale]:[Checkbox selezionato]],5,FALSE),"-")</f>
        <v>ROBERTA</v>
      </c>
      <c r="AM348" s="62">
        <f>IFERROR(VLOOKUP(Table2[[#This Row],[Contraente]],Table1[[Nome/Ragione sociale]:[Checkbox selezionato]],6,FALSE),"-")</f>
        <v>22632</v>
      </c>
      <c r="AN348" s="63" t="str">
        <f>IFERROR(VLOOKUP(Table2[[#This Row],[Contraente]],Table1[[Nome/Ragione sociale]:[Checkbox selezionato]],7,FALSE),"-")</f>
        <v>papies@email.it</v>
      </c>
      <c r="AO348" s="63">
        <f>IFERROR(VLOOKUP(Table2[[#This Row],[Contraente]],Table1[[Nome/Ragione sociale]:[Checkbox selezionato]],8,FALSE),"-")</f>
        <v>0</v>
      </c>
      <c r="AP348" s="63">
        <f>IFERROR(VLOOKUP(Table2[[#This Row],[Contraente]],Table1[[Nome/Ragione sociale]:[Checkbox selezionato]],10,FALSE),"-")</f>
        <v>3474137980</v>
      </c>
      <c r="AQ348" s="63" t="str">
        <f>IFERROR(VLOOKUP(Table2[[#This Row],[Contraente]],Table1[[Nome/Ragione sociale]:[Checkbox selezionato]],11,FALSE),"-")</f>
        <v>SI</v>
      </c>
      <c r="AR348" s="63" t="str">
        <f>IFERROR(VLOOKUP(Table2[[#This Row],[Contraente]],Table1[[Nome/Ragione sociale]:[Checkbox selezionato]],12,FALSE),"-")</f>
        <v>SI</v>
      </c>
    </row>
    <row r="349" spans="1:44" ht="30" hidden="1" customHeight="1" x14ac:dyDescent="0.25">
      <c r="A349" s="60" t="str">
        <f>UPPER(LEFT(Table2[[#This Row],[Contraente]],1))</f>
        <v>C</v>
      </c>
      <c r="B349" s="60" t="s">
        <v>1634</v>
      </c>
      <c r="C349" s="81" t="s">
        <v>475</v>
      </c>
      <c r="D349" s="81" t="s">
        <v>37</v>
      </c>
      <c r="E349" s="86">
        <v>106462431</v>
      </c>
      <c r="F349" s="64">
        <v>42761</v>
      </c>
      <c r="G349" s="64">
        <f>IFERROR(CALCOLASCADENZA(Table2[[#This Row],[Data attivazione]],Table2[[#This Row],[Rateizzazione]],Table2[[#This Row],[Data ultimo pagamento]],Table2[[#This Row],[Data prossima scadenza manuale]]),"-")</f>
        <v>43121</v>
      </c>
      <c r="H349" s="67" t="s">
        <v>31</v>
      </c>
      <c r="I349" s="67" t="s">
        <v>1245</v>
      </c>
      <c r="J349" s="33">
        <f>IFERROR(Table2[[#This Row],[Importo annuale]]/(12/VLOOKUP(Table2[[#This Row],[Rateizzazione]],TIPI_RATEIZZAZIONI,2,FALSE)),"-")</f>
        <v>398.68</v>
      </c>
      <c r="K349" s="88">
        <v>398.68</v>
      </c>
      <c r="L349" s="88">
        <v>398.68</v>
      </c>
      <c r="M349" s="67" t="s">
        <v>44</v>
      </c>
      <c r="N349" s="67" t="s">
        <v>51</v>
      </c>
      <c r="O349" s="27" t="s">
        <v>1631</v>
      </c>
      <c r="P349" s="33" t="s">
        <v>23</v>
      </c>
      <c r="Q349" s="60">
        <f>IFERROR(IF(12 / VLOOKUP(Table2[[#This Row],[Rateizzazione]],TIPI_RATEIZZAZIONI,2,FALSE) &gt;=1,  IF(Table2[[#This Row],[Data attivazione]] = "","-",MONTH(Table2[[#This Row],[Data attivazione]])),"-"),"-")</f>
        <v>1</v>
      </c>
      <c r="R3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9" s="67" t="s">
        <v>2</v>
      </c>
      <c r="V349" s="62"/>
      <c r="W349" s="64">
        <v>42756</v>
      </c>
      <c r="X349" s="29">
        <f>DATE(YEAR(Table2[[#This Row],[Data attivazione]])+VLOOKUP(Table2[[#This Row],[Durata]],VALORE_DURATA,2,FALSE),MONTH(Table2[[#This Row],[Data attivazione]]),DAY(Table2[[#This Row],[Data attivazione]]))</f>
        <v>43121</v>
      </c>
      <c r="Y349" s="65"/>
      <c r="Z349" s="61"/>
      <c r="AA349" s="64" t="s">
        <v>85</v>
      </c>
      <c r="AB349" s="29" t="str">
        <f>IF(Table2[[#This Row],[Data ultimo versamento temp]]=0/1/1900,"-",Table2[[#This Row],[Data ultimo versamento temp]])</f>
        <v>-</v>
      </c>
      <c r="AC349" s="29">
        <f t="array" ref="AC349">MAX(IF(TableVersamenti[Polizza]=Table2[[#This Row],[Polizza]],TableVersamenti[Data prevista versamento],"-"))</f>
        <v>0</v>
      </c>
      <c r="AD349" s="62"/>
      <c r="AE349" s="106">
        <f>DATE(YEAR(Table2[[#This Row],[Data ultimo pagamento]]),MONTH(Table2[[#This Row],[Data ultimo pagamento]]), 1)</f>
        <v>42736</v>
      </c>
      <c r="AF349" s="106">
        <f>DATE(YEAR(Table2[[#This Row],[Data prossima scadenza]]),MONTH(Table2[[#This Row],[Data prossima scadenza]]), 1)</f>
        <v>43101</v>
      </c>
      <c r="AG349" s="33">
        <f>IFERROR(Table2[[#This Row],[Importo annuale]]*VLOOKUP(Table2[[#This Row],[Ramo]],RAMI_POLIZZA,2,FALSE),0)</f>
        <v>20.731359999999999</v>
      </c>
      <c r="AH349" s="65" t="s">
        <v>113</v>
      </c>
      <c r="AI349" s="63" t="str">
        <f>IFERROR(VLOOKUP(Table2[[#This Row],[Contraente]],Table1[[Nome/Ragione sociale]:[Checkbox selezionato]],2,FALSE),"-")</f>
        <v>PIEVE PORTO MORONE</v>
      </c>
      <c r="AJ349" s="63">
        <f>IFERROR(VLOOKUP(Table2[[#This Row],[Contraente]],Table1[[Nome/Ragione sociale]:[Checkbox selezionato]],3,FALSE),"-")</f>
        <v>3474137980</v>
      </c>
      <c r="AK349" s="63">
        <f>IFERROR(VLOOKUP(Table2[[#This Row],[Contraente]],Table1[[Nome/Ragione sociale]:[Checkbox selezionato]],4,FALSE),"-")</f>
        <v>0</v>
      </c>
      <c r="AL349" s="63" t="str">
        <f>IFERROR(VLOOKUP(Table2[[#This Row],[Contraente]],Table1[[Nome/Ragione sociale]:[Checkbox selezionato]],5,FALSE),"-")</f>
        <v>ROBERTA</v>
      </c>
      <c r="AM349" s="62">
        <f>IFERROR(VLOOKUP(Table2[[#This Row],[Contraente]],Table1[[Nome/Ragione sociale]:[Checkbox selezionato]],6,FALSE),"-")</f>
        <v>22632</v>
      </c>
      <c r="AN349" s="63" t="str">
        <f>IFERROR(VLOOKUP(Table2[[#This Row],[Contraente]],Table1[[Nome/Ragione sociale]:[Checkbox selezionato]],7,FALSE),"-")</f>
        <v>papies@email.it</v>
      </c>
      <c r="AO349" s="63">
        <f>IFERROR(VLOOKUP(Table2[[#This Row],[Contraente]],Table1[[Nome/Ragione sociale]:[Checkbox selezionato]],8,FALSE),"-")</f>
        <v>0</v>
      </c>
      <c r="AP349" s="63">
        <f>IFERROR(VLOOKUP(Table2[[#This Row],[Contraente]],Table1[[Nome/Ragione sociale]:[Checkbox selezionato]],10,FALSE),"-")</f>
        <v>3474137980</v>
      </c>
      <c r="AQ349" s="63" t="str">
        <f>IFERROR(VLOOKUP(Table2[[#This Row],[Contraente]],Table1[[Nome/Ragione sociale]:[Checkbox selezionato]],11,FALSE),"-")</f>
        <v>SI</v>
      </c>
      <c r="AR349" s="63" t="str">
        <f>IFERROR(VLOOKUP(Table2[[#This Row],[Contraente]],Table1[[Nome/Ragione sociale]:[Checkbox selezionato]],12,FALSE),"-")</f>
        <v>SI</v>
      </c>
    </row>
    <row r="350" spans="1:44" ht="30" hidden="1" customHeight="1" x14ac:dyDescent="0.25">
      <c r="A350" s="60" t="str">
        <f>UPPER(LEFT(Table2[[#This Row],[Contraente]],1))</f>
        <v>C</v>
      </c>
      <c r="B350" s="60" t="s">
        <v>1634</v>
      </c>
      <c r="C350" s="81" t="s">
        <v>558</v>
      </c>
      <c r="D350" s="81" t="s">
        <v>37</v>
      </c>
      <c r="E350" s="86">
        <v>106872457</v>
      </c>
      <c r="F350" s="64">
        <v>42873</v>
      </c>
      <c r="G350" s="64">
        <f>IFERROR(CALCOLASCADENZA(Table2[[#This Row],[Data attivazione]],Table2[[#This Row],[Rateizzazione]],Table2[[#This Row],[Data ultimo pagamento]],Table2[[#This Row],[Data prossima scadenza manuale]]),"-")</f>
        <v>42873</v>
      </c>
      <c r="H350" s="67" t="s">
        <v>31</v>
      </c>
      <c r="I350" s="67" t="s">
        <v>1254</v>
      </c>
      <c r="J350" s="33">
        <v>900</v>
      </c>
      <c r="K350" s="88">
        <v>979</v>
      </c>
      <c r="L350" s="88">
        <v>963</v>
      </c>
      <c r="M350" s="67" t="s">
        <v>44</v>
      </c>
      <c r="N350" s="67" t="s">
        <v>51</v>
      </c>
      <c r="O350" s="27" t="s">
        <v>1631</v>
      </c>
      <c r="P350" s="33" t="s">
        <v>24</v>
      </c>
      <c r="Q3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0" s="67" t="s">
        <v>2</v>
      </c>
      <c r="V350" s="62"/>
      <c r="W350" s="64">
        <v>42890</v>
      </c>
      <c r="X350" s="29">
        <f>DATE(YEAR(Table2[[#This Row],[Data attivazione]])+VLOOKUP(Table2[[#This Row],[Durata]],VALORE_DURATA,2,FALSE),MONTH(Table2[[#This Row],[Data attivazione]]),DAY(Table2[[#This Row],[Data attivazione]]))</f>
        <v>43255</v>
      </c>
      <c r="Y350" s="65"/>
      <c r="Z350" s="61"/>
      <c r="AA350" s="64" t="s">
        <v>85</v>
      </c>
      <c r="AB350" s="29" t="str">
        <f>IF(Table2[[#This Row],[Data ultimo versamento temp]]=0/1/1900,"-",Table2[[#This Row],[Data ultimo versamento temp]])</f>
        <v>-</v>
      </c>
      <c r="AC350" s="29">
        <f t="array" ref="AC350">MAX(IF(TableVersamenti[Polizza]=Table2[[#This Row],[Polizza]],TableVersamenti[Data prevista versamento],"-"))</f>
        <v>0</v>
      </c>
      <c r="AD350" s="62"/>
      <c r="AE350" s="106">
        <f>DATE(YEAR(Table2[[#This Row],[Data ultimo pagamento]]),MONTH(Table2[[#This Row],[Data ultimo pagamento]]), 1)</f>
        <v>42856</v>
      </c>
      <c r="AF350" s="106">
        <f>DATE(YEAR(Table2[[#This Row],[Data prossima scadenza]]),MONTH(Table2[[#This Row],[Data prossima scadenza]]), 1)</f>
        <v>42856</v>
      </c>
      <c r="AG350" s="33">
        <f>IFERROR(Table2[[#This Row],[Importo annuale]]*VLOOKUP(Table2[[#This Row],[Ramo]],RAMI_POLIZZA,2,FALSE),0)</f>
        <v>50.076000000000001</v>
      </c>
      <c r="AH350" s="65" t="s">
        <v>113</v>
      </c>
      <c r="AI350" s="63" t="str">
        <f>IFERROR(VLOOKUP(Table2[[#This Row],[Contraente]],Table1[[Nome/Ragione sociale]:[Checkbox selezionato]],2,FALSE),"-")</f>
        <v>PAVIA</v>
      </c>
      <c r="AJ350" s="63">
        <f>IFERROR(VLOOKUP(Table2[[#This Row],[Contraente]],Table1[[Nome/Ragione sociale]:[Checkbox selezionato]],3,FALSE),"-")</f>
        <v>3356855885</v>
      </c>
      <c r="AK350" s="63">
        <f>IFERROR(VLOOKUP(Table2[[#This Row],[Contraente]],Table1[[Nome/Ragione sociale]:[Checkbox selezionato]],4,FALSE),"-")</f>
        <v>0</v>
      </c>
      <c r="AL350" s="63" t="str">
        <f>IFERROR(VLOOKUP(Table2[[#This Row],[Contraente]],Table1[[Nome/Ragione sociale]:[Checkbox selezionato]],5,FALSE),"-")</f>
        <v>BONIZZONI (MARITO)</v>
      </c>
      <c r="AM350" s="62">
        <f>IFERROR(VLOOKUP(Table2[[#This Row],[Contraente]],Table1[[Nome/Ragione sociale]:[Checkbox selezionato]],6,FALSE),"-")</f>
        <v>20613</v>
      </c>
      <c r="AN350" s="63" t="str">
        <f>IFERROR(VLOOKUP(Table2[[#This Row],[Contraente]],Table1[[Nome/Ragione sociale]:[Checkbox selezionato]],7,FALSE),"-")</f>
        <v>papies@libero.it</v>
      </c>
      <c r="AO350" s="63">
        <f>IFERROR(VLOOKUP(Table2[[#This Row],[Contraente]],Table1[[Nome/Ragione sociale]:[Checkbox selezionato]],8,FALSE),"-")</f>
        <v>0</v>
      </c>
      <c r="AP350" s="63">
        <f>IFERROR(VLOOKUP(Table2[[#This Row],[Contraente]],Table1[[Nome/Ragione sociale]:[Checkbox selezionato]],10,FALSE),"-")</f>
        <v>3356855885</v>
      </c>
      <c r="AQ350" s="63" t="str">
        <f>IFERROR(VLOOKUP(Table2[[#This Row],[Contraente]],Table1[[Nome/Ragione sociale]:[Checkbox selezionato]],11,FALSE),"-")</f>
        <v>SI</v>
      </c>
      <c r="AR350" s="63" t="str">
        <f>IFERROR(VLOOKUP(Table2[[#This Row],[Contraente]],Table1[[Nome/Ragione sociale]:[Checkbox selezionato]],12,FALSE),"-")</f>
        <v>SI</v>
      </c>
    </row>
    <row r="351" spans="1:44" ht="30" hidden="1" customHeight="1" x14ac:dyDescent="0.25">
      <c r="A351" s="60" t="str">
        <f>UPPER(LEFT(Table2[[#This Row],[Contraente]],1))</f>
        <v>C</v>
      </c>
      <c r="B351" s="60" t="s">
        <v>1634</v>
      </c>
      <c r="C351" s="81" t="s">
        <v>560</v>
      </c>
      <c r="D351" s="81" t="s">
        <v>37</v>
      </c>
      <c r="E351" s="86">
        <v>105775501</v>
      </c>
      <c r="F351" s="64">
        <v>42874</v>
      </c>
      <c r="G351" s="64">
        <f>IFERROR(CALCOLASCADENZA(Table2[[#This Row],[Data attivazione]],Table2[[#This Row],[Rateizzazione]],Table2[[#This Row],[Data ultimo pagamento]],Table2[[#This Row],[Data prossima scadenza manuale]]),"-")</f>
        <v>43059</v>
      </c>
      <c r="H351" s="67" t="s">
        <v>30</v>
      </c>
      <c r="I351" s="67" t="s">
        <v>113</v>
      </c>
      <c r="J351" s="33">
        <f>IFERROR(Table2[[#This Row],[Importo annuale]]/(12/VLOOKUP(Table2[[#This Row],[Rateizzazione]],TIPI_RATEIZZAZIONI,2,FALSE)),"-")</f>
        <v>52</v>
      </c>
      <c r="K351" s="88">
        <v>52</v>
      </c>
      <c r="L351" s="88">
        <v>104</v>
      </c>
      <c r="M351" s="67" t="s">
        <v>44</v>
      </c>
      <c r="N351" s="67" t="s">
        <v>51</v>
      </c>
      <c r="O351" s="27" t="s">
        <v>1631</v>
      </c>
      <c r="P351" s="33" t="s">
        <v>22</v>
      </c>
      <c r="Q351" s="60">
        <f>IFERROR(IF(12 / VLOOKUP(Table2[[#This Row],[Rateizzazione]],TIPI_RATEIZZAZIONI,2,FALSE) &gt;=1,  IF(Table2[[#This Row],[Data attivazione]] = "","-",MONTH(Table2[[#This Row],[Data attivazione]])),"-"),"-")</f>
        <v>11</v>
      </c>
      <c r="R3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1" s="67" t="s">
        <v>2</v>
      </c>
      <c r="V351" s="62"/>
      <c r="W351" s="64">
        <v>42694</v>
      </c>
      <c r="X351" s="29">
        <f>DATE(YEAR(Table2[[#This Row],[Data attivazione]])+VLOOKUP(Table2[[#This Row],[Durata]],VALORE_DURATA,2,FALSE),MONTH(Table2[[#This Row],[Data attivazione]]),DAY(Table2[[#This Row],[Data attivazione]]))</f>
        <v>43059</v>
      </c>
      <c r="Y351" s="65"/>
      <c r="Z351" s="61"/>
      <c r="AA351" s="64" t="s">
        <v>85</v>
      </c>
      <c r="AB351" s="29" t="str">
        <f>IF(Table2[[#This Row],[Data ultimo versamento temp]]=0/1/1900,"-",Table2[[#This Row],[Data ultimo versamento temp]])</f>
        <v>-</v>
      </c>
      <c r="AC351" s="29">
        <f t="array" ref="AC351">MAX(IF(TableVersamenti[Polizza]=Table2[[#This Row],[Polizza]],TableVersamenti[Data prevista versamento],"-"))</f>
        <v>0</v>
      </c>
      <c r="AD351" s="62"/>
      <c r="AE351" s="106">
        <f>DATE(YEAR(Table2[[#This Row],[Data ultimo pagamento]]),MONTH(Table2[[#This Row],[Data ultimo pagamento]]), 1)</f>
        <v>42856</v>
      </c>
      <c r="AF351" s="106">
        <f>DATE(YEAR(Table2[[#This Row],[Data prossima scadenza]]),MONTH(Table2[[#This Row],[Data prossima scadenza]]), 1)</f>
        <v>43040</v>
      </c>
      <c r="AG351" s="33">
        <f>IFERROR(Table2[[#This Row],[Importo annuale]]*VLOOKUP(Table2[[#This Row],[Ramo]],RAMI_POLIZZA,2,FALSE),0)</f>
        <v>11.96</v>
      </c>
      <c r="AH351" s="65" t="s">
        <v>113</v>
      </c>
      <c r="AI351" s="63" t="str">
        <f>IFERROR(VLOOKUP(Table2[[#This Row],[Contraente]],Table1[[Nome/Ragione sociale]:[Checkbox selezionato]],2,FALSE),"-")</f>
        <v>SANTA CRISTINA E BISSONE</v>
      </c>
      <c r="AJ351" s="63">
        <f>IFERROR(VLOOKUP(Table2[[#This Row],[Contraente]],Table1[[Nome/Ragione sociale]:[Checkbox selezionato]],3,FALSE),"-")</f>
        <v>3388704048</v>
      </c>
      <c r="AK351" s="63">
        <f>IFERROR(VLOOKUP(Table2[[#This Row],[Contraente]],Table1[[Nome/Ragione sociale]:[Checkbox selezionato]],4,FALSE),"-")</f>
        <v>0</v>
      </c>
      <c r="AL351" s="63" t="str">
        <f>IFERROR(VLOOKUP(Table2[[#This Row],[Contraente]],Table1[[Nome/Ragione sociale]:[Checkbox selezionato]],5,FALSE),"-")</f>
        <v>ARENSI</v>
      </c>
      <c r="AM351" s="62">
        <f>IFERROR(VLOOKUP(Table2[[#This Row],[Contraente]],Table1[[Nome/Ragione sociale]:[Checkbox selezionato]],6,FALSE),"-")</f>
        <v>23600</v>
      </c>
      <c r="AN351" s="63" t="str">
        <f>IFERROR(VLOOKUP(Table2[[#This Row],[Contraente]],Table1[[Nome/Ragione sociale]:[Checkbox selezionato]],7,FALSE),"-")</f>
        <v>papies@libero.it</v>
      </c>
      <c r="AO351" s="63">
        <f>IFERROR(VLOOKUP(Table2[[#This Row],[Contraente]],Table1[[Nome/Ragione sociale]:[Checkbox selezionato]],8,FALSE),"-")</f>
        <v>0</v>
      </c>
      <c r="AP351" s="63">
        <f>IFERROR(VLOOKUP(Table2[[#This Row],[Contraente]],Table1[[Nome/Ragione sociale]:[Checkbox selezionato]],10,FALSE),"-")</f>
        <v>3388704048</v>
      </c>
      <c r="AQ351" s="63" t="str">
        <f>IFERROR(VLOOKUP(Table2[[#This Row],[Contraente]],Table1[[Nome/Ragione sociale]:[Checkbox selezionato]],11,FALSE),"-")</f>
        <v>SI</v>
      </c>
      <c r="AR351" s="63" t="str">
        <f>IFERROR(VLOOKUP(Table2[[#This Row],[Contraente]],Table1[[Nome/Ragione sociale]:[Checkbox selezionato]],12,FALSE),"-")</f>
        <v>SI</v>
      </c>
    </row>
    <row r="352" spans="1:44" ht="30" hidden="1" customHeight="1" x14ac:dyDescent="0.25">
      <c r="A352" s="60" t="str">
        <f>UPPER(LEFT(Table2[[#This Row],[Contraente]],1))</f>
        <v>C</v>
      </c>
      <c r="B352" s="60" t="s">
        <v>1634</v>
      </c>
      <c r="C352" s="81" t="s">
        <v>560</v>
      </c>
      <c r="D352" s="81" t="s">
        <v>37</v>
      </c>
      <c r="E352" s="86">
        <v>106243517</v>
      </c>
      <c r="F352" s="64">
        <v>42874</v>
      </c>
      <c r="G352" s="64">
        <f>IFERROR(CALCOLASCADENZA(Table2[[#This Row],[Data attivazione]],Table2[[#This Row],[Rateizzazione]],Table2[[#This Row],[Data ultimo pagamento]],Table2[[#This Row],[Data prossima scadenza manuale]]),"-")</f>
        <v>43059</v>
      </c>
      <c r="H352" s="67" t="s">
        <v>31</v>
      </c>
      <c r="I352" s="67" t="s">
        <v>1255</v>
      </c>
      <c r="J352" s="33">
        <f>IFERROR(Table2[[#This Row],[Importo annuale]]/(12/VLOOKUP(Table2[[#This Row],[Rateizzazione]],TIPI_RATEIZZAZIONI,2,FALSE)),"-")</f>
        <v>326</v>
      </c>
      <c r="K352" s="88">
        <v>326</v>
      </c>
      <c r="L352" s="88">
        <v>652</v>
      </c>
      <c r="M352" s="67" t="s">
        <v>44</v>
      </c>
      <c r="N352" s="67" t="s">
        <v>51</v>
      </c>
      <c r="O352" s="27" t="s">
        <v>1631</v>
      </c>
      <c r="P352" s="33" t="s">
        <v>22</v>
      </c>
      <c r="Q352" s="60">
        <f>IFERROR(IF(12 / VLOOKUP(Table2[[#This Row],[Rateizzazione]],TIPI_RATEIZZAZIONI,2,FALSE) &gt;=1,  IF(Table2[[#This Row],[Data attivazione]] = "","-",MONTH(Table2[[#This Row],[Data attivazione]])),"-"),"-")</f>
        <v>11</v>
      </c>
      <c r="R3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2" s="67" t="s">
        <v>2</v>
      </c>
      <c r="V352" s="62"/>
      <c r="W352" s="64">
        <v>42694</v>
      </c>
      <c r="X352" s="29">
        <f>DATE(YEAR(Table2[[#This Row],[Data attivazione]])+VLOOKUP(Table2[[#This Row],[Durata]],VALORE_DURATA,2,FALSE),MONTH(Table2[[#This Row],[Data attivazione]]),DAY(Table2[[#This Row],[Data attivazione]]))</f>
        <v>43059</v>
      </c>
      <c r="Y352" s="65"/>
      <c r="Z352" s="61"/>
      <c r="AA352" s="64" t="s">
        <v>85</v>
      </c>
      <c r="AB352" s="29" t="str">
        <f>IF(Table2[[#This Row],[Data ultimo versamento temp]]=0/1/1900,"-",Table2[[#This Row],[Data ultimo versamento temp]])</f>
        <v>-</v>
      </c>
      <c r="AC352" s="29">
        <f t="array" ref="AC352">MAX(IF(TableVersamenti[Polizza]=Table2[[#This Row],[Polizza]],TableVersamenti[Data prevista versamento],"-"))</f>
        <v>0</v>
      </c>
      <c r="AD352" s="62"/>
      <c r="AE352" s="106">
        <f>DATE(YEAR(Table2[[#This Row],[Data ultimo pagamento]]),MONTH(Table2[[#This Row],[Data ultimo pagamento]]), 1)</f>
        <v>42856</v>
      </c>
      <c r="AF352" s="106">
        <f>DATE(YEAR(Table2[[#This Row],[Data prossima scadenza]]),MONTH(Table2[[#This Row],[Data prossima scadenza]]), 1)</f>
        <v>43040</v>
      </c>
      <c r="AG352" s="33">
        <f>IFERROR(Table2[[#This Row],[Importo annuale]]*VLOOKUP(Table2[[#This Row],[Ramo]],RAMI_POLIZZA,2,FALSE),0)</f>
        <v>33.903999999999996</v>
      </c>
      <c r="AH352" s="65" t="s">
        <v>113</v>
      </c>
      <c r="AI352" s="63" t="str">
        <f>IFERROR(VLOOKUP(Table2[[#This Row],[Contraente]],Table1[[Nome/Ragione sociale]:[Checkbox selezionato]],2,FALSE),"-")</f>
        <v>SANTA CRISTINA E BISSONE</v>
      </c>
      <c r="AJ352" s="63">
        <f>IFERROR(VLOOKUP(Table2[[#This Row],[Contraente]],Table1[[Nome/Ragione sociale]:[Checkbox selezionato]],3,FALSE),"-")</f>
        <v>3388704048</v>
      </c>
      <c r="AK352" s="63">
        <f>IFERROR(VLOOKUP(Table2[[#This Row],[Contraente]],Table1[[Nome/Ragione sociale]:[Checkbox selezionato]],4,FALSE),"-")</f>
        <v>0</v>
      </c>
      <c r="AL352" s="63" t="str">
        <f>IFERROR(VLOOKUP(Table2[[#This Row],[Contraente]],Table1[[Nome/Ragione sociale]:[Checkbox selezionato]],5,FALSE),"-")</f>
        <v>ARENSI</v>
      </c>
      <c r="AM352" s="62">
        <f>IFERROR(VLOOKUP(Table2[[#This Row],[Contraente]],Table1[[Nome/Ragione sociale]:[Checkbox selezionato]],6,FALSE),"-")</f>
        <v>23600</v>
      </c>
      <c r="AN352" s="63" t="str">
        <f>IFERROR(VLOOKUP(Table2[[#This Row],[Contraente]],Table1[[Nome/Ragione sociale]:[Checkbox selezionato]],7,FALSE),"-")</f>
        <v>papies@libero.it</v>
      </c>
      <c r="AO352" s="63">
        <f>IFERROR(VLOOKUP(Table2[[#This Row],[Contraente]],Table1[[Nome/Ragione sociale]:[Checkbox selezionato]],8,FALSE),"-")</f>
        <v>0</v>
      </c>
      <c r="AP352" s="63">
        <f>IFERROR(VLOOKUP(Table2[[#This Row],[Contraente]],Table1[[Nome/Ragione sociale]:[Checkbox selezionato]],10,FALSE),"-")</f>
        <v>3388704048</v>
      </c>
      <c r="AQ352" s="63" t="str">
        <f>IFERROR(VLOOKUP(Table2[[#This Row],[Contraente]],Table1[[Nome/Ragione sociale]:[Checkbox selezionato]],11,FALSE),"-")</f>
        <v>SI</v>
      </c>
      <c r="AR352" s="63" t="str">
        <f>IFERROR(VLOOKUP(Table2[[#This Row],[Contraente]],Table1[[Nome/Ragione sociale]:[Checkbox selezionato]],12,FALSE),"-")</f>
        <v>SI</v>
      </c>
    </row>
    <row r="353" spans="1:44" ht="30" hidden="1" customHeight="1" x14ac:dyDescent="0.25">
      <c r="A353" s="60" t="str">
        <f>UPPER(LEFT(Table2[[#This Row],[Contraente]],1))</f>
        <v>C</v>
      </c>
      <c r="B353" s="60" t="s">
        <v>1634</v>
      </c>
      <c r="C353" s="81" t="s">
        <v>1714</v>
      </c>
      <c r="D353" s="81" t="s">
        <v>37</v>
      </c>
      <c r="E353" s="86">
        <v>106866469</v>
      </c>
      <c r="F353" s="64">
        <v>42871</v>
      </c>
      <c r="G353" s="64">
        <f>IFERROR(CALCOLASCADENZA(Table2[[#This Row],[Data attivazione]],Table2[[#This Row],[Rateizzazione]],Table2[[#This Row],[Data ultimo pagamento]],Table2[[#This Row],[Data prossima scadenza manuale]]),"-")</f>
        <v>43055</v>
      </c>
      <c r="H353" s="67" t="s">
        <v>31</v>
      </c>
      <c r="I353" s="67" t="s">
        <v>1746</v>
      </c>
      <c r="J353" s="33">
        <f>IFERROR(Table2[[#This Row],[Importo annuale]]/(12/VLOOKUP(Table2[[#This Row],[Rateizzazione]],TIPI_RATEIZZAZIONI,2,FALSE)),"-")</f>
        <v>550</v>
      </c>
      <c r="K353" s="88">
        <v>550</v>
      </c>
      <c r="L353" s="88">
        <v>1100</v>
      </c>
      <c r="M353" s="67" t="s">
        <v>43</v>
      </c>
      <c r="N353" s="67" t="s">
        <v>52</v>
      </c>
      <c r="O353" s="27" t="s">
        <v>1631</v>
      </c>
      <c r="P353" s="33" t="s">
        <v>22</v>
      </c>
      <c r="Q353" s="60">
        <f>IFERROR(IF(12 / VLOOKUP(Table2[[#This Row],[Rateizzazione]],TIPI_RATEIZZAZIONI,2,FALSE) &gt;=1,  IF(Table2[[#This Row],[Data attivazione]] = "","-",MONTH(Table2[[#This Row],[Data attivazione]])),"-"),"-")</f>
        <v>11</v>
      </c>
      <c r="R3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3" s="67" t="s">
        <v>2</v>
      </c>
      <c r="V353" s="62"/>
      <c r="W353" s="64">
        <v>42690</v>
      </c>
      <c r="X353" s="29">
        <f>DATE(YEAR(Table2[[#This Row],[Data attivazione]])+VLOOKUP(Table2[[#This Row],[Durata]],VALORE_DURATA,2,FALSE),MONTH(Table2[[#This Row],[Data attivazione]]),DAY(Table2[[#This Row],[Data attivazione]]))</f>
        <v>43055</v>
      </c>
      <c r="Y353" s="65"/>
      <c r="Z353" s="61"/>
      <c r="AA353" s="64" t="s">
        <v>85</v>
      </c>
      <c r="AB353" s="29" t="str">
        <f>IF(Table2[[#This Row],[Data ultimo versamento temp]]=0/1/1900,"-",Table2[[#This Row],[Data ultimo versamento temp]])</f>
        <v>-</v>
      </c>
      <c r="AC353" s="29">
        <f t="array" ref="AC353">MAX(IF(TableVersamenti[Polizza]=Table2[[#This Row],[Polizza]],TableVersamenti[Data prevista versamento],"-"))</f>
        <v>0</v>
      </c>
      <c r="AD353" s="62"/>
      <c r="AE353" s="106">
        <f>DATE(YEAR(Table2[[#This Row],[Data ultimo pagamento]]),MONTH(Table2[[#This Row],[Data ultimo pagamento]]), 1)</f>
        <v>42856</v>
      </c>
      <c r="AF353" s="106">
        <f>DATE(YEAR(Table2[[#This Row],[Data prossima scadenza]]),MONTH(Table2[[#This Row],[Data prossima scadenza]]), 1)</f>
        <v>43040</v>
      </c>
      <c r="AG353" s="33">
        <f>IFERROR(Table2[[#This Row],[Importo annuale]]*VLOOKUP(Table2[[#This Row],[Ramo]],RAMI_POLIZZA,2,FALSE),0)</f>
        <v>57.199999999999996</v>
      </c>
      <c r="AH353" s="65" t="s">
        <v>113</v>
      </c>
      <c r="AI353" s="63" t="str">
        <f>IFERROR(VLOOKUP(Table2[[#This Row],[Contraente]],Table1[[Nome/Ragione sociale]:[Checkbox selezionato]],2,FALSE),"-")</f>
        <v>BELGIOIOSO</v>
      </c>
      <c r="AJ353" s="63">
        <f>IFERROR(VLOOKUP(Table2[[#This Row],[Contraente]],Table1[[Nome/Ragione sociale]:[Checkbox selezionato]],3,FALSE),"-")</f>
        <v>3276975297</v>
      </c>
      <c r="AK353" s="63">
        <f>IFERROR(VLOOKUP(Table2[[#This Row],[Contraente]],Table1[[Nome/Ragione sociale]:[Checkbox selezionato]],4,FALSE),"-")</f>
        <v>0</v>
      </c>
      <c r="AL353" s="63" t="str">
        <f>IFERROR(VLOOKUP(Table2[[#This Row],[Contraente]],Table1[[Nome/Ragione sociale]:[Checkbox selezionato]],5,FALSE),"-")</f>
        <v>CIPRIAN</v>
      </c>
      <c r="AM353" s="62" t="str">
        <f>IFERROR(VLOOKUP(Table2[[#This Row],[Contraente]],Table1[[Nome/Ragione sociale]:[Checkbox selezionato]],6,FALSE),"-")</f>
        <v>-</v>
      </c>
      <c r="AN353" s="63" t="str">
        <f>IFERROR(VLOOKUP(Table2[[#This Row],[Contraente]],Table1[[Nome/Ragione sociale]:[Checkbox selezionato]],7,FALSE),"-")</f>
        <v>papies@email.it</v>
      </c>
      <c r="AO353" s="63">
        <f>IFERROR(VLOOKUP(Table2[[#This Row],[Contraente]],Table1[[Nome/Ragione sociale]:[Checkbox selezionato]],8,FALSE),"-")</f>
        <v>0</v>
      </c>
      <c r="AP353" s="63">
        <f>IFERROR(VLOOKUP(Table2[[#This Row],[Contraente]],Table1[[Nome/Ragione sociale]:[Checkbox selezionato]],10,FALSE),"-")</f>
        <v>3276975297</v>
      </c>
      <c r="AQ353" s="63" t="str">
        <f>IFERROR(VLOOKUP(Table2[[#This Row],[Contraente]],Table1[[Nome/Ragione sociale]:[Checkbox selezionato]],11,FALSE),"-")</f>
        <v>SI</v>
      </c>
      <c r="AR353" s="63" t="str">
        <f>IFERROR(VLOOKUP(Table2[[#This Row],[Contraente]],Table1[[Nome/Ragione sociale]:[Checkbox selezionato]],12,FALSE),"-")</f>
        <v>SI</v>
      </c>
    </row>
    <row r="354" spans="1:44" ht="30" hidden="1" customHeight="1" x14ac:dyDescent="0.25">
      <c r="A354" s="60" t="str">
        <f>UPPER(LEFT(Table2[[#This Row],[Contraente]],1))</f>
        <v>C</v>
      </c>
      <c r="B354" s="60" t="s">
        <v>1634</v>
      </c>
      <c r="C354" s="81" t="s">
        <v>1714</v>
      </c>
      <c r="D354" s="81" t="s">
        <v>37</v>
      </c>
      <c r="E354" s="86">
        <v>106866552</v>
      </c>
      <c r="F354" s="64">
        <v>42871</v>
      </c>
      <c r="G354" s="64">
        <f>IFERROR(CALCOLASCADENZA(Table2[[#This Row],[Data attivazione]],Table2[[#This Row],[Rateizzazione]],Table2[[#This Row],[Data ultimo pagamento]],Table2[[#This Row],[Data prossima scadenza manuale]]),"-")</f>
        <v>43055</v>
      </c>
      <c r="H354" s="67" t="s">
        <v>30</v>
      </c>
      <c r="I354" s="67" t="s">
        <v>113</v>
      </c>
      <c r="J354" s="33">
        <f>IFERROR(Table2[[#This Row],[Importo annuale]]/(12/VLOOKUP(Table2[[#This Row],[Rateizzazione]],TIPI_RATEIZZAZIONI,2,FALSE)),"-")</f>
        <v>30</v>
      </c>
      <c r="K354" s="88">
        <v>30</v>
      </c>
      <c r="L354" s="88">
        <v>60</v>
      </c>
      <c r="M354" s="67" t="s">
        <v>43</v>
      </c>
      <c r="N354" s="67" t="s">
        <v>52</v>
      </c>
      <c r="O354" s="27" t="s">
        <v>1631</v>
      </c>
      <c r="P354" s="33" t="s">
        <v>22</v>
      </c>
      <c r="Q354" s="60">
        <f>IFERROR(IF(12 / VLOOKUP(Table2[[#This Row],[Rateizzazione]],TIPI_RATEIZZAZIONI,2,FALSE) &gt;=1,  IF(Table2[[#This Row],[Data attivazione]] = "","-",MONTH(Table2[[#This Row],[Data attivazione]])),"-"),"-")</f>
        <v>11</v>
      </c>
      <c r="R3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4" s="67" t="s">
        <v>2</v>
      </c>
      <c r="V354" s="62"/>
      <c r="W354" s="64">
        <v>42690</v>
      </c>
      <c r="X354" s="29">
        <f>DATE(YEAR(Table2[[#This Row],[Data attivazione]])+VLOOKUP(Table2[[#This Row],[Durata]],VALORE_DURATA,2,FALSE),MONTH(Table2[[#This Row],[Data attivazione]]),DAY(Table2[[#This Row],[Data attivazione]]))</f>
        <v>43055</v>
      </c>
      <c r="Y354" s="65"/>
      <c r="Z354" s="61"/>
      <c r="AA354" s="64" t="s">
        <v>85</v>
      </c>
      <c r="AB354" s="29" t="str">
        <f>IF(Table2[[#This Row],[Data ultimo versamento temp]]=0/1/1900,"-",Table2[[#This Row],[Data ultimo versamento temp]])</f>
        <v>-</v>
      </c>
      <c r="AC354" s="29">
        <f t="array" ref="AC354">MAX(IF(TableVersamenti[Polizza]=Table2[[#This Row],[Polizza]],TableVersamenti[Data prevista versamento],"-"))</f>
        <v>0</v>
      </c>
      <c r="AD354" s="62"/>
      <c r="AE354" s="106">
        <f>DATE(YEAR(Table2[[#This Row],[Data ultimo pagamento]]),MONTH(Table2[[#This Row],[Data ultimo pagamento]]), 1)</f>
        <v>42856</v>
      </c>
      <c r="AF354" s="106">
        <f>DATE(YEAR(Table2[[#This Row],[Data prossima scadenza]]),MONTH(Table2[[#This Row],[Data prossima scadenza]]), 1)</f>
        <v>43040</v>
      </c>
      <c r="AG354" s="33">
        <f>IFERROR(Table2[[#This Row],[Importo annuale]]*VLOOKUP(Table2[[#This Row],[Ramo]],RAMI_POLIZZA,2,FALSE),0)</f>
        <v>6.9</v>
      </c>
      <c r="AH354" s="65" t="s">
        <v>113</v>
      </c>
      <c r="AI354" s="63" t="str">
        <f>IFERROR(VLOOKUP(Table2[[#This Row],[Contraente]],Table1[[Nome/Ragione sociale]:[Checkbox selezionato]],2,FALSE),"-")</f>
        <v>BELGIOIOSO</v>
      </c>
      <c r="AJ354" s="63">
        <f>IFERROR(VLOOKUP(Table2[[#This Row],[Contraente]],Table1[[Nome/Ragione sociale]:[Checkbox selezionato]],3,FALSE),"-")</f>
        <v>3276975297</v>
      </c>
      <c r="AK354" s="63">
        <f>IFERROR(VLOOKUP(Table2[[#This Row],[Contraente]],Table1[[Nome/Ragione sociale]:[Checkbox selezionato]],4,FALSE),"-")</f>
        <v>0</v>
      </c>
      <c r="AL354" s="63" t="str">
        <f>IFERROR(VLOOKUP(Table2[[#This Row],[Contraente]],Table1[[Nome/Ragione sociale]:[Checkbox selezionato]],5,FALSE),"-")</f>
        <v>CIPRIAN</v>
      </c>
      <c r="AM354" s="62" t="str">
        <f>IFERROR(VLOOKUP(Table2[[#This Row],[Contraente]],Table1[[Nome/Ragione sociale]:[Checkbox selezionato]],6,FALSE),"-")</f>
        <v>-</v>
      </c>
      <c r="AN354" s="63" t="str">
        <f>IFERROR(VLOOKUP(Table2[[#This Row],[Contraente]],Table1[[Nome/Ragione sociale]:[Checkbox selezionato]],7,FALSE),"-")</f>
        <v>papies@email.it</v>
      </c>
      <c r="AO354" s="63">
        <f>IFERROR(VLOOKUP(Table2[[#This Row],[Contraente]],Table1[[Nome/Ragione sociale]:[Checkbox selezionato]],8,FALSE),"-")</f>
        <v>0</v>
      </c>
      <c r="AP354" s="63">
        <f>IFERROR(VLOOKUP(Table2[[#This Row],[Contraente]],Table1[[Nome/Ragione sociale]:[Checkbox selezionato]],10,FALSE),"-")</f>
        <v>3276975297</v>
      </c>
      <c r="AQ354" s="63" t="str">
        <f>IFERROR(VLOOKUP(Table2[[#This Row],[Contraente]],Table1[[Nome/Ragione sociale]:[Checkbox selezionato]],11,FALSE),"-")</f>
        <v>SI</v>
      </c>
      <c r="AR354" s="63" t="str">
        <f>IFERROR(VLOOKUP(Table2[[#This Row],[Contraente]],Table1[[Nome/Ragione sociale]:[Checkbox selezionato]],12,FALSE),"-")</f>
        <v>SI</v>
      </c>
    </row>
    <row r="355" spans="1:44" ht="30" hidden="1" customHeight="1" x14ac:dyDescent="0.25">
      <c r="A355" s="60" t="str">
        <f>UPPER(LEFT(Table2[[#This Row],[Contraente]],1))</f>
        <v>C</v>
      </c>
      <c r="B355" s="60" t="s">
        <v>1634</v>
      </c>
      <c r="C355" s="81" t="s">
        <v>562</v>
      </c>
      <c r="D355" s="81" t="s">
        <v>37</v>
      </c>
      <c r="E355" s="86">
        <v>103021857</v>
      </c>
      <c r="F355" s="64">
        <v>42837</v>
      </c>
      <c r="G355" s="64">
        <f>IFERROR(CALCOLASCADENZA(Table2[[#This Row],[Data attivazione]],Table2[[#This Row],[Rateizzazione]],Table2[[#This Row],[Data ultimo pagamento]],Table2[[#This Row],[Data prossima scadenza manuale]]),"-")</f>
        <v>43049</v>
      </c>
      <c r="H355" s="67" t="s">
        <v>30</v>
      </c>
      <c r="I355" s="67" t="s">
        <v>113</v>
      </c>
      <c r="J355" s="33">
        <f>IFERROR(Table2[[#This Row],[Importo annuale]]/(12/VLOOKUP(Table2[[#This Row],[Rateizzazione]],TIPI_RATEIZZAZIONI,2,FALSE)),"-")</f>
        <v>32</v>
      </c>
      <c r="K355" s="88">
        <v>32</v>
      </c>
      <c r="L355" s="88">
        <v>64</v>
      </c>
      <c r="M355" s="67" t="s">
        <v>43</v>
      </c>
      <c r="N355" s="67" t="s">
        <v>51</v>
      </c>
      <c r="O355" s="27" t="s">
        <v>1631</v>
      </c>
      <c r="P355" s="33" t="s">
        <v>22</v>
      </c>
      <c r="Q355" s="60">
        <f>IFERROR(IF(12 / VLOOKUP(Table2[[#This Row],[Rateizzazione]],TIPI_RATEIZZAZIONI,2,FALSE) &gt;=1,  IF(Table2[[#This Row],[Data attivazione]] = "","-",MONTH(Table2[[#This Row],[Data attivazione]])),"-"),"-")</f>
        <v>11</v>
      </c>
      <c r="R3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5" s="67" t="s">
        <v>2</v>
      </c>
      <c r="V355" s="62"/>
      <c r="W355" s="64">
        <v>42684</v>
      </c>
      <c r="X355" s="29">
        <f>DATE(YEAR(Table2[[#This Row],[Data attivazione]])+VLOOKUP(Table2[[#This Row],[Durata]],VALORE_DURATA,2,FALSE),MONTH(Table2[[#This Row],[Data attivazione]]),DAY(Table2[[#This Row],[Data attivazione]]))</f>
        <v>43049</v>
      </c>
      <c r="Y355" s="65"/>
      <c r="Z355" s="61"/>
      <c r="AA355" s="64" t="s">
        <v>85</v>
      </c>
      <c r="AB355" s="29" t="str">
        <f>IF(Table2[[#This Row],[Data ultimo versamento temp]]=0/1/1900,"-",Table2[[#This Row],[Data ultimo versamento temp]])</f>
        <v>-</v>
      </c>
      <c r="AC355" s="29">
        <f t="array" ref="AC355">MAX(IF(TableVersamenti[Polizza]=Table2[[#This Row],[Polizza]],TableVersamenti[Data prevista versamento],"-"))</f>
        <v>0</v>
      </c>
      <c r="AD355" s="62"/>
      <c r="AE355" s="106">
        <f>DATE(YEAR(Table2[[#This Row],[Data ultimo pagamento]]),MONTH(Table2[[#This Row],[Data ultimo pagamento]]), 1)</f>
        <v>42826</v>
      </c>
      <c r="AF355" s="106">
        <f>DATE(YEAR(Table2[[#This Row],[Data prossima scadenza]]),MONTH(Table2[[#This Row],[Data prossima scadenza]]), 1)</f>
        <v>43040</v>
      </c>
      <c r="AG355" s="33">
        <f>IFERROR(Table2[[#This Row],[Importo annuale]]*VLOOKUP(Table2[[#This Row],[Ramo]],RAMI_POLIZZA,2,FALSE),0)</f>
        <v>7.36</v>
      </c>
      <c r="AH355" s="65" t="s">
        <v>113</v>
      </c>
      <c r="AI355" s="63" t="str">
        <f>IFERROR(VLOOKUP(Table2[[#This Row],[Contraente]],Table1[[Nome/Ragione sociale]:[Checkbox selezionato]],2,FALSE),"-")</f>
        <v>BELGIOIOSO</v>
      </c>
      <c r="AJ355" s="63">
        <f>IFERROR(VLOOKUP(Table2[[#This Row],[Contraente]],Table1[[Nome/Ragione sociale]:[Checkbox selezionato]],3,FALSE),"-")</f>
        <v>3276975297</v>
      </c>
      <c r="AK355" s="63">
        <f>IFERROR(VLOOKUP(Table2[[#This Row],[Contraente]],Table1[[Nome/Ragione sociale]:[Checkbox selezionato]],4,FALSE),"-")</f>
        <v>0</v>
      </c>
      <c r="AL355" s="63" t="str">
        <f>IFERROR(VLOOKUP(Table2[[#This Row],[Contraente]],Table1[[Nome/Ragione sociale]:[Checkbox selezionato]],5,FALSE),"-")</f>
        <v>CIPRIAN</v>
      </c>
      <c r="AM355" s="62">
        <f>IFERROR(VLOOKUP(Table2[[#This Row],[Contraente]],Table1[[Nome/Ragione sociale]:[Checkbox selezionato]],6,FALSE),"-")</f>
        <v>30959</v>
      </c>
      <c r="AN355" s="63" t="str">
        <f>IFERROR(VLOOKUP(Table2[[#This Row],[Contraente]],Table1[[Nome/Ragione sociale]:[Checkbox selezionato]],7,FALSE),"-")</f>
        <v>papies@libero.it</v>
      </c>
      <c r="AO355" s="63">
        <f>IFERROR(VLOOKUP(Table2[[#This Row],[Contraente]],Table1[[Nome/Ragione sociale]:[Checkbox selezionato]],8,FALSE),"-")</f>
        <v>0</v>
      </c>
      <c r="AP355" s="63">
        <f>IFERROR(VLOOKUP(Table2[[#This Row],[Contraente]],Table1[[Nome/Ragione sociale]:[Checkbox selezionato]],10,FALSE),"-")</f>
        <v>3276975297</v>
      </c>
      <c r="AQ355" s="63" t="str">
        <f>IFERROR(VLOOKUP(Table2[[#This Row],[Contraente]],Table1[[Nome/Ragione sociale]:[Checkbox selezionato]],11,FALSE),"-")</f>
        <v>SI</v>
      </c>
      <c r="AR355" s="63" t="str">
        <f>IFERROR(VLOOKUP(Table2[[#This Row],[Contraente]],Table1[[Nome/Ragione sociale]:[Checkbox selezionato]],12,FALSE),"-")</f>
        <v>SI</v>
      </c>
    </row>
    <row r="356" spans="1:44" ht="30" hidden="1" customHeight="1" x14ac:dyDescent="0.25">
      <c r="A356" s="60" t="str">
        <f>UPPER(LEFT(Table2[[#This Row],[Contraente]],1))</f>
        <v>C</v>
      </c>
      <c r="B356" s="60" t="s">
        <v>1634</v>
      </c>
      <c r="C356" s="81" t="s">
        <v>562</v>
      </c>
      <c r="D356" s="81" t="s">
        <v>37</v>
      </c>
      <c r="E356" s="86">
        <v>106737351</v>
      </c>
      <c r="F356" s="64">
        <v>42837</v>
      </c>
      <c r="G356" s="64">
        <f>IFERROR(CALCOLASCADENZA(Table2[[#This Row],[Data attivazione]],Table2[[#This Row],[Rateizzazione]],Table2[[#This Row],[Data ultimo pagamento]],Table2[[#This Row],[Data prossima scadenza manuale]]),"-")</f>
        <v>43049</v>
      </c>
      <c r="H356" s="67" t="s">
        <v>31</v>
      </c>
      <c r="I356" s="67" t="s">
        <v>1256</v>
      </c>
      <c r="J356" s="33">
        <f>IFERROR(Table2[[#This Row],[Importo annuale]]/(12/VLOOKUP(Table2[[#This Row],[Rateizzazione]],TIPI_RATEIZZAZIONI,2,FALSE)),"-")</f>
        <v>357.84</v>
      </c>
      <c r="K356" s="88">
        <v>357.84</v>
      </c>
      <c r="L356" s="88">
        <v>715.68</v>
      </c>
      <c r="M356" s="67" t="s">
        <v>43</v>
      </c>
      <c r="N356" s="67" t="s">
        <v>51</v>
      </c>
      <c r="O356" s="27" t="s">
        <v>1631</v>
      </c>
      <c r="P356" s="33" t="s">
        <v>22</v>
      </c>
      <c r="Q356" s="60">
        <f>IFERROR(IF(12 / VLOOKUP(Table2[[#This Row],[Rateizzazione]],TIPI_RATEIZZAZIONI,2,FALSE) &gt;=1,  IF(Table2[[#This Row],[Data attivazione]] = "","-",MONTH(Table2[[#This Row],[Data attivazione]])),"-"),"-")</f>
        <v>11</v>
      </c>
      <c r="R3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6" s="67" t="s">
        <v>2</v>
      </c>
      <c r="V356" s="62"/>
      <c r="W356" s="64">
        <v>42684</v>
      </c>
      <c r="X356" s="29">
        <f>DATE(YEAR(Table2[[#This Row],[Data attivazione]])+VLOOKUP(Table2[[#This Row],[Durata]],VALORE_DURATA,2,FALSE),MONTH(Table2[[#This Row],[Data attivazione]]),DAY(Table2[[#This Row],[Data attivazione]]))</f>
        <v>43049</v>
      </c>
      <c r="Y356" s="65"/>
      <c r="Z356" s="61"/>
      <c r="AA356" s="64" t="s">
        <v>85</v>
      </c>
      <c r="AB356" s="29" t="str">
        <f>IF(Table2[[#This Row],[Data ultimo versamento temp]]=0/1/1900,"-",Table2[[#This Row],[Data ultimo versamento temp]])</f>
        <v>-</v>
      </c>
      <c r="AC356" s="29">
        <f t="array" ref="AC356">MAX(IF(TableVersamenti[Polizza]=Table2[[#This Row],[Polizza]],TableVersamenti[Data prevista versamento],"-"))</f>
        <v>0</v>
      </c>
      <c r="AD356" s="62"/>
      <c r="AE356" s="106">
        <f>DATE(YEAR(Table2[[#This Row],[Data ultimo pagamento]]),MONTH(Table2[[#This Row],[Data ultimo pagamento]]), 1)</f>
        <v>42826</v>
      </c>
      <c r="AF356" s="106">
        <f>DATE(YEAR(Table2[[#This Row],[Data prossima scadenza]]),MONTH(Table2[[#This Row],[Data prossima scadenza]]), 1)</f>
        <v>43040</v>
      </c>
      <c r="AG356" s="33">
        <f>IFERROR(Table2[[#This Row],[Importo annuale]]*VLOOKUP(Table2[[#This Row],[Ramo]],RAMI_POLIZZA,2,FALSE),0)</f>
        <v>37.215359999999997</v>
      </c>
      <c r="AH356" s="65" t="s">
        <v>113</v>
      </c>
      <c r="AI356" s="63" t="str">
        <f>IFERROR(VLOOKUP(Table2[[#This Row],[Contraente]],Table1[[Nome/Ragione sociale]:[Checkbox selezionato]],2,FALSE),"-")</f>
        <v>BELGIOIOSO</v>
      </c>
      <c r="AJ356" s="63">
        <f>IFERROR(VLOOKUP(Table2[[#This Row],[Contraente]],Table1[[Nome/Ragione sociale]:[Checkbox selezionato]],3,FALSE),"-")</f>
        <v>3276975297</v>
      </c>
      <c r="AK356" s="63">
        <f>IFERROR(VLOOKUP(Table2[[#This Row],[Contraente]],Table1[[Nome/Ragione sociale]:[Checkbox selezionato]],4,FALSE),"-")</f>
        <v>0</v>
      </c>
      <c r="AL356" s="63" t="str">
        <f>IFERROR(VLOOKUP(Table2[[#This Row],[Contraente]],Table1[[Nome/Ragione sociale]:[Checkbox selezionato]],5,FALSE),"-")</f>
        <v>CIPRIAN</v>
      </c>
      <c r="AM356" s="62">
        <f>IFERROR(VLOOKUP(Table2[[#This Row],[Contraente]],Table1[[Nome/Ragione sociale]:[Checkbox selezionato]],6,FALSE),"-")</f>
        <v>30959</v>
      </c>
      <c r="AN356" s="63" t="str">
        <f>IFERROR(VLOOKUP(Table2[[#This Row],[Contraente]],Table1[[Nome/Ragione sociale]:[Checkbox selezionato]],7,FALSE),"-")</f>
        <v>papies@libero.it</v>
      </c>
      <c r="AO356" s="63">
        <f>IFERROR(VLOOKUP(Table2[[#This Row],[Contraente]],Table1[[Nome/Ragione sociale]:[Checkbox selezionato]],8,FALSE),"-")</f>
        <v>0</v>
      </c>
      <c r="AP356" s="63">
        <f>IFERROR(VLOOKUP(Table2[[#This Row],[Contraente]],Table1[[Nome/Ragione sociale]:[Checkbox selezionato]],10,FALSE),"-")</f>
        <v>3276975297</v>
      </c>
      <c r="AQ356" s="63" t="str">
        <f>IFERROR(VLOOKUP(Table2[[#This Row],[Contraente]],Table1[[Nome/Ragione sociale]:[Checkbox selezionato]],11,FALSE),"-")</f>
        <v>SI</v>
      </c>
      <c r="AR356" s="63" t="str">
        <f>IFERROR(VLOOKUP(Table2[[#This Row],[Contraente]],Table1[[Nome/Ragione sociale]:[Checkbox selezionato]],12,FALSE),"-")</f>
        <v>SI</v>
      </c>
    </row>
    <row r="357" spans="1:44" ht="30" hidden="1" customHeight="1" x14ac:dyDescent="0.25">
      <c r="A357" s="60" t="str">
        <f>UPPER(LEFT(Table2[[#This Row],[Contraente]],1))</f>
        <v>C</v>
      </c>
      <c r="B357" s="60" t="s">
        <v>1634</v>
      </c>
      <c r="C357" s="81" t="s">
        <v>564</v>
      </c>
      <c r="D357" s="81" t="s">
        <v>37</v>
      </c>
      <c r="E357" s="86">
        <v>102687599</v>
      </c>
      <c r="F357" s="64">
        <v>42192</v>
      </c>
      <c r="G357" s="64">
        <f>IFERROR(CALCOLASCADENZA(Table2[[#This Row],[Data attivazione]],Table2[[#This Row],[Rateizzazione]],Table2[[#This Row],[Data ultimo pagamento]],Table2[[#This Row],[Data prossima scadenza manuale]]),"-")</f>
        <v>693778</v>
      </c>
      <c r="H357" s="67" t="s">
        <v>30</v>
      </c>
      <c r="I357" s="67" t="s">
        <v>113</v>
      </c>
      <c r="J357" s="33">
        <f>IFERROR(Table2[[#This Row],[Importo annuale]]/(12/VLOOKUP(Table2[[#This Row],[Rateizzazione]],TIPI_RATEIZZAZIONI,2,FALSE)),"-")</f>
        <v>450</v>
      </c>
      <c r="K357" s="88"/>
      <c r="L357" s="88">
        <v>900</v>
      </c>
      <c r="M357" s="67" t="s">
        <v>44</v>
      </c>
      <c r="N357" s="67" t="s">
        <v>51</v>
      </c>
      <c r="O357" s="27" t="s">
        <v>1631</v>
      </c>
      <c r="P357" s="33" t="s">
        <v>22</v>
      </c>
      <c r="Q357" s="60">
        <f>IFERROR(IF(12 / VLOOKUP(Table2[[#This Row],[Rateizzazione]],TIPI_RATEIZZAZIONI,2,FALSE) &gt;=1,  IF(Table2[[#This Row],[Data attivazione]] = "","-",MONTH(Table2[[#This Row],[Data attivazione]])),"-"),"-")</f>
        <v>12</v>
      </c>
      <c r="R3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7" s="67" t="s">
        <v>133</v>
      </c>
      <c r="V357" s="62"/>
      <c r="W357" s="64">
        <v>693597</v>
      </c>
      <c r="X357" s="29">
        <f>DATE(YEAR(Table2[[#This Row],[Data attivazione]])+VLOOKUP(Table2[[#This Row],[Durata]],VALORE_DURATA,2,FALSE),MONTH(Table2[[#This Row],[Data attivazione]]),DAY(Table2[[#This Row],[Data attivazione]]))</f>
        <v>693962</v>
      </c>
      <c r="Y357" s="65"/>
      <c r="Z357" s="61"/>
      <c r="AA357" s="64" t="s">
        <v>88</v>
      </c>
      <c r="AB357" s="29" t="str">
        <f>IF(Table2[[#This Row],[Data ultimo versamento temp]]=0/1/1900,"-",Table2[[#This Row],[Data ultimo versamento temp]])</f>
        <v>-</v>
      </c>
      <c r="AC357" s="29">
        <f t="array" ref="AC357">MAX(IF(TableVersamenti[Polizza]=Table2[[#This Row],[Polizza]],TableVersamenti[Data prevista versamento],"-"))</f>
        <v>0</v>
      </c>
      <c r="AD357" s="62"/>
      <c r="AE357" s="106">
        <f>DATE(YEAR(Table2[[#This Row],[Data ultimo pagamento]]),MONTH(Table2[[#This Row],[Data ultimo pagamento]]), 1)</f>
        <v>42186</v>
      </c>
      <c r="AF357" s="106">
        <f>DATE(YEAR(Table2[[#This Row],[Data prossima scadenza]]),MONTH(Table2[[#This Row],[Data prossima scadenza]]), 1)</f>
        <v>693749</v>
      </c>
      <c r="AG357" s="33">
        <f>IFERROR(Table2[[#This Row],[Importo annuale]]*VLOOKUP(Table2[[#This Row],[Ramo]],RAMI_POLIZZA,2,FALSE),0)</f>
        <v>103.5</v>
      </c>
      <c r="AH357" s="65" t="s">
        <v>113</v>
      </c>
      <c r="AI357" s="63" t="str">
        <f>IFERROR(VLOOKUP(Table2[[#This Row],[Contraente]],Table1[[Nome/Ragione sociale]:[Checkbox selezionato]],2,FALSE),"-")</f>
        <v>GRAGNANO TREBBIENSE</v>
      </c>
      <c r="AJ357" s="63" t="str">
        <f>IFERROR(VLOOKUP(Table2[[#This Row],[Contraente]],Table1[[Nome/Ragione sociale]:[Checkbox selezionato]],3,FALSE),"-")</f>
        <v>-</v>
      </c>
      <c r="AK357" s="63">
        <f>IFERROR(VLOOKUP(Table2[[#This Row],[Contraente]],Table1[[Nome/Ragione sociale]:[Checkbox selezionato]],4,FALSE),"-")</f>
        <v>0</v>
      </c>
      <c r="AL357" s="63" t="str">
        <f>IFERROR(VLOOKUP(Table2[[#This Row],[Contraente]],Table1[[Nome/Ragione sociale]:[Checkbox selezionato]],5,FALSE),"-")</f>
        <v>-</v>
      </c>
      <c r="AM357" s="62" t="str">
        <f>IFERROR(VLOOKUP(Table2[[#This Row],[Contraente]],Table1[[Nome/Ragione sociale]:[Checkbox selezionato]],6,FALSE),"-")</f>
        <v>-</v>
      </c>
      <c r="AN357" s="63" t="str">
        <f>IFERROR(VLOOKUP(Table2[[#This Row],[Contraente]],Table1[[Nome/Ragione sociale]:[Checkbox selezionato]],7,FALSE),"-")</f>
        <v>papies@libero.it</v>
      </c>
      <c r="AO357" s="63">
        <f>IFERROR(VLOOKUP(Table2[[#This Row],[Contraente]],Table1[[Nome/Ragione sociale]:[Checkbox selezionato]],8,FALSE),"-")</f>
        <v>0</v>
      </c>
      <c r="AP357" s="63" t="str">
        <f>IFERROR(VLOOKUP(Table2[[#This Row],[Contraente]],Table1[[Nome/Ragione sociale]:[Checkbox selezionato]],10,FALSE),"-")</f>
        <v>-</v>
      </c>
      <c r="AQ357" s="63" t="str">
        <f>IFERROR(VLOOKUP(Table2[[#This Row],[Contraente]],Table1[[Nome/Ragione sociale]:[Checkbox selezionato]],11,FALSE),"-")</f>
        <v>SI</v>
      </c>
      <c r="AR357" s="63" t="str">
        <f>IFERROR(VLOOKUP(Table2[[#This Row],[Contraente]],Table1[[Nome/Ragione sociale]:[Checkbox selezionato]],12,FALSE),"-")</f>
        <v>SI</v>
      </c>
    </row>
    <row r="358" spans="1:44" ht="30" hidden="1" customHeight="1" x14ac:dyDescent="0.25">
      <c r="A358" s="60" t="str">
        <f>UPPER(LEFT(Table2[[#This Row],[Contraente]],1))</f>
        <v>C</v>
      </c>
      <c r="B358" s="60" t="s">
        <v>1634</v>
      </c>
      <c r="C358" s="81" t="s">
        <v>565</v>
      </c>
      <c r="D358" s="81" t="s">
        <v>37</v>
      </c>
      <c r="E358" s="86">
        <v>105788700</v>
      </c>
      <c r="F358" s="64">
        <v>42670</v>
      </c>
      <c r="G358" s="64">
        <f>IFERROR(CALCOLASCADENZA(Table2[[#This Row],[Data attivazione]],Table2[[#This Row],[Rateizzazione]],Table2[[#This Row],[Data ultimo pagamento]],Table2[[#This Row],[Data prossima scadenza manuale]]),"-")</f>
        <v>42670</v>
      </c>
      <c r="H358" s="67" t="s">
        <v>31</v>
      </c>
      <c r="I358" s="67" t="s">
        <v>1257</v>
      </c>
      <c r="J358" s="33">
        <v>0</v>
      </c>
      <c r="K358" s="88"/>
      <c r="L358" s="88">
        <v>754</v>
      </c>
      <c r="M358" s="67" t="s">
        <v>44</v>
      </c>
      <c r="N358" s="67" t="s">
        <v>52</v>
      </c>
      <c r="O358" s="27" t="s">
        <v>1631</v>
      </c>
      <c r="P358" s="33" t="s">
        <v>24</v>
      </c>
      <c r="Q35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8" s="67" t="s">
        <v>2</v>
      </c>
      <c r="V358" s="62"/>
      <c r="W358" s="64">
        <v>42370</v>
      </c>
      <c r="X358" s="29">
        <f>DATE(YEAR(Table2[[#This Row],[Data attivazione]])+VLOOKUP(Table2[[#This Row],[Durata]],VALORE_DURATA,2,FALSE),MONTH(Table2[[#This Row],[Data attivazione]]),DAY(Table2[[#This Row],[Data attivazione]]))</f>
        <v>42736</v>
      </c>
      <c r="Y358" s="65"/>
      <c r="Z358" s="61"/>
      <c r="AA358" s="64" t="s">
        <v>88</v>
      </c>
      <c r="AB358" s="29" t="str">
        <f>IF(Table2[[#This Row],[Data ultimo versamento temp]]=0/1/1900,"-",Table2[[#This Row],[Data ultimo versamento temp]])</f>
        <v>-</v>
      </c>
      <c r="AC358" s="29">
        <f t="array" ref="AC358">MAX(IF(TableVersamenti[Polizza]=Table2[[#This Row],[Polizza]],TableVersamenti[Data prevista versamento],"-"))</f>
        <v>0</v>
      </c>
      <c r="AD358" s="62"/>
      <c r="AE358" s="106">
        <f>DATE(YEAR(Table2[[#This Row],[Data ultimo pagamento]]),MONTH(Table2[[#This Row],[Data ultimo pagamento]]), 1)</f>
        <v>42644</v>
      </c>
      <c r="AF358" s="106">
        <f>DATE(YEAR(Table2[[#This Row],[Data prossima scadenza]]),MONTH(Table2[[#This Row],[Data prossima scadenza]]), 1)</f>
        <v>42644</v>
      </c>
      <c r="AG358" s="33">
        <f>IFERROR(Table2[[#This Row],[Importo annuale]]*VLOOKUP(Table2[[#This Row],[Ramo]],RAMI_POLIZZA,2,FALSE),0)</f>
        <v>39.207999999999998</v>
      </c>
      <c r="AH358" s="65" t="s">
        <v>113</v>
      </c>
      <c r="AI358" s="63" t="str">
        <f>IFERROR(VLOOKUP(Table2[[#This Row],[Contraente]],Table1[[Nome/Ragione sociale]:[Checkbox selezionato]],2,FALSE),"-")</f>
        <v>LINAROLO</v>
      </c>
      <c r="AJ358" s="63">
        <f>IFERROR(VLOOKUP(Table2[[#This Row],[Contraente]],Table1[[Nome/Ragione sociale]:[Checkbox selezionato]],3,FALSE),"-")</f>
        <v>3400018106</v>
      </c>
      <c r="AK358" s="63">
        <f>IFERROR(VLOOKUP(Table2[[#This Row],[Contraente]],Table1[[Nome/Ragione sociale]:[Checkbox selezionato]],4,FALSE),"-")</f>
        <v>0</v>
      </c>
      <c r="AL358" s="63" t="str">
        <f>IFERROR(VLOOKUP(Table2[[#This Row],[Contraente]],Table1[[Nome/Ragione sociale]:[Checkbox selezionato]],5,FALSE),"-")</f>
        <v>MARCOMIN DARIO</v>
      </c>
      <c r="AM358" s="62">
        <f>IFERROR(VLOOKUP(Table2[[#This Row],[Contraente]],Table1[[Nome/Ragione sociale]:[Checkbox selezionato]],6,FALSE),"-")</f>
        <v>25197</v>
      </c>
      <c r="AN358" s="63" t="str">
        <f>IFERROR(VLOOKUP(Table2[[#This Row],[Contraente]],Table1[[Nome/Ragione sociale]:[Checkbox selezionato]],7,FALSE),"-")</f>
        <v>papies@email.it</v>
      </c>
      <c r="AO358" s="63">
        <f>IFERROR(VLOOKUP(Table2[[#This Row],[Contraente]],Table1[[Nome/Ragione sociale]:[Checkbox selezionato]],8,FALSE),"-")</f>
        <v>0</v>
      </c>
      <c r="AP358" s="63">
        <f>IFERROR(VLOOKUP(Table2[[#This Row],[Contraente]],Table1[[Nome/Ragione sociale]:[Checkbox selezionato]],10,FALSE),"-")</f>
        <v>3400018106</v>
      </c>
      <c r="AQ358" s="63" t="str">
        <f>IFERROR(VLOOKUP(Table2[[#This Row],[Contraente]],Table1[[Nome/Ragione sociale]:[Checkbox selezionato]],11,FALSE),"-")</f>
        <v>SI</v>
      </c>
      <c r="AR358" s="63" t="str">
        <f>IFERROR(VLOOKUP(Table2[[#This Row],[Contraente]],Table1[[Nome/Ragione sociale]:[Checkbox selezionato]],12,FALSE),"-")</f>
        <v>SI</v>
      </c>
    </row>
    <row r="359" spans="1:44" ht="30" hidden="1" customHeight="1" x14ac:dyDescent="0.25">
      <c r="A359" s="60" t="str">
        <f>UPPER(LEFT(Table2[[#This Row],[Contraente]],1))</f>
        <v>C</v>
      </c>
      <c r="B359" s="60" t="s">
        <v>1634</v>
      </c>
      <c r="C359" s="81" t="s">
        <v>567</v>
      </c>
      <c r="D359" s="81" t="s">
        <v>37</v>
      </c>
      <c r="E359" s="86">
        <v>107013980</v>
      </c>
      <c r="F359" s="64">
        <v>42908</v>
      </c>
      <c r="G359" s="64">
        <f>IFERROR(CALCOLASCADENZA(Table2[[#This Row],[Data attivazione]],Table2[[#This Row],[Rateizzazione]],Table2[[#This Row],[Data ultimo pagamento]],Table2[[#This Row],[Data prossima scadenza manuale]]),"-")</f>
        <v>43279</v>
      </c>
      <c r="H359" s="67" t="s">
        <v>31</v>
      </c>
      <c r="I359" s="67" t="s">
        <v>1747</v>
      </c>
      <c r="J359" s="33">
        <f>IFERROR(Table2[[#This Row],[Importo annuale]]/(12/VLOOKUP(Table2[[#This Row],[Rateizzazione]],TIPI_RATEIZZAZIONI,2,FALSE)),"-")</f>
        <v>180</v>
      </c>
      <c r="K359" s="88">
        <v>180</v>
      </c>
      <c r="L359" s="88">
        <v>180</v>
      </c>
      <c r="M359" s="67" t="s">
        <v>44</v>
      </c>
      <c r="N359" s="67" t="s">
        <v>52</v>
      </c>
      <c r="O359" s="27" t="s">
        <v>1631</v>
      </c>
      <c r="P359" s="33" t="s">
        <v>23</v>
      </c>
      <c r="Q359" s="60">
        <f>IFERROR(IF(12 / VLOOKUP(Table2[[#This Row],[Rateizzazione]],TIPI_RATEIZZAZIONI,2,FALSE) &gt;=1,  IF(Table2[[#This Row],[Data attivazione]] = "","-",MONTH(Table2[[#This Row],[Data attivazione]])),"-"),"-")</f>
        <v>6</v>
      </c>
      <c r="R3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9" s="67" t="s">
        <v>2</v>
      </c>
      <c r="V359" s="62"/>
      <c r="W359" s="64">
        <v>42914</v>
      </c>
      <c r="X359" s="29">
        <f>DATE(YEAR(Table2[[#This Row],[Data attivazione]])+VLOOKUP(Table2[[#This Row],[Durata]],VALORE_DURATA,2,FALSE),MONTH(Table2[[#This Row],[Data attivazione]]),DAY(Table2[[#This Row],[Data attivazione]]))</f>
        <v>43279</v>
      </c>
      <c r="Y359" s="65"/>
      <c r="Z359" s="61"/>
      <c r="AA359" s="64" t="s">
        <v>85</v>
      </c>
      <c r="AB359" s="29" t="str">
        <f>IF(Table2[[#This Row],[Data ultimo versamento temp]]=0/1/1900,"-",Table2[[#This Row],[Data ultimo versamento temp]])</f>
        <v>-</v>
      </c>
      <c r="AC359" s="29">
        <f t="array" ref="AC359">MAX(IF(TableVersamenti[Polizza]=Table2[[#This Row],[Polizza]],TableVersamenti[Data prevista versamento],"-"))</f>
        <v>0</v>
      </c>
      <c r="AD359" s="62"/>
      <c r="AE359" s="106">
        <f>DATE(YEAR(Table2[[#This Row],[Data ultimo pagamento]]),MONTH(Table2[[#This Row],[Data ultimo pagamento]]), 1)</f>
        <v>42887</v>
      </c>
      <c r="AF359" s="106">
        <f>DATE(YEAR(Table2[[#This Row],[Data prossima scadenza]]),MONTH(Table2[[#This Row],[Data prossima scadenza]]), 1)</f>
        <v>43252</v>
      </c>
      <c r="AG359" s="33">
        <f>IFERROR(Table2[[#This Row],[Importo annuale]]*VLOOKUP(Table2[[#This Row],[Ramo]],RAMI_POLIZZA,2,FALSE),0)</f>
        <v>9.36</v>
      </c>
      <c r="AH359" s="65" t="s">
        <v>113</v>
      </c>
      <c r="AI359" s="63" t="str">
        <f>IFERROR(VLOOKUP(Table2[[#This Row],[Contraente]],Table1[[Nome/Ragione sociale]:[Checkbox selezionato]],2,FALSE),"-")</f>
        <v>VALLE SALIMBENE</v>
      </c>
      <c r="AJ359" s="63">
        <f>IFERROR(VLOOKUP(Table2[[#This Row],[Contraente]],Table1[[Nome/Ragione sociale]:[Checkbox selezionato]],3,FALSE),"-")</f>
        <v>3395312532</v>
      </c>
      <c r="AK359" s="63">
        <f>IFERROR(VLOOKUP(Table2[[#This Row],[Contraente]],Table1[[Nome/Ragione sociale]:[Checkbox selezionato]],4,FALSE),"-")</f>
        <v>0</v>
      </c>
      <c r="AL359" s="63" t="str">
        <f>IFERROR(VLOOKUP(Table2[[#This Row],[Contraente]],Table1[[Nome/Ragione sociale]:[Checkbox selezionato]],5,FALSE),"-")</f>
        <v>MASSIMO COVEN</v>
      </c>
      <c r="AM359" s="62">
        <f>IFERROR(VLOOKUP(Table2[[#This Row],[Contraente]],Table1[[Nome/Ragione sociale]:[Checkbox selezionato]],6,FALSE),"-")</f>
        <v>24754</v>
      </c>
      <c r="AN359" s="63" t="str">
        <f>IFERROR(VLOOKUP(Table2[[#This Row],[Contraente]],Table1[[Nome/Ragione sociale]:[Checkbox selezionato]],7,FALSE),"-")</f>
        <v>papies@libero.it</v>
      </c>
      <c r="AO359" s="63">
        <f>IFERROR(VLOOKUP(Table2[[#This Row],[Contraente]],Table1[[Nome/Ragione sociale]:[Checkbox selezionato]],8,FALSE),"-")</f>
        <v>0</v>
      </c>
      <c r="AP359" s="63">
        <f>IFERROR(VLOOKUP(Table2[[#This Row],[Contraente]],Table1[[Nome/Ragione sociale]:[Checkbox selezionato]],10,FALSE),"-")</f>
        <v>3395312532</v>
      </c>
      <c r="AQ359" s="63" t="str">
        <f>IFERROR(VLOOKUP(Table2[[#This Row],[Contraente]],Table1[[Nome/Ragione sociale]:[Checkbox selezionato]],11,FALSE),"-")</f>
        <v>SI</v>
      </c>
      <c r="AR359" s="63" t="str">
        <f>IFERROR(VLOOKUP(Table2[[#This Row],[Contraente]],Table1[[Nome/Ragione sociale]:[Checkbox selezionato]],12,FALSE),"-")</f>
        <v>SI</v>
      </c>
    </row>
    <row r="360" spans="1:44" ht="30" hidden="1" customHeight="1" x14ac:dyDescent="0.25">
      <c r="A360" s="60" t="str">
        <f>UPPER(LEFT(Table2[[#This Row],[Contraente]],1))</f>
        <v>C</v>
      </c>
      <c r="B360" s="60" t="s">
        <v>1634</v>
      </c>
      <c r="C360" s="81" t="s">
        <v>567</v>
      </c>
      <c r="D360" s="81" t="s">
        <v>37</v>
      </c>
      <c r="E360" s="86">
        <v>106603583</v>
      </c>
      <c r="F360" s="64">
        <v>42802</v>
      </c>
      <c r="G360" s="64">
        <f>IFERROR(CALCOLASCADENZA(Table2[[#This Row],[Data attivazione]],Table2[[#This Row],[Rateizzazione]],Table2[[#This Row],[Data ultimo pagamento]],Table2[[#This Row],[Data prossima scadenza manuale]]),"-")</f>
        <v>43167</v>
      </c>
      <c r="H360" s="67" t="s">
        <v>31</v>
      </c>
      <c r="I360" s="67" t="s">
        <v>1258</v>
      </c>
      <c r="J360" s="33">
        <f>IFERROR(Table2[[#This Row],[Importo annuale]]/(12/VLOOKUP(Table2[[#This Row],[Rateizzazione]],TIPI_RATEIZZAZIONI,2,FALSE)),"-")</f>
        <v>49.63</v>
      </c>
      <c r="K360" s="88">
        <v>49.63</v>
      </c>
      <c r="L360" s="88">
        <v>49.63</v>
      </c>
      <c r="M360" s="67" t="s">
        <v>44</v>
      </c>
      <c r="N360" s="67" t="s">
        <v>52</v>
      </c>
      <c r="O360" s="27" t="s">
        <v>1631</v>
      </c>
      <c r="P360" s="33" t="s">
        <v>23</v>
      </c>
      <c r="Q360" s="60">
        <f>IFERROR(IF(12 / VLOOKUP(Table2[[#This Row],[Rateizzazione]],TIPI_RATEIZZAZIONI,2,FALSE) &gt;=1,  IF(Table2[[#This Row],[Data attivazione]] = "","-",MONTH(Table2[[#This Row],[Data attivazione]])),"-"),"-")</f>
        <v>3</v>
      </c>
      <c r="R3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0" s="67" t="s">
        <v>2</v>
      </c>
      <c r="V360" s="62"/>
      <c r="W360" s="64">
        <v>42802</v>
      </c>
      <c r="X360" s="29">
        <f>DATE(YEAR(Table2[[#This Row],[Data attivazione]])+VLOOKUP(Table2[[#This Row],[Durata]],VALORE_DURATA,2,FALSE),MONTH(Table2[[#This Row],[Data attivazione]]),DAY(Table2[[#This Row],[Data attivazione]]))</f>
        <v>43167</v>
      </c>
      <c r="Y360" s="65"/>
      <c r="Z360" s="61"/>
      <c r="AA360" s="64" t="s">
        <v>85</v>
      </c>
      <c r="AB360" s="29" t="str">
        <f>IF(Table2[[#This Row],[Data ultimo versamento temp]]=0/1/1900,"-",Table2[[#This Row],[Data ultimo versamento temp]])</f>
        <v>-</v>
      </c>
      <c r="AC360" s="29">
        <f t="array" ref="AC360">MAX(IF(TableVersamenti[Polizza]=Table2[[#This Row],[Polizza]],TableVersamenti[Data prevista versamento],"-"))</f>
        <v>0</v>
      </c>
      <c r="AD360" s="62"/>
      <c r="AE360" s="106">
        <f>DATE(YEAR(Table2[[#This Row],[Data ultimo pagamento]]),MONTH(Table2[[#This Row],[Data ultimo pagamento]]), 1)</f>
        <v>42795</v>
      </c>
      <c r="AF360" s="106">
        <f>DATE(YEAR(Table2[[#This Row],[Data prossima scadenza]]),MONTH(Table2[[#This Row],[Data prossima scadenza]]), 1)</f>
        <v>43160</v>
      </c>
      <c r="AG360" s="33">
        <f>IFERROR(Table2[[#This Row],[Importo annuale]]*VLOOKUP(Table2[[#This Row],[Ramo]],RAMI_POLIZZA,2,FALSE),0)</f>
        <v>2.5807600000000002</v>
      </c>
      <c r="AH360" s="65" t="s">
        <v>113</v>
      </c>
      <c r="AI360" s="63" t="str">
        <f>IFERROR(VLOOKUP(Table2[[#This Row],[Contraente]],Table1[[Nome/Ragione sociale]:[Checkbox selezionato]],2,FALSE),"-")</f>
        <v>VALLE SALIMBENE</v>
      </c>
      <c r="AJ360" s="63">
        <f>IFERROR(VLOOKUP(Table2[[#This Row],[Contraente]],Table1[[Nome/Ragione sociale]:[Checkbox selezionato]],3,FALSE),"-")</f>
        <v>3395312532</v>
      </c>
      <c r="AK360" s="63">
        <f>IFERROR(VLOOKUP(Table2[[#This Row],[Contraente]],Table1[[Nome/Ragione sociale]:[Checkbox selezionato]],4,FALSE),"-")</f>
        <v>0</v>
      </c>
      <c r="AL360" s="63" t="str">
        <f>IFERROR(VLOOKUP(Table2[[#This Row],[Contraente]],Table1[[Nome/Ragione sociale]:[Checkbox selezionato]],5,FALSE),"-")</f>
        <v>MASSIMO COVEN</v>
      </c>
      <c r="AM360" s="62">
        <f>IFERROR(VLOOKUP(Table2[[#This Row],[Contraente]],Table1[[Nome/Ragione sociale]:[Checkbox selezionato]],6,FALSE),"-")</f>
        <v>24754</v>
      </c>
      <c r="AN360" s="63" t="str">
        <f>IFERROR(VLOOKUP(Table2[[#This Row],[Contraente]],Table1[[Nome/Ragione sociale]:[Checkbox selezionato]],7,FALSE),"-")</f>
        <v>papies@libero.it</v>
      </c>
      <c r="AO360" s="63">
        <f>IFERROR(VLOOKUP(Table2[[#This Row],[Contraente]],Table1[[Nome/Ragione sociale]:[Checkbox selezionato]],8,FALSE),"-")</f>
        <v>0</v>
      </c>
      <c r="AP360" s="63">
        <f>IFERROR(VLOOKUP(Table2[[#This Row],[Contraente]],Table1[[Nome/Ragione sociale]:[Checkbox selezionato]],10,FALSE),"-")</f>
        <v>3395312532</v>
      </c>
      <c r="AQ360" s="63" t="str">
        <f>IFERROR(VLOOKUP(Table2[[#This Row],[Contraente]],Table1[[Nome/Ragione sociale]:[Checkbox selezionato]],11,FALSE),"-")</f>
        <v>SI</v>
      </c>
      <c r="AR360" s="63" t="str">
        <f>IFERROR(VLOOKUP(Table2[[#This Row],[Contraente]],Table1[[Nome/Ragione sociale]:[Checkbox selezionato]],12,FALSE),"-")</f>
        <v>SI</v>
      </c>
    </row>
    <row r="361" spans="1:44" ht="30" hidden="1" customHeight="1" x14ac:dyDescent="0.25">
      <c r="A361" s="60" t="str">
        <f>UPPER(LEFT(Table2[[#This Row],[Contraente]],1))</f>
        <v>C</v>
      </c>
      <c r="B361" s="60" t="s">
        <v>1634</v>
      </c>
      <c r="C361" s="81" t="s">
        <v>567</v>
      </c>
      <c r="D361" s="81" t="s">
        <v>37</v>
      </c>
      <c r="E361" s="86">
        <v>106665761</v>
      </c>
      <c r="F361" s="64">
        <v>42818</v>
      </c>
      <c r="G361" s="64">
        <f>IFERROR(CALCOLASCADENZA(Table2[[#This Row],[Data attivazione]],Table2[[#This Row],[Rateizzazione]],Table2[[#This Row],[Data ultimo pagamento]],Table2[[#This Row],[Data prossima scadenza manuale]]),"-")</f>
        <v>43183</v>
      </c>
      <c r="H361" s="67" t="s">
        <v>31</v>
      </c>
      <c r="I361" s="67" t="s">
        <v>1259</v>
      </c>
      <c r="J361" s="33">
        <f>IFERROR(Table2[[#This Row],[Importo annuale]]/(12/VLOOKUP(Table2[[#This Row],[Rateizzazione]],TIPI_RATEIZZAZIONI,2,FALSE)),"-")</f>
        <v>1045.7</v>
      </c>
      <c r="K361" s="88">
        <v>1045.7</v>
      </c>
      <c r="L361" s="88">
        <v>1045.7</v>
      </c>
      <c r="M361" s="67" t="s">
        <v>44</v>
      </c>
      <c r="N361" s="67" t="s">
        <v>52</v>
      </c>
      <c r="O361" s="27" t="s">
        <v>1631</v>
      </c>
      <c r="P361" s="33" t="s">
        <v>23</v>
      </c>
      <c r="Q361" s="60">
        <f>IFERROR(IF(12 / VLOOKUP(Table2[[#This Row],[Rateizzazione]],TIPI_RATEIZZAZIONI,2,FALSE) &gt;=1,  IF(Table2[[#This Row],[Data attivazione]] = "","-",MONTH(Table2[[#This Row],[Data attivazione]])),"-"),"-")</f>
        <v>3</v>
      </c>
      <c r="R3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1" s="67" t="s">
        <v>2</v>
      </c>
      <c r="V361" s="62"/>
      <c r="W361" s="64">
        <v>42818</v>
      </c>
      <c r="X361" s="29">
        <f>DATE(YEAR(Table2[[#This Row],[Data attivazione]])+VLOOKUP(Table2[[#This Row],[Durata]],VALORE_DURATA,2,FALSE),MONTH(Table2[[#This Row],[Data attivazione]]),DAY(Table2[[#This Row],[Data attivazione]]))</f>
        <v>43183</v>
      </c>
      <c r="Y361" s="65"/>
      <c r="Z361" s="61"/>
      <c r="AA361" s="64" t="s">
        <v>85</v>
      </c>
      <c r="AB361" s="29" t="str">
        <f>IF(Table2[[#This Row],[Data ultimo versamento temp]]=0/1/1900,"-",Table2[[#This Row],[Data ultimo versamento temp]])</f>
        <v>-</v>
      </c>
      <c r="AC361" s="29">
        <f t="array" ref="AC361">MAX(IF(TableVersamenti[Polizza]=Table2[[#This Row],[Polizza]],TableVersamenti[Data prevista versamento],"-"))</f>
        <v>0</v>
      </c>
      <c r="AD361" s="62"/>
      <c r="AE361" s="106">
        <f>DATE(YEAR(Table2[[#This Row],[Data ultimo pagamento]]),MONTH(Table2[[#This Row],[Data ultimo pagamento]]), 1)</f>
        <v>42795</v>
      </c>
      <c r="AF361" s="106">
        <f>DATE(YEAR(Table2[[#This Row],[Data prossima scadenza]]),MONTH(Table2[[#This Row],[Data prossima scadenza]]), 1)</f>
        <v>43160</v>
      </c>
      <c r="AG361" s="33">
        <f>IFERROR(Table2[[#This Row],[Importo annuale]]*VLOOKUP(Table2[[#This Row],[Ramo]],RAMI_POLIZZA,2,FALSE),0)</f>
        <v>54.376399999999997</v>
      </c>
      <c r="AH361" s="65" t="s">
        <v>113</v>
      </c>
      <c r="AI361" s="63" t="str">
        <f>IFERROR(VLOOKUP(Table2[[#This Row],[Contraente]],Table1[[Nome/Ragione sociale]:[Checkbox selezionato]],2,FALSE),"-")</f>
        <v>VALLE SALIMBENE</v>
      </c>
      <c r="AJ361" s="63">
        <f>IFERROR(VLOOKUP(Table2[[#This Row],[Contraente]],Table1[[Nome/Ragione sociale]:[Checkbox selezionato]],3,FALSE),"-")</f>
        <v>3395312532</v>
      </c>
      <c r="AK361" s="63">
        <f>IFERROR(VLOOKUP(Table2[[#This Row],[Contraente]],Table1[[Nome/Ragione sociale]:[Checkbox selezionato]],4,FALSE),"-")</f>
        <v>0</v>
      </c>
      <c r="AL361" s="63" t="str">
        <f>IFERROR(VLOOKUP(Table2[[#This Row],[Contraente]],Table1[[Nome/Ragione sociale]:[Checkbox selezionato]],5,FALSE),"-")</f>
        <v>MASSIMO COVEN</v>
      </c>
      <c r="AM361" s="62">
        <f>IFERROR(VLOOKUP(Table2[[#This Row],[Contraente]],Table1[[Nome/Ragione sociale]:[Checkbox selezionato]],6,FALSE),"-")</f>
        <v>24754</v>
      </c>
      <c r="AN361" s="63" t="str">
        <f>IFERROR(VLOOKUP(Table2[[#This Row],[Contraente]],Table1[[Nome/Ragione sociale]:[Checkbox selezionato]],7,FALSE),"-")</f>
        <v>papies@libero.it</v>
      </c>
      <c r="AO361" s="63">
        <f>IFERROR(VLOOKUP(Table2[[#This Row],[Contraente]],Table1[[Nome/Ragione sociale]:[Checkbox selezionato]],8,FALSE),"-")</f>
        <v>0</v>
      </c>
      <c r="AP361" s="63">
        <f>IFERROR(VLOOKUP(Table2[[#This Row],[Contraente]],Table1[[Nome/Ragione sociale]:[Checkbox selezionato]],10,FALSE),"-")</f>
        <v>3395312532</v>
      </c>
      <c r="AQ361" s="63" t="str">
        <f>IFERROR(VLOOKUP(Table2[[#This Row],[Contraente]],Table1[[Nome/Ragione sociale]:[Checkbox selezionato]],11,FALSE),"-")</f>
        <v>SI</v>
      </c>
      <c r="AR361" s="63" t="str">
        <f>IFERROR(VLOOKUP(Table2[[#This Row],[Contraente]],Table1[[Nome/Ragione sociale]:[Checkbox selezionato]],12,FALSE),"-")</f>
        <v>SI</v>
      </c>
    </row>
    <row r="362" spans="1:44" ht="30" hidden="1" customHeight="1" x14ac:dyDescent="0.25">
      <c r="A362" s="60" t="str">
        <f>UPPER(LEFT(Table2[[#This Row],[Contraente]],1))</f>
        <v>C</v>
      </c>
      <c r="B362" s="60" t="s">
        <v>1634</v>
      </c>
      <c r="C362" s="81" t="s">
        <v>574</v>
      </c>
      <c r="D362" s="81" t="s">
        <v>37</v>
      </c>
      <c r="E362" s="86">
        <v>105000809</v>
      </c>
      <c r="F362" s="64">
        <v>42425</v>
      </c>
      <c r="G362" s="64">
        <f>IFERROR(CALCOLASCADENZA(Table2[[#This Row],[Data attivazione]],Table2[[#This Row],[Rateizzazione]],Table2[[#This Row],[Data ultimo pagamento]],Table2[[#This Row],[Data prossima scadenza manuale]]),"-")</f>
        <v>42425</v>
      </c>
      <c r="H362" s="67" t="s">
        <v>31</v>
      </c>
      <c r="I362" s="67" t="s">
        <v>1263</v>
      </c>
      <c r="J362" s="33">
        <v>0</v>
      </c>
      <c r="K362" s="88"/>
      <c r="L362" s="88">
        <v>820</v>
      </c>
      <c r="M362" s="67" t="s">
        <v>43</v>
      </c>
      <c r="N362" s="67" t="s">
        <v>51</v>
      </c>
      <c r="O362" s="27" t="s">
        <v>1631</v>
      </c>
      <c r="P362" s="33" t="s">
        <v>24</v>
      </c>
      <c r="Q36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2" s="67" t="s">
        <v>133</v>
      </c>
      <c r="V362" s="62"/>
      <c r="W362" s="64">
        <v>42133</v>
      </c>
      <c r="X362" s="29">
        <f>DATE(YEAR(Table2[[#This Row],[Data attivazione]])+VLOOKUP(Table2[[#This Row],[Durata]],VALORE_DURATA,2,FALSE),MONTH(Table2[[#This Row],[Data attivazione]]),DAY(Table2[[#This Row],[Data attivazione]]))</f>
        <v>42499</v>
      </c>
      <c r="Y362" s="65"/>
      <c r="Z362" s="61"/>
      <c r="AA362" s="64" t="s">
        <v>88</v>
      </c>
      <c r="AB362" s="29" t="str">
        <f>IF(Table2[[#This Row],[Data ultimo versamento temp]]=0/1/1900,"-",Table2[[#This Row],[Data ultimo versamento temp]])</f>
        <v>-</v>
      </c>
      <c r="AC362" s="29">
        <f t="array" ref="AC362">MAX(IF(TableVersamenti[Polizza]=Table2[[#This Row],[Polizza]],TableVersamenti[Data prevista versamento],"-"))</f>
        <v>0</v>
      </c>
      <c r="AD362" s="62"/>
      <c r="AE362" s="106">
        <f>DATE(YEAR(Table2[[#This Row],[Data ultimo pagamento]]),MONTH(Table2[[#This Row],[Data ultimo pagamento]]), 1)</f>
        <v>42401</v>
      </c>
      <c r="AF362" s="106">
        <f>DATE(YEAR(Table2[[#This Row],[Data prossima scadenza]]),MONTH(Table2[[#This Row],[Data prossima scadenza]]), 1)</f>
        <v>42401</v>
      </c>
      <c r="AG362" s="33">
        <f>IFERROR(Table2[[#This Row],[Importo annuale]]*VLOOKUP(Table2[[#This Row],[Ramo]],RAMI_POLIZZA,2,FALSE),0)</f>
        <v>42.64</v>
      </c>
      <c r="AH362" s="65" t="s">
        <v>113</v>
      </c>
      <c r="AI362" s="63" t="str">
        <f>IFERROR(VLOOKUP(Table2[[#This Row],[Contraente]],Table1[[Nome/Ragione sociale]:[Checkbox selezionato]],2,FALSE),"-")</f>
        <v>STRADELLA</v>
      </c>
      <c r="AJ362" s="63">
        <f>IFERROR(VLOOKUP(Table2[[#This Row],[Contraente]],Table1[[Nome/Ragione sociale]:[Checkbox selezionato]],3,FALSE),"-")</f>
        <v>3400813830</v>
      </c>
      <c r="AK362" s="63">
        <f>IFERROR(VLOOKUP(Table2[[#This Row],[Contraente]],Table1[[Nome/Ragione sociale]:[Checkbox selezionato]],4,FALSE),"-")</f>
        <v>0</v>
      </c>
      <c r="AL362" s="63" t="str">
        <f>IFERROR(VLOOKUP(Table2[[#This Row],[Contraente]],Table1[[Nome/Ragione sociale]:[Checkbox selezionato]],5,FALSE),"-")</f>
        <v>MARIUS</v>
      </c>
      <c r="AM362" s="62">
        <f>IFERROR(VLOOKUP(Table2[[#This Row],[Contraente]],Table1[[Nome/Ragione sociale]:[Checkbox selezionato]],6,FALSE),"-")</f>
        <v>28776</v>
      </c>
      <c r="AN362" s="63" t="str">
        <f>IFERROR(VLOOKUP(Table2[[#This Row],[Contraente]],Table1[[Nome/Ragione sociale]:[Checkbox selezionato]],7,FALSE),"-")</f>
        <v>papies@libero.it</v>
      </c>
      <c r="AO362" s="63">
        <f>IFERROR(VLOOKUP(Table2[[#This Row],[Contraente]],Table1[[Nome/Ragione sociale]:[Checkbox selezionato]],8,FALSE),"-")</f>
        <v>0</v>
      </c>
      <c r="AP362" s="63">
        <f>IFERROR(VLOOKUP(Table2[[#This Row],[Contraente]],Table1[[Nome/Ragione sociale]:[Checkbox selezionato]],10,FALSE),"-")</f>
        <v>3400813830</v>
      </c>
      <c r="AQ362" s="63" t="str">
        <f>IFERROR(VLOOKUP(Table2[[#This Row],[Contraente]],Table1[[Nome/Ragione sociale]:[Checkbox selezionato]],11,FALSE),"-")</f>
        <v>SI</v>
      </c>
      <c r="AR362" s="63" t="str">
        <f>IFERROR(VLOOKUP(Table2[[#This Row],[Contraente]],Table1[[Nome/Ragione sociale]:[Checkbox selezionato]],12,FALSE),"-")</f>
        <v>SI</v>
      </c>
    </row>
    <row r="363" spans="1:44" ht="30" hidden="1" customHeight="1" x14ac:dyDescent="0.25">
      <c r="A363" s="60" t="str">
        <f>UPPER(LEFT(Table2[[#This Row],[Contraente]],1))</f>
        <v>C</v>
      </c>
      <c r="B363" s="60" t="s">
        <v>1634</v>
      </c>
      <c r="C363" s="81" t="s">
        <v>574</v>
      </c>
      <c r="D363" s="81" t="s">
        <v>37</v>
      </c>
      <c r="E363" s="86">
        <v>105989481</v>
      </c>
      <c r="F363" s="64">
        <v>42618</v>
      </c>
      <c r="G363" s="64">
        <f>IFERROR(CALCOLASCADENZA(Table2[[#This Row],[Data attivazione]],Table2[[#This Row],[Rateizzazione]],Table2[[#This Row],[Data ultimo pagamento]],Table2[[#This Row],[Data prossima scadenza manuale]]),"-")</f>
        <v>42799</v>
      </c>
      <c r="H363" s="67" t="s">
        <v>31</v>
      </c>
      <c r="I363" s="67" t="s">
        <v>1262</v>
      </c>
      <c r="J363" s="33">
        <f>IFERROR(Table2[[#This Row],[Importo annuale]]/(12/VLOOKUP(Table2[[#This Row],[Rateizzazione]],TIPI_RATEIZZAZIONI,2,FALSE)),"-")</f>
        <v>316.2</v>
      </c>
      <c r="K363" s="88"/>
      <c r="L363" s="88">
        <v>632.4</v>
      </c>
      <c r="M363" s="67" t="s">
        <v>43</v>
      </c>
      <c r="N363" s="67" t="s">
        <v>52</v>
      </c>
      <c r="O363" s="27" t="s">
        <v>1631</v>
      </c>
      <c r="P363" s="33" t="s">
        <v>22</v>
      </c>
      <c r="Q363" s="60">
        <f>IFERROR(IF(12 / VLOOKUP(Table2[[#This Row],[Rateizzazione]],TIPI_RATEIZZAZIONI,2,FALSE) &gt;=1,  IF(Table2[[#This Row],[Data attivazione]] = "","-",MONTH(Table2[[#This Row],[Data attivazione]])),"-"),"-")</f>
        <v>3</v>
      </c>
      <c r="R3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3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3" s="67" t="s">
        <v>133</v>
      </c>
      <c r="V363" s="62"/>
      <c r="W363" s="64">
        <v>42434</v>
      </c>
      <c r="X363" s="29">
        <f>DATE(YEAR(Table2[[#This Row],[Data attivazione]])+VLOOKUP(Table2[[#This Row],[Durata]],VALORE_DURATA,2,FALSE),MONTH(Table2[[#This Row],[Data attivazione]]),DAY(Table2[[#This Row],[Data attivazione]]))</f>
        <v>42799</v>
      </c>
      <c r="Y363" s="65"/>
      <c r="Z363" s="61"/>
      <c r="AA363" s="64" t="s">
        <v>88</v>
      </c>
      <c r="AB363" s="29" t="str">
        <f>IF(Table2[[#This Row],[Data ultimo versamento temp]]=0/1/1900,"-",Table2[[#This Row],[Data ultimo versamento temp]])</f>
        <v>-</v>
      </c>
      <c r="AC363" s="29">
        <f t="array" ref="AC363">MAX(IF(TableVersamenti[Polizza]=Table2[[#This Row],[Polizza]],TableVersamenti[Data prevista versamento],"-"))</f>
        <v>0</v>
      </c>
      <c r="AD363" s="62"/>
      <c r="AE363" s="106">
        <f>DATE(YEAR(Table2[[#This Row],[Data ultimo pagamento]]),MONTH(Table2[[#This Row],[Data ultimo pagamento]]), 1)</f>
        <v>42614</v>
      </c>
      <c r="AF363" s="106">
        <f>DATE(YEAR(Table2[[#This Row],[Data prossima scadenza]]),MONTH(Table2[[#This Row],[Data prossima scadenza]]), 1)</f>
        <v>42795</v>
      </c>
      <c r="AG363" s="33">
        <f>IFERROR(Table2[[#This Row],[Importo annuale]]*VLOOKUP(Table2[[#This Row],[Ramo]],RAMI_POLIZZA,2,FALSE),0)</f>
        <v>32.884799999999998</v>
      </c>
      <c r="AH363" s="65" t="s">
        <v>113</v>
      </c>
      <c r="AI363" s="63" t="str">
        <f>IFERROR(VLOOKUP(Table2[[#This Row],[Contraente]],Table1[[Nome/Ragione sociale]:[Checkbox selezionato]],2,FALSE),"-")</f>
        <v>STRADELLA</v>
      </c>
      <c r="AJ363" s="63">
        <f>IFERROR(VLOOKUP(Table2[[#This Row],[Contraente]],Table1[[Nome/Ragione sociale]:[Checkbox selezionato]],3,FALSE),"-")</f>
        <v>3400813830</v>
      </c>
      <c r="AK363" s="63">
        <f>IFERROR(VLOOKUP(Table2[[#This Row],[Contraente]],Table1[[Nome/Ragione sociale]:[Checkbox selezionato]],4,FALSE),"-")</f>
        <v>0</v>
      </c>
      <c r="AL363" s="63" t="str">
        <f>IFERROR(VLOOKUP(Table2[[#This Row],[Contraente]],Table1[[Nome/Ragione sociale]:[Checkbox selezionato]],5,FALSE),"-")</f>
        <v>MARIUS</v>
      </c>
      <c r="AM363" s="62">
        <f>IFERROR(VLOOKUP(Table2[[#This Row],[Contraente]],Table1[[Nome/Ragione sociale]:[Checkbox selezionato]],6,FALSE),"-")</f>
        <v>28776</v>
      </c>
      <c r="AN363" s="63" t="str">
        <f>IFERROR(VLOOKUP(Table2[[#This Row],[Contraente]],Table1[[Nome/Ragione sociale]:[Checkbox selezionato]],7,FALSE),"-")</f>
        <v>papies@libero.it</v>
      </c>
      <c r="AO363" s="63">
        <f>IFERROR(VLOOKUP(Table2[[#This Row],[Contraente]],Table1[[Nome/Ragione sociale]:[Checkbox selezionato]],8,FALSE),"-")</f>
        <v>0</v>
      </c>
      <c r="AP363" s="63">
        <f>IFERROR(VLOOKUP(Table2[[#This Row],[Contraente]],Table1[[Nome/Ragione sociale]:[Checkbox selezionato]],10,FALSE),"-")</f>
        <v>3400813830</v>
      </c>
      <c r="AQ363" s="63" t="str">
        <f>IFERROR(VLOOKUP(Table2[[#This Row],[Contraente]],Table1[[Nome/Ragione sociale]:[Checkbox selezionato]],11,FALSE),"-")</f>
        <v>SI</v>
      </c>
      <c r="AR363" s="63" t="str">
        <f>IFERROR(VLOOKUP(Table2[[#This Row],[Contraente]],Table1[[Nome/Ragione sociale]:[Checkbox selezionato]],12,FALSE),"-")</f>
        <v>SI</v>
      </c>
    </row>
    <row r="364" spans="1:44" ht="30" hidden="1" customHeight="1" x14ac:dyDescent="0.25">
      <c r="A364" s="60" t="str">
        <f>UPPER(LEFT(Table2[[#This Row],[Contraente]],1))</f>
        <v>C</v>
      </c>
      <c r="B364" s="60" t="s">
        <v>1634</v>
      </c>
      <c r="C364" s="81" t="s">
        <v>573</v>
      </c>
      <c r="D364" s="81" t="s">
        <v>37</v>
      </c>
      <c r="E364" s="86">
        <v>104732021</v>
      </c>
      <c r="F364" s="64">
        <v>42746</v>
      </c>
      <c r="G364" s="64">
        <f>IFERROR(CALCOLASCADENZA(Table2[[#This Row],[Data attivazione]],Table2[[#This Row],[Rateizzazione]],Table2[[#This Row],[Data ultimo pagamento]],Table2[[#This Row],[Data prossima scadenza manuale]]),"-")</f>
        <v>42953</v>
      </c>
      <c r="H364" s="67" t="s">
        <v>30</v>
      </c>
      <c r="I364" s="67" t="s">
        <v>113</v>
      </c>
      <c r="J364" s="33">
        <f>IFERROR(Table2[[#This Row],[Importo annuale]]/(12/VLOOKUP(Table2[[#This Row],[Rateizzazione]],TIPI_RATEIZZAZIONI,2,FALSE)),"-")</f>
        <v>140</v>
      </c>
      <c r="K364" s="88">
        <v>140</v>
      </c>
      <c r="L364" s="88">
        <v>140</v>
      </c>
      <c r="M364" s="67" t="s">
        <v>43</v>
      </c>
      <c r="N364" s="67" t="s">
        <v>51</v>
      </c>
      <c r="O364" s="27" t="s">
        <v>1631</v>
      </c>
      <c r="P364" s="33" t="s">
        <v>23</v>
      </c>
      <c r="Q364" s="60">
        <f>IFERROR(IF(12 / VLOOKUP(Table2[[#This Row],[Rateizzazione]],TIPI_RATEIZZAZIONI,2,FALSE) &gt;=1,  IF(Table2[[#This Row],[Data attivazione]] = "","-",MONTH(Table2[[#This Row],[Data attivazione]])),"-"),"-")</f>
        <v>8</v>
      </c>
      <c r="R3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4" s="67" t="s">
        <v>133</v>
      </c>
      <c r="V364" s="62"/>
      <c r="W364" s="64">
        <v>42588</v>
      </c>
      <c r="X364" s="29">
        <f>DATE(YEAR(Table2[[#This Row],[Data attivazione]])+VLOOKUP(Table2[[#This Row],[Durata]],VALORE_DURATA,2,FALSE),MONTH(Table2[[#This Row],[Data attivazione]]),DAY(Table2[[#This Row],[Data attivazione]]))</f>
        <v>42953</v>
      </c>
      <c r="Y364" s="65"/>
      <c r="Z364" s="61"/>
      <c r="AA364" s="64" t="s">
        <v>85</v>
      </c>
      <c r="AB364" s="29" t="str">
        <f>IF(Table2[[#This Row],[Data ultimo versamento temp]]=0/1/1900,"-",Table2[[#This Row],[Data ultimo versamento temp]])</f>
        <v>-</v>
      </c>
      <c r="AC364" s="29">
        <f t="array" ref="AC364">MAX(IF(TableVersamenti[Polizza]=Table2[[#This Row],[Polizza]],TableVersamenti[Data prevista versamento],"-"))</f>
        <v>0</v>
      </c>
      <c r="AD364" s="62"/>
      <c r="AE364" s="106">
        <f>DATE(YEAR(Table2[[#This Row],[Data ultimo pagamento]]),MONTH(Table2[[#This Row],[Data ultimo pagamento]]), 1)</f>
        <v>42736</v>
      </c>
      <c r="AF364" s="106">
        <f>DATE(YEAR(Table2[[#This Row],[Data prossima scadenza]]),MONTH(Table2[[#This Row],[Data prossima scadenza]]), 1)</f>
        <v>42948</v>
      </c>
      <c r="AG364" s="33">
        <f>IFERROR(Table2[[#This Row],[Importo annuale]]*VLOOKUP(Table2[[#This Row],[Ramo]],RAMI_POLIZZA,2,FALSE),0)</f>
        <v>16.100000000000001</v>
      </c>
      <c r="AH364" s="65" t="s">
        <v>113</v>
      </c>
      <c r="AI364" s="63" t="str">
        <f>IFERROR(VLOOKUP(Table2[[#This Row],[Contraente]],Table1[[Nome/Ragione sociale]:[Checkbox selezionato]],2,FALSE),"-")</f>
        <v>STRADELLA</v>
      </c>
      <c r="AJ364" s="63" t="str">
        <f>IFERROR(VLOOKUP(Table2[[#This Row],[Contraente]],Table1[[Nome/Ragione sociale]:[Checkbox selezionato]],3,FALSE),"-")</f>
        <v>-</v>
      </c>
      <c r="AK364" s="63">
        <f>IFERROR(VLOOKUP(Table2[[#This Row],[Contraente]],Table1[[Nome/Ragione sociale]:[Checkbox selezionato]],4,FALSE),"-")</f>
        <v>0</v>
      </c>
      <c r="AL364" s="63" t="str">
        <f>IFERROR(VLOOKUP(Table2[[#This Row],[Contraente]],Table1[[Nome/Ragione sociale]:[Checkbox selezionato]],5,FALSE),"-")</f>
        <v>-</v>
      </c>
      <c r="AM364" s="62">
        <f>IFERROR(VLOOKUP(Table2[[#This Row],[Contraente]],Table1[[Nome/Ragione sociale]:[Checkbox selezionato]],6,FALSE),"-")</f>
        <v>29402</v>
      </c>
      <c r="AN364" s="63" t="str">
        <f>IFERROR(VLOOKUP(Table2[[#This Row],[Contraente]],Table1[[Nome/Ragione sociale]:[Checkbox selezionato]],7,FALSE),"-")</f>
        <v>papies@email.it</v>
      </c>
      <c r="AO364" s="63">
        <f>IFERROR(VLOOKUP(Table2[[#This Row],[Contraente]],Table1[[Nome/Ragione sociale]:[Checkbox selezionato]],8,FALSE),"-")</f>
        <v>0</v>
      </c>
      <c r="AP364" s="63" t="str">
        <f>IFERROR(VLOOKUP(Table2[[#This Row],[Contraente]],Table1[[Nome/Ragione sociale]:[Checkbox selezionato]],10,FALSE),"-")</f>
        <v>-</v>
      </c>
      <c r="AQ364" s="63" t="str">
        <f>IFERROR(VLOOKUP(Table2[[#This Row],[Contraente]],Table1[[Nome/Ragione sociale]:[Checkbox selezionato]],11,FALSE),"-")</f>
        <v>SI</v>
      </c>
      <c r="AR364" s="63" t="str">
        <f>IFERROR(VLOOKUP(Table2[[#This Row],[Contraente]],Table1[[Nome/Ragione sociale]:[Checkbox selezionato]],12,FALSE),"-")</f>
        <v>SI</v>
      </c>
    </row>
    <row r="365" spans="1:44" ht="30" hidden="1" customHeight="1" x14ac:dyDescent="0.25">
      <c r="A365" s="60" t="str">
        <f>UPPER(LEFT(Table2[[#This Row],[Contraente]],1))</f>
        <v>C</v>
      </c>
      <c r="B365" s="60" t="s">
        <v>1634</v>
      </c>
      <c r="C365" s="81" t="s">
        <v>578</v>
      </c>
      <c r="D365" s="81" t="s">
        <v>37</v>
      </c>
      <c r="E365" s="86">
        <v>106051986</v>
      </c>
      <c r="F365" s="64">
        <v>42817</v>
      </c>
      <c r="G365" s="64">
        <f>IFERROR(CALCOLASCADENZA(Table2[[#This Row],[Data attivazione]],Table2[[#This Row],[Rateizzazione]],Table2[[#This Row],[Data ultimo pagamento]],Table2[[#This Row],[Data prossima scadenza manuale]]),"-")</f>
        <v>43001</v>
      </c>
      <c r="H365" s="67" t="s">
        <v>31</v>
      </c>
      <c r="I365" s="67" t="s">
        <v>1265</v>
      </c>
      <c r="J365" s="33">
        <f>IFERROR(Table2[[#This Row],[Importo annuale]]/(12/VLOOKUP(Table2[[#This Row],[Rateizzazione]],TIPI_RATEIZZAZIONI,2,FALSE)),"-")</f>
        <v>223</v>
      </c>
      <c r="K365" s="88">
        <v>223</v>
      </c>
      <c r="L365" s="88">
        <v>446</v>
      </c>
      <c r="M365" s="67" t="s">
        <v>43</v>
      </c>
      <c r="N365" s="67" t="s">
        <v>52</v>
      </c>
      <c r="O365" s="27" t="s">
        <v>1631</v>
      </c>
      <c r="P365" s="33" t="s">
        <v>22</v>
      </c>
      <c r="Q365" s="60">
        <f>IFERROR(IF(12 / VLOOKUP(Table2[[#This Row],[Rateizzazione]],TIPI_RATEIZZAZIONI,2,FALSE) &gt;=1,  IF(Table2[[#This Row],[Data attivazione]] = "","-",MONTH(Table2[[#This Row],[Data attivazione]])),"-"),"-")</f>
        <v>9</v>
      </c>
      <c r="R3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5" s="67" t="s">
        <v>2</v>
      </c>
      <c r="V365" s="62"/>
      <c r="W365" s="64">
        <v>42636</v>
      </c>
      <c r="X365" s="29">
        <f>DATE(YEAR(Table2[[#This Row],[Data attivazione]])+VLOOKUP(Table2[[#This Row],[Durata]],VALORE_DURATA,2,FALSE),MONTH(Table2[[#This Row],[Data attivazione]]),DAY(Table2[[#This Row],[Data attivazione]]))</f>
        <v>43001</v>
      </c>
      <c r="Y365" s="65"/>
      <c r="Z365" s="61"/>
      <c r="AA365" s="64" t="s">
        <v>85</v>
      </c>
      <c r="AB365" s="29" t="str">
        <f>IF(Table2[[#This Row],[Data ultimo versamento temp]]=0/1/1900,"-",Table2[[#This Row],[Data ultimo versamento temp]])</f>
        <v>-</v>
      </c>
      <c r="AC365" s="29">
        <f t="array" ref="AC365">MAX(IF(TableVersamenti[Polizza]=Table2[[#This Row],[Polizza]],TableVersamenti[Data prevista versamento],"-"))</f>
        <v>0</v>
      </c>
      <c r="AD365" s="62"/>
      <c r="AE365" s="106">
        <f>DATE(YEAR(Table2[[#This Row],[Data ultimo pagamento]]),MONTH(Table2[[#This Row],[Data ultimo pagamento]]), 1)</f>
        <v>42795</v>
      </c>
      <c r="AF365" s="106">
        <f>DATE(YEAR(Table2[[#This Row],[Data prossima scadenza]]),MONTH(Table2[[#This Row],[Data prossima scadenza]]), 1)</f>
        <v>42979</v>
      </c>
      <c r="AG365" s="33">
        <f>IFERROR(Table2[[#This Row],[Importo annuale]]*VLOOKUP(Table2[[#This Row],[Ramo]],RAMI_POLIZZA,2,FALSE),0)</f>
        <v>23.192</v>
      </c>
      <c r="AH365" s="65" t="s">
        <v>113</v>
      </c>
      <c r="AI365" s="63" t="str">
        <f>IFERROR(VLOOKUP(Table2[[#This Row],[Contraente]],Table1[[Nome/Ragione sociale]:[Checkbox selezionato]],2,FALSE),"-")</f>
        <v>FILIGHERA</v>
      </c>
      <c r="AJ365" s="63">
        <f>IFERROR(VLOOKUP(Table2[[#This Row],[Contraente]],Table1[[Nome/Ragione sociale]:[Checkbox selezionato]],3,FALSE),"-")</f>
        <v>3332896462</v>
      </c>
      <c r="AK365" s="63">
        <f>IFERROR(VLOOKUP(Table2[[#This Row],[Contraente]],Table1[[Nome/Ragione sociale]:[Checkbox selezionato]],4,FALSE),"-")</f>
        <v>0</v>
      </c>
      <c r="AL365" s="63" t="str">
        <f>IFERROR(VLOOKUP(Table2[[#This Row],[Contraente]],Table1[[Nome/Ragione sociale]:[Checkbox selezionato]],5,FALSE),"-")</f>
        <v>ALESSANDRO</v>
      </c>
      <c r="AM365" s="62">
        <f>IFERROR(VLOOKUP(Table2[[#This Row],[Contraente]],Table1[[Nome/Ragione sociale]:[Checkbox selezionato]],6,FALSE),"-")</f>
        <v>23851</v>
      </c>
      <c r="AN365" s="63" t="str">
        <f>IFERROR(VLOOKUP(Table2[[#This Row],[Contraente]],Table1[[Nome/Ragione sociale]:[Checkbox selezionato]],7,FALSE),"-")</f>
        <v>papies@libero.it</v>
      </c>
      <c r="AO365" s="63">
        <f>IFERROR(VLOOKUP(Table2[[#This Row],[Contraente]],Table1[[Nome/Ragione sociale]:[Checkbox selezionato]],8,FALSE),"-")</f>
        <v>0</v>
      </c>
      <c r="AP365" s="63">
        <f>IFERROR(VLOOKUP(Table2[[#This Row],[Contraente]],Table1[[Nome/Ragione sociale]:[Checkbox selezionato]],10,FALSE),"-")</f>
        <v>3332896462</v>
      </c>
      <c r="AQ365" s="63" t="str">
        <f>IFERROR(VLOOKUP(Table2[[#This Row],[Contraente]],Table1[[Nome/Ragione sociale]:[Checkbox selezionato]],11,FALSE),"-")</f>
        <v>SI</v>
      </c>
      <c r="AR365" s="63" t="str">
        <f>IFERROR(VLOOKUP(Table2[[#This Row],[Contraente]],Table1[[Nome/Ragione sociale]:[Checkbox selezionato]],12,FALSE),"-")</f>
        <v>SI</v>
      </c>
    </row>
    <row r="366" spans="1:44" ht="30" hidden="1" customHeight="1" x14ac:dyDescent="0.25">
      <c r="A366" s="60" t="str">
        <f>UPPER(LEFT(Table2[[#This Row],[Contraente]],1))</f>
        <v>C</v>
      </c>
      <c r="B366" s="60" t="s">
        <v>1634</v>
      </c>
      <c r="C366" s="81" t="s">
        <v>114</v>
      </c>
      <c r="D366" s="81" t="s">
        <v>37</v>
      </c>
      <c r="E366" s="86">
        <v>105802104</v>
      </c>
      <c r="F366" s="64">
        <v>42923</v>
      </c>
      <c r="G366" s="64">
        <f>IFERROR(CALCOLASCADENZA(Table2[[#This Row],[Data attivazione]],Table2[[#This Row],[Rateizzazione]],Table2[[#This Row],[Data ultimo pagamento]],Table2[[#This Row],[Data prossima scadenza manuale]]),"-")</f>
        <v>43286</v>
      </c>
      <c r="H366" s="67" t="s">
        <v>30</v>
      </c>
      <c r="I366" s="67" t="s">
        <v>113</v>
      </c>
      <c r="J366" s="33">
        <f>IFERROR(Table2[[#This Row],[Importo annuale]]/(12/VLOOKUP(Table2[[#This Row],[Rateizzazione]],TIPI_RATEIZZAZIONI,2,FALSE)),"-")</f>
        <v>500</v>
      </c>
      <c r="K366" s="88">
        <v>500</v>
      </c>
      <c r="L366" s="88">
        <v>500</v>
      </c>
      <c r="M366" s="67" t="s">
        <v>43</v>
      </c>
      <c r="N366" s="67" t="s">
        <v>51</v>
      </c>
      <c r="O366" s="27" t="s">
        <v>1631</v>
      </c>
      <c r="P366" s="33" t="s">
        <v>23</v>
      </c>
      <c r="Q366" s="60">
        <f>IFERROR(IF(12 / VLOOKUP(Table2[[#This Row],[Rateizzazione]],TIPI_RATEIZZAZIONI,2,FALSE) &gt;=1,  IF(Table2[[#This Row],[Data attivazione]] = "","-",MONTH(Table2[[#This Row],[Data attivazione]])),"-"),"-")</f>
        <v>7</v>
      </c>
      <c r="R3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6" s="67" t="s">
        <v>2</v>
      </c>
      <c r="V366" s="62"/>
      <c r="W366" s="64">
        <v>42921</v>
      </c>
      <c r="X366" s="29">
        <f>DATE(YEAR(Table2[[#This Row],[Data attivazione]])+VLOOKUP(Table2[[#This Row],[Durata]],VALORE_DURATA,2,FALSE),MONTH(Table2[[#This Row],[Data attivazione]]),DAY(Table2[[#This Row],[Data attivazione]]))</f>
        <v>43286</v>
      </c>
      <c r="Y366" s="65"/>
      <c r="Z366" s="61"/>
      <c r="AA366" s="64" t="s">
        <v>85</v>
      </c>
      <c r="AB366" s="29">
        <f>IF(Table2[[#This Row],[Data ultimo versamento temp]]=0/1/1900,"-",Table2[[#This Row],[Data ultimo versamento temp]])</f>
        <v>42926</v>
      </c>
      <c r="AC366" s="29">
        <f t="array" ref="AC366">MAX(IF(TableVersamenti[Polizza]=Table2[[#This Row],[Polizza]],TableVersamenti[Data prevista versamento],"-"))</f>
        <v>42926</v>
      </c>
      <c r="AD366" s="62"/>
      <c r="AE366" s="106">
        <f>DATE(YEAR(Table2[[#This Row],[Data ultimo pagamento]]),MONTH(Table2[[#This Row],[Data ultimo pagamento]]), 1)</f>
        <v>42917</v>
      </c>
      <c r="AF366" s="106">
        <f>DATE(YEAR(Table2[[#This Row],[Data prossima scadenza]]),MONTH(Table2[[#This Row],[Data prossima scadenza]]), 1)</f>
        <v>43282</v>
      </c>
      <c r="AG366" s="33">
        <f>IFERROR(Table2[[#This Row],[Importo annuale]]*VLOOKUP(Table2[[#This Row],[Ramo]],RAMI_POLIZZA,2,FALSE),0)</f>
        <v>57.5</v>
      </c>
      <c r="AH366" s="65" t="s">
        <v>113</v>
      </c>
      <c r="AI366" s="63" t="str">
        <f>IFERROR(VLOOKUP(Table2[[#This Row],[Contraente]],Table1[[Nome/Ragione sociale]:[Checkbox selezionato]],2,FALSE),"-")</f>
        <v>FILIGHERA</v>
      </c>
      <c r="AJ366" s="63">
        <f>IFERROR(VLOOKUP(Table2[[#This Row],[Contraente]],Table1[[Nome/Ragione sociale]:[Checkbox selezionato]],3,FALSE),"-")</f>
        <v>3349523666</v>
      </c>
      <c r="AK366" s="63">
        <f>IFERROR(VLOOKUP(Table2[[#This Row],[Contraente]],Table1[[Nome/Ragione sociale]:[Checkbox selezionato]],4,FALSE),"-")</f>
        <v>0</v>
      </c>
      <c r="AL366" s="63" t="str">
        <f>IFERROR(VLOOKUP(Table2[[#This Row],[Contraente]],Table1[[Nome/Ragione sociale]:[Checkbox selezionato]],5,FALSE),"-")</f>
        <v>ADRIANO</v>
      </c>
      <c r="AM366" s="62">
        <f>IFERROR(VLOOKUP(Table2[[#This Row],[Contraente]],Table1[[Nome/Ragione sociale]:[Checkbox selezionato]],6,FALSE),"-")</f>
        <v>17244</v>
      </c>
      <c r="AN366" s="63" t="str">
        <f>IFERROR(VLOOKUP(Table2[[#This Row],[Contraente]],Table1[[Nome/Ragione sociale]:[Checkbox selezionato]],7,FALSE),"-")</f>
        <v>papies@libero.it</v>
      </c>
      <c r="AO366" s="63">
        <f>IFERROR(VLOOKUP(Table2[[#This Row],[Contraente]],Table1[[Nome/Ragione sociale]:[Checkbox selezionato]],8,FALSE),"-")</f>
        <v>0</v>
      </c>
      <c r="AP366" s="63">
        <f>IFERROR(VLOOKUP(Table2[[#This Row],[Contraente]],Table1[[Nome/Ragione sociale]:[Checkbox selezionato]],10,FALSE),"-")</f>
        <v>3349523666</v>
      </c>
      <c r="AQ366" s="63" t="str">
        <f>IFERROR(VLOOKUP(Table2[[#This Row],[Contraente]],Table1[[Nome/Ragione sociale]:[Checkbox selezionato]],11,FALSE),"-")</f>
        <v>SI</v>
      </c>
      <c r="AR366" s="63" t="str">
        <f>IFERROR(VLOOKUP(Table2[[#This Row],[Contraente]],Table1[[Nome/Ragione sociale]:[Checkbox selezionato]],12,FALSE),"-")</f>
        <v>SI</v>
      </c>
    </row>
    <row r="367" spans="1:44" ht="30" hidden="1" customHeight="1" x14ac:dyDescent="0.25">
      <c r="A367" s="60" t="str">
        <f>UPPER(LEFT(Table2[[#This Row],[Contraente]],1))</f>
        <v>C</v>
      </c>
      <c r="B367" s="60" t="s">
        <v>1634</v>
      </c>
      <c r="C367" s="81" t="s">
        <v>114</v>
      </c>
      <c r="D367" s="81" t="s">
        <v>37</v>
      </c>
      <c r="E367" s="86">
        <v>106804965</v>
      </c>
      <c r="F367" s="64">
        <v>42859</v>
      </c>
      <c r="G367" s="64">
        <f>IFERROR(CALCOLASCADENZA(Table2[[#This Row],[Data attivazione]],Table2[[#This Row],[Rateizzazione]],Table2[[#This Row],[Data ultimo pagamento]],Table2[[#This Row],[Data prossima scadenza manuale]]),"-")</f>
        <v>43241</v>
      </c>
      <c r="H367" s="67" t="s">
        <v>31</v>
      </c>
      <c r="I367" s="67" t="s">
        <v>1267</v>
      </c>
      <c r="J367" s="33">
        <f>IFERROR(Table2[[#This Row],[Importo annuale]]/(12/VLOOKUP(Table2[[#This Row],[Rateizzazione]],TIPI_RATEIZZAZIONI,2,FALSE)),"-")</f>
        <v>240</v>
      </c>
      <c r="K367" s="88">
        <v>240</v>
      </c>
      <c r="L367" s="88">
        <v>240</v>
      </c>
      <c r="M367" s="67" t="s">
        <v>43</v>
      </c>
      <c r="N367" s="67" t="s">
        <v>51</v>
      </c>
      <c r="O367" s="27" t="s">
        <v>1631</v>
      </c>
      <c r="P367" s="33" t="s">
        <v>23</v>
      </c>
      <c r="Q367" s="60">
        <f>IFERROR(IF(12 / VLOOKUP(Table2[[#This Row],[Rateizzazione]],TIPI_RATEIZZAZIONI,2,FALSE) &gt;=1,  IF(Table2[[#This Row],[Data attivazione]] = "","-",MONTH(Table2[[#This Row],[Data attivazione]])),"-"),"-")</f>
        <v>5</v>
      </c>
      <c r="R3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7" s="67" t="s">
        <v>2</v>
      </c>
      <c r="V367" s="62"/>
      <c r="W367" s="64">
        <v>42876</v>
      </c>
      <c r="X367" s="29">
        <f>DATE(YEAR(Table2[[#This Row],[Data attivazione]])+VLOOKUP(Table2[[#This Row],[Durata]],VALORE_DURATA,2,FALSE),MONTH(Table2[[#This Row],[Data attivazione]]),DAY(Table2[[#This Row],[Data attivazione]]))</f>
        <v>43241</v>
      </c>
      <c r="Y367" s="65"/>
      <c r="Z367" s="61"/>
      <c r="AA367" s="64" t="s">
        <v>85</v>
      </c>
      <c r="AB367" s="29" t="str">
        <f>IF(Table2[[#This Row],[Data ultimo versamento temp]]=0/1/1900,"-",Table2[[#This Row],[Data ultimo versamento temp]])</f>
        <v>-</v>
      </c>
      <c r="AC367" s="29">
        <f t="array" ref="AC367">MAX(IF(TableVersamenti[Polizza]=Table2[[#This Row],[Polizza]],TableVersamenti[Data prevista versamento],"-"))</f>
        <v>0</v>
      </c>
      <c r="AD367" s="62"/>
      <c r="AE367" s="106">
        <f>DATE(YEAR(Table2[[#This Row],[Data ultimo pagamento]]),MONTH(Table2[[#This Row],[Data ultimo pagamento]]), 1)</f>
        <v>42856</v>
      </c>
      <c r="AF367" s="106">
        <f>DATE(YEAR(Table2[[#This Row],[Data prossima scadenza]]),MONTH(Table2[[#This Row],[Data prossima scadenza]]), 1)</f>
        <v>43221</v>
      </c>
      <c r="AG367" s="33">
        <f>IFERROR(Table2[[#This Row],[Importo annuale]]*VLOOKUP(Table2[[#This Row],[Ramo]],RAMI_POLIZZA,2,FALSE),0)</f>
        <v>12.479999999999999</v>
      </c>
      <c r="AH367" s="65" t="s">
        <v>113</v>
      </c>
      <c r="AI367" s="63" t="str">
        <f>IFERROR(VLOOKUP(Table2[[#This Row],[Contraente]],Table1[[Nome/Ragione sociale]:[Checkbox selezionato]],2,FALSE),"-")</f>
        <v>FILIGHERA</v>
      </c>
      <c r="AJ367" s="63">
        <f>IFERROR(VLOOKUP(Table2[[#This Row],[Contraente]],Table1[[Nome/Ragione sociale]:[Checkbox selezionato]],3,FALSE),"-")</f>
        <v>3349523666</v>
      </c>
      <c r="AK367" s="63">
        <f>IFERROR(VLOOKUP(Table2[[#This Row],[Contraente]],Table1[[Nome/Ragione sociale]:[Checkbox selezionato]],4,FALSE),"-")</f>
        <v>0</v>
      </c>
      <c r="AL367" s="63" t="str">
        <f>IFERROR(VLOOKUP(Table2[[#This Row],[Contraente]],Table1[[Nome/Ragione sociale]:[Checkbox selezionato]],5,FALSE),"-")</f>
        <v>ADRIANO</v>
      </c>
      <c r="AM367" s="62">
        <f>IFERROR(VLOOKUP(Table2[[#This Row],[Contraente]],Table1[[Nome/Ragione sociale]:[Checkbox selezionato]],6,FALSE),"-")</f>
        <v>17244</v>
      </c>
      <c r="AN367" s="63" t="str">
        <f>IFERROR(VLOOKUP(Table2[[#This Row],[Contraente]],Table1[[Nome/Ragione sociale]:[Checkbox selezionato]],7,FALSE),"-")</f>
        <v>papies@libero.it</v>
      </c>
      <c r="AO367" s="63">
        <f>IFERROR(VLOOKUP(Table2[[#This Row],[Contraente]],Table1[[Nome/Ragione sociale]:[Checkbox selezionato]],8,FALSE),"-")</f>
        <v>0</v>
      </c>
      <c r="AP367" s="63">
        <f>IFERROR(VLOOKUP(Table2[[#This Row],[Contraente]],Table1[[Nome/Ragione sociale]:[Checkbox selezionato]],10,FALSE),"-")</f>
        <v>3349523666</v>
      </c>
      <c r="AQ367" s="63" t="str">
        <f>IFERROR(VLOOKUP(Table2[[#This Row],[Contraente]],Table1[[Nome/Ragione sociale]:[Checkbox selezionato]],11,FALSE),"-")</f>
        <v>SI</v>
      </c>
      <c r="AR367" s="63" t="str">
        <f>IFERROR(VLOOKUP(Table2[[#This Row],[Contraente]],Table1[[Nome/Ragione sociale]:[Checkbox selezionato]],12,FALSE),"-")</f>
        <v>SI</v>
      </c>
    </row>
    <row r="368" spans="1:44" ht="30" hidden="1" customHeight="1" x14ac:dyDescent="0.25">
      <c r="A368" s="60" t="str">
        <f>UPPER(LEFT(Table2[[#This Row],[Contraente]],1))</f>
        <v>C</v>
      </c>
      <c r="B368" s="60" t="s">
        <v>1634</v>
      </c>
      <c r="C368" s="81" t="s">
        <v>114</v>
      </c>
      <c r="D368" s="81" t="s">
        <v>37</v>
      </c>
      <c r="E368" s="86">
        <v>105945949</v>
      </c>
      <c r="F368" s="64">
        <v>42772</v>
      </c>
      <c r="G368" s="64">
        <f>IFERROR(CALCOLASCADENZA(Table2[[#This Row],[Data attivazione]],Table2[[#This Row],[Rateizzazione]],Table2[[#This Row],[Data ultimo pagamento]],Table2[[#This Row],[Data prossima scadenza manuale]]),"-")</f>
        <v>42951</v>
      </c>
      <c r="H368" s="67" t="s">
        <v>31</v>
      </c>
      <c r="I368" s="67" t="s">
        <v>1266</v>
      </c>
      <c r="J368" s="33">
        <f>IFERROR(Table2[[#This Row],[Importo annuale]]/(12/VLOOKUP(Table2[[#This Row],[Rateizzazione]],TIPI_RATEIZZAZIONI,2,FALSE)),"-")</f>
        <v>310</v>
      </c>
      <c r="K368" s="88">
        <v>310</v>
      </c>
      <c r="L368" s="88">
        <v>620</v>
      </c>
      <c r="M368" s="67" t="s">
        <v>43</v>
      </c>
      <c r="N368" s="67" t="s">
        <v>51</v>
      </c>
      <c r="O368" s="27" t="s">
        <v>1631</v>
      </c>
      <c r="P368" s="33" t="s">
        <v>22</v>
      </c>
      <c r="Q368" s="60">
        <f>IFERROR(IF(12 / VLOOKUP(Table2[[#This Row],[Rateizzazione]],TIPI_RATEIZZAZIONI,2,FALSE) &gt;=1,  IF(Table2[[#This Row],[Data attivazione]] = "","-",MONTH(Table2[[#This Row],[Data attivazione]])),"-"),"-")</f>
        <v>8</v>
      </c>
      <c r="R3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8" s="67" t="s">
        <v>2</v>
      </c>
      <c r="V368" s="62"/>
      <c r="W368" s="64">
        <v>42586</v>
      </c>
      <c r="X368" s="29">
        <f>DATE(YEAR(Table2[[#This Row],[Data attivazione]])+VLOOKUP(Table2[[#This Row],[Durata]],VALORE_DURATA,2,FALSE),MONTH(Table2[[#This Row],[Data attivazione]]),DAY(Table2[[#This Row],[Data attivazione]]))</f>
        <v>42951</v>
      </c>
      <c r="Y368" s="65"/>
      <c r="Z368" s="61"/>
      <c r="AA368" s="64" t="s">
        <v>85</v>
      </c>
      <c r="AB368" s="29" t="str">
        <f>IF(Table2[[#This Row],[Data ultimo versamento temp]]=0/1/1900,"-",Table2[[#This Row],[Data ultimo versamento temp]])</f>
        <v>-</v>
      </c>
      <c r="AC368" s="29">
        <f t="array" ref="AC368">MAX(IF(TableVersamenti[Polizza]=Table2[[#This Row],[Polizza]],TableVersamenti[Data prevista versamento],"-"))</f>
        <v>0</v>
      </c>
      <c r="AD368" s="62"/>
      <c r="AE368" s="106">
        <f>DATE(YEAR(Table2[[#This Row],[Data ultimo pagamento]]),MONTH(Table2[[#This Row],[Data ultimo pagamento]]), 1)</f>
        <v>42767</v>
      </c>
      <c r="AF368" s="106">
        <f>DATE(YEAR(Table2[[#This Row],[Data prossima scadenza]]),MONTH(Table2[[#This Row],[Data prossima scadenza]]), 1)</f>
        <v>42948</v>
      </c>
      <c r="AG368" s="33">
        <f>IFERROR(Table2[[#This Row],[Importo annuale]]*VLOOKUP(Table2[[#This Row],[Ramo]],RAMI_POLIZZA,2,FALSE),0)</f>
        <v>32.24</v>
      </c>
      <c r="AH368" s="65" t="s">
        <v>113</v>
      </c>
      <c r="AI368" s="63" t="str">
        <f>IFERROR(VLOOKUP(Table2[[#This Row],[Contraente]],Table1[[Nome/Ragione sociale]:[Checkbox selezionato]],2,FALSE),"-")</f>
        <v>FILIGHERA</v>
      </c>
      <c r="AJ368" s="63">
        <f>IFERROR(VLOOKUP(Table2[[#This Row],[Contraente]],Table1[[Nome/Ragione sociale]:[Checkbox selezionato]],3,FALSE),"-")</f>
        <v>3349523666</v>
      </c>
      <c r="AK368" s="63">
        <f>IFERROR(VLOOKUP(Table2[[#This Row],[Contraente]],Table1[[Nome/Ragione sociale]:[Checkbox selezionato]],4,FALSE),"-")</f>
        <v>0</v>
      </c>
      <c r="AL368" s="63" t="str">
        <f>IFERROR(VLOOKUP(Table2[[#This Row],[Contraente]],Table1[[Nome/Ragione sociale]:[Checkbox selezionato]],5,FALSE),"-")</f>
        <v>ADRIANO</v>
      </c>
      <c r="AM368" s="62">
        <f>IFERROR(VLOOKUP(Table2[[#This Row],[Contraente]],Table1[[Nome/Ragione sociale]:[Checkbox selezionato]],6,FALSE),"-")</f>
        <v>17244</v>
      </c>
      <c r="AN368" s="63" t="str">
        <f>IFERROR(VLOOKUP(Table2[[#This Row],[Contraente]],Table1[[Nome/Ragione sociale]:[Checkbox selezionato]],7,FALSE),"-")</f>
        <v>papies@libero.it</v>
      </c>
      <c r="AO368" s="63">
        <f>IFERROR(VLOOKUP(Table2[[#This Row],[Contraente]],Table1[[Nome/Ragione sociale]:[Checkbox selezionato]],8,FALSE),"-")</f>
        <v>0</v>
      </c>
      <c r="AP368" s="63">
        <f>IFERROR(VLOOKUP(Table2[[#This Row],[Contraente]],Table1[[Nome/Ragione sociale]:[Checkbox selezionato]],10,FALSE),"-")</f>
        <v>3349523666</v>
      </c>
      <c r="AQ368" s="63" t="str">
        <f>IFERROR(VLOOKUP(Table2[[#This Row],[Contraente]],Table1[[Nome/Ragione sociale]:[Checkbox selezionato]],11,FALSE),"-")</f>
        <v>SI</v>
      </c>
      <c r="AR368" s="63" t="str">
        <f>IFERROR(VLOOKUP(Table2[[#This Row],[Contraente]],Table1[[Nome/Ragione sociale]:[Checkbox selezionato]],12,FALSE),"-")</f>
        <v>SI</v>
      </c>
    </row>
    <row r="369" spans="1:44" ht="30" hidden="1" customHeight="1" x14ac:dyDescent="0.25">
      <c r="A369" s="60" t="str">
        <f>UPPER(LEFT(Table2[[#This Row],[Contraente]],1))</f>
        <v>C</v>
      </c>
      <c r="B369" s="60" t="s">
        <v>1634</v>
      </c>
      <c r="C369" s="81" t="s">
        <v>114</v>
      </c>
      <c r="D369" s="81" t="s">
        <v>37</v>
      </c>
      <c r="E369" s="86">
        <v>104729059</v>
      </c>
      <c r="F369" s="64">
        <v>42772</v>
      </c>
      <c r="G369" s="64">
        <f>IFERROR(CALCOLASCADENZA(Table2[[#This Row],[Data attivazione]],Table2[[#This Row],[Rateizzazione]],Table2[[#This Row],[Data ultimo pagamento]],Table2[[#This Row],[Data prossima scadenza manuale]]),"-")</f>
        <v>42952</v>
      </c>
      <c r="H369" s="67" t="s">
        <v>30</v>
      </c>
      <c r="I369" s="67" t="s">
        <v>113</v>
      </c>
      <c r="J369" s="33">
        <f>IFERROR(Table2[[#This Row],[Importo annuale]]/(12/VLOOKUP(Table2[[#This Row],[Rateizzazione]],TIPI_RATEIZZAZIONI,2,FALSE)),"-")</f>
        <v>32</v>
      </c>
      <c r="K369" s="88">
        <v>32</v>
      </c>
      <c r="L369" s="88">
        <v>64</v>
      </c>
      <c r="M369" s="67" t="s">
        <v>43</v>
      </c>
      <c r="N369" s="67" t="s">
        <v>51</v>
      </c>
      <c r="O369" s="27" t="s">
        <v>1631</v>
      </c>
      <c r="P369" s="33" t="s">
        <v>22</v>
      </c>
      <c r="Q369" s="60">
        <f>IFERROR(IF(12 / VLOOKUP(Table2[[#This Row],[Rateizzazione]],TIPI_RATEIZZAZIONI,2,FALSE) &gt;=1,  IF(Table2[[#This Row],[Data attivazione]] = "","-",MONTH(Table2[[#This Row],[Data attivazione]])),"-"),"-")</f>
        <v>8</v>
      </c>
      <c r="R3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9" s="67" t="s">
        <v>2</v>
      </c>
      <c r="V369" s="62"/>
      <c r="W369" s="64">
        <v>42587</v>
      </c>
      <c r="X369" s="29">
        <f>DATE(YEAR(Table2[[#This Row],[Data attivazione]])+VLOOKUP(Table2[[#This Row],[Durata]],VALORE_DURATA,2,FALSE),MONTH(Table2[[#This Row],[Data attivazione]]),DAY(Table2[[#This Row],[Data attivazione]]))</f>
        <v>42952</v>
      </c>
      <c r="Y369" s="65"/>
      <c r="Z369" s="61"/>
      <c r="AA369" s="64" t="s">
        <v>85</v>
      </c>
      <c r="AB369" s="29" t="str">
        <f>IF(Table2[[#This Row],[Data ultimo versamento temp]]=0/1/1900,"-",Table2[[#This Row],[Data ultimo versamento temp]])</f>
        <v>-</v>
      </c>
      <c r="AC369" s="29">
        <f t="array" ref="AC369">MAX(IF(TableVersamenti[Polizza]=Table2[[#This Row],[Polizza]],TableVersamenti[Data prevista versamento],"-"))</f>
        <v>0</v>
      </c>
      <c r="AD369" s="62"/>
      <c r="AE369" s="106">
        <f>DATE(YEAR(Table2[[#This Row],[Data ultimo pagamento]]),MONTH(Table2[[#This Row],[Data ultimo pagamento]]), 1)</f>
        <v>42767</v>
      </c>
      <c r="AF369" s="106">
        <f>DATE(YEAR(Table2[[#This Row],[Data prossima scadenza]]),MONTH(Table2[[#This Row],[Data prossima scadenza]]), 1)</f>
        <v>42948</v>
      </c>
      <c r="AG369" s="33">
        <f>IFERROR(Table2[[#This Row],[Importo annuale]]*VLOOKUP(Table2[[#This Row],[Ramo]],RAMI_POLIZZA,2,FALSE),0)</f>
        <v>7.36</v>
      </c>
      <c r="AH369" s="65" t="s">
        <v>113</v>
      </c>
      <c r="AI369" s="63" t="str">
        <f>IFERROR(VLOOKUP(Table2[[#This Row],[Contraente]],Table1[[Nome/Ragione sociale]:[Checkbox selezionato]],2,FALSE),"-")</f>
        <v>FILIGHERA</v>
      </c>
      <c r="AJ369" s="63">
        <f>IFERROR(VLOOKUP(Table2[[#This Row],[Contraente]],Table1[[Nome/Ragione sociale]:[Checkbox selezionato]],3,FALSE),"-")</f>
        <v>3349523666</v>
      </c>
      <c r="AK369" s="63">
        <f>IFERROR(VLOOKUP(Table2[[#This Row],[Contraente]],Table1[[Nome/Ragione sociale]:[Checkbox selezionato]],4,FALSE),"-")</f>
        <v>0</v>
      </c>
      <c r="AL369" s="63" t="str">
        <f>IFERROR(VLOOKUP(Table2[[#This Row],[Contraente]],Table1[[Nome/Ragione sociale]:[Checkbox selezionato]],5,FALSE),"-")</f>
        <v>ADRIANO</v>
      </c>
      <c r="AM369" s="62">
        <f>IFERROR(VLOOKUP(Table2[[#This Row],[Contraente]],Table1[[Nome/Ragione sociale]:[Checkbox selezionato]],6,FALSE),"-")</f>
        <v>17244</v>
      </c>
      <c r="AN369" s="63" t="str">
        <f>IFERROR(VLOOKUP(Table2[[#This Row],[Contraente]],Table1[[Nome/Ragione sociale]:[Checkbox selezionato]],7,FALSE),"-")</f>
        <v>papies@libero.it</v>
      </c>
      <c r="AO369" s="63">
        <f>IFERROR(VLOOKUP(Table2[[#This Row],[Contraente]],Table1[[Nome/Ragione sociale]:[Checkbox selezionato]],8,FALSE),"-")</f>
        <v>0</v>
      </c>
      <c r="AP369" s="63">
        <f>IFERROR(VLOOKUP(Table2[[#This Row],[Contraente]],Table1[[Nome/Ragione sociale]:[Checkbox selezionato]],10,FALSE),"-")</f>
        <v>3349523666</v>
      </c>
      <c r="AQ369" s="63" t="str">
        <f>IFERROR(VLOOKUP(Table2[[#This Row],[Contraente]],Table1[[Nome/Ragione sociale]:[Checkbox selezionato]],11,FALSE),"-")</f>
        <v>SI</v>
      </c>
      <c r="AR369" s="63" t="str">
        <f>IFERROR(VLOOKUP(Table2[[#This Row],[Contraente]],Table1[[Nome/Ragione sociale]:[Checkbox selezionato]],12,FALSE),"-")</f>
        <v>SI</v>
      </c>
    </row>
    <row r="370" spans="1:44" ht="30" hidden="1" customHeight="1" x14ac:dyDescent="0.25">
      <c r="A370" s="60" t="str">
        <f>UPPER(LEFT(Table2[[#This Row],[Contraente]],1))</f>
        <v>C</v>
      </c>
      <c r="B370" s="60" t="s">
        <v>1634</v>
      </c>
      <c r="C370" s="81" t="s">
        <v>579</v>
      </c>
      <c r="D370" s="81" t="s">
        <v>37</v>
      </c>
      <c r="E370" s="86">
        <v>107046969</v>
      </c>
      <c r="F370" s="64">
        <v>42914</v>
      </c>
      <c r="G370" s="64">
        <f>IFERROR(CALCOLASCADENZA(Table2[[#This Row],[Data attivazione]],Table2[[#This Row],[Rateizzazione]],Table2[[#This Row],[Data ultimo pagamento]],Table2[[#This Row],[Data prossima scadenza manuale]]),"-")</f>
        <v>43036</v>
      </c>
      <c r="H370" s="67" t="s">
        <v>31</v>
      </c>
      <c r="I370" s="67" t="s">
        <v>1268</v>
      </c>
      <c r="J370" s="33">
        <f>IFERROR(Table2[[#This Row],[Importo annuale]]/(12/VLOOKUP(Table2[[#This Row],[Rateizzazione]],TIPI_RATEIZZAZIONI,2,FALSE)),"-")</f>
        <v>150</v>
      </c>
      <c r="K370" s="88">
        <v>295</v>
      </c>
      <c r="L370" s="88">
        <v>450</v>
      </c>
      <c r="M370" s="67" t="s">
        <v>43</v>
      </c>
      <c r="N370" s="67" t="s">
        <v>52</v>
      </c>
      <c r="O370" s="27" t="s">
        <v>1631</v>
      </c>
      <c r="P370" s="33" t="s">
        <v>21</v>
      </c>
      <c r="Q370" s="60">
        <f>IFERROR(IF(12 / VLOOKUP(Table2[[#This Row],[Rateizzazione]],TIPI_RATEIZZAZIONI,2,FALSE) &gt;=1,  IF(Table2[[#This Row],[Data attivazione]] = "","-",MONTH(Table2[[#This Row],[Data attivazione]])),"-"),"-")</f>
        <v>10</v>
      </c>
      <c r="R3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7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3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0" s="67" t="s">
        <v>2</v>
      </c>
      <c r="V370" s="62"/>
      <c r="W370" s="64">
        <v>42671</v>
      </c>
      <c r="X370" s="29">
        <f>DATE(YEAR(Table2[[#This Row],[Data attivazione]])+VLOOKUP(Table2[[#This Row],[Durata]],VALORE_DURATA,2,FALSE),MONTH(Table2[[#This Row],[Data attivazione]]),DAY(Table2[[#This Row],[Data attivazione]]))</f>
        <v>43036</v>
      </c>
      <c r="Y370" s="65"/>
      <c r="Z370" s="61"/>
      <c r="AA370" s="64" t="s">
        <v>85</v>
      </c>
      <c r="AB370" s="29" t="str">
        <f>IF(Table2[[#This Row],[Data ultimo versamento temp]]=0/1/1900,"-",Table2[[#This Row],[Data ultimo versamento temp]])</f>
        <v>-</v>
      </c>
      <c r="AC370" s="29">
        <f t="array" ref="AC370">MAX(IF(TableVersamenti[Polizza]=Table2[[#This Row],[Polizza]],TableVersamenti[Data prevista versamento],"-"))</f>
        <v>0</v>
      </c>
      <c r="AD370" s="62"/>
      <c r="AE370" s="106">
        <f>DATE(YEAR(Table2[[#This Row],[Data ultimo pagamento]]),MONTH(Table2[[#This Row],[Data ultimo pagamento]]), 1)</f>
        <v>42887</v>
      </c>
      <c r="AF370" s="106">
        <f>DATE(YEAR(Table2[[#This Row],[Data prossima scadenza]]),MONTH(Table2[[#This Row],[Data prossima scadenza]]), 1)</f>
        <v>43009</v>
      </c>
      <c r="AG370" s="33">
        <f>IFERROR(Table2[[#This Row],[Importo annuale]]*VLOOKUP(Table2[[#This Row],[Ramo]],RAMI_POLIZZA,2,FALSE),0)</f>
        <v>23.4</v>
      </c>
      <c r="AH370" s="65" t="s">
        <v>113</v>
      </c>
      <c r="AI370" s="63" t="str">
        <f>IFERROR(VLOOKUP(Table2[[#This Row],[Contraente]],Table1[[Nome/Ragione sociale]:[Checkbox selezionato]],2,FALSE),"-")</f>
        <v>FILIGHERA</v>
      </c>
      <c r="AJ370" s="63">
        <f>IFERROR(VLOOKUP(Table2[[#This Row],[Contraente]],Table1[[Nome/Ragione sociale]:[Checkbox selezionato]],3,FALSE),"-")</f>
        <v>3288035576</v>
      </c>
      <c r="AK370" s="63">
        <f>IFERROR(VLOOKUP(Table2[[#This Row],[Contraente]],Table1[[Nome/Ragione sociale]:[Checkbox selezionato]],4,FALSE),"-")</f>
        <v>0</v>
      </c>
      <c r="AL370" s="63" t="str">
        <f>IFERROR(VLOOKUP(Table2[[#This Row],[Contraente]],Table1[[Nome/Ragione sociale]:[Checkbox selezionato]],5,FALSE),"-")</f>
        <v>ALESSANDRO</v>
      </c>
      <c r="AM370" s="62">
        <f>IFERROR(VLOOKUP(Table2[[#This Row],[Contraente]],Table1[[Nome/Ragione sociale]:[Checkbox selezionato]],6,FALSE),"-")</f>
        <v>27312</v>
      </c>
      <c r="AN370" s="63" t="str">
        <f>IFERROR(VLOOKUP(Table2[[#This Row],[Contraente]],Table1[[Nome/Ragione sociale]:[Checkbox selezionato]],7,FALSE),"-")</f>
        <v>papies@email.it</v>
      </c>
      <c r="AO370" s="63">
        <f>IFERROR(VLOOKUP(Table2[[#This Row],[Contraente]],Table1[[Nome/Ragione sociale]:[Checkbox selezionato]],8,FALSE),"-")</f>
        <v>0</v>
      </c>
      <c r="AP370" s="63">
        <f>IFERROR(VLOOKUP(Table2[[#This Row],[Contraente]],Table1[[Nome/Ragione sociale]:[Checkbox selezionato]],10,FALSE),"-")</f>
        <v>3288035576</v>
      </c>
      <c r="AQ370" s="63" t="str">
        <f>IFERROR(VLOOKUP(Table2[[#This Row],[Contraente]],Table1[[Nome/Ragione sociale]:[Checkbox selezionato]],11,FALSE),"-")</f>
        <v>SI</v>
      </c>
      <c r="AR370" s="63" t="str">
        <f>IFERROR(VLOOKUP(Table2[[#This Row],[Contraente]],Table1[[Nome/Ragione sociale]:[Checkbox selezionato]],12,FALSE),"-")</f>
        <v>SI</v>
      </c>
    </row>
    <row r="371" spans="1:44" ht="30" hidden="1" customHeight="1" x14ac:dyDescent="0.25">
      <c r="A371" s="60" t="str">
        <f>UPPER(LEFT(Table2[[#This Row],[Contraente]],1))</f>
        <v>C</v>
      </c>
      <c r="B371" s="60" t="s">
        <v>1634</v>
      </c>
      <c r="C371" s="81" t="s">
        <v>571</v>
      </c>
      <c r="D371" s="81" t="s">
        <v>37</v>
      </c>
      <c r="E371" s="86">
        <v>106657518</v>
      </c>
      <c r="F371" s="64">
        <v>42816</v>
      </c>
      <c r="G371" s="64">
        <f>IFERROR(CALCOLASCADENZA(Table2[[#This Row],[Data attivazione]],Table2[[#This Row],[Rateizzazione]],Table2[[#This Row],[Data ultimo pagamento]],Table2[[#This Row],[Data prossima scadenza manuale]]),"-")</f>
        <v>43167</v>
      </c>
      <c r="H371" s="67" t="s">
        <v>31</v>
      </c>
      <c r="I371" s="67" t="s">
        <v>1261</v>
      </c>
      <c r="J371" s="33">
        <f>IFERROR(Table2[[#This Row],[Importo annuale]]/(12/VLOOKUP(Table2[[#This Row],[Rateizzazione]],TIPI_RATEIZZAZIONI,2,FALSE)),"-")</f>
        <v>335</v>
      </c>
      <c r="K371" s="88">
        <v>335</v>
      </c>
      <c r="L371" s="88">
        <v>335</v>
      </c>
      <c r="M371" s="67" t="s">
        <v>44</v>
      </c>
      <c r="N371" s="67" t="s">
        <v>51</v>
      </c>
      <c r="O371" s="27" t="s">
        <v>1631</v>
      </c>
      <c r="P371" s="33" t="s">
        <v>23</v>
      </c>
      <c r="Q371" s="60">
        <f>IFERROR(IF(12 / VLOOKUP(Table2[[#This Row],[Rateizzazione]],TIPI_RATEIZZAZIONI,2,FALSE) &gt;=1,  IF(Table2[[#This Row],[Data attivazione]] = "","-",MONTH(Table2[[#This Row],[Data attivazione]])),"-"),"-")</f>
        <v>3</v>
      </c>
      <c r="R3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1" s="67" t="s">
        <v>2</v>
      </c>
      <c r="V371" s="62"/>
      <c r="W371" s="64">
        <v>42802</v>
      </c>
      <c r="X371" s="29">
        <f>DATE(YEAR(Table2[[#This Row],[Data attivazione]])+VLOOKUP(Table2[[#This Row],[Durata]],VALORE_DURATA,2,FALSE),MONTH(Table2[[#This Row],[Data attivazione]]),DAY(Table2[[#This Row],[Data attivazione]]))</f>
        <v>43167</v>
      </c>
      <c r="Y371" s="65"/>
      <c r="Z371" s="61"/>
      <c r="AA371" s="64" t="s">
        <v>85</v>
      </c>
      <c r="AB371" s="29" t="str">
        <f>IF(Table2[[#This Row],[Data ultimo versamento temp]]=0/1/1900,"-",Table2[[#This Row],[Data ultimo versamento temp]])</f>
        <v>-</v>
      </c>
      <c r="AC371" s="29">
        <f t="array" ref="AC371">MAX(IF(TableVersamenti[Polizza]=Table2[[#This Row],[Polizza]],TableVersamenti[Data prevista versamento],"-"))</f>
        <v>0</v>
      </c>
      <c r="AD371" s="62"/>
      <c r="AE371" s="106">
        <f>DATE(YEAR(Table2[[#This Row],[Data ultimo pagamento]]),MONTH(Table2[[#This Row],[Data ultimo pagamento]]), 1)</f>
        <v>42795</v>
      </c>
      <c r="AF371" s="106">
        <f>DATE(YEAR(Table2[[#This Row],[Data prossima scadenza]]),MONTH(Table2[[#This Row],[Data prossima scadenza]]), 1)</f>
        <v>43160</v>
      </c>
      <c r="AG371" s="33">
        <f>IFERROR(Table2[[#This Row],[Importo annuale]]*VLOOKUP(Table2[[#This Row],[Ramo]],RAMI_POLIZZA,2,FALSE),0)</f>
        <v>17.419999999999998</v>
      </c>
      <c r="AH371" s="65" t="s">
        <v>113</v>
      </c>
      <c r="AI371" s="63" t="str">
        <f>IFERROR(VLOOKUP(Table2[[#This Row],[Contraente]],Table1[[Nome/Ragione sociale]:[Checkbox selezionato]],2,FALSE),"-")</f>
        <v>BELGIOIOSO</v>
      </c>
      <c r="AJ371" s="63">
        <f>IFERROR(VLOOKUP(Table2[[#This Row],[Contraente]],Table1[[Nome/Ragione sociale]:[Checkbox selezionato]],3,FALSE),"-")</f>
        <v>3393403620</v>
      </c>
      <c r="AK371" s="63">
        <f>IFERROR(VLOOKUP(Table2[[#This Row],[Contraente]],Table1[[Nome/Ragione sociale]:[Checkbox selezionato]],4,FALSE),"-")</f>
        <v>0</v>
      </c>
      <c r="AL371" s="63" t="str">
        <f>IFERROR(VLOOKUP(Table2[[#This Row],[Contraente]],Table1[[Nome/Ragione sociale]:[Checkbox selezionato]],5,FALSE),"-")</f>
        <v>JACOPO</v>
      </c>
      <c r="AM371" s="62">
        <f>IFERROR(VLOOKUP(Table2[[#This Row],[Contraente]],Table1[[Nome/Ragione sociale]:[Checkbox selezionato]],6,FALSE),"-")</f>
        <v>20427</v>
      </c>
      <c r="AN371" s="63" t="str">
        <f>IFERROR(VLOOKUP(Table2[[#This Row],[Contraente]],Table1[[Nome/Ragione sociale]:[Checkbox selezionato]],7,FALSE),"-")</f>
        <v>papies@libero.it</v>
      </c>
      <c r="AO371" s="63">
        <f>IFERROR(VLOOKUP(Table2[[#This Row],[Contraente]],Table1[[Nome/Ragione sociale]:[Checkbox selezionato]],8,FALSE),"-")</f>
        <v>0</v>
      </c>
      <c r="AP371" s="63">
        <f>IFERROR(VLOOKUP(Table2[[#This Row],[Contraente]],Table1[[Nome/Ragione sociale]:[Checkbox selezionato]],10,FALSE),"-")</f>
        <v>3393403620</v>
      </c>
      <c r="AQ371" s="63" t="str">
        <f>IFERROR(VLOOKUP(Table2[[#This Row],[Contraente]],Table1[[Nome/Ragione sociale]:[Checkbox selezionato]],11,FALSE),"-")</f>
        <v>SI</v>
      </c>
      <c r="AR371" s="63" t="str">
        <f>IFERROR(VLOOKUP(Table2[[#This Row],[Contraente]],Table1[[Nome/Ragione sociale]:[Checkbox selezionato]],12,FALSE),"-")</f>
        <v>SI</v>
      </c>
    </row>
    <row r="372" spans="1:44" ht="30" hidden="1" customHeight="1" x14ac:dyDescent="0.25">
      <c r="A372" s="60" t="str">
        <f>UPPER(LEFT(Table2[[#This Row],[Contraente]],1))</f>
        <v>C</v>
      </c>
      <c r="B372" s="60" t="s">
        <v>1634</v>
      </c>
      <c r="C372" s="81" t="s">
        <v>569</v>
      </c>
      <c r="D372" s="81" t="s">
        <v>37</v>
      </c>
      <c r="E372" s="86">
        <v>106313343</v>
      </c>
      <c r="F372" s="64">
        <v>42898</v>
      </c>
      <c r="G372" s="64">
        <f>IFERROR(CALCOLASCADENZA(Table2[[#This Row],[Data attivazione]],Table2[[#This Row],[Rateizzazione]],Table2[[#This Row],[Data ultimo pagamento]],Table2[[#This Row],[Data prossima scadenza manuale]]),"-")</f>
        <v>43082</v>
      </c>
      <c r="H372" s="67" t="s">
        <v>31</v>
      </c>
      <c r="I372" s="67" t="s">
        <v>1260</v>
      </c>
      <c r="J372" s="33">
        <v>1177</v>
      </c>
      <c r="K372" s="88">
        <v>1177</v>
      </c>
      <c r="L372" s="88">
        <v>2234</v>
      </c>
      <c r="M372" s="67" t="s">
        <v>44</v>
      </c>
      <c r="N372" s="67" t="s">
        <v>51</v>
      </c>
      <c r="O372" s="27" t="s">
        <v>1631</v>
      </c>
      <c r="P372" s="33" t="s">
        <v>22</v>
      </c>
      <c r="Q372" s="60">
        <f>IFERROR(IF(12 / VLOOKUP(Table2[[#This Row],[Rateizzazione]],TIPI_RATEIZZAZIONI,2,FALSE) &gt;=1,  IF(Table2[[#This Row],[Data attivazione]] = "","-",MONTH(Table2[[#This Row],[Data attivazione]])),"-"),"-")</f>
        <v>12</v>
      </c>
      <c r="R3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2" s="67" t="s">
        <v>2</v>
      </c>
      <c r="V372" s="62"/>
      <c r="W372" s="64">
        <v>42717</v>
      </c>
      <c r="X372" s="29">
        <f>DATE(YEAR(Table2[[#This Row],[Data attivazione]])+VLOOKUP(Table2[[#This Row],[Durata]],VALORE_DURATA,2,FALSE),MONTH(Table2[[#This Row],[Data attivazione]]),DAY(Table2[[#This Row],[Data attivazione]]))</f>
        <v>43082</v>
      </c>
      <c r="Y372" s="65"/>
      <c r="Z372" s="61"/>
      <c r="AA372" s="64" t="s">
        <v>85</v>
      </c>
      <c r="AB372" s="29" t="str">
        <f>IF(Table2[[#This Row],[Data ultimo versamento temp]]=0/1/1900,"-",Table2[[#This Row],[Data ultimo versamento temp]])</f>
        <v>-</v>
      </c>
      <c r="AC372" s="29">
        <f t="array" ref="AC372">MAX(IF(TableVersamenti[Polizza]=Table2[[#This Row],[Polizza]],TableVersamenti[Data prevista versamento],"-"))</f>
        <v>0</v>
      </c>
      <c r="AD372" s="62"/>
      <c r="AE372" s="106">
        <f>DATE(YEAR(Table2[[#This Row],[Data ultimo pagamento]]),MONTH(Table2[[#This Row],[Data ultimo pagamento]]), 1)</f>
        <v>42887</v>
      </c>
      <c r="AF372" s="106">
        <f>DATE(YEAR(Table2[[#This Row],[Data prossima scadenza]]),MONTH(Table2[[#This Row],[Data prossima scadenza]]), 1)</f>
        <v>43070</v>
      </c>
      <c r="AG372" s="33">
        <f>IFERROR(Table2[[#This Row],[Importo annuale]]*VLOOKUP(Table2[[#This Row],[Ramo]],RAMI_POLIZZA,2,FALSE),0)</f>
        <v>116.16799999999999</v>
      </c>
      <c r="AH372" s="65" t="s">
        <v>113</v>
      </c>
      <c r="AI372" s="63" t="str">
        <f>IFERROR(VLOOKUP(Table2[[#This Row],[Contraente]],Table1[[Nome/Ragione sociale]:[Checkbox selezionato]],2,FALSE),"-")</f>
        <v>PAVIA</v>
      </c>
      <c r="AJ372" s="63">
        <f>IFERROR(VLOOKUP(Table2[[#This Row],[Contraente]],Table1[[Nome/Ragione sociale]:[Checkbox selezionato]],3,FALSE),"-")</f>
        <v>3347981655</v>
      </c>
      <c r="AK372" s="63">
        <f>IFERROR(VLOOKUP(Table2[[#This Row],[Contraente]],Table1[[Nome/Ragione sociale]:[Checkbox selezionato]],4,FALSE),"-")</f>
        <v>0</v>
      </c>
      <c r="AL372" s="63" t="str">
        <f>IFERROR(VLOOKUP(Table2[[#This Row],[Contraente]],Table1[[Nome/Ragione sociale]:[Checkbox selezionato]],5,FALSE),"-")</f>
        <v>NAPOLITANO</v>
      </c>
      <c r="AM372" s="62">
        <f>IFERROR(VLOOKUP(Table2[[#This Row],[Contraente]],Table1[[Nome/Ragione sociale]:[Checkbox selezionato]],6,FALSE),"-")</f>
        <v>10407</v>
      </c>
      <c r="AN372" s="63" t="str">
        <f>IFERROR(VLOOKUP(Table2[[#This Row],[Contraente]],Table1[[Nome/Ragione sociale]:[Checkbox selezionato]],7,FALSE),"-")</f>
        <v>papies@libero.it</v>
      </c>
      <c r="AO372" s="63">
        <f>IFERROR(VLOOKUP(Table2[[#This Row],[Contraente]],Table1[[Nome/Ragione sociale]:[Checkbox selezionato]],8,FALSE),"-")</f>
        <v>0</v>
      </c>
      <c r="AP372" s="63">
        <f>IFERROR(VLOOKUP(Table2[[#This Row],[Contraente]],Table1[[Nome/Ragione sociale]:[Checkbox selezionato]],10,FALSE),"-")</f>
        <v>3347981655</v>
      </c>
      <c r="AQ372" s="63" t="str">
        <f>IFERROR(VLOOKUP(Table2[[#This Row],[Contraente]],Table1[[Nome/Ragione sociale]:[Checkbox selezionato]],11,FALSE),"-")</f>
        <v>SI</v>
      </c>
      <c r="AR372" s="63" t="str">
        <f>IFERROR(VLOOKUP(Table2[[#This Row],[Contraente]],Table1[[Nome/Ragione sociale]:[Checkbox selezionato]],12,FALSE),"-")</f>
        <v>SI</v>
      </c>
    </row>
    <row r="373" spans="1:44" ht="30" hidden="1" customHeight="1" x14ac:dyDescent="0.25">
      <c r="A373" s="60" t="str">
        <f>UPPER(LEFT(Table2[[#This Row],[Contraente]],1))</f>
        <v>D</v>
      </c>
      <c r="B373" s="60" t="s">
        <v>1634</v>
      </c>
      <c r="C373" s="81" t="s">
        <v>580</v>
      </c>
      <c r="D373" s="81" t="s">
        <v>37</v>
      </c>
      <c r="E373" s="86">
        <v>103430813</v>
      </c>
      <c r="F373" s="64">
        <v>42766</v>
      </c>
      <c r="G373" s="64">
        <f>IFERROR(CALCOLASCADENZA(Table2[[#This Row],[Data attivazione]],Table2[[#This Row],[Rateizzazione]],Table2[[#This Row],[Data ultimo pagamento]],Table2[[#This Row],[Data prossima scadenza manuale]]),"-")</f>
        <v>42941</v>
      </c>
      <c r="H373" s="67" t="s">
        <v>30</v>
      </c>
      <c r="I373" s="67" t="s">
        <v>113</v>
      </c>
      <c r="J373" s="33">
        <f>IFERROR(Table2[[#This Row],[Importo annuale]]/(12/VLOOKUP(Table2[[#This Row],[Rateizzazione]],TIPI_RATEIZZAZIONI,2,FALSE)),"-")</f>
        <v>443</v>
      </c>
      <c r="K373" s="88">
        <v>443</v>
      </c>
      <c r="L373" s="88">
        <v>886</v>
      </c>
      <c r="M373" s="67" t="s">
        <v>44</v>
      </c>
      <c r="N373" s="67" t="s">
        <v>51</v>
      </c>
      <c r="O373" s="27" t="s">
        <v>1631</v>
      </c>
      <c r="P373" s="33" t="s">
        <v>22</v>
      </c>
      <c r="Q373" s="60">
        <f>IFERROR(IF(12 / VLOOKUP(Table2[[#This Row],[Rateizzazione]],TIPI_RATEIZZAZIONI,2,FALSE) &gt;=1,  IF(Table2[[#This Row],[Data attivazione]] = "","-",MONTH(Table2[[#This Row],[Data attivazione]])),"-"),"-")</f>
        <v>7</v>
      </c>
      <c r="R3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3" s="67" t="s">
        <v>2</v>
      </c>
      <c r="V373" s="62"/>
      <c r="W373" s="64">
        <v>42576</v>
      </c>
      <c r="X373" s="29">
        <f>DATE(YEAR(Table2[[#This Row],[Data attivazione]])+VLOOKUP(Table2[[#This Row],[Durata]],VALORE_DURATA,2,FALSE),MONTH(Table2[[#This Row],[Data attivazione]]),DAY(Table2[[#This Row],[Data attivazione]]))</f>
        <v>42941</v>
      </c>
      <c r="Y373" s="65"/>
      <c r="Z373" s="61"/>
      <c r="AA373" s="64" t="s">
        <v>85</v>
      </c>
      <c r="AB373" s="29" t="str">
        <f>IF(Table2[[#This Row],[Data ultimo versamento temp]]=0/1/1900,"-",Table2[[#This Row],[Data ultimo versamento temp]])</f>
        <v>-</v>
      </c>
      <c r="AC373" s="29">
        <f t="array" ref="AC373">MAX(IF(TableVersamenti[Polizza]=Table2[[#This Row],[Polizza]],TableVersamenti[Data prevista versamento],"-"))</f>
        <v>0</v>
      </c>
      <c r="AD373" s="62"/>
      <c r="AE373" s="106">
        <f>DATE(YEAR(Table2[[#This Row],[Data ultimo pagamento]]),MONTH(Table2[[#This Row],[Data ultimo pagamento]]), 1)</f>
        <v>42736</v>
      </c>
      <c r="AF373" s="106">
        <f>DATE(YEAR(Table2[[#This Row],[Data prossima scadenza]]),MONTH(Table2[[#This Row],[Data prossima scadenza]]), 1)</f>
        <v>42917</v>
      </c>
      <c r="AG373" s="33">
        <f>IFERROR(Table2[[#This Row],[Importo annuale]]*VLOOKUP(Table2[[#This Row],[Ramo]],RAMI_POLIZZA,2,FALSE),0)</f>
        <v>101.89</v>
      </c>
      <c r="AH373" s="65" t="s">
        <v>113</v>
      </c>
      <c r="AI373" s="63" t="str">
        <f>IFERROR(VLOOKUP(Table2[[#This Row],[Contraente]],Table1[[Nome/Ragione sociale]:[Checkbox selezionato]],2,FALSE),"-")</f>
        <v>VISTARINO</v>
      </c>
      <c r="AJ373" s="63">
        <f>IFERROR(VLOOKUP(Table2[[#This Row],[Contraente]],Table1[[Nome/Ragione sociale]:[Checkbox selezionato]],3,FALSE),"-")</f>
        <v>3384163434</v>
      </c>
      <c r="AK373" s="63">
        <f>IFERROR(VLOOKUP(Table2[[#This Row],[Contraente]],Table1[[Nome/Ragione sociale]:[Checkbox selezionato]],4,FALSE),"-")</f>
        <v>3929200282</v>
      </c>
      <c r="AL373" s="63" t="str">
        <f>IFERROR(VLOOKUP(Table2[[#This Row],[Contraente]],Table1[[Nome/Ragione sociale]:[Checkbox selezionato]],5,FALSE),"-")</f>
        <v>FLAVIO / MAMMA</v>
      </c>
      <c r="AM373" s="62" t="str">
        <f>IFERROR(VLOOKUP(Table2[[#This Row],[Contraente]],Table1[[Nome/Ragione sociale]:[Checkbox selezionato]],6,FALSE),"-")</f>
        <v>-</v>
      </c>
      <c r="AN373" s="63" t="str">
        <f>IFERROR(VLOOKUP(Table2[[#This Row],[Contraente]],Table1[[Nome/Ragione sociale]:[Checkbox selezionato]],7,FALSE),"-")</f>
        <v>papies@email.it</v>
      </c>
      <c r="AO373" s="63">
        <f>IFERROR(VLOOKUP(Table2[[#This Row],[Contraente]],Table1[[Nome/Ragione sociale]:[Checkbox selezionato]],8,FALSE),"-")</f>
        <v>0</v>
      </c>
      <c r="AP373" s="63">
        <f>IFERROR(VLOOKUP(Table2[[#This Row],[Contraente]],Table1[[Nome/Ragione sociale]:[Checkbox selezionato]],10,FALSE),"-")</f>
        <v>3384163434</v>
      </c>
      <c r="AQ373" s="63" t="str">
        <f>IFERROR(VLOOKUP(Table2[[#This Row],[Contraente]],Table1[[Nome/Ragione sociale]:[Checkbox selezionato]],11,FALSE),"-")</f>
        <v>SI</v>
      </c>
      <c r="AR373" s="63" t="str">
        <f>IFERROR(VLOOKUP(Table2[[#This Row],[Contraente]],Table1[[Nome/Ragione sociale]:[Checkbox selezionato]],12,FALSE),"-")</f>
        <v>SI</v>
      </c>
    </row>
    <row r="374" spans="1:44" ht="30" hidden="1" customHeight="1" x14ac:dyDescent="0.25">
      <c r="A374" s="60" t="str">
        <f>UPPER(LEFT(Table2[[#This Row],[Contraente]],1))</f>
        <v>D</v>
      </c>
      <c r="B374" s="60" t="s">
        <v>1634</v>
      </c>
      <c r="C374" s="81" t="s">
        <v>582</v>
      </c>
      <c r="D374" s="81" t="s">
        <v>37</v>
      </c>
      <c r="E374" s="86">
        <v>106708788</v>
      </c>
      <c r="F374" s="64">
        <v>42857</v>
      </c>
      <c r="G374" s="64">
        <f>IFERROR(CALCOLASCADENZA(Table2[[#This Row],[Data attivazione]],Table2[[#This Row],[Rateizzazione]],Table2[[#This Row],[Data ultimo pagamento]],Table2[[#This Row],[Data prossima scadenza manuale]]),"-")</f>
        <v>43034</v>
      </c>
      <c r="H374" s="67" t="s">
        <v>30</v>
      </c>
      <c r="I374" s="67" t="s">
        <v>113</v>
      </c>
      <c r="J374" s="33">
        <f>IFERROR(Table2[[#This Row],[Importo annuale]]/(12/VLOOKUP(Table2[[#This Row],[Rateizzazione]],TIPI_RATEIZZAZIONI,2,FALSE)),"-")</f>
        <v>76</v>
      </c>
      <c r="K374" s="88">
        <v>76</v>
      </c>
      <c r="L374" s="88">
        <v>152</v>
      </c>
      <c r="M374" s="67" t="s">
        <v>43</v>
      </c>
      <c r="N374" s="67" t="s">
        <v>52</v>
      </c>
      <c r="O374" s="27" t="s">
        <v>1631</v>
      </c>
      <c r="P374" s="33" t="s">
        <v>22</v>
      </c>
      <c r="Q374" s="60">
        <f>IFERROR(IF(12 / VLOOKUP(Table2[[#This Row],[Rateizzazione]],TIPI_RATEIZZAZIONI,2,FALSE) &gt;=1,  IF(Table2[[#This Row],[Data attivazione]] = "","-",MONTH(Table2[[#This Row],[Data attivazione]])),"-"),"-")</f>
        <v>10</v>
      </c>
      <c r="R3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4" s="67" t="s">
        <v>2</v>
      </c>
      <c r="V374" s="62"/>
      <c r="W374" s="64">
        <v>42669</v>
      </c>
      <c r="X374" s="29">
        <f>DATE(YEAR(Table2[[#This Row],[Data attivazione]])+VLOOKUP(Table2[[#This Row],[Durata]],VALORE_DURATA,2,FALSE),MONTH(Table2[[#This Row],[Data attivazione]]),DAY(Table2[[#This Row],[Data attivazione]]))</f>
        <v>43034</v>
      </c>
      <c r="Y374" s="65"/>
      <c r="Z374" s="61"/>
      <c r="AA374" s="64" t="s">
        <v>85</v>
      </c>
      <c r="AB374" s="29" t="str">
        <f>IF(Table2[[#This Row],[Data ultimo versamento temp]]=0/1/1900,"-",Table2[[#This Row],[Data ultimo versamento temp]])</f>
        <v>-</v>
      </c>
      <c r="AC374" s="29">
        <f t="array" ref="AC374">MAX(IF(TableVersamenti[Polizza]=Table2[[#This Row],[Polizza]],TableVersamenti[Data prevista versamento],"-"))</f>
        <v>0</v>
      </c>
      <c r="AD374" s="62"/>
      <c r="AE374" s="106">
        <f>DATE(YEAR(Table2[[#This Row],[Data ultimo pagamento]]),MONTH(Table2[[#This Row],[Data ultimo pagamento]]), 1)</f>
        <v>42856</v>
      </c>
      <c r="AF374" s="106">
        <f>DATE(YEAR(Table2[[#This Row],[Data prossima scadenza]]),MONTH(Table2[[#This Row],[Data prossima scadenza]]), 1)</f>
        <v>43009</v>
      </c>
      <c r="AG374" s="33">
        <f>IFERROR(Table2[[#This Row],[Importo annuale]]*VLOOKUP(Table2[[#This Row],[Ramo]],RAMI_POLIZZA,2,FALSE),0)</f>
        <v>17.48</v>
      </c>
      <c r="AH374" s="65" t="s">
        <v>113</v>
      </c>
      <c r="AI374" s="63" t="str">
        <f>IFERROR(VLOOKUP(Table2[[#This Row],[Contraente]],Table1[[Nome/Ragione sociale]:[Checkbox selezionato]],2,FALSE),"-")</f>
        <v>BELGIOIOSO</v>
      </c>
      <c r="AJ374" s="63">
        <f>IFERROR(VLOOKUP(Table2[[#This Row],[Contraente]],Table1[[Nome/Ragione sociale]:[Checkbox selezionato]],3,FALSE),"-")</f>
        <v>0</v>
      </c>
      <c r="AK374" s="63">
        <f>IFERROR(VLOOKUP(Table2[[#This Row],[Contraente]],Table1[[Nome/Ragione sociale]:[Checkbox selezionato]],4,FALSE),"-")</f>
        <v>0</v>
      </c>
      <c r="AL374" s="63" t="str">
        <f>IFERROR(VLOOKUP(Table2[[#This Row],[Contraente]],Table1[[Nome/Ragione sociale]:[Checkbox selezionato]],5,FALSE),"-")</f>
        <v>PALMA</v>
      </c>
      <c r="AM374" s="62">
        <f>IFERROR(VLOOKUP(Table2[[#This Row],[Contraente]],Table1[[Nome/Ragione sociale]:[Checkbox selezionato]],6,FALSE),"-")</f>
        <v>22012</v>
      </c>
      <c r="AN374" s="63" t="str">
        <f>IFERROR(VLOOKUP(Table2[[#This Row],[Contraente]],Table1[[Nome/Ragione sociale]:[Checkbox selezionato]],7,FALSE),"-")</f>
        <v>papies@libero.it</v>
      </c>
      <c r="AO374" s="63">
        <f>IFERROR(VLOOKUP(Table2[[#This Row],[Contraente]],Table1[[Nome/Ragione sociale]:[Checkbox selezionato]],8,FALSE),"-")</f>
        <v>0</v>
      </c>
      <c r="AP374" s="63">
        <f>IFERROR(VLOOKUP(Table2[[#This Row],[Contraente]],Table1[[Nome/Ragione sociale]:[Checkbox selezionato]],10,FALSE),"-")</f>
        <v>0</v>
      </c>
      <c r="AQ374" s="63" t="str">
        <f>IFERROR(VLOOKUP(Table2[[#This Row],[Contraente]],Table1[[Nome/Ragione sociale]:[Checkbox selezionato]],11,FALSE),"-")</f>
        <v>SI</v>
      </c>
      <c r="AR374" s="63" t="str">
        <f>IFERROR(VLOOKUP(Table2[[#This Row],[Contraente]],Table1[[Nome/Ragione sociale]:[Checkbox selezionato]],12,FALSE),"-")</f>
        <v>SI</v>
      </c>
    </row>
    <row r="375" spans="1:44" ht="30" hidden="1" customHeight="1" x14ac:dyDescent="0.25">
      <c r="A375" s="60" t="str">
        <f>UPPER(LEFT(Table2[[#This Row],[Contraente]],1))</f>
        <v>D</v>
      </c>
      <c r="B375" s="60" t="s">
        <v>1634</v>
      </c>
      <c r="C375" s="81" t="s">
        <v>587</v>
      </c>
      <c r="D375" s="81" t="s">
        <v>37</v>
      </c>
      <c r="E375" s="86">
        <v>106338026</v>
      </c>
      <c r="F375" s="64">
        <v>42898</v>
      </c>
      <c r="G375" s="64">
        <f>IFERROR(CALCOLASCADENZA(Table2[[#This Row],[Data attivazione]],Table2[[#This Row],[Rateizzazione]],Table2[[#This Row],[Data ultimo pagamento]],Table2[[#This Row],[Data prossima scadenza manuale]]),"-")</f>
        <v>42898</v>
      </c>
      <c r="H375" s="67" t="s">
        <v>31</v>
      </c>
      <c r="I375" s="67" t="s">
        <v>1273</v>
      </c>
      <c r="J375" s="33">
        <v>394.35</v>
      </c>
      <c r="K375" s="88">
        <v>394.35</v>
      </c>
      <c r="L375" s="88">
        <v>786.7</v>
      </c>
      <c r="M375" s="67" t="s">
        <v>44</v>
      </c>
      <c r="N375" s="67" t="s">
        <v>52</v>
      </c>
      <c r="O375" s="27" t="s">
        <v>1631</v>
      </c>
      <c r="P375" s="33" t="s">
        <v>24</v>
      </c>
      <c r="Q37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5" s="67" t="s">
        <v>2</v>
      </c>
      <c r="V375" s="62"/>
      <c r="W375" s="64">
        <v>42720</v>
      </c>
      <c r="X375" s="29">
        <f>DATE(YEAR(Table2[[#This Row],[Data attivazione]])+VLOOKUP(Table2[[#This Row],[Durata]],VALORE_DURATA,2,FALSE),MONTH(Table2[[#This Row],[Data attivazione]]),DAY(Table2[[#This Row],[Data attivazione]]))</f>
        <v>43085</v>
      </c>
      <c r="Y375" s="65"/>
      <c r="Z375" s="61"/>
      <c r="AA375" s="64" t="s">
        <v>85</v>
      </c>
      <c r="AB375" s="29" t="str">
        <f>IF(Table2[[#This Row],[Data ultimo versamento temp]]=0/1/1900,"-",Table2[[#This Row],[Data ultimo versamento temp]])</f>
        <v>-</v>
      </c>
      <c r="AC375" s="29">
        <f t="array" ref="AC375">MAX(IF(TableVersamenti[Polizza]=Table2[[#This Row],[Polizza]],TableVersamenti[Data prevista versamento],"-"))</f>
        <v>0</v>
      </c>
      <c r="AD375" s="62"/>
      <c r="AE375" s="106">
        <f>DATE(YEAR(Table2[[#This Row],[Data ultimo pagamento]]),MONTH(Table2[[#This Row],[Data ultimo pagamento]]), 1)</f>
        <v>42887</v>
      </c>
      <c r="AF375" s="106">
        <f>DATE(YEAR(Table2[[#This Row],[Data prossima scadenza]]),MONTH(Table2[[#This Row],[Data prossima scadenza]]), 1)</f>
        <v>42887</v>
      </c>
      <c r="AG375" s="33">
        <f>IFERROR(Table2[[#This Row],[Importo annuale]]*VLOOKUP(Table2[[#This Row],[Ramo]],RAMI_POLIZZA,2,FALSE),0)</f>
        <v>40.9084</v>
      </c>
      <c r="AH375" s="65" t="s">
        <v>113</v>
      </c>
      <c r="AI375" s="63" t="str">
        <f>IFERROR(VLOOKUP(Table2[[#This Row],[Contraente]],Table1[[Nome/Ragione sociale]:[Checkbox selezionato]],2,FALSE),"-")</f>
        <v>SPESSA PO</v>
      </c>
      <c r="AJ375" s="63">
        <f>IFERROR(VLOOKUP(Table2[[#This Row],[Contraente]],Table1[[Nome/Ragione sociale]:[Checkbox selezionato]],3,FALSE),"-")</f>
        <v>3396302390</v>
      </c>
      <c r="AK375" s="63">
        <f>IFERROR(VLOOKUP(Table2[[#This Row],[Contraente]],Table1[[Nome/Ragione sociale]:[Checkbox selezionato]],4,FALSE),"-")</f>
        <v>0</v>
      </c>
      <c r="AL375" s="63" t="str">
        <f>IFERROR(VLOOKUP(Table2[[#This Row],[Contraente]],Table1[[Nome/Ragione sociale]:[Checkbox selezionato]],5,FALSE),"-")</f>
        <v>GIORGIO</v>
      </c>
      <c r="AM375" s="62">
        <f>IFERROR(VLOOKUP(Table2[[#This Row],[Contraente]],Table1[[Nome/Ragione sociale]:[Checkbox selezionato]],6,FALSE),"-")</f>
        <v>27384</v>
      </c>
      <c r="AN375" s="63" t="str">
        <f>IFERROR(VLOOKUP(Table2[[#This Row],[Contraente]],Table1[[Nome/Ragione sociale]:[Checkbox selezionato]],7,FALSE),"-")</f>
        <v>papies@libero.it</v>
      </c>
      <c r="AO375" s="63">
        <f>IFERROR(VLOOKUP(Table2[[#This Row],[Contraente]],Table1[[Nome/Ragione sociale]:[Checkbox selezionato]],8,FALSE),"-")</f>
        <v>0</v>
      </c>
      <c r="AP375" s="63">
        <f>IFERROR(VLOOKUP(Table2[[#This Row],[Contraente]],Table1[[Nome/Ragione sociale]:[Checkbox selezionato]],10,FALSE),"-")</f>
        <v>3396302390</v>
      </c>
      <c r="AQ375" s="63" t="str">
        <f>IFERROR(VLOOKUP(Table2[[#This Row],[Contraente]],Table1[[Nome/Ragione sociale]:[Checkbox selezionato]],11,FALSE),"-")</f>
        <v>SI</v>
      </c>
      <c r="AR375" s="63" t="str">
        <f>IFERROR(VLOOKUP(Table2[[#This Row],[Contraente]],Table1[[Nome/Ragione sociale]:[Checkbox selezionato]],12,FALSE),"-")</f>
        <v>SI</v>
      </c>
    </row>
    <row r="376" spans="1:44" ht="30" hidden="1" customHeight="1" x14ac:dyDescent="0.25">
      <c r="A376" s="60" t="str">
        <f>UPPER(LEFT(Table2[[#This Row],[Contraente]],1))</f>
        <v>D</v>
      </c>
      <c r="B376" s="60" t="s">
        <v>1634</v>
      </c>
      <c r="C376" s="81" t="s">
        <v>587</v>
      </c>
      <c r="D376" s="81" t="s">
        <v>37</v>
      </c>
      <c r="E376" s="86">
        <v>106970263</v>
      </c>
      <c r="F376" s="64">
        <v>42898</v>
      </c>
      <c r="G376" s="64">
        <f>IFERROR(CALCOLASCADENZA(Table2[[#This Row],[Data attivazione]],Table2[[#This Row],[Rateizzazione]],Table2[[#This Row],[Data ultimo pagamento]],Table2[[#This Row],[Data prossima scadenza manuale]]),"-")</f>
        <v>43081</v>
      </c>
      <c r="H376" s="67" t="s">
        <v>30</v>
      </c>
      <c r="I376" s="67" t="s">
        <v>113</v>
      </c>
      <c r="J376" s="33">
        <f>IFERROR(Table2[[#This Row],[Importo annuale]]/(12/VLOOKUP(Table2[[#This Row],[Rateizzazione]],TIPI_RATEIZZAZIONI,2,FALSE)),"-")</f>
        <v>208</v>
      </c>
      <c r="K376" s="88">
        <v>208</v>
      </c>
      <c r="L376" s="88">
        <v>416</v>
      </c>
      <c r="M376" s="67" t="s">
        <v>44</v>
      </c>
      <c r="N376" s="67" t="s">
        <v>51</v>
      </c>
      <c r="O376" s="27" t="s">
        <v>1631</v>
      </c>
      <c r="P376" s="33" t="s">
        <v>22</v>
      </c>
      <c r="Q376" s="60">
        <f>IFERROR(IF(12 / VLOOKUP(Table2[[#This Row],[Rateizzazione]],TIPI_RATEIZZAZIONI,2,FALSE) &gt;=1,  IF(Table2[[#This Row],[Data attivazione]] = "","-",MONTH(Table2[[#This Row],[Data attivazione]])),"-"),"-")</f>
        <v>12</v>
      </c>
      <c r="R3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6" s="67" t="s">
        <v>2</v>
      </c>
      <c r="V376" s="62"/>
      <c r="W376" s="64">
        <v>42716</v>
      </c>
      <c r="X376" s="29">
        <f>DATE(YEAR(Table2[[#This Row],[Data attivazione]])+VLOOKUP(Table2[[#This Row],[Durata]],VALORE_DURATA,2,FALSE),MONTH(Table2[[#This Row],[Data attivazione]]),DAY(Table2[[#This Row],[Data attivazione]]))</f>
        <v>43081</v>
      </c>
      <c r="Y376" s="65"/>
      <c r="Z376" s="61"/>
      <c r="AA376" s="64" t="s">
        <v>85</v>
      </c>
      <c r="AB376" s="29" t="str">
        <f>IF(Table2[[#This Row],[Data ultimo versamento temp]]=0/1/1900,"-",Table2[[#This Row],[Data ultimo versamento temp]])</f>
        <v>-</v>
      </c>
      <c r="AC376" s="29">
        <f t="array" ref="AC376">MAX(IF(TableVersamenti[Polizza]=Table2[[#This Row],[Polizza]],TableVersamenti[Data prevista versamento],"-"))</f>
        <v>0</v>
      </c>
      <c r="AD376" s="62"/>
      <c r="AE376" s="106">
        <f>DATE(YEAR(Table2[[#This Row],[Data ultimo pagamento]]),MONTH(Table2[[#This Row],[Data ultimo pagamento]]), 1)</f>
        <v>42887</v>
      </c>
      <c r="AF376" s="106">
        <f>DATE(YEAR(Table2[[#This Row],[Data prossima scadenza]]),MONTH(Table2[[#This Row],[Data prossima scadenza]]), 1)</f>
        <v>43070</v>
      </c>
      <c r="AG376" s="33">
        <f>IFERROR(Table2[[#This Row],[Importo annuale]]*VLOOKUP(Table2[[#This Row],[Ramo]],RAMI_POLIZZA,2,FALSE),0)</f>
        <v>47.84</v>
      </c>
      <c r="AH376" s="65" t="s">
        <v>113</v>
      </c>
      <c r="AI376" s="63" t="str">
        <f>IFERROR(VLOOKUP(Table2[[#This Row],[Contraente]],Table1[[Nome/Ragione sociale]:[Checkbox selezionato]],2,FALSE),"-")</f>
        <v>SPESSA PO</v>
      </c>
      <c r="AJ376" s="63">
        <f>IFERROR(VLOOKUP(Table2[[#This Row],[Contraente]],Table1[[Nome/Ragione sociale]:[Checkbox selezionato]],3,FALSE),"-")</f>
        <v>3396302390</v>
      </c>
      <c r="AK376" s="63">
        <f>IFERROR(VLOOKUP(Table2[[#This Row],[Contraente]],Table1[[Nome/Ragione sociale]:[Checkbox selezionato]],4,FALSE),"-")</f>
        <v>0</v>
      </c>
      <c r="AL376" s="63" t="str">
        <f>IFERROR(VLOOKUP(Table2[[#This Row],[Contraente]],Table1[[Nome/Ragione sociale]:[Checkbox selezionato]],5,FALSE),"-")</f>
        <v>GIORGIO</v>
      </c>
      <c r="AM376" s="62">
        <f>IFERROR(VLOOKUP(Table2[[#This Row],[Contraente]],Table1[[Nome/Ragione sociale]:[Checkbox selezionato]],6,FALSE),"-")</f>
        <v>27384</v>
      </c>
      <c r="AN376" s="63" t="str">
        <f>IFERROR(VLOOKUP(Table2[[#This Row],[Contraente]],Table1[[Nome/Ragione sociale]:[Checkbox selezionato]],7,FALSE),"-")</f>
        <v>papies@libero.it</v>
      </c>
      <c r="AO376" s="63">
        <f>IFERROR(VLOOKUP(Table2[[#This Row],[Contraente]],Table1[[Nome/Ragione sociale]:[Checkbox selezionato]],8,FALSE),"-")</f>
        <v>0</v>
      </c>
      <c r="AP376" s="63">
        <f>IFERROR(VLOOKUP(Table2[[#This Row],[Contraente]],Table1[[Nome/Ragione sociale]:[Checkbox selezionato]],10,FALSE),"-")</f>
        <v>3396302390</v>
      </c>
      <c r="AQ376" s="63" t="str">
        <f>IFERROR(VLOOKUP(Table2[[#This Row],[Contraente]],Table1[[Nome/Ragione sociale]:[Checkbox selezionato]],11,FALSE),"-")</f>
        <v>SI</v>
      </c>
      <c r="AR376" s="63" t="str">
        <f>IFERROR(VLOOKUP(Table2[[#This Row],[Contraente]],Table1[[Nome/Ragione sociale]:[Checkbox selezionato]],12,FALSE),"-")</f>
        <v>SI</v>
      </c>
    </row>
    <row r="377" spans="1:44" ht="30" hidden="1" customHeight="1" x14ac:dyDescent="0.25">
      <c r="A377" s="60" t="str">
        <f>UPPER(LEFT(Table2[[#This Row],[Contraente]],1))</f>
        <v>D</v>
      </c>
      <c r="B377" s="60" t="s">
        <v>1634</v>
      </c>
      <c r="C377" s="81" t="s">
        <v>587</v>
      </c>
      <c r="D377" s="81" t="s">
        <v>37</v>
      </c>
      <c r="E377" s="86">
        <v>106969508</v>
      </c>
      <c r="F377" s="64">
        <v>42898</v>
      </c>
      <c r="G377" s="64">
        <f>IFERROR(CALCOLASCADENZA(Table2[[#This Row],[Data attivazione]],Table2[[#This Row],[Rateizzazione]],Table2[[#This Row],[Data ultimo pagamento]],Table2[[#This Row],[Data prossima scadenza manuale]]),"-")</f>
        <v>43075</v>
      </c>
      <c r="H377" s="67" t="s">
        <v>30</v>
      </c>
      <c r="I377" s="67" t="s">
        <v>113</v>
      </c>
      <c r="J377" s="33">
        <f>IFERROR(Table2[[#This Row],[Importo annuale]]/(12/VLOOKUP(Table2[[#This Row],[Rateizzazione]],TIPI_RATEIZZAZIONI,2,FALSE)),"-")</f>
        <v>321</v>
      </c>
      <c r="K377" s="88">
        <v>321</v>
      </c>
      <c r="L377" s="88">
        <v>642</v>
      </c>
      <c r="M377" s="67" t="s">
        <v>44</v>
      </c>
      <c r="N377" s="67" t="s">
        <v>51</v>
      </c>
      <c r="O377" s="27" t="s">
        <v>1631</v>
      </c>
      <c r="P377" s="33" t="s">
        <v>22</v>
      </c>
      <c r="Q377" s="60">
        <f>IFERROR(IF(12 / VLOOKUP(Table2[[#This Row],[Rateizzazione]],TIPI_RATEIZZAZIONI,2,FALSE) &gt;=1,  IF(Table2[[#This Row],[Data attivazione]] = "","-",MONTH(Table2[[#This Row],[Data attivazione]])),"-"),"-")</f>
        <v>12</v>
      </c>
      <c r="R3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7" s="67" t="s">
        <v>2</v>
      </c>
      <c r="V377" s="62"/>
      <c r="W377" s="64">
        <v>42710</v>
      </c>
      <c r="X377" s="29">
        <f>DATE(YEAR(Table2[[#This Row],[Data attivazione]])+VLOOKUP(Table2[[#This Row],[Durata]],VALORE_DURATA,2,FALSE),MONTH(Table2[[#This Row],[Data attivazione]]),DAY(Table2[[#This Row],[Data attivazione]]))</f>
        <v>43075</v>
      </c>
      <c r="Y377" s="65"/>
      <c r="Z377" s="61"/>
      <c r="AA377" s="64" t="s">
        <v>85</v>
      </c>
      <c r="AB377" s="29" t="str">
        <f>IF(Table2[[#This Row],[Data ultimo versamento temp]]=0/1/1900,"-",Table2[[#This Row],[Data ultimo versamento temp]])</f>
        <v>-</v>
      </c>
      <c r="AC377" s="29">
        <f t="array" ref="AC377">MAX(IF(TableVersamenti[Polizza]=Table2[[#This Row],[Polizza]],TableVersamenti[Data prevista versamento],"-"))</f>
        <v>0</v>
      </c>
      <c r="AD377" s="62"/>
      <c r="AE377" s="106">
        <f>DATE(YEAR(Table2[[#This Row],[Data ultimo pagamento]]),MONTH(Table2[[#This Row],[Data ultimo pagamento]]), 1)</f>
        <v>42887</v>
      </c>
      <c r="AF377" s="106">
        <f>DATE(YEAR(Table2[[#This Row],[Data prossima scadenza]]),MONTH(Table2[[#This Row],[Data prossima scadenza]]), 1)</f>
        <v>43070</v>
      </c>
      <c r="AG377" s="33">
        <f>IFERROR(Table2[[#This Row],[Importo annuale]]*VLOOKUP(Table2[[#This Row],[Ramo]],RAMI_POLIZZA,2,FALSE),0)</f>
        <v>73.83</v>
      </c>
      <c r="AH377" s="65" t="s">
        <v>113</v>
      </c>
      <c r="AI377" s="63" t="str">
        <f>IFERROR(VLOOKUP(Table2[[#This Row],[Contraente]],Table1[[Nome/Ragione sociale]:[Checkbox selezionato]],2,FALSE),"-")</f>
        <v>SPESSA PO</v>
      </c>
      <c r="AJ377" s="63">
        <f>IFERROR(VLOOKUP(Table2[[#This Row],[Contraente]],Table1[[Nome/Ragione sociale]:[Checkbox selezionato]],3,FALSE),"-")</f>
        <v>3396302390</v>
      </c>
      <c r="AK377" s="63">
        <f>IFERROR(VLOOKUP(Table2[[#This Row],[Contraente]],Table1[[Nome/Ragione sociale]:[Checkbox selezionato]],4,FALSE),"-")</f>
        <v>0</v>
      </c>
      <c r="AL377" s="63" t="str">
        <f>IFERROR(VLOOKUP(Table2[[#This Row],[Contraente]],Table1[[Nome/Ragione sociale]:[Checkbox selezionato]],5,FALSE),"-")</f>
        <v>GIORGIO</v>
      </c>
      <c r="AM377" s="62">
        <f>IFERROR(VLOOKUP(Table2[[#This Row],[Contraente]],Table1[[Nome/Ragione sociale]:[Checkbox selezionato]],6,FALSE),"-")</f>
        <v>27384</v>
      </c>
      <c r="AN377" s="63" t="str">
        <f>IFERROR(VLOOKUP(Table2[[#This Row],[Contraente]],Table1[[Nome/Ragione sociale]:[Checkbox selezionato]],7,FALSE),"-")</f>
        <v>papies@libero.it</v>
      </c>
      <c r="AO377" s="63">
        <f>IFERROR(VLOOKUP(Table2[[#This Row],[Contraente]],Table1[[Nome/Ragione sociale]:[Checkbox selezionato]],8,FALSE),"-")</f>
        <v>0</v>
      </c>
      <c r="AP377" s="63">
        <f>IFERROR(VLOOKUP(Table2[[#This Row],[Contraente]],Table1[[Nome/Ragione sociale]:[Checkbox selezionato]],10,FALSE),"-")</f>
        <v>3396302390</v>
      </c>
      <c r="AQ377" s="63" t="str">
        <f>IFERROR(VLOOKUP(Table2[[#This Row],[Contraente]],Table1[[Nome/Ragione sociale]:[Checkbox selezionato]],11,FALSE),"-")</f>
        <v>SI</v>
      </c>
      <c r="AR377" s="63" t="str">
        <f>IFERROR(VLOOKUP(Table2[[#This Row],[Contraente]],Table1[[Nome/Ragione sociale]:[Checkbox selezionato]],12,FALSE),"-")</f>
        <v>SI</v>
      </c>
    </row>
    <row r="378" spans="1:44" ht="30" hidden="1" customHeight="1" x14ac:dyDescent="0.25">
      <c r="A378" s="60" t="str">
        <f>UPPER(LEFT(Table2[[#This Row],[Contraente]],1))</f>
        <v>D</v>
      </c>
      <c r="B378" s="60" t="s">
        <v>1634</v>
      </c>
      <c r="C378" s="81" t="s">
        <v>584</v>
      </c>
      <c r="D378" s="81" t="s">
        <v>37</v>
      </c>
      <c r="E378" s="86">
        <v>105726311</v>
      </c>
      <c r="F378" s="64">
        <v>42720</v>
      </c>
      <c r="G378" s="64">
        <f>IFERROR(CALCOLASCADENZA(Table2[[#This Row],[Data attivazione]],Table2[[#This Row],[Rateizzazione]],Table2[[#This Row],[Data ultimo pagamento]],Table2[[#This Row],[Data prossima scadenza manuale]]),"-")</f>
        <v>42902</v>
      </c>
      <c r="H378" s="67" t="s">
        <v>31</v>
      </c>
      <c r="I378" s="67" t="s">
        <v>1269</v>
      </c>
      <c r="J378" s="33">
        <f>IFERROR(Table2[[#This Row],[Importo annuale]]/(12/VLOOKUP(Table2[[#This Row],[Rateizzazione]],TIPI_RATEIZZAZIONI,2,FALSE)),"-")</f>
        <v>420</v>
      </c>
      <c r="K378" s="88"/>
      <c r="L378" s="88">
        <v>840</v>
      </c>
      <c r="M378" s="67" t="s">
        <v>43</v>
      </c>
      <c r="N378" s="67" t="s">
        <v>52</v>
      </c>
      <c r="O378" s="27" t="s">
        <v>1631</v>
      </c>
      <c r="P378" s="33" t="s">
        <v>22</v>
      </c>
      <c r="Q378" s="60">
        <f>IFERROR(IF(12 / VLOOKUP(Table2[[#This Row],[Rateizzazione]],TIPI_RATEIZZAZIONI,2,FALSE) &gt;=1,  IF(Table2[[#This Row],[Data attivazione]] = "","-",MONTH(Table2[[#This Row],[Data attivazione]])),"-"),"-")</f>
        <v>6</v>
      </c>
      <c r="R3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8" s="67" t="s">
        <v>2</v>
      </c>
      <c r="V378" s="62"/>
      <c r="W378" s="64">
        <v>42537</v>
      </c>
      <c r="X378" s="29">
        <f>DATE(YEAR(Table2[[#This Row],[Data attivazione]])+VLOOKUP(Table2[[#This Row],[Durata]],VALORE_DURATA,2,FALSE),MONTH(Table2[[#This Row],[Data attivazione]]),DAY(Table2[[#This Row],[Data attivazione]]))</f>
        <v>42902</v>
      </c>
      <c r="Y378" s="65"/>
      <c r="Z378" s="61"/>
      <c r="AA378" s="64" t="s">
        <v>88</v>
      </c>
      <c r="AB378" s="29" t="str">
        <f>IF(Table2[[#This Row],[Data ultimo versamento temp]]=0/1/1900,"-",Table2[[#This Row],[Data ultimo versamento temp]])</f>
        <v>-</v>
      </c>
      <c r="AC378" s="29">
        <f t="array" ref="AC378">MAX(IF(TableVersamenti[Polizza]=Table2[[#This Row],[Polizza]],TableVersamenti[Data prevista versamento],"-"))</f>
        <v>0</v>
      </c>
      <c r="AD378" s="62"/>
      <c r="AE378" s="106">
        <f>DATE(YEAR(Table2[[#This Row],[Data ultimo pagamento]]),MONTH(Table2[[#This Row],[Data ultimo pagamento]]), 1)</f>
        <v>42705</v>
      </c>
      <c r="AF378" s="106">
        <f>DATE(YEAR(Table2[[#This Row],[Data prossima scadenza]]),MONTH(Table2[[#This Row],[Data prossima scadenza]]), 1)</f>
        <v>42887</v>
      </c>
      <c r="AG378" s="33">
        <f>IFERROR(Table2[[#This Row],[Importo annuale]]*VLOOKUP(Table2[[#This Row],[Ramo]],RAMI_POLIZZA,2,FALSE),0)</f>
        <v>43.68</v>
      </c>
      <c r="AH378" s="65" t="s">
        <v>113</v>
      </c>
      <c r="AI378" s="63" t="str">
        <f>IFERROR(VLOOKUP(Table2[[#This Row],[Contraente]],Table1[[Nome/Ragione sociale]:[Checkbox selezionato]],2,FALSE),"-")</f>
        <v>MEZZANINO</v>
      </c>
      <c r="AJ378" s="63">
        <f>IFERROR(VLOOKUP(Table2[[#This Row],[Contraente]],Table1[[Nome/Ragione sociale]:[Checkbox selezionato]],3,FALSE),"-")</f>
        <v>3442701047</v>
      </c>
      <c r="AK378" s="63">
        <f>IFERROR(VLOOKUP(Table2[[#This Row],[Contraente]],Table1[[Nome/Ragione sociale]:[Checkbox selezionato]],4,FALSE),"-")</f>
        <v>0</v>
      </c>
      <c r="AL378" s="63" t="str">
        <f>IFERROR(VLOOKUP(Table2[[#This Row],[Contraente]],Table1[[Nome/Ragione sociale]:[Checkbox selezionato]],5,FALSE),"-")</f>
        <v>MARITO CRISTIAN</v>
      </c>
      <c r="AM378" s="62">
        <f>IFERROR(VLOOKUP(Table2[[#This Row],[Contraente]],Table1[[Nome/Ragione sociale]:[Checkbox selezionato]],6,FALSE),"-")</f>
        <v>26447</v>
      </c>
      <c r="AN378" s="63" t="str">
        <f>IFERROR(VLOOKUP(Table2[[#This Row],[Contraente]],Table1[[Nome/Ragione sociale]:[Checkbox selezionato]],7,FALSE),"-")</f>
        <v>papies@email.it</v>
      </c>
      <c r="AO378" s="63">
        <f>IFERROR(VLOOKUP(Table2[[#This Row],[Contraente]],Table1[[Nome/Ragione sociale]:[Checkbox selezionato]],8,FALSE),"-")</f>
        <v>0</v>
      </c>
      <c r="AP378" s="63">
        <f>IFERROR(VLOOKUP(Table2[[#This Row],[Contraente]],Table1[[Nome/Ragione sociale]:[Checkbox selezionato]],10,FALSE),"-")</f>
        <v>3442701047</v>
      </c>
      <c r="AQ378" s="63" t="str">
        <f>IFERROR(VLOOKUP(Table2[[#This Row],[Contraente]],Table1[[Nome/Ragione sociale]:[Checkbox selezionato]],11,FALSE),"-")</f>
        <v>SI</v>
      </c>
      <c r="AR378" s="63" t="str">
        <f>IFERROR(VLOOKUP(Table2[[#This Row],[Contraente]],Table1[[Nome/Ragione sociale]:[Checkbox selezionato]],12,FALSE),"-")</f>
        <v>SI</v>
      </c>
    </row>
    <row r="379" spans="1:44" ht="30" hidden="1" customHeight="1" x14ac:dyDescent="0.25">
      <c r="A379" s="60" t="str">
        <f>UPPER(LEFT(Table2[[#This Row],[Contraente]],1))</f>
        <v>D</v>
      </c>
      <c r="B379" s="60" t="s">
        <v>1634</v>
      </c>
      <c r="C379" s="81" t="s">
        <v>116</v>
      </c>
      <c r="D379" s="81" t="s">
        <v>37</v>
      </c>
      <c r="E379" s="86">
        <v>102286086</v>
      </c>
      <c r="F379" s="64">
        <v>42656</v>
      </c>
      <c r="G379" s="64">
        <f>IFERROR(CALCOLASCADENZA(Table2[[#This Row],[Data attivazione]],Table2[[#This Row],[Rateizzazione]],Table2[[#This Row],[Data ultimo pagamento]],Table2[[#This Row],[Data prossima scadenza manuale]]),"-")</f>
        <v>43025</v>
      </c>
      <c r="H379" s="67" t="s">
        <v>30</v>
      </c>
      <c r="I379" s="67" t="s">
        <v>113</v>
      </c>
      <c r="J379" s="33">
        <f>IFERROR(Table2[[#This Row],[Importo annuale]]/(12/VLOOKUP(Table2[[#This Row],[Rateizzazione]],TIPI_RATEIZZAZIONI,2,FALSE)),"-")</f>
        <v>80</v>
      </c>
      <c r="K379" s="88"/>
      <c r="L379" s="88">
        <v>80</v>
      </c>
      <c r="M379" s="67" t="s">
        <v>44</v>
      </c>
      <c r="N379" s="67" t="s">
        <v>51</v>
      </c>
      <c r="O379" s="27" t="s">
        <v>1631</v>
      </c>
      <c r="P379" s="33" t="s">
        <v>23</v>
      </c>
      <c r="Q379" s="60">
        <f>IFERROR(IF(12 / VLOOKUP(Table2[[#This Row],[Rateizzazione]],TIPI_RATEIZZAZIONI,2,FALSE) &gt;=1,  IF(Table2[[#This Row],[Data attivazione]] = "","-",MONTH(Table2[[#This Row],[Data attivazione]])),"-"),"-")</f>
        <v>10</v>
      </c>
      <c r="R3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9" s="67" t="s">
        <v>2</v>
      </c>
      <c r="V379" s="62"/>
      <c r="W379" s="64">
        <v>42660</v>
      </c>
      <c r="X379" s="29">
        <f>DATE(YEAR(Table2[[#This Row],[Data attivazione]])+VLOOKUP(Table2[[#This Row],[Durata]],VALORE_DURATA,2,FALSE),MONTH(Table2[[#This Row],[Data attivazione]]),DAY(Table2[[#This Row],[Data attivazione]]))</f>
        <v>43025</v>
      </c>
      <c r="Y379" s="65"/>
      <c r="Z379" s="61"/>
      <c r="AA379" s="64" t="s">
        <v>85</v>
      </c>
      <c r="AB379" s="29" t="str">
        <f>IF(Table2[[#This Row],[Data ultimo versamento temp]]=0/1/1900,"-",Table2[[#This Row],[Data ultimo versamento temp]])</f>
        <v>-</v>
      </c>
      <c r="AC379" s="29">
        <f t="array" ref="AC379">MAX(IF(TableVersamenti[Polizza]=Table2[[#This Row],[Polizza]],TableVersamenti[Data prevista versamento],"-"))</f>
        <v>0</v>
      </c>
      <c r="AD379" s="62"/>
      <c r="AE379" s="106">
        <f>DATE(YEAR(Table2[[#This Row],[Data ultimo pagamento]]),MONTH(Table2[[#This Row],[Data ultimo pagamento]]), 1)</f>
        <v>42644</v>
      </c>
      <c r="AF379" s="106">
        <f>DATE(YEAR(Table2[[#This Row],[Data prossima scadenza]]),MONTH(Table2[[#This Row],[Data prossima scadenza]]), 1)</f>
        <v>43009</v>
      </c>
      <c r="AG379" s="33">
        <f>IFERROR(Table2[[#This Row],[Importo annuale]]*VLOOKUP(Table2[[#This Row],[Ramo]],RAMI_POLIZZA,2,FALSE),0)</f>
        <v>9.2000000000000011</v>
      </c>
      <c r="AH379" s="65" t="s">
        <v>113</v>
      </c>
      <c r="AI379" s="63" t="str">
        <f>IFERROR(VLOOKUP(Table2[[#This Row],[Contraente]],Table1[[Nome/Ragione sociale]:[Checkbox selezionato]],2,FALSE),"-")</f>
        <v>ARENA PO</v>
      </c>
      <c r="AJ379" s="63">
        <f>IFERROR(VLOOKUP(Table2[[#This Row],[Contraente]],Table1[[Nome/Ragione sociale]:[Checkbox selezionato]],3,FALSE),"-")</f>
        <v>3347167238</v>
      </c>
      <c r="AK379" s="63">
        <f>IFERROR(VLOOKUP(Table2[[#This Row],[Contraente]],Table1[[Nome/Ragione sociale]:[Checkbox selezionato]],4,FALSE),"-")</f>
        <v>0</v>
      </c>
      <c r="AL379" s="63" t="str">
        <f>IFERROR(VLOOKUP(Table2[[#This Row],[Contraente]],Table1[[Nome/Ragione sociale]:[Checkbox selezionato]],5,FALSE),"-")</f>
        <v>ALESSANDRO</v>
      </c>
      <c r="AM379" s="62">
        <f>IFERROR(VLOOKUP(Table2[[#This Row],[Contraente]],Table1[[Nome/Ragione sociale]:[Checkbox selezionato]],6,FALSE),"-")</f>
        <v>27767</v>
      </c>
      <c r="AN379" s="63" t="str">
        <f>IFERROR(VLOOKUP(Table2[[#This Row],[Contraente]],Table1[[Nome/Ragione sociale]:[Checkbox selezionato]],7,FALSE),"-")</f>
        <v>papies@libero.it</v>
      </c>
      <c r="AO379" s="63">
        <f>IFERROR(VLOOKUP(Table2[[#This Row],[Contraente]],Table1[[Nome/Ragione sociale]:[Checkbox selezionato]],8,FALSE),"-")</f>
        <v>0</v>
      </c>
      <c r="AP379" s="63">
        <f>IFERROR(VLOOKUP(Table2[[#This Row],[Contraente]],Table1[[Nome/Ragione sociale]:[Checkbox selezionato]],10,FALSE),"-")</f>
        <v>3347167238</v>
      </c>
      <c r="AQ379" s="63" t="str">
        <f>IFERROR(VLOOKUP(Table2[[#This Row],[Contraente]],Table1[[Nome/Ragione sociale]:[Checkbox selezionato]],11,FALSE),"-")</f>
        <v>SI</v>
      </c>
      <c r="AR379" s="63" t="str">
        <f>IFERROR(VLOOKUP(Table2[[#This Row],[Contraente]],Table1[[Nome/Ragione sociale]:[Checkbox selezionato]],12,FALSE),"-")</f>
        <v>SI</v>
      </c>
    </row>
    <row r="380" spans="1:44" ht="30" hidden="1" customHeight="1" x14ac:dyDescent="0.25">
      <c r="A380" s="60" t="str">
        <f>UPPER(LEFT(Table2[[#This Row],[Contraente]],1))</f>
        <v>D</v>
      </c>
      <c r="B380" s="60" t="s">
        <v>1634</v>
      </c>
      <c r="C380" s="81" t="s">
        <v>116</v>
      </c>
      <c r="D380" s="81" t="s">
        <v>37</v>
      </c>
      <c r="E380" s="86">
        <v>106119860</v>
      </c>
      <c r="F380" s="64">
        <v>42656</v>
      </c>
      <c r="G380" s="64">
        <f>IFERROR(CALCOLASCADENZA(Table2[[#This Row],[Data attivazione]],Table2[[#This Row],[Rateizzazione]],Table2[[#This Row],[Data ultimo pagamento]],Table2[[#This Row],[Data prossima scadenza manuale]]),"-")</f>
        <v>43025</v>
      </c>
      <c r="H380" s="67" t="s">
        <v>31</v>
      </c>
      <c r="I380" s="67" t="s">
        <v>1274</v>
      </c>
      <c r="J380" s="33">
        <f>IFERROR(Table2[[#This Row],[Importo annuale]]/(12/VLOOKUP(Table2[[#This Row],[Rateizzazione]],TIPI_RATEIZZAZIONI,2,FALSE)),"-")</f>
        <v>500</v>
      </c>
      <c r="K380" s="88"/>
      <c r="L380" s="88">
        <v>500</v>
      </c>
      <c r="M380" s="67" t="s">
        <v>44</v>
      </c>
      <c r="N380" s="67" t="s">
        <v>51</v>
      </c>
      <c r="O380" s="27" t="s">
        <v>1631</v>
      </c>
      <c r="P380" s="33" t="s">
        <v>23</v>
      </c>
      <c r="Q380" s="60">
        <f>IFERROR(IF(12 / VLOOKUP(Table2[[#This Row],[Rateizzazione]],TIPI_RATEIZZAZIONI,2,FALSE) &gt;=1,  IF(Table2[[#This Row],[Data attivazione]] = "","-",MONTH(Table2[[#This Row],[Data attivazione]])),"-"),"-")</f>
        <v>10</v>
      </c>
      <c r="R3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0" s="67" t="s">
        <v>2</v>
      </c>
      <c r="V380" s="62"/>
      <c r="W380" s="64">
        <v>42660</v>
      </c>
      <c r="X380" s="29">
        <f>DATE(YEAR(Table2[[#This Row],[Data attivazione]])+VLOOKUP(Table2[[#This Row],[Durata]],VALORE_DURATA,2,FALSE),MONTH(Table2[[#This Row],[Data attivazione]]),DAY(Table2[[#This Row],[Data attivazione]]))</f>
        <v>43025</v>
      </c>
      <c r="Y380" s="65"/>
      <c r="Z380" s="61"/>
      <c r="AA380" s="64" t="s">
        <v>85</v>
      </c>
      <c r="AB380" s="29" t="str">
        <f>IF(Table2[[#This Row],[Data ultimo versamento temp]]=0/1/1900,"-",Table2[[#This Row],[Data ultimo versamento temp]])</f>
        <v>-</v>
      </c>
      <c r="AC380" s="29">
        <f t="array" ref="AC380">MAX(IF(TableVersamenti[Polizza]=Table2[[#This Row],[Polizza]],TableVersamenti[Data prevista versamento],"-"))</f>
        <v>0</v>
      </c>
      <c r="AD380" s="62"/>
      <c r="AE380" s="106">
        <f>DATE(YEAR(Table2[[#This Row],[Data ultimo pagamento]]),MONTH(Table2[[#This Row],[Data ultimo pagamento]]), 1)</f>
        <v>42644</v>
      </c>
      <c r="AF380" s="106">
        <f>DATE(YEAR(Table2[[#This Row],[Data prossima scadenza]]),MONTH(Table2[[#This Row],[Data prossima scadenza]]), 1)</f>
        <v>43009</v>
      </c>
      <c r="AG380" s="33">
        <f>IFERROR(Table2[[#This Row],[Importo annuale]]*VLOOKUP(Table2[[#This Row],[Ramo]],RAMI_POLIZZA,2,FALSE),0)</f>
        <v>26</v>
      </c>
      <c r="AH380" s="65" t="s">
        <v>113</v>
      </c>
      <c r="AI380" s="63" t="str">
        <f>IFERROR(VLOOKUP(Table2[[#This Row],[Contraente]],Table1[[Nome/Ragione sociale]:[Checkbox selezionato]],2,FALSE),"-")</f>
        <v>ARENA PO</v>
      </c>
      <c r="AJ380" s="63">
        <f>IFERROR(VLOOKUP(Table2[[#This Row],[Contraente]],Table1[[Nome/Ragione sociale]:[Checkbox selezionato]],3,FALSE),"-")</f>
        <v>3347167238</v>
      </c>
      <c r="AK380" s="63">
        <f>IFERROR(VLOOKUP(Table2[[#This Row],[Contraente]],Table1[[Nome/Ragione sociale]:[Checkbox selezionato]],4,FALSE),"-")</f>
        <v>0</v>
      </c>
      <c r="AL380" s="63" t="str">
        <f>IFERROR(VLOOKUP(Table2[[#This Row],[Contraente]],Table1[[Nome/Ragione sociale]:[Checkbox selezionato]],5,FALSE),"-")</f>
        <v>ALESSANDRO</v>
      </c>
      <c r="AM380" s="62">
        <f>IFERROR(VLOOKUP(Table2[[#This Row],[Contraente]],Table1[[Nome/Ragione sociale]:[Checkbox selezionato]],6,FALSE),"-")</f>
        <v>27767</v>
      </c>
      <c r="AN380" s="63" t="str">
        <f>IFERROR(VLOOKUP(Table2[[#This Row],[Contraente]],Table1[[Nome/Ragione sociale]:[Checkbox selezionato]],7,FALSE),"-")</f>
        <v>papies@libero.it</v>
      </c>
      <c r="AO380" s="63">
        <f>IFERROR(VLOOKUP(Table2[[#This Row],[Contraente]],Table1[[Nome/Ragione sociale]:[Checkbox selezionato]],8,FALSE),"-")</f>
        <v>0</v>
      </c>
      <c r="AP380" s="63">
        <f>IFERROR(VLOOKUP(Table2[[#This Row],[Contraente]],Table1[[Nome/Ragione sociale]:[Checkbox selezionato]],10,FALSE),"-")</f>
        <v>3347167238</v>
      </c>
      <c r="AQ380" s="63" t="str">
        <f>IFERROR(VLOOKUP(Table2[[#This Row],[Contraente]],Table1[[Nome/Ragione sociale]:[Checkbox selezionato]],11,FALSE),"-")</f>
        <v>SI</v>
      </c>
      <c r="AR380" s="63" t="str">
        <f>IFERROR(VLOOKUP(Table2[[#This Row],[Contraente]],Table1[[Nome/Ragione sociale]:[Checkbox selezionato]],12,FALSE),"-")</f>
        <v>SI</v>
      </c>
    </row>
    <row r="381" spans="1:44" ht="30" hidden="1" customHeight="1" x14ac:dyDescent="0.25">
      <c r="A381" s="60" t="str">
        <f>UPPER(LEFT(Table2[[#This Row],[Contraente]],1))</f>
        <v>D</v>
      </c>
      <c r="B381" s="60" t="s">
        <v>1634</v>
      </c>
      <c r="C381" s="81" t="s">
        <v>586</v>
      </c>
      <c r="D381" s="81" t="s">
        <v>37</v>
      </c>
      <c r="E381" s="86">
        <v>105876751</v>
      </c>
      <c r="F381" s="64">
        <v>42817</v>
      </c>
      <c r="G381" s="64">
        <f>IFERROR(CALCOLASCADENZA(Table2[[#This Row],[Data attivazione]],Table2[[#This Row],[Rateizzazione]],Table2[[#This Row],[Data ultimo pagamento]],Table2[[#This Row],[Data prossima scadenza manuale]]),"-")</f>
        <v>42938</v>
      </c>
      <c r="H381" s="67" t="s">
        <v>31</v>
      </c>
      <c r="I381" s="67" t="s">
        <v>1271</v>
      </c>
      <c r="J381" s="33">
        <f>IFERROR(Table2[[#This Row],[Importo annuale]]/(12/VLOOKUP(Table2[[#This Row],[Rateizzazione]],TIPI_RATEIZZAZIONI,2,FALSE)),"-")</f>
        <v>53</v>
      </c>
      <c r="K381" s="88">
        <v>53</v>
      </c>
      <c r="L381" s="88">
        <v>159</v>
      </c>
      <c r="M381" s="67" t="s">
        <v>44</v>
      </c>
      <c r="N381" s="67" t="s">
        <v>51</v>
      </c>
      <c r="O381" s="27" t="s">
        <v>1631</v>
      </c>
      <c r="P381" s="33" t="s">
        <v>21</v>
      </c>
      <c r="Q381" s="60">
        <f>IFERROR(IF(12 / VLOOKUP(Table2[[#This Row],[Rateizzazione]],TIPI_RATEIZZAZIONI,2,FALSE) &gt;=1,  IF(Table2[[#This Row],[Data attivazione]] = "","-",MONTH(Table2[[#This Row],[Data attivazione]])),"-"),"-")</f>
        <v>7</v>
      </c>
      <c r="R3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1" s="67" t="s">
        <v>2</v>
      </c>
      <c r="V381" s="62"/>
      <c r="W381" s="64">
        <v>42573</v>
      </c>
      <c r="X381" s="29">
        <f>DATE(YEAR(Table2[[#This Row],[Data attivazione]])+VLOOKUP(Table2[[#This Row],[Durata]],VALORE_DURATA,2,FALSE),MONTH(Table2[[#This Row],[Data attivazione]]),DAY(Table2[[#This Row],[Data attivazione]]))</f>
        <v>42938</v>
      </c>
      <c r="Y381" s="65"/>
      <c r="Z381" s="61"/>
      <c r="AA381" s="64" t="s">
        <v>85</v>
      </c>
      <c r="AB381" s="29" t="str">
        <f>IF(Table2[[#This Row],[Data ultimo versamento temp]]=0/1/1900,"-",Table2[[#This Row],[Data ultimo versamento temp]])</f>
        <v>-</v>
      </c>
      <c r="AC381" s="29">
        <f t="array" ref="AC381">MAX(IF(TableVersamenti[Polizza]=Table2[[#This Row],[Polizza]],TableVersamenti[Data prevista versamento],"-"))</f>
        <v>0</v>
      </c>
      <c r="AD381" s="62"/>
      <c r="AE381" s="106">
        <f>DATE(YEAR(Table2[[#This Row],[Data ultimo pagamento]]),MONTH(Table2[[#This Row],[Data ultimo pagamento]]), 1)</f>
        <v>42795</v>
      </c>
      <c r="AF381" s="106">
        <f>DATE(YEAR(Table2[[#This Row],[Data prossima scadenza]]),MONTH(Table2[[#This Row],[Data prossima scadenza]]), 1)</f>
        <v>42917</v>
      </c>
      <c r="AG381" s="33">
        <f>IFERROR(Table2[[#This Row],[Importo annuale]]*VLOOKUP(Table2[[#This Row],[Ramo]],RAMI_POLIZZA,2,FALSE),0)</f>
        <v>8.2679999999999989</v>
      </c>
      <c r="AH381" s="65" t="s">
        <v>113</v>
      </c>
      <c r="AI381" s="63" t="str">
        <f>IFERROR(VLOOKUP(Table2[[#This Row],[Contraente]],Table1[[Nome/Ragione sociale]:[Checkbox selezionato]],2,FALSE),"-")</f>
        <v>BELGIOIOSO</v>
      </c>
      <c r="AJ381" s="63">
        <f>IFERROR(VLOOKUP(Table2[[#This Row],[Contraente]],Table1[[Nome/Ragione sociale]:[Checkbox selezionato]],3,FALSE),"-")</f>
        <v>3803058956</v>
      </c>
      <c r="AK381" s="63">
        <f>IFERROR(VLOOKUP(Table2[[#This Row],[Contraente]],Table1[[Nome/Ragione sociale]:[Checkbox selezionato]],4,FALSE),"-")</f>
        <v>0</v>
      </c>
      <c r="AL381" s="63" t="str">
        <f>IFERROR(VLOOKUP(Table2[[#This Row],[Contraente]],Table1[[Nome/Ragione sociale]:[Checkbox selezionato]],5,FALSE),"-")</f>
        <v>DOMENICO</v>
      </c>
      <c r="AM381" s="62">
        <f>IFERROR(VLOOKUP(Table2[[#This Row],[Contraente]],Table1[[Nome/Ragione sociale]:[Checkbox selezionato]],6,FALSE),"-")</f>
        <v>24796</v>
      </c>
      <c r="AN381" s="63" t="str">
        <f>IFERROR(VLOOKUP(Table2[[#This Row],[Contraente]],Table1[[Nome/Ragione sociale]:[Checkbox selezionato]],7,FALSE),"-")</f>
        <v>papies@libero.it</v>
      </c>
      <c r="AO381" s="63">
        <f>IFERROR(VLOOKUP(Table2[[#This Row],[Contraente]],Table1[[Nome/Ragione sociale]:[Checkbox selezionato]],8,FALSE),"-")</f>
        <v>0</v>
      </c>
      <c r="AP381" s="63">
        <f>IFERROR(VLOOKUP(Table2[[#This Row],[Contraente]],Table1[[Nome/Ragione sociale]:[Checkbox selezionato]],10,FALSE),"-")</f>
        <v>3803058956</v>
      </c>
      <c r="AQ381" s="63" t="str">
        <f>IFERROR(VLOOKUP(Table2[[#This Row],[Contraente]],Table1[[Nome/Ragione sociale]:[Checkbox selezionato]],11,FALSE),"-")</f>
        <v>SI</v>
      </c>
      <c r="AR381" s="63" t="str">
        <f>IFERROR(VLOOKUP(Table2[[#This Row],[Contraente]],Table1[[Nome/Ragione sociale]:[Checkbox selezionato]],12,FALSE),"-")</f>
        <v>SI</v>
      </c>
    </row>
    <row r="382" spans="1:44" ht="30" hidden="1" customHeight="1" x14ac:dyDescent="0.25">
      <c r="A382" s="60" t="str">
        <f>UPPER(LEFT(Table2[[#This Row],[Contraente]],1))</f>
        <v>D</v>
      </c>
      <c r="B382" s="60" t="s">
        <v>1634</v>
      </c>
      <c r="C382" s="81" t="s">
        <v>586</v>
      </c>
      <c r="D382" s="81" t="s">
        <v>37</v>
      </c>
      <c r="E382" s="86">
        <v>105876687</v>
      </c>
      <c r="F382" s="64">
        <v>42817</v>
      </c>
      <c r="G382" s="64">
        <f>IFERROR(CALCOLASCADENZA(Table2[[#This Row],[Data attivazione]],Table2[[#This Row],[Rateizzazione]],Table2[[#This Row],[Data ultimo pagamento]],Table2[[#This Row],[Data prossima scadenza manuale]]),"-")</f>
        <v>42938</v>
      </c>
      <c r="H382" s="67" t="s">
        <v>30</v>
      </c>
      <c r="I382" s="67" t="s">
        <v>113</v>
      </c>
      <c r="J382" s="33">
        <f>IFERROR(Table2[[#This Row],[Importo annuale]]/(12/VLOOKUP(Table2[[#This Row],[Rateizzazione]],TIPI_RATEIZZAZIONI,2,FALSE)),"-")</f>
        <v>157</v>
      </c>
      <c r="K382" s="88">
        <v>157</v>
      </c>
      <c r="L382" s="88">
        <v>471</v>
      </c>
      <c r="M382" s="67" t="s">
        <v>44</v>
      </c>
      <c r="N382" s="67" t="s">
        <v>51</v>
      </c>
      <c r="O382" s="27" t="s">
        <v>1631</v>
      </c>
      <c r="P382" s="33" t="s">
        <v>21</v>
      </c>
      <c r="Q382" s="60">
        <f>IFERROR(IF(12 / VLOOKUP(Table2[[#This Row],[Rateizzazione]],TIPI_RATEIZZAZIONI,2,FALSE) &gt;=1,  IF(Table2[[#This Row],[Data attivazione]] = "","-",MONTH(Table2[[#This Row],[Data attivazione]])),"-"),"-")</f>
        <v>7</v>
      </c>
      <c r="R38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2" s="67" t="s">
        <v>2</v>
      </c>
      <c r="V382" s="62"/>
      <c r="W382" s="64">
        <v>42573</v>
      </c>
      <c r="X382" s="29">
        <f>DATE(YEAR(Table2[[#This Row],[Data attivazione]])+VLOOKUP(Table2[[#This Row],[Durata]],VALORE_DURATA,2,FALSE),MONTH(Table2[[#This Row],[Data attivazione]]),DAY(Table2[[#This Row],[Data attivazione]]))</f>
        <v>42938</v>
      </c>
      <c r="Y382" s="65"/>
      <c r="Z382" s="61"/>
      <c r="AA382" s="64" t="s">
        <v>85</v>
      </c>
      <c r="AB382" s="29" t="str">
        <f>IF(Table2[[#This Row],[Data ultimo versamento temp]]=0/1/1900,"-",Table2[[#This Row],[Data ultimo versamento temp]])</f>
        <v>-</v>
      </c>
      <c r="AC382" s="29">
        <f t="array" ref="AC382">MAX(IF(TableVersamenti[Polizza]=Table2[[#This Row],[Polizza]],TableVersamenti[Data prevista versamento],"-"))</f>
        <v>0</v>
      </c>
      <c r="AD382" s="62"/>
      <c r="AE382" s="106">
        <f>DATE(YEAR(Table2[[#This Row],[Data ultimo pagamento]]),MONTH(Table2[[#This Row],[Data ultimo pagamento]]), 1)</f>
        <v>42795</v>
      </c>
      <c r="AF382" s="106">
        <f>DATE(YEAR(Table2[[#This Row],[Data prossima scadenza]]),MONTH(Table2[[#This Row],[Data prossima scadenza]]), 1)</f>
        <v>42917</v>
      </c>
      <c r="AG382" s="33">
        <f>IFERROR(Table2[[#This Row],[Importo annuale]]*VLOOKUP(Table2[[#This Row],[Ramo]],RAMI_POLIZZA,2,FALSE),0)</f>
        <v>54.164999999999999</v>
      </c>
      <c r="AH382" s="65" t="s">
        <v>113</v>
      </c>
      <c r="AI382" s="63" t="str">
        <f>IFERROR(VLOOKUP(Table2[[#This Row],[Contraente]],Table1[[Nome/Ragione sociale]:[Checkbox selezionato]],2,FALSE),"-")</f>
        <v>BELGIOIOSO</v>
      </c>
      <c r="AJ382" s="63">
        <f>IFERROR(VLOOKUP(Table2[[#This Row],[Contraente]],Table1[[Nome/Ragione sociale]:[Checkbox selezionato]],3,FALSE),"-")</f>
        <v>3803058956</v>
      </c>
      <c r="AK382" s="63">
        <f>IFERROR(VLOOKUP(Table2[[#This Row],[Contraente]],Table1[[Nome/Ragione sociale]:[Checkbox selezionato]],4,FALSE),"-")</f>
        <v>0</v>
      </c>
      <c r="AL382" s="63" t="str">
        <f>IFERROR(VLOOKUP(Table2[[#This Row],[Contraente]],Table1[[Nome/Ragione sociale]:[Checkbox selezionato]],5,FALSE),"-")</f>
        <v>DOMENICO</v>
      </c>
      <c r="AM382" s="62">
        <f>IFERROR(VLOOKUP(Table2[[#This Row],[Contraente]],Table1[[Nome/Ragione sociale]:[Checkbox selezionato]],6,FALSE),"-")</f>
        <v>24796</v>
      </c>
      <c r="AN382" s="63" t="str">
        <f>IFERROR(VLOOKUP(Table2[[#This Row],[Contraente]],Table1[[Nome/Ragione sociale]:[Checkbox selezionato]],7,FALSE),"-")</f>
        <v>papies@libero.it</v>
      </c>
      <c r="AO382" s="63">
        <f>IFERROR(VLOOKUP(Table2[[#This Row],[Contraente]],Table1[[Nome/Ragione sociale]:[Checkbox selezionato]],8,FALSE),"-")</f>
        <v>0</v>
      </c>
      <c r="AP382" s="63">
        <f>IFERROR(VLOOKUP(Table2[[#This Row],[Contraente]],Table1[[Nome/Ragione sociale]:[Checkbox selezionato]],10,FALSE),"-")</f>
        <v>3803058956</v>
      </c>
      <c r="AQ382" s="63" t="str">
        <f>IFERROR(VLOOKUP(Table2[[#This Row],[Contraente]],Table1[[Nome/Ragione sociale]:[Checkbox selezionato]],11,FALSE),"-")</f>
        <v>SI</v>
      </c>
      <c r="AR382" s="63" t="str">
        <f>IFERROR(VLOOKUP(Table2[[#This Row],[Contraente]],Table1[[Nome/Ragione sociale]:[Checkbox selezionato]],12,FALSE),"-")</f>
        <v>SI</v>
      </c>
    </row>
    <row r="383" spans="1:44" ht="30" hidden="1" customHeight="1" x14ac:dyDescent="0.25">
      <c r="A383" s="60" t="str">
        <f>UPPER(LEFT(Table2[[#This Row],[Contraente]],1))</f>
        <v>D</v>
      </c>
      <c r="B383" s="60" t="s">
        <v>1634</v>
      </c>
      <c r="C383" s="81" t="s">
        <v>586</v>
      </c>
      <c r="D383" s="81" t="s">
        <v>37</v>
      </c>
      <c r="E383" s="86">
        <v>105607326</v>
      </c>
      <c r="F383" s="64">
        <v>42872</v>
      </c>
      <c r="G383" s="64">
        <f>IFERROR(CALCOLASCADENZA(Table2[[#This Row],[Data attivazione]],Table2[[#This Row],[Rateizzazione]],Table2[[#This Row],[Data ultimo pagamento]],Table2[[#This Row],[Data prossima scadenza manuale]]),"-")</f>
        <v>43055</v>
      </c>
      <c r="H383" s="67" t="s">
        <v>31</v>
      </c>
      <c r="I383" s="67" t="s">
        <v>1270</v>
      </c>
      <c r="J383" s="33">
        <f>IFERROR(Table2[[#This Row],[Importo annuale]]/(12/VLOOKUP(Table2[[#This Row],[Rateizzazione]],TIPI_RATEIZZAZIONI,2,FALSE)),"-")</f>
        <v>304</v>
      </c>
      <c r="K383" s="88">
        <v>304</v>
      </c>
      <c r="L383" s="88">
        <v>608</v>
      </c>
      <c r="M383" s="67" t="s">
        <v>44</v>
      </c>
      <c r="N383" s="67" t="s">
        <v>51</v>
      </c>
      <c r="O383" s="27" t="s">
        <v>1631</v>
      </c>
      <c r="P383" s="33" t="s">
        <v>22</v>
      </c>
      <c r="Q383" s="60">
        <f>IFERROR(IF(12 / VLOOKUP(Table2[[#This Row],[Rateizzazione]],TIPI_RATEIZZAZIONI,2,FALSE) &gt;=1,  IF(Table2[[#This Row],[Data attivazione]] = "","-",MONTH(Table2[[#This Row],[Data attivazione]])),"-"),"-")</f>
        <v>11</v>
      </c>
      <c r="R3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3" s="67" t="s">
        <v>2</v>
      </c>
      <c r="V383" s="62"/>
      <c r="W383" s="64">
        <v>42690</v>
      </c>
      <c r="X383" s="29">
        <f>DATE(YEAR(Table2[[#This Row],[Data attivazione]])+VLOOKUP(Table2[[#This Row],[Durata]],VALORE_DURATA,2,FALSE),MONTH(Table2[[#This Row],[Data attivazione]]),DAY(Table2[[#This Row],[Data attivazione]]))</f>
        <v>43055</v>
      </c>
      <c r="Y383" s="65"/>
      <c r="Z383" s="61"/>
      <c r="AA383" s="64" t="s">
        <v>85</v>
      </c>
      <c r="AB383" s="29" t="str">
        <f>IF(Table2[[#This Row],[Data ultimo versamento temp]]=0/1/1900,"-",Table2[[#This Row],[Data ultimo versamento temp]])</f>
        <v>-</v>
      </c>
      <c r="AC383" s="29">
        <f t="array" ref="AC383">MAX(IF(TableVersamenti[Polizza]=Table2[[#This Row],[Polizza]],TableVersamenti[Data prevista versamento],"-"))</f>
        <v>0</v>
      </c>
      <c r="AD383" s="62"/>
      <c r="AE383" s="106">
        <f>DATE(YEAR(Table2[[#This Row],[Data ultimo pagamento]]),MONTH(Table2[[#This Row],[Data ultimo pagamento]]), 1)</f>
        <v>42856</v>
      </c>
      <c r="AF383" s="106">
        <f>DATE(YEAR(Table2[[#This Row],[Data prossima scadenza]]),MONTH(Table2[[#This Row],[Data prossima scadenza]]), 1)</f>
        <v>43040</v>
      </c>
      <c r="AG383" s="33">
        <f>IFERROR(Table2[[#This Row],[Importo annuale]]*VLOOKUP(Table2[[#This Row],[Ramo]],RAMI_POLIZZA,2,FALSE),0)</f>
        <v>31.616</v>
      </c>
      <c r="AH383" s="65" t="s">
        <v>113</v>
      </c>
      <c r="AI383" s="63" t="str">
        <f>IFERROR(VLOOKUP(Table2[[#This Row],[Contraente]],Table1[[Nome/Ragione sociale]:[Checkbox selezionato]],2,FALSE),"-")</f>
        <v>BELGIOIOSO</v>
      </c>
      <c r="AJ383" s="63">
        <f>IFERROR(VLOOKUP(Table2[[#This Row],[Contraente]],Table1[[Nome/Ragione sociale]:[Checkbox selezionato]],3,FALSE),"-")</f>
        <v>3803058956</v>
      </c>
      <c r="AK383" s="63">
        <f>IFERROR(VLOOKUP(Table2[[#This Row],[Contraente]],Table1[[Nome/Ragione sociale]:[Checkbox selezionato]],4,FALSE),"-")</f>
        <v>0</v>
      </c>
      <c r="AL383" s="63" t="str">
        <f>IFERROR(VLOOKUP(Table2[[#This Row],[Contraente]],Table1[[Nome/Ragione sociale]:[Checkbox selezionato]],5,FALSE),"-")</f>
        <v>DOMENICO</v>
      </c>
      <c r="AM383" s="62">
        <f>IFERROR(VLOOKUP(Table2[[#This Row],[Contraente]],Table1[[Nome/Ragione sociale]:[Checkbox selezionato]],6,FALSE),"-")</f>
        <v>24796</v>
      </c>
      <c r="AN383" s="63" t="str">
        <f>IFERROR(VLOOKUP(Table2[[#This Row],[Contraente]],Table1[[Nome/Ragione sociale]:[Checkbox selezionato]],7,FALSE),"-")</f>
        <v>papies@libero.it</v>
      </c>
      <c r="AO383" s="63">
        <f>IFERROR(VLOOKUP(Table2[[#This Row],[Contraente]],Table1[[Nome/Ragione sociale]:[Checkbox selezionato]],8,FALSE),"-")</f>
        <v>0</v>
      </c>
      <c r="AP383" s="63">
        <f>IFERROR(VLOOKUP(Table2[[#This Row],[Contraente]],Table1[[Nome/Ragione sociale]:[Checkbox selezionato]],10,FALSE),"-")</f>
        <v>3803058956</v>
      </c>
      <c r="AQ383" s="63" t="str">
        <f>IFERROR(VLOOKUP(Table2[[#This Row],[Contraente]],Table1[[Nome/Ragione sociale]:[Checkbox selezionato]],11,FALSE),"-")</f>
        <v>SI</v>
      </c>
      <c r="AR383" s="63" t="str">
        <f>IFERROR(VLOOKUP(Table2[[#This Row],[Contraente]],Table1[[Nome/Ragione sociale]:[Checkbox selezionato]],12,FALSE),"-")</f>
        <v>SI</v>
      </c>
    </row>
    <row r="384" spans="1:44" ht="30" hidden="1" customHeight="1" x14ac:dyDescent="0.25">
      <c r="A384" s="60" t="str">
        <f>UPPER(LEFT(Table2[[#This Row],[Contraente]],1))</f>
        <v>D</v>
      </c>
      <c r="B384" s="60" t="s">
        <v>1634</v>
      </c>
      <c r="C384" s="81" t="s">
        <v>586</v>
      </c>
      <c r="D384" s="81" t="s">
        <v>37</v>
      </c>
      <c r="E384" s="86">
        <v>106166776</v>
      </c>
      <c r="F384" s="64">
        <v>42858</v>
      </c>
      <c r="G384" s="64">
        <f>IFERROR(CALCOLASCADENZA(Table2[[#This Row],[Data attivazione]],Table2[[#This Row],[Rateizzazione]],Table2[[#This Row],[Data ultimo pagamento]],Table2[[#This Row],[Data prossima scadenza manuale]]),"-")</f>
        <v>43038</v>
      </c>
      <c r="H384" s="67" t="s">
        <v>31</v>
      </c>
      <c r="I384" s="67" t="s">
        <v>1272</v>
      </c>
      <c r="J384" s="33">
        <f>IFERROR(Table2[[#This Row],[Importo annuale]]/(12/VLOOKUP(Table2[[#This Row],[Rateizzazione]],TIPI_RATEIZZAZIONI,2,FALSE)),"-")</f>
        <v>201.84</v>
      </c>
      <c r="K384" s="88">
        <v>201.84</v>
      </c>
      <c r="L384" s="88">
        <v>403.68</v>
      </c>
      <c r="M384" s="67" t="s">
        <v>44</v>
      </c>
      <c r="N384" s="67" t="s">
        <v>51</v>
      </c>
      <c r="O384" s="27" t="s">
        <v>1631</v>
      </c>
      <c r="P384" s="33" t="s">
        <v>22</v>
      </c>
      <c r="Q384" s="60">
        <f>IFERROR(IF(12 / VLOOKUP(Table2[[#This Row],[Rateizzazione]],TIPI_RATEIZZAZIONI,2,FALSE) &gt;=1,  IF(Table2[[#This Row],[Data attivazione]] = "","-",MONTH(Table2[[#This Row],[Data attivazione]])),"-"),"-")</f>
        <v>10</v>
      </c>
      <c r="R3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4" s="67" t="s">
        <v>2</v>
      </c>
      <c r="V384" s="62"/>
      <c r="W384" s="64">
        <v>42673</v>
      </c>
      <c r="X384" s="29">
        <f>DATE(YEAR(Table2[[#This Row],[Data attivazione]])+VLOOKUP(Table2[[#This Row],[Durata]],VALORE_DURATA,2,FALSE),MONTH(Table2[[#This Row],[Data attivazione]]),DAY(Table2[[#This Row],[Data attivazione]]))</f>
        <v>43038</v>
      </c>
      <c r="Y384" s="65"/>
      <c r="Z384" s="61"/>
      <c r="AA384" s="64" t="s">
        <v>85</v>
      </c>
      <c r="AB384" s="29" t="str">
        <f>IF(Table2[[#This Row],[Data ultimo versamento temp]]=0/1/1900,"-",Table2[[#This Row],[Data ultimo versamento temp]])</f>
        <v>-</v>
      </c>
      <c r="AC384" s="29">
        <f t="array" ref="AC384">MAX(IF(TableVersamenti[Polizza]=Table2[[#This Row],[Polizza]],TableVersamenti[Data prevista versamento],"-"))</f>
        <v>0</v>
      </c>
      <c r="AD384" s="62"/>
      <c r="AE384" s="106">
        <f>DATE(YEAR(Table2[[#This Row],[Data ultimo pagamento]]),MONTH(Table2[[#This Row],[Data ultimo pagamento]]), 1)</f>
        <v>42856</v>
      </c>
      <c r="AF384" s="106">
        <f>DATE(YEAR(Table2[[#This Row],[Data prossima scadenza]]),MONTH(Table2[[#This Row],[Data prossima scadenza]]), 1)</f>
        <v>43009</v>
      </c>
      <c r="AG384" s="33">
        <f>IFERROR(Table2[[#This Row],[Importo annuale]]*VLOOKUP(Table2[[#This Row],[Ramo]],RAMI_POLIZZA,2,FALSE),0)</f>
        <v>20.99136</v>
      </c>
      <c r="AH384" s="65" t="s">
        <v>113</v>
      </c>
      <c r="AI384" s="63" t="str">
        <f>IFERROR(VLOOKUP(Table2[[#This Row],[Contraente]],Table1[[Nome/Ragione sociale]:[Checkbox selezionato]],2,FALSE),"-")</f>
        <v>BELGIOIOSO</v>
      </c>
      <c r="AJ384" s="63">
        <f>IFERROR(VLOOKUP(Table2[[#This Row],[Contraente]],Table1[[Nome/Ragione sociale]:[Checkbox selezionato]],3,FALSE),"-")</f>
        <v>3803058956</v>
      </c>
      <c r="AK384" s="63">
        <f>IFERROR(VLOOKUP(Table2[[#This Row],[Contraente]],Table1[[Nome/Ragione sociale]:[Checkbox selezionato]],4,FALSE),"-")</f>
        <v>0</v>
      </c>
      <c r="AL384" s="63" t="str">
        <f>IFERROR(VLOOKUP(Table2[[#This Row],[Contraente]],Table1[[Nome/Ragione sociale]:[Checkbox selezionato]],5,FALSE),"-")</f>
        <v>DOMENICO</v>
      </c>
      <c r="AM384" s="62">
        <f>IFERROR(VLOOKUP(Table2[[#This Row],[Contraente]],Table1[[Nome/Ragione sociale]:[Checkbox selezionato]],6,FALSE),"-")</f>
        <v>24796</v>
      </c>
      <c r="AN384" s="63" t="str">
        <f>IFERROR(VLOOKUP(Table2[[#This Row],[Contraente]],Table1[[Nome/Ragione sociale]:[Checkbox selezionato]],7,FALSE),"-")</f>
        <v>papies@libero.it</v>
      </c>
      <c r="AO384" s="63">
        <f>IFERROR(VLOOKUP(Table2[[#This Row],[Contraente]],Table1[[Nome/Ragione sociale]:[Checkbox selezionato]],8,FALSE),"-")</f>
        <v>0</v>
      </c>
      <c r="AP384" s="63">
        <f>IFERROR(VLOOKUP(Table2[[#This Row],[Contraente]],Table1[[Nome/Ragione sociale]:[Checkbox selezionato]],10,FALSE),"-")</f>
        <v>3803058956</v>
      </c>
      <c r="AQ384" s="63" t="str">
        <f>IFERROR(VLOOKUP(Table2[[#This Row],[Contraente]],Table1[[Nome/Ragione sociale]:[Checkbox selezionato]],11,FALSE),"-")</f>
        <v>SI</v>
      </c>
      <c r="AR384" s="63" t="str">
        <f>IFERROR(VLOOKUP(Table2[[#This Row],[Contraente]],Table1[[Nome/Ragione sociale]:[Checkbox selezionato]],12,FALSE),"-")</f>
        <v>SI</v>
      </c>
    </row>
    <row r="385" spans="1:44" ht="30" hidden="1" customHeight="1" x14ac:dyDescent="0.25">
      <c r="A385" s="60" t="str">
        <f>UPPER(LEFT(Table2[[#This Row],[Contraente]],1))</f>
        <v>D</v>
      </c>
      <c r="B385" s="60" t="s">
        <v>1634</v>
      </c>
      <c r="C385" s="81" t="s">
        <v>589</v>
      </c>
      <c r="D385" s="81" t="s">
        <v>37</v>
      </c>
      <c r="E385" s="86">
        <v>103427719</v>
      </c>
      <c r="F385" s="64">
        <v>41832</v>
      </c>
      <c r="G385" s="64">
        <f>IFERROR(CALCOLASCADENZA(Table2[[#This Row],[Data attivazione]],Table2[[#This Row],[Rateizzazione]],Table2[[#This Row],[Data ultimo pagamento]],Table2[[#This Row],[Data prossima scadenza manuale]]),"-")</f>
        <v>693778</v>
      </c>
      <c r="H385" s="67" t="s">
        <v>31</v>
      </c>
      <c r="I385" s="67"/>
      <c r="J385" s="33">
        <f>IFERROR(Table2[[#This Row],[Importo annuale]]/(12/VLOOKUP(Table2[[#This Row],[Rateizzazione]],TIPI_RATEIZZAZIONI,2,FALSE)),"-")</f>
        <v>319</v>
      </c>
      <c r="K385" s="88"/>
      <c r="L385" s="88">
        <v>638</v>
      </c>
      <c r="M385" s="67" t="s">
        <v>43</v>
      </c>
      <c r="N385" s="67" t="s">
        <v>51</v>
      </c>
      <c r="O385" s="27" t="s">
        <v>1631</v>
      </c>
      <c r="P385" s="33" t="s">
        <v>22</v>
      </c>
      <c r="Q385" s="60">
        <f>IFERROR(IF(12 / VLOOKUP(Table2[[#This Row],[Rateizzazione]],TIPI_RATEIZZAZIONI,2,FALSE) &gt;=1,  IF(Table2[[#This Row],[Data attivazione]] = "","-",MONTH(Table2[[#This Row],[Data attivazione]])),"-"),"-")</f>
        <v>12</v>
      </c>
      <c r="R3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5" s="67" t="s">
        <v>2</v>
      </c>
      <c r="V385" s="62"/>
      <c r="W385" s="64">
        <v>693597</v>
      </c>
      <c r="X385" s="29">
        <f>DATE(YEAR(Table2[[#This Row],[Data attivazione]])+VLOOKUP(Table2[[#This Row],[Durata]],VALORE_DURATA,2,FALSE),MONTH(Table2[[#This Row],[Data attivazione]]),DAY(Table2[[#This Row],[Data attivazione]]))</f>
        <v>693962</v>
      </c>
      <c r="Y385" s="65"/>
      <c r="Z385" s="61"/>
      <c r="AA385" s="64" t="s">
        <v>88</v>
      </c>
      <c r="AB385" s="29" t="str">
        <f>IF(Table2[[#This Row],[Data ultimo versamento temp]]=0/1/1900,"-",Table2[[#This Row],[Data ultimo versamento temp]])</f>
        <v>-</v>
      </c>
      <c r="AC385" s="29">
        <f t="array" ref="AC385">MAX(IF(TableVersamenti[Polizza]=Table2[[#This Row],[Polizza]],TableVersamenti[Data prevista versamento],"-"))</f>
        <v>0</v>
      </c>
      <c r="AD385" s="62"/>
      <c r="AE385" s="106">
        <f>DATE(YEAR(Table2[[#This Row],[Data ultimo pagamento]]),MONTH(Table2[[#This Row],[Data ultimo pagamento]]), 1)</f>
        <v>41821</v>
      </c>
      <c r="AF385" s="106">
        <f>DATE(YEAR(Table2[[#This Row],[Data prossima scadenza]]),MONTH(Table2[[#This Row],[Data prossima scadenza]]), 1)</f>
        <v>693749</v>
      </c>
      <c r="AG385" s="33">
        <f>IFERROR(Table2[[#This Row],[Importo annuale]]*VLOOKUP(Table2[[#This Row],[Ramo]],RAMI_POLIZZA,2,FALSE),0)</f>
        <v>33.176000000000002</v>
      </c>
      <c r="AH385" s="65" t="s">
        <v>113</v>
      </c>
      <c r="AI385" s="63" t="str">
        <f>IFERROR(VLOOKUP(Table2[[#This Row],[Contraente]],Table1[[Nome/Ragione sociale]:[Checkbox selezionato]],2,FALSE),"-")</f>
        <v xml:space="preserve">MAGHERNO </v>
      </c>
      <c r="AJ385" s="63">
        <f>IFERROR(VLOOKUP(Table2[[#This Row],[Contraente]],Table1[[Nome/Ragione sociale]:[Checkbox selezionato]],3,FALSE),"-")</f>
        <v>3664446863</v>
      </c>
      <c r="AK385" s="63">
        <f>IFERROR(VLOOKUP(Table2[[#This Row],[Contraente]],Table1[[Nome/Ragione sociale]:[Checkbox selezionato]],4,FALSE),"-")</f>
        <v>0</v>
      </c>
      <c r="AL385" s="63" t="str">
        <f>IFERROR(VLOOKUP(Table2[[#This Row],[Contraente]],Table1[[Nome/Ragione sociale]:[Checkbox selezionato]],5,FALSE),"-")</f>
        <v>GABRIELE</v>
      </c>
      <c r="AM385" s="62">
        <f>IFERROR(VLOOKUP(Table2[[#This Row],[Contraente]],Table1[[Nome/Ragione sociale]:[Checkbox selezionato]],6,FALSE),"-")</f>
        <v>30532</v>
      </c>
      <c r="AN385" s="63" t="str">
        <f>IFERROR(VLOOKUP(Table2[[#This Row],[Contraente]],Table1[[Nome/Ragione sociale]:[Checkbox selezionato]],7,FALSE),"-")</f>
        <v>papies@email.it</v>
      </c>
      <c r="AO385" s="63">
        <f>IFERROR(VLOOKUP(Table2[[#This Row],[Contraente]],Table1[[Nome/Ragione sociale]:[Checkbox selezionato]],8,FALSE),"-")</f>
        <v>0</v>
      </c>
      <c r="AP385" s="63">
        <f>IFERROR(VLOOKUP(Table2[[#This Row],[Contraente]],Table1[[Nome/Ragione sociale]:[Checkbox selezionato]],10,FALSE),"-")</f>
        <v>3664446863</v>
      </c>
      <c r="AQ385" s="63" t="str">
        <f>IFERROR(VLOOKUP(Table2[[#This Row],[Contraente]],Table1[[Nome/Ragione sociale]:[Checkbox selezionato]],11,FALSE),"-")</f>
        <v>SI</v>
      </c>
      <c r="AR385" s="63" t="str">
        <f>IFERROR(VLOOKUP(Table2[[#This Row],[Contraente]],Table1[[Nome/Ragione sociale]:[Checkbox selezionato]],12,FALSE),"-")</f>
        <v>SI</v>
      </c>
    </row>
    <row r="386" spans="1:44" ht="30" hidden="1" customHeight="1" x14ac:dyDescent="0.25">
      <c r="A386" s="60" t="str">
        <f>UPPER(LEFT(Table2[[#This Row],[Contraente]],1))</f>
        <v>D</v>
      </c>
      <c r="B386" s="60" t="s">
        <v>1634</v>
      </c>
      <c r="C386" s="81" t="s">
        <v>589</v>
      </c>
      <c r="D386" s="81" t="s">
        <v>37</v>
      </c>
      <c r="E386" s="86">
        <v>103427458</v>
      </c>
      <c r="F386" s="64">
        <v>41856</v>
      </c>
      <c r="G386" s="64">
        <f>IFERROR(CALCOLASCADENZA(Table2[[#This Row],[Data attivazione]],Table2[[#This Row],[Rateizzazione]],Table2[[#This Row],[Data ultimo pagamento]],Table2[[#This Row],[Data prossima scadenza manuale]]),"-")</f>
        <v>693778</v>
      </c>
      <c r="H386" s="67" t="s">
        <v>30</v>
      </c>
      <c r="I386" s="67"/>
      <c r="J386" s="33">
        <f>IFERROR(Table2[[#This Row],[Importo annuale]]/(12/VLOOKUP(Table2[[#This Row],[Rateizzazione]],TIPI_RATEIZZAZIONI,2,FALSE)),"-")</f>
        <v>62</v>
      </c>
      <c r="K386" s="88"/>
      <c r="L386" s="88">
        <v>124</v>
      </c>
      <c r="M386" s="67" t="s">
        <v>43</v>
      </c>
      <c r="N386" s="67" t="s">
        <v>51</v>
      </c>
      <c r="O386" s="27" t="s">
        <v>1631</v>
      </c>
      <c r="P386" s="33" t="s">
        <v>22</v>
      </c>
      <c r="Q386" s="60">
        <f>IFERROR(IF(12 / VLOOKUP(Table2[[#This Row],[Rateizzazione]],TIPI_RATEIZZAZIONI,2,FALSE) &gt;=1,  IF(Table2[[#This Row],[Data attivazione]] = "","-",MONTH(Table2[[#This Row],[Data attivazione]])),"-"),"-")</f>
        <v>12</v>
      </c>
      <c r="R3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6" s="67" t="s">
        <v>2</v>
      </c>
      <c r="V386" s="62"/>
      <c r="W386" s="64">
        <v>693597</v>
      </c>
      <c r="X386" s="29">
        <f>DATE(YEAR(Table2[[#This Row],[Data attivazione]])+VLOOKUP(Table2[[#This Row],[Durata]],VALORE_DURATA,2,FALSE),MONTH(Table2[[#This Row],[Data attivazione]]),DAY(Table2[[#This Row],[Data attivazione]]))</f>
        <v>693962</v>
      </c>
      <c r="Y386" s="65"/>
      <c r="Z386" s="61"/>
      <c r="AA386" s="64" t="s">
        <v>88</v>
      </c>
      <c r="AB386" s="29" t="str">
        <f>IF(Table2[[#This Row],[Data ultimo versamento temp]]=0/1/1900,"-",Table2[[#This Row],[Data ultimo versamento temp]])</f>
        <v>-</v>
      </c>
      <c r="AC386" s="29">
        <f t="array" ref="AC386">MAX(IF(TableVersamenti[Polizza]=Table2[[#This Row],[Polizza]],TableVersamenti[Data prevista versamento],"-"))</f>
        <v>0</v>
      </c>
      <c r="AD386" s="62"/>
      <c r="AE386" s="106">
        <f>DATE(YEAR(Table2[[#This Row],[Data ultimo pagamento]]),MONTH(Table2[[#This Row],[Data ultimo pagamento]]), 1)</f>
        <v>41852</v>
      </c>
      <c r="AF386" s="106">
        <f>DATE(YEAR(Table2[[#This Row],[Data prossima scadenza]]),MONTH(Table2[[#This Row],[Data prossima scadenza]]), 1)</f>
        <v>693749</v>
      </c>
      <c r="AG386" s="33">
        <f>IFERROR(Table2[[#This Row],[Importo annuale]]*VLOOKUP(Table2[[#This Row],[Ramo]],RAMI_POLIZZA,2,FALSE),0)</f>
        <v>14.26</v>
      </c>
      <c r="AH386" s="65" t="s">
        <v>113</v>
      </c>
      <c r="AI386" s="63" t="str">
        <f>IFERROR(VLOOKUP(Table2[[#This Row],[Contraente]],Table1[[Nome/Ragione sociale]:[Checkbox selezionato]],2,FALSE),"-")</f>
        <v xml:space="preserve">MAGHERNO </v>
      </c>
      <c r="AJ386" s="63">
        <f>IFERROR(VLOOKUP(Table2[[#This Row],[Contraente]],Table1[[Nome/Ragione sociale]:[Checkbox selezionato]],3,FALSE),"-")</f>
        <v>3664446863</v>
      </c>
      <c r="AK386" s="63">
        <f>IFERROR(VLOOKUP(Table2[[#This Row],[Contraente]],Table1[[Nome/Ragione sociale]:[Checkbox selezionato]],4,FALSE),"-")</f>
        <v>0</v>
      </c>
      <c r="AL386" s="63" t="str">
        <f>IFERROR(VLOOKUP(Table2[[#This Row],[Contraente]],Table1[[Nome/Ragione sociale]:[Checkbox selezionato]],5,FALSE),"-")</f>
        <v>GABRIELE</v>
      </c>
      <c r="AM386" s="62">
        <f>IFERROR(VLOOKUP(Table2[[#This Row],[Contraente]],Table1[[Nome/Ragione sociale]:[Checkbox selezionato]],6,FALSE),"-")</f>
        <v>30532</v>
      </c>
      <c r="AN386" s="63" t="str">
        <f>IFERROR(VLOOKUP(Table2[[#This Row],[Contraente]],Table1[[Nome/Ragione sociale]:[Checkbox selezionato]],7,FALSE),"-")</f>
        <v>papies@email.it</v>
      </c>
      <c r="AO386" s="63">
        <f>IFERROR(VLOOKUP(Table2[[#This Row],[Contraente]],Table1[[Nome/Ragione sociale]:[Checkbox selezionato]],8,FALSE),"-")</f>
        <v>0</v>
      </c>
      <c r="AP386" s="63">
        <f>IFERROR(VLOOKUP(Table2[[#This Row],[Contraente]],Table1[[Nome/Ragione sociale]:[Checkbox selezionato]],10,FALSE),"-")</f>
        <v>3664446863</v>
      </c>
      <c r="AQ386" s="63" t="str">
        <f>IFERROR(VLOOKUP(Table2[[#This Row],[Contraente]],Table1[[Nome/Ragione sociale]:[Checkbox selezionato]],11,FALSE),"-")</f>
        <v>SI</v>
      </c>
      <c r="AR386" s="63" t="str">
        <f>IFERROR(VLOOKUP(Table2[[#This Row],[Contraente]],Table1[[Nome/Ragione sociale]:[Checkbox selezionato]],12,FALSE),"-")</f>
        <v>SI</v>
      </c>
    </row>
    <row r="387" spans="1:44" ht="30" hidden="1" customHeight="1" x14ac:dyDescent="0.25">
      <c r="A387" s="60" t="str">
        <f>UPPER(LEFT(Table2[[#This Row],[Contraente]],1))</f>
        <v>D</v>
      </c>
      <c r="B387" s="60" t="s">
        <v>1634</v>
      </c>
      <c r="C387" s="81" t="s">
        <v>591</v>
      </c>
      <c r="D387" s="81" t="s">
        <v>37</v>
      </c>
      <c r="E387" s="86">
        <v>106223750</v>
      </c>
      <c r="F387" s="64">
        <v>42810</v>
      </c>
      <c r="G387" s="64">
        <f>IFERROR(CALCOLASCADENZA(Table2[[#This Row],[Data attivazione]],Table2[[#This Row],[Rateizzazione]],Table2[[#This Row],[Data ultimo pagamento]],Table2[[#This Row],[Data prossima scadenza manuale]]),"-")</f>
        <v>42927</v>
      </c>
      <c r="H387" s="67" t="s">
        <v>31</v>
      </c>
      <c r="I387" s="67" t="s">
        <v>1275</v>
      </c>
      <c r="J387" s="33">
        <f>IFERROR(Table2[[#This Row],[Importo annuale]]/(12/VLOOKUP(Table2[[#This Row],[Rateizzazione]],TIPI_RATEIZZAZIONI,2,FALSE)),"-")</f>
        <v>165</v>
      </c>
      <c r="K387" s="88">
        <v>165</v>
      </c>
      <c r="L387" s="88">
        <v>495</v>
      </c>
      <c r="M387" s="67" t="s">
        <v>44</v>
      </c>
      <c r="N387" s="67" t="s">
        <v>51</v>
      </c>
      <c r="O387" s="27" t="s">
        <v>1631</v>
      </c>
      <c r="P387" s="33" t="s">
        <v>21</v>
      </c>
      <c r="Q387" s="60">
        <f>IFERROR(IF(12 / VLOOKUP(Table2[[#This Row],[Rateizzazione]],TIPI_RATEIZZAZIONI,2,FALSE) &gt;=1,  IF(Table2[[#This Row],[Data attivazione]] = "","-",MONTH(Table2[[#This Row],[Data attivazione]])),"-"),"-")</f>
        <v>7</v>
      </c>
      <c r="R3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7" s="67" t="s">
        <v>2</v>
      </c>
      <c r="V387" s="62"/>
      <c r="W387" s="64">
        <v>42562</v>
      </c>
      <c r="X387" s="29">
        <f>DATE(YEAR(Table2[[#This Row],[Data attivazione]])+VLOOKUP(Table2[[#This Row],[Durata]],VALORE_DURATA,2,FALSE),MONTH(Table2[[#This Row],[Data attivazione]]),DAY(Table2[[#This Row],[Data attivazione]]))</f>
        <v>42927</v>
      </c>
      <c r="Y387" s="65"/>
      <c r="Z387" s="61"/>
      <c r="AA387" s="64" t="s">
        <v>85</v>
      </c>
      <c r="AB387" s="29" t="str">
        <f>IF(Table2[[#This Row],[Data ultimo versamento temp]]=0/1/1900,"-",Table2[[#This Row],[Data ultimo versamento temp]])</f>
        <v>-</v>
      </c>
      <c r="AC387" s="29">
        <f t="array" ref="AC387">MAX(IF(TableVersamenti[Polizza]=Table2[[#This Row],[Polizza]],TableVersamenti[Data prevista versamento],"-"))</f>
        <v>0</v>
      </c>
      <c r="AD387" s="62"/>
      <c r="AE387" s="106">
        <f>DATE(YEAR(Table2[[#This Row],[Data ultimo pagamento]]),MONTH(Table2[[#This Row],[Data ultimo pagamento]]), 1)</f>
        <v>42795</v>
      </c>
      <c r="AF387" s="106">
        <f>DATE(YEAR(Table2[[#This Row],[Data prossima scadenza]]),MONTH(Table2[[#This Row],[Data prossima scadenza]]), 1)</f>
        <v>42917</v>
      </c>
      <c r="AG387" s="33">
        <f>IFERROR(Table2[[#This Row],[Importo annuale]]*VLOOKUP(Table2[[#This Row],[Ramo]],RAMI_POLIZZA,2,FALSE),0)</f>
        <v>25.74</v>
      </c>
      <c r="AH387" s="65" t="s">
        <v>113</v>
      </c>
      <c r="AI387" s="63" t="str">
        <f>IFERROR(VLOOKUP(Table2[[#This Row],[Contraente]],Table1[[Nome/Ragione sociale]:[Checkbox selezionato]],2,FALSE),"-")</f>
        <v>FILIGHERA</v>
      </c>
      <c r="AJ387" s="63">
        <f>IFERROR(VLOOKUP(Table2[[#This Row],[Contraente]],Table1[[Nome/Ragione sociale]:[Checkbox selezionato]],3,FALSE),"-")</f>
        <v>3391094451</v>
      </c>
      <c r="AK387" s="63">
        <f>IFERROR(VLOOKUP(Table2[[#This Row],[Contraente]],Table1[[Nome/Ragione sociale]:[Checkbox selezionato]],4,FALSE),"-")</f>
        <v>0</v>
      </c>
      <c r="AL387" s="63" t="str">
        <f>IFERROR(VLOOKUP(Table2[[#This Row],[Contraente]],Table1[[Nome/Ragione sociale]:[Checkbox selezionato]],5,FALSE),"-")</f>
        <v>CLAUDIA</v>
      </c>
      <c r="AM387" s="62">
        <f>IFERROR(VLOOKUP(Table2[[#This Row],[Contraente]],Table1[[Nome/Ragione sociale]:[Checkbox selezionato]],6,FALSE),"-")</f>
        <v>24549</v>
      </c>
      <c r="AN387" s="63" t="str">
        <f>IFERROR(VLOOKUP(Table2[[#This Row],[Contraente]],Table1[[Nome/Ragione sociale]:[Checkbox selezionato]],7,FALSE),"-")</f>
        <v>papies@libero.it</v>
      </c>
      <c r="AO387" s="63">
        <f>IFERROR(VLOOKUP(Table2[[#This Row],[Contraente]],Table1[[Nome/Ragione sociale]:[Checkbox selezionato]],8,FALSE),"-")</f>
        <v>0</v>
      </c>
      <c r="AP387" s="63">
        <f>IFERROR(VLOOKUP(Table2[[#This Row],[Contraente]],Table1[[Nome/Ragione sociale]:[Checkbox selezionato]],10,FALSE),"-")</f>
        <v>3391094451</v>
      </c>
      <c r="AQ387" s="63" t="str">
        <f>IFERROR(VLOOKUP(Table2[[#This Row],[Contraente]],Table1[[Nome/Ragione sociale]:[Checkbox selezionato]],11,FALSE),"-")</f>
        <v>SI</v>
      </c>
      <c r="AR387" s="63" t="str">
        <f>IFERROR(VLOOKUP(Table2[[#This Row],[Contraente]],Table1[[Nome/Ragione sociale]:[Checkbox selezionato]],12,FALSE),"-")</f>
        <v>SI</v>
      </c>
    </row>
    <row r="388" spans="1:44" ht="30" hidden="1" customHeight="1" x14ac:dyDescent="0.25">
      <c r="A388" s="60" t="str">
        <f>UPPER(LEFT(Table2[[#This Row],[Contraente]],1))</f>
        <v>D</v>
      </c>
      <c r="B388" s="60" t="s">
        <v>1634</v>
      </c>
      <c r="C388" s="81" t="s">
        <v>591</v>
      </c>
      <c r="D388" s="81" t="s">
        <v>37</v>
      </c>
      <c r="E388" s="86">
        <v>104699216</v>
      </c>
      <c r="F388" s="64">
        <v>42898</v>
      </c>
      <c r="G388" s="64">
        <f>IFERROR(CALCOLASCADENZA(Table2[[#This Row],[Data attivazione]],Table2[[#This Row],[Rateizzazione]],Table2[[#This Row],[Data ultimo pagamento]],Table2[[#This Row],[Data prossima scadenza manuale]]),"-")</f>
        <v>693778</v>
      </c>
      <c r="H388" s="67" t="s">
        <v>30</v>
      </c>
      <c r="I388" s="67" t="s">
        <v>113</v>
      </c>
      <c r="J388" s="33">
        <f>IFERROR(Table2[[#This Row],[Importo annuale]]/(12/VLOOKUP(Table2[[#This Row],[Rateizzazione]],TIPI_RATEIZZAZIONI,2,FALSE)),"-")</f>
        <v>35</v>
      </c>
      <c r="K388" s="88">
        <v>35</v>
      </c>
      <c r="L388" s="88">
        <v>70</v>
      </c>
      <c r="M388" s="67" t="s">
        <v>44</v>
      </c>
      <c r="N388" s="67" t="s">
        <v>51</v>
      </c>
      <c r="O388" s="27" t="s">
        <v>1631</v>
      </c>
      <c r="P388" s="33" t="s">
        <v>22</v>
      </c>
      <c r="Q388" s="60">
        <f>IFERROR(IF(12 / VLOOKUP(Table2[[#This Row],[Rateizzazione]],TIPI_RATEIZZAZIONI,2,FALSE) &gt;=1,  IF(Table2[[#This Row],[Data attivazione]] = "","-",MONTH(Table2[[#This Row],[Data attivazione]])),"-"),"-")</f>
        <v>12</v>
      </c>
      <c r="R3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8" s="67" t="s">
        <v>2</v>
      </c>
      <c r="V388" s="62"/>
      <c r="W388" s="64">
        <v>693597</v>
      </c>
      <c r="X388" s="29">
        <f>DATE(YEAR(Table2[[#This Row],[Data attivazione]])+VLOOKUP(Table2[[#This Row],[Durata]],VALORE_DURATA,2,FALSE),MONTH(Table2[[#This Row],[Data attivazione]]),DAY(Table2[[#This Row],[Data attivazione]]))</f>
        <v>693962</v>
      </c>
      <c r="Y388" s="65"/>
      <c r="Z388" s="61"/>
      <c r="AA388" s="64" t="s">
        <v>88</v>
      </c>
      <c r="AB388" s="29" t="str">
        <f>IF(Table2[[#This Row],[Data ultimo versamento temp]]=0/1/1900,"-",Table2[[#This Row],[Data ultimo versamento temp]])</f>
        <v>-</v>
      </c>
      <c r="AC388" s="29">
        <f t="array" ref="AC388">MAX(IF(TableVersamenti[Polizza]=Table2[[#This Row],[Polizza]],TableVersamenti[Data prevista versamento],"-"))</f>
        <v>0</v>
      </c>
      <c r="AD388" s="62"/>
      <c r="AE388" s="106">
        <f>DATE(YEAR(Table2[[#This Row],[Data ultimo pagamento]]),MONTH(Table2[[#This Row],[Data ultimo pagamento]]), 1)</f>
        <v>42887</v>
      </c>
      <c r="AF388" s="106">
        <f>DATE(YEAR(Table2[[#This Row],[Data prossima scadenza]]),MONTH(Table2[[#This Row],[Data prossima scadenza]]), 1)</f>
        <v>693749</v>
      </c>
      <c r="AG388" s="33">
        <f>IFERROR(Table2[[#This Row],[Importo annuale]]*VLOOKUP(Table2[[#This Row],[Ramo]],RAMI_POLIZZA,2,FALSE),0)</f>
        <v>8.0500000000000007</v>
      </c>
      <c r="AH388" s="65" t="s">
        <v>113</v>
      </c>
      <c r="AI388" s="63" t="str">
        <f>IFERROR(VLOOKUP(Table2[[#This Row],[Contraente]],Table1[[Nome/Ragione sociale]:[Checkbox selezionato]],2,FALSE),"-")</f>
        <v>FILIGHERA</v>
      </c>
      <c r="AJ388" s="63">
        <f>IFERROR(VLOOKUP(Table2[[#This Row],[Contraente]],Table1[[Nome/Ragione sociale]:[Checkbox selezionato]],3,FALSE),"-")</f>
        <v>3391094451</v>
      </c>
      <c r="AK388" s="63">
        <f>IFERROR(VLOOKUP(Table2[[#This Row],[Contraente]],Table1[[Nome/Ragione sociale]:[Checkbox selezionato]],4,FALSE),"-")</f>
        <v>0</v>
      </c>
      <c r="AL388" s="63" t="str">
        <f>IFERROR(VLOOKUP(Table2[[#This Row],[Contraente]],Table1[[Nome/Ragione sociale]:[Checkbox selezionato]],5,FALSE),"-")</f>
        <v>CLAUDIA</v>
      </c>
      <c r="AM388" s="62">
        <f>IFERROR(VLOOKUP(Table2[[#This Row],[Contraente]],Table1[[Nome/Ragione sociale]:[Checkbox selezionato]],6,FALSE),"-")</f>
        <v>24549</v>
      </c>
      <c r="AN388" s="63" t="str">
        <f>IFERROR(VLOOKUP(Table2[[#This Row],[Contraente]],Table1[[Nome/Ragione sociale]:[Checkbox selezionato]],7,FALSE),"-")</f>
        <v>papies@libero.it</v>
      </c>
      <c r="AO388" s="63">
        <f>IFERROR(VLOOKUP(Table2[[#This Row],[Contraente]],Table1[[Nome/Ragione sociale]:[Checkbox selezionato]],8,FALSE),"-")</f>
        <v>0</v>
      </c>
      <c r="AP388" s="63">
        <f>IFERROR(VLOOKUP(Table2[[#This Row],[Contraente]],Table1[[Nome/Ragione sociale]:[Checkbox selezionato]],10,FALSE),"-")</f>
        <v>3391094451</v>
      </c>
      <c r="AQ388" s="63" t="str">
        <f>IFERROR(VLOOKUP(Table2[[#This Row],[Contraente]],Table1[[Nome/Ragione sociale]:[Checkbox selezionato]],11,FALSE),"-")</f>
        <v>SI</v>
      </c>
      <c r="AR388" s="63" t="str">
        <f>IFERROR(VLOOKUP(Table2[[#This Row],[Contraente]],Table1[[Nome/Ragione sociale]:[Checkbox selezionato]],12,FALSE),"-")</f>
        <v>SI</v>
      </c>
    </row>
    <row r="389" spans="1:44" ht="30" hidden="1" customHeight="1" x14ac:dyDescent="0.25">
      <c r="A389" s="60" t="str">
        <f>UPPER(LEFT(Table2[[#This Row],[Contraente]],1))</f>
        <v>D</v>
      </c>
      <c r="B389" s="60" t="s">
        <v>1634</v>
      </c>
      <c r="C389" s="81" t="s">
        <v>591</v>
      </c>
      <c r="D389" s="81" t="s">
        <v>37</v>
      </c>
      <c r="E389" s="86">
        <v>104727143</v>
      </c>
      <c r="F389" s="64">
        <v>42780</v>
      </c>
      <c r="G389" s="64">
        <f>IFERROR(CALCOLASCADENZA(Table2[[#This Row],[Data attivazione]],Table2[[#This Row],[Rateizzazione]],Table2[[#This Row],[Data ultimo pagamento]],Table2[[#This Row],[Data prossima scadenza manuale]]),"-")</f>
        <v>42951</v>
      </c>
      <c r="H389" s="67" t="s">
        <v>31</v>
      </c>
      <c r="I389" s="67" t="s">
        <v>1276</v>
      </c>
      <c r="J389" s="33">
        <f>IFERROR(Table2[[#This Row],[Importo annuale]]/(12/VLOOKUP(Table2[[#This Row],[Rateizzazione]],TIPI_RATEIZZAZIONI,2,FALSE)),"-")</f>
        <v>173</v>
      </c>
      <c r="K389" s="88">
        <v>173</v>
      </c>
      <c r="L389" s="88">
        <v>346</v>
      </c>
      <c r="M389" s="67" t="s">
        <v>44</v>
      </c>
      <c r="N389" s="67" t="s">
        <v>51</v>
      </c>
      <c r="O389" s="27" t="s">
        <v>1631</v>
      </c>
      <c r="P389" s="33" t="s">
        <v>22</v>
      </c>
      <c r="Q389" s="60">
        <f>IFERROR(IF(12 / VLOOKUP(Table2[[#This Row],[Rateizzazione]],TIPI_RATEIZZAZIONI,2,FALSE) &gt;=1,  IF(Table2[[#This Row],[Data attivazione]] = "","-",MONTH(Table2[[#This Row],[Data attivazione]])),"-"),"-")</f>
        <v>8</v>
      </c>
      <c r="R3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9" s="67" t="s">
        <v>2</v>
      </c>
      <c r="V389" s="62"/>
      <c r="W389" s="64">
        <v>42586</v>
      </c>
      <c r="X389" s="29">
        <f>DATE(YEAR(Table2[[#This Row],[Data attivazione]])+VLOOKUP(Table2[[#This Row],[Durata]],VALORE_DURATA,2,FALSE),MONTH(Table2[[#This Row],[Data attivazione]]),DAY(Table2[[#This Row],[Data attivazione]]))</f>
        <v>42951</v>
      </c>
      <c r="Y389" s="65"/>
      <c r="Z389" s="61"/>
      <c r="AA389" s="64" t="s">
        <v>85</v>
      </c>
      <c r="AB389" s="29" t="str">
        <f>IF(Table2[[#This Row],[Data ultimo versamento temp]]=0/1/1900,"-",Table2[[#This Row],[Data ultimo versamento temp]])</f>
        <v>-</v>
      </c>
      <c r="AC389" s="29">
        <f t="array" ref="AC389">MAX(IF(TableVersamenti[Polizza]=Table2[[#This Row],[Polizza]],TableVersamenti[Data prevista versamento],"-"))</f>
        <v>0</v>
      </c>
      <c r="AD389" s="62"/>
      <c r="AE389" s="106">
        <f>DATE(YEAR(Table2[[#This Row],[Data ultimo pagamento]]),MONTH(Table2[[#This Row],[Data ultimo pagamento]]), 1)</f>
        <v>42767</v>
      </c>
      <c r="AF389" s="106">
        <f>DATE(YEAR(Table2[[#This Row],[Data prossima scadenza]]),MONTH(Table2[[#This Row],[Data prossima scadenza]]), 1)</f>
        <v>42948</v>
      </c>
      <c r="AG389" s="33">
        <f>IFERROR(Table2[[#This Row],[Importo annuale]]*VLOOKUP(Table2[[#This Row],[Ramo]],RAMI_POLIZZA,2,FALSE),0)</f>
        <v>17.992000000000001</v>
      </c>
      <c r="AH389" s="65" t="s">
        <v>113</v>
      </c>
      <c r="AI389" s="63" t="str">
        <f>IFERROR(VLOOKUP(Table2[[#This Row],[Contraente]],Table1[[Nome/Ragione sociale]:[Checkbox selezionato]],2,FALSE),"-")</f>
        <v>FILIGHERA</v>
      </c>
      <c r="AJ389" s="63">
        <f>IFERROR(VLOOKUP(Table2[[#This Row],[Contraente]],Table1[[Nome/Ragione sociale]:[Checkbox selezionato]],3,FALSE),"-")</f>
        <v>3391094451</v>
      </c>
      <c r="AK389" s="63">
        <f>IFERROR(VLOOKUP(Table2[[#This Row],[Contraente]],Table1[[Nome/Ragione sociale]:[Checkbox selezionato]],4,FALSE),"-")</f>
        <v>0</v>
      </c>
      <c r="AL389" s="63" t="str">
        <f>IFERROR(VLOOKUP(Table2[[#This Row],[Contraente]],Table1[[Nome/Ragione sociale]:[Checkbox selezionato]],5,FALSE),"-")</f>
        <v>CLAUDIA</v>
      </c>
      <c r="AM389" s="62">
        <f>IFERROR(VLOOKUP(Table2[[#This Row],[Contraente]],Table1[[Nome/Ragione sociale]:[Checkbox selezionato]],6,FALSE),"-")</f>
        <v>24549</v>
      </c>
      <c r="AN389" s="63" t="str">
        <f>IFERROR(VLOOKUP(Table2[[#This Row],[Contraente]],Table1[[Nome/Ragione sociale]:[Checkbox selezionato]],7,FALSE),"-")</f>
        <v>papies@libero.it</v>
      </c>
      <c r="AO389" s="63">
        <f>IFERROR(VLOOKUP(Table2[[#This Row],[Contraente]],Table1[[Nome/Ragione sociale]:[Checkbox selezionato]],8,FALSE),"-")</f>
        <v>0</v>
      </c>
      <c r="AP389" s="63">
        <f>IFERROR(VLOOKUP(Table2[[#This Row],[Contraente]],Table1[[Nome/Ragione sociale]:[Checkbox selezionato]],10,FALSE),"-")</f>
        <v>3391094451</v>
      </c>
      <c r="AQ389" s="63" t="str">
        <f>IFERROR(VLOOKUP(Table2[[#This Row],[Contraente]],Table1[[Nome/Ragione sociale]:[Checkbox selezionato]],11,FALSE),"-")</f>
        <v>SI</v>
      </c>
      <c r="AR389" s="63" t="str">
        <f>IFERROR(VLOOKUP(Table2[[#This Row],[Contraente]],Table1[[Nome/Ragione sociale]:[Checkbox selezionato]],12,FALSE),"-")</f>
        <v>SI</v>
      </c>
    </row>
    <row r="390" spans="1:44" ht="30" hidden="1" customHeight="1" x14ac:dyDescent="0.25">
      <c r="A390" s="60" t="str">
        <f>UPPER(LEFT(Table2[[#This Row],[Contraente]],1))</f>
        <v>D</v>
      </c>
      <c r="B390" s="60" t="s">
        <v>1634</v>
      </c>
      <c r="C390" s="81" t="s">
        <v>592</v>
      </c>
      <c r="D390" s="81" t="s">
        <v>37</v>
      </c>
      <c r="E390" s="86">
        <v>106978831</v>
      </c>
      <c r="F390" s="64">
        <v>42899</v>
      </c>
      <c r="G390" s="64">
        <f>IFERROR(CALCOLASCADENZA(Table2[[#This Row],[Data attivazione]],Table2[[#This Row],[Rateizzazione]],Table2[[#This Row],[Data ultimo pagamento]],Table2[[#This Row],[Data prossima scadenza manuale]]),"-")</f>
        <v>42991</v>
      </c>
      <c r="H390" s="67" t="s">
        <v>31</v>
      </c>
      <c r="I390" s="67" t="s">
        <v>1277</v>
      </c>
      <c r="J390" s="33">
        <f>IFERROR(Table2[[#This Row],[Importo annuale]]/(12/VLOOKUP(Table2[[#This Row],[Rateizzazione]],TIPI_RATEIZZAZIONI,2,FALSE)),"-")</f>
        <v>90</v>
      </c>
      <c r="K390" s="88">
        <v>90</v>
      </c>
      <c r="L390" s="88">
        <v>90</v>
      </c>
      <c r="M390" s="67" t="s">
        <v>43</v>
      </c>
      <c r="N390" s="67" t="s">
        <v>52</v>
      </c>
      <c r="O390" s="27" t="s">
        <v>1631</v>
      </c>
      <c r="P390" s="33" t="s">
        <v>23</v>
      </c>
      <c r="Q390" s="60">
        <f>IFERROR(IF(12 / VLOOKUP(Table2[[#This Row],[Rateizzazione]],TIPI_RATEIZZAZIONI,2,FALSE) &gt;=1,  IF(Table2[[#This Row],[Data attivazione]] = "","-",MONTH(Table2[[#This Row],[Data attivazione]])),"-"),"-")</f>
        <v>9</v>
      </c>
      <c r="R3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0" s="67" t="s">
        <v>2</v>
      </c>
      <c r="V390" s="62"/>
      <c r="W390" s="64">
        <v>42626</v>
      </c>
      <c r="X390" s="29">
        <f>DATE(YEAR(Table2[[#This Row],[Data attivazione]])+VLOOKUP(Table2[[#This Row],[Durata]],VALORE_DURATA,2,FALSE),MONTH(Table2[[#This Row],[Data attivazione]]),DAY(Table2[[#This Row],[Data attivazione]]))</f>
        <v>42991</v>
      </c>
      <c r="Y390" s="65"/>
      <c r="Z390" s="61"/>
      <c r="AA390" s="64" t="s">
        <v>85</v>
      </c>
      <c r="AB390" s="29" t="str">
        <f>IF(Table2[[#This Row],[Data ultimo versamento temp]]=0/1/1900,"-",Table2[[#This Row],[Data ultimo versamento temp]])</f>
        <v>-</v>
      </c>
      <c r="AC390" s="29">
        <f t="array" ref="AC390">MAX(IF(TableVersamenti[Polizza]=Table2[[#This Row],[Polizza]],TableVersamenti[Data prevista versamento],"-"))</f>
        <v>0</v>
      </c>
      <c r="AD390" s="62"/>
      <c r="AE390" s="106">
        <f>DATE(YEAR(Table2[[#This Row],[Data ultimo pagamento]]),MONTH(Table2[[#This Row],[Data ultimo pagamento]]), 1)</f>
        <v>42887</v>
      </c>
      <c r="AF390" s="106">
        <f>DATE(YEAR(Table2[[#This Row],[Data prossima scadenza]]),MONTH(Table2[[#This Row],[Data prossima scadenza]]), 1)</f>
        <v>42979</v>
      </c>
      <c r="AG390" s="33">
        <f>IFERROR(Table2[[#This Row],[Importo annuale]]*VLOOKUP(Table2[[#This Row],[Ramo]],RAMI_POLIZZA,2,FALSE),0)</f>
        <v>4.68</v>
      </c>
      <c r="AH390" s="65" t="s">
        <v>113</v>
      </c>
      <c r="AI390" s="63" t="str">
        <f>IFERROR(VLOOKUP(Table2[[#This Row],[Contraente]],Table1[[Nome/Ragione sociale]:[Checkbox selezionato]],2,FALSE),"-")</f>
        <v>CURA CARPIGNANO</v>
      </c>
      <c r="AJ390" s="63">
        <f>IFERROR(VLOOKUP(Table2[[#This Row],[Contraente]],Table1[[Nome/Ragione sociale]:[Checkbox selezionato]],3,FALSE),"-")</f>
        <v>3496041467</v>
      </c>
      <c r="AK390" s="63" t="str">
        <f>IFERROR(VLOOKUP(Table2[[#This Row],[Contraente]],Table1[[Nome/Ragione sociale]:[Checkbox selezionato]],4,FALSE),"-")</f>
        <v>.0382583181</v>
      </c>
      <c r="AL390" s="63" t="str">
        <f>IFERROR(VLOOKUP(Table2[[#This Row],[Contraente]],Table1[[Nome/Ragione sociale]:[Checkbox selezionato]],5,FALSE),"-")</f>
        <v>MARIO</v>
      </c>
      <c r="AM390" s="62">
        <f>IFERROR(VLOOKUP(Table2[[#This Row],[Contraente]],Table1[[Nome/Ragione sociale]:[Checkbox selezionato]],6,FALSE),"-")</f>
        <v>22905</v>
      </c>
      <c r="AN390" s="63" t="str">
        <f>IFERROR(VLOOKUP(Table2[[#This Row],[Contraente]],Table1[[Nome/Ragione sociale]:[Checkbox selezionato]],7,FALSE),"-")</f>
        <v>papies@libero.it</v>
      </c>
      <c r="AO390" s="63">
        <f>IFERROR(VLOOKUP(Table2[[#This Row],[Contraente]],Table1[[Nome/Ragione sociale]:[Checkbox selezionato]],8,FALSE),"-")</f>
        <v>0</v>
      </c>
      <c r="AP390" s="63">
        <f>IFERROR(VLOOKUP(Table2[[#This Row],[Contraente]],Table1[[Nome/Ragione sociale]:[Checkbox selezionato]],10,FALSE),"-")</f>
        <v>3496041467</v>
      </c>
      <c r="AQ390" s="63" t="str">
        <f>IFERROR(VLOOKUP(Table2[[#This Row],[Contraente]],Table1[[Nome/Ragione sociale]:[Checkbox selezionato]],11,FALSE),"-")</f>
        <v>SI</v>
      </c>
      <c r="AR390" s="63" t="str">
        <f>IFERROR(VLOOKUP(Table2[[#This Row],[Contraente]],Table1[[Nome/Ragione sociale]:[Checkbox selezionato]],12,FALSE),"-")</f>
        <v>SI</v>
      </c>
    </row>
    <row r="391" spans="1:44" ht="30" hidden="1" customHeight="1" x14ac:dyDescent="0.25">
      <c r="A391" s="60" t="str">
        <f>UPPER(LEFT(Table2[[#This Row],[Contraente]],1))</f>
        <v>D</v>
      </c>
      <c r="B391" s="60" t="s">
        <v>1634</v>
      </c>
      <c r="C391" s="81" t="s">
        <v>592</v>
      </c>
      <c r="D391" s="81" t="s">
        <v>37</v>
      </c>
      <c r="E391" s="86">
        <v>106465563</v>
      </c>
      <c r="F391" s="64">
        <v>42933</v>
      </c>
      <c r="G391" s="64">
        <f>IFERROR(CALCOLASCADENZA(Table2[[#This Row],[Data attivazione]],Table2[[#This Row],[Rateizzazione]],Table2[[#This Row],[Data ultimo pagamento]],Table2[[#This Row],[Data prossima scadenza manuale]]),"-")</f>
        <v>43115</v>
      </c>
      <c r="H391" s="67" t="s">
        <v>31</v>
      </c>
      <c r="I391" s="67" t="s">
        <v>1278</v>
      </c>
      <c r="J391" s="33">
        <f>IFERROR(Table2[[#This Row],[Importo annuale]]/(12/VLOOKUP(Table2[[#This Row],[Rateizzazione]],TIPI_RATEIZZAZIONI,2,FALSE)),"-")</f>
        <v>270</v>
      </c>
      <c r="K391" s="88">
        <v>540</v>
      </c>
      <c r="L391" s="88">
        <v>540</v>
      </c>
      <c r="M391" s="67" t="s">
        <v>43</v>
      </c>
      <c r="N391" s="67" t="s">
        <v>51</v>
      </c>
      <c r="O391" s="27" t="s">
        <v>1631</v>
      </c>
      <c r="P391" s="33" t="s">
        <v>22</v>
      </c>
      <c r="Q391" s="60">
        <f>IFERROR(IF(12 / VLOOKUP(Table2[[#This Row],[Rateizzazione]],TIPI_RATEIZZAZIONI,2,FALSE) &gt;=1,  IF(Table2[[#This Row],[Data attivazione]] = "","-",MONTH(Table2[[#This Row],[Data attivazione]])),"-"),"-")</f>
        <v>1</v>
      </c>
      <c r="R3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3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1" s="67" t="s">
        <v>2</v>
      </c>
      <c r="V391" s="62"/>
      <c r="W391" s="64">
        <v>42750</v>
      </c>
      <c r="X391" s="29">
        <f>DATE(YEAR(Table2[[#This Row],[Data attivazione]])+VLOOKUP(Table2[[#This Row],[Durata]],VALORE_DURATA,2,FALSE),MONTH(Table2[[#This Row],[Data attivazione]]),DAY(Table2[[#This Row],[Data attivazione]]))</f>
        <v>43115</v>
      </c>
      <c r="Y391" s="65"/>
      <c r="Z391" s="61"/>
      <c r="AA391" s="64" t="s">
        <v>85</v>
      </c>
      <c r="AB391" s="29">
        <f>IF(Table2[[#This Row],[Data ultimo versamento temp]]=0/1/1900,"-",Table2[[#This Row],[Data ultimo versamento temp]])</f>
        <v>42936</v>
      </c>
      <c r="AC391" s="29">
        <f t="array" ref="AC391">MAX(IF(TableVersamenti[Polizza]=Table2[[#This Row],[Polizza]],TableVersamenti[Data prevista versamento],"-"))</f>
        <v>42936</v>
      </c>
      <c r="AD391" s="62"/>
      <c r="AE391" s="106">
        <f>DATE(YEAR(Table2[[#This Row],[Data ultimo pagamento]]),MONTH(Table2[[#This Row],[Data ultimo pagamento]]), 1)</f>
        <v>42917</v>
      </c>
      <c r="AF391" s="106">
        <f>DATE(YEAR(Table2[[#This Row],[Data prossima scadenza]]),MONTH(Table2[[#This Row],[Data prossima scadenza]]), 1)</f>
        <v>43101</v>
      </c>
      <c r="AG391" s="33">
        <f>IFERROR(Table2[[#This Row],[Importo annuale]]*VLOOKUP(Table2[[#This Row],[Ramo]],RAMI_POLIZZA,2,FALSE),0)</f>
        <v>28.08</v>
      </c>
      <c r="AH391" s="65" t="s">
        <v>113</v>
      </c>
      <c r="AI391" s="63" t="str">
        <f>IFERROR(VLOOKUP(Table2[[#This Row],[Contraente]],Table1[[Nome/Ragione sociale]:[Checkbox selezionato]],2,FALSE),"-")</f>
        <v>CURA CARPIGNANO</v>
      </c>
      <c r="AJ391" s="63">
        <f>IFERROR(VLOOKUP(Table2[[#This Row],[Contraente]],Table1[[Nome/Ragione sociale]:[Checkbox selezionato]],3,FALSE),"-")</f>
        <v>3496041467</v>
      </c>
      <c r="AK391" s="63" t="str">
        <f>IFERROR(VLOOKUP(Table2[[#This Row],[Contraente]],Table1[[Nome/Ragione sociale]:[Checkbox selezionato]],4,FALSE),"-")</f>
        <v>.0382583181</v>
      </c>
      <c r="AL391" s="63" t="str">
        <f>IFERROR(VLOOKUP(Table2[[#This Row],[Contraente]],Table1[[Nome/Ragione sociale]:[Checkbox selezionato]],5,FALSE),"-")</f>
        <v>MARIO</v>
      </c>
      <c r="AM391" s="62">
        <f>IFERROR(VLOOKUP(Table2[[#This Row],[Contraente]],Table1[[Nome/Ragione sociale]:[Checkbox selezionato]],6,FALSE),"-")</f>
        <v>22905</v>
      </c>
      <c r="AN391" s="63" t="str">
        <f>IFERROR(VLOOKUP(Table2[[#This Row],[Contraente]],Table1[[Nome/Ragione sociale]:[Checkbox selezionato]],7,FALSE),"-")</f>
        <v>papies@libero.it</v>
      </c>
      <c r="AO391" s="63">
        <f>IFERROR(VLOOKUP(Table2[[#This Row],[Contraente]],Table1[[Nome/Ragione sociale]:[Checkbox selezionato]],8,FALSE),"-")</f>
        <v>0</v>
      </c>
      <c r="AP391" s="63">
        <f>IFERROR(VLOOKUP(Table2[[#This Row],[Contraente]],Table1[[Nome/Ragione sociale]:[Checkbox selezionato]],10,FALSE),"-")</f>
        <v>3496041467</v>
      </c>
      <c r="AQ391" s="63" t="str">
        <f>IFERROR(VLOOKUP(Table2[[#This Row],[Contraente]],Table1[[Nome/Ragione sociale]:[Checkbox selezionato]],11,FALSE),"-")</f>
        <v>SI</v>
      </c>
      <c r="AR391" s="63" t="str">
        <f>IFERROR(VLOOKUP(Table2[[#This Row],[Contraente]],Table1[[Nome/Ragione sociale]:[Checkbox selezionato]],12,FALSE),"-")</f>
        <v>SI</v>
      </c>
    </row>
    <row r="392" spans="1:44" ht="30" hidden="1" customHeight="1" x14ac:dyDescent="0.25">
      <c r="A392" s="60" t="str">
        <f>UPPER(LEFT(Table2[[#This Row],[Contraente]],1))</f>
        <v>D</v>
      </c>
      <c r="B392" s="60" t="s">
        <v>1634</v>
      </c>
      <c r="C392" s="81" t="s">
        <v>594</v>
      </c>
      <c r="D392" s="81" t="s">
        <v>37</v>
      </c>
      <c r="E392" s="86">
        <v>104411884</v>
      </c>
      <c r="F392" s="64">
        <v>42139</v>
      </c>
      <c r="G392" s="64">
        <f>IFERROR(CALCOLASCADENZA(Table2[[#This Row],[Data attivazione]],Table2[[#This Row],[Rateizzazione]],Table2[[#This Row],[Data ultimo pagamento]],Table2[[#This Row],[Data prossima scadenza manuale]]),"-")</f>
        <v>693962</v>
      </c>
      <c r="H392" s="67" t="s">
        <v>31</v>
      </c>
      <c r="I392" s="67" t="s">
        <v>1279</v>
      </c>
      <c r="J392" s="33">
        <f>IFERROR(Table2[[#This Row],[Importo annuale]]/(12/VLOOKUP(Table2[[#This Row],[Rateizzazione]],TIPI_RATEIZZAZIONI,2,FALSE)),"-")</f>
        <v>230</v>
      </c>
      <c r="K392" s="88"/>
      <c r="L392" s="88">
        <v>230</v>
      </c>
      <c r="M392" s="67" t="s">
        <v>43</v>
      </c>
      <c r="N392" s="67" t="s">
        <v>52</v>
      </c>
      <c r="O392" s="27" t="s">
        <v>1631</v>
      </c>
      <c r="P392" s="33" t="s">
        <v>23</v>
      </c>
      <c r="Q392" s="60">
        <f>IFERROR(IF(12 / VLOOKUP(Table2[[#This Row],[Rateizzazione]],TIPI_RATEIZZAZIONI,2,FALSE) &gt;=1,  IF(Table2[[#This Row],[Data attivazione]] = "","-",MONTH(Table2[[#This Row],[Data attivazione]])),"-"),"-")</f>
        <v>12</v>
      </c>
      <c r="R3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2" s="67" t="s">
        <v>2</v>
      </c>
      <c r="V392" s="62"/>
      <c r="W392" s="64">
        <v>693597</v>
      </c>
      <c r="X392" s="29">
        <f>DATE(YEAR(Table2[[#This Row],[Data attivazione]])+VLOOKUP(Table2[[#This Row],[Durata]],VALORE_DURATA,2,FALSE),MONTH(Table2[[#This Row],[Data attivazione]]),DAY(Table2[[#This Row],[Data attivazione]]))</f>
        <v>693962</v>
      </c>
      <c r="Y392" s="65"/>
      <c r="Z392" s="61"/>
      <c r="AA392" s="64" t="s">
        <v>88</v>
      </c>
      <c r="AB392" s="29" t="str">
        <f>IF(Table2[[#This Row],[Data ultimo versamento temp]]=0/1/1900,"-",Table2[[#This Row],[Data ultimo versamento temp]])</f>
        <v>-</v>
      </c>
      <c r="AC392" s="29">
        <f t="array" ref="AC392">MAX(IF(TableVersamenti[Polizza]=Table2[[#This Row],[Polizza]],TableVersamenti[Data prevista versamento],"-"))</f>
        <v>0</v>
      </c>
      <c r="AD392" s="62"/>
      <c r="AE392" s="106">
        <f>DATE(YEAR(Table2[[#This Row],[Data ultimo pagamento]]),MONTH(Table2[[#This Row],[Data ultimo pagamento]]), 1)</f>
        <v>42125</v>
      </c>
      <c r="AF392" s="106">
        <f>DATE(YEAR(Table2[[#This Row],[Data prossima scadenza]]),MONTH(Table2[[#This Row],[Data prossima scadenza]]), 1)</f>
        <v>693932</v>
      </c>
      <c r="AG392" s="33">
        <f>IFERROR(Table2[[#This Row],[Importo annuale]]*VLOOKUP(Table2[[#This Row],[Ramo]],RAMI_POLIZZA,2,FALSE),0)</f>
        <v>11.959999999999999</v>
      </c>
      <c r="AH392" s="65" t="s">
        <v>113</v>
      </c>
      <c r="AI392" s="63" t="str">
        <f>IFERROR(VLOOKUP(Table2[[#This Row],[Contraente]],Table1[[Nome/Ragione sociale]:[Checkbox selezionato]],2,FALSE),"-")</f>
        <v>PAVIA</v>
      </c>
      <c r="AJ392" s="63">
        <f>IFERROR(VLOOKUP(Table2[[#This Row],[Contraente]],Table1[[Nome/Ragione sociale]:[Checkbox selezionato]],3,FALSE),"-")</f>
        <v>3496041467</v>
      </c>
      <c r="AK392" s="63">
        <f>IFERROR(VLOOKUP(Table2[[#This Row],[Contraente]],Table1[[Nome/Ragione sociale]:[Checkbox selezionato]],4,FALSE),"-")</f>
        <v>0</v>
      </c>
      <c r="AL392" s="63" t="str">
        <f>IFERROR(VLOOKUP(Table2[[#This Row],[Contraente]],Table1[[Nome/Ragione sociale]:[Checkbox selezionato]],5,FALSE),"-")</f>
        <v>VIRGINIA</v>
      </c>
      <c r="AM392" s="62">
        <f>IFERROR(VLOOKUP(Table2[[#This Row],[Contraente]],Table1[[Nome/Ragione sociale]:[Checkbox selezionato]],6,FALSE),"-")</f>
        <v>28644</v>
      </c>
      <c r="AN392" s="63" t="str">
        <f>IFERROR(VLOOKUP(Table2[[#This Row],[Contraente]],Table1[[Nome/Ragione sociale]:[Checkbox selezionato]],7,FALSE),"-")</f>
        <v>papies@email.it</v>
      </c>
      <c r="AO392" s="63">
        <f>IFERROR(VLOOKUP(Table2[[#This Row],[Contraente]],Table1[[Nome/Ragione sociale]:[Checkbox selezionato]],8,FALSE),"-")</f>
        <v>0</v>
      </c>
      <c r="AP392" s="63">
        <f>IFERROR(VLOOKUP(Table2[[#This Row],[Contraente]],Table1[[Nome/Ragione sociale]:[Checkbox selezionato]],10,FALSE),"-")</f>
        <v>3496041467</v>
      </c>
      <c r="AQ392" s="63" t="str">
        <f>IFERROR(VLOOKUP(Table2[[#This Row],[Contraente]],Table1[[Nome/Ragione sociale]:[Checkbox selezionato]],11,FALSE),"-")</f>
        <v>SI</v>
      </c>
      <c r="AR392" s="63" t="str">
        <f>IFERROR(VLOOKUP(Table2[[#This Row],[Contraente]],Table1[[Nome/Ragione sociale]:[Checkbox selezionato]],12,FALSE),"-")</f>
        <v>SI</v>
      </c>
    </row>
    <row r="393" spans="1:44" ht="30" hidden="1" customHeight="1" x14ac:dyDescent="0.25">
      <c r="A393" s="60" t="str">
        <f>UPPER(LEFT(Table2[[#This Row],[Contraente]],1))</f>
        <v>D</v>
      </c>
      <c r="B393" s="60" t="s">
        <v>1634</v>
      </c>
      <c r="C393" s="47" t="s">
        <v>1815</v>
      </c>
      <c r="D393" s="98" t="s">
        <v>37</v>
      </c>
      <c r="E393" s="99" t="s">
        <v>1816</v>
      </c>
      <c r="F393" s="109">
        <v>42927</v>
      </c>
      <c r="G393" s="64">
        <f>IFERROR(CALCOLASCADENZA(Table2[[#This Row],[Data attivazione]],Table2[[#This Row],[Rateizzazione]],Table2[[#This Row],[Data ultimo pagamento]],Table2[[#This Row],[Data prossima scadenza manuale]]),"-")</f>
        <v>43111</v>
      </c>
      <c r="H393" s="64" t="s">
        <v>31</v>
      </c>
      <c r="I393" s="64" t="s">
        <v>1817</v>
      </c>
      <c r="J393" s="92">
        <f>IFERROR(Table2[[#This Row],[Importo annuale]]/(12/VLOOKUP(Table2[[#This Row],[Rateizzazione]],TIPI_RATEIZZAZIONI,2,FALSE)),"-")</f>
        <v>560</v>
      </c>
      <c r="K393" s="69">
        <v>560</v>
      </c>
      <c r="L393" s="69">
        <v>1120</v>
      </c>
      <c r="M393" s="92" t="s">
        <v>43</v>
      </c>
      <c r="N393" s="92" t="s">
        <v>52</v>
      </c>
      <c r="O393" s="67" t="s">
        <v>1631</v>
      </c>
      <c r="P393" s="92" t="s">
        <v>22</v>
      </c>
      <c r="Q393" s="60">
        <f>IFERROR(IF(12 / VLOOKUP(Table2[[#This Row],[Rateizzazione]],TIPI_RATEIZZAZIONI,2,FALSE) &gt;=1,  IF(Table2[[#This Row],[Data attivazione]] = "","-",MONTH(Table2[[#This Row],[Data attivazione]])),"-"),"-")</f>
        <v>7</v>
      </c>
      <c r="R3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3" s="60" t="s">
        <v>1774</v>
      </c>
      <c r="V393" s="62"/>
      <c r="W393" s="64">
        <v>42927</v>
      </c>
      <c r="X393" s="29">
        <f>DATE(YEAR(Table2[[#This Row],[Data attivazione]])+VLOOKUP(Table2[[#This Row],[Durata]],VALORE_DURATA,2,FALSE),MONTH(Table2[[#This Row],[Data attivazione]]),DAY(Table2[[#This Row],[Data attivazione]]))</f>
        <v>43292</v>
      </c>
      <c r="Y393" s="65"/>
      <c r="Z393" s="61"/>
      <c r="AA393" s="64" t="s">
        <v>85</v>
      </c>
      <c r="AB393" s="29" t="str">
        <f>IF(Table2[[#This Row],[Data ultimo versamento temp]]=0/1/1900,"-",Table2[[#This Row],[Data ultimo versamento temp]])</f>
        <v>-</v>
      </c>
      <c r="AC393" s="29">
        <f t="array" ref="AC393">MAX(IF(TableVersamenti[Polizza]=Table2[[#This Row],[Polizza]],TableVersamenti[Data prevista versamento],"-"))</f>
        <v>0</v>
      </c>
      <c r="AD393" s="62"/>
      <c r="AE393" s="105">
        <f>DATE(YEAR(Table2[[#This Row],[Data ultimo pagamento]]),MONTH(Table2[[#This Row],[Data ultimo pagamento]]), 1)</f>
        <v>42917</v>
      </c>
      <c r="AF393" s="106">
        <f>DATE(YEAR(Table2[[#This Row],[Data prossima scadenza]]),MONTH(Table2[[#This Row],[Data prossima scadenza]]), 1)</f>
        <v>43101</v>
      </c>
      <c r="AG393" s="92">
        <f>IFERROR(Table2[[#This Row],[Importo annuale]]*VLOOKUP(Table2[[#This Row],[Ramo]],RAMI_POLIZZA,2,FALSE),0)</f>
        <v>58.239999999999995</v>
      </c>
      <c r="AH393" s="65"/>
      <c r="AI393" s="63">
        <f>IFERROR(VLOOKUP(Table2[[#This Row],[Contraente]],Table1[[Nome/Ragione sociale]:[Checkbox selezionato]],2,FALSE),"-")</f>
        <v>0</v>
      </c>
      <c r="AJ393" s="63">
        <f>IFERROR(VLOOKUP(Table2[[#This Row],[Contraente]],Table1[[Nome/Ragione sociale]:[Checkbox selezionato]],3,FALSE),"-")</f>
        <v>0</v>
      </c>
      <c r="AK393" s="63">
        <f>IFERROR(VLOOKUP(Table2[[#This Row],[Contraente]],Table1[[Nome/Ragione sociale]:[Checkbox selezionato]],4,FALSE),"-")</f>
        <v>0</v>
      </c>
      <c r="AL393" s="63">
        <f>IFERROR(VLOOKUP(Table2[[#This Row],[Contraente]],Table1[[Nome/Ragione sociale]:[Checkbox selezionato]],5,FALSE),"-")</f>
        <v>0</v>
      </c>
      <c r="AM393" s="62">
        <f>IFERROR(VLOOKUP(Table2[[#This Row],[Contraente]],Table1[[Nome/Ragione sociale]:[Checkbox selezionato]],6,FALSE),"-")</f>
        <v>0</v>
      </c>
      <c r="AN393" s="63" t="str">
        <f>IFERROR(VLOOKUP(Table2[[#This Row],[Contraente]],Table1[[Nome/Ragione sociale]:[Checkbox selezionato]],7,FALSE),"-")</f>
        <v>papies@libero.it</v>
      </c>
      <c r="AO393" s="63">
        <f>IFERROR(VLOOKUP(Table2[[#This Row],[Contraente]],Table1[[Nome/Ragione sociale]:[Checkbox selezionato]],8,FALSE),"-")</f>
        <v>0</v>
      </c>
      <c r="AP393" s="63">
        <f>IFERROR(VLOOKUP(Table2[[#This Row],[Contraente]],Table1[[Nome/Ragione sociale]:[Checkbox selezionato]],10,FALSE),"-")</f>
        <v>0</v>
      </c>
      <c r="AQ393" s="63" t="str">
        <f>IFERROR(VLOOKUP(Table2[[#This Row],[Contraente]],Table1[[Nome/Ragione sociale]:[Checkbox selezionato]],11,FALSE),"-")</f>
        <v>SI</v>
      </c>
      <c r="AR393" s="63" t="str">
        <f>IFERROR(VLOOKUP(Table2[[#This Row],[Contraente]],Table1[[Nome/Ragione sociale]:[Checkbox selezionato]],12,FALSE),"-")</f>
        <v>SI</v>
      </c>
    </row>
    <row r="394" spans="1:44" ht="30" hidden="1" customHeight="1" x14ac:dyDescent="0.25">
      <c r="A394" s="60" t="str">
        <f>UPPER(LEFT(Table2[[#This Row],[Contraente]],1))</f>
        <v>D</v>
      </c>
      <c r="B394" s="60" t="s">
        <v>1634</v>
      </c>
      <c r="C394" s="81" t="s">
        <v>1767</v>
      </c>
      <c r="D394" s="81" t="s">
        <v>37</v>
      </c>
      <c r="E394" s="86">
        <v>107047711</v>
      </c>
      <c r="F394" s="64">
        <v>42916</v>
      </c>
      <c r="G394" s="64">
        <f>IFERROR(CALCOLASCADENZA(Table2[[#This Row],[Data attivazione]],Table2[[#This Row],[Rateizzazione]],Table2[[#This Row],[Data ultimo pagamento]],Table2[[#This Row],[Data prossima scadenza manuale]]),"-")</f>
        <v>43281</v>
      </c>
      <c r="H394" s="67" t="s">
        <v>31</v>
      </c>
      <c r="I394" s="67" t="s">
        <v>1775</v>
      </c>
      <c r="J394" s="33">
        <f>IFERROR(Table2[[#This Row],[Importo annuale]]/(12/VLOOKUP(Table2[[#This Row],[Rateizzazione]],TIPI_RATEIZZAZIONI,2,FALSE)),"-")</f>
        <v>440</v>
      </c>
      <c r="K394" s="88">
        <v>440</v>
      </c>
      <c r="L394" s="88">
        <v>440</v>
      </c>
      <c r="M394" s="67" t="s">
        <v>44</v>
      </c>
      <c r="N394" s="67" t="s">
        <v>52</v>
      </c>
      <c r="O394" s="27" t="s">
        <v>1631</v>
      </c>
      <c r="P394" s="33" t="s">
        <v>23</v>
      </c>
      <c r="Q394" s="60">
        <f>IFERROR(IF(12 / VLOOKUP(Table2[[#This Row],[Rateizzazione]],TIPI_RATEIZZAZIONI,2,FALSE) &gt;=1,  IF(Table2[[#This Row],[Data attivazione]] = "","-",MONTH(Table2[[#This Row],[Data attivazione]])),"-"),"-")</f>
        <v>6</v>
      </c>
      <c r="R3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4" s="67" t="s">
        <v>1774</v>
      </c>
      <c r="V394" s="62"/>
      <c r="W394" s="64">
        <v>42916</v>
      </c>
      <c r="X394" s="29">
        <f>DATE(YEAR(Table2[[#This Row],[Data attivazione]])+VLOOKUP(Table2[[#This Row],[Durata]],VALORE_DURATA,2,FALSE),MONTH(Table2[[#This Row],[Data attivazione]]),DAY(Table2[[#This Row],[Data attivazione]]))</f>
        <v>43281</v>
      </c>
      <c r="Y394" s="65"/>
      <c r="Z394" s="61"/>
      <c r="AA394" s="64" t="s">
        <v>85</v>
      </c>
      <c r="AB394" s="29" t="str">
        <f>IF(Table2[[#This Row],[Data ultimo versamento temp]]=0/1/1900,"-",Table2[[#This Row],[Data ultimo versamento temp]])</f>
        <v>-</v>
      </c>
      <c r="AC394" s="29">
        <f t="array" ref="AC394">MAX(IF(TableVersamenti[Polizza]=Table2[[#This Row],[Polizza]],TableVersamenti[Data prevista versamento],"-"))</f>
        <v>0</v>
      </c>
      <c r="AD394" s="62"/>
      <c r="AE394" s="106">
        <f>DATE(YEAR(Table2[[#This Row],[Data ultimo pagamento]]),MONTH(Table2[[#This Row],[Data ultimo pagamento]]), 1)</f>
        <v>42887</v>
      </c>
      <c r="AF394" s="106">
        <f>DATE(YEAR(Table2[[#This Row],[Data prossima scadenza]]),MONTH(Table2[[#This Row],[Data prossima scadenza]]), 1)</f>
        <v>43252</v>
      </c>
      <c r="AG394" s="33">
        <f>IFERROR(Table2[[#This Row],[Importo annuale]]*VLOOKUP(Table2[[#This Row],[Ramo]],RAMI_POLIZZA,2,FALSE),0)</f>
        <v>22.88</v>
      </c>
      <c r="AH394" s="65" t="s">
        <v>113</v>
      </c>
      <c r="AI394" s="63" t="str">
        <f>IFERROR(VLOOKUP(Table2[[#This Row],[Contraente]],Table1[[Nome/Ragione sociale]:[Checkbox selezionato]],2,FALSE),"-")</f>
        <v>MIRADOLO TERME</v>
      </c>
      <c r="AJ394" s="63">
        <f>IFERROR(VLOOKUP(Table2[[#This Row],[Contraente]],Table1[[Nome/Ragione sociale]:[Checkbox selezionato]],3,FALSE),"-")</f>
        <v>0</v>
      </c>
      <c r="AK394" s="63">
        <f>IFERROR(VLOOKUP(Table2[[#This Row],[Contraente]],Table1[[Nome/Ragione sociale]:[Checkbox selezionato]],4,FALSE),"-")</f>
        <v>0</v>
      </c>
      <c r="AL394" s="63">
        <f>IFERROR(VLOOKUP(Table2[[#This Row],[Contraente]],Table1[[Nome/Ragione sociale]:[Checkbox selezionato]],5,FALSE),"-")</f>
        <v>0</v>
      </c>
      <c r="AM394" s="62" t="str">
        <f>IFERROR(VLOOKUP(Table2[[#This Row],[Contraente]],Table1[[Nome/Ragione sociale]:[Checkbox selezionato]],6,FALSE),"-")</f>
        <v>-</v>
      </c>
      <c r="AN394" s="63" t="str">
        <f>IFERROR(VLOOKUP(Table2[[#This Row],[Contraente]],Table1[[Nome/Ragione sociale]:[Checkbox selezionato]],7,FALSE),"-")</f>
        <v>papies@libero.it</v>
      </c>
      <c r="AO394" s="63">
        <f>IFERROR(VLOOKUP(Table2[[#This Row],[Contraente]],Table1[[Nome/Ragione sociale]:[Checkbox selezionato]],8,FALSE),"-")</f>
        <v>0</v>
      </c>
      <c r="AP394" s="63">
        <f>IFERROR(VLOOKUP(Table2[[#This Row],[Contraente]],Table1[[Nome/Ragione sociale]:[Checkbox selezionato]],10,FALSE),"-")</f>
        <v>0</v>
      </c>
      <c r="AQ394" s="63" t="str">
        <f>IFERROR(VLOOKUP(Table2[[#This Row],[Contraente]],Table1[[Nome/Ragione sociale]:[Checkbox selezionato]],11,FALSE),"-")</f>
        <v>SI</v>
      </c>
      <c r="AR394" s="63" t="str">
        <f>IFERROR(VLOOKUP(Table2[[#This Row],[Contraente]],Table1[[Nome/Ragione sociale]:[Checkbox selezionato]],12,FALSE),"-")</f>
        <v>SI</v>
      </c>
    </row>
    <row r="395" spans="1:44" ht="30" hidden="1" customHeight="1" x14ac:dyDescent="0.25">
      <c r="A395" s="60" t="str">
        <f>UPPER(LEFT(Table2[[#This Row],[Contraente]],1))</f>
        <v>D</v>
      </c>
      <c r="B395" s="60" t="s">
        <v>1634</v>
      </c>
      <c r="C395" s="81" t="s">
        <v>1767</v>
      </c>
      <c r="D395" s="81" t="s">
        <v>37</v>
      </c>
      <c r="E395" s="86">
        <v>107047879</v>
      </c>
      <c r="F395" s="64">
        <v>42916</v>
      </c>
      <c r="G395" s="64">
        <f>IFERROR(CALCOLASCADENZA(Table2[[#This Row],[Data attivazione]],Table2[[#This Row],[Rateizzazione]],Table2[[#This Row],[Data ultimo pagamento]],Table2[[#This Row],[Data prossima scadenza manuale]]),"-")</f>
        <v>43281</v>
      </c>
      <c r="H395" s="67" t="s">
        <v>30</v>
      </c>
      <c r="I395" s="67" t="s">
        <v>113</v>
      </c>
      <c r="J395" s="33">
        <f>IFERROR(Table2[[#This Row],[Importo annuale]]/(12/VLOOKUP(Table2[[#This Row],[Rateizzazione]],TIPI_RATEIZZAZIONI,2,FALSE)),"-")</f>
        <v>60</v>
      </c>
      <c r="K395" s="88">
        <v>60</v>
      </c>
      <c r="L395" s="88">
        <v>60</v>
      </c>
      <c r="M395" s="67" t="s">
        <v>44</v>
      </c>
      <c r="N395" s="67" t="s">
        <v>52</v>
      </c>
      <c r="O395" s="27" t="s">
        <v>1631</v>
      </c>
      <c r="P395" s="33" t="s">
        <v>23</v>
      </c>
      <c r="Q395" s="60">
        <f>IFERROR(IF(12 / VLOOKUP(Table2[[#This Row],[Rateizzazione]],TIPI_RATEIZZAZIONI,2,FALSE) &gt;=1,  IF(Table2[[#This Row],[Data attivazione]] = "","-",MONTH(Table2[[#This Row],[Data attivazione]])),"-"),"-")</f>
        <v>6</v>
      </c>
      <c r="R3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5" s="67" t="s">
        <v>1774</v>
      </c>
      <c r="V395" s="62"/>
      <c r="W395" s="64">
        <v>42916</v>
      </c>
      <c r="X395" s="29">
        <f>DATE(YEAR(Table2[[#This Row],[Data attivazione]])+VLOOKUP(Table2[[#This Row],[Durata]],VALORE_DURATA,2,FALSE),MONTH(Table2[[#This Row],[Data attivazione]]),DAY(Table2[[#This Row],[Data attivazione]]))</f>
        <v>43281</v>
      </c>
      <c r="Y395" s="65"/>
      <c r="Z395" s="61"/>
      <c r="AA395" s="64" t="s">
        <v>85</v>
      </c>
      <c r="AB395" s="29" t="str">
        <f>IF(Table2[[#This Row],[Data ultimo versamento temp]]=0/1/1900,"-",Table2[[#This Row],[Data ultimo versamento temp]])</f>
        <v>-</v>
      </c>
      <c r="AC395" s="29">
        <f t="array" ref="AC395">MAX(IF(TableVersamenti[Polizza]=Table2[[#This Row],[Polizza]],TableVersamenti[Data prevista versamento],"-"))</f>
        <v>0</v>
      </c>
      <c r="AD395" s="62"/>
      <c r="AE395" s="106">
        <f>DATE(YEAR(Table2[[#This Row],[Data ultimo pagamento]]),MONTH(Table2[[#This Row],[Data ultimo pagamento]]), 1)</f>
        <v>42887</v>
      </c>
      <c r="AF395" s="106">
        <f>DATE(YEAR(Table2[[#This Row],[Data prossima scadenza]]),MONTH(Table2[[#This Row],[Data prossima scadenza]]), 1)</f>
        <v>43252</v>
      </c>
      <c r="AG395" s="33">
        <f>IFERROR(Table2[[#This Row],[Importo annuale]]*VLOOKUP(Table2[[#This Row],[Ramo]],RAMI_POLIZZA,2,FALSE),0)</f>
        <v>6.9</v>
      </c>
      <c r="AH395" s="65" t="s">
        <v>113</v>
      </c>
      <c r="AI395" s="63" t="str">
        <f>IFERROR(VLOOKUP(Table2[[#This Row],[Contraente]],Table1[[Nome/Ragione sociale]:[Checkbox selezionato]],2,FALSE),"-")</f>
        <v>MIRADOLO TERME</v>
      </c>
      <c r="AJ395" s="63">
        <f>IFERROR(VLOOKUP(Table2[[#This Row],[Contraente]],Table1[[Nome/Ragione sociale]:[Checkbox selezionato]],3,FALSE),"-")</f>
        <v>0</v>
      </c>
      <c r="AK395" s="63">
        <f>IFERROR(VLOOKUP(Table2[[#This Row],[Contraente]],Table1[[Nome/Ragione sociale]:[Checkbox selezionato]],4,FALSE),"-")</f>
        <v>0</v>
      </c>
      <c r="AL395" s="63">
        <f>IFERROR(VLOOKUP(Table2[[#This Row],[Contraente]],Table1[[Nome/Ragione sociale]:[Checkbox selezionato]],5,FALSE),"-")</f>
        <v>0</v>
      </c>
      <c r="AM395" s="62" t="str">
        <f>IFERROR(VLOOKUP(Table2[[#This Row],[Contraente]],Table1[[Nome/Ragione sociale]:[Checkbox selezionato]],6,FALSE),"-")</f>
        <v>-</v>
      </c>
      <c r="AN395" s="63" t="str">
        <f>IFERROR(VLOOKUP(Table2[[#This Row],[Contraente]],Table1[[Nome/Ragione sociale]:[Checkbox selezionato]],7,FALSE),"-")</f>
        <v>papies@libero.it</v>
      </c>
      <c r="AO395" s="63">
        <f>IFERROR(VLOOKUP(Table2[[#This Row],[Contraente]],Table1[[Nome/Ragione sociale]:[Checkbox selezionato]],8,FALSE),"-")</f>
        <v>0</v>
      </c>
      <c r="AP395" s="63">
        <f>IFERROR(VLOOKUP(Table2[[#This Row],[Contraente]],Table1[[Nome/Ragione sociale]:[Checkbox selezionato]],10,FALSE),"-")</f>
        <v>0</v>
      </c>
      <c r="AQ395" s="63" t="str">
        <f>IFERROR(VLOOKUP(Table2[[#This Row],[Contraente]],Table1[[Nome/Ragione sociale]:[Checkbox selezionato]],11,FALSE),"-")</f>
        <v>SI</v>
      </c>
      <c r="AR395" s="63" t="str">
        <f>IFERROR(VLOOKUP(Table2[[#This Row],[Contraente]],Table1[[Nome/Ragione sociale]:[Checkbox selezionato]],12,FALSE),"-")</f>
        <v>SI</v>
      </c>
    </row>
    <row r="396" spans="1:44" ht="30" hidden="1" customHeight="1" x14ac:dyDescent="0.25">
      <c r="A396" s="60" t="str">
        <f>UPPER(LEFT(Table2[[#This Row],[Contraente]],1))</f>
        <v>D</v>
      </c>
      <c r="B396" s="60" t="s">
        <v>1634</v>
      </c>
      <c r="C396" s="81" t="s">
        <v>598</v>
      </c>
      <c r="D396" s="81" t="s">
        <v>37</v>
      </c>
      <c r="E396" s="86">
        <v>106653021</v>
      </c>
      <c r="F396" s="64">
        <v>42815</v>
      </c>
      <c r="G396" s="64">
        <f>IFERROR(CALCOLASCADENZA(Table2[[#This Row],[Data attivazione]],Table2[[#This Row],[Rateizzazione]],Table2[[#This Row],[Data ultimo pagamento]],Table2[[#This Row],[Data prossima scadenza manuale]]),"-")</f>
        <v>42815</v>
      </c>
      <c r="H396" s="67" t="s">
        <v>30</v>
      </c>
      <c r="I396" s="67" t="s">
        <v>113</v>
      </c>
      <c r="J396" s="33">
        <v>0</v>
      </c>
      <c r="K396" s="88">
        <v>0</v>
      </c>
      <c r="L396" s="88">
        <v>66</v>
      </c>
      <c r="M396" s="67" t="s">
        <v>43</v>
      </c>
      <c r="N396" s="67" t="s">
        <v>52</v>
      </c>
      <c r="O396" s="27" t="s">
        <v>1631</v>
      </c>
      <c r="P396" s="33" t="s">
        <v>24</v>
      </c>
      <c r="Q39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6" s="67" t="s">
        <v>2</v>
      </c>
      <c r="V396" s="62"/>
      <c r="W396" s="64">
        <v>42480</v>
      </c>
      <c r="X396" s="29">
        <f>DATE(YEAR(Table2[[#This Row],[Data attivazione]])+VLOOKUP(Table2[[#This Row],[Durata]],VALORE_DURATA,2,FALSE),MONTH(Table2[[#This Row],[Data attivazione]]),DAY(Table2[[#This Row],[Data attivazione]]))</f>
        <v>42845</v>
      </c>
      <c r="Y396" s="65"/>
      <c r="Z396" s="61"/>
      <c r="AA396" s="64" t="s">
        <v>88</v>
      </c>
      <c r="AB396" s="29" t="str">
        <f>IF(Table2[[#This Row],[Data ultimo versamento temp]]=0/1/1900,"-",Table2[[#This Row],[Data ultimo versamento temp]])</f>
        <v>-</v>
      </c>
      <c r="AC396" s="29">
        <f t="array" ref="AC396">MAX(IF(TableVersamenti[Polizza]=Table2[[#This Row],[Polizza]],TableVersamenti[Data prevista versamento],"-"))</f>
        <v>0</v>
      </c>
      <c r="AD396" s="62"/>
      <c r="AE396" s="106">
        <f>DATE(YEAR(Table2[[#This Row],[Data ultimo pagamento]]),MONTH(Table2[[#This Row],[Data ultimo pagamento]]), 1)</f>
        <v>42795</v>
      </c>
      <c r="AF396" s="106">
        <f>DATE(YEAR(Table2[[#This Row],[Data prossima scadenza]]),MONTH(Table2[[#This Row],[Data prossima scadenza]]), 1)</f>
        <v>42795</v>
      </c>
      <c r="AG396" s="33">
        <f>IFERROR(Table2[[#This Row],[Importo annuale]]*VLOOKUP(Table2[[#This Row],[Ramo]],RAMI_POLIZZA,2,FALSE),0)</f>
        <v>7.5900000000000007</v>
      </c>
      <c r="AH396" s="65" t="s">
        <v>113</v>
      </c>
      <c r="AI396" s="63" t="str">
        <f>IFERROR(VLOOKUP(Table2[[#This Row],[Contraente]],Table1[[Nome/Ragione sociale]:[Checkbox selezionato]],2,FALSE),"-")</f>
        <v>STRADELLA</v>
      </c>
      <c r="AJ396" s="63">
        <f>IFERROR(VLOOKUP(Table2[[#This Row],[Contraente]],Table1[[Nome/Ragione sociale]:[Checkbox selezionato]],3,FALSE),"-")</f>
        <v>3425221259</v>
      </c>
      <c r="AK396" s="63">
        <f>IFERROR(VLOOKUP(Table2[[#This Row],[Contraente]],Table1[[Nome/Ragione sociale]:[Checkbox selezionato]],4,FALSE),"-")</f>
        <v>0</v>
      </c>
      <c r="AL396" s="63" t="str">
        <f>IFERROR(VLOOKUP(Table2[[#This Row],[Contraente]],Table1[[Nome/Ragione sociale]:[Checkbox selezionato]],5,FALSE),"-")</f>
        <v>ILARIA</v>
      </c>
      <c r="AM396" s="62">
        <f>IFERROR(VLOOKUP(Table2[[#This Row],[Contraente]],Table1[[Nome/Ragione sociale]:[Checkbox selezionato]],6,FALSE),"-")</f>
        <v>33010</v>
      </c>
      <c r="AN396" s="63" t="str">
        <f>IFERROR(VLOOKUP(Table2[[#This Row],[Contraente]],Table1[[Nome/Ragione sociale]:[Checkbox selezionato]],7,FALSE),"-")</f>
        <v>papies@email.it</v>
      </c>
      <c r="AO396" s="63">
        <f>IFERROR(VLOOKUP(Table2[[#This Row],[Contraente]],Table1[[Nome/Ragione sociale]:[Checkbox selezionato]],8,FALSE),"-")</f>
        <v>0</v>
      </c>
      <c r="AP396" s="63">
        <f>IFERROR(VLOOKUP(Table2[[#This Row],[Contraente]],Table1[[Nome/Ragione sociale]:[Checkbox selezionato]],10,FALSE),"-")</f>
        <v>3425221259</v>
      </c>
      <c r="AQ396" s="63" t="str">
        <f>IFERROR(VLOOKUP(Table2[[#This Row],[Contraente]],Table1[[Nome/Ragione sociale]:[Checkbox selezionato]],11,FALSE),"-")</f>
        <v>SI</v>
      </c>
      <c r="AR396" s="63" t="str">
        <f>IFERROR(VLOOKUP(Table2[[#This Row],[Contraente]],Table1[[Nome/Ragione sociale]:[Checkbox selezionato]],12,FALSE),"-")</f>
        <v>SI</v>
      </c>
    </row>
    <row r="397" spans="1:44" ht="30" hidden="1" customHeight="1" x14ac:dyDescent="0.25">
      <c r="A397" s="60" t="str">
        <f>UPPER(LEFT(Table2[[#This Row],[Contraente]],1))</f>
        <v>D</v>
      </c>
      <c r="B397" s="60" t="s">
        <v>1634</v>
      </c>
      <c r="C397" s="81" t="s">
        <v>598</v>
      </c>
      <c r="D397" s="81" t="s">
        <v>37</v>
      </c>
      <c r="E397" s="86">
        <v>106652885</v>
      </c>
      <c r="F397" s="64">
        <v>42815</v>
      </c>
      <c r="G397" s="64">
        <f>IFERROR(CALCOLASCADENZA(Table2[[#This Row],[Data attivazione]],Table2[[#This Row],[Rateizzazione]],Table2[[#This Row],[Data ultimo pagamento]],Table2[[#This Row],[Data prossima scadenza manuale]]),"-")</f>
        <v>42815</v>
      </c>
      <c r="H397" s="67" t="s">
        <v>31</v>
      </c>
      <c r="I397" s="67" t="s">
        <v>1281</v>
      </c>
      <c r="J397" s="33">
        <v>0</v>
      </c>
      <c r="K397" s="88">
        <v>0</v>
      </c>
      <c r="L397" s="88">
        <v>770</v>
      </c>
      <c r="M397" s="67" t="s">
        <v>43</v>
      </c>
      <c r="N397" s="67" t="s">
        <v>52</v>
      </c>
      <c r="O397" s="27" t="s">
        <v>1631</v>
      </c>
      <c r="P397" s="33" t="s">
        <v>24</v>
      </c>
      <c r="Q39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7" s="67" t="s">
        <v>2</v>
      </c>
      <c r="V397" s="62"/>
      <c r="W397" s="64">
        <v>42480</v>
      </c>
      <c r="X397" s="29">
        <f>DATE(YEAR(Table2[[#This Row],[Data attivazione]])+VLOOKUP(Table2[[#This Row],[Durata]],VALORE_DURATA,2,FALSE),MONTH(Table2[[#This Row],[Data attivazione]]),DAY(Table2[[#This Row],[Data attivazione]]))</f>
        <v>42845</v>
      </c>
      <c r="Y397" s="65"/>
      <c r="Z397" s="61"/>
      <c r="AA397" s="64" t="s">
        <v>88</v>
      </c>
      <c r="AB397" s="29" t="str">
        <f>IF(Table2[[#This Row],[Data ultimo versamento temp]]=0/1/1900,"-",Table2[[#This Row],[Data ultimo versamento temp]])</f>
        <v>-</v>
      </c>
      <c r="AC397" s="29">
        <f t="array" ref="AC397">MAX(IF(TableVersamenti[Polizza]=Table2[[#This Row],[Polizza]],TableVersamenti[Data prevista versamento],"-"))</f>
        <v>0</v>
      </c>
      <c r="AD397" s="62"/>
      <c r="AE397" s="106">
        <f>DATE(YEAR(Table2[[#This Row],[Data ultimo pagamento]]),MONTH(Table2[[#This Row],[Data ultimo pagamento]]), 1)</f>
        <v>42795</v>
      </c>
      <c r="AF397" s="106">
        <f>DATE(YEAR(Table2[[#This Row],[Data prossima scadenza]]),MONTH(Table2[[#This Row],[Data prossima scadenza]]), 1)</f>
        <v>42795</v>
      </c>
      <c r="AG397" s="33">
        <f>IFERROR(Table2[[#This Row],[Importo annuale]]*VLOOKUP(Table2[[#This Row],[Ramo]],RAMI_POLIZZA,2,FALSE),0)</f>
        <v>40.04</v>
      </c>
      <c r="AH397" s="65" t="s">
        <v>113</v>
      </c>
      <c r="AI397" s="63" t="str">
        <f>IFERROR(VLOOKUP(Table2[[#This Row],[Contraente]],Table1[[Nome/Ragione sociale]:[Checkbox selezionato]],2,FALSE),"-")</f>
        <v>STRADELLA</v>
      </c>
      <c r="AJ397" s="63">
        <f>IFERROR(VLOOKUP(Table2[[#This Row],[Contraente]],Table1[[Nome/Ragione sociale]:[Checkbox selezionato]],3,FALSE),"-")</f>
        <v>3425221259</v>
      </c>
      <c r="AK397" s="63">
        <f>IFERROR(VLOOKUP(Table2[[#This Row],[Contraente]],Table1[[Nome/Ragione sociale]:[Checkbox selezionato]],4,FALSE),"-")</f>
        <v>0</v>
      </c>
      <c r="AL397" s="63" t="str">
        <f>IFERROR(VLOOKUP(Table2[[#This Row],[Contraente]],Table1[[Nome/Ragione sociale]:[Checkbox selezionato]],5,FALSE),"-")</f>
        <v>ILARIA</v>
      </c>
      <c r="AM397" s="62">
        <f>IFERROR(VLOOKUP(Table2[[#This Row],[Contraente]],Table1[[Nome/Ragione sociale]:[Checkbox selezionato]],6,FALSE),"-")</f>
        <v>33010</v>
      </c>
      <c r="AN397" s="63" t="str">
        <f>IFERROR(VLOOKUP(Table2[[#This Row],[Contraente]],Table1[[Nome/Ragione sociale]:[Checkbox selezionato]],7,FALSE),"-")</f>
        <v>papies@email.it</v>
      </c>
      <c r="AO397" s="63">
        <f>IFERROR(VLOOKUP(Table2[[#This Row],[Contraente]],Table1[[Nome/Ragione sociale]:[Checkbox selezionato]],8,FALSE),"-")</f>
        <v>0</v>
      </c>
      <c r="AP397" s="63">
        <f>IFERROR(VLOOKUP(Table2[[#This Row],[Contraente]],Table1[[Nome/Ragione sociale]:[Checkbox selezionato]],10,FALSE),"-")</f>
        <v>3425221259</v>
      </c>
      <c r="AQ397" s="63" t="str">
        <f>IFERROR(VLOOKUP(Table2[[#This Row],[Contraente]],Table1[[Nome/Ragione sociale]:[Checkbox selezionato]],11,FALSE),"-")</f>
        <v>SI</v>
      </c>
      <c r="AR397" s="63" t="str">
        <f>IFERROR(VLOOKUP(Table2[[#This Row],[Contraente]],Table1[[Nome/Ragione sociale]:[Checkbox selezionato]],12,FALSE),"-")</f>
        <v>SI</v>
      </c>
    </row>
    <row r="398" spans="1:44" ht="30" hidden="1" customHeight="1" x14ac:dyDescent="0.25">
      <c r="A398" s="60" t="str">
        <f>UPPER(LEFT(Table2[[#This Row],[Contraente]],1))</f>
        <v>D</v>
      </c>
      <c r="B398" s="60" t="s">
        <v>1634</v>
      </c>
      <c r="C398" s="81" t="s">
        <v>596</v>
      </c>
      <c r="D398" s="81" t="s">
        <v>37</v>
      </c>
      <c r="E398" s="86">
        <v>103905035</v>
      </c>
      <c r="F398" s="64">
        <v>42480</v>
      </c>
      <c r="G398" s="64">
        <f>IFERROR(CALCOLASCADENZA(Table2[[#This Row],[Data attivazione]],Table2[[#This Row],[Rateizzazione]],Table2[[#This Row],[Data ultimo pagamento]],Table2[[#This Row],[Data prossima scadenza manuale]]),"-")</f>
        <v>42480</v>
      </c>
      <c r="H398" s="67" t="s">
        <v>30</v>
      </c>
      <c r="I398" s="67" t="s">
        <v>113</v>
      </c>
      <c r="J398" s="33">
        <v>0</v>
      </c>
      <c r="K398" s="88"/>
      <c r="L398" s="88">
        <v>66</v>
      </c>
      <c r="M398" s="67" t="s">
        <v>43</v>
      </c>
      <c r="N398" s="67" t="s">
        <v>51</v>
      </c>
      <c r="O398" s="27" t="s">
        <v>1631</v>
      </c>
      <c r="P398" s="33" t="s">
        <v>24</v>
      </c>
      <c r="Q39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8" s="67" t="s">
        <v>2</v>
      </c>
      <c r="V398" s="62"/>
      <c r="W398" s="64">
        <v>42192</v>
      </c>
      <c r="X398" s="29">
        <f>DATE(YEAR(Table2[[#This Row],[Data attivazione]])+VLOOKUP(Table2[[#This Row],[Durata]],VALORE_DURATA,2,FALSE),MONTH(Table2[[#This Row],[Data attivazione]]),DAY(Table2[[#This Row],[Data attivazione]]))</f>
        <v>42558</v>
      </c>
      <c r="Y398" s="65"/>
      <c r="Z398" s="61"/>
      <c r="AA398" s="64" t="s">
        <v>88</v>
      </c>
      <c r="AB398" s="29" t="str">
        <f>IF(Table2[[#This Row],[Data ultimo versamento temp]]=0/1/1900,"-",Table2[[#This Row],[Data ultimo versamento temp]])</f>
        <v>-</v>
      </c>
      <c r="AC398" s="29">
        <f t="array" ref="AC398">MAX(IF(TableVersamenti[Polizza]=Table2[[#This Row],[Polizza]],TableVersamenti[Data prevista versamento],"-"))</f>
        <v>0</v>
      </c>
      <c r="AD398" s="62"/>
      <c r="AE398" s="106">
        <f>DATE(YEAR(Table2[[#This Row],[Data ultimo pagamento]]),MONTH(Table2[[#This Row],[Data ultimo pagamento]]), 1)</f>
        <v>42461</v>
      </c>
      <c r="AF398" s="106">
        <f>DATE(YEAR(Table2[[#This Row],[Data prossima scadenza]]),MONTH(Table2[[#This Row],[Data prossima scadenza]]), 1)</f>
        <v>42461</v>
      </c>
      <c r="AG398" s="33">
        <f>IFERROR(Table2[[#This Row],[Importo annuale]]*VLOOKUP(Table2[[#This Row],[Ramo]],RAMI_POLIZZA,2,FALSE),0)</f>
        <v>7.5900000000000007</v>
      </c>
      <c r="AH398" s="65" t="s">
        <v>113</v>
      </c>
      <c r="AI398" s="63" t="str">
        <f>IFERROR(VLOOKUP(Table2[[#This Row],[Contraente]],Table1[[Nome/Ragione sociale]:[Checkbox selezionato]],2,FALSE),"-")</f>
        <v>STRADELLA</v>
      </c>
      <c r="AJ398" s="63">
        <f>IFERROR(VLOOKUP(Table2[[#This Row],[Contraente]],Table1[[Nome/Ragione sociale]:[Checkbox selezionato]],3,FALSE),"-")</f>
        <v>0</v>
      </c>
      <c r="AK398" s="63">
        <f>IFERROR(VLOOKUP(Table2[[#This Row],[Contraente]],Table1[[Nome/Ragione sociale]:[Checkbox selezionato]],4,FALSE),"-")</f>
        <v>0</v>
      </c>
      <c r="AL398" s="63" t="str">
        <f>IFERROR(VLOOKUP(Table2[[#This Row],[Contraente]],Table1[[Nome/Ragione sociale]:[Checkbox selezionato]],5,FALSE),"-")</f>
        <v>NANDO</v>
      </c>
      <c r="AM398" s="62">
        <f>IFERROR(VLOOKUP(Table2[[#This Row],[Contraente]],Table1[[Nome/Ragione sociale]:[Checkbox selezionato]],6,FALSE),"-")</f>
        <v>12735</v>
      </c>
      <c r="AN398" s="63" t="str">
        <f>IFERROR(VLOOKUP(Table2[[#This Row],[Contraente]],Table1[[Nome/Ragione sociale]:[Checkbox selezionato]],7,FALSE),"-")</f>
        <v>papies@libero.it</v>
      </c>
      <c r="AO398" s="63">
        <f>IFERROR(VLOOKUP(Table2[[#This Row],[Contraente]],Table1[[Nome/Ragione sociale]:[Checkbox selezionato]],8,FALSE),"-")</f>
        <v>0</v>
      </c>
      <c r="AP398" s="63">
        <f>IFERROR(VLOOKUP(Table2[[#This Row],[Contraente]],Table1[[Nome/Ragione sociale]:[Checkbox selezionato]],10,FALSE),"-")</f>
        <v>0</v>
      </c>
      <c r="AQ398" s="63" t="str">
        <f>IFERROR(VLOOKUP(Table2[[#This Row],[Contraente]],Table1[[Nome/Ragione sociale]:[Checkbox selezionato]],11,FALSE),"-")</f>
        <v>SI</v>
      </c>
      <c r="AR398" s="63" t="str">
        <f>IFERROR(VLOOKUP(Table2[[#This Row],[Contraente]],Table1[[Nome/Ragione sociale]:[Checkbox selezionato]],12,FALSE),"-")</f>
        <v>SI</v>
      </c>
    </row>
    <row r="399" spans="1:44" ht="30" hidden="1" customHeight="1" x14ac:dyDescent="0.25">
      <c r="A399" s="60" t="str">
        <f>UPPER(LEFT(Table2[[#This Row],[Contraente]],1))</f>
        <v>D</v>
      </c>
      <c r="B399" s="60" t="s">
        <v>1634</v>
      </c>
      <c r="C399" s="81" t="s">
        <v>596</v>
      </c>
      <c r="D399" s="81" t="s">
        <v>37</v>
      </c>
      <c r="E399" s="86">
        <v>105181327</v>
      </c>
      <c r="F399" s="64">
        <v>42480</v>
      </c>
      <c r="G399" s="64">
        <f>IFERROR(CALCOLASCADENZA(Table2[[#This Row],[Data attivazione]],Table2[[#This Row],[Rateizzazione]],Table2[[#This Row],[Data ultimo pagamento]],Table2[[#This Row],[Data prossima scadenza manuale]]),"-")</f>
        <v>42480</v>
      </c>
      <c r="H399" s="67" t="s">
        <v>31</v>
      </c>
      <c r="I399" s="67" t="s">
        <v>1280</v>
      </c>
      <c r="J399" s="33">
        <v>0</v>
      </c>
      <c r="K399" s="88"/>
      <c r="L399" s="88">
        <v>300</v>
      </c>
      <c r="M399" s="67" t="s">
        <v>43</v>
      </c>
      <c r="N399" s="67" t="s">
        <v>51</v>
      </c>
      <c r="O399" s="27" t="s">
        <v>1631</v>
      </c>
      <c r="P399" s="33" t="s">
        <v>24</v>
      </c>
      <c r="Q39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9" s="67" t="s">
        <v>2</v>
      </c>
      <c r="V399" s="62"/>
      <c r="W399" s="64">
        <v>42192</v>
      </c>
      <c r="X399" s="29">
        <f>DATE(YEAR(Table2[[#This Row],[Data attivazione]])+VLOOKUP(Table2[[#This Row],[Durata]],VALORE_DURATA,2,FALSE),MONTH(Table2[[#This Row],[Data attivazione]]),DAY(Table2[[#This Row],[Data attivazione]]))</f>
        <v>42558</v>
      </c>
      <c r="Y399" s="65"/>
      <c r="Z399" s="61"/>
      <c r="AA399" s="64" t="s">
        <v>88</v>
      </c>
      <c r="AB399" s="29" t="str">
        <f>IF(Table2[[#This Row],[Data ultimo versamento temp]]=0/1/1900,"-",Table2[[#This Row],[Data ultimo versamento temp]])</f>
        <v>-</v>
      </c>
      <c r="AC399" s="29">
        <f t="array" ref="AC399">MAX(IF(TableVersamenti[Polizza]=Table2[[#This Row],[Polizza]],TableVersamenti[Data prevista versamento],"-"))</f>
        <v>0</v>
      </c>
      <c r="AD399" s="62"/>
      <c r="AE399" s="106">
        <f>DATE(YEAR(Table2[[#This Row],[Data ultimo pagamento]]),MONTH(Table2[[#This Row],[Data ultimo pagamento]]), 1)</f>
        <v>42461</v>
      </c>
      <c r="AF399" s="106">
        <f>DATE(YEAR(Table2[[#This Row],[Data prossima scadenza]]),MONTH(Table2[[#This Row],[Data prossima scadenza]]), 1)</f>
        <v>42461</v>
      </c>
      <c r="AG399" s="33">
        <f>IFERROR(Table2[[#This Row],[Importo annuale]]*VLOOKUP(Table2[[#This Row],[Ramo]],RAMI_POLIZZA,2,FALSE),0)</f>
        <v>15.6</v>
      </c>
      <c r="AH399" s="65" t="s">
        <v>113</v>
      </c>
      <c r="AI399" s="63" t="str">
        <f>IFERROR(VLOOKUP(Table2[[#This Row],[Contraente]],Table1[[Nome/Ragione sociale]:[Checkbox selezionato]],2,FALSE),"-")</f>
        <v>STRADELLA</v>
      </c>
      <c r="AJ399" s="63">
        <f>IFERROR(VLOOKUP(Table2[[#This Row],[Contraente]],Table1[[Nome/Ragione sociale]:[Checkbox selezionato]],3,FALSE),"-")</f>
        <v>0</v>
      </c>
      <c r="AK399" s="63">
        <f>IFERROR(VLOOKUP(Table2[[#This Row],[Contraente]],Table1[[Nome/Ragione sociale]:[Checkbox selezionato]],4,FALSE),"-")</f>
        <v>0</v>
      </c>
      <c r="AL399" s="63" t="str">
        <f>IFERROR(VLOOKUP(Table2[[#This Row],[Contraente]],Table1[[Nome/Ragione sociale]:[Checkbox selezionato]],5,FALSE),"-")</f>
        <v>NANDO</v>
      </c>
      <c r="AM399" s="62">
        <f>IFERROR(VLOOKUP(Table2[[#This Row],[Contraente]],Table1[[Nome/Ragione sociale]:[Checkbox selezionato]],6,FALSE),"-")</f>
        <v>12735</v>
      </c>
      <c r="AN399" s="63" t="str">
        <f>IFERROR(VLOOKUP(Table2[[#This Row],[Contraente]],Table1[[Nome/Ragione sociale]:[Checkbox selezionato]],7,FALSE),"-")</f>
        <v>papies@libero.it</v>
      </c>
      <c r="AO399" s="63">
        <f>IFERROR(VLOOKUP(Table2[[#This Row],[Contraente]],Table1[[Nome/Ragione sociale]:[Checkbox selezionato]],8,FALSE),"-")</f>
        <v>0</v>
      </c>
      <c r="AP399" s="63">
        <f>IFERROR(VLOOKUP(Table2[[#This Row],[Contraente]],Table1[[Nome/Ragione sociale]:[Checkbox selezionato]],10,FALSE),"-")</f>
        <v>0</v>
      </c>
      <c r="AQ399" s="63" t="str">
        <f>IFERROR(VLOOKUP(Table2[[#This Row],[Contraente]],Table1[[Nome/Ragione sociale]:[Checkbox selezionato]],11,FALSE),"-")</f>
        <v>SI</v>
      </c>
      <c r="AR399" s="63" t="str">
        <f>IFERROR(VLOOKUP(Table2[[#This Row],[Contraente]],Table1[[Nome/Ragione sociale]:[Checkbox selezionato]],12,FALSE),"-")</f>
        <v>SI</v>
      </c>
    </row>
    <row r="400" spans="1:44" ht="30" hidden="1" customHeight="1" x14ac:dyDescent="0.25">
      <c r="A400" s="60" t="str">
        <f>UPPER(LEFT(Table2[[#This Row],[Contraente]],1))</f>
        <v>D</v>
      </c>
      <c r="B400" s="60" t="s">
        <v>1634</v>
      </c>
      <c r="C400" s="81" t="s">
        <v>601</v>
      </c>
      <c r="D400" s="81" t="s">
        <v>37</v>
      </c>
      <c r="E400" s="86">
        <v>105941868</v>
      </c>
      <c r="F400" s="64">
        <v>42787</v>
      </c>
      <c r="G400" s="64">
        <f>IFERROR(CALCOLASCADENZA(Table2[[#This Row],[Data attivazione]],Table2[[#This Row],[Rateizzazione]],Table2[[#This Row],[Data ultimo pagamento]],Table2[[#This Row],[Data prossima scadenza manuale]]),"-")</f>
        <v>42964</v>
      </c>
      <c r="H400" s="67" t="s">
        <v>30</v>
      </c>
      <c r="I400" s="67" t="s">
        <v>113</v>
      </c>
      <c r="J400" s="33">
        <f>IFERROR(Table2[[#This Row],[Importo annuale]]/(12/VLOOKUP(Table2[[#This Row],[Rateizzazione]],TIPI_RATEIZZAZIONI,2,FALSE)),"-")</f>
        <v>31</v>
      </c>
      <c r="K400" s="88">
        <v>31</v>
      </c>
      <c r="L400" s="88">
        <v>62</v>
      </c>
      <c r="M400" s="67" t="s">
        <v>43</v>
      </c>
      <c r="N400" s="67" t="s">
        <v>52</v>
      </c>
      <c r="O400" s="27" t="s">
        <v>1631</v>
      </c>
      <c r="P400" s="33" t="s">
        <v>22</v>
      </c>
      <c r="Q400" s="60">
        <f>IFERROR(IF(12 / VLOOKUP(Table2[[#This Row],[Rateizzazione]],TIPI_RATEIZZAZIONI,2,FALSE) &gt;=1,  IF(Table2[[#This Row],[Data attivazione]] = "","-",MONTH(Table2[[#This Row],[Data attivazione]])),"-"),"-")</f>
        <v>8</v>
      </c>
      <c r="R4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0" s="67" t="s">
        <v>2</v>
      </c>
      <c r="V400" s="62"/>
      <c r="W400" s="64">
        <v>42599</v>
      </c>
      <c r="X400" s="29">
        <f>DATE(YEAR(Table2[[#This Row],[Data attivazione]])+VLOOKUP(Table2[[#This Row],[Durata]],VALORE_DURATA,2,FALSE),MONTH(Table2[[#This Row],[Data attivazione]]),DAY(Table2[[#This Row],[Data attivazione]]))</f>
        <v>42964</v>
      </c>
      <c r="Y400" s="65"/>
      <c r="Z400" s="61"/>
      <c r="AA400" s="64" t="s">
        <v>85</v>
      </c>
      <c r="AB400" s="29" t="str">
        <f>IF(Table2[[#This Row],[Data ultimo versamento temp]]=0/1/1900,"-",Table2[[#This Row],[Data ultimo versamento temp]])</f>
        <v>-</v>
      </c>
      <c r="AC400" s="29">
        <f t="array" ref="AC400">MAX(IF(TableVersamenti[Polizza]=Table2[[#This Row],[Polizza]],TableVersamenti[Data prevista versamento],"-"))</f>
        <v>0</v>
      </c>
      <c r="AD400" s="62"/>
      <c r="AE400" s="106">
        <f>DATE(YEAR(Table2[[#This Row],[Data ultimo pagamento]]),MONTH(Table2[[#This Row],[Data ultimo pagamento]]), 1)</f>
        <v>42767</v>
      </c>
      <c r="AF400" s="106">
        <f>DATE(YEAR(Table2[[#This Row],[Data prossima scadenza]]),MONTH(Table2[[#This Row],[Data prossima scadenza]]), 1)</f>
        <v>42948</v>
      </c>
      <c r="AG400" s="33">
        <f>IFERROR(Table2[[#This Row],[Importo annuale]]*VLOOKUP(Table2[[#This Row],[Ramo]],RAMI_POLIZZA,2,FALSE),0)</f>
        <v>7.13</v>
      </c>
      <c r="AH400" s="65" t="s">
        <v>113</v>
      </c>
      <c r="AI400" s="63" t="str">
        <f>IFERROR(VLOOKUP(Table2[[#This Row],[Contraente]],Table1[[Nome/Ragione sociale]:[Checkbox selezionato]],2,FALSE),"-")</f>
        <v>BELGIOIOSO</v>
      </c>
      <c r="AJ400" s="63">
        <f>IFERROR(VLOOKUP(Table2[[#This Row],[Contraente]],Table1[[Nome/Ragione sociale]:[Checkbox selezionato]],3,FALSE),"-")</f>
        <v>3385978076</v>
      </c>
      <c r="AK400" s="63">
        <f>IFERROR(VLOOKUP(Table2[[#This Row],[Contraente]],Table1[[Nome/Ragione sociale]:[Checkbox selezionato]],4,FALSE),"-")</f>
        <v>0</v>
      </c>
      <c r="AL400" s="63" t="str">
        <f>IFERROR(VLOOKUP(Table2[[#This Row],[Contraente]],Table1[[Nome/Ragione sociale]:[Checkbox selezionato]],5,FALSE),"-")</f>
        <v>ROBERTINO</v>
      </c>
      <c r="AM400" s="62">
        <f>IFERROR(VLOOKUP(Table2[[#This Row],[Contraente]],Table1[[Nome/Ragione sociale]:[Checkbox selezionato]],6,FALSE),"-")</f>
        <v>28578</v>
      </c>
      <c r="AN400" s="63" t="str">
        <f>IFERROR(VLOOKUP(Table2[[#This Row],[Contraente]],Table1[[Nome/Ragione sociale]:[Checkbox selezionato]],7,FALSE),"-")</f>
        <v>papies@libero.it</v>
      </c>
      <c r="AO400" s="63">
        <f>IFERROR(VLOOKUP(Table2[[#This Row],[Contraente]],Table1[[Nome/Ragione sociale]:[Checkbox selezionato]],8,FALSE),"-")</f>
        <v>0</v>
      </c>
      <c r="AP400" s="63">
        <f>IFERROR(VLOOKUP(Table2[[#This Row],[Contraente]],Table1[[Nome/Ragione sociale]:[Checkbox selezionato]],10,FALSE),"-")</f>
        <v>3385978076</v>
      </c>
      <c r="AQ400" s="63" t="str">
        <f>IFERROR(VLOOKUP(Table2[[#This Row],[Contraente]],Table1[[Nome/Ragione sociale]:[Checkbox selezionato]],11,FALSE),"-")</f>
        <v>SI</v>
      </c>
      <c r="AR400" s="63" t="str">
        <f>IFERROR(VLOOKUP(Table2[[#This Row],[Contraente]],Table1[[Nome/Ragione sociale]:[Checkbox selezionato]],12,FALSE),"-")</f>
        <v>SI</v>
      </c>
    </row>
    <row r="401" spans="1:44" ht="30" hidden="1" customHeight="1" x14ac:dyDescent="0.25">
      <c r="A401" s="60" t="str">
        <f>UPPER(LEFT(Table2[[#This Row],[Contraente]],1))</f>
        <v>D</v>
      </c>
      <c r="B401" s="60" t="s">
        <v>1634</v>
      </c>
      <c r="C401" s="81" t="s">
        <v>601</v>
      </c>
      <c r="D401" s="81" t="s">
        <v>37</v>
      </c>
      <c r="E401" s="86">
        <v>106545089</v>
      </c>
      <c r="F401" s="64">
        <v>42786</v>
      </c>
      <c r="G401" s="64">
        <f>IFERROR(CALCOLASCADENZA(Table2[[#This Row],[Data attivazione]],Table2[[#This Row],[Rateizzazione]],Table2[[#This Row],[Data ultimo pagamento]],Table2[[#This Row],[Data prossima scadenza manuale]]),"-")</f>
        <v>42964</v>
      </c>
      <c r="H401" s="67" t="s">
        <v>31</v>
      </c>
      <c r="I401" s="67" t="s">
        <v>1285</v>
      </c>
      <c r="J401" s="33">
        <f>IFERROR(Table2[[#This Row],[Importo annuale]]/(12/VLOOKUP(Table2[[#This Row],[Rateizzazione]],TIPI_RATEIZZAZIONI,2,FALSE)),"-")</f>
        <v>240</v>
      </c>
      <c r="K401" s="88">
        <v>240</v>
      </c>
      <c r="L401" s="88">
        <v>480</v>
      </c>
      <c r="M401" s="67" t="s">
        <v>44</v>
      </c>
      <c r="N401" s="67" t="s">
        <v>52</v>
      </c>
      <c r="O401" s="27" t="s">
        <v>1631</v>
      </c>
      <c r="P401" s="33" t="s">
        <v>22</v>
      </c>
      <c r="Q401" s="60">
        <f>IFERROR(IF(12 / VLOOKUP(Table2[[#This Row],[Rateizzazione]],TIPI_RATEIZZAZIONI,2,FALSE) &gt;=1,  IF(Table2[[#This Row],[Data attivazione]] = "","-",MONTH(Table2[[#This Row],[Data attivazione]])),"-"),"-")</f>
        <v>8</v>
      </c>
      <c r="R4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1" s="67" t="s">
        <v>2</v>
      </c>
      <c r="V401" s="62"/>
      <c r="W401" s="64">
        <v>42599</v>
      </c>
      <c r="X401" s="29">
        <f>DATE(YEAR(Table2[[#This Row],[Data attivazione]])+VLOOKUP(Table2[[#This Row],[Durata]],VALORE_DURATA,2,FALSE),MONTH(Table2[[#This Row],[Data attivazione]]),DAY(Table2[[#This Row],[Data attivazione]]))</f>
        <v>42964</v>
      </c>
      <c r="Y401" s="65"/>
      <c r="Z401" s="61"/>
      <c r="AA401" s="64" t="s">
        <v>85</v>
      </c>
      <c r="AB401" s="29" t="str">
        <f>IF(Table2[[#This Row],[Data ultimo versamento temp]]=0/1/1900,"-",Table2[[#This Row],[Data ultimo versamento temp]])</f>
        <v>-</v>
      </c>
      <c r="AC401" s="29">
        <f t="array" ref="AC401">MAX(IF(TableVersamenti[Polizza]=Table2[[#This Row],[Polizza]],TableVersamenti[Data prevista versamento],"-"))</f>
        <v>0</v>
      </c>
      <c r="AD401" s="62"/>
      <c r="AE401" s="106">
        <f>DATE(YEAR(Table2[[#This Row],[Data ultimo pagamento]]),MONTH(Table2[[#This Row],[Data ultimo pagamento]]), 1)</f>
        <v>42767</v>
      </c>
      <c r="AF401" s="106">
        <f>DATE(YEAR(Table2[[#This Row],[Data prossima scadenza]]),MONTH(Table2[[#This Row],[Data prossima scadenza]]), 1)</f>
        <v>42948</v>
      </c>
      <c r="AG401" s="33">
        <f>IFERROR(Table2[[#This Row],[Importo annuale]]*VLOOKUP(Table2[[#This Row],[Ramo]],RAMI_POLIZZA,2,FALSE),0)</f>
        <v>24.959999999999997</v>
      </c>
      <c r="AH401" s="65" t="s">
        <v>113</v>
      </c>
      <c r="AI401" s="63" t="str">
        <f>IFERROR(VLOOKUP(Table2[[#This Row],[Contraente]],Table1[[Nome/Ragione sociale]:[Checkbox selezionato]],2,FALSE),"-")</f>
        <v>BELGIOIOSO</v>
      </c>
      <c r="AJ401" s="63">
        <f>IFERROR(VLOOKUP(Table2[[#This Row],[Contraente]],Table1[[Nome/Ragione sociale]:[Checkbox selezionato]],3,FALSE),"-")</f>
        <v>3385978076</v>
      </c>
      <c r="AK401" s="63">
        <f>IFERROR(VLOOKUP(Table2[[#This Row],[Contraente]],Table1[[Nome/Ragione sociale]:[Checkbox selezionato]],4,FALSE),"-")</f>
        <v>0</v>
      </c>
      <c r="AL401" s="63" t="str">
        <f>IFERROR(VLOOKUP(Table2[[#This Row],[Contraente]],Table1[[Nome/Ragione sociale]:[Checkbox selezionato]],5,FALSE),"-")</f>
        <v>ROBERTINO</v>
      </c>
      <c r="AM401" s="62">
        <f>IFERROR(VLOOKUP(Table2[[#This Row],[Contraente]],Table1[[Nome/Ragione sociale]:[Checkbox selezionato]],6,FALSE),"-")</f>
        <v>28578</v>
      </c>
      <c r="AN401" s="63" t="str">
        <f>IFERROR(VLOOKUP(Table2[[#This Row],[Contraente]],Table1[[Nome/Ragione sociale]:[Checkbox selezionato]],7,FALSE),"-")</f>
        <v>papies@libero.it</v>
      </c>
      <c r="AO401" s="63">
        <f>IFERROR(VLOOKUP(Table2[[#This Row],[Contraente]],Table1[[Nome/Ragione sociale]:[Checkbox selezionato]],8,FALSE),"-")</f>
        <v>0</v>
      </c>
      <c r="AP401" s="63">
        <f>IFERROR(VLOOKUP(Table2[[#This Row],[Contraente]],Table1[[Nome/Ragione sociale]:[Checkbox selezionato]],10,FALSE),"-")</f>
        <v>3385978076</v>
      </c>
      <c r="AQ401" s="63" t="str">
        <f>IFERROR(VLOOKUP(Table2[[#This Row],[Contraente]],Table1[[Nome/Ragione sociale]:[Checkbox selezionato]],11,FALSE),"-")</f>
        <v>SI</v>
      </c>
      <c r="AR401" s="63" t="str">
        <f>IFERROR(VLOOKUP(Table2[[#This Row],[Contraente]],Table1[[Nome/Ragione sociale]:[Checkbox selezionato]],12,FALSE),"-")</f>
        <v>SI</v>
      </c>
    </row>
    <row r="402" spans="1:44" ht="30" hidden="1" customHeight="1" x14ac:dyDescent="0.25">
      <c r="A402" s="60" t="str">
        <f>UPPER(LEFT(Table2[[#This Row],[Contraente]],1))</f>
        <v>D</v>
      </c>
      <c r="B402" s="60" t="s">
        <v>1634</v>
      </c>
      <c r="C402" s="81" t="s">
        <v>600</v>
      </c>
      <c r="D402" s="81" t="s">
        <v>37</v>
      </c>
      <c r="E402" s="86">
        <v>106644312</v>
      </c>
      <c r="F402" s="64">
        <v>42814</v>
      </c>
      <c r="G402" s="64">
        <f>IFERROR(CALCOLASCADENZA(Table2[[#This Row],[Data attivazione]],Table2[[#This Row],[Rateizzazione]],Table2[[#This Row],[Data ultimo pagamento]],Table2[[#This Row],[Data prossima scadenza manuale]]),"-")</f>
        <v>43192</v>
      </c>
      <c r="H402" s="67" t="s">
        <v>31</v>
      </c>
      <c r="I402" s="67" t="s">
        <v>1282</v>
      </c>
      <c r="J402" s="33">
        <f>IFERROR(Table2[[#This Row],[Importo annuale]]/(12/VLOOKUP(Table2[[#This Row],[Rateizzazione]],TIPI_RATEIZZAZIONI,2,FALSE)),"-")</f>
        <v>380</v>
      </c>
      <c r="K402" s="88">
        <v>380</v>
      </c>
      <c r="L402" s="88">
        <v>380</v>
      </c>
      <c r="M402" s="67" t="s">
        <v>44</v>
      </c>
      <c r="N402" s="67" t="s">
        <v>51</v>
      </c>
      <c r="O402" s="27" t="s">
        <v>1631</v>
      </c>
      <c r="P402" s="33" t="s">
        <v>23</v>
      </c>
      <c r="Q402" s="60">
        <f>IFERROR(IF(12 / VLOOKUP(Table2[[#This Row],[Rateizzazione]],TIPI_RATEIZZAZIONI,2,FALSE) &gt;=1,  IF(Table2[[#This Row],[Data attivazione]] = "","-",MONTH(Table2[[#This Row],[Data attivazione]])),"-"),"-")</f>
        <v>4</v>
      </c>
      <c r="R4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2" s="67" t="s">
        <v>2</v>
      </c>
      <c r="V402" s="62"/>
      <c r="W402" s="64">
        <v>42827</v>
      </c>
      <c r="X402" s="29">
        <f>DATE(YEAR(Table2[[#This Row],[Data attivazione]])+VLOOKUP(Table2[[#This Row],[Durata]],VALORE_DURATA,2,FALSE),MONTH(Table2[[#This Row],[Data attivazione]]),DAY(Table2[[#This Row],[Data attivazione]]))</f>
        <v>43192</v>
      </c>
      <c r="Y402" s="65"/>
      <c r="Z402" s="61"/>
      <c r="AA402" s="64" t="s">
        <v>85</v>
      </c>
      <c r="AB402" s="29" t="str">
        <f>IF(Table2[[#This Row],[Data ultimo versamento temp]]=0/1/1900,"-",Table2[[#This Row],[Data ultimo versamento temp]])</f>
        <v>-</v>
      </c>
      <c r="AC402" s="29">
        <f t="array" ref="AC402">MAX(IF(TableVersamenti[Polizza]=Table2[[#This Row],[Polizza]],TableVersamenti[Data prevista versamento],"-"))</f>
        <v>0</v>
      </c>
      <c r="AD402" s="62"/>
      <c r="AE402" s="106">
        <f>DATE(YEAR(Table2[[#This Row],[Data ultimo pagamento]]),MONTH(Table2[[#This Row],[Data ultimo pagamento]]), 1)</f>
        <v>42795</v>
      </c>
      <c r="AF402" s="106">
        <f>DATE(YEAR(Table2[[#This Row],[Data prossima scadenza]]),MONTH(Table2[[#This Row],[Data prossima scadenza]]), 1)</f>
        <v>43191</v>
      </c>
      <c r="AG402" s="33">
        <f>IFERROR(Table2[[#This Row],[Importo annuale]]*VLOOKUP(Table2[[#This Row],[Ramo]],RAMI_POLIZZA,2,FALSE),0)</f>
        <v>19.759999999999998</v>
      </c>
      <c r="AH402" s="65" t="s">
        <v>113</v>
      </c>
      <c r="AI402" s="63" t="str">
        <f>IFERROR(VLOOKUP(Table2[[#This Row],[Contraente]],Table1[[Nome/Ragione sociale]:[Checkbox selezionato]],2,FALSE),"-")</f>
        <v>ALBUZZANO</v>
      </c>
      <c r="AJ402" s="63">
        <f>IFERROR(VLOOKUP(Table2[[#This Row],[Contraente]],Table1[[Nome/Ragione sociale]:[Checkbox selezionato]],3,FALSE),"-")</f>
        <v>3407838671</v>
      </c>
      <c r="AK402" s="63">
        <f>IFERROR(VLOOKUP(Table2[[#This Row],[Contraente]],Table1[[Nome/Ragione sociale]:[Checkbox selezionato]],4,FALSE),"-")</f>
        <v>0</v>
      </c>
      <c r="AL402" s="63" t="str">
        <f>IFERROR(VLOOKUP(Table2[[#This Row],[Contraente]],Table1[[Nome/Ragione sociale]:[Checkbox selezionato]],5,FALSE),"-")</f>
        <v>MARCO</v>
      </c>
      <c r="AM402" s="62">
        <f>IFERROR(VLOOKUP(Table2[[#This Row],[Contraente]],Table1[[Nome/Ragione sociale]:[Checkbox selezionato]],6,FALSE),"-")</f>
        <v>12787</v>
      </c>
      <c r="AN402" s="63" t="str">
        <f>IFERROR(VLOOKUP(Table2[[#This Row],[Contraente]],Table1[[Nome/Ragione sociale]:[Checkbox selezionato]],7,FALSE),"-")</f>
        <v>papies@email.it</v>
      </c>
      <c r="AO402" s="63">
        <f>IFERROR(VLOOKUP(Table2[[#This Row],[Contraente]],Table1[[Nome/Ragione sociale]:[Checkbox selezionato]],8,FALSE),"-")</f>
        <v>0</v>
      </c>
      <c r="AP402" s="63">
        <f>IFERROR(VLOOKUP(Table2[[#This Row],[Contraente]],Table1[[Nome/Ragione sociale]:[Checkbox selezionato]],10,FALSE),"-")</f>
        <v>3407838671</v>
      </c>
      <c r="AQ402" s="63" t="str">
        <f>IFERROR(VLOOKUP(Table2[[#This Row],[Contraente]],Table1[[Nome/Ragione sociale]:[Checkbox selezionato]],11,FALSE),"-")</f>
        <v>SI</v>
      </c>
      <c r="AR402" s="63" t="str">
        <f>IFERROR(VLOOKUP(Table2[[#This Row],[Contraente]],Table1[[Nome/Ragione sociale]:[Checkbox selezionato]],12,FALSE),"-")</f>
        <v>SI</v>
      </c>
    </row>
    <row r="403" spans="1:44" ht="30" hidden="1" customHeight="1" x14ac:dyDescent="0.25">
      <c r="A403" s="60" t="str">
        <f>UPPER(LEFT(Table2[[#This Row],[Contraente]],1))</f>
        <v>D</v>
      </c>
      <c r="B403" s="60" t="s">
        <v>1634</v>
      </c>
      <c r="C403" s="81" t="s">
        <v>119</v>
      </c>
      <c r="D403" s="81" t="s">
        <v>37</v>
      </c>
      <c r="E403" s="86">
        <v>1102921</v>
      </c>
      <c r="F403" s="64">
        <v>42816</v>
      </c>
      <c r="G403" s="64">
        <f>IFERROR(CALCOLASCADENZA(Table2[[#This Row],[Data attivazione]],Table2[[#This Row],[Rateizzazione]],Table2[[#This Row],[Data ultimo pagamento]],Table2[[#This Row],[Data prossima scadenza manuale]]),"-")</f>
        <v>43175</v>
      </c>
      <c r="H403" s="67" t="s">
        <v>30</v>
      </c>
      <c r="I403" s="67" t="s">
        <v>113</v>
      </c>
      <c r="J403" s="33">
        <f>IFERROR(Table2[[#This Row],[Importo annuale]]/(12/VLOOKUP(Table2[[#This Row],[Rateizzazione]],TIPI_RATEIZZAZIONI,2,FALSE)),"-")</f>
        <v>51</v>
      </c>
      <c r="K403" s="88">
        <v>51</v>
      </c>
      <c r="L403" s="88">
        <v>51</v>
      </c>
      <c r="M403" s="67" t="s">
        <v>43</v>
      </c>
      <c r="N403" s="67" t="s">
        <v>51</v>
      </c>
      <c r="O403" s="27" t="s">
        <v>1632</v>
      </c>
      <c r="P403" s="33" t="s">
        <v>23</v>
      </c>
      <c r="Q403" s="60">
        <f>IFERROR(IF(12 / VLOOKUP(Table2[[#This Row],[Rateizzazione]],TIPI_RATEIZZAZIONI,2,FALSE) &gt;=1,  IF(Table2[[#This Row],[Data attivazione]] = "","-",MONTH(Table2[[#This Row],[Data attivazione]])),"-"),"-")</f>
        <v>3</v>
      </c>
      <c r="R4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3" s="67" t="s">
        <v>2</v>
      </c>
      <c r="V403" s="62"/>
      <c r="W403" s="64">
        <v>39523</v>
      </c>
      <c r="X403" s="29">
        <f>DATE(YEAR(Table2[[#This Row],[Data attivazione]])+VLOOKUP(Table2[[#This Row],[Durata]],VALORE_DURATA,2,FALSE),MONTH(Table2[[#This Row],[Data attivazione]]),DAY(Table2[[#This Row],[Data attivazione]]))</f>
        <v>43175</v>
      </c>
      <c r="Y403" s="65"/>
      <c r="Z403" s="61"/>
      <c r="AA403" s="64" t="s">
        <v>85</v>
      </c>
      <c r="AB403" s="29" t="str">
        <f>IF(Table2[[#This Row],[Data ultimo versamento temp]]=0/1/1900,"-",Table2[[#This Row],[Data ultimo versamento temp]])</f>
        <v>-</v>
      </c>
      <c r="AC403" s="29">
        <f t="array" ref="AC403">MAX(IF(TableVersamenti[Polizza]=Table2[[#This Row],[Polizza]],TableVersamenti[Data prevista versamento],"-"))</f>
        <v>0</v>
      </c>
      <c r="AD403" s="62"/>
      <c r="AE403" s="106">
        <f>DATE(YEAR(Table2[[#This Row],[Data ultimo pagamento]]),MONTH(Table2[[#This Row],[Data ultimo pagamento]]), 1)</f>
        <v>42795</v>
      </c>
      <c r="AF403" s="106">
        <f>DATE(YEAR(Table2[[#This Row],[Data prossima scadenza]]),MONTH(Table2[[#This Row],[Data prossima scadenza]]), 1)</f>
        <v>43160</v>
      </c>
      <c r="AG403" s="33">
        <f>IFERROR(Table2[[#This Row],[Importo annuale]]*VLOOKUP(Table2[[#This Row],[Ramo]],RAMI_POLIZZA,2,FALSE),0)</f>
        <v>5.8650000000000002</v>
      </c>
      <c r="AH403" s="65" t="s">
        <v>113</v>
      </c>
      <c r="AI403" s="63" t="str">
        <f>IFERROR(VLOOKUP(Table2[[#This Row],[Contraente]],Table1[[Nome/Ragione sociale]:[Checkbox selezionato]],2,FALSE),"-")</f>
        <v>TORRE DE' NEGRI</v>
      </c>
      <c r="AJ403" s="63">
        <f>IFERROR(VLOOKUP(Table2[[#This Row],[Contraente]],Table1[[Nome/Ragione sociale]:[Checkbox selezionato]],3,FALSE),"-")</f>
        <v>3480566652</v>
      </c>
      <c r="AK403" s="63">
        <f>IFERROR(VLOOKUP(Table2[[#This Row],[Contraente]],Table1[[Nome/Ragione sociale]:[Checkbox selezionato]],4,FALSE),"-")</f>
        <v>0</v>
      </c>
      <c r="AL403" s="63" t="str">
        <f>IFERROR(VLOOKUP(Table2[[#This Row],[Contraente]],Table1[[Nome/Ragione sociale]:[Checkbox selezionato]],5,FALSE),"-")</f>
        <v>LUSSIENA</v>
      </c>
      <c r="AM403" s="62">
        <f>IFERROR(VLOOKUP(Table2[[#This Row],[Contraente]],Table1[[Nome/Ragione sociale]:[Checkbox selezionato]],6,FALSE),"-")</f>
        <v>27399</v>
      </c>
      <c r="AN403" s="63" t="str">
        <f>IFERROR(VLOOKUP(Table2[[#This Row],[Contraente]],Table1[[Nome/Ragione sociale]:[Checkbox selezionato]],7,FALSE),"-")</f>
        <v>papies@libero.it</v>
      </c>
      <c r="AO403" s="63">
        <f>IFERROR(VLOOKUP(Table2[[#This Row],[Contraente]],Table1[[Nome/Ragione sociale]:[Checkbox selezionato]],8,FALSE),"-")</f>
        <v>0</v>
      </c>
      <c r="AP403" s="63">
        <f>IFERROR(VLOOKUP(Table2[[#This Row],[Contraente]],Table1[[Nome/Ragione sociale]:[Checkbox selezionato]],10,FALSE),"-")</f>
        <v>3480566652</v>
      </c>
      <c r="AQ403" s="63" t="str">
        <f>IFERROR(VLOOKUP(Table2[[#This Row],[Contraente]],Table1[[Nome/Ragione sociale]:[Checkbox selezionato]],11,FALSE),"-")</f>
        <v>SI</v>
      </c>
      <c r="AR403" s="63" t="str">
        <f>IFERROR(VLOOKUP(Table2[[#This Row],[Contraente]],Table1[[Nome/Ragione sociale]:[Checkbox selezionato]],12,FALSE),"-")</f>
        <v>SI</v>
      </c>
    </row>
    <row r="404" spans="1:44" ht="30" hidden="1" customHeight="1" x14ac:dyDescent="0.25">
      <c r="A404" s="60" t="str">
        <f>UPPER(LEFT(Table2[[#This Row],[Contraente]],1))</f>
        <v>D</v>
      </c>
      <c r="B404" s="60" t="s">
        <v>1634</v>
      </c>
      <c r="C404" s="81" t="s">
        <v>119</v>
      </c>
      <c r="D404" s="81" t="s">
        <v>37</v>
      </c>
      <c r="E404" s="86">
        <v>102873058</v>
      </c>
      <c r="F404" s="64">
        <v>42776</v>
      </c>
      <c r="G404" s="64">
        <f>IFERROR(CALCOLASCADENZA(Table2[[#This Row],[Data attivazione]],Table2[[#This Row],[Rateizzazione]],Table2[[#This Row],[Data ultimo pagamento]],Table2[[#This Row],[Data prossima scadenza manuale]]),"-")</f>
        <v>43140</v>
      </c>
      <c r="H404" s="67" t="s">
        <v>30</v>
      </c>
      <c r="I404" s="67" t="s">
        <v>113</v>
      </c>
      <c r="J404" s="33">
        <f>IFERROR(Table2[[#This Row],[Importo annuale]]/(12/VLOOKUP(Table2[[#This Row],[Rateizzazione]],TIPI_RATEIZZAZIONI,2,FALSE)),"-")</f>
        <v>48</v>
      </c>
      <c r="K404" s="88">
        <v>48</v>
      </c>
      <c r="L404" s="88">
        <v>48</v>
      </c>
      <c r="M404" s="67" t="s">
        <v>44</v>
      </c>
      <c r="N404" s="67" t="s">
        <v>51</v>
      </c>
      <c r="O404" s="27" t="s">
        <v>1631</v>
      </c>
      <c r="P404" s="33" t="s">
        <v>23</v>
      </c>
      <c r="Q404" s="60">
        <f>IFERROR(IF(12 / VLOOKUP(Table2[[#This Row],[Rateizzazione]],TIPI_RATEIZZAZIONI,2,FALSE) &gt;=1,  IF(Table2[[#This Row],[Data attivazione]] = "","-",MONTH(Table2[[#This Row],[Data attivazione]])),"-"),"-")</f>
        <v>2</v>
      </c>
      <c r="R4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4" s="67" t="s">
        <v>2</v>
      </c>
      <c r="V404" s="62"/>
      <c r="W404" s="64">
        <v>42775</v>
      </c>
      <c r="X404" s="29">
        <f>DATE(YEAR(Table2[[#This Row],[Data attivazione]])+VLOOKUP(Table2[[#This Row],[Durata]],VALORE_DURATA,2,FALSE),MONTH(Table2[[#This Row],[Data attivazione]]),DAY(Table2[[#This Row],[Data attivazione]]))</f>
        <v>43140</v>
      </c>
      <c r="Y404" s="65"/>
      <c r="Z404" s="61"/>
      <c r="AA404" s="64" t="s">
        <v>85</v>
      </c>
      <c r="AB404" s="29" t="str">
        <f>IF(Table2[[#This Row],[Data ultimo versamento temp]]=0/1/1900,"-",Table2[[#This Row],[Data ultimo versamento temp]])</f>
        <v>-</v>
      </c>
      <c r="AC404" s="29">
        <f t="array" ref="AC404">MAX(IF(TableVersamenti[Polizza]=Table2[[#This Row],[Polizza]],TableVersamenti[Data prevista versamento],"-"))</f>
        <v>0</v>
      </c>
      <c r="AD404" s="62"/>
      <c r="AE404" s="106">
        <f>DATE(YEAR(Table2[[#This Row],[Data ultimo pagamento]]),MONTH(Table2[[#This Row],[Data ultimo pagamento]]), 1)</f>
        <v>42767</v>
      </c>
      <c r="AF404" s="106">
        <f>DATE(YEAR(Table2[[#This Row],[Data prossima scadenza]]),MONTH(Table2[[#This Row],[Data prossima scadenza]]), 1)</f>
        <v>43132</v>
      </c>
      <c r="AG404" s="33">
        <f>IFERROR(Table2[[#This Row],[Importo annuale]]*VLOOKUP(Table2[[#This Row],[Ramo]],RAMI_POLIZZA,2,FALSE),0)</f>
        <v>5.5200000000000005</v>
      </c>
      <c r="AH404" s="65" t="s">
        <v>113</v>
      </c>
      <c r="AI404" s="63" t="str">
        <f>IFERROR(VLOOKUP(Table2[[#This Row],[Contraente]],Table1[[Nome/Ragione sociale]:[Checkbox selezionato]],2,FALSE),"-")</f>
        <v>TORRE DE' NEGRI</v>
      </c>
      <c r="AJ404" s="63">
        <f>IFERROR(VLOOKUP(Table2[[#This Row],[Contraente]],Table1[[Nome/Ragione sociale]:[Checkbox selezionato]],3,FALSE),"-")</f>
        <v>3480566652</v>
      </c>
      <c r="AK404" s="63">
        <f>IFERROR(VLOOKUP(Table2[[#This Row],[Contraente]],Table1[[Nome/Ragione sociale]:[Checkbox selezionato]],4,FALSE),"-")</f>
        <v>0</v>
      </c>
      <c r="AL404" s="63" t="str">
        <f>IFERROR(VLOOKUP(Table2[[#This Row],[Contraente]],Table1[[Nome/Ragione sociale]:[Checkbox selezionato]],5,FALSE),"-")</f>
        <v>LUSSIENA</v>
      </c>
      <c r="AM404" s="62">
        <f>IFERROR(VLOOKUP(Table2[[#This Row],[Contraente]],Table1[[Nome/Ragione sociale]:[Checkbox selezionato]],6,FALSE),"-")</f>
        <v>27399</v>
      </c>
      <c r="AN404" s="63" t="str">
        <f>IFERROR(VLOOKUP(Table2[[#This Row],[Contraente]],Table1[[Nome/Ragione sociale]:[Checkbox selezionato]],7,FALSE),"-")</f>
        <v>papies@libero.it</v>
      </c>
      <c r="AO404" s="63">
        <f>IFERROR(VLOOKUP(Table2[[#This Row],[Contraente]],Table1[[Nome/Ragione sociale]:[Checkbox selezionato]],8,FALSE),"-")</f>
        <v>0</v>
      </c>
      <c r="AP404" s="63">
        <f>IFERROR(VLOOKUP(Table2[[#This Row],[Contraente]],Table1[[Nome/Ragione sociale]:[Checkbox selezionato]],10,FALSE),"-")</f>
        <v>3480566652</v>
      </c>
      <c r="AQ404" s="63" t="str">
        <f>IFERROR(VLOOKUP(Table2[[#This Row],[Contraente]],Table1[[Nome/Ragione sociale]:[Checkbox selezionato]],11,FALSE),"-")</f>
        <v>SI</v>
      </c>
      <c r="AR404" s="63" t="str">
        <f>IFERROR(VLOOKUP(Table2[[#This Row],[Contraente]],Table1[[Nome/Ragione sociale]:[Checkbox selezionato]],12,FALSE),"-")</f>
        <v>SI</v>
      </c>
    </row>
    <row r="405" spans="1:44" ht="30" hidden="1" customHeight="1" x14ac:dyDescent="0.25">
      <c r="A405" s="60" t="str">
        <f>UPPER(LEFT(Table2[[#This Row],[Contraente]],1))</f>
        <v>D</v>
      </c>
      <c r="B405" s="60" t="s">
        <v>1634</v>
      </c>
      <c r="C405" s="81" t="s">
        <v>119</v>
      </c>
      <c r="D405" s="81" t="s">
        <v>37</v>
      </c>
      <c r="E405" s="86">
        <v>101158928</v>
      </c>
      <c r="F405" s="64">
        <v>42727</v>
      </c>
      <c r="G405" s="64">
        <f>IFERROR(CALCOLASCADENZA(Table2[[#This Row],[Data attivazione]],Table2[[#This Row],[Rateizzazione]],Table2[[#This Row],[Data ultimo pagamento]],Table2[[#This Row],[Data prossima scadenza manuale]]),"-")</f>
        <v>43090</v>
      </c>
      <c r="H405" s="67" t="s">
        <v>30</v>
      </c>
      <c r="I405" s="67" t="s">
        <v>113</v>
      </c>
      <c r="J405" s="33">
        <f>IFERROR(Table2[[#This Row],[Importo annuale]]/(12/VLOOKUP(Table2[[#This Row],[Rateizzazione]],TIPI_RATEIZZAZIONI,2,FALSE)),"-")</f>
        <v>323</v>
      </c>
      <c r="K405" s="88"/>
      <c r="L405" s="88">
        <v>323</v>
      </c>
      <c r="M405" s="67" t="s">
        <v>43</v>
      </c>
      <c r="N405" s="67" t="s">
        <v>51</v>
      </c>
      <c r="O405" s="27" t="s">
        <v>1631</v>
      </c>
      <c r="P405" s="33" t="s">
        <v>23</v>
      </c>
      <c r="Q405" s="60">
        <f>IFERROR(IF(12 / VLOOKUP(Table2[[#This Row],[Rateizzazione]],TIPI_RATEIZZAZIONI,2,FALSE) &gt;=1,  IF(Table2[[#This Row],[Data attivazione]] = "","-",MONTH(Table2[[#This Row],[Data attivazione]])),"-"),"-")</f>
        <v>12</v>
      </c>
      <c r="R4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5" s="67" t="s">
        <v>2</v>
      </c>
      <c r="V405" s="62"/>
      <c r="W405" s="64">
        <v>42725</v>
      </c>
      <c r="X405" s="29">
        <f>DATE(YEAR(Table2[[#This Row],[Data attivazione]])+VLOOKUP(Table2[[#This Row],[Durata]],VALORE_DURATA,2,FALSE),MONTH(Table2[[#This Row],[Data attivazione]]),DAY(Table2[[#This Row],[Data attivazione]]))</f>
        <v>43090</v>
      </c>
      <c r="Y405" s="65"/>
      <c r="Z405" s="61"/>
      <c r="AA405" s="64" t="s">
        <v>85</v>
      </c>
      <c r="AB405" s="29" t="str">
        <f>IF(Table2[[#This Row],[Data ultimo versamento temp]]=0/1/1900,"-",Table2[[#This Row],[Data ultimo versamento temp]])</f>
        <v>-</v>
      </c>
      <c r="AC405" s="29">
        <f t="array" ref="AC405">MAX(IF(TableVersamenti[Polizza]=Table2[[#This Row],[Polizza]],TableVersamenti[Data prevista versamento],"-"))</f>
        <v>0</v>
      </c>
      <c r="AD405" s="62"/>
      <c r="AE405" s="106">
        <f>DATE(YEAR(Table2[[#This Row],[Data ultimo pagamento]]),MONTH(Table2[[#This Row],[Data ultimo pagamento]]), 1)</f>
        <v>42705</v>
      </c>
      <c r="AF405" s="106">
        <f>DATE(YEAR(Table2[[#This Row],[Data prossima scadenza]]),MONTH(Table2[[#This Row],[Data prossima scadenza]]), 1)</f>
        <v>43070</v>
      </c>
      <c r="AG405" s="33">
        <f>IFERROR(Table2[[#This Row],[Importo annuale]]*VLOOKUP(Table2[[#This Row],[Ramo]],RAMI_POLIZZA,2,FALSE),0)</f>
        <v>37.145000000000003</v>
      </c>
      <c r="AH405" s="65" t="s">
        <v>113</v>
      </c>
      <c r="AI405" s="63" t="str">
        <f>IFERROR(VLOOKUP(Table2[[#This Row],[Contraente]],Table1[[Nome/Ragione sociale]:[Checkbox selezionato]],2,FALSE),"-")</f>
        <v>TORRE DE' NEGRI</v>
      </c>
      <c r="AJ405" s="63">
        <f>IFERROR(VLOOKUP(Table2[[#This Row],[Contraente]],Table1[[Nome/Ragione sociale]:[Checkbox selezionato]],3,FALSE),"-")</f>
        <v>3480566652</v>
      </c>
      <c r="AK405" s="63">
        <f>IFERROR(VLOOKUP(Table2[[#This Row],[Contraente]],Table1[[Nome/Ragione sociale]:[Checkbox selezionato]],4,FALSE),"-")</f>
        <v>0</v>
      </c>
      <c r="AL405" s="63" t="str">
        <f>IFERROR(VLOOKUP(Table2[[#This Row],[Contraente]],Table1[[Nome/Ragione sociale]:[Checkbox selezionato]],5,FALSE),"-")</f>
        <v>LUSSIENA</v>
      </c>
      <c r="AM405" s="62">
        <f>IFERROR(VLOOKUP(Table2[[#This Row],[Contraente]],Table1[[Nome/Ragione sociale]:[Checkbox selezionato]],6,FALSE),"-")</f>
        <v>27399</v>
      </c>
      <c r="AN405" s="63" t="str">
        <f>IFERROR(VLOOKUP(Table2[[#This Row],[Contraente]],Table1[[Nome/Ragione sociale]:[Checkbox selezionato]],7,FALSE),"-")</f>
        <v>papies@libero.it</v>
      </c>
      <c r="AO405" s="63">
        <f>IFERROR(VLOOKUP(Table2[[#This Row],[Contraente]],Table1[[Nome/Ragione sociale]:[Checkbox selezionato]],8,FALSE),"-")</f>
        <v>0</v>
      </c>
      <c r="AP405" s="63">
        <f>IFERROR(VLOOKUP(Table2[[#This Row],[Contraente]],Table1[[Nome/Ragione sociale]:[Checkbox selezionato]],10,FALSE),"-")</f>
        <v>3480566652</v>
      </c>
      <c r="AQ405" s="63" t="str">
        <f>IFERROR(VLOOKUP(Table2[[#This Row],[Contraente]],Table1[[Nome/Ragione sociale]:[Checkbox selezionato]],11,FALSE),"-")</f>
        <v>SI</v>
      </c>
      <c r="AR405" s="63" t="str">
        <f>IFERROR(VLOOKUP(Table2[[#This Row],[Contraente]],Table1[[Nome/Ragione sociale]:[Checkbox selezionato]],12,FALSE),"-")</f>
        <v>SI</v>
      </c>
    </row>
    <row r="406" spans="1:44" ht="30" hidden="1" customHeight="1" x14ac:dyDescent="0.25">
      <c r="A406" s="60" t="str">
        <f>UPPER(LEFT(Table2[[#This Row],[Contraente]],1))</f>
        <v>D</v>
      </c>
      <c r="B406" s="60" t="s">
        <v>1634</v>
      </c>
      <c r="C406" s="81" t="s">
        <v>119</v>
      </c>
      <c r="D406" s="81" t="s">
        <v>37</v>
      </c>
      <c r="E406" s="86">
        <v>105425970</v>
      </c>
      <c r="F406" s="64">
        <v>42930</v>
      </c>
      <c r="G406" s="64">
        <f>IFERROR(CALCOLASCADENZA(Table2[[#This Row],[Data attivazione]],Table2[[#This Row],[Rateizzazione]],Table2[[#This Row],[Data ultimo pagamento]],Table2[[#This Row],[Data prossima scadenza manuale]]),"-")</f>
        <v>43055</v>
      </c>
      <c r="H406" s="67" t="s">
        <v>31</v>
      </c>
      <c r="I406" s="67" t="s">
        <v>1283</v>
      </c>
      <c r="J406" s="33">
        <f>IFERROR(Table2[[#This Row],[Importo annuale]]/(12/VLOOKUP(Table2[[#This Row],[Rateizzazione]],TIPI_RATEIZZAZIONI,2,FALSE)),"-")</f>
        <v>226</v>
      </c>
      <c r="K406" s="88">
        <v>452</v>
      </c>
      <c r="L406" s="88">
        <v>678</v>
      </c>
      <c r="M406" s="67" t="s">
        <v>43</v>
      </c>
      <c r="N406" s="67" t="s">
        <v>51</v>
      </c>
      <c r="O406" s="27" t="s">
        <v>1631</v>
      </c>
      <c r="P406" s="33" t="s">
        <v>21</v>
      </c>
      <c r="Q406" s="60">
        <f>IFERROR(IF(12 / VLOOKUP(Table2[[#This Row],[Rateizzazione]],TIPI_RATEIZZAZIONI,2,FALSE) &gt;=1,  IF(Table2[[#This Row],[Data attivazione]] = "","-",MONTH(Table2[[#This Row],[Data attivazione]])),"-"),"-")</f>
        <v>3</v>
      </c>
      <c r="R4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0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4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6" s="67" t="s">
        <v>2</v>
      </c>
      <c r="V406" s="62"/>
      <c r="W406" s="64">
        <v>42810</v>
      </c>
      <c r="X406" s="29">
        <f>DATE(YEAR(Table2[[#This Row],[Data attivazione]])+VLOOKUP(Table2[[#This Row],[Durata]],VALORE_DURATA,2,FALSE),MONTH(Table2[[#This Row],[Data attivazione]]),DAY(Table2[[#This Row],[Data attivazione]]))</f>
        <v>43175</v>
      </c>
      <c r="Y406" s="65"/>
      <c r="Z406" s="61"/>
      <c r="AA406" s="64" t="s">
        <v>85</v>
      </c>
      <c r="AB406" s="29">
        <f>IF(Table2[[#This Row],[Data ultimo versamento temp]]=0/1/1900,"-",Table2[[#This Row],[Data ultimo versamento temp]])</f>
        <v>42933</v>
      </c>
      <c r="AC406" s="29">
        <f t="array" ref="AC406">MAX(IF(TableVersamenti[Polizza]=Table2[[#This Row],[Polizza]],TableVersamenti[Data prevista versamento],"-"))</f>
        <v>42933</v>
      </c>
      <c r="AD406" s="62"/>
      <c r="AE406" s="106">
        <f>DATE(YEAR(Table2[[#This Row],[Data ultimo pagamento]]),MONTH(Table2[[#This Row],[Data ultimo pagamento]]), 1)</f>
        <v>42917</v>
      </c>
      <c r="AF406" s="106">
        <f>DATE(YEAR(Table2[[#This Row],[Data prossima scadenza]]),MONTH(Table2[[#This Row],[Data prossima scadenza]]), 1)</f>
        <v>43040</v>
      </c>
      <c r="AG406" s="33">
        <f>IFERROR(Table2[[#This Row],[Importo annuale]]*VLOOKUP(Table2[[#This Row],[Ramo]],RAMI_POLIZZA,2,FALSE),0)</f>
        <v>35.256</v>
      </c>
      <c r="AH406" s="65" t="s">
        <v>113</v>
      </c>
      <c r="AI406" s="63" t="str">
        <f>IFERROR(VLOOKUP(Table2[[#This Row],[Contraente]],Table1[[Nome/Ragione sociale]:[Checkbox selezionato]],2,FALSE),"-")</f>
        <v>TORRE DE' NEGRI</v>
      </c>
      <c r="AJ406" s="63">
        <f>IFERROR(VLOOKUP(Table2[[#This Row],[Contraente]],Table1[[Nome/Ragione sociale]:[Checkbox selezionato]],3,FALSE),"-")</f>
        <v>3480566652</v>
      </c>
      <c r="AK406" s="63">
        <f>IFERROR(VLOOKUP(Table2[[#This Row],[Contraente]],Table1[[Nome/Ragione sociale]:[Checkbox selezionato]],4,FALSE),"-")</f>
        <v>0</v>
      </c>
      <c r="AL406" s="63" t="str">
        <f>IFERROR(VLOOKUP(Table2[[#This Row],[Contraente]],Table1[[Nome/Ragione sociale]:[Checkbox selezionato]],5,FALSE),"-")</f>
        <v>LUSSIENA</v>
      </c>
      <c r="AM406" s="62">
        <f>IFERROR(VLOOKUP(Table2[[#This Row],[Contraente]],Table1[[Nome/Ragione sociale]:[Checkbox selezionato]],6,FALSE),"-")</f>
        <v>27399</v>
      </c>
      <c r="AN406" s="63" t="str">
        <f>IFERROR(VLOOKUP(Table2[[#This Row],[Contraente]],Table1[[Nome/Ragione sociale]:[Checkbox selezionato]],7,FALSE),"-")</f>
        <v>papies@libero.it</v>
      </c>
      <c r="AO406" s="63">
        <f>IFERROR(VLOOKUP(Table2[[#This Row],[Contraente]],Table1[[Nome/Ragione sociale]:[Checkbox selezionato]],8,FALSE),"-")</f>
        <v>0</v>
      </c>
      <c r="AP406" s="63">
        <f>IFERROR(VLOOKUP(Table2[[#This Row],[Contraente]],Table1[[Nome/Ragione sociale]:[Checkbox selezionato]],10,FALSE),"-")</f>
        <v>3480566652</v>
      </c>
      <c r="AQ406" s="63" t="str">
        <f>IFERROR(VLOOKUP(Table2[[#This Row],[Contraente]],Table1[[Nome/Ragione sociale]:[Checkbox selezionato]],11,FALSE),"-")</f>
        <v>SI</v>
      </c>
      <c r="AR406" s="63" t="str">
        <f>IFERROR(VLOOKUP(Table2[[#This Row],[Contraente]],Table1[[Nome/Ragione sociale]:[Checkbox selezionato]],12,FALSE),"-")</f>
        <v>SI</v>
      </c>
    </row>
    <row r="407" spans="1:44" ht="30" hidden="1" customHeight="1" x14ac:dyDescent="0.25">
      <c r="A407" s="60" t="str">
        <f>UPPER(LEFT(Table2[[#This Row],[Contraente]],1))</f>
        <v>D</v>
      </c>
      <c r="B407" s="60" t="s">
        <v>1634</v>
      </c>
      <c r="C407" s="81" t="s">
        <v>119</v>
      </c>
      <c r="D407" s="81" t="s">
        <v>37</v>
      </c>
      <c r="E407" s="86">
        <v>106515583</v>
      </c>
      <c r="F407" s="64">
        <v>42901</v>
      </c>
      <c r="G407" s="64">
        <f>IFERROR(CALCOLASCADENZA(Table2[[#This Row],[Data attivazione]],Table2[[#This Row],[Rateizzazione]],Table2[[#This Row],[Data ultimo pagamento]],Table2[[#This Row],[Data prossima scadenza manuale]]),"-")</f>
        <v>43009</v>
      </c>
      <c r="H407" s="67" t="s">
        <v>31</v>
      </c>
      <c r="I407" s="67" t="s">
        <v>1284</v>
      </c>
      <c r="J407" s="33">
        <f>IFERROR(Table2[[#This Row],[Importo annuale]]/(12/VLOOKUP(Table2[[#This Row],[Rateizzazione]],TIPI_RATEIZZAZIONI,2,FALSE)),"-")</f>
        <v>314</v>
      </c>
      <c r="K407" s="88">
        <v>628</v>
      </c>
      <c r="L407" s="88">
        <v>942</v>
      </c>
      <c r="M407" s="67" t="s">
        <v>43</v>
      </c>
      <c r="N407" s="67" t="s">
        <v>51</v>
      </c>
      <c r="O407" s="27" t="s">
        <v>1631</v>
      </c>
      <c r="P407" s="33" t="s">
        <v>21</v>
      </c>
      <c r="Q407" s="60">
        <f>IFERROR(IF(12 / VLOOKUP(Table2[[#This Row],[Rateizzazione]],TIPI_RATEIZZAZIONI,2,FALSE) &gt;=1,  IF(Table2[[#This Row],[Data attivazione]] = "","-",MONTH(Table2[[#This Row],[Data attivazione]])),"-"),"-")</f>
        <v>10</v>
      </c>
      <c r="R4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4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7" s="67" t="s">
        <v>2</v>
      </c>
      <c r="V407" s="62"/>
      <c r="W407" s="64">
        <v>42644</v>
      </c>
      <c r="X407" s="29">
        <f>DATE(YEAR(Table2[[#This Row],[Data attivazione]])+VLOOKUP(Table2[[#This Row],[Durata]],VALORE_DURATA,2,FALSE),MONTH(Table2[[#This Row],[Data attivazione]]),DAY(Table2[[#This Row],[Data attivazione]]))</f>
        <v>43009</v>
      </c>
      <c r="Y407" s="65"/>
      <c r="Z407" s="61"/>
      <c r="AA407" s="64" t="s">
        <v>85</v>
      </c>
      <c r="AB407" s="29" t="str">
        <f>IF(Table2[[#This Row],[Data ultimo versamento temp]]=0/1/1900,"-",Table2[[#This Row],[Data ultimo versamento temp]])</f>
        <v>-</v>
      </c>
      <c r="AC407" s="29">
        <f t="array" ref="AC407">MAX(IF(TableVersamenti[Polizza]=Table2[[#This Row],[Polizza]],TableVersamenti[Data prevista versamento],"-"))</f>
        <v>0</v>
      </c>
      <c r="AD407" s="62"/>
      <c r="AE407" s="106">
        <f>DATE(YEAR(Table2[[#This Row],[Data ultimo pagamento]]),MONTH(Table2[[#This Row],[Data ultimo pagamento]]), 1)</f>
        <v>42887</v>
      </c>
      <c r="AF407" s="106">
        <f>DATE(YEAR(Table2[[#This Row],[Data prossima scadenza]]),MONTH(Table2[[#This Row],[Data prossima scadenza]]), 1)</f>
        <v>43009</v>
      </c>
      <c r="AG407" s="33">
        <f>IFERROR(Table2[[#This Row],[Importo annuale]]*VLOOKUP(Table2[[#This Row],[Ramo]],RAMI_POLIZZA,2,FALSE),0)</f>
        <v>48.983999999999995</v>
      </c>
      <c r="AH407" s="65" t="s">
        <v>113</v>
      </c>
      <c r="AI407" s="63" t="str">
        <f>IFERROR(VLOOKUP(Table2[[#This Row],[Contraente]],Table1[[Nome/Ragione sociale]:[Checkbox selezionato]],2,FALSE),"-")</f>
        <v>TORRE DE' NEGRI</v>
      </c>
      <c r="AJ407" s="63">
        <f>IFERROR(VLOOKUP(Table2[[#This Row],[Contraente]],Table1[[Nome/Ragione sociale]:[Checkbox selezionato]],3,FALSE),"-")</f>
        <v>3480566652</v>
      </c>
      <c r="AK407" s="63">
        <f>IFERROR(VLOOKUP(Table2[[#This Row],[Contraente]],Table1[[Nome/Ragione sociale]:[Checkbox selezionato]],4,FALSE),"-")</f>
        <v>0</v>
      </c>
      <c r="AL407" s="63" t="str">
        <f>IFERROR(VLOOKUP(Table2[[#This Row],[Contraente]],Table1[[Nome/Ragione sociale]:[Checkbox selezionato]],5,FALSE),"-")</f>
        <v>LUSSIENA</v>
      </c>
      <c r="AM407" s="62">
        <f>IFERROR(VLOOKUP(Table2[[#This Row],[Contraente]],Table1[[Nome/Ragione sociale]:[Checkbox selezionato]],6,FALSE),"-")</f>
        <v>27399</v>
      </c>
      <c r="AN407" s="63" t="str">
        <f>IFERROR(VLOOKUP(Table2[[#This Row],[Contraente]],Table1[[Nome/Ragione sociale]:[Checkbox selezionato]],7,FALSE),"-")</f>
        <v>papies@libero.it</v>
      </c>
      <c r="AO407" s="63">
        <f>IFERROR(VLOOKUP(Table2[[#This Row],[Contraente]],Table1[[Nome/Ragione sociale]:[Checkbox selezionato]],8,FALSE),"-")</f>
        <v>0</v>
      </c>
      <c r="AP407" s="63">
        <f>IFERROR(VLOOKUP(Table2[[#This Row],[Contraente]],Table1[[Nome/Ragione sociale]:[Checkbox selezionato]],10,FALSE),"-")</f>
        <v>3480566652</v>
      </c>
      <c r="AQ407" s="63" t="str">
        <f>IFERROR(VLOOKUP(Table2[[#This Row],[Contraente]],Table1[[Nome/Ragione sociale]:[Checkbox selezionato]],11,FALSE),"-")</f>
        <v>SI</v>
      </c>
      <c r="AR407" s="63" t="str">
        <f>IFERROR(VLOOKUP(Table2[[#This Row],[Contraente]],Table1[[Nome/Ragione sociale]:[Checkbox selezionato]],12,FALSE),"-")</f>
        <v>SI</v>
      </c>
    </row>
    <row r="408" spans="1:44" ht="30" hidden="1" customHeight="1" x14ac:dyDescent="0.25">
      <c r="A408" s="60" t="str">
        <f>UPPER(LEFT(Table2[[#This Row],[Contraente]],1))</f>
        <v>D</v>
      </c>
      <c r="B408" s="60" t="s">
        <v>1634</v>
      </c>
      <c r="C408" s="81" t="s">
        <v>605</v>
      </c>
      <c r="D408" s="81" t="s">
        <v>37</v>
      </c>
      <c r="E408" s="86">
        <v>106996454</v>
      </c>
      <c r="F408" s="64">
        <v>42902</v>
      </c>
      <c r="G408" s="64">
        <f>IFERROR(CALCOLASCADENZA(Table2[[#This Row],[Data attivazione]],Table2[[#This Row],[Rateizzazione]],Table2[[#This Row],[Data ultimo pagamento]],Table2[[#This Row],[Data prossima scadenza manuale]]),"-")</f>
        <v>42988</v>
      </c>
      <c r="H408" s="67" t="s">
        <v>31</v>
      </c>
      <c r="I408" s="67" t="s">
        <v>1748</v>
      </c>
      <c r="J408" s="33">
        <v>100</v>
      </c>
      <c r="K408" s="88">
        <v>600</v>
      </c>
      <c r="L408" s="88">
        <v>1310</v>
      </c>
      <c r="M408" s="67" t="s">
        <v>44</v>
      </c>
      <c r="N408" s="67" t="s">
        <v>51</v>
      </c>
      <c r="O408" s="27" t="s">
        <v>1631</v>
      </c>
      <c r="P408" s="33" t="s">
        <v>22</v>
      </c>
      <c r="Q408" s="60">
        <f>IFERROR(IF(12 / VLOOKUP(Table2[[#This Row],[Rateizzazione]],TIPI_RATEIZZAZIONI,2,FALSE) &gt;=1,  IF(Table2[[#This Row],[Data attivazione]] = "","-",MONTH(Table2[[#This Row],[Data attivazione]])),"-"),"-")</f>
        <v>3</v>
      </c>
      <c r="R4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8" s="67" t="s">
        <v>2</v>
      </c>
      <c r="V408" s="62"/>
      <c r="W408" s="64">
        <v>42804</v>
      </c>
      <c r="X408" s="29">
        <f>DATE(YEAR(Table2[[#This Row],[Data attivazione]])+VLOOKUP(Table2[[#This Row],[Durata]],VALORE_DURATA,2,FALSE),MONTH(Table2[[#This Row],[Data attivazione]]),DAY(Table2[[#This Row],[Data attivazione]]))</f>
        <v>43169</v>
      </c>
      <c r="Y408" s="65"/>
      <c r="Z408" s="61"/>
      <c r="AA408" s="64" t="s">
        <v>85</v>
      </c>
      <c r="AB408" s="29" t="str">
        <f>IF(Table2[[#This Row],[Data ultimo versamento temp]]=0/1/1900,"-",Table2[[#This Row],[Data ultimo versamento temp]])</f>
        <v>-</v>
      </c>
      <c r="AC408" s="29">
        <f t="array" ref="AC408">MAX(IF(TableVersamenti[Polizza]=Table2[[#This Row],[Polizza]],TableVersamenti[Data prevista versamento],"-"))</f>
        <v>0</v>
      </c>
      <c r="AD408" s="62"/>
      <c r="AE408" s="106">
        <f>DATE(YEAR(Table2[[#This Row],[Data ultimo pagamento]]),MONTH(Table2[[#This Row],[Data ultimo pagamento]]), 1)</f>
        <v>42887</v>
      </c>
      <c r="AF408" s="106">
        <f>DATE(YEAR(Table2[[#This Row],[Data prossima scadenza]]),MONTH(Table2[[#This Row],[Data prossima scadenza]]), 1)</f>
        <v>42979</v>
      </c>
      <c r="AG408" s="33">
        <f>IFERROR(Table2[[#This Row],[Importo annuale]]*VLOOKUP(Table2[[#This Row],[Ramo]],RAMI_POLIZZA,2,FALSE),0)</f>
        <v>68.11999999999999</v>
      </c>
      <c r="AH408" s="65" t="s">
        <v>113</v>
      </c>
      <c r="AI408" s="63" t="str">
        <f>IFERROR(VLOOKUP(Table2[[#This Row],[Contraente]],Table1[[Nome/Ragione sociale]:[Checkbox selezionato]],2,FALSE),"-")</f>
        <v>BELGIOIOSO</v>
      </c>
      <c r="AJ408" s="63">
        <f>IFERROR(VLOOKUP(Table2[[#This Row],[Contraente]],Table1[[Nome/Ragione sociale]:[Checkbox selezionato]],3,FALSE),"-")</f>
        <v>3338731043</v>
      </c>
      <c r="AK408" s="63">
        <f>IFERROR(VLOOKUP(Table2[[#This Row],[Contraente]],Table1[[Nome/Ragione sociale]:[Checkbox selezionato]],4,FALSE),"-")</f>
        <v>0</v>
      </c>
      <c r="AL408" s="63" t="str">
        <f>IFERROR(VLOOKUP(Table2[[#This Row],[Contraente]],Table1[[Nome/Ragione sociale]:[Checkbox selezionato]],5,FALSE),"-")</f>
        <v>DIGIA</v>
      </c>
      <c r="AM408" s="62">
        <f>IFERROR(VLOOKUP(Table2[[#This Row],[Contraente]],Table1[[Nome/Ragione sociale]:[Checkbox selezionato]],6,FALSE),"-")</f>
        <v>30671</v>
      </c>
      <c r="AN408" s="63" t="str">
        <f>IFERROR(VLOOKUP(Table2[[#This Row],[Contraente]],Table1[[Nome/Ragione sociale]:[Checkbox selezionato]],7,FALSE),"-")</f>
        <v>papies@libero.it</v>
      </c>
      <c r="AO408" s="63">
        <f>IFERROR(VLOOKUP(Table2[[#This Row],[Contraente]],Table1[[Nome/Ragione sociale]:[Checkbox selezionato]],8,FALSE),"-")</f>
        <v>0</v>
      </c>
      <c r="AP408" s="63">
        <f>IFERROR(VLOOKUP(Table2[[#This Row],[Contraente]],Table1[[Nome/Ragione sociale]:[Checkbox selezionato]],10,FALSE),"-")</f>
        <v>3338731043</v>
      </c>
      <c r="AQ408" s="63" t="str">
        <f>IFERROR(VLOOKUP(Table2[[#This Row],[Contraente]],Table1[[Nome/Ragione sociale]:[Checkbox selezionato]],11,FALSE),"-")</f>
        <v>SI</v>
      </c>
      <c r="AR408" s="63" t="str">
        <f>IFERROR(VLOOKUP(Table2[[#This Row],[Contraente]],Table1[[Nome/Ragione sociale]:[Checkbox selezionato]],12,FALSE),"-")</f>
        <v>SI</v>
      </c>
    </row>
    <row r="409" spans="1:44" ht="30" hidden="1" customHeight="1" x14ac:dyDescent="0.25">
      <c r="A409" s="60" t="str">
        <f>UPPER(LEFT(Table2[[#This Row],[Contraente]],1))</f>
        <v>D</v>
      </c>
      <c r="B409" s="60" t="s">
        <v>1634</v>
      </c>
      <c r="C409" s="81" t="s">
        <v>605</v>
      </c>
      <c r="D409" s="81" t="s">
        <v>37</v>
      </c>
      <c r="E409" s="86">
        <v>107053871</v>
      </c>
      <c r="F409" s="64">
        <v>42916</v>
      </c>
      <c r="G409" s="64">
        <f>IFERROR(CALCOLASCADENZA(Table2[[#This Row],[Data attivazione]],Table2[[#This Row],[Rateizzazione]],Table2[[#This Row],[Data ultimo pagamento]],Table2[[#This Row],[Data prossima scadenza manuale]]),"-")</f>
        <v>43099</v>
      </c>
      <c r="H409" s="67" t="s">
        <v>31</v>
      </c>
      <c r="I409" s="67" t="s">
        <v>1776</v>
      </c>
      <c r="J409" s="33">
        <f>IFERROR(Table2[[#This Row],[Importo annuale]]/(12/VLOOKUP(Table2[[#This Row],[Rateizzazione]],TIPI_RATEIZZAZIONI,2,FALSE)),"-")</f>
        <v>450</v>
      </c>
      <c r="K409" s="88">
        <v>450</v>
      </c>
      <c r="L409" s="88">
        <v>900</v>
      </c>
      <c r="M409" s="67" t="s">
        <v>43</v>
      </c>
      <c r="N409" s="67" t="s">
        <v>52</v>
      </c>
      <c r="O409" s="27" t="s">
        <v>1631</v>
      </c>
      <c r="P409" s="33" t="s">
        <v>22</v>
      </c>
      <c r="Q409" s="60">
        <f>IFERROR(IF(12 / VLOOKUP(Table2[[#This Row],[Rateizzazione]],TIPI_RATEIZZAZIONI,2,FALSE) &gt;=1,  IF(Table2[[#This Row],[Data attivazione]] = "","-",MONTH(Table2[[#This Row],[Data attivazione]])),"-"),"-")</f>
        <v>6</v>
      </c>
      <c r="R4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9" s="67" t="s">
        <v>2</v>
      </c>
      <c r="V409" s="62"/>
      <c r="W409" s="64">
        <v>42916</v>
      </c>
      <c r="X409" s="29">
        <f>DATE(YEAR(Table2[[#This Row],[Data attivazione]])+VLOOKUP(Table2[[#This Row],[Durata]],VALORE_DURATA,2,FALSE),MONTH(Table2[[#This Row],[Data attivazione]]),DAY(Table2[[#This Row],[Data attivazione]]))</f>
        <v>43281</v>
      </c>
      <c r="Y409" s="65"/>
      <c r="Z409" s="61"/>
      <c r="AA409" s="64" t="s">
        <v>85</v>
      </c>
      <c r="AB409" s="29" t="str">
        <f>IF(Table2[[#This Row],[Data ultimo versamento temp]]=0/1/1900,"-",Table2[[#This Row],[Data ultimo versamento temp]])</f>
        <v>-</v>
      </c>
      <c r="AC409" s="29">
        <f t="array" ref="AC409">MAX(IF(TableVersamenti[Polizza]=Table2[[#This Row],[Polizza]],TableVersamenti[Data prevista versamento],"-"))</f>
        <v>0</v>
      </c>
      <c r="AD409" s="62"/>
      <c r="AE409" s="106">
        <f>DATE(YEAR(Table2[[#This Row],[Data ultimo pagamento]]),MONTH(Table2[[#This Row],[Data ultimo pagamento]]), 1)</f>
        <v>42887</v>
      </c>
      <c r="AF409" s="106">
        <f>DATE(YEAR(Table2[[#This Row],[Data prossima scadenza]]),MONTH(Table2[[#This Row],[Data prossima scadenza]]), 1)</f>
        <v>43070</v>
      </c>
      <c r="AG409" s="33">
        <f>IFERROR(Table2[[#This Row],[Importo annuale]]*VLOOKUP(Table2[[#This Row],[Ramo]],RAMI_POLIZZA,2,FALSE),0)</f>
        <v>46.8</v>
      </c>
      <c r="AH409" s="65" t="s">
        <v>113</v>
      </c>
      <c r="AI409" s="63" t="str">
        <f>IFERROR(VLOOKUP(Table2[[#This Row],[Contraente]],Table1[[Nome/Ragione sociale]:[Checkbox selezionato]],2,FALSE),"-")</f>
        <v>BELGIOIOSO</v>
      </c>
      <c r="AJ409" s="63">
        <f>IFERROR(VLOOKUP(Table2[[#This Row],[Contraente]],Table1[[Nome/Ragione sociale]:[Checkbox selezionato]],3,FALSE),"-")</f>
        <v>3338731043</v>
      </c>
      <c r="AK409" s="63">
        <f>IFERROR(VLOOKUP(Table2[[#This Row],[Contraente]],Table1[[Nome/Ragione sociale]:[Checkbox selezionato]],4,FALSE),"-")</f>
        <v>0</v>
      </c>
      <c r="AL409" s="63" t="str">
        <f>IFERROR(VLOOKUP(Table2[[#This Row],[Contraente]],Table1[[Nome/Ragione sociale]:[Checkbox selezionato]],5,FALSE),"-")</f>
        <v>DIGIA</v>
      </c>
      <c r="AM409" s="62">
        <f>IFERROR(VLOOKUP(Table2[[#This Row],[Contraente]],Table1[[Nome/Ragione sociale]:[Checkbox selezionato]],6,FALSE),"-")</f>
        <v>30671</v>
      </c>
      <c r="AN409" s="63" t="str">
        <f>IFERROR(VLOOKUP(Table2[[#This Row],[Contraente]],Table1[[Nome/Ragione sociale]:[Checkbox selezionato]],7,FALSE),"-")</f>
        <v>papies@libero.it</v>
      </c>
      <c r="AO409" s="63">
        <f>IFERROR(VLOOKUP(Table2[[#This Row],[Contraente]],Table1[[Nome/Ragione sociale]:[Checkbox selezionato]],8,FALSE),"-")</f>
        <v>0</v>
      </c>
      <c r="AP409" s="63">
        <f>IFERROR(VLOOKUP(Table2[[#This Row],[Contraente]],Table1[[Nome/Ragione sociale]:[Checkbox selezionato]],10,FALSE),"-")</f>
        <v>3338731043</v>
      </c>
      <c r="AQ409" s="63" t="str">
        <f>IFERROR(VLOOKUP(Table2[[#This Row],[Contraente]],Table1[[Nome/Ragione sociale]:[Checkbox selezionato]],11,FALSE),"-")</f>
        <v>SI</v>
      </c>
      <c r="AR409" s="63" t="str">
        <f>IFERROR(VLOOKUP(Table2[[#This Row],[Contraente]],Table1[[Nome/Ragione sociale]:[Checkbox selezionato]],12,FALSE),"-")</f>
        <v>SI</v>
      </c>
    </row>
    <row r="410" spans="1:44" ht="30" hidden="1" customHeight="1" x14ac:dyDescent="0.25">
      <c r="A410" s="60" t="str">
        <f>UPPER(LEFT(Table2[[#This Row],[Contraente]],1))</f>
        <v>D</v>
      </c>
      <c r="B410" s="60" t="s">
        <v>1634</v>
      </c>
      <c r="C410" s="81" t="s">
        <v>605</v>
      </c>
      <c r="D410" s="81" t="s">
        <v>37</v>
      </c>
      <c r="E410" s="86">
        <v>105417855</v>
      </c>
      <c r="F410" s="64">
        <v>42808</v>
      </c>
      <c r="G410" s="64">
        <f>IFERROR(CALCOLASCADENZA(Table2[[#This Row],[Data attivazione]],Table2[[#This Row],[Rateizzazione]],Table2[[#This Row],[Data ultimo pagamento]],Table2[[#This Row],[Data prossima scadenza manuale]]),"-")</f>
        <v>43000</v>
      </c>
      <c r="H410" s="67" t="s">
        <v>30</v>
      </c>
      <c r="I410" s="67" t="s">
        <v>113</v>
      </c>
      <c r="J410" s="33">
        <f>IFERROR(Table2[[#This Row],[Importo annuale]]/(12/VLOOKUP(Table2[[#This Row],[Rateizzazione]],TIPI_RATEIZZAZIONI,2,FALSE)),"-")</f>
        <v>240</v>
      </c>
      <c r="K410" s="88">
        <v>240</v>
      </c>
      <c r="L410" s="88">
        <v>480</v>
      </c>
      <c r="M410" s="67" t="s">
        <v>44</v>
      </c>
      <c r="N410" s="67" t="s">
        <v>51</v>
      </c>
      <c r="O410" s="27" t="s">
        <v>1631</v>
      </c>
      <c r="P410" s="33" t="s">
        <v>22</v>
      </c>
      <c r="Q410" s="60">
        <f>IFERROR(IF(12 / VLOOKUP(Table2[[#This Row],[Rateizzazione]],TIPI_RATEIZZAZIONI,2,FALSE) &gt;=1,  IF(Table2[[#This Row],[Data attivazione]] = "","-",MONTH(Table2[[#This Row],[Data attivazione]])),"-"),"-")</f>
        <v>3</v>
      </c>
      <c r="R4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0" s="67" t="s">
        <v>2</v>
      </c>
      <c r="V410" s="62"/>
      <c r="W410" s="64">
        <v>42816</v>
      </c>
      <c r="X410" s="29">
        <f>DATE(YEAR(Table2[[#This Row],[Data attivazione]])+VLOOKUP(Table2[[#This Row],[Durata]],VALORE_DURATA,2,FALSE),MONTH(Table2[[#This Row],[Data attivazione]]),DAY(Table2[[#This Row],[Data attivazione]]))</f>
        <v>43181</v>
      </c>
      <c r="Y410" s="65"/>
      <c r="Z410" s="61"/>
      <c r="AA410" s="64" t="s">
        <v>85</v>
      </c>
      <c r="AB410" s="29" t="str">
        <f>IF(Table2[[#This Row],[Data ultimo versamento temp]]=0/1/1900,"-",Table2[[#This Row],[Data ultimo versamento temp]])</f>
        <v>-</v>
      </c>
      <c r="AC410" s="29">
        <f t="array" ref="AC410">MAX(IF(TableVersamenti[Polizza]=Table2[[#This Row],[Polizza]],TableVersamenti[Data prevista versamento],"-"))</f>
        <v>0</v>
      </c>
      <c r="AD410" s="62"/>
      <c r="AE410" s="106">
        <f>DATE(YEAR(Table2[[#This Row],[Data ultimo pagamento]]),MONTH(Table2[[#This Row],[Data ultimo pagamento]]), 1)</f>
        <v>42795</v>
      </c>
      <c r="AF410" s="106">
        <f>DATE(YEAR(Table2[[#This Row],[Data prossima scadenza]]),MONTH(Table2[[#This Row],[Data prossima scadenza]]), 1)</f>
        <v>42979</v>
      </c>
      <c r="AG410" s="33">
        <f>IFERROR(Table2[[#This Row],[Importo annuale]]*VLOOKUP(Table2[[#This Row],[Ramo]],RAMI_POLIZZA,2,FALSE),0)</f>
        <v>55.2</v>
      </c>
      <c r="AH410" s="65" t="s">
        <v>113</v>
      </c>
      <c r="AI410" s="63" t="str">
        <f>IFERROR(VLOOKUP(Table2[[#This Row],[Contraente]],Table1[[Nome/Ragione sociale]:[Checkbox selezionato]],2,FALSE),"-")</f>
        <v>BELGIOIOSO</v>
      </c>
      <c r="AJ410" s="63">
        <f>IFERROR(VLOOKUP(Table2[[#This Row],[Contraente]],Table1[[Nome/Ragione sociale]:[Checkbox selezionato]],3,FALSE),"-")</f>
        <v>3338731043</v>
      </c>
      <c r="AK410" s="63">
        <f>IFERROR(VLOOKUP(Table2[[#This Row],[Contraente]],Table1[[Nome/Ragione sociale]:[Checkbox selezionato]],4,FALSE),"-")</f>
        <v>0</v>
      </c>
      <c r="AL410" s="63" t="str">
        <f>IFERROR(VLOOKUP(Table2[[#This Row],[Contraente]],Table1[[Nome/Ragione sociale]:[Checkbox selezionato]],5,FALSE),"-")</f>
        <v>DIGIA</v>
      </c>
      <c r="AM410" s="62">
        <f>IFERROR(VLOOKUP(Table2[[#This Row],[Contraente]],Table1[[Nome/Ragione sociale]:[Checkbox selezionato]],6,FALSE),"-")</f>
        <v>30671</v>
      </c>
      <c r="AN410" s="63" t="str">
        <f>IFERROR(VLOOKUP(Table2[[#This Row],[Contraente]],Table1[[Nome/Ragione sociale]:[Checkbox selezionato]],7,FALSE),"-")</f>
        <v>papies@libero.it</v>
      </c>
      <c r="AO410" s="63">
        <f>IFERROR(VLOOKUP(Table2[[#This Row],[Contraente]],Table1[[Nome/Ragione sociale]:[Checkbox selezionato]],8,FALSE),"-")</f>
        <v>0</v>
      </c>
      <c r="AP410" s="63">
        <f>IFERROR(VLOOKUP(Table2[[#This Row],[Contraente]],Table1[[Nome/Ragione sociale]:[Checkbox selezionato]],10,FALSE),"-")</f>
        <v>3338731043</v>
      </c>
      <c r="AQ410" s="63" t="str">
        <f>IFERROR(VLOOKUP(Table2[[#This Row],[Contraente]],Table1[[Nome/Ragione sociale]:[Checkbox selezionato]],11,FALSE),"-")</f>
        <v>SI</v>
      </c>
      <c r="AR410" s="63" t="str">
        <f>IFERROR(VLOOKUP(Table2[[#This Row],[Contraente]],Table1[[Nome/Ragione sociale]:[Checkbox selezionato]],12,FALSE),"-")</f>
        <v>SI</v>
      </c>
    </row>
    <row r="411" spans="1:44" ht="30" hidden="1" customHeight="1" x14ac:dyDescent="0.25">
      <c r="A411" s="60" t="str">
        <f>UPPER(LEFT(Table2[[#This Row],[Contraente]],1))</f>
        <v>D</v>
      </c>
      <c r="B411" s="60" t="s">
        <v>1634</v>
      </c>
      <c r="C411" s="81" t="s">
        <v>605</v>
      </c>
      <c r="D411" s="81" t="s">
        <v>37</v>
      </c>
      <c r="E411" s="86">
        <v>1085973</v>
      </c>
      <c r="F411" s="64">
        <v>42808</v>
      </c>
      <c r="G411" s="64">
        <f>IFERROR(CALCOLASCADENZA(Table2[[#This Row],[Data attivazione]],Table2[[#This Row],[Rateizzazione]],Table2[[#This Row],[Data ultimo pagamento]],Table2[[#This Row],[Data prossima scadenza manuale]]),"-")</f>
        <v>42992</v>
      </c>
      <c r="H411" s="67" t="s">
        <v>32</v>
      </c>
      <c r="I411" s="67" t="s">
        <v>113</v>
      </c>
      <c r="J411" s="33">
        <f>IFERROR(Table2[[#This Row],[Importo annuale]]/(12/VLOOKUP(Table2[[#This Row],[Rateizzazione]],TIPI_RATEIZZAZIONI,2,FALSE)),"-")</f>
        <v>102.49</v>
      </c>
      <c r="K411" s="88">
        <v>102.49</v>
      </c>
      <c r="L411" s="88">
        <v>204.98</v>
      </c>
      <c r="M411" s="67" t="s">
        <v>44</v>
      </c>
      <c r="N411" s="67" t="s">
        <v>52</v>
      </c>
      <c r="O411" s="27" t="s">
        <v>1631</v>
      </c>
      <c r="P411" s="33" t="s">
        <v>22</v>
      </c>
      <c r="Q411" s="60">
        <f>IFERROR(IF(12 / VLOOKUP(Table2[[#This Row],[Rateizzazione]],TIPI_RATEIZZAZIONI,2,FALSE) &gt;=1,  IF(Table2[[#This Row],[Data attivazione]] = "","-",MONTH(Table2[[#This Row],[Data attivazione]])),"-"),"-")</f>
        <v>9</v>
      </c>
      <c r="R4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1" s="67" t="s">
        <v>2</v>
      </c>
      <c r="V411" s="62"/>
      <c r="W411" s="64">
        <v>42627</v>
      </c>
      <c r="X411" s="29">
        <f>DATE(YEAR(Table2[[#This Row],[Data attivazione]])+VLOOKUP(Table2[[#This Row],[Durata]],VALORE_DURATA,2,FALSE),MONTH(Table2[[#This Row],[Data attivazione]]),DAY(Table2[[#This Row],[Data attivazione]]))</f>
        <v>42992</v>
      </c>
      <c r="Y411" s="65"/>
      <c r="Z411" s="61"/>
      <c r="AA411" s="64" t="s">
        <v>85</v>
      </c>
      <c r="AB411" s="29" t="str">
        <f>IF(Table2[[#This Row],[Data ultimo versamento temp]]=0/1/1900,"-",Table2[[#This Row],[Data ultimo versamento temp]])</f>
        <v>-</v>
      </c>
      <c r="AC411" s="29">
        <f t="array" ref="AC411">MAX(IF(TableVersamenti[Polizza]=Table2[[#This Row],[Polizza]],TableVersamenti[Data prevista versamento],"-"))</f>
        <v>0</v>
      </c>
      <c r="AD411" s="62"/>
      <c r="AE411" s="106">
        <f>DATE(YEAR(Table2[[#This Row],[Data ultimo pagamento]]),MONTH(Table2[[#This Row],[Data ultimo pagamento]]), 1)</f>
        <v>42795</v>
      </c>
      <c r="AF411" s="106">
        <f>DATE(YEAR(Table2[[#This Row],[Data prossima scadenza]]),MONTH(Table2[[#This Row],[Data prossima scadenza]]), 1)</f>
        <v>42979</v>
      </c>
      <c r="AG411" s="33">
        <f>IFERROR(Table2[[#This Row],[Importo annuale]]*VLOOKUP(Table2[[#This Row],[Ramo]],RAMI_POLIZZA,2,FALSE),0)</f>
        <v>3.0746999999999995</v>
      </c>
      <c r="AH411" s="65" t="s">
        <v>113</v>
      </c>
      <c r="AI411" s="63" t="str">
        <f>IFERROR(VLOOKUP(Table2[[#This Row],[Contraente]],Table1[[Nome/Ragione sociale]:[Checkbox selezionato]],2,FALSE),"-")</f>
        <v>BELGIOIOSO</v>
      </c>
      <c r="AJ411" s="63">
        <f>IFERROR(VLOOKUP(Table2[[#This Row],[Contraente]],Table1[[Nome/Ragione sociale]:[Checkbox selezionato]],3,FALSE),"-")</f>
        <v>3338731043</v>
      </c>
      <c r="AK411" s="63">
        <f>IFERROR(VLOOKUP(Table2[[#This Row],[Contraente]],Table1[[Nome/Ragione sociale]:[Checkbox selezionato]],4,FALSE),"-")</f>
        <v>0</v>
      </c>
      <c r="AL411" s="63" t="str">
        <f>IFERROR(VLOOKUP(Table2[[#This Row],[Contraente]],Table1[[Nome/Ragione sociale]:[Checkbox selezionato]],5,FALSE),"-")</f>
        <v>DIGIA</v>
      </c>
      <c r="AM411" s="62">
        <f>IFERROR(VLOOKUP(Table2[[#This Row],[Contraente]],Table1[[Nome/Ragione sociale]:[Checkbox selezionato]],6,FALSE),"-")</f>
        <v>30671</v>
      </c>
      <c r="AN411" s="63" t="str">
        <f>IFERROR(VLOOKUP(Table2[[#This Row],[Contraente]],Table1[[Nome/Ragione sociale]:[Checkbox selezionato]],7,FALSE),"-")</f>
        <v>papies@libero.it</v>
      </c>
      <c r="AO411" s="63">
        <f>IFERROR(VLOOKUP(Table2[[#This Row],[Contraente]],Table1[[Nome/Ragione sociale]:[Checkbox selezionato]],8,FALSE),"-")</f>
        <v>0</v>
      </c>
      <c r="AP411" s="63">
        <f>IFERROR(VLOOKUP(Table2[[#This Row],[Contraente]],Table1[[Nome/Ragione sociale]:[Checkbox selezionato]],10,FALSE),"-")</f>
        <v>3338731043</v>
      </c>
      <c r="AQ411" s="63" t="str">
        <f>IFERROR(VLOOKUP(Table2[[#This Row],[Contraente]],Table1[[Nome/Ragione sociale]:[Checkbox selezionato]],11,FALSE),"-")</f>
        <v>SI</v>
      </c>
      <c r="AR411" s="63" t="str">
        <f>IFERROR(VLOOKUP(Table2[[#This Row],[Contraente]],Table1[[Nome/Ragione sociale]:[Checkbox selezionato]],12,FALSE),"-")</f>
        <v>SI</v>
      </c>
    </row>
    <row r="412" spans="1:44" ht="30" hidden="1" customHeight="1" x14ac:dyDescent="0.25">
      <c r="A412" s="60" t="str">
        <f>UPPER(LEFT(Table2[[#This Row],[Contraente]],1))</f>
        <v>D</v>
      </c>
      <c r="B412" s="60" t="s">
        <v>1634</v>
      </c>
      <c r="C412" s="81" t="s">
        <v>602</v>
      </c>
      <c r="D412" s="81" t="s">
        <v>37</v>
      </c>
      <c r="E412" s="86">
        <v>104936063</v>
      </c>
      <c r="F412" s="64">
        <v>42475</v>
      </c>
      <c r="G412" s="64">
        <f>IFERROR(CALCOLASCADENZA(Table2[[#This Row],[Data attivazione]],Table2[[#This Row],[Rateizzazione]],Table2[[#This Row],[Data ultimo pagamento]],Table2[[#This Row],[Data prossima scadenza manuale]]),"-")</f>
        <v>42651</v>
      </c>
      <c r="H412" s="67" t="s">
        <v>31</v>
      </c>
      <c r="I412" s="67" t="s">
        <v>1286</v>
      </c>
      <c r="J412" s="33">
        <f>IFERROR(Table2[[#This Row],[Importo annuale]]/(12/VLOOKUP(Table2[[#This Row],[Rateizzazione]],TIPI_RATEIZZAZIONI,2,FALSE)),"-")</f>
        <v>481</v>
      </c>
      <c r="K412" s="88"/>
      <c r="L412" s="88">
        <v>962</v>
      </c>
      <c r="M412" s="67" t="s">
        <v>43</v>
      </c>
      <c r="N412" s="67" t="s">
        <v>51</v>
      </c>
      <c r="O412" s="27" t="s">
        <v>1631</v>
      </c>
      <c r="P412" s="33" t="s">
        <v>22</v>
      </c>
      <c r="Q412" s="60">
        <f>IFERROR(IF(12 / VLOOKUP(Table2[[#This Row],[Rateizzazione]],TIPI_RATEIZZAZIONI,2,FALSE) &gt;=1,  IF(Table2[[#This Row],[Data attivazione]] = "","-",MONTH(Table2[[#This Row],[Data attivazione]])),"-"),"-")</f>
        <v>10</v>
      </c>
      <c r="R4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2" s="67" t="s">
        <v>2</v>
      </c>
      <c r="V412" s="62"/>
      <c r="W412" s="64">
        <v>42285</v>
      </c>
      <c r="X412" s="29">
        <f>DATE(YEAR(Table2[[#This Row],[Data attivazione]])+VLOOKUP(Table2[[#This Row],[Durata]],VALORE_DURATA,2,FALSE),MONTH(Table2[[#This Row],[Data attivazione]]),DAY(Table2[[#This Row],[Data attivazione]]))</f>
        <v>42651</v>
      </c>
      <c r="Y412" s="65"/>
      <c r="Z412" s="61"/>
      <c r="AA412" s="64" t="s">
        <v>88</v>
      </c>
      <c r="AB412" s="29" t="str">
        <f>IF(Table2[[#This Row],[Data ultimo versamento temp]]=0/1/1900,"-",Table2[[#This Row],[Data ultimo versamento temp]])</f>
        <v>-</v>
      </c>
      <c r="AC412" s="29">
        <f t="array" ref="AC412">MAX(IF(TableVersamenti[Polizza]=Table2[[#This Row],[Polizza]],TableVersamenti[Data prevista versamento],"-"))</f>
        <v>0</v>
      </c>
      <c r="AD412" s="62"/>
      <c r="AE412" s="106">
        <f>DATE(YEAR(Table2[[#This Row],[Data ultimo pagamento]]),MONTH(Table2[[#This Row],[Data ultimo pagamento]]), 1)</f>
        <v>42461</v>
      </c>
      <c r="AF412" s="106">
        <f>DATE(YEAR(Table2[[#This Row],[Data prossima scadenza]]),MONTH(Table2[[#This Row],[Data prossima scadenza]]), 1)</f>
        <v>42644</v>
      </c>
      <c r="AG412" s="33">
        <f>IFERROR(Table2[[#This Row],[Importo annuale]]*VLOOKUP(Table2[[#This Row],[Ramo]],RAMI_POLIZZA,2,FALSE),0)</f>
        <v>50.024000000000001</v>
      </c>
      <c r="AH412" s="65" t="s">
        <v>113</v>
      </c>
      <c r="AI412" s="63" t="str">
        <f>IFERROR(VLOOKUP(Table2[[#This Row],[Contraente]],Table1[[Nome/Ragione sociale]:[Checkbox selezionato]],2,FALSE),"-")</f>
        <v>SOLOPACA</v>
      </c>
      <c r="AJ412" s="63">
        <f>IFERROR(VLOOKUP(Table2[[#This Row],[Contraente]],Table1[[Nome/Ragione sociale]:[Checkbox selezionato]],3,FALSE),"-")</f>
        <v>3466675675</v>
      </c>
      <c r="AK412" s="63">
        <f>IFERROR(VLOOKUP(Table2[[#This Row],[Contraente]],Table1[[Nome/Ragione sociale]:[Checkbox selezionato]],4,FALSE),"-")</f>
        <v>0</v>
      </c>
      <c r="AL412" s="63" t="str">
        <f>IFERROR(VLOOKUP(Table2[[#This Row],[Contraente]],Table1[[Nome/Ragione sociale]:[Checkbox selezionato]],5,FALSE),"-")</f>
        <v>FIGLIA</v>
      </c>
      <c r="AM412" s="62" t="str">
        <f>IFERROR(VLOOKUP(Table2[[#This Row],[Contraente]],Table1[[Nome/Ragione sociale]:[Checkbox selezionato]],6,FALSE),"-")</f>
        <v>-</v>
      </c>
      <c r="AN412" s="63" t="str">
        <f>IFERROR(VLOOKUP(Table2[[#This Row],[Contraente]],Table1[[Nome/Ragione sociale]:[Checkbox selezionato]],7,FALSE),"-")</f>
        <v>papies@email.it</v>
      </c>
      <c r="AO412" s="63">
        <f>IFERROR(VLOOKUP(Table2[[#This Row],[Contraente]],Table1[[Nome/Ragione sociale]:[Checkbox selezionato]],8,FALSE),"-")</f>
        <v>0</v>
      </c>
      <c r="AP412" s="63">
        <f>IFERROR(VLOOKUP(Table2[[#This Row],[Contraente]],Table1[[Nome/Ragione sociale]:[Checkbox selezionato]],10,FALSE),"-")</f>
        <v>3466675675</v>
      </c>
      <c r="AQ412" s="63" t="str">
        <f>IFERROR(VLOOKUP(Table2[[#This Row],[Contraente]],Table1[[Nome/Ragione sociale]:[Checkbox selezionato]],11,FALSE),"-")</f>
        <v>SI</v>
      </c>
      <c r="AR412" s="63" t="str">
        <f>IFERROR(VLOOKUP(Table2[[#This Row],[Contraente]],Table1[[Nome/Ragione sociale]:[Checkbox selezionato]],12,FALSE),"-")</f>
        <v>SI</v>
      </c>
    </row>
    <row r="413" spans="1:44" ht="30" hidden="1" customHeight="1" x14ac:dyDescent="0.25">
      <c r="A413" s="60" t="str">
        <f>UPPER(LEFT(Table2[[#This Row],[Contraente]],1))</f>
        <v>D</v>
      </c>
      <c r="B413" s="60" t="s">
        <v>1634</v>
      </c>
      <c r="C413" s="81" t="s">
        <v>607</v>
      </c>
      <c r="D413" s="81" t="s">
        <v>37</v>
      </c>
      <c r="E413" s="86">
        <v>106664162</v>
      </c>
      <c r="F413" s="64">
        <v>42818</v>
      </c>
      <c r="G413" s="64">
        <f>IFERROR(CALCOLASCADENZA(Table2[[#This Row],[Data attivazione]],Table2[[#This Row],[Rateizzazione]],Table2[[#This Row],[Data ultimo pagamento]],Table2[[#This Row],[Data prossima scadenza manuale]]),"-")</f>
        <v>43002</v>
      </c>
      <c r="H413" s="67" t="s">
        <v>31</v>
      </c>
      <c r="I413" s="67" t="s">
        <v>1287</v>
      </c>
      <c r="J413" s="33">
        <f>IFERROR(Table2[[#This Row],[Importo annuale]]/(12/VLOOKUP(Table2[[#This Row],[Rateizzazione]],TIPI_RATEIZZAZIONI,2,FALSE)),"-")</f>
        <v>330</v>
      </c>
      <c r="K413" s="88">
        <v>330</v>
      </c>
      <c r="L413" s="88">
        <v>660</v>
      </c>
      <c r="M413" s="67" t="s">
        <v>43</v>
      </c>
      <c r="N413" s="67" t="s">
        <v>52</v>
      </c>
      <c r="O413" s="27" t="s">
        <v>1631</v>
      </c>
      <c r="P413" s="33" t="s">
        <v>22</v>
      </c>
      <c r="Q413" s="60">
        <f>IFERROR(IF(12 / VLOOKUP(Table2[[#This Row],[Rateizzazione]],TIPI_RATEIZZAZIONI,2,FALSE) &gt;=1,  IF(Table2[[#This Row],[Data attivazione]] = "","-",MONTH(Table2[[#This Row],[Data attivazione]])),"-"),"-")</f>
        <v>9</v>
      </c>
      <c r="R4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3" s="67" t="s">
        <v>133</v>
      </c>
      <c r="V413" s="62"/>
      <c r="W413" s="64">
        <v>42637</v>
      </c>
      <c r="X413" s="29">
        <f>DATE(YEAR(Table2[[#This Row],[Data attivazione]])+VLOOKUP(Table2[[#This Row],[Durata]],VALORE_DURATA,2,FALSE),MONTH(Table2[[#This Row],[Data attivazione]]),DAY(Table2[[#This Row],[Data attivazione]]))</f>
        <v>43002</v>
      </c>
      <c r="Y413" s="65"/>
      <c r="Z413" s="61"/>
      <c r="AA413" s="64" t="s">
        <v>85</v>
      </c>
      <c r="AB413" s="29" t="str">
        <f>IF(Table2[[#This Row],[Data ultimo versamento temp]]=0/1/1900,"-",Table2[[#This Row],[Data ultimo versamento temp]])</f>
        <v>-</v>
      </c>
      <c r="AC413" s="29">
        <f t="array" ref="AC413">MAX(IF(TableVersamenti[Polizza]=Table2[[#This Row],[Polizza]],TableVersamenti[Data prevista versamento],"-"))</f>
        <v>0</v>
      </c>
      <c r="AD413" s="62"/>
      <c r="AE413" s="106">
        <f>DATE(YEAR(Table2[[#This Row],[Data ultimo pagamento]]),MONTH(Table2[[#This Row],[Data ultimo pagamento]]), 1)</f>
        <v>42795</v>
      </c>
      <c r="AF413" s="106">
        <f>DATE(YEAR(Table2[[#This Row],[Data prossima scadenza]]),MONTH(Table2[[#This Row],[Data prossima scadenza]]), 1)</f>
        <v>42979</v>
      </c>
      <c r="AG413" s="33">
        <f>IFERROR(Table2[[#This Row],[Importo annuale]]*VLOOKUP(Table2[[#This Row],[Ramo]],RAMI_POLIZZA,2,FALSE),0)</f>
        <v>34.32</v>
      </c>
      <c r="AH413" s="65" t="s">
        <v>113</v>
      </c>
      <c r="AI413" s="63" t="str">
        <f>IFERROR(VLOOKUP(Table2[[#This Row],[Contraente]],Table1[[Nome/Ragione sociale]:[Checkbox selezionato]],2,FALSE),"-")</f>
        <v>STRADELLA</v>
      </c>
      <c r="AJ413" s="63">
        <f>IFERROR(VLOOKUP(Table2[[#This Row],[Contraente]],Table1[[Nome/Ragione sociale]:[Checkbox selezionato]],3,FALSE),"-")</f>
        <v>0</v>
      </c>
      <c r="AK413" s="63">
        <f>IFERROR(VLOOKUP(Table2[[#This Row],[Contraente]],Table1[[Nome/Ragione sociale]:[Checkbox selezionato]],4,FALSE),"-")</f>
        <v>0</v>
      </c>
      <c r="AL413" s="63">
        <f>IFERROR(VLOOKUP(Table2[[#This Row],[Contraente]],Table1[[Nome/Ragione sociale]:[Checkbox selezionato]],5,FALSE),"-")</f>
        <v>0</v>
      </c>
      <c r="AM413" s="62" t="str">
        <f>IFERROR(VLOOKUP(Table2[[#This Row],[Contraente]],Table1[[Nome/Ragione sociale]:[Checkbox selezionato]],6,FALSE),"-")</f>
        <v>-</v>
      </c>
      <c r="AN413" s="63" t="str">
        <f>IFERROR(VLOOKUP(Table2[[#This Row],[Contraente]],Table1[[Nome/Ragione sociale]:[Checkbox selezionato]],7,FALSE),"-")</f>
        <v>papies@libero.it</v>
      </c>
      <c r="AO413" s="63">
        <f>IFERROR(VLOOKUP(Table2[[#This Row],[Contraente]],Table1[[Nome/Ragione sociale]:[Checkbox selezionato]],8,FALSE),"-")</f>
        <v>0</v>
      </c>
      <c r="AP413" s="63">
        <f>IFERROR(VLOOKUP(Table2[[#This Row],[Contraente]],Table1[[Nome/Ragione sociale]:[Checkbox selezionato]],10,FALSE),"-")</f>
        <v>0</v>
      </c>
      <c r="AQ413" s="63" t="str">
        <f>IFERROR(VLOOKUP(Table2[[#This Row],[Contraente]],Table1[[Nome/Ragione sociale]:[Checkbox selezionato]],11,FALSE),"-")</f>
        <v>SI</v>
      </c>
      <c r="AR413" s="63" t="str">
        <f>IFERROR(VLOOKUP(Table2[[#This Row],[Contraente]],Table1[[Nome/Ragione sociale]:[Checkbox selezionato]],12,FALSE),"-")</f>
        <v>SI</v>
      </c>
    </row>
    <row r="414" spans="1:44" ht="30" hidden="1" customHeight="1" x14ac:dyDescent="0.25">
      <c r="A414" s="60" t="str">
        <f>UPPER(LEFT(Table2[[#This Row],[Contraente]],1))</f>
        <v>D</v>
      </c>
      <c r="B414" s="60" t="s">
        <v>1634</v>
      </c>
      <c r="C414" s="81" t="s">
        <v>1715</v>
      </c>
      <c r="D414" s="81" t="s">
        <v>37</v>
      </c>
      <c r="E414" s="86">
        <v>106844253</v>
      </c>
      <c r="F414" s="64">
        <v>42865</v>
      </c>
      <c r="G414" s="64">
        <f>IFERROR(CALCOLASCADENZA(Table2[[#This Row],[Data attivazione]],Table2[[#This Row],[Rateizzazione]],Table2[[#This Row],[Data ultimo pagamento]],Table2[[#This Row],[Data prossima scadenza manuale]]),"-")</f>
        <v>43230</v>
      </c>
      <c r="H414" s="67" t="s">
        <v>31</v>
      </c>
      <c r="I414" s="67" t="s">
        <v>1749</v>
      </c>
      <c r="J414" s="33">
        <f>IFERROR(Table2[[#This Row],[Importo annuale]]/(12/VLOOKUP(Table2[[#This Row],[Rateizzazione]],TIPI_RATEIZZAZIONI,2,FALSE)),"-")</f>
        <v>590</v>
      </c>
      <c r="K414" s="88">
        <v>590</v>
      </c>
      <c r="L414" s="88">
        <v>590</v>
      </c>
      <c r="M414" s="67" t="s">
        <v>44</v>
      </c>
      <c r="N414" s="67" t="s">
        <v>52</v>
      </c>
      <c r="O414" s="27" t="s">
        <v>1631</v>
      </c>
      <c r="P414" s="33" t="s">
        <v>23</v>
      </c>
      <c r="Q414" s="60">
        <f>IFERROR(IF(12 / VLOOKUP(Table2[[#This Row],[Rateizzazione]],TIPI_RATEIZZAZIONI,2,FALSE) &gt;=1,  IF(Table2[[#This Row],[Data attivazione]] = "","-",MONTH(Table2[[#This Row],[Data attivazione]])),"-"),"-")</f>
        <v>5</v>
      </c>
      <c r="R4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4" s="67" t="s">
        <v>2</v>
      </c>
      <c r="V414" s="62"/>
      <c r="W414" s="64">
        <v>42865</v>
      </c>
      <c r="X414" s="29">
        <f>DATE(YEAR(Table2[[#This Row],[Data attivazione]])+VLOOKUP(Table2[[#This Row],[Durata]],VALORE_DURATA,2,FALSE),MONTH(Table2[[#This Row],[Data attivazione]]),DAY(Table2[[#This Row],[Data attivazione]]))</f>
        <v>43230</v>
      </c>
      <c r="Y414" s="65"/>
      <c r="Z414" s="61"/>
      <c r="AA414" s="64" t="s">
        <v>85</v>
      </c>
      <c r="AB414" s="29" t="str">
        <f>IF(Table2[[#This Row],[Data ultimo versamento temp]]=0/1/1900,"-",Table2[[#This Row],[Data ultimo versamento temp]])</f>
        <v>-</v>
      </c>
      <c r="AC414" s="29">
        <f t="array" ref="AC414">MAX(IF(TableVersamenti[Polizza]=Table2[[#This Row],[Polizza]],TableVersamenti[Data prevista versamento],"-"))</f>
        <v>0</v>
      </c>
      <c r="AD414" s="62"/>
      <c r="AE414" s="106">
        <f>DATE(YEAR(Table2[[#This Row],[Data ultimo pagamento]]),MONTH(Table2[[#This Row],[Data ultimo pagamento]]), 1)</f>
        <v>42856</v>
      </c>
      <c r="AF414" s="106">
        <f>DATE(YEAR(Table2[[#This Row],[Data prossima scadenza]]),MONTH(Table2[[#This Row],[Data prossima scadenza]]), 1)</f>
        <v>43221</v>
      </c>
      <c r="AG414" s="33">
        <f>IFERROR(Table2[[#This Row],[Importo annuale]]*VLOOKUP(Table2[[#This Row],[Ramo]],RAMI_POLIZZA,2,FALSE),0)</f>
        <v>30.68</v>
      </c>
      <c r="AH414" s="65" t="s">
        <v>113</v>
      </c>
      <c r="AI414" s="63" t="str">
        <f>IFERROR(VLOOKUP(Table2[[#This Row],[Contraente]],Table1[[Nome/Ragione sociale]:[Checkbox selezionato]],2,FALSE),"-")</f>
        <v>MIRADOLO TERME</v>
      </c>
      <c r="AJ414" s="63">
        <f>IFERROR(VLOOKUP(Table2[[#This Row],[Contraente]],Table1[[Nome/Ragione sociale]:[Checkbox selezionato]],3,FALSE),"-")</f>
        <v>0</v>
      </c>
      <c r="AK414" s="63">
        <f>IFERROR(VLOOKUP(Table2[[#This Row],[Contraente]],Table1[[Nome/Ragione sociale]:[Checkbox selezionato]],4,FALSE),"-")</f>
        <v>0</v>
      </c>
      <c r="AL414" s="63" t="str">
        <f>IFERROR(VLOOKUP(Table2[[#This Row],[Contraente]],Table1[[Nome/Ragione sociale]:[Checkbox selezionato]],5,FALSE),"-")</f>
        <v>MICHELE</v>
      </c>
      <c r="AM414" s="62">
        <f>IFERROR(VLOOKUP(Table2[[#This Row],[Contraente]],Table1[[Nome/Ragione sociale]:[Checkbox selezionato]],6,FALSE),"-")</f>
        <v>25130</v>
      </c>
      <c r="AN414" s="63" t="str">
        <f>IFERROR(VLOOKUP(Table2[[#This Row],[Contraente]],Table1[[Nome/Ragione sociale]:[Checkbox selezionato]],7,FALSE),"-")</f>
        <v>papies@libero.it</v>
      </c>
      <c r="AO414" s="63">
        <f>IFERROR(VLOOKUP(Table2[[#This Row],[Contraente]],Table1[[Nome/Ragione sociale]:[Checkbox selezionato]],8,FALSE),"-")</f>
        <v>0</v>
      </c>
      <c r="AP414" s="63">
        <f>IFERROR(VLOOKUP(Table2[[#This Row],[Contraente]],Table1[[Nome/Ragione sociale]:[Checkbox selezionato]],10,FALSE),"-")</f>
        <v>0</v>
      </c>
      <c r="AQ414" s="63" t="str">
        <f>IFERROR(VLOOKUP(Table2[[#This Row],[Contraente]],Table1[[Nome/Ragione sociale]:[Checkbox selezionato]],11,FALSE),"-")</f>
        <v>SI</v>
      </c>
      <c r="AR414" s="63" t="str">
        <f>IFERROR(VLOOKUP(Table2[[#This Row],[Contraente]],Table1[[Nome/Ragione sociale]:[Checkbox selezionato]],12,FALSE),"-")</f>
        <v>SI</v>
      </c>
    </row>
    <row r="415" spans="1:44" ht="30" hidden="1" customHeight="1" x14ac:dyDescent="0.25">
      <c r="A415" s="60" t="str">
        <f>UPPER(LEFT(Table2[[#This Row],[Contraente]],1))</f>
        <v>D</v>
      </c>
      <c r="B415" s="60" t="s">
        <v>1634</v>
      </c>
      <c r="C415" s="81" t="s">
        <v>1715</v>
      </c>
      <c r="D415" s="81" t="s">
        <v>38</v>
      </c>
      <c r="E415" s="86">
        <v>7000095090</v>
      </c>
      <c r="F415" s="64">
        <v>42865</v>
      </c>
      <c r="G415" s="64">
        <f>IFERROR(CALCOLASCADENZA(Table2[[#This Row],[Data attivazione]],Table2[[#This Row],[Rateizzazione]],Table2[[#This Row],[Data ultimo pagamento]],Table2[[#This Row],[Data prossima scadenza manuale]]),"-")</f>
        <v>43230</v>
      </c>
      <c r="H415" s="67" t="s">
        <v>30</v>
      </c>
      <c r="I415" s="67" t="s">
        <v>113</v>
      </c>
      <c r="J415" s="33">
        <f>IFERROR(Table2[[#This Row],[Importo annuale]]/(12/VLOOKUP(Table2[[#This Row],[Rateizzazione]],TIPI_RATEIZZAZIONI,2,FALSE)),"-")</f>
        <v>94</v>
      </c>
      <c r="K415" s="88">
        <v>94</v>
      </c>
      <c r="L415" s="88">
        <v>94</v>
      </c>
      <c r="M415" s="67" t="s">
        <v>44</v>
      </c>
      <c r="N415" s="67" t="s">
        <v>52</v>
      </c>
      <c r="O415" s="27" t="s">
        <v>1631</v>
      </c>
      <c r="P415" s="33" t="s">
        <v>23</v>
      </c>
      <c r="Q415" s="60">
        <f>IFERROR(IF(12 / VLOOKUP(Table2[[#This Row],[Rateizzazione]],TIPI_RATEIZZAZIONI,2,FALSE) &gt;=1,  IF(Table2[[#This Row],[Data attivazione]] = "","-",MONTH(Table2[[#This Row],[Data attivazione]])),"-"),"-")</f>
        <v>5</v>
      </c>
      <c r="R4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5" s="67" t="s">
        <v>2</v>
      </c>
      <c r="V415" s="62"/>
      <c r="W415" s="64">
        <v>42865</v>
      </c>
      <c r="X415" s="29">
        <f>DATE(YEAR(Table2[[#This Row],[Data attivazione]])+VLOOKUP(Table2[[#This Row],[Durata]],VALORE_DURATA,2,FALSE),MONTH(Table2[[#This Row],[Data attivazione]]),DAY(Table2[[#This Row],[Data attivazione]]))</f>
        <v>43230</v>
      </c>
      <c r="Y415" s="65"/>
      <c r="Z415" s="61"/>
      <c r="AA415" s="64" t="s">
        <v>85</v>
      </c>
      <c r="AB415" s="29" t="str">
        <f>IF(Table2[[#This Row],[Data ultimo versamento temp]]=0/1/1900,"-",Table2[[#This Row],[Data ultimo versamento temp]])</f>
        <v>-</v>
      </c>
      <c r="AC415" s="29">
        <f t="array" ref="AC415">MAX(IF(TableVersamenti[Polizza]=Table2[[#This Row],[Polizza]],TableVersamenti[Data prevista versamento],"-"))</f>
        <v>0</v>
      </c>
      <c r="AD415" s="62"/>
      <c r="AE415" s="106">
        <f>DATE(YEAR(Table2[[#This Row],[Data ultimo pagamento]]),MONTH(Table2[[#This Row],[Data ultimo pagamento]]), 1)</f>
        <v>42856</v>
      </c>
      <c r="AF415" s="106">
        <f>DATE(YEAR(Table2[[#This Row],[Data prossima scadenza]]),MONTH(Table2[[#This Row],[Data prossima scadenza]]), 1)</f>
        <v>43221</v>
      </c>
      <c r="AG415" s="33">
        <f>IFERROR(Table2[[#This Row],[Importo annuale]]*VLOOKUP(Table2[[#This Row],[Ramo]],RAMI_POLIZZA,2,FALSE),0)</f>
        <v>10.81</v>
      </c>
      <c r="AH415" s="65" t="s">
        <v>113</v>
      </c>
      <c r="AI415" s="63" t="str">
        <f>IFERROR(VLOOKUP(Table2[[#This Row],[Contraente]],Table1[[Nome/Ragione sociale]:[Checkbox selezionato]],2,FALSE),"-")</f>
        <v>MIRADOLO TERME</v>
      </c>
      <c r="AJ415" s="63">
        <f>IFERROR(VLOOKUP(Table2[[#This Row],[Contraente]],Table1[[Nome/Ragione sociale]:[Checkbox selezionato]],3,FALSE),"-")</f>
        <v>0</v>
      </c>
      <c r="AK415" s="63">
        <f>IFERROR(VLOOKUP(Table2[[#This Row],[Contraente]],Table1[[Nome/Ragione sociale]:[Checkbox selezionato]],4,FALSE),"-")</f>
        <v>0</v>
      </c>
      <c r="AL415" s="63" t="str">
        <f>IFERROR(VLOOKUP(Table2[[#This Row],[Contraente]],Table1[[Nome/Ragione sociale]:[Checkbox selezionato]],5,FALSE),"-")</f>
        <v>MICHELE</v>
      </c>
      <c r="AM415" s="62">
        <f>IFERROR(VLOOKUP(Table2[[#This Row],[Contraente]],Table1[[Nome/Ragione sociale]:[Checkbox selezionato]],6,FALSE),"-")</f>
        <v>25130</v>
      </c>
      <c r="AN415" s="63" t="str">
        <f>IFERROR(VLOOKUP(Table2[[#This Row],[Contraente]],Table1[[Nome/Ragione sociale]:[Checkbox selezionato]],7,FALSE),"-")</f>
        <v>papies@libero.it</v>
      </c>
      <c r="AO415" s="63">
        <f>IFERROR(VLOOKUP(Table2[[#This Row],[Contraente]],Table1[[Nome/Ragione sociale]:[Checkbox selezionato]],8,FALSE),"-")</f>
        <v>0</v>
      </c>
      <c r="AP415" s="63">
        <f>IFERROR(VLOOKUP(Table2[[#This Row],[Contraente]],Table1[[Nome/Ragione sociale]:[Checkbox selezionato]],10,FALSE),"-")</f>
        <v>0</v>
      </c>
      <c r="AQ415" s="63" t="str">
        <f>IFERROR(VLOOKUP(Table2[[#This Row],[Contraente]],Table1[[Nome/Ragione sociale]:[Checkbox selezionato]],11,FALSE),"-")</f>
        <v>SI</v>
      </c>
      <c r="AR415" s="63" t="str">
        <f>IFERROR(VLOOKUP(Table2[[#This Row],[Contraente]],Table1[[Nome/Ragione sociale]:[Checkbox selezionato]],12,FALSE),"-")</f>
        <v>SI</v>
      </c>
    </row>
    <row r="416" spans="1:44" ht="30" hidden="1" customHeight="1" x14ac:dyDescent="0.25">
      <c r="A416" s="60" t="str">
        <f>UPPER(LEFT(Table2[[#This Row],[Contraente]],1))</f>
        <v>D</v>
      </c>
      <c r="B416" s="60" t="s">
        <v>1634</v>
      </c>
      <c r="C416" s="47" t="s">
        <v>1812</v>
      </c>
      <c r="D416" s="98" t="s">
        <v>37</v>
      </c>
      <c r="E416" s="99" t="s">
        <v>1813</v>
      </c>
      <c r="F416" s="109">
        <v>42927</v>
      </c>
      <c r="G416" s="64">
        <f>IFERROR(CALCOLASCADENZA(Table2[[#This Row],[Data attivazione]],Table2[[#This Row],[Rateizzazione]],Table2[[#This Row],[Data ultimo pagamento]],Table2[[#This Row],[Data prossima scadenza manuale]]),"-")</f>
        <v>43291</v>
      </c>
      <c r="H416" s="64" t="s">
        <v>31</v>
      </c>
      <c r="I416" s="64" t="s">
        <v>1814</v>
      </c>
      <c r="J416" s="92">
        <f>IFERROR(Table2[[#This Row],[Importo annuale]]/(12/VLOOKUP(Table2[[#This Row],[Rateizzazione]],TIPI_RATEIZZAZIONI,2,FALSE)),"-")</f>
        <v>430.68</v>
      </c>
      <c r="K416" s="69">
        <v>430.68</v>
      </c>
      <c r="L416" s="69">
        <v>430.68</v>
      </c>
      <c r="M416" s="92" t="s">
        <v>43</v>
      </c>
      <c r="N416" s="92" t="s">
        <v>52</v>
      </c>
      <c r="O416" s="67" t="s">
        <v>1631</v>
      </c>
      <c r="P416" s="33" t="s">
        <v>23</v>
      </c>
      <c r="Q416" s="60">
        <f>IFERROR(IF(12 / VLOOKUP(Table2[[#This Row],[Rateizzazione]],TIPI_RATEIZZAZIONI,2,FALSE) &gt;=1,  IF(Table2[[#This Row],[Data attivazione]] = "","-",MONTH(Table2[[#This Row],[Data attivazione]])),"-"),"-")</f>
        <v>7</v>
      </c>
      <c r="R4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6" s="60" t="s">
        <v>1774</v>
      </c>
      <c r="V416" s="62"/>
      <c r="W416" s="64">
        <v>42926</v>
      </c>
      <c r="X416" s="29">
        <f>DATE(YEAR(Table2[[#This Row],[Data attivazione]])+VLOOKUP(Table2[[#This Row],[Durata]],VALORE_DURATA,2,FALSE),MONTH(Table2[[#This Row],[Data attivazione]]),DAY(Table2[[#This Row],[Data attivazione]]))</f>
        <v>43291</v>
      </c>
      <c r="Y416" s="65"/>
      <c r="Z416" s="61"/>
      <c r="AA416" s="64" t="s">
        <v>85</v>
      </c>
      <c r="AB416" s="29" t="str">
        <f>IF(Table2[[#This Row],[Data ultimo versamento temp]]=0/1/1900,"-",Table2[[#This Row],[Data ultimo versamento temp]])</f>
        <v>-</v>
      </c>
      <c r="AC416" s="29">
        <f t="array" ref="AC416">MAX(IF(TableVersamenti[Polizza]=Table2[[#This Row],[Polizza]],TableVersamenti[Data prevista versamento],"-"))</f>
        <v>0</v>
      </c>
      <c r="AD416" s="62"/>
      <c r="AE416" s="105">
        <f>DATE(YEAR(Table2[[#This Row],[Data ultimo pagamento]]),MONTH(Table2[[#This Row],[Data ultimo pagamento]]), 1)</f>
        <v>42917</v>
      </c>
      <c r="AF416" s="106">
        <f>DATE(YEAR(Table2[[#This Row],[Data prossima scadenza]]),MONTH(Table2[[#This Row],[Data prossima scadenza]]), 1)</f>
        <v>43282</v>
      </c>
      <c r="AG416" s="92">
        <f>IFERROR(Table2[[#This Row],[Importo annuale]]*VLOOKUP(Table2[[#This Row],[Ramo]],RAMI_POLIZZA,2,FALSE),0)</f>
        <v>22.39536</v>
      </c>
      <c r="AH416" s="65"/>
      <c r="AI416" s="63" t="str">
        <f>IFERROR(VLOOKUP(Table2[[#This Row],[Contraente]],Table1[[Nome/Ragione sociale]:[Checkbox selezionato]],2,FALSE),"-")</f>
        <v>PIEVE PORTO MORONE</v>
      </c>
      <c r="AJ416" s="63">
        <f>IFERROR(VLOOKUP(Table2[[#This Row],[Contraente]],Table1[[Nome/Ragione sociale]:[Checkbox selezionato]],3,FALSE),"-")</f>
        <v>0</v>
      </c>
      <c r="AK416" s="63">
        <f>IFERROR(VLOOKUP(Table2[[#This Row],[Contraente]],Table1[[Nome/Ragione sociale]:[Checkbox selezionato]],4,FALSE),"-")</f>
        <v>0</v>
      </c>
      <c r="AL416" s="63">
        <f>IFERROR(VLOOKUP(Table2[[#This Row],[Contraente]],Table1[[Nome/Ragione sociale]:[Checkbox selezionato]],5,FALSE),"-")</f>
        <v>0</v>
      </c>
      <c r="AM416" s="62">
        <f>IFERROR(VLOOKUP(Table2[[#This Row],[Contraente]],Table1[[Nome/Ragione sociale]:[Checkbox selezionato]],6,FALSE),"-")</f>
        <v>0</v>
      </c>
      <c r="AN416" s="63" t="str">
        <f>IFERROR(VLOOKUP(Table2[[#This Row],[Contraente]],Table1[[Nome/Ragione sociale]:[Checkbox selezionato]],7,FALSE),"-")</f>
        <v>papies@email.it</v>
      </c>
      <c r="AO416" s="63">
        <f>IFERROR(VLOOKUP(Table2[[#This Row],[Contraente]],Table1[[Nome/Ragione sociale]:[Checkbox selezionato]],8,FALSE),"-")</f>
        <v>0</v>
      </c>
      <c r="AP416" s="63">
        <f>IFERROR(VLOOKUP(Table2[[#This Row],[Contraente]],Table1[[Nome/Ragione sociale]:[Checkbox selezionato]],10,FALSE),"-")</f>
        <v>0</v>
      </c>
      <c r="AQ416" s="63" t="str">
        <f>IFERROR(VLOOKUP(Table2[[#This Row],[Contraente]],Table1[[Nome/Ragione sociale]:[Checkbox selezionato]],11,FALSE),"-")</f>
        <v>SI</v>
      </c>
      <c r="AR416" s="63" t="str">
        <f>IFERROR(VLOOKUP(Table2[[#This Row],[Contraente]],Table1[[Nome/Ragione sociale]:[Checkbox selezionato]],12,FALSE),"-")</f>
        <v>SI</v>
      </c>
    </row>
    <row r="417" spans="1:44" ht="30" hidden="1" customHeight="1" x14ac:dyDescent="0.25">
      <c r="A417" s="60" t="str">
        <f>UPPER(LEFT(Table2[[#This Row],[Contraente]],1))</f>
        <v>D</v>
      </c>
      <c r="B417" s="60" t="s">
        <v>1634</v>
      </c>
      <c r="C417" s="81" t="s">
        <v>608</v>
      </c>
      <c r="D417" s="81" t="s">
        <v>37</v>
      </c>
      <c r="E417" s="86">
        <v>105593945</v>
      </c>
      <c r="F417" s="64">
        <v>42865</v>
      </c>
      <c r="G417" s="64">
        <f>IFERROR(CALCOLASCADENZA(Table2[[#This Row],[Data attivazione]],Table2[[#This Row],[Rateizzazione]],Table2[[#This Row],[Data ultimo pagamento]],Table2[[#This Row],[Data prossima scadenza manuale]]),"-")</f>
        <v>43231</v>
      </c>
      <c r="H417" s="67" t="s">
        <v>30</v>
      </c>
      <c r="I417" s="67" t="s">
        <v>113</v>
      </c>
      <c r="J417" s="33">
        <f>IFERROR(Table2[[#This Row],[Importo annuale]]/(12/VLOOKUP(Table2[[#This Row],[Rateizzazione]],TIPI_RATEIZZAZIONI,2,FALSE)),"-")</f>
        <v>550</v>
      </c>
      <c r="K417" s="88">
        <v>550</v>
      </c>
      <c r="L417" s="88">
        <v>550</v>
      </c>
      <c r="M417" s="67" t="s">
        <v>44</v>
      </c>
      <c r="N417" s="67" t="s">
        <v>51</v>
      </c>
      <c r="O417" s="27" t="s">
        <v>1631</v>
      </c>
      <c r="P417" s="33" t="s">
        <v>23</v>
      </c>
      <c r="Q417" s="60">
        <f>IFERROR(IF(12 / VLOOKUP(Table2[[#This Row],[Rateizzazione]],TIPI_RATEIZZAZIONI,2,FALSE) &gt;=1,  IF(Table2[[#This Row],[Data attivazione]] = "","-",MONTH(Table2[[#This Row],[Data attivazione]])),"-"),"-")</f>
        <v>5</v>
      </c>
      <c r="R4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7" s="67" t="s">
        <v>2</v>
      </c>
      <c r="V417" s="62"/>
      <c r="W417" s="64">
        <v>42866</v>
      </c>
      <c r="X417" s="29">
        <f>DATE(YEAR(Table2[[#This Row],[Data attivazione]])+VLOOKUP(Table2[[#This Row],[Durata]],VALORE_DURATA,2,FALSE),MONTH(Table2[[#This Row],[Data attivazione]]),DAY(Table2[[#This Row],[Data attivazione]]))</f>
        <v>43231</v>
      </c>
      <c r="Y417" s="65"/>
      <c r="Z417" s="61"/>
      <c r="AA417" s="64" t="s">
        <v>85</v>
      </c>
      <c r="AB417" s="29" t="str">
        <f>IF(Table2[[#This Row],[Data ultimo versamento temp]]=0/1/1900,"-",Table2[[#This Row],[Data ultimo versamento temp]])</f>
        <v>-</v>
      </c>
      <c r="AC417" s="29">
        <f t="array" ref="AC417">MAX(IF(TableVersamenti[Polizza]=Table2[[#This Row],[Polizza]],TableVersamenti[Data prevista versamento],"-"))</f>
        <v>0</v>
      </c>
      <c r="AD417" s="62"/>
      <c r="AE417" s="106">
        <f>DATE(YEAR(Table2[[#This Row],[Data ultimo pagamento]]),MONTH(Table2[[#This Row],[Data ultimo pagamento]]), 1)</f>
        <v>42856</v>
      </c>
      <c r="AF417" s="106">
        <f>DATE(YEAR(Table2[[#This Row],[Data prossima scadenza]]),MONTH(Table2[[#This Row],[Data prossima scadenza]]), 1)</f>
        <v>43221</v>
      </c>
      <c r="AG417" s="33">
        <f>IFERROR(Table2[[#This Row],[Importo annuale]]*VLOOKUP(Table2[[#This Row],[Ramo]],RAMI_POLIZZA,2,FALSE),0)</f>
        <v>63.25</v>
      </c>
      <c r="AH417" s="65" t="s">
        <v>113</v>
      </c>
      <c r="AI417" s="63" t="str">
        <f>IFERROR(VLOOKUP(Table2[[#This Row],[Contraente]],Table1[[Nome/Ragione sociale]:[Checkbox selezionato]],2,FALSE),"-")</f>
        <v>PORTALBERA</v>
      </c>
      <c r="AJ417" s="63">
        <f>IFERROR(VLOOKUP(Table2[[#This Row],[Contraente]],Table1[[Nome/Ragione sociale]:[Checkbox selezionato]],3,FALSE),"-")</f>
        <v>3392040805</v>
      </c>
      <c r="AK417" s="63">
        <f>IFERROR(VLOOKUP(Table2[[#This Row],[Contraente]],Table1[[Nome/Ragione sociale]:[Checkbox selezionato]],4,FALSE),"-")</f>
        <v>0</v>
      </c>
      <c r="AL417" s="63" t="str">
        <f>IFERROR(VLOOKUP(Table2[[#This Row],[Contraente]],Table1[[Nome/Ragione sociale]:[Checkbox selezionato]],5,FALSE),"-")</f>
        <v>MORENO SACCHI</v>
      </c>
      <c r="AM417" s="62" t="str">
        <f>IFERROR(VLOOKUP(Table2[[#This Row],[Contraente]],Table1[[Nome/Ragione sociale]:[Checkbox selezionato]],6,FALSE),"-")</f>
        <v>-</v>
      </c>
      <c r="AN417" s="63" t="str">
        <f>IFERROR(VLOOKUP(Table2[[#This Row],[Contraente]],Table1[[Nome/Ragione sociale]:[Checkbox selezionato]],7,FALSE),"-")</f>
        <v>papies@libero.it</v>
      </c>
      <c r="AO417" s="63">
        <f>IFERROR(VLOOKUP(Table2[[#This Row],[Contraente]],Table1[[Nome/Ragione sociale]:[Checkbox selezionato]],8,FALSE),"-")</f>
        <v>0</v>
      </c>
      <c r="AP417" s="63">
        <f>IFERROR(VLOOKUP(Table2[[#This Row],[Contraente]],Table1[[Nome/Ragione sociale]:[Checkbox selezionato]],10,FALSE),"-")</f>
        <v>3392040805</v>
      </c>
      <c r="AQ417" s="63" t="str">
        <f>IFERROR(VLOOKUP(Table2[[#This Row],[Contraente]],Table1[[Nome/Ragione sociale]:[Checkbox selezionato]],11,FALSE),"-")</f>
        <v>SI</v>
      </c>
      <c r="AR417" s="63" t="str">
        <f>IFERROR(VLOOKUP(Table2[[#This Row],[Contraente]],Table1[[Nome/Ragione sociale]:[Checkbox selezionato]],12,FALSE),"-")</f>
        <v>SI</v>
      </c>
    </row>
    <row r="418" spans="1:44" ht="30" hidden="1" customHeight="1" x14ac:dyDescent="0.25">
      <c r="A418" s="60" t="str">
        <f>UPPER(LEFT(Table2[[#This Row],[Contraente]],1))</f>
        <v>D</v>
      </c>
      <c r="B418" s="60" t="s">
        <v>1634</v>
      </c>
      <c r="C418" s="81" t="s">
        <v>608</v>
      </c>
      <c r="D418" s="81" t="s">
        <v>37</v>
      </c>
      <c r="E418" s="86">
        <v>105593810</v>
      </c>
      <c r="F418" s="64">
        <v>42865</v>
      </c>
      <c r="G418" s="64">
        <f>IFERROR(CALCOLASCADENZA(Table2[[#This Row],[Data attivazione]],Table2[[#This Row],[Rateizzazione]],Table2[[#This Row],[Data ultimo pagamento]],Table2[[#This Row],[Data prossima scadenza manuale]]),"-")</f>
        <v>43231</v>
      </c>
      <c r="H418" s="67" t="s">
        <v>30</v>
      </c>
      <c r="I418" s="67" t="s">
        <v>113</v>
      </c>
      <c r="J418" s="33">
        <f>IFERROR(Table2[[#This Row],[Importo annuale]]/(12/VLOOKUP(Table2[[#This Row],[Rateizzazione]],TIPI_RATEIZZAZIONI,2,FALSE)),"-")</f>
        <v>660</v>
      </c>
      <c r="K418" s="88">
        <v>660</v>
      </c>
      <c r="L418" s="88">
        <v>660</v>
      </c>
      <c r="M418" s="67" t="s">
        <v>44</v>
      </c>
      <c r="N418" s="67" t="s">
        <v>51</v>
      </c>
      <c r="O418" s="27" t="s">
        <v>1631</v>
      </c>
      <c r="P418" s="33" t="s">
        <v>23</v>
      </c>
      <c r="Q418" s="60">
        <f>IFERROR(IF(12 / VLOOKUP(Table2[[#This Row],[Rateizzazione]],TIPI_RATEIZZAZIONI,2,FALSE) &gt;=1,  IF(Table2[[#This Row],[Data attivazione]] = "","-",MONTH(Table2[[#This Row],[Data attivazione]])),"-"),"-")</f>
        <v>5</v>
      </c>
      <c r="R4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8" s="67" t="s">
        <v>2</v>
      </c>
      <c r="V418" s="62"/>
      <c r="W418" s="64">
        <v>42866</v>
      </c>
      <c r="X418" s="29">
        <f>DATE(YEAR(Table2[[#This Row],[Data attivazione]])+VLOOKUP(Table2[[#This Row],[Durata]],VALORE_DURATA,2,FALSE),MONTH(Table2[[#This Row],[Data attivazione]]),DAY(Table2[[#This Row],[Data attivazione]]))</f>
        <v>43231</v>
      </c>
      <c r="Y418" s="65"/>
      <c r="Z418" s="61"/>
      <c r="AA418" s="64" t="s">
        <v>85</v>
      </c>
      <c r="AB418" s="29" t="str">
        <f>IF(Table2[[#This Row],[Data ultimo versamento temp]]=0/1/1900,"-",Table2[[#This Row],[Data ultimo versamento temp]])</f>
        <v>-</v>
      </c>
      <c r="AC418" s="29">
        <f t="array" ref="AC418">MAX(IF(TableVersamenti[Polizza]=Table2[[#This Row],[Polizza]],TableVersamenti[Data prevista versamento],"-"))</f>
        <v>0</v>
      </c>
      <c r="AD418" s="62"/>
      <c r="AE418" s="106">
        <f>DATE(YEAR(Table2[[#This Row],[Data ultimo pagamento]]),MONTH(Table2[[#This Row],[Data ultimo pagamento]]), 1)</f>
        <v>42856</v>
      </c>
      <c r="AF418" s="106">
        <f>DATE(YEAR(Table2[[#This Row],[Data prossima scadenza]]),MONTH(Table2[[#This Row],[Data prossima scadenza]]), 1)</f>
        <v>43221</v>
      </c>
      <c r="AG418" s="33">
        <f>IFERROR(Table2[[#This Row],[Importo annuale]]*VLOOKUP(Table2[[#This Row],[Ramo]],RAMI_POLIZZA,2,FALSE),0)</f>
        <v>75.900000000000006</v>
      </c>
      <c r="AH418" s="65" t="s">
        <v>113</v>
      </c>
      <c r="AI418" s="63" t="str">
        <f>IFERROR(VLOOKUP(Table2[[#This Row],[Contraente]],Table1[[Nome/Ragione sociale]:[Checkbox selezionato]],2,FALSE),"-")</f>
        <v>PORTALBERA</v>
      </c>
      <c r="AJ418" s="63">
        <f>IFERROR(VLOOKUP(Table2[[#This Row],[Contraente]],Table1[[Nome/Ragione sociale]:[Checkbox selezionato]],3,FALSE),"-")</f>
        <v>3392040805</v>
      </c>
      <c r="AK418" s="63">
        <f>IFERROR(VLOOKUP(Table2[[#This Row],[Contraente]],Table1[[Nome/Ragione sociale]:[Checkbox selezionato]],4,FALSE),"-")</f>
        <v>0</v>
      </c>
      <c r="AL418" s="63" t="str">
        <f>IFERROR(VLOOKUP(Table2[[#This Row],[Contraente]],Table1[[Nome/Ragione sociale]:[Checkbox selezionato]],5,FALSE),"-")</f>
        <v>MORENO SACCHI</v>
      </c>
      <c r="AM418" s="62" t="str">
        <f>IFERROR(VLOOKUP(Table2[[#This Row],[Contraente]],Table1[[Nome/Ragione sociale]:[Checkbox selezionato]],6,FALSE),"-")</f>
        <v>-</v>
      </c>
      <c r="AN418" s="63" t="str">
        <f>IFERROR(VLOOKUP(Table2[[#This Row],[Contraente]],Table1[[Nome/Ragione sociale]:[Checkbox selezionato]],7,FALSE),"-")</f>
        <v>papies@libero.it</v>
      </c>
      <c r="AO418" s="63">
        <f>IFERROR(VLOOKUP(Table2[[#This Row],[Contraente]],Table1[[Nome/Ragione sociale]:[Checkbox selezionato]],8,FALSE),"-")</f>
        <v>0</v>
      </c>
      <c r="AP418" s="63">
        <f>IFERROR(VLOOKUP(Table2[[#This Row],[Contraente]],Table1[[Nome/Ragione sociale]:[Checkbox selezionato]],10,FALSE),"-")</f>
        <v>3392040805</v>
      </c>
      <c r="AQ418" s="63" t="str">
        <f>IFERROR(VLOOKUP(Table2[[#This Row],[Contraente]],Table1[[Nome/Ragione sociale]:[Checkbox selezionato]],11,FALSE),"-")</f>
        <v>SI</v>
      </c>
      <c r="AR418" s="63" t="str">
        <f>IFERROR(VLOOKUP(Table2[[#This Row],[Contraente]],Table1[[Nome/Ragione sociale]:[Checkbox selezionato]],12,FALSE),"-")</f>
        <v>SI</v>
      </c>
    </row>
    <row r="419" spans="1:44" ht="30" hidden="1" customHeight="1" x14ac:dyDescent="0.25">
      <c r="A419" s="60" t="str">
        <f>UPPER(LEFT(Table2[[#This Row],[Contraente]],1))</f>
        <v>D</v>
      </c>
      <c r="B419" s="60" t="s">
        <v>1634</v>
      </c>
      <c r="C419" s="81" t="s">
        <v>608</v>
      </c>
      <c r="D419" s="81" t="s">
        <v>37</v>
      </c>
      <c r="E419" s="86">
        <v>106843408</v>
      </c>
      <c r="F419" s="64">
        <v>42865</v>
      </c>
      <c r="G419" s="64">
        <f>IFERROR(CALCOLASCADENZA(Table2[[#This Row],[Data attivazione]],Table2[[#This Row],[Rateizzazione]],Table2[[#This Row],[Data ultimo pagamento]],Table2[[#This Row],[Data prossima scadenza manuale]]),"-")</f>
        <v>43231</v>
      </c>
      <c r="H419" s="67" t="s">
        <v>31</v>
      </c>
      <c r="I419" s="67" t="s">
        <v>1288</v>
      </c>
      <c r="J419" s="33">
        <f>IFERROR(Table2[[#This Row],[Importo annuale]]/(12/VLOOKUP(Table2[[#This Row],[Rateizzazione]],TIPI_RATEIZZAZIONI,2,FALSE)),"-")</f>
        <v>685</v>
      </c>
      <c r="K419" s="88">
        <v>625</v>
      </c>
      <c r="L419" s="88">
        <v>685</v>
      </c>
      <c r="M419" s="67" t="s">
        <v>44</v>
      </c>
      <c r="N419" s="67" t="s">
        <v>51</v>
      </c>
      <c r="O419" s="27" t="s">
        <v>1631</v>
      </c>
      <c r="P419" s="33" t="s">
        <v>23</v>
      </c>
      <c r="Q419" s="60">
        <f>IFERROR(IF(12 / VLOOKUP(Table2[[#This Row],[Rateizzazione]],TIPI_RATEIZZAZIONI,2,FALSE) &gt;=1,  IF(Table2[[#This Row],[Data attivazione]] = "","-",MONTH(Table2[[#This Row],[Data attivazione]])),"-"),"-")</f>
        <v>5</v>
      </c>
      <c r="R4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9" s="67" t="s">
        <v>2</v>
      </c>
      <c r="V419" s="62"/>
      <c r="W419" s="64">
        <v>42866</v>
      </c>
      <c r="X419" s="29">
        <f>DATE(YEAR(Table2[[#This Row],[Data attivazione]])+VLOOKUP(Table2[[#This Row],[Durata]],VALORE_DURATA,2,FALSE),MONTH(Table2[[#This Row],[Data attivazione]]),DAY(Table2[[#This Row],[Data attivazione]]))</f>
        <v>43231</v>
      </c>
      <c r="Y419" s="65"/>
      <c r="Z419" s="61"/>
      <c r="AA419" s="64" t="s">
        <v>85</v>
      </c>
      <c r="AB419" s="29" t="str">
        <f>IF(Table2[[#This Row],[Data ultimo versamento temp]]=0/1/1900,"-",Table2[[#This Row],[Data ultimo versamento temp]])</f>
        <v>-</v>
      </c>
      <c r="AC419" s="29">
        <f t="array" ref="AC419">MAX(IF(TableVersamenti[Polizza]=Table2[[#This Row],[Polizza]],TableVersamenti[Data prevista versamento],"-"))</f>
        <v>0</v>
      </c>
      <c r="AD419" s="62"/>
      <c r="AE419" s="106">
        <f>DATE(YEAR(Table2[[#This Row],[Data ultimo pagamento]]),MONTH(Table2[[#This Row],[Data ultimo pagamento]]), 1)</f>
        <v>42856</v>
      </c>
      <c r="AF419" s="106">
        <f>DATE(YEAR(Table2[[#This Row],[Data prossima scadenza]]),MONTH(Table2[[#This Row],[Data prossima scadenza]]), 1)</f>
        <v>43221</v>
      </c>
      <c r="AG419" s="33">
        <f>IFERROR(Table2[[#This Row],[Importo annuale]]*VLOOKUP(Table2[[#This Row],[Ramo]],RAMI_POLIZZA,2,FALSE),0)</f>
        <v>35.619999999999997</v>
      </c>
      <c r="AH419" s="65" t="s">
        <v>113</v>
      </c>
      <c r="AI419" s="63" t="str">
        <f>IFERROR(VLOOKUP(Table2[[#This Row],[Contraente]],Table1[[Nome/Ragione sociale]:[Checkbox selezionato]],2,FALSE),"-")</f>
        <v>PORTALBERA</v>
      </c>
      <c r="AJ419" s="63">
        <f>IFERROR(VLOOKUP(Table2[[#This Row],[Contraente]],Table1[[Nome/Ragione sociale]:[Checkbox selezionato]],3,FALSE),"-")</f>
        <v>3392040805</v>
      </c>
      <c r="AK419" s="63">
        <f>IFERROR(VLOOKUP(Table2[[#This Row],[Contraente]],Table1[[Nome/Ragione sociale]:[Checkbox selezionato]],4,FALSE),"-")</f>
        <v>0</v>
      </c>
      <c r="AL419" s="63" t="str">
        <f>IFERROR(VLOOKUP(Table2[[#This Row],[Contraente]],Table1[[Nome/Ragione sociale]:[Checkbox selezionato]],5,FALSE),"-")</f>
        <v>MORENO SACCHI</v>
      </c>
      <c r="AM419" s="62" t="str">
        <f>IFERROR(VLOOKUP(Table2[[#This Row],[Contraente]],Table1[[Nome/Ragione sociale]:[Checkbox selezionato]],6,FALSE),"-")</f>
        <v>-</v>
      </c>
      <c r="AN419" s="63" t="str">
        <f>IFERROR(VLOOKUP(Table2[[#This Row],[Contraente]],Table1[[Nome/Ragione sociale]:[Checkbox selezionato]],7,FALSE),"-")</f>
        <v>papies@libero.it</v>
      </c>
      <c r="AO419" s="63">
        <f>IFERROR(VLOOKUP(Table2[[#This Row],[Contraente]],Table1[[Nome/Ragione sociale]:[Checkbox selezionato]],8,FALSE),"-")</f>
        <v>0</v>
      </c>
      <c r="AP419" s="63">
        <f>IFERROR(VLOOKUP(Table2[[#This Row],[Contraente]],Table1[[Nome/Ragione sociale]:[Checkbox selezionato]],10,FALSE),"-")</f>
        <v>3392040805</v>
      </c>
      <c r="AQ419" s="63" t="str">
        <f>IFERROR(VLOOKUP(Table2[[#This Row],[Contraente]],Table1[[Nome/Ragione sociale]:[Checkbox selezionato]],11,FALSE),"-")</f>
        <v>SI</v>
      </c>
      <c r="AR419" s="63" t="str">
        <f>IFERROR(VLOOKUP(Table2[[#This Row],[Contraente]],Table1[[Nome/Ragione sociale]:[Checkbox selezionato]],12,FALSE),"-")</f>
        <v>SI</v>
      </c>
    </row>
    <row r="420" spans="1:44" ht="30" hidden="1" customHeight="1" x14ac:dyDescent="0.25">
      <c r="A420" s="60" t="str">
        <f>UPPER(LEFT(Table2[[#This Row],[Contraente]],1))</f>
        <v>D</v>
      </c>
      <c r="B420" s="60" t="s">
        <v>1634</v>
      </c>
      <c r="C420" s="81" t="s">
        <v>611</v>
      </c>
      <c r="D420" s="81" t="s">
        <v>37</v>
      </c>
      <c r="E420" s="86">
        <v>103008266</v>
      </c>
      <c r="F420" s="64">
        <v>41759</v>
      </c>
      <c r="G420" s="64">
        <f>IFERROR(CALCOLASCADENZA(Table2[[#This Row],[Data attivazione]],Table2[[#This Row],[Rateizzazione]],Table2[[#This Row],[Data ultimo pagamento]],Table2[[#This Row],[Data prossima scadenza manuale]]),"-")</f>
        <v>693962</v>
      </c>
      <c r="H420" s="67" t="s">
        <v>31</v>
      </c>
      <c r="I420" s="67"/>
      <c r="J420" s="33">
        <f>IFERROR(Table2[[#This Row],[Importo annuale]]/(12/VLOOKUP(Table2[[#This Row],[Rateizzazione]],TIPI_RATEIZZAZIONI,2,FALSE)),"-")</f>
        <v>190</v>
      </c>
      <c r="K420" s="88"/>
      <c r="L420" s="88">
        <v>190</v>
      </c>
      <c r="M420" s="67" t="s">
        <v>43</v>
      </c>
      <c r="N420" s="67" t="s">
        <v>52</v>
      </c>
      <c r="O420" s="27" t="s">
        <v>1631</v>
      </c>
      <c r="P420" s="33" t="s">
        <v>23</v>
      </c>
      <c r="Q420" s="60">
        <f>IFERROR(IF(12 / VLOOKUP(Table2[[#This Row],[Rateizzazione]],TIPI_RATEIZZAZIONI,2,FALSE) &gt;=1,  IF(Table2[[#This Row],[Data attivazione]] = "","-",MONTH(Table2[[#This Row],[Data attivazione]])),"-"),"-")</f>
        <v>12</v>
      </c>
      <c r="R4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0" s="67" t="s">
        <v>2</v>
      </c>
      <c r="V420" s="62"/>
      <c r="W420" s="64">
        <v>693597</v>
      </c>
      <c r="X420" s="29">
        <f>DATE(YEAR(Table2[[#This Row],[Data attivazione]])+VLOOKUP(Table2[[#This Row],[Durata]],VALORE_DURATA,2,FALSE),MONTH(Table2[[#This Row],[Data attivazione]]),DAY(Table2[[#This Row],[Data attivazione]]))</f>
        <v>693962</v>
      </c>
      <c r="Y420" s="65"/>
      <c r="Z420" s="61"/>
      <c r="AA420" s="64" t="s">
        <v>88</v>
      </c>
      <c r="AB420" s="29" t="str">
        <f>IF(Table2[[#This Row],[Data ultimo versamento temp]]=0/1/1900,"-",Table2[[#This Row],[Data ultimo versamento temp]])</f>
        <v>-</v>
      </c>
      <c r="AC420" s="29">
        <f t="array" ref="AC420">MAX(IF(TableVersamenti[Polizza]=Table2[[#This Row],[Polizza]],TableVersamenti[Data prevista versamento],"-"))</f>
        <v>0</v>
      </c>
      <c r="AD420" s="62"/>
      <c r="AE420" s="106">
        <f>DATE(YEAR(Table2[[#This Row],[Data ultimo pagamento]]),MONTH(Table2[[#This Row],[Data ultimo pagamento]]), 1)</f>
        <v>41730</v>
      </c>
      <c r="AF420" s="106">
        <f>DATE(YEAR(Table2[[#This Row],[Data prossima scadenza]]),MONTH(Table2[[#This Row],[Data prossima scadenza]]), 1)</f>
        <v>693932</v>
      </c>
      <c r="AG420" s="33">
        <f>IFERROR(Table2[[#This Row],[Importo annuale]]*VLOOKUP(Table2[[#This Row],[Ramo]],RAMI_POLIZZA,2,FALSE),0)</f>
        <v>9.879999999999999</v>
      </c>
      <c r="AH420" s="65" t="s">
        <v>113</v>
      </c>
      <c r="AI420" s="63">
        <f>IFERROR(VLOOKUP(Table2[[#This Row],[Contraente]],Table1[[Nome/Ragione sociale]:[Checkbox selezionato]],2,FALSE),"-")</f>
        <v>0</v>
      </c>
      <c r="AJ420" s="63">
        <f>IFERROR(VLOOKUP(Table2[[#This Row],[Contraente]],Table1[[Nome/Ragione sociale]:[Checkbox selezionato]],3,FALSE),"-")</f>
        <v>0</v>
      </c>
      <c r="AK420" s="63">
        <f>IFERROR(VLOOKUP(Table2[[#This Row],[Contraente]],Table1[[Nome/Ragione sociale]:[Checkbox selezionato]],4,FALSE),"-")</f>
        <v>0</v>
      </c>
      <c r="AL420" s="63">
        <f>IFERROR(VLOOKUP(Table2[[#This Row],[Contraente]],Table1[[Nome/Ragione sociale]:[Checkbox selezionato]],5,FALSE),"-")</f>
        <v>0</v>
      </c>
      <c r="AM420" s="62">
        <f>IFERROR(VLOOKUP(Table2[[#This Row],[Contraente]],Table1[[Nome/Ragione sociale]:[Checkbox selezionato]],6,FALSE),"-")</f>
        <v>0</v>
      </c>
      <c r="AN420" s="63" t="str">
        <f>IFERROR(VLOOKUP(Table2[[#This Row],[Contraente]],Table1[[Nome/Ragione sociale]:[Checkbox selezionato]],7,FALSE),"-")</f>
        <v>papies@libero.it</v>
      </c>
      <c r="AO420" s="63">
        <f>IFERROR(VLOOKUP(Table2[[#This Row],[Contraente]],Table1[[Nome/Ragione sociale]:[Checkbox selezionato]],8,FALSE),"-")</f>
        <v>0</v>
      </c>
      <c r="AP420" s="63">
        <f>IFERROR(VLOOKUP(Table2[[#This Row],[Contraente]],Table1[[Nome/Ragione sociale]:[Checkbox selezionato]],10,FALSE),"-")</f>
        <v>0</v>
      </c>
      <c r="AQ420" s="63" t="str">
        <f>IFERROR(VLOOKUP(Table2[[#This Row],[Contraente]],Table1[[Nome/Ragione sociale]:[Checkbox selezionato]],11,FALSE),"-")</f>
        <v>SI</v>
      </c>
      <c r="AR420" s="63" t="str">
        <f>IFERROR(VLOOKUP(Table2[[#This Row],[Contraente]],Table1[[Nome/Ragione sociale]:[Checkbox selezionato]],12,FALSE),"-")</f>
        <v>SI</v>
      </c>
    </row>
    <row r="421" spans="1:44" ht="30" hidden="1" customHeight="1" x14ac:dyDescent="0.25">
      <c r="A421" s="60" t="str">
        <f>UPPER(LEFT(Table2[[#This Row],[Contraente]],1))</f>
        <v>E</v>
      </c>
      <c r="B421" s="60" t="s">
        <v>1634</v>
      </c>
      <c r="C421" s="81" t="s">
        <v>122</v>
      </c>
      <c r="D421" s="81" t="s">
        <v>37</v>
      </c>
      <c r="E421" s="86">
        <v>104560203</v>
      </c>
      <c r="F421" s="64">
        <v>42179</v>
      </c>
      <c r="G421" s="64">
        <f>IFERROR(CALCOLASCADENZA(Table2[[#This Row],[Data attivazione]],Table2[[#This Row],[Rateizzazione]],Table2[[#This Row],[Data ultimo pagamento]],Table2[[#This Row],[Data prossima scadenza manuale]]),"-")</f>
        <v>693962</v>
      </c>
      <c r="H421" s="67" t="s">
        <v>30</v>
      </c>
      <c r="I421" s="67" t="s">
        <v>113</v>
      </c>
      <c r="J421" s="33">
        <f>IFERROR(Table2[[#This Row],[Importo annuale]]/(12/VLOOKUP(Table2[[#This Row],[Rateizzazione]],TIPI_RATEIZZAZIONI,2,FALSE)),"-")</f>
        <v>230</v>
      </c>
      <c r="K421" s="88"/>
      <c r="L421" s="88">
        <v>230</v>
      </c>
      <c r="M421" s="67" t="s">
        <v>44</v>
      </c>
      <c r="N421" s="67" t="s">
        <v>52</v>
      </c>
      <c r="O421" s="27" t="s">
        <v>1631</v>
      </c>
      <c r="P421" s="33" t="s">
        <v>23</v>
      </c>
      <c r="Q421" s="60">
        <f>IFERROR(IF(12 / VLOOKUP(Table2[[#This Row],[Rateizzazione]],TIPI_RATEIZZAZIONI,2,FALSE) &gt;=1,  IF(Table2[[#This Row],[Data attivazione]] = "","-",MONTH(Table2[[#This Row],[Data attivazione]])),"-"),"-")</f>
        <v>12</v>
      </c>
      <c r="R4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1" s="67" t="s">
        <v>2</v>
      </c>
      <c r="V421" s="62"/>
      <c r="W421" s="64">
        <v>693597</v>
      </c>
      <c r="X421" s="29">
        <f>DATE(YEAR(Table2[[#This Row],[Data attivazione]])+VLOOKUP(Table2[[#This Row],[Durata]],VALORE_DURATA,2,FALSE),MONTH(Table2[[#This Row],[Data attivazione]]),DAY(Table2[[#This Row],[Data attivazione]]))</f>
        <v>693962</v>
      </c>
      <c r="Y421" s="65"/>
      <c r="Z421" s="61"/>
      <c r="AA421" s="64" t="s">
        <v>88</v>
      </c>
      <c r="AB421" s="29" t="str">
        <f>IF(Table2[[#This Row],[Data ultimo versamento temp]]=0/1/1900,"-",Table2[[#This Row],[Data ultimo versamento temp]])</f>
        <v>-</v>
      </c>
      <c r="AC421" s="29">
        <f t="array" ref="AC421">MAX(IF(TableVersamenti[Polizza]=Table2[[#This Row],[Polizza]],TableVersamenti[Data prevista versamento],"-"))</f>
        <v>0</v>
      </c>
      <c r="AD421" s="62"/>
      <c r="AE421" s="106">
        <f>DATE(YEAR(Table2[[#This Row],[Data ultimo pagamento]]),MONTH(Table2[[#This Row],[Data ultimo pagamento]]), 1)</f>
        <v>42156</v>
      </c>
      <c r="AF421" s="106">
        <f>DATE(YEAR(Table2[[#This Row],[Data prossima scadenza]]),MONTH(Table2[[#This Row],[Data prossima scadenza]]), 1)</f>
        <v>693932</v>
      </c>
      <c r="AG421" s="33">
        <f>IFERROR(Table2[[#This Row],[Importo annuale]]*VLOOKUP(Table2[[#This Row],[Ramo]],RAMI_POLIZZA,2,FALSE),0)</f>
        <v>26.450000000000003</v>
      </c>
      <c r="AH421" s="65" t="s">
        <v>113</v>
      </c>
      <c r="AI421" s="63" t="str">
        <f>IFERROR(VLOOKUP(Table2[[#This Row],[Contraente]],Table1[[Nome/Ragione sociale]:[Checkbox selezionato]],2,FALSE),"-")</f>
        <v>CURA CARPIGNANO</v>
      </c>
      <c r="AJ421" s="63">
        <f>IFERROR(VLOOKUP(Table2[[#This Row],[Contraente]],Table1[[Nome/Ragione sociale]:[Checkbox selezionato]],3,FALSE),"-")</f>
        <v>0</v>
      </c>
      <c r="AK421" s="63">
        <f>IFERROR(VLOOKUP(Table2[[#This Row],[Contraente]],Table1[[Nome/Ragione sociale]:[Checkbox selezionato]],4,FALSE),"-")</f>
        <v>0</v>
      </c>
      <c r="AL421" s="63" t="str">
        <f>IFERROR(VLOOKUP(Table2[[#This Row],[Contraente]],Table1[[Nome/Ragione sociale]:[Checkbox selezionato]],5,FALSE),"-")</f>
        <v>FABIO</v>
      </c>
      <c r="AM421" s="62" t="str">
        <f>IFERROR(VLOOKUP(Table2[[#This Row],[Contraente]],Table1[[Nome/Ragione sociale]:[Checkbox selezionato]],6,FALSE),"-")</f>
        <v>-</v>
      </c>
      <c r="AN421" s="63" t="str">
        <f>IFERROR(VLOOKUP(Table2[[#This Row],[Contraente]],Table1[[Nome/Ragione sociale]:[Checkbox selezionato]],7,FALSE),"-")</f>
        <v>papies@email.it</v>
      </c>
      <c r="AO421" s="63">
        <f>IFERROR(VLOOKUP(Table2[[#This Row],[Contraente]],Table1[[Nome/Ragione sociale]:[Checkbox selezionato]],8,FALSE),"-")</f>
        <v>0</v>
      </c>
      <c r="AP421" s="63">
        <f>IFERROR(VLOOKUP(Table2[[#This Row],[Contraente]],Table1[[Nome/Ragione sociale]:[Checkbox selezionato]],10,FALSE),"-")</f>
        <v>0</v>
      </c>
      <c r="AQ421" s="63" t="str">
        <f>IFERROR(VLOOKUP(Table2[[#This Row],[Contraente]],Table1[[Nome/Ragione sociale]:[Checkbox selezionato]],11,FALSE),"-")</f>
        <v>SI</v>
      </c>
      <c r="AR421" s="63" t="str">
        <f>IFERROR(VLOOKUP(Table2[[#This Row],[Contraente]],Table1[[Nome/Ragione sociale]:[Checkbox selezionato]],12,FALSE),"-")</f>
        <v>SI</v>
      </c>
    </row>
    <row r="422" spans="1:44" ht="30" hidden="1" customHeight="1" x14ac:dyDescent="0.25">
      <c r="A422" s="60" t="str">
        <f>UPPER(LEFT(Table2[[#This Row],[Contraente]],1))</f>
        <v>E</v>
      </c>
      <c r="B422" s="60" t="s">
        <v>1634</v>
      </c>
      <c r="C422" s="81" t="s">
        <v>122</v>
      </c>
      <c r="D422" s="81" t="s">
        <v>37</v>
      </c>
      <c r="E422" s="86" t="s">
        <v>1123</v>
      </c>
      <c r="F422" s="64">
        <v>42215</v>
      </c>
      <c r="G422" s="64">
        <f>IFERROR(CALCOLASCADENZA(Table2[[#This Row],[Data attivazione]],Table2[[#This Row],[Rateizzazione]],Table2[[#This Row],[Data ultimo pagamento]],Table2[[#This Row],[Data prossima scadenza manuale]]),"-")</f>
        <v>693962</v>
      </c>
      <c r="H422" s="67" t="s">
        <v>30</v>
      </c>
      <c r="I422" s="67" t="s">
        <v>113</v>
      </c>
      <c r="J422" s="33">
        <f>IFERROR(Table2[[#This Row],[Importo annuale]]/(12/VLOOKUP(Table2[[#This Row],[Rateizzazione]],TIPI_RATEIZZAZIONI,2,FALSE)),"-")</f>
        <v>2100</v>
      </c>
      <c r="K422" s="88"/>
      <c r="L422" s="88">
        <v>2100</v>
      </c>
      <c r="M422" s="67" t="s">
        <v>44</v>
      </c>
      <c r="N422" s="67" t="s">
        <v>52</v>
      </c>
      <c r="O422" s="27" t="s">
        <v>1631</v>
      </c>
      <c r="P422" s="33" t="s">
        <v>23</v>
      </c>
      <c r="Q422" s="60">
        <f>IFERROR(IF(12 / VLOOKUP(Table2[[#This Row],[Rateizzazione]],TIPI_RATEIZZAZIONI,2,FALSE) &gt;=1,  IF(Table2[[#This Row],[Data attivazione]] = "","-",MONTH(Table2[[#This Row],[Data attivazione]])),"-"),"-")</f>
        <v>12</v>
      </c>
      <c r="R4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2" s="67" t="s">
        <v>2</v>
      </c>
      <c r="V422" s="62"/>
      <c r="W422" s="64">
        <v>693597</v>
      </c>
      <c r="X422" s="29">
        <f>DATE(YEAR(Table2[[#This Row],[Data attivazione]])+VLOOKUP(Table2[[#This Row],[Durata]],VALORE_DURATA,2,FALSE),MONTH(Table2[[#This Row],[Data attivazione]]),DAY(Table2[[#This Row],[Data attivazione]]))</f>
        <v>693962</v>
      </c>
      <c r="Y422" s="65"/>
      <c r="Z422" s="61"/>
      <c r="AA422" s="64" t="s">
        <v>88</v>
      </c>
      <c r="AB422" s="29" t="str">
        <f>IF(Table2[[#This Row],[Data ultimo versamento temp]]=0/1/1900,"-",Table2[[#This Row],[Data ultimo versamento temp]])</f>
        <v>-</v>
      </c>
      <c r="AC422" s="29">
        <f t="array" ref="AC422">MAX(IF(TableVersamenti[Polizza]=Table2[[#This Row],[Polizza]],TableVersamenti[Data prevista versamento],"-"))</f>
        <v>0</v>
      </c>
      <c r="AD422" s="62"/>
      <c r="AE422" s="106">
        <f>DATE(YEAR(Table2[[#This Row],[Data ultimo pagamento]]),MONTH(Table2[[#This Row],[Data ultimo pagamento]]), 1)</f>
        <v>42186</v>
      </c>
      <c r="AF422" s="106">
        <f>DATE(YEAR(Table2[[#This Row],[Data prossima scadenza]]),MONTH(Table2[[#This Row],[Data prossima scadenza]]), 1)</f>
        <v>693932</v>
      </c>
      <c r="AG422" s="33">
        <f>IFERROR(Table2[[#This Row],[Importo annuale]]*VLOOKUP(Table2[[#This Row],[Ramo]],RAMI_POLIZZA,2,FALSE),0)</f>
        <v>241.5</v>
      </c>
      <c r="AH422" s="65" t="s">
        <v>113</v>
      </c>
      <c r="AI422" s="63" t="str">
        <f>IFERROR(VLOOKUP(Table2[[#This Row],[Contraente]],Table1[[Nome/Ragione sociale]:[Checkbox selezionato]],2,FALSE),"-")</f>
        <v>CURA CARPIGNANO</v>
      </c>
      <c r="AJ422" s="63">
        <f>IFERROR(VLOOKUP(Table2[[#This Row],[Contraente]],Table1[[Nome/Ragione sociale]:[Checkbox selezionato]],3,FALSE),"-")</f>
        <v>0</v>
      </c>
      <c r="AK422" s="63">
        <f>IFERROR(VLOOKUP(Table2[[#This Row],[Contraente]],Table1[[Nome/Ragione sociale]:[Checkbox selezionato]],4,FALSE),"-")</f>
        <v>0</v>
      </c>
      <c r="AL422" s="63" t="str">
        <f>IFERROR(VLOOKUP(Table2[[#This Row],[Contraente]],Table1[[Nome/Ragione sociale]:[Checkbox selezionato]],5,FALSE),"-")</f>
        <v>FABIO</v>
      </c>
      <c r="AM422" s="62" t="str">
        <f>IFERROR(VLOOKUP(Table2[[#This Row],[Contraente]],Table1[[Nome/Ragione sociale]:[Checkbox selezionato]],6,FALSE),"-")</f>
        <v>-</v>
      </c>
      <c r="AN422" s="63" t="str">
        <f>IFERROR(VLOOKUP(Table2[[#This Row],[Contraente]],Table1[[Nome/Ragione sociale]:[Checkbox selezionato]],7,FALSE),"-")</f>
        <v>papies@email.it</v>
      </c>
      <c r="AO422" s="63">
        <f>IFERROR(VLOOKUP(Table2[[#This Row],[Contraente]],Table1[[Nome/Ragione sociale]:[Checkbox selezionato]],8,FALSE),"-")</f>
        <v>0</v>
      </c>
      <c r="AP422" s="63">
        <f>IFERROR(VLOOKUP(Table2[[#This Row],[Contraente]],Table1[[Nome/Ragione sociale]:[Checkbox selezionato]],10,FALSE),"-")</f>
        <v>0</v>
      </c>
      <c r="AQ422" s="63" t="str">
        <f>IFERROR(VLOOKUP(Table2[[#This Row],[Contraente]],Table1[[Nome/Ragione sociale]:[Checkbox selezionato]],11,FALSE),"-")</f>
        <v>SI</v>
      </c>
      <c r="AR422" s="63" t="str">
        <f>IFERROR(VLOOKUP(Table2[[#This Row],[Contraente]],Table1[[Nome/Ragione sociale]:[Checkbox selezionato]],12,FALSE),"-")</f>
        <v>SI</v>
      </c>
    </row>
    <row r="423" spans="1:44" ht="30" hidden="1" customHeight="1" x14ac:dyDescent="0.25">
      <c r="A423" s="60" t="str">
        <f>UPPER(LEFT(Table2[[#This Row],[Contraente]],1))</f>
        <v>E</v>
      </c>
      <c r="B423" s="60" t="s">
        <v>1634</v>
      </c>
      <c r="C423" s="81" t="s">
        <v>122</v>
      </c>
      <c r="D423" s="81" t="s">
        <v>37</v>
      </c>
      <c r="E423" s="86">
        <v>103261611</v>
      </c>
      <c r="F423" s="64">
        <v>42039</v>
      </c>
      <c r="G423" s="64">
        <f>IFERROR(CALCOLASCADENZA(Table2[[#This Row],[Data attivazione]],Table2[[#This Row],[Rateizzazione]],Table2[[#This Row],[Data ultimo pagamento]],Table2[[#This Row],[Data prossima scadenza manuale]]),"-")</f>
        <v>42039</v>
      </c>
      <c r="H423" s="67" t="s">
        <v>30</v>
      </c>
      <c r="I423" s="67"/>
      <c r="J423" s="33">
        <v>0</v>
      </c>
      <c r="K423" s="88"/>
      <c r="L423" s="88">
        <v>0</v>
      </c>
      <c r="M423" s="67" t="s">
        <v>44</v>
      </c>
      <c r="N423" s="67" t="s">
        <v>52</v>
      </c>
      <c r="O423" s="27" t="s">
        <v>1631</v>
      </c>
      <c r="P423" s="33" t="s">
        <v>24</v>
      </c>
      <c r="Q42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3" s="67" t="s">
        <v>2</v>
      </c>
      <c r="V423" s="62"/>
      <c r="W423" s="64">
        <v>693597</v>
      </c>
      <c r="X423" s="29">
        <f>DATE(YEAR(Table2[[#This Row],[Data attivazione]])+VLOOKUP(Table2[[#This Row],[Durata]],VALORE_DURATA,2,FALSE),MONTH(Table2[[#This Row],[Data attivazione]]),DAY(Table2[[#This Row],[Data attivazione]]))</f>
        <v>693962</v>
      </c>
      <c r="Y423" s="65"/>
      <c r="Z423" s="61"/>
      <c r="AA423" s="64" t="s">
        <v>88</v>
      </c>
      <c r="AB423" s="29" t="str">
        <f>IF(Table2[[#This Row],[Data ultimo versamento temp]]=0/1/1900,"-",Table2[[#This Row],[Data ultimo versamento temp]])</f>
        <v>-</v>
      </c>
      <c r="AC423" s="29">
        <f t="array" ref="AC423">MAX(IF(TableVersamenti[Polizza]=Table2[[#This Row],[Polizza]],TableVersamenti[Data prevista versamento],"-"))</f>
        <v>0</v>
      </c>
      <c r="AD423" s="62"/>
      <c r="AE423" s="106">
        <f>DATE(YEAR(Table2[[#This Row],[Data ultimo pagamento]]),MONTH(Table2[[#This Row],[Data ultimo pagamento]]), 1)</f>
        <v>42036</v>
      </c>
      <c r="AF423" s="106">
        <f>DATE(YEAR(Table2[[#This Row],[Data prossima scadenza]]),MONTH(Table2[[#This Row],[Data prossima scadenza]]), 1)</f>
        <v>42036</v>
      </c>
      <c r="AG423" s="33">
        <f>IFERROR(Table2[[#This Row],[Importo annuale]]*VLOOKUP(Table2[[#This Row],[Ramo]],RAMI_POLIZZA,2,FALSE),0)</f>
        <v>0</v>
      </c>
      <c r="AH423" s="65" t="s">
        <v>113</v>
      </c>
      <c r="AI423" s="63" t="str">
        <f>IFERROR(VLOOKUP(Table2[[#This Row],[Contraente]],Table1[[Nome/Ragione sociale]:[Checkbox selezionato]],2,FALSE),"-")</f>
        <v>CURA CARPIGNANO</v>
      </c>
      <c r="AJ423" s="63">
        <f>IFERROR(VLOOKUP(Table2[[#This Row],[Contraente]],Table1[[Nome/Ragione sociale]:[Checkbox selezionato]],3,FALSE),"-")</f>
        <v>0</v>
      </c>
      <c r="AK423" s="63">
        <f>IFERROR(VLOOKUP(Table2[[#This Row],[Contraente]],Table1[[Nome/Ragione sociale]:[Checkbox selezionato]],4,FALSE),"-")</f>
        <v>0</v>
      </c>
      <c r="AL423" s="63" t="str">
        <f>IFERROR(VLOOKUP(Table2[[#This Row],[Contraente]],Table1[[Nome/Ragione sociale]:[Checkbox selezionato]],5,FALSE),"-")</f>
        <v>FABIO</v>
      </c>
      <c r="AM423" s="62" t="str">
        <f>IFERROR(VLOOKUP(Table2[[#This Row],[Contraente]],Table1[[Nome/Ragione sociale]:[Checkbox selezionato]],6,FALSE),"-")</f>
        <v>-</v>
      </c>
      <c r="AN423" s="63" t="str">
        <f>IFERROR(VLOOKUP(Table2[[#This Row],[Contraente]],Table1[[Nome/Ragione sociale]:[Checkbox selezionato]],7,FALSE),"-")</f>
        <v>papies@email.it</v>
      </c>
      <c r="AO423" s="63">
        <f>IFERROR(VLOOKUP(Table2[[#This Row],[Contraente]],Table1[[Nome/Ragione sociale]:[Checkbox selezionato]],8,FALSE),"-")</f>
        <v>0</v>
      </c>
      <c r="AP423" s="63">
        <f>IFERROR(VLOOKUP(Table2[[#This Row],[Contraente]],Table1[[Nome/Ragione sociale]:[Checkbox selezionato]],10,FALSE),"-")</f>
        <v>0</v>
      </c>
      <c r="AQ423" s="63" t="str">
        <f>IFERROR(VLOOKUP(Table2[[#This Row],[Contraente]],Table1[[Nome/Ragione sociale]:[Checkbox selezionato]],11,FALSE),"-")</f>
        <v>SI</v>
      </c>
      <c r="AR423" s="63" t="str">
        <f>IFERROR(VLOOKUP(Table2[[#This Row],[Contraente]],Table1[[Nome/Ragione sociale]:[Checkbox selezionato]],12,FALSE),"-")</f>
        <v>SI</v>
      </c>
    </row>
    <row r="424" spans="1:44" ht="30" hidden="1" customHeight="1" x14ac:dyDescent="0.25">
      <c r="A424" s="60" t="str">
        <f>UPPER(LEFT(Table2[[#This Row],[Contraente]],1))</f>
        <v>E</v>
      </c>
      <c r="B424" s="60" t="s">
        <v>1634</v>
      </c>
      <c r="C424" s="81" t="s">
        <v>122</v>
      </c>
      <c r="D424" s="81" t="s">
        <v>37</v>
      </c>
      <c r="E424" s="86">
        <v>105688204</v>
      </c>
      <c r="F424" s="64">
        <v>42562</v>
      </c>
      <c r="G424" s="64">
        <f>IFERROR(CALCOLASCADENZA(Table2[[#This Row],[Data attivazione]],Table2[[#This Row],[Rateizzazione]],Table2[[#This Row],[Data ultimo pagamento]],Table2[[#This Row],[Data prossima scadenza manuale]]),"-")</f>
        <v>42562</v>
      </c>
      <c r="H424" s="67" t="s">
        <v>31</v>
      </c>
      <c r="I424" s="67" t="s">
        <v>1290</v>
      </c>
      <c r="J424" s="33">
        <v>-92.11</v>
      </c>
      <c r="K424" s="88"/>
      <c r="L424" s="88">
        <v>0</v>
      </c>
      <c r="M424" s="67" t="s">
        <v>45</v>
      </c>
      <c r="N424" s="67" t="s">
        <v>52</v>
      </c>
      <c r="O424" s="27" t="s">
        <v>1631</v>
      </c>
      <c r="P424" s="33" t="s">
        <v>24</v>
      </c>
      <c r="Q42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4" s="67" t="s">
        <v>2</v>
      </c>
      <c r="V424" s="62"/>
      <c r="W424" s="64">
        <v>42254</v>
      </c>
      <c r="X424" s="29">
        <f>DATE(YEAR(Table2[[#This Row],[Data attivazione]])+VLOOKUP(Table2[[#This Row],[Durata]],VALORE_DURATA,2,FALSE),MONTH(Table2[[#This Row],[Data attivazione]]),DAY(Table2[[#This Row],[Data attivazione]]))</f>
        <v>42620</v>
      </c>
      <c r="Y424" s="65"/>
      <c r="Z424" s="61"/>
      <c r="AA424" s="64" t="s">
        <v>88</v>
      </c>
      <c r="AB424" s="29" t="str">
        <f>IF(Table2[[#This Row],[Data ultimo versamento temp]]=0/1/1900,"-",Table2[[#This Row],[Data ultimo versamento temp]])</f>
        <v>-</v>
      </c>
      <c r="AC424" s="29">
        <f t="array" ref="AC424">MAX(IF(TableVersamenti[Polizza]=Table2[[#This Row],[Polizza]],TableVersamenti[Data prevista versamento],"-"))</f>
        <v>0</v>
      </c>
      <c r="AD424" s="62"/>
      <c r="AE424" s="106">
        <f>DATE(YEAR(Table2[[#This Row],[Data ultimo pagamento]]),MONTH(Table2[[#This Row],[Data ultimo pagamento]]), 1)</f>
        <v>42552</v>
      </c>
      <c r="AF424" s="106">
        <f>DATE(YEAR(Table2[[#This Row],[Data prossima scadenza]]),MONTH(Table2[[#This Row],[Data prossima scadenza]]), 1)</f>
        <v>42552</v>
      </c>
      <c r="AG424" s="33">
        <f>IFERROR(Table2[[#This Row],[Importo annuale]]*VLOOKUP(Table2[[#This Row],[Ramo]],RAMI_POLIZZA,2,FALSE),0)</f>
        <v>0</v>
      </c>
      <c r="AH424" s="65" t="s">
        <v>113</v>
      </c>
      <c r="AI424" s="63" t="str">
        <f>IFERROR(VLOOKUP(Table2[[#This Row],[Contraente]],Table1[[Nome/Ragione sociale]:[Checkbox selezionato]],2,FALSE),"-")</f>
        <v>CURA CARPIGNANO</v>
      </c>
      <c r="AJ424" s="63">
        <f>IFERROR(VLOOKUP(Table2[[#This Row],[Contraente]],Table1[[Nome/Ragione sociale]:[Checkbox selezionato]],3,FALSE),"-")</f>
        <v>0</v>
      </c>
      <c r="AK424" s="63">
        <f>IFERROR(VLOOKUP(Table2[[#This Row],[Contraente]],Table1[[Nome/Ragione sociale]:[Checkbox selezionato]],4,FALSE),"-")</f>
        <v>0</v>
      </c>
      <c r="AL424" s="63" t="str">
        <f>IFERROR(VLOOKUP(Table2[[#This Row],[Contraente]],Table1[[Nome/Ragione sociale]:[Checkbox selezionato]],5,FALSE),"-")</f>
        <v>FABIO</v>
      </c>
      <c r="AM424" s="62" t="str">
        <f>IFERROR(VLOOKUP(Table2[[#This Row],[Contraente]],Table1[[Nome/Ragione sociale]:[Checkbox selezionato]],6,FALSE),"-")</f>
        <v>-</v>
      </c>
      <c r="AN424" s="63" t="str">
        <f>IFERROR(VLOOKUP(Table2[[#This Row],[Contraente]],Table1[[Nome/Ragione sociale]:[Checkbox selezionato]],7,FALSE),"-")</f>
        <v>papies@email.it</v>
      </c>
      <c r="AO424" s="63">
        <f>IFERROR(VLOOKUP(Table2[[#This Row],[Contraente]],Table1[[Nome/Ragione sociale]:[Checkbox selezionato]],8,FALSE),"-")</f>
        <v>0</v>
      </c>
      <c r="AP424" s="63">
        <f>IFERROR(VLOOKUP(Table2[[#This Row],[Contraente]],Table1[[Nome/Ragione sociale]:[Checkbox selezionato]],10,FALSE),"-")</f>
        <v>0</v>
      </c>
      <c r="AQ424" s="63" t="str">
        <f>IFERROR(VLOOKUP(Table2[[#This Row],[Contraente]],Table1[[Nome/Ragione sociale]:[Checkbox selezionato]],11,FALSE),"-")</f>
        <v>SI</v>
      </c>
      <c r="AR424" s="63" t="str">
        <f>IFERROR(VLOOKUP(Table2[[#This Row],[Contraente]],Table1[[Nome/Ragione sociale]:[Checkbox selezionato]],12,FALSE),"-")</f>
        <v>SI</v>
      </c>
    </row>
    <row r="425" spans="1:44" ht="30" hidden="1" customHeight="1" x14ac:dyDescent="0.25">
      <c r="A425" s="60" t="str">
        <f>UPPER(LEFT(Table2[[#This Row],[Contraente]],1))</f>
        <v>E</v>
      </c>
      <c r="B425" s="60" t="s">
        <v>1634</v>
      </c>
      <c r="C425" s="81" t="s">
        <v>122</v>
      </c>
      <c r="D425" s="81" t="s">
        <v>37</v>
      </c>
      <c r="E425" s="86">
        <v>104085478</v>
      </c>
      <c r="F425" s="64">
        <v>42122</v>
      </c>
      <c r="G425" s="64">
        <f>IFERROR(CALCOLASCADENZA(Table2[[#This Row],[Data attivazione]],Table2[[#This Row],[Rateizzazione]],Table2[[#This Row],[Data ultimo pagamento]],Table2[[#This Row],[Data prossima scadenza manuale]]),"-")</f>
        <v>42122</v>
      </c>
      <c r="H425" s="67" t="s">
        <v>31</v>
      </c>
      <c r="I425" s="67"/>
      <c r="J425" s="33">
        <v>0</v>
      </c>
      <c r="K425" s="88"/>
      <c r="L425" s="88">
        <v>0</v>
      </c>
      <c r="M425" s="67" t="s">
        <v>45</v>
      </c>
      <c r="N425" s="67" t="s">
        <v>52</v>
      </c>
      <c r="O425" s="27" t="s">
        <v>1631</v>
      </c>
      <c r="P425" s="33" t="s">
        <v>24</v>
      </c>
      <c r="Q42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5" s="67" t="s">
        <v>2</v>
      </c>
      <c r="V425" s="62"/>
      <c r="W425" s="64">
        <v>693597</v>
      </c>
      <c r="X425" s="29">
        <f>DATE(YEAR(Table2[[#This Row],[Data attivazione]])+VLOOKUP(Table2[[#This Row],[Durata]],VALORE_DURATA,2,FALSE),MONTH(Table2[[#This Row],[Data attivazione]]),DAY(Table2[[#This Row],[Data attivazione]]))</f>
        <v>693962</v>
      </c>
      <c r="Y425" s="65"/>
      <c r="Z425" s="61"/>
      <c r="AA425" s="64" t="s">
        <v>88</v>
      </c>
      <c r="AB425" s="29" t="str">
        <f>IF(Table2[[#This Row],[Data ultimo versamento temp]]=0/1/1900,"-",Table2[[#This Row],[Data ultimo versamento temp]])</f>
        <v>-</v>
      </c>
      <c r="AC425" s="29">
        <f t="array" ref="AC425">MAX(IF(TableVersamenti[Polizza]=Table2[[#This Row],[Polizza]],TableVersamenti[Data prevista versamento],"-"))</f>
        <v>0</v>
      </c>
      <c r="AD425" s="62"/>
      <c r="AE425" s="106">
        <f>DATE(YEAR(Table2[[#This Row],[Data ultimo pagamento]]),MONTH(Table2[[#This Row],[Data ultimo pagamento]]), 1)</f>
        <v>42095</v>
      </c>
      <c r="AF425" s="106">
        <f>DATE(YEAR(Table2[[#This Row],[Data prossima scadenza]]),MONTH(Table2[[#This Row],[Data prossima scadenza]]), 1)</f>
        <v>42095</v>
      </c>
      <c r="AG425" s="33">
        <f>IFERROR(Table2[[#This Row],[Importo annuale]]*VLOOKUP(Table2[[#This Row],[Ramo]],RAMI_POLIZZA,2,FALSE),0)</f>
        <v>0</v>
      </c>
      <c r="AH425" s="65" t="s">
        <v>113</v>
      </c>
      <c r="AI425" s="63" t="str">
        <f>IFERROR(VLOOKUP(Table2[[#This Row],[Contraente]],Table1[[Nome/Ragione sociale]:[Checkbox selezionato]],2,FALSE),"-")</f>
        <v>CURA CARPIGNANO</v>
      </c>
      <c r="AJ425" s="63">
        <f>IFERROR(VLOOKUP(Table2[[#This Row],[Contraente]],Table1[[Nome/Ragione sociale]:[Checkbox selezionato]],3,FALSE),"-")</f>
        <v>0</v>
      </c>
      <c r="AK425" s="63">
        <f>IFERROR(VLOOKUP(Table2[[#This Row],[Contraente]],Table1[[Nome/Ragione sociale]:[Checkbox selezionato]],4,FALSE),"-")</f>
        <v>0</v>
      </c>
      <c r="AL425" s="63" t="str">
        <f>IFERROR(VLOOKUP(Table2[[#This Row],[Contraente]],Table1[[Nome/Ragione sociale]:[Checkbox selezionato]],5,FALSE),"-")</f>
        <v>FABIO</v>
      </c>
      <c r="AM425" s="62" t="str">
        <f>IFERROR(VLOOKUP(Table2[[#This Row],[Contraente]],Table1[[Nome/Ragione sociale]:[Checkbox selezionato]],6,FALSE),"-")</f>
        <v>-</v>
      </c>
      <c r="AN425" s="63" t="str">
        <f>IFERROR(VLOOKUP(Table2[[#This Row],[Contraente]],Table1[[Nome/Ragione sociale]:[Checkbox selezionato]],7,FALSE),"-")</f>
        <v>papies@email.it</v>
      </c>
      <c r="AO425" s="63">
        <f>IFERROR(VLOOKUP(Table2[[#This Row],[Contraente]],Table1[[Nome/Ragione sociale]:[Checkbox selezionato]],8,FALSE),"-")</f>
        <v>0</v>
      </c>
      <c r="AP425" s="63">
        <f>IFERROR(VLOOKUP(Table2[[#This Row],[Contraente]],Table1[[Nome/Ragione sociale]:[Checkbox selezionato]],10,FALSE),"-")</f>
        <v>0</v>
      </c>
      <c r="AQ425" s="63" t="str">
        <f>IFERROR(VLOOKUP(Table2[[#This Row],[Contraente]],Table1[[Nome/Ragione sociale]:[Checkbox selezionato]],11,FALSE),"-")</f>
        <v>SI</v>
      </c>
      <c r="AR425" s="63" t="str">
        <f>IFERROR(VLOOKUP(Table2[[#This Row],[Contraente]],Table1[[Nome/Ragione sociale]:[Checkbox selezionato]],12,FALSE),"-")</f>
        <v>SI</v>
      </c>
    </row>
    <row r="426" spans="1:44" ht="30" hidden="1" customHeight="1" x14ac:dyDescent="0.25">
      <c r="A426" s="60" t="str">
        <f>UPPER(LEFT(Table2[[#This Row],[Contraente]],1))</f>
        <v>E</v>
      </c>
      <c r="B426" s="60" t="s">
        <v>1634</v>
      </c>
      <c r="C426" s="81" t="s">
        <v>122</v>
      </c>
      <c r="D426" s="81" t="s">
        <v>37</v>
      </c>
      <c r="E426" s="86">
        <v>105439514</v>
      </c>
      <c r="F426" s="64">
        <v>42551</v>
      </c>
      <c r="G426" s="64">
        <f>IFERROR(CALCOLASCADENZA(Table2[[#This Row],[Data attivazione]],Table2[[#This Row],[Rateizzazione]],Table2[[#This Row],[Data ultimo pagamento]],Table2[[#This Row],[Data prossima scadenza manuale]]),"-")</f>
        <v>42642</v>
      </c>
      <c r="H426" s="67" t="s">
        <v>31</v>
      </c>
      <c r="I426" s="67" t="s">
        <v>1289</v>
      </c>
      <c r="J426" s="33">
        <f>IFERROR(Table2[[#This Row],[Importo annuale]]/(12/VLOOKUP(Table2[[#This Row],[Rateizzazione]],TIPI_RATEIZZAZIONI,2,FALSE)),"-")</f>
        <v>200</v>
      </c>
      <c r="K426" s="88"/>
      <c r="L426" s="88">
        <v>800</v>
      </c>
      <c r="M426" s="67" t="s">
        <v>45</v>
      </c>
      <c r="N426" s="67" t="s">
        <v>52</v>
      </c>
      <c r="O426" s="27" t="s">
        <v>1631</v>
      </c>
      <c r="P426" s="33" t="s">
        <v>20</v>
      </c>
      <c r="Q426" s="60">
        <f>IFERROR(IF(12 / VLOOKUP(Table2[[#This Row],[Rateizzazione]],TIPI_RATEIZZAZIONI,2,FALSE) &gt;=1,  IF(Table2[[#This Row],[Data attivazione]] = "","-",MONTH(Table2[[#This Row],[Data attivazione]])),"-"),"-")</f>
        <v>9</v>
      </c>
      <c r="R4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2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426" s="67" t="s">
        <v>2</v>
      </c>
      <c r="V426" s="62"/>
      <c r="W426" s="64">
        <v>42276</v>
      </c>
      <c r="X426" s="29">
        <f>DATE(YEAR(Table2[[#This Row],[Data attivazione]])+VLOOKUP(Table2[[#This Row],[Durata]],VALORE_DURATA,2,FALSE),MONTH(Table2[[#This Row],[Data attivazione]]),DAY(Table2[[#This Row],[Data attivazione]]))</f>
        <v>42642</v>
      </c>
      <c r="Y426" s="65"/>
      <c r="Z426" s="61"/>
      <c r="AA426" s="64" t="s">
        <v>88</v>
      </c>
      <c r="AB426" s="29" t="str">
        <f>IF(Table2[[#This Row],[Data ultimo versamento temp]]=0/1/1900,"-",Table2[[#This Row],[Data ultimo versamento temp]])</f>
        <v>-</v>
      </c>
      <c r="AC426" s="29">
        <f t="array" ref="AC426">MAX(IF(TableVersamenti[Polizza]=Table2[[#This Row],[Polizza]],TableVersamenti[Data prevista versamento],"-"))</f>
        <v>0</v>
      </c>
      <c r="AD426" s="62"/>
      <c r="AE426" s="106">
        <f>DATE(YEAR(Table2[[#This Row],[Data ultimo pagamento]]),MONTH(Table2[[#This Row],[Data ultimo pagamento]]), 1)</f>
        <v>42522</v>
      </c>
      <c r="AF426" s="106">
        <f>DATE(YEAR(Table2[[#This Row],[Data prossima scadenza]]),MONTH(Table2[[#This Row],[Data prossima scadenza]]), 1)</f>
        <v>42614</v>
      </c>
      <c r="AG426" s="33">
        <f>IFERROR(Table2[[#This Row],[Importo annuale]]*VLOOKUP(Table2[[#This Row],[Ramo]],RAMI_POLIZZA,2,FALSE),0)</f>
        <v>41.6</v>
      </c>
      <c r="AH426" s="65" t="s">
        <v>113</v>
      </c>
      <c r="AI426" s="63" t="str">
        <f>IFERROR(VLOOKUP(Table2[[#This Row],[Contraente]],Table1[[Nome/Ragione sociale]:[Checkbox selezionato]],2,FALSE),"-")</f>
        <v>CURA CARPIGNANO</v>
      </c>
      <c r="AJ426" s="63">
        <f>IFERROR(VLOOKUP(Table2[[#This Row],[Contraente]],Table1[[Nome/Ragione sociale]:[Checkbox selezionato]],3,FALSE),"-")</f>
        <v>0</v>
      </c>
      <c r="AK426" s="63">
        <f>IFERROR(VLOOKUP(Table2[[#This Row],[Contraente]],Table1[[Nome/Ragione sociale]:[Checkbox selezionato]],4,FALSE),"-")</f>
        <v>0</v>
      </c>
      <c r="AL426" s="63" t="str">
        <f>IFERROR(VLOOKUP(Table2[[#This Row],[Contraente]],Table1[[Nome/Ragione sociale]:[Checkbox selezionato]],5,FALSE),"-")</f>
        <v>FABIO</v>
      </c>
      <c r="AM426" s="62" t="str">
        <f>IFERROR(VLOOKUP(Table2[[#This Row],[Contraente]],Table1[[Nome/Ragione sociale]:[Checkbox selezionato]],6,FALSE),"-")</f>
        <v>-</v>
      </c>
      <c r="AN426" s="63" t="str">
        <f>IFERROR(VLOOKUP(Table2[[#This Row],[Contraente]],Table1[[Nome/Ragione sociale]:[Checkbox selezionato]],7,FALSE),"-")</f>
        <v>papies@email.it</v>
      </c>
      <c r="AO426" s="63">
        <f>IFERROR(VLOOKUP(Table2[[#This Row],[Contraente]],Table1[[Nome/Ragione sociale]:[Checkbox selezionato]],8,FALSE),"-")</f>
        <v>0</v>
      </c>
      <c r="AP426" s="63">
        <f>IFERROR(VLOOKUP(Table2[[#This Row],[Contraente]],Table1[[Nome/Ragione sociale]:[Checkbox selezionato]],10,FALSE),"-")</f>
        <v>0</v>
      </c>
      <c r="AQ426" s="63" t="str">
        <f>IFERROR(VLOOKUP(Table2[[#This Row],[Contraente]],Table1[[Nome/Ragione sociale]:[Checkbox selezionato]],11,FALSE),"-")</f>
        <v>SI</v>
      </c>
      <c r="AR426" s="63" t="str">
        <f>IFERROR(VLOOKUP(Table2[[#This Row],[Contraente]],Table1[[Nome/Ragione sociale]:[Checkbox selezionato]],12,FALSE),"-")</f>
        <v>SI</v>
      </c>
    </row>
    <row r="427" spans="1:44" ht="30" hidden="1" customHeight="1" x14ac:dyDescent="0.25">
      <c r="A427" s="60" t="str">
        <f>UPPER(LEFT(Table2[[#This Row],[Contraente]],1))</f>
        <v>E</v>
      </c>
      <c r="B427" s="60" t="s">
        <v>1634</v>
      </c>
      <c r="C427" s="81" t="s">
        <v>614</v>
      </c>
      <c r="D427" s="81" t="s">
        <v>37</v>
      </c>
      <c r="E427" s="86">
        <v>105306431</v>
      </c>
      <c r="F427" s="64">
        <v>42416</v>
      </c>
      <c r="G427" s="64">
        <f>IFERROR(CALCOLASCADENZA(Table2[[#This Row],[Data attivazione]],Table2[[#This Row],[Rateizzazione]],Table2[[#This Row],[Data ultimo pagamento]],Table2[[#This Row],[Data prossima scadenza manuale]]),"-")</f>
        <v>42782</v>
      </c>
      <c r="H427" s="67" t="s">
        <v>30</v>
      </c>
      <c r="I427" s="67" t="s">
        <v>113</v>
      </c>
      <c r="J427" s="33">
        <f>IFERROR(Table2[[#This Row],[Importo annuale]]/(12/VLOOKUP(Table2[[#This Row],[Rateizzazione]],TIPI_RATEIZZAZIONI,2,FALSE)),"-")</f>
        <v>1677</v>
      </c>
      <c r="K427" s="88"/>
      <c r="L427" s="88">
        <v>1677</v>
      </c>
      <c r="M427" s="67" t="s">
        <v>44</v>
      </c>
      <c r="N427" s="67" t="s">
        <v>52</v>
      </c>
      <c r="O427" s="27" t="s">
        <v>1631</v>
      </c>
      <c r="P427" s="33" t="s">
        <v>23</v>
      </c>
      <c r="Q427" s="60">
        <f>IFERROR(IF(12 / VLOOKUP(Table2[[#This Row],[Rateizzazione]],TIPI_RATEIZZAZIONI,2,FALSE) &gt;=1,  IF(Table2[[#This Row],[Data attivazione]] = "","-",MONTH(Table2[[#This Row],[Data attivazione]])),"-"),"-")</f>
        <v>2</v>
      </c>
      <c r="R4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7" s="67" t="s">
        <v>2</v>
      </c>
      <c r="V427" s="62"/>
      <c r="W427" s="64">
        <v>42416</v>
      </c>
      <c r="X427" s="29">
        <f>DATE(YEAR(Table2[[#This Row],[Data attivazione]])+VLOOKUP(Table2[[#This Row],[Durata]],VALORE_DURATA,2,FALSE),MONTH(Table2[[#This Row],[Data attivazione]]),DAY(Table2[[#This Row],[Data attivazione]]))</f>
        <v>42782</v>
      </c>
      <c r="Y427" s="65"/>
      <c r="Z427" s="61"/>
      <c r="AA427" s="64" t="s">
        <v>88</v>
      </c>
      <c r="AB427" s="29" t="str">
        <f>IF(Table2[[#This Row],[Data ultimo versamento temp]]=0/1/1900,"-",Table2[[#This Row],[Data ultimo versamento temp]])</f>
        <v>-</v>
      </c>
      <c r="AC427" s="29">
        <f t="array" ref="AC427">MAX(IF(TableVersamenti[Polizza]=Table2[[#This Row],[Polizza]],TableVersamenti[Data prevista versamento],"-"))</f>
        <v>0</v>
      </c>
      <c r="AD427" s="62"/>
      <c r="AE427" s="106">
        <f>DATE(YEAR(Table2[[#This Row],[Data ultimo pagamento]]),MONTH(Table2[[#This Row],[Data ultimo pagamento]]), 1)</f>
        <v>42401</v>
      </c>
      <c r="AF427" s="106">
        <f>DATE(YEAR(Table2[[#This Row],[Data prossima scadenza]]),MONTH(Table2[[#This Row],[Data prossima scadenza]]), 1)</f>
        <v>42767</v>
      </c>
      <c r="AG427" s="33">
        <f>IFERROR(Table2[[#This Row],[Importo annuale]]*VLOOKUP(Table2[[#This Row],[Ramo]],RAMI_POLIZZA,2,FALSE),0)</f>
        <v>192.85500000000002</v>
      </c>
      <c r="AH427" s="65" t="s">
        <v>113</v>
      </c>
      <c r="AI427" s="63" t="str">
        <f>IFERROR(VLOOKUP(Table2[[#This Row],[Contraente]],Table1[[Nome/Ragione sociale]:[Checkbox selezionato]],2,FALSE),"-")</f>
        <v>ALBUZZANO</v>
      </c>
      <c r="AJ427" s="63">
        <f>IFERROR(VLOOKUP(Table2[[#This Row],[Contraente]],Table1[[Nome/Ragione sociale]:[Checkbox selezionato]],3,FALSE),"-")</f>
        <v>3383831801</v>
      </c>
      <c r="AK427" s="63">
        <f>IFERROR(VLOOKUP(Table2[[#This Row],[Contraente]],Table1[[Nome/Ragione sociale]:[Checkbox selezionato]],4,FALSE),"-")</f>
        <v>0</v>
      </c>
      <c r="AL427" s="63" t="str">
        <f>IFERROR(VLOOKUP(Table2[[#This Row],[Contraente]],Table1[[Nome/Ragione sociale]:[Checkbox selezionato]],5,FALSE),"-")</f>
        <v>EMILIO GARBIN</v>
      </c>
      <c r="AM427" s="62" t="str">
        <f>IFERROR(VLOOKUP(Table2[[#This Row],[Contraente]],Table1[[Nome/Ragione sociale]:[Checkbox selezionato]],6,FALSE),"-")</f>
        <v>-</v>
      </c>
      <c r="AN427" s="63" t="str">
        <f>IFERROR(VLOOKUP(Table2[[#This Row],[Contraente]],Table1[[Nome/Ragione sociale]:[Checkbox selezionato]],7,FALSE),"-")</f>
        <v>papies@libero.it</v>
      </c>
      <c r="AO427" s="63">
        <f>IFERROR(VLOOKUP(Table2[[#This Row],[Contraente]],Table1[[Nome/Ragione sociale]:[Checkbox selezionato]],8,FALSE),"-")</f>
        <v>0</v>
      </c>
      <c r="AP427" s="63">
        <f>IFERROR(VLOOKUP(Table2[[#This Row],[Contraente]],Table1[[Nome/Ragione sociale]:[Checkbox selezionato]],10,FALSE),"-")</f>
        <v>3383831801</v>
      </c>
      <c r="AQ427" s="63" t="str">
        <f>IFERROR(VLOOKUP(Table2[[#This Row],[Contraente]],Table1[[Nome/Ragione sociale]:[Checkbox selezionato]],11,FALSE),"-")</f>
        <v>SI</v>
      </c>
      <c r="AR427" s="63" t="str">
        <f>IFERROR(VLOOKUP(Table2[[#This Row],[Contraente]],Table1[[Nome/Ragione sociale]:[Checkbox selezionato]],12,FALSE),"-")</f>
        <v>SI</v>
      </c>
    </row>
    <row r="428" spans="1:44" ht="30" hidden="1" customHeight="1" x14ac:dyDescent="0.25">
      <c r="A428" s="60" t="str">
        <f>UPPER(LEFT(Table2[[#This Row],[Contraente]],1))</f>
        <v>E</v>
      </c>
      <c r="B428" s="60" t="s">
        <v>1634</v>
      </c>
      <c r="C428" s="81" t="s">
        <v>628</v>
      </c>
      <c r="D428" s="81" t="s">
        <v>37</v>
      </c>
      <c r="E428" s="86">
        <v>106952550</v>
      </c>
      <c r="F428" s="64">
        <v>42893</v>
      </c>
      <c r="G428" s="64">
        <f>IFERROR(CALCOLASCADENZA(Table2[[#This Row],[Data attivazione]],Table2[[#This Row],[Rateizzazione]],Table2[[#This Row],[Data ultimo pagamento]],Table2[[#This Row],[Data prossima scadenza manuale]]),"-")</f>
        <v>43258</v>
      </c>
      <c r="H428" s="67" t="s">
        <v>31</v>
      </c>
      <c r="I428" s="67" t="s">
        <v>1302</v>
      </c>
      <c r="J428" s="33">
        <f>IFERROR(Table2[[#This Row],[Importo annuale]]/(12/VLOOKUP(Table2[[#This Row],[Rateizzazione]],TIPI_RATEIZZAZIONI,2,FALSE)),"-")</f>
        <v>1238</v>
      </c>
      <c r="K428" s="88">
        <v>1238</v>
      </c>
      <c r="L428" s="88">
        <v>1238</v>
      </c>
      <c r="M428" s="67" t="s">
        <v>44</v>
      </c>
      <c r="N428" s="67" t="s">
        <v>51</v>
      </c>
      <c r="O428" s="27" t="s">
        <v>1631</v>
      </c>
      <c r="P428" s="33" t="s">
        <v>23</v>
      </c>
      <c r="Q428" s="60">
        <f>IFERROR(IF(12 / VLOOKUP(Table2[[#This Row],[Rateizzazione]],TIPI_RATEIZZAZIONI,2,FALSE) &gt;=1,  IF(Table2[[#This Row],[Data attivazione]] = "","-",MONTH(Table2[[#This Row],[Data attivazione]])),"-"),"-")</f>
        <v>6</v>
      </c>
      <c r="R4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8" s="67" t="s">
        <v>2</v>
      </c>
      <c r="V428" s="62"/>
      <c r="W428" s="64">
        <v>42893</v>
      </c>
      <c r="X428" s="29">
        <f>DATE(YEAR(Table2[[#This Row],[Data attivazione]])+VLOOKUP(Table2[[#This Row],[Durata]],VALORE_DURATA,2,FALSE),MONTH(Table2[[#This Row],[Data attivazione]]),DAY(Table2[[#This Row],[Data attivazione]]))</f>
        <v>43258</v>
      </c>
      <c r="Y428" s="65"/>
      <c r="Z428" s="61"/>
      <c r="AA428" s="64" t="s">
        <v>85</v>
      </c>
      <c r="AB428" s="29" t="str">
        <f>IF(Table2[[#This Row],[Data ultimo versamento temp]]=0/1/1900,"-",Table2[[#This Row],[Data ultimo versamento temp]])</f>
        <v>-</v>
      </c>
      <c r="AC428" s="29">
        <f t="array" ref="AC428">MAX(IF(TableVersamenti[Polizza]=Table2[[#This Row],[Polizza]],TableVersamenti[Data prevista versamento],"-"))</f>
        <v>0</v>
      </c>
      <c r="AD428" s="62"/>
      <c r="AE428" s="106">
        <f>DATE(YEAR(Table2[[#This Row],[Data ultimo pagamento]]),MONTH(Table2[[#This Row],[Data ultimo pagamento]]), 1)</f>
        <v>42887</v>
      </c>
      <c r="AF428" s="106">
        <f>DATE(YEAR(Table2[[#This Row],[Data prossima scadenza]]),MONTH(Table2[[#This Row],[Data prossima scadenza]]), 1)</f>
        <v>43252</v>
      </c>
      <c r="AG428" s="33">
        <f>IFERROR(Table2[[#This Row],[Importo annuale]]*VLOOKUP(Table2[[#This Row],[Ramo]],RAMI_POLIZZA,2,FALSE),0)</f>
        <v>64.375999999999991</v>
      </c>
      <c r="AH428" s="65" t="s">
        <v>113</v>
      </c>
      <c r="AI428" s="63" t="str">
        <f>IFERROR(VLOOKUP(Table2[[#This Row],[Contraente]],Table1[[Nome/Ragione sociale]:[Checkbox selezionato]],2,FALSE),"-")</f>
        <v>BRONI</v>
      </c>
      <c r="AJ428" s="63">
        <f>IFERROR(VLOOKUP(Table2[[#This Row],[Contraente]],Table1[[Nome/Ragione sociale]:[Checkbox selezionato]],3,FALSE),"-")</f>
        <v>3396011052</v>
      </c>
      <c r="AK428" s="63">
        <f>IFERROR(VLOOKUP(Table2[[#This Row],[Contraente]],Table1[[Nome/Ragione sociale]:[Checkbox selezionato]],4,FALSE),"-")</f>
        <v>0</v>
      </c>
      <c r="AL428" s="63" t="str">
        <f>IFERROR(VLOOKUP(Table2[[#This Row],[Contraente]],Table1[[Nome/Ragione sociale]:[Checkbox selezionato]],5,FALSE),"-")</f>
        <v>GENTIAN</v>
      </c>
      <c r="AM428" s="62" t="str">
        <f>IFERROR(VLOOKUP(Table2[[#This Row],[Contraente]],Table1[[Nome/Ragione sociale]:[Checkbox selezionato]],6,FALSE),"-")</f>
        <v>-</v>
      </c>
      <c r="AN428" s="63" t="str">
        <f>IFERROR(VLOOKUP(Table2[[#This Row],[Contraente]],Table1[[Nome/Ragione sociale]:[Checkbox selezionato]],7,FALSE),"-")</f>
        <v>papies@libero.it</v>
      </c>
      <c r="AO428" s="63">
        <f>IFERROR(VLOOKUP(Table2[[#This Row],[Contraente]],Table1[[Nome/Ragione sociale]:[Checkbox selezionato]],8,FALSE),"-")</f>
        <v>0</v>
      </c>
      <c r="AP428" s="63">
        <f>IFERROR(VLOOKUP(Table2[[#This Row],[Contraente]],Table1[[Nome/Ragione sociale]:[Checkbox selezionato]],10,FALSE),"-")</f>
        <v>3396011052</v>
      </c>
      <c r="AQ428" s="63" t="str">
        <f>IFERROR(VLOOKUP(Table2[[#This Row],[Contraente]],Table1[[Nome/Ragione sociale]:[Checkbox selezionato]],11,FALSE),"-")</f>
        <v>SI</v>
      </c>
      <c r="AR428" s="63" t="str">
        <f>IFERROR(VLOOKUP(Table2[[#This Row],[Contraente]],Table1[[Nome/Ragione sociale]:[Checkbox selezionato]],12,FALSE),"-")</f>
        <v>SI</v>
      </c>
    </row>
    <row r="429" spans="1:44" ht="30" hidden="1" customHeight="1" x14ac:dyDescent="0.25">
      <c r="A429" s="60" t="str">
        <f>UPPER(LEFT(Table2[[#This Row],[Contraente]],1))</f>
        <v>E</v>
      </c>
      <c r="B429" s="60" t="s">
        <v>1634</v>
      </c>
      <c r="C429" s="81" t="s">
        <v>626</v>
      </c>
      <c r="D429" s="81" t="s">
        <v>37</v>
      </c>
      <c r="E429" s="86">
        <v>106543409</v>
      </c>
      <c r="F429" s="64">
        <v>42786</v>
      </c>
      <c r="G429" s="64">
        <f>IFERROR(CALCOLASCADENZA(Table2[[#This Row],[Data attivazione]],Table2[[#This Row],[Rateizzazione]],Table2[[#This Row],[Data ultimo pagamento]],Table2[[#This Row],[Data prossima scadenza manuale]]),"-")</f>
        <v>43154</v>
      </c>
      <c r="H429" s="67" t="s">
        <v>31</v>
      </c>
      <c r="I429" s="67" t="s">
        <v>1300</v>
      </c>
      <c r="J429" s="33">
        <f>IFERROR(Table2[[#This Row],[Importo annuale]]/(12/VLOOKUP(Table2[[#This Row],[Rateizzazione]],TIPI_RATEIZZAZIONI,2,FALSE)),"-")</f>
        <v>590.70000000000005</v>
      </c>
      <c r="K429" s="88">
        <v>590.70000000000005</v>
      </c>
      <c r="L429" s="88">
        <v>590.70000000000005</v>
      </c>
      <c r="M429" s="67" t="s">
        <v>44</v>
      </c>
      <c r="N429" s="67" t="s">
        <v>52</v>
      </c>
      <c r="O429" s="27" t="s">
        <v>1631</v>
      </c>
      <c r="P429" s="33" t="s">
        <v>23</v>
      </c>
      <c r="Q429" s="60">
        <f>IFERROR(IF(12 / VLOOKUP(Table2[[#This Row],[Rateizzazione]],TIPI_RATEIZZAZIONI,2,FALSE) &gt;=1,  IF(Table2[[#This Row],[Data attivazione]] = "","-",MONTH(Table2[[#This Row],[Data attivazione]])),"-"),"-")</f>
        <v>2</v>
      </c>
      <c r="R4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9" s="67" t="s">
        <v>2</v>
      </c>
      <c r="V429" s="62"/>
      <c r="W429" s="64">
        <v>42423</v>
      </c>
      <c r="X429" s="29">
        <f>DATE(YEAR(Table2[[#This Row],[Data attivazione]])+VLOOKUP(Table2[[#This Row],[Durata]],VALORE_DURATA,2,FALSE),MONTH(Table2[[#This Row],[Data attivazione]]),DAY(Table2[[#This Row],[Data attivazione]]))</f>
        <v>42789</v>
      </c>
      <c r="Y429" s="65"/>
      <c r="Z429" s="61"/>
      <c r="AA429" s="64" t="s">
        <v>88</v>
      </c>
      <c r="AB429" s="29" t="str">
        <f>IF(Table2[[#This Row],[Data ultimo versamento temp]]=0/1/1900,"-",Table2[[#This Row],[Data ultimo versamento temp]])</f>
        <v>-</v>
      </c>
      <c r="AC429" s="29">
        <f t="array" ref="AC429">MAX(IF(TableVersamenti[Polizza]=Table2[[#This Row],[Polizza]],TableVersamenti[Data prevista versamento],"-"))</f>
        <v>0</v>
      </c>
      <c r="AD429" s="62"/>
      <c r="AE429" s="106">
        <f>DATE(YEAR(Table2[[#This Row],[Data ultimo pagamento]]),MONTH(Table2[[#This Row],[Data ultimo pagamento]]), 1)</f>
        <v>42767</v>
      </c>
      <c r="AF429" s="106">
        <f>DATE(YEAR(Table2[[#This Row],[Data prossima scadenza]]),MONTH(Table2[[#This Row],[Data prossima scadenza]]), 1)</f>
        <v>43132</v>
      </c>
      <c r="AG429" s="33">
        <f>IFERROR(Table2[[#This Row],[Importo annuale]]*VLOOKUP(Table2[[#This Row],[Ramo]],RAMI_POLIZZA,2,FALSE),0)</f>
        <v>30.7164</v>
      </c>
      <c r="AH429" s="65" t="s">
        <v>113</v>
      </c>
      <c r="AI429" s="63" t="str">
        <f>IFERROR(VLOOKUP(Table2[[#This Row],[Contraente]],Table1[[Nome/Ragione sociale]:[Checkbox selezionato]],2,FALSE),"-")</f>
        <v>BRONI</v>
      </c>
      <c r="AJ429" s="63">
        <f>IFERROR(VLOOKUP(Table2[[#This Row],[Contraente]],Table1[[Nome/Ragione sociale]:[Checkbox selezionato]],3,FALSE),"-")</f>
        <v>3396011052</v>
      </c>
      <c r="AK429" s="63">
        <f>IFERROR(VLOOKUP(Table2[[#This Row],[Contraente]],Table1[[Nome/Ragione sociale]:[Checkbox selezionato]],4,FALSE),"-")</f>
        <v>0</v>
      </c>
      <c r="AL429" s="63" t="str">
        <f>IFERROR(VLOOKUP(Table2[[#This Row],[Contraente]],Table1[[Nome/Ragione sociale]:[Checkbox selezionato]],5,FALSE),"-")</f>
        <v>GENTIAN</v>
      </c>
      <c r="AM429" s="62" t="str">
        <f>IFERROR(VLOOKUP(Table2[[#This Row],[Contraente]],Table1[[Nome/Ragione sociale]:[Checkbox selezionato]],6,FALSE),"-")</f>
        <v>-</v>
      </c>
      <c r="AN429" s="63" t="str">
        <f>IFERROR(VLOOKUP(Table2[[#This Row],[Contraente]],Table1[[Nome/Ragione sociale]:[Checkbox selezionato]],7,FALSE),"-")</f>
        <v>papies@email.it</v>
      </c>
      <c r="AO429" s="63">
        <f>IFERROR(VLOOKUP(Table2[[#This Row],[Contraente]],Table1[[Nome/Ragione sociale]:[Checkbox selezionato]],8,FALSE),"-")</f>
        <v>0</v>
      </c>
      <c r="AP429" s="63">
        <f>IFERROR(VLOOKUP(Table2[[#This Row],[Contraente]],Table1[[Nome/Ragione sociale]:[Checkbox selezionato]],10,FALSE),"-")</f>
        <v>3396011052</v>
      </c>
      <c r="AQ429" s="63" t="str">
        <f>IFERROR(VLOOKUP(Table2[[#This Row],[Contraente]],Table1[[Nome/Ragione sociale]:[Checkbox selezionato]],11,FALSE),"-")</f>
        <v>SI</v>
      </c>
      <c r="AR429" s="63" t="str">
        <f>IFERROR(VLOOKUP(Table2[[#This Row],[Contraente]],Table1[[Nome/Ragione sociale]:[Checkbox selezionato]],12,FALSE),"-")</f>
        <v>SI</v>
      </c>
    </row>
    <row r="430" spans="1:44" ht="30" hidden="1" customHeight="1" x14ac:dyDescent="0.25">
      <c r="A430" s="60" t="str">
        <f>UPPER(LEFT(Table2[[#This Row],[Contraente]],1))</f>
        <v>E</v>
      </c>
      <c r="B430" s="60" t="s">
        <v>1634</v>
      </c>
      <c r="C430" s="81" t="s">
        <v>626</v>
      </c>
      <c r="D430" s="81" t="s">
        <v>37</v>
      </c>
      <c r="E430" s="86">
        <v>106830624</v>
      </c>
      <c r="F430" s="64">
        <v>42860</v>
      </c>
      <c r="G430" s="64">
        <f>IFERROR(CALCOLASCADENZA(Table2[[#This Row],[Data attivazione]],Table2[[#This Row],[Rateizzazione]],Table2[[#This Row],[Data ultimo pagamento]],Table2[[#This Row],[Data prossima scadenza manuale]]),"-")</f>
        <v>43231</v>
      </c>
      <c r="H430" s="67" t="s">
        <v>30</v>
      </c>
      <c r="I430" s="67" t="s">
        <v>113</v>
      </c>
      <c r="J430" s="33">
        <f>IFERROR(Table2[[#This Row],[Importo annuale]]/(12/VLOOKUP(Table2[[#This Row],[Rateizzazione]],TIPI_RATEIZZAZIONI,2,FALSE)),"-")</f>
        <v>1481</v>
      </c>
      <c r="K430" s="88">
        <v>1481</v>
      </c>
      <c r="L430" s="88">
        <v>1481</v>
      </c>
      <c r="M430" s="67" t="s">
        <v>44</v>
      </c>
      <c r="N430" s="67" t="s">
        <v>51</v>
      </c>
      <c r="O430" s="27" t="s">
        <v>1631</v>
      </c>
      <c r="P430" s="33" t="s">
        <v>23</v>
      </c>
      <c r="Q430" s="60">
        <f>IFERROR(IF(12 / VLOOKUP(Table2[[#This Row],[Rateizzazione]],TIPI_RATEIZZAZIONI,2,FALSE) &gt;=1,  IF(Table2[[#This Row],[Data attivazione]] = "","-",MONTH(Table2[[#This Row],[Data attivazione]])),"-"),"-")</f>
        <v>5</v>
      </c>
      <c r="R4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0" s="67" t="s">
        <v>2</v>
      </c>
      <c r="V430" s="62"/>
      <c r="W430" s="64">
        <v>42866</v>
      </c>
      <c r="X430" s="29">
        <f>DATE(YEAR(Table2[[#This Row],[Data attivazione]])+VLOOKUP(Table2[[#This Row],[Durata]],VALORE_DURATA,2,FALSE),MONTH(Table2[[#This Row],[Data attivazione]]),DAY(Table2[[#This Row],[Data attivazione]]))</f>
        <v>43231</v>
      </c>
      <c r="Y430" s="65"/>
      <c r="Z430" s="61"/>
      <c r="AA430" s="64" t="s">
        <v>85</v>
      </c>
      <c r="AB430" s="29" t="str">
        <f>IF(Table2[[#This Row],[Data ultimo versamento temp]]=0/1/1900,"-",Table2[[#This Row],[Data ultimo versamento temp]])</f>
        <v>-</v>
      </c>
      <c r="AC430" s="29">
        <f t="array" ref="AC430">MAX(IF(TableVersamenti[Polizza]=Table2[[#This Row],[Polizza]],TableVersamenti[Data prevista versamento],"-"))</f>
        <v>0</v>
      </c>
      <c r="AD430" s="62"/>
      <c r="AE430" s="106">
        <f>DATE(YEAR(Table2[[#This Row],[Data ultimo pagamento]]),MONTH(Table2[[#This Row],[Data ultimo pagamento]]), 1)</f>
        <v>42856</v>
      </c>
      <c r="AF430" s="106">
        <f>DATE(YEAR(Table2[[#This Row],[Data prossima scadenza]]),MONTH(Table2[[#This Row],[Data prossima scadenza]]), 1)</f>
        <v>43221</v>
      </c>
      <c r="AG430" s="33">
        <f>IFERROR(Table2[[#This Row],[Importo annuale]]*VLOOKUP(Table2[[#This Row],[Ramo]],RAMI_POLIZZA,2,FALSE),0)</f>
        <v>170.315</v>
      </c>
      <c r="AH430" s="65" t="s">
        <v>113</v>
      </c>
      <c r="AI430" s="63" t="str">
        <f>IFERROR(VLOOKUP(Table2[[#This Row],[Contraente]],Table1[[Nome/Ragione sociale]:[Checkbox selezionato]],2,FALSE),"-")</f>
        <v>BRONI</v>
      </c>
      <c r="AJ430" s="63">
        <f>IFERROR(VLOOKUP(Table2[[#This Row],[Contraente]],Table1[[Nome/Ragione sociale]:[Checkbox selezionato]],3,FALSE),"-")</f>
        <v>3396011052</v>
      </c>
      <c r="AK430" s="63">
        <f>IFERROR(VLOOKUP(Table2[[#This Row],[Contraente]],Table1[[Nome/Ragione sociale]:[Checkbox selezionato]],4,FALSE),"-")</f>
        <v>0</v>
      </c>
      <c r="AL430" s="63" t="str">
        <f>IFERROR(VLOOKUP(Table2[[#This Row],[Contraente]],Table1[[Nome/Ragione sociale]:[Checkbox selezionato]],5,FALSE),"-")</f>
        <v>GENTIAN</v>
      </c>
      <c r="AM430" s="62" t="str">
        <f>IFERROR(VLOOKUP(Table2[[#This Row],[Contraente]],Table1[[Nome/Ragione sociale]:[Checkbox selezionato]],6,FALSE),"-")</f>
        <v>-</v>
      </c>
      <c r="AN430" s="63" t="str">
        <f>IFERROR(VLOOKUP(Table2[[#This Row],[Contraente]],Table1[[Nome/Ragione sociale]:[Checkbox selezionato]],7,FALSE),"-")</f>
        <v>papies@email.it</v>
      </c>
      <c r="AO430" s="63">
        <f>IFERROR(VLOOKUP(Table2[[#This Row],[Contraente]],Table1[[Nome/Ragione sociale]:[Checkbox selezionato]],8,FALSE),"-")</f>
        <v>0</v>
      </c>
      <c r="AP430" s="63">
        <f>IFERROR(VLOOKUP(Table2[[#This Row],[Contraente]],Table1[[Nome/Ragione sociale]:[Checkbox selezionato]],10,FALSE),"-")</f>
        <v>3396011052</v>
      </c>
      <c r="AQ430" s="63" t="str">
        <f>IFERROR(VLOOKUP(Table2[[#This Row],[Contraente]],Table1[[Nome/Ragione sociale]:[Checkbox selezionato]],11,FALSE),"-")</f>
        <v>SI</v>
      </c>
      <c r="AR430" s="63" t="str">
        <f>IFERROR(VLOOKUP(Table2[[#This Row],[Contraente]],Table1[[Nome/Ragione sociale]:[Checkbox selezionato]],12,FALSE),"-")</f>
        <v>SI</v>
      </c>
    </row>
    <row r="431" spans="1:44" ht="30" hidden="1" customHeight="1" x14ac:dyDescent="0.25">
      <c r="A431" s="60" t="str">
        <f>UPPER(LEFT(Table2[[#This Row],[Contraente]],1))</f>
        <v>E</v>
      </c>
      <c r="B431" s="60" t="s">
        <v>1634</v>
      </c>
      <c r="C431" s="81" t="s">
        <v>626</v>
      </c>
      <c r="D431" s="81" t="s">
        <v>37</v>
      </c>
      <c r="E431" s="86">
        <v>105593180</v>
      </c>
      <c r="F431" s="64">
        <v>42860</v>
      </c>
      <c r="G431" s="64">
        <f>IFERROR(CALCOLASCADENZA(Table2[[#This Row],[Data attivazione]],Table2[[#This Row],[Rateizzazione]],Table2[[#This Row],[Data ultimo pagamento]],Table2[[#This Row],[Data prossima scadenza manuale]]),"-")</f>
        <v>43231</v>
      </c>
      <c r="H431" s="67" t="s">
        <v>31</v>
      </c>
      <c r="I431" s="67" t="s">
        <v>1301</v>
      </c>
      <c r="J431" s="33">
        <f>IFERROR(Table2[[#This Row],[Importo annuale]]/(12/VLOOKUP(Table2[[#This Row],[Rateizzazione]],TIPI_RATEIZZAZIONI,2,FALSE)),"-")</f>
        <v>674</v>
      </c>
      <c r="K431" s="88">
        <v>674</v>
      </c>
      <c r="L431" s="88">
        <v>674</v>
      </c>
      <c r="M431" s="67" t="s">
        <v>44</v>
      </c>
      <c r="N431" s="67" t="s">
        <v>51</v>
      </c>
      <c r="O431" s="27" t="s">
        <v>1631</v>
      </c>
      <c r="P431" s="33" t="s">
        <v>23</v>
      </c>
      <c r="Q431" s="60">
        <f>IFERROR(IF(12 / VLOOKUP(Table2[[#This Row],[Rateizzazione]],TIPI_RATEIZZAZIONI,2,FALSE) &gt;=1,  IF(Table2[[#This Row],[Data attivazione]] = "","-",MONTH(Table2[[#This Row],[Data attivazione]])),"-"),"-")</f>
        <v>5</v>
      </c>
      <c r="R4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1" s="67" t="s">
        <v>2</v>
      </c>
      <c r="V431" s="62"/>
      <c r="W431" s="64">
        <v>42866</v>
      </c>
      <c r="X431" s="29">
        <f>DATE(YEAR(Table2[[#This Row],[Data attivazione]])+VLOOKUP(Table2[[#This Row],[Durata]],VALORE_DURATA,2,FALSE),MONTH(Table2[[#This Row],[Data attivazione]]),DAY(Table2[[#This Row],[Data attivazione]]))</f>
        <v>43231</v>
      </c>
      <c r="Y431" s="65"/>
      <c r="Z431" s="61"/>
      <c r="AA431" s="64" t="s">
        <v>85</v>
      </c>
      <c r="AB431" s="29" t="str">
        <f>IF(Table2[[#This Row],[Data ultimo versamento temp]]=0/1/1900,"-",Table2[[#This Row],[Data ultimo versamento temp]])</f>
        <v>-</v>
      </c>
      <c r="AC431" s="29">
        <f t="array" ref="AC431">MAX(IF(TableVersamenti[Polizza]=Table2[[#This Row],[Polizza]],TableVersamenti[Data prevista versamento],"-"))</f>
        <v>0</v>
      </c>
      <c r="AD431" s="62"/>
      <c r="AE431" s="106">
        <f>DATE(YEAR(Table2[[#This Row],[Data ultimo pagamento]]),MONTH(Table2[[#This Row],[Data ultimo pagamento]]), 1)</f>
        <v>42856</v>
      </c>
      <c r="AF431" s="106">
        <f>DATE(YEAR(Table2[[#This Row],[Data prossima scadenza]]),MONTH(Table2[[#This Row],[Data prossima scadenza]]), 1)</f>
        <v>43221</v>
      </c>
      <c r="AG431" s="33">
        <f>IFERROR(Table2[[#This Row],[Importo annuale]]*VLOOKUP(Table2[[#This Row],[Ramo]],RAMI_POLIZZA,2,FALSE),0)</f>
        <v>35.048000000000002</v>
      </c>
      <c r="AH431" s="65" t="s">
        <v>113</v>
      </c>
      <c r="AI431" s="63" t="str">
        <f>IFERROR(VLOOKUP(Table2[[#This Row],[Contraente]],Table1[[Nome/Ragione sociale]:[Checkbox selezionato]],2,FALSE),"-")</f>
        <v>BRONI</v>
      </c>
      <c r="AJ431" s="63">
        <f>IFERROR(VLOOKUP(Table2[[#This Row],[Contraente]],Table1[[Nome/Ragione sociale]:[Checkbox selezionato]],3,FALSE),"-")</f>
        <v>3396011052</v>
      </c>
      <c r="AK431" s="63">
        <f>IFERROR(VLOOKUP(Table2[[#This Row],[Contraente]],Table1[[Nome/Ragione sociale]:[Checkbox selezionato]],4,FALSE),"-")</f>
        <v>0</v>
      </c>
      <c r="AL431" s="63" t="str">
        <f>IFERROR(VLOOKUP(Table2[[#This Row],[Contraente]],Table1[[Nome/Ragione sociale]:[Checkbox selezionato]],5,FALSE),"-")</f>
        <v>GENTIAN</v>
      </c>
      <c r="AM431" s="62" t="str">
        <f>IFERROR(VLOOKUP(Table2[[#This Row],[Contraente]],Table1[[Nome/Ragione sociale]:[Checkbox selezionato]],6,FALSE),"-")</f>
        <v>-</v>
      </c>
      <c r="AN431" s="63" t="str">
        <f>IFERROR(VLOOKUP(Table2[[#This Row],[Contraente]],Table1[[Nome/Ragione sociale]:[Checkbox selezionato]],7,FALSE),"-")</f>
        <v>papies@email.it</v>
      </c>
      <c r="AO431" s="63">
        <f>IFERROR(VLOOKUP(Table2[[#This Row],[Contraente]],Table1[[Nome/Ragione sociale]:[Checkbox selezionato]],8,FALSE),"-")</f>
        <v>0</v>
      </c>
      <c r="AP431" s="63">
        <f>IFERROR(VLOOKUP(Table2[[#This Row],[Contraente]],Table1[[Nome/Ragione sociale]:[Checkbox selezionato]],10,FALSE),"-")</f>
        <v>3396011052</v>
      </c>
      <c r="AQ431" s="63" t="str">
        <f>IFERROR(VLOOKUP(Table2[[#This Row],[Contraente]],Table1[[Nome/Ragione sociale]:[Checkbox selezionato]],11,FALSE),"-")</f>
        <v>SI</v>
      </c>
      <c r="AR431" s="63" t="str">
        <f>IFERROR(VLOOKUP(Table2[[#This Row],[Contraente]],Table1[[Nome/Ragione sociale]:[Checkbox selezionato]],12,FALSE),"-")</f>
        <v>SI</v>
      </c>
    </row>
    <row r="432" spans="1:44" ht="30" hidden="1" customHeight="1" x14ac:dyDescent="0.25">
      <c r="A432" s="60" t="str">
        <f>UPPER(LEFT(Table2[[#This Row],[Contraente]],1))</f>
        <v>E</v>
      </c>
      <c r="B432" s="60" t="s">
        <v>1634</v>
      </c>
      <c r="C432" s="81" t="s">
        <v>617</v>
      </c>
      <c r="D432" s="81" t="s">
        <v>37</v>
      </c>
      <c r="E432" s="86">
        <v>101979492</v>
      </c>
      <c r="F432" s="64">
        <v>42223</v>
      </c>
      <c r="G432" s="64">
        <f>IFERROR(CALCOLASCADENZA(Table2[[#This Row],[Data attivazione]],Table2[[#This Row],[Rateizzazione]],Table2[[#This Row],[Data ultimo pagamento]],Table2[[#This Row],[Data prossima scadenza manuale]]),"-")</f>
        <v>693962</v>
      </c>
      <c r="H432" s="67" t="s">
        <v>31</v>
      </c>
      <c r="I432" s="67" t="s">
        <v>1297</v>
      </c>
      <c r="J432" s="33">
        <f>IFERROR(Table2[[#This Row],[Importo annuale]]/(12/VLOOKUP(Table2[[#This Row],[Rateizzazione]],TIPI_RATEIZZAZIONI,2,FALSE)),"-")</f>
        <v>320.13</v>
      </c>
      <c r="K432" s="88"/>
      <c r="L432" s="88">
        <v>320.13</v>
      </c>
      <c r="M432" s="67" t="s">
        <v>44</v>
      </c>
      <c r="N432" s="67" t="s">
        <v>51</v>
      </c>
      <c r="O432" s="27" t="s">
        <v>1631</v>
      </c>
      <c r="P432" s="33" t="s">
        <v>23</v>
      </c>
      <c r="Q432" s="60">
        <f>IFERROR(IF(12 / VLOOKUP(Table2[[#This Row],[Rateizzazione]],TIPI_RATEIZZAZIONI,2,FALSE) &gt;=1,  IF(Table2[[#This Row],[Data attivazione]] = "","-",MONTH(Table2[[#This Row],[Data attivazione]])),"-"),"-")</f>
        <v>12</v>
      </c>
      <c r="R4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2" s="67" t="s">
        <v>2</v>
      </c>
      <c r="V432" s="62"/>
      <c r="W432" s="64">
        <v>693597</v>
      </c>
      <c r="X432" s="29">
        <f>DATE(YEAR(Table2[[#This Row],[Data attivazione]])+VLOOKUP(Table2[[#This Row],[Durata]],VALORE_DURATA,2,FALSE),MONTH(Table2[[#This Row],[Data attivazione]]),DAY(Table2[[#This Row],[Data attivazione]]))</f>
        <v>693962</v>
      </c>
      <c r="Y432" s="65"/>
      <c r="Z432" s="61"/>
      <c r="AA432" s="64" t="s">
        <v>88</v>
      </c>
      <c r="AB432" s="29" t="str">
        <f>IF(Table2[[#This Row],[Data ultimo versamento temp]]=0/1/1900,"-",Table2[[#This Row],[Data ultimo versamento temp]])</f>
        <v>-</v>
      </c>
      <c r="AC432" s="29">
        <f t="array" ref="AC432">MAX(IF(TableVersamenti[Polizza]=Table2[[#This Row],[Polizza]],TableVersamenti[Data prevista versamento],"-"))</f>
        <v>0</v>
      </c>
      <c r="AD432" s="62"/>
      <c r="AE432" s="106">
        <f>DATE(YEAR(Table2[[#This Row],[Data ultimo pagamento]]),MONTH(Table2[[#This Row],[Data ultimo pagamento]]), 1)</f>
        <v>42217</v>
      </c>
      <c r="AF432" s="106">
        <f>DATE(YEAR(Table2[[#This Row],[Data prossima scadenza]]),MONTH(Table2[[#This Row],[Data prossima scadenza]]), 1)</f>
        <v>693932</v>
      </c>
      <c r="AG432" s="33">
        <f>IFERROR(Table2[[#This Row],[Importo annuale]]*VLOOKUP(Table2[[#This Row],[Ramo]],RAMI_POLIZZA,2,FALSE),0)</f>
        <v>16.64676</v>
      </c>
      <c r="AH432" s="65" t="s">
        <v>113</v>
      </c>
      <c r="AI432" s="63" t="str">
        <f>IFERROR(VLOOKUP(Table2[[#This Row],[Contraente]],Table1[[Nome/Ragione sociale]:[Checkbox selezionato]],2,FALSE),"-")</f>
        <v>FILIGHERA</v>
      </c>
      <c r="AJ432" s="63">
        <f>IFERROR(VLOOKUP(Table2[[#This Row],[Contraente]],Table1[[Nome/Ragione sociale]:[Checkbox selezionato]],3,FALSE),"-")</f>
        <v>3489280536</v>
      </c>
      <c r="AK432" s="63">
        <f>IFERROR(VLOOKUP(Table2[[#This Row],[Contraente]],Table1[[Nome/Ragione sociale]:[Checkbox selezionato]],4,FALSE),"-")</f>
        <v>0</v>
      </c>
      <c r="AL432" s="63" t="str">
        <f>IFERROR(VLOOKUP(Table2[[#This Row],[Contraente]],Table1[[Nome/Ragione sociale]:[Checkbox selezionato]],5,FALSE),"-")</f>
        <v>LEONARDO</v>
      </c>
      <c r="AM432" s="62" t="str">
        <f>IFERROR(VLOOKUP(Table2[[#This Row],[Contraente]],Table1[[Nome/Ragione sociale]:[Checkbox selezionato]],6,FALSE),"-")</f>
        <v>-</v>
      </c>
      <c r="AN432" s="63" t="str">
        <f>IFERROR(VLOOKUP(Table2[[#This Row],[Contraente]],Table1[[Nome/Ragione sociale]:[Checkbox selezionato]],7,FALSE),"-")</f>
        <v>papies@libero.it</v>
      </c>
      <c r="AO432" s="63">
        <f>IFERROR(VLOOKUP(Table2[[#This Row],[Contraente]],Table1[[Nome/Ragione sociale]:[Checkbox selezionato]],8,FALSE),"-")</f>
        <v>0</v>
      </c>
      <c r="AP432" s="63">
        <f>IFERROR(VLOOKUP(Table2[[#This Row],[Contraente]],Table1[[Nome/Ragione sociale]:[Checkbox selezionato]],10,FALSE),"-")</f>
        <v>3489280536</v>
      </c>
      <c r="AQ432" s="63" t="str">
        <f>IFERROR(VLOOKUP(Table2[[#This Row],[Contraente]],Table1[[Nome/Ragione sociale]:[Checkbox selezionato]],11,FALSE),"-")</f>
        <v>SI</v>
      </c>
      <c r="AR432" s="63" t="str">
        <f>IFERROR(VLOOKUP(Table2[[#This Row],[Contraente]],Table1[[Nome/Ragione sociale]:[Checkbox selezionato]],12,FALSE),"-")</f>
        <v>SI</v>
      </c>
    </row>
    <row r="433" spans="1:44" ht="30" hidden="1" customHeight="1" x14ac:dyDescent="0.25">
      <c r="A433" s="60" t="str">
        <f>UPPER(LEFT(Table2[[#This Row],[Contraente]],1))</f>
        <v>E</v>
      </c>
      <c r="B433" s="60" t="s">
        <v>1634</v>
      </c>
      <c r="C433" s="81" t="s">
        <v>617</v>
      </c>
      <c r="D433" s="81" t="s">
        <v>37</v>
      </c>
      <c r="E433" s="86">
        <v>106824667</v>
      </c>
      <c r="F433" s="64">
        <v>42860</v>
      </c>
      <c r="G433" s="64">
        <f>IFERROR(CALCOLASCADENZA(Table2[[#This Row],[Data attivazione]],Table2[[#This Row],[Rateizzazione]],Table2[[#This Row],[Data ultimo pagamento]],Table2[[#This Row],[Data prossima scadenza manuale]]),"-")</f>
        <v>43044</v>
      </c>
      <c r="H433" s="67" t="s">
        <v>31</v>
      </c>
      <c r="I433" s="67" t="s">
        <v>1295</v>
      </c>
      <c r="J433" s="33">
        <f>IFERROR(Table2[[#This Row],[Importo annuale]]/(12/VLOOKUP(Table2[[#This Row],[Rateizzazione]],TIPI_RATEIZZAZIONI,2,FALSE)),"-")</f>
        <v>250</v>
      </c>
      <c r="K433" s="88">
        <v>250</v>
      </c>
      <c r="L433" s="88">
        <v>500</v>
      </c>
      <c r="M433" s="67" t="s">
        <v>44</v>
      </c>
      <c r="N433" s="67" t="s">
        <v>51</v>
      </c>
      <c r="O433" s="27" t="s">
        <v>1631</v>
      </c>
      <c r="P433" s="33" t="s">
        <v>22</v>
      </c>
      <c r="Q433" s="60">
        <f>IFERROR(IF(12 / VLOOKUP(Table2[[#This Row],[Rateizzazione]],TIPI_RATEIZZAZIONI,2,FALSE) &gt;=1,  IF(Table2[[#This Row],[Data attivazione]] = "","-",MONTH(Table2[[#This Row],[Data attivazione]])),"-"),"-")</f>
        <v>11</v>
      </c>
      <c r="R4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3" s="67" t="s">
        <v>2</v>
      </c>
      <c r="V433" s="62"/>
      <c r="W433" s="64">
        <v>42679</v>
      </c>
      <c r="X433" s="29">
        <f>DATE(YEAR(Table2[[#This Row],[Data attivazione]])+VLOOKUP(Table2[[#This Row],[Durata]],VALORE_DURATA,2,FALSE),MONTH(Table2[[#This Row],[Data attivazione]]),DAY(Table2[[#This Row],[Data attivazione]]))</f>
        <v>43044</v>
      </c>
      <c r="Y433" s="65"/>
      <c r="Z433" s="61"/>
      <c r="AA433" s="64" t="s">
        <v>85</v>
      </c>
      <c r="AB433" s="29" t="str">
        <f>IF(Table2[[#This Row],[Data ultimo versamento temp]]=0/1/1900,"-",Table2[[#This Row],[Data ultimo versamento temp]])</f>
        <v>-</v>
      </c>
      <c r="AC433" s="29">
        <f t="array" ref="AC433">MAX(IF(TableVersamenti[Polizza]=Table2[[#This Row],[Polizza]],TableVersamenti[Data prevista versamento],"-"))</f>
        <v>0</v>
      </c>
      <c r="AD433" s="62"/>
      <c r="AE433" s="106">
        <f>DATE(YEAR(Table2[[#This Row],[Data ultimo pagamento]]),MONTH(Table2[[#This Row],[Data ultimo pagamento]]), 1)</f>
        <v>42856</v>
      </c>
      <c r="AF433" s="106">
        <f>DATE(YEAR(Table2[[#This Row],[Data prossima scadenza]]),MONTH(Table2[[#This Row],[Data prossima scadenza]]), 1)</f>
        <v>43040</v>
      </c>
      <c r="AG433" s="33">
        <f>IFERROR(Table2[[#This Row],[Importo annuale]]*VLOOKUP(Table2[[#This Row],[Ramo]],RAMI_POLIZZA,2,FALSE),0)</f>
        <v>26</v>
      </c>
      <c r="AH433" s="65" t="s">
        <v>113</v>
      </c>
      <c r="AI433" s="63" t="str">
        <f>IFERROR(VLOOKUP(Table2[[#This Row],[Contraente]],Table1[[Nome/Ragione sociale]:[Checkbox selezionato]],2,FALSE),"-")</f>
        <v>FILIGHERA</v>
      </c>
      <c r="AJ433" s="63">
        <f>IFERROR(VLOOKUP(Table2[[#This Row],[Contraente]],Table1[[Nome/Ragione sociale]:[Checkbox selezionato]],3,FALSE),"-")</f>
        <v>3489280536</v>
      </c>
      <c r="AK433" s="63">
        <f>IFERROR(VLOOKUP(Table2[[#This Row],[Contraente]],Table1[[Nome/Ragione sociale]:[Checkbox selezionato]],4,FALSE),"-")</f>
        <v>0</v>
      </c>
      <c r="AL433" s="63" t="str">
        <f>IFERROR(VLOOKUP(Table2[[#This Row],[Contraente]],Table1[[Nome/Ragione sociale]:[Checkbox selezionato]],5,FALSE),"-")</f>
        <v>LEONARDO</v>
      </c>
      <c r="AM433" s="62" t="str">
        <f>IFERROR(VLOOKUP(Table2[[#This Row],[Contraente]],Table1[[Nome/Ragione sociale]:[Checkbox selezionato]],6,FALSE),"-")</f>
        <v>-</v>
      </c>
      <c r="AN433" s="63" t="str">
        <f>IFERROR(VLOOKUP(Table2[[#This Row],[Contraente]],Table1[[Nome/Ragione sociale]:[Checkbox selezionato]],7,FALSE),"-")</f>
        <v>papies@libero.it</v>
      </c>
      <c r="AO433" s="63">
        <f>IFERROR(VLOOKUP(Table2[[#This Row],[Contraente]],Table1[[Nome/Ragione sociale]:[Checkbox selezionato]],8,FALSE),"-")</f>
        <v>0</v>
      </c>
      <c r="AP433" s="63">
        <f>IFERROR(VLOOKUP(Table2[[#This Row],[Contraente]],Table1[[Nome/Ragione sociale]:[Checkbox selezionato]],10,FALSE),"-")</f>
        <v>3489280536</v>
      </c>
      <c r="AQ433" s="63" t="str">
        <f>IFERROR(VLOOKUP(Table2[[#This Row],[Contraente]],Table1[[Nome/Ragione sociale]:[Checkbox selezionato]],11,FALSE),"-")</f>
        <v>SI</v>
      </c>
      <c r="AR433" s="63" t="str">
        <f>IFERROR(VLOOKUP(Table2[[#This Row],[Contraente]],Table1[[Nome/Ragione sociale]:[Checkbox selezionato]],12,FALSE),"-")</f>
        <v>SI</v>
      </c>
    </row>
    <row r="434" spans="1:44" ht="30" hidden="1" customHeight="1" x14ac:dyDescent="0.25">
      <c r="A434" s="60" t="str">
        <f>UPPER(LEFT(Table2[[#This Row],[Contraente]],1))</f>
        <v>E</v>
      </c>
      <c r="B434" s="60" t="s">
        <v>1634</v>
      </c>
      <c r="C434" s="81" t="s">
        <v>617</v>
      </c>
      <c r="D434" s="81" t="s">
        <v>37</v>
      </c>
      <c r="E434" s="86">
        <v>106775716</v>
      </c>
      <c r="F434" s="64">
        <v>42849</v>
      </c>
      <c r="G434" s="64">
        <f>IFERROR(CALCOLASCADENZA(Table2[[#This Row],[Data attivazione]],Table2[[#This Row],[Rateizzazione]],Table2[[#This Row],[Data ultimo pagamento]],Table2[[#This Row],[Data prossima scadenza manuale]]),"-")</f>
        <v>43032</v>
      </c>
      <c r="H434" s="67" t="s">
        <v>31</v>
      </c>
      <c r="I434" s="67" t="s">
        <v>1296</v>
      </c>
      <c r="J434" s="33">
        <f>IFERROR(Table2[[#This Row],[Importo annuale]]/(12/VLOOKUP(Table2[[#This Row],[Rateizzazione]],TIPI_RATEIZZAZIONI,2,FALSE)),"-")</f>
        <v>676</v>
      </c>
      <c r="K434" s="88">
        <v>676</v>
      </c>
      <c r="L434" s="88">
        <v>1352</v>
      </c>
      <c r="M434" s="67" t="s">
        <v>44</v>
      </c>
      <c r="N434" s="67" t="s">
        <v>51</v>
      </c>
      <c r="O434" s="27" t="s">
        <v>1631</v>
      </c>
      <c r="P434" s="33" t="s">
        <v>22</v>
      </c>
      <c r="Q434" s="60">
        <f>IFERROR(IF(12 / VLOOKUP(Table2[[#This Row],[Rateizzazione]],TIPI_RATEIZZAZIONI,2,FALSE) &gt;=1,  IF(Table2[[#This Row],[Data attivazione]] = "","-",MONTH(Table2[[#This Row],[Data attivazione]])),"-"),"-")</f>
        <v>10</v>
      </c>
      <c r="R4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4" s="67" t="s">
        <v>2</v>
      </c>
      <c r="V434" s="62"/>
      <c r="W434" s="64">
        <v>42667</v>
      </c>
      <c r="X434" s="29">
        <f>DATE(YEAR(Table2[[#This Row],[Data attivazione]])+VLOOKUP(Table2[[#This Row],[Durata]],VALORE_DURATA,2,FALSE),MONTH(Table2[[#This Row],[Data attivazione]]),DAY(Table2[[#This Row],[Data attivazione]]))</f>
        <v>43032</v>
      </c>
      <c r="Y434" s="65"/>
      <c r="Z434" s="61"/>
      <c r="AA434" s="64" t="s">
        <v>85</v>
      </c>
      <c r="AB434" s="29" t="str">
        <f>IF(Table2[[#This Row],[Data ultimo versamento temp]]=0/1/1900,"-",Table2[[#This Row],[Data ultimo versamento temp]])</f>
        <v>-</v>
      </c>
      <c r="AC434" s="29">
        <f t="array" ref="AC434">MAX(IF(TableVersamenti[Polizza]=Table2[[#This Row],[Polizza]],TableVersamenti[Data prevista versamento],"-"))</f>
        <v>0</v>
      </c>
      <c r="AD434" s="62"/>
      <c r="AE434" s="106">
        <f>DATE(YEAR(Table2[[#This Row],[Data ultimo pagamento]]),MONTH(Table2[[#This Row],[Data ultimo pagamento]]), 1)</f>
        <v>42826</v>
      </c>
      <c r="AF434" s="106">
        <f>DATE(YEAR(Table2[[#This Row],[Data prossima scadenza]]),MONTH(Table2[[#This Row],[Data prossima scadenza]]), 1)</f>
        <v>43009</v>
      </c>
      <c r="AG434" s="33">
        <f>IFERROR(Table2[[#This Row],[Importo annuale]]*VLOOKUP(Table2[[#This Row],[Ramo]],RAMI_POLIZZA,2,FALSE),0)</f>
        <v>70.304000000000002</v>
      </c>
      <c r="AH434" s="65" t="s">
        <v>113</v>
      </c>
      <c r="AI434" s="63" t="str">
        <f>IFERROR(VLOOKUP(Table2[[#This Row],[Contraente]],Table1[[Nome/Ragione sociale]:[Checkbox selezionato]],2,FALSE),"-")</f>
        <v>FILIGHERA</v>
      </c>
      <c r="AJ434" s="63">
        <f>IFERROR(VLOOKUP(Table2[[#This Row],[Contraente]],Table1[[Nome/Ragione sociale]:[Checkbox selezionato]],3,FALSE),"-")</f>
        <v>3489280536</v>
      </c>
      <c r="AK434" s="63">
        <f>IFERROR(VLOOKUP(Table2[[#This Row],[Contraente]],Table1[[Nome/Ragione sociale]:[Checkbox selezionato]],4,FALSE),"-")</f>
        <v>0</v>
      </c>
      <c r="AL434" s="63" t="str">
        <f>IFERROR(VLOOKUP(Table2[[#This Row],[Contraente]],Table1[[Nome/Ragione sociale]:[Checkbox selezionato]],5,FALSE),"-")</f>
        <v>LEONARDO</v>
      </c>
      <c r="AM434" s="62" t="str">
        <f>IFERROR(VLOOKUP(Table2[[#This Row],[Contraente]],Table1[[Nome/Ragione sociale]:[Checkbox selezionato]],6,FALSE),"-")</f>
        <v>-</v>
      </c>
      <c r="AN434" s="63" t="str">
        <f>IFERROR(VLOOKUP(Table2[[#This Row],[Contraente]],Table1[[Nome/Ragione sociale]:[Checkbox selezionato]],7,FALSE),"-")</f>
        <v>papies@libero.it</v>
      </c>
      <c r="AO434" s="63">
        <f>IFERROR(VLOOKUP(Table2[[#This Row],[Contraente]],Table1[[Nome/Ragione sociale]:[Checkbox selezionato]],8,FALSE),"-")</f>
        <v>0</v>
      </c>
      <c r="AP434" s="63">
        <f>IFERROR(VLOOKUP(Table2[[#This Row],[Contraente]],Table1[[Nome/Ragione sociale]:[Checkbox selezionato]],10,FALSE),"-")</f>
        <v>3489280536</v>
      </c>
      <c r="AQ434" s="63" t="str">
        <f>IFERROR(VLOOKUP(Table2[[#This Row],[Contraente]],Table1[[Nome/Ragione sociale]:[Checkbox selezionato]],11,FALSE),"-")</f>
        <v>SI</v>
      </c>
      <c r="AR434" s="63" t="str">
        <f>IFERROR(VLOOKUP(Table2[[#This Row],[Contraente]],Table1[[Nome/Ragione sociale]:[Checkbox selezionato]],12,FALSE),"-")</f>
        <v>SI</v>
      </c>
    </row>
    <row r="435" spans="1:44" ht="30" hidden="1" customHeight="1" x14ac:dyDescent="0.25">
      <c r="A435" s="60" t="str">
        <f>UPPER(LEFT(Table2[[#This Row],[Contraente]],1))</f>
        <v>E</v>
      </c>
      <c r="B435" s="60" t="s">
        <v>1634</v>
      </c>
      <c r="C435" s="81" t="s">
        <v>617</v>
      </c>
      <c r="D435" s="81" t="s">
        <v>37</v>
      </c>
      <c r="E435" s="86">
        <v>104878006</v>
      </c>
      <c r="F435" s="64">
        <v>42849</v>
      </c>
      <c r="G435" s="64">
        <f>IFERROR(CALCOLASCADENZA(Table2[[#This Row],[Data attivazione]],Table2[[#This Row],[Rateizzazione]],Table2[[#This Row],[Data ultimo pagamento]],Table2[[#This Row],[Data prossima scadenza manuale]]),"-")</f>
        <v>43004</v>
      </c>
      <c r="H435" s="67" t="s">
        <v>30</v>
      </c>
      <c r="I435" s="67" t="s">
        <v>113</v>
      </c>
      <c r="J435" s="33">
        <f>IFERROR(Table2[[#This Row],[Importo annuale]]/(12/VLOOKUP(Table2[[#This Row],[Rateizzazione]],TIPI_RATEIZZAZIONI,2,FALSE)),"-")</f>
        <v>830</v>
      </c>
      <c r="K435" s="88">
        <v>830</v>
      </c>
      <c r="L435" s="88">
        <v>1660</v>
      </c>
      <c r="M435" s="67" t="s">
        <v>44</v>
      </c>
      <c r="N435" s="67" t="s">
        <v>51</v>
      </c>
      <c r="O435" s="27" t="s">
        <v>1631</v>
      </c>
      <c r="P435" s="33" t="s">
        <v>22</v>
      </c>
      <c r="Q435" s="60">
        <f>IFERROR(IF(12 / VLOOKUP(Table2[[#This Row],[Rateizzazione]],TIPI_RATEIZZAZIONI,2,FALSE) &gt;=1,  IF(Table2[[#This Row],[Data attivazione]] = "","-",MONTH(Table2[[#This Row],[Data attivazione]])),"-"),"-")</f>
        <v>9</v>
      </c>
      <c r="R4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5" s="67" t="s">
        <v>2</v>
      </c>
      <c r="V435" s="62"/>
      <c r="W435" s="64">
        <v>42639</v>
      </c>
      <c r="X435" s="29">
        <f>DATE(YEAR(Table2[[#This Row],[Data attivazione]])+VLOOKUP(Table2[[#This Row],[Durata]],VALORE_DURATA,2,FALSE),MONTH(Table2[[#This Row],[Data attivazione]]),DAY(Table2[[#This Row],[Data attivazione]]))</f>
        <v>43004</v>
      </c>
      <c r="Y435" s="65"/>
      <c r="Z435" s="61"/>
      <c r="AA435" s="64" t="s">
        <v>85</v>
      </c>
      <c r="AB435" s="29" t="str">
        <f>IF(Table2[[#This Row],[Data ultimo versamento temp]]=0/1/1900,"-",Table2[[#This Row],[Data ultimo versamento temp]])</f>
        <v>-</v>
      </c>
      <c r="AC435" s="29">
        <f t="array" ref="AC435">MAX(IF(TableVersamenti[Polizza]=Table2[[#This Row],[Polizza]],TableVersamenti[Data prevista versamento],"-"))</f>
        <v>0</v>
      </c>
      <c r="AD435" s="62"/>
      <c r="AE435" s="106">
        <f>DATE(YEAR(Table2[[#This Row],[Data ultimo pagamento]]),MONTH(Table2[[#This Row],[Data ultimo pagamento]]), 1)</f>
        <v>42826</v>
      </c>
      <c r="AF435" s="106">
        <f>DATE(YEAR(Table2[[#This Row],[Data prossima scadenza]]),MONTH(Table2[[#This Row],[Data prossima scadenza]]), 1)</f>
        <v>42979</v>
      </c>
      <c r="AG435" s="33">
        <f>IFERROR(Table2[[#This Row],[Importo annuale]]*VLOOKUP(Table2[[#This Row],[Ramo]],RAMI_POLIZZA,2,FALSE),0)</f>
        <v>190.9</v>
      </c>
      <c r="AH435" s="65" t="s">
        <v>113</v>
      </c>
      <c r="AI435" s="63" t="str">
        <f>IFERROR(VLOOKUP(Table2[[#This Row],[Contraente]],Table1[[Nome/Ragione sociale]:[Checkbox selezionato]],2,FALSE),"-")</f>
        <v>FILIGHERA</v>
      </c>
      <c r="AJ435" s="63">
        <f>IFERROR(VLOOKUP(Table2[[#This Row],[Contraente]],Table1[[Nome/Ragione sociale]:[Checkbox selezionato]],3,FALSE),"-")</f>
        <v>3489280536</v>
      </c>
      <c r="AK435" s="63">
        <f>IFERROR(VLOOKUP(Table2[[#This Row],[Contraente]],Table1[[Nome/Ragione sociale]:[Checkbox selezionato]],4,FALSE),"-")</f>
        <v>0</v>
      </c>
      <c r="AL435" s="63" t="str">
        <f>IFERROR(VLOOKUP(Table2[[#This Row],[Contraente]],Table1[[Nome/Ragione sociale]:[Checkbox selezionato]],5,FALSE),"-")</f>
        <v>LEONARDO</v>
      </c>
      <c r="AM435" s="62" t="str">
        <f>IFERROR(VLOOKUP(Table2[[#This Row],[Contraente]],Table1[[Nome/Ragione sociale]:[Checkbox selezionato]],6,FALSE),"-")</f>
        <v>-</v>
      </c>
      <c r="AN435" s="63" t="str">
        <f>IFERROR(VLOOKUP(Table2[[#This Row],[Contraente]],Table1[[Nome/Ragione sociale]:[Checkbox selezionato]],7,FALSE),"-")</f>
        <v>papies@libero.it</v>
      </c>
      <c r="AO435" s="63">
        <f>IFERROR(VLOOKUP(Table2[[#This Row],[Contraente]],Table1[[Nome/Ragione sociale]:[Checkbox selezionato]],8,FALSE),"-")</f>
        <v>0</v>
      </c>
      <c r="AP435" s="63">
        <f>IFERROR(VLOOKUP(Table2[[#This Row],[Contraente]],Table1[[Nome/Ragione sociale]:[Checkbox selezionato]],10,FALSE),"-")</f>
        <v>3489280536</v>
      </c>
      <c r="AQ435" s="63" t="str">
        <f>IFERROR(VLOOKUP(Table2[[#This Row],[Contraente]],Table1[[Nome/Ragione sociale]:[Checkbox selezionato]],11,FALSE),"-")</f>
        <v>SI</v>
      </c>
      <c r="AR435" s="63" t="str">
        <f>IFERROR(VLOOKUP(Table2[[#This Row],[Contraente]],Table1[[Nome/Ragione sociale]:[Checkbox selezionato]],12,FALSE),"-")</f>
        <v>SI</v>
      </c>
    </row>
    <row r="436" spans="1:44" ht="30" hidden="1" customHeight="1" x14ac:dyDescent="0.25">
      <c r="A436" s="60" t="str">
        <f>UPPER(LEFT(Table2[[#This Row],[Contraente]],1))</f>
        <v>E</v>
      </c>
      <c r="B436" s="60" t="s">
        <v>1634</v>
      </c>
      <c r="C436" s="81" t="s">
        <v>629</v>
      </c>
      <c r="D436" s="81" t="s">
        <v>37</v>
      </c>
      <c r="E436" s="86">
        <v>106872097</v>
      </c>
      <c r="F436" s="64">
        <v>42899</v>
      </c>
      <c r="G436" s="64">
        <f>IFERROR(CALCOLASCADENZA(Table2[[#This Row],[Data attivazione]],Table2[[#This Row],[Rateizzazione]],Table2[[#This Row],[Data ultimo pagamento]],Table2[[#This Row],[Data prossima scadenza manuale]]),"-")</f>
        <v>43264</v>
      </c>
      <c r="H436" s="67" t="s">
        <v>30</v>
      </c>
      <c r="I436" s="67" t="s">
        <v>113</v>
      </c>
      <c r="J436" s="33">
        <f>IFERROR(Table2[[#This Row],[Importo annuale]]/(12/VLOOKUP(Table2[[#This Row],[Rateizzazione]],TIPI_RATEIZZAZIONI,2,FALSE)),"-")</f>
        <v>3480</v>
      </c>
      <c r="K436" s="88">
        <v>3592</v>
      </c>
      <c r="L436" s="88">
        <v>3480</v>
      </c>
      <c r="M436" s="67" t="s">
        <v>44</v>
      </c>
      <c r="N436" s="67" t="s">
        <v>51</v>
      </c>
      <c r="O436" s="27" t="s">
        <v>1631</v>
      </c>
      <c r="P436" s="33" t="s">
        <v>23</v>
      </c>
      <c r="Q436" s="60">
        <f>IFERROR(IF(12 / VLOOKUP(Table2[[#This Row],[Rateizzazione]],TIPI_RATEIZZAZIONI,2,FALSE) &gt;=1,  IF(Table2[[#This Row],[Data attivazione]] = "","-",MONTH(Table2[[#This Row],[Data attivazione]])),"-"),"-")</f>
        <v>6</v>
      </c>
      <c r="R4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6" s="67" t="s">
        <v>2</v>
      </c>
      <c r="V436" s="62"/>
      <c r="W436" s="64">
        <v>42899</v>
      </c>
      <c r="X436" s="29">
        <f>DATE(YEAR(Table2[[#This Row],[Data attivazione]])+VLOOKUP(Table2[[#This Row],[Durata]],VALORE_DURATA,2,FALSE),MONTH(Table2[[#This Row],[Data attivazione]]),DAY(Table2[[#This Row],[Data attivazione]]))</f>
        <v>43264</v>
      </c>
      <c r="Y436" s="65"/>
      <c r="Z436" s="61"/>
      <c r="AA436" s="64" t="s">
        <v>85</v>
      </c>
      <c r="AB436" s="29" t="str">
        <f>IF(Table2[[#This Row],[Data ultimo versamento temp]]=0/1/1900,"-",Table2[[#This Row],[Data ultimo versamento temp]])</f>
        <v>-</v>
      </c>
      <c r="AC436" s="29">
        <f t="array" ref="AC436">MAX(IF(TableVersamenti[Polizza]=Table2[[#This Row],[Polizza]],TableVersamenti[Data prevista versamento],"-"))</f>
        <v>0</v>
      </c>
      <c r="AD436" s="62"/>
      <c r="AE436" s="106">
        <f>DATE(YEAR(Table2[[#This Row],[Data ultimo pagamento]]),MONTH(Table2[[#This Row],[Data ultimo pagamento]]), 1)</f>
        <v>42887</v>
      </c>
      <c r="AF436" s="106">
        <f>DATE(YEAR(Table2[[#This Row],[Data prossima scadenza]]),MONTH(Table2[[#This Row],[Data prossima scadenza]]), 1)</f>
        <v>43252</v>
      </c>
      <c r="AG436" s="33">
        <f>IFERROR(Table2[[#This Row],[Importo annuale]]*VLOOKUP(Table2[[#This Row],[Ramo]],RAMI_POLIZZA,2,FALSE),0)</f>
        <v>400.20000000000005</v>
      </c>
      <c r="AH436" s="65" t="s">
        <v>113</v>
      </c>
      <c r="AI436" s="63" t="str">
        <f>IFERROR(VLOOKUP(Table2[[#This Row],[Contraente]],Table1[[Nome/Ragione sociale]:[Checkbox selezionato]],2,FALSE),"-")</f>
        <v>CIGOGNOLA</v>
      </c>
      <c r="AJ436" s="63">
        <f>IFERROR(VLOOKUP(Table2[[#This Row],[Contraente]],Table1[[Nome/Ragione sociale]:[Checkbox selezionato]],3,FALSE),"-")</f>
        <v>3281266228</v>
      </c>
      <c r="AK436" s="63">
        <f>IFERROR(VLOOKUP(Table2[[#This Row],[Contraente]],Table1[[Nome/Ragione sociale]:[Checkbox selezionato]],4,FALSE),"-")</f>
        <v>0</v>
      </c>
      <c r="AL436" s="63" t="str">
        <f>IFERROR(VLOOKUP(Table2[[#This Row],[Contraente]],Table1[[Nome/Ragione sociale]:[Checkbox selezionato]],5,FALSE),"-")</f>
        <v>DORIS</v>
      </c>
      <c r="AM436" s="62" t="str">
        <f>IFERROR(VLOOKUP(Table2[[#This Row],[Contraente]],Table1[[Nome/Ragione sociale]:[Checkbox selezionato]],6,FALSE),"-")</f>
        <v>-</v>
      </c>
      <c r="AN436" s="63" t="str">
        <f>IFERROR(VLOOKUP(Table2[[#This Row],[Contraente]],Table1[[Nome/Ragione sociale]:[Checkbox selezionato]],7,FALSE),"-")</f>
        <v>papies@libero.it</v>
      </c>
      <c r="AO436" s="63">
        <f>IFERROR(VLOOKUP(Table2[[#This Row],[Contraente]],Table1[[Nome/Ragione sociale]:[Checkbox selezionato]],8,FALSE),"-")</f>
        <v>0</v>
      </c>
      <c r="AP436" s="63">
        <f>IFERROR(VLOOKUP(Table2[[#This Row],[Contraente]],Table1[[Nome/Ragione sociale]:[Checkbox selezionato]],10,FALSE),"-")</f>
        <v>3281266228</v>
      </c>
      <c r="AQ436" s="63" t="str">
        <f>IFERROR(VLOOKUP(Table2[[#This Row],[Contraente]],Table1[[Nome/Ragione sociale]:[Checkbox selezionato]],11,FALSE),"-")</f>
        <v>SI</v>
      </c>
      <c r="AR436" s="63" t="str">
        <f>IFERROR(VLOOKUP(Table2[[#This Row],[Contraente]],Table1[[Nome/Ragione sociale]:[Checkbox selezionato]],12,FALSE),"-")</f>
        <v>SI</v>
      </c>
    </row>
    <row r="437" spans="1:44" ht="30" hidden="1" customHeight="1" x14ac:dyDescent="0.25">
      <c r="A437" s="60" t="str">
        <f>UPPER(LEFT(Table2[[#This Row],[Contraente]],1))</f>
        <v>E</v>
      </c>
      <c r="B437" s="60" t="s">
        <v>1634</v>
      </c>
      <c r="C437" s="81" t="s">
        <v>629</v>
      </c>
      <c r="D437" s="81" t="s">
        <v>37</v>
      </c>
      <c r="E437" s="86">
        <v>106308190</v>
      </c>
      <c r="F437" s="64">
        <v>42711</v>
      </c>
      <c r="G437" s="64">
        <f>IFERROR(CALCOLASCADENZA(Table2[[#This Row],[Data attivazione]],Table2[[#This Row],[Rateizzazione]],Table2[[#This Row],[Data ultimo pagamento]],Table2[[#This Row],[Data prossima scadenza manuale]]),"-")</f>
        <v>43076</v>
      </c>
      <c r="H437" s="67" t="s">
        <v>31</v>
      </c>
      <c r="I437" s="67" t="s">
        <v>1303</v>
      </c>
      <c r="J437" s="33">
        <f>IFERROR(Table2[[#This Row],[Importo annuale]]/(12/VLOOKUP(Table2[[#This Row],[Rateizzazione]],TIPI_RATEIZZAZIONI,2,FALSE)),"-")</f>
        <v>200</v>
      </c>
      <c r="K437" s="88"/>
      <c r="L437" s="88">
        <v>200</v>
      </c>
      <c r="M437" s="67" t="s">
        <v>45</v>
      </c>
      <c r="N437" s="67" t="s">
        <v>52</v>
      </c>
      <c r="O437" s="27" t="s">
        <v>1631</v>
      </c>
      <c r="P437" s="33" t="s">
        <v>23</v>
      </c>
      <c r="Q437" s="60">
        <f>IFERROR(IF(12 / VLOOKUP(Table2[[#This Row],[Rateizzazione]],TIPI_RATEIZZAZIONI,2,FALSE) &gt;=1,  IF(Table2[[#This Row],[Data attivazione]] = "","-",MONTH(Table2[[#This Row],[Data attivazione]])),"-"),"-")</f>
        <v>12</v>
      </c>
      <c r="R4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7" s="67" t="s">
        <v>2</v>
      </c>
      <c r="V437" s="62"/>
      <c r="W437" s="64">
        <v>42711</v>
      </c>
      <c r="X437" s="29">
        <f>DATE(YEAR(Table2[[#This Row],[Data attivazione]])+VLOOKUP(Table2[[#This Row],[Durata]],VALORE_DURATA,2,FALSE),MONTH(Table2[[#This Row],[Data attivazione]]),DAY(Table2[[#This Row],[Data attivazione]]))</f>
        <v>43076</v>
      </c>
      <c r="Y437" s="65"/>
      <c r="Z437" s="61"/>
      <c r="AA437" s="64" t="s">
        <v>85</v>
      </c>
      <c r="AB437" s="29" t="str">
        <f>IF(Table2[[#This Row],[Data ultimo versamento temp]]=0/1/1900,"-",Table2[[#This Row],[Data ultimo versamento temp]])</f>
        <v>-</v>
      </c>
      <c r="AC437" s="29">
        <f t="array" ref="AC437">MAX(IF(TableVersamenti[Polizza]=Table2[[#This Row],[Polizza]],TableVersamenti[Data prevista versamento],"-"))</f>
        <v>0</v>
      </c>
      <c r="AD437" s="62"/>
      <c r="AE437" s="106">
        <f>DATE(YEAR(Table2[[#This Row],[Data ultimo pagamento]]),MONTH(Table2[[#This Row],[Data ultimo pagamento]]), 1)</f>
        <v>42705</v>
      </c>
      <c r="AF437" s="106">
        <f>DATE(YEAR(Table2[[#This Row],[Data prossima scadenza]]),MONTH(Table2[[#This Row],[Data prossima scadenza]]), 1)</f>
        <v>43070</v>
      </c>
      <c r="AG437" s="33">
        <f>IFERROR(Table2[[#This Row],[Importo annuale]]*VLOOKUP(Table2[[#This Row],[Ramo]],RAMI_POLIZZA,2,FALSE),0)</f>
        <v>10.4</v>
      </c>
      <c r="AH437" s="65" t="s">
        <v>113</v>
      </c>
      <c r="AI437" s="63" t="str">
        <f>IFERROR(VLOOKUP(Table2[[#This Row],[Contraente]],Table1[[Nome/Ragione sociale]:[Checkbox selezionato]],2,FALSE),"-")</f>
        <v>CIGOGNOLA</v>
      </c>
      <c r="AJ437" s="63">
        <f>IFERROR(VLOOKUP(Table2[[#This Row],[Contraente]],Table1[[Nome/Ragione sociale]:[Checkbox selezionato]],3,FALSE),"-")</f>
        <v>3281266228</v>
      </c>
      <c r="AK437" s="63">
        <f>IFERROR(VLOOKUP(Table2[[#This Row],[Contraente]],Table1[[Nome/Ragione sociale]:[Checkbox selezionato]],4,FALSE),"-")</f>
        <v>0</v>
      </c>
      <c r="AL437" s="63" t="str">
        <f>IFERROR(VLOOKUP(Table2[[#This Row],[Contraente]],Table1[[Nome/Ragione sociale]:[Checkbox selezionato]],5,FALSE),"-")</f>
        <v>DORIS</v>
      </c>
      <c r="AM437" s="62" t="str">
        <f>IFERROR(VLOOKUP(Table2[[#This Row],[Contraente]],Table1[[Nome/Ragione sociale]:[Checkbox selezionato]],6,FALSE),"-")</f>
        <v>-</v>
      </c>
      <c r="AN437" s="63" t="str">
        <f>IFERROR(VLOOKUP(Table2[[#This Row],[Contraente]],Table1[[Nome/Ragione sociale]:[Checkbox selezionato]],7,FALSE),"-")</f>
        <v>papies@libero.it</v>
      </c>
      <c r="AO437" s="63">
        <f>IFERROR(VLOOKUP(Table2[[#This Row],[Contraente]],Table1[[Nome/Ragione sociale]:[Checkbox selezionato]],8,FALSE),"-")</f>
        <v>0</v>
      </c>
      <c r="AP437" s="63">
        <f>IFERROR(VLOOKUP(Table2[[#This Row],[Contraente]],Table1[[Nome/Ragione sociale]:[Checkbox selezionato]],10,FALSE),"-")</f>
        <v>3281266228</v>
      </c>
      <c r="AQ437" s="63" t="str">
        <f>IFERROR(VLOOKUP(Table2[[#This Row],[Contraente]],Table1[[Nome/Ragione sociale]:[Checkbox selezionato]],11,FALSE),"-")</f>
        <v>SI</v>
      </c>
      <c r="AR437" s="63" t="str">
        <f>IFERROR(VLOOKUP(Table2[[#This Row],[Contraente]],Table1[[Nome/Ragione sociale]:[Checkbox selezionato]],12,FALSE),"-")</f>
        <v>SI</v>
      </c>
    </row>
    <row r="438" spans="1:44" ht="30" hidden="1" customHeight="1" x14ac:dyDescent="0.25">
      <c r="A438" s="60" t="str">
        <f>UPPER(LEFT(Table2[[#This Row],[Contraente]],1))</f>
        <v>E</v>
      </c>
      <c r="B438" s="60" t="s">
        <v>1634</v>
      </c>
      <c r="C438" s="81" t="s">
        <v>629</v>
      </c>
      <c r="D438" s="81" t="s">
        <v>37</v>
      </c>
      <c r="E438" s="86">
        <v>106312279</v>
      </c>
      <c r="F438" s="64">
        <v>42711</v>
      </c>
      <c r="G438" s="64">
        <f>IFERROR(CALCOLASCADENZA(Table2[[#This Row],[Data attivazione]],Table2[[#This Row],[Rateizzazione]],Table2[[#This Row],[Data ultimo pagamento]],Table2[[#This Row],[Data prossima scadenza manuale]]),"-")</f>
        <v>43076</v>
      </c>
      <c r="H438" s="67" t="s">
        <v>31</v>
      </c>
      <c r="I438" s="67" t="s">
        <v>1304</v>
      </c>
      <c r="J438" s="33">
        <f>IFERROR(Table2[[#This Row],[Importo annuale]]/(12/VLOOKUP(Table2[[#This Row],[Rateizzazione]],TIPI_RATEIZZAZIONI,2,FALSE)),"-")</f>
        <v>1108</v>
      </c>
      <c r="K438" s="88"/>
      <c r="L438" s="88">
        <v>1108</v>
      </c>
      <c r="M438" s="67" t="s">
        <v>45</v>
      </c>
      <c r="N438" s="67" t="s">
        <v>52</v>
      </c>
      <c r="O438" s="27" t="s">
        <v>1631</v>
      </c>
      <c r="P438" s="33" t="s">
        <v>23</v>
      </c>
      <c r="Q438" s="60">
        <f>IFERROR(IF(12 / VLOOKUP(Table2[[#This Row],[Rateizzazione]],TIPI_RATEIZZAZIONI,2,FALSE) &gt;=1,  IF(Table2[[#This Row],[Data attivazione]] = "","-",MONTH(Table2[[#This Row],[Data attivazione]])),"-"),"-")</f>
        <v>12</v>
      </c>
      <c r="R4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8" s="67" t="s">
        <v>2</v>
      </c>
      <c r="V438" s="62"/>
      <c r="W438" s="64">
        <v>42711</v>
      </c>
      <c r="X438" s="29">
        <f>DATE(YEAR(Table2[[#This Row],[Data attivazione]])+VLOOKUP(Table2[[#This Row],[Durata]],VALORE_DURATA,2,FALSE),MONTH(Table2[[#This Row],[Data attivazione]]),DAY(Table2[[#This Row],[Data attivazione]]))</f>
        <v>43076</v>
      </c>
      <c r="Y438" s="65"/>
      <c r="Z438" s="61"/>
      <c r="AA438" s="64" t="s">
        <v>85</v>
      </c>
      <c r="AB438" s="29" t="str">
        <f>IF(Table2[[#This Row],[Data ultimo versamento temp]]=0/1/1900,"-",Table2[[#This Row],[Data ultimo versamento temp]])</f>
        <v>-</v>
      </c>
      <c r="AC438" s="29">
        <f t="array" ref="AC438">MAX(IF(TableVersamenti[Polizza]=Table2[[#This Row],[Polizza]],TableVersamenti[Data prevista versamento],"-"))</f>
        <v>0</v>
      </c>
      <c r="AD438" s="62"/>
      <c r="AE438" s="106">
        <f>DATE(YEAR(Table2[[#This Row],[Data ultimo pagamento]]),MONTH(Table2[[#This Row],[Data ultimo pagamento]]), 1)</f>
        <v>42705</v>
      </c>
      <c r="AF438" s="106">
        <f>DATE(YEAR(Table2[[#This Row],[Data prossima scadenza]]),MONTH(Table2[[#This Row],[Data prossima scadenza]]), 1)</f>
        <v>43070</v>
      </c>
      <c r="AG438" s="33">
        <f>IFERROR(Table2[[#This Row],[Importo annuale]]*VLOOKUP(Table2[[#This Row],[Ramo]],RAMI_POLIZZA,2,FALSE),0)</f>
        <v>57.616</v>
      </c>
      <c r="AH438" s="65" t="s">
        <v>113</v>
      </c>
      <c r="AI438" s="63" t="str">
        <f>IFERROR(VLOOKUP(Table2[[#This Row],[Contraente]],Table1[[Nome/Ragione sociale]:[Checkbox selezionato]],2,FALSE),"-")</f>
        <v>CIGOGNOLA</v>
      </c>
      <c r="AJ438" s="63">
        <f>IFERROR(VLOOKUP(Table2[[#This Row],[Contraente]],Table1[[Nome/Ragione sociale]:[Checkbox selezionato]],3,FALSE),"-")</f>
        <v>3281266228</v>
      </c>
      <c r="AK438" s="63">
        <f>IFERROR(VLOOKUP(Table2[[#This Row],[Contraente]],Table1[[Nome/Ragione sociale]:[Checkbox selezionato]],4,FALSE),"-")</f>
        <v>0</v>
      </c>
      <c r="AL438" s="63" t="str">
        <f>IFERROR(VLOOKUP(Table2[[#This Row],[Contraente]],Table1[[Nome/Ragione sociale]:[Checkbox selezionato]],5,FALSE),"-")</f>
        <v>DORIS</v>
      </c>
      <c r="AM438" s="62" t="str">
        <f>IFERROR(VLOOKUP(Table2[[#This Row],[Contraente]],Table1[[Nome/Ragione sociale]:[Checkbox selezionato]],6,FALSE),"-")</f>
        <v>-</v>
      </c>
      <c r="AN438" s="63" t="str">
        <f>IFERROR(VLOOKUP(Table2[[#This Row],[Contraente]],Table1[[Nome/Ragione sociale]:[Checkbox selezionato]],7,FALSE),"-")</f>
        <v>papies@libero.it</v>
      </c>
      <c r="AO438" s="63">
        <f>IFERROR(VLOOKUP(Table2[[#This Row],[Contraente]],Table1[[Nome/Ragione sociale]:[Checkbox selezionato]],8,FALSE),"-")</f>
        <v>0</v>
      </c>
      <c r="AP438" s="63">
        <f>IFERROR(VLOOKUP(Table2[[#This Row],[Contraente]],Table1[[Nome/Ragione sociale]:[Checkbox selezionato]],10,FALSE),"-")</f>
        <v>3281266228</v>
      </c>
      <c r="AQ438" s="63" t="str">
        <f>IFERROR(VLOOKUP(Table2[[#This Row],[Contraente]],Table1[[Nome/Ragione sociale]:[Checkbox selezionato]],11,FALSE),"-")</f>
        <v>SI</v>
      </c>
      <c r="AR438" s="63" t="str">
        <f>IFERROR(VLOOKUP(Table2[[#This Row],[Contraente]],Table1[[Nome/Ragione sociale]:[Checkbox selezionato]],12,FALSE),"-")</f>
        <v>SI</v>
      </c>
    </row>
    <row r="439" spans="1:44" ht="30" hidden="1" customHeight="1" x14ac:dyDescent="0.25">
      <c r="A439" s="60" t="str">
        <f>UPPER(LEFT(Table2[[#This Row],[Contraente]],1))</f>
        <v>E</v>
      </c>
      <c r="B439" s="60" t="s">
        <v>1634</v>
      </c>
      <c r="C439" s="81" t="s">
        <v>616</v>
      </c>
      <c r="D439" s="81" t="s">
        <v>37</v>
      </c>
      <c r="E439" s="86">
        <v>102687654</v>
      </c>
      <c r="F439" s="64"/>
      <c r="G439" s="64">
        <f>IFERROR(CALCOLASCADENZA(Table2[[#This Row],[Data attivazione]],Table2[[#This Row],[Rateizzazione]],Table2[[#This Row],[Data ultimo pagamento]],Table2[[#This Row],[Data prossima scadenza manuale]]),"-")</f>
        <v>0</v>
      </c>
      <c r="H439" s="67" t="s">
        <v>31</v>
      </c>
      <c r="I439" s="67"/>
      <c r="J439" s="33"/>
      <c r="K439" s="88"/>
      <c r="L439" s="88" t="s">
        <v>1627</v>
      </c>
      <c r="M439" s="67" t="s">
        <v>43</v>
      </c>
      <c r="N439" s="67" t="s">
        <v>51</v>
      </c>
      <c r="O439" s="27" t="s">
        <v>1631</v>
      </c>
      <c r="P439" s="33" t="s">
        <v>24</v>
      </c>
      <c r="Q43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9" s="67" t="s">
        <v>2</v>
      </c>
      <c r="V439" s="62"/>
      <c r="W439" s="64">
        <v>693597</v>
      </c>
      <c r="X439" s="29">
        <f>DATE(YEAR(Table2[[#This Row],[Data attivazione]])+VLOOKUP(Table2[[#This Row],[Durata]],VALORE_DURATA,2,FALSE),MONTH(Table2[[#This Row],[Data attivazione]]),DAY(Table2[[#This Row],[Data attivazione]]))</f>
        <v>693962</v>
      </c>
      <c r="Y439" s="65"/>
      <c r="Z439" s="61"/>
      <c r="AA439" s="64" t="s">
        <v>88</v>
      </c>
      <c r="AB439" s="29" t="str">
        <f>IF(Table2[[#This Row],[Data ultimo versamento temp]]=0/1/1900,"-",Table2[[#This Row],[Data ultimo versamento temp]])</f>
        <v>-</v>
      </c>
      <c r="AC439" s="29">
        <f t="array" ref="AC439">MAX(IF(TableVersamenti[Polizza]=Table2[[#This Row],[Polizza]],TableVersamenti[Data prevista versamento],"-"))</f>
        <v>0</v>
      </c>
      <c r="AD439" s="62"/>
      <c r="AE439" s="106">
        <f>DATE(YEAR(Table2[[#This Row],[Data ultimo pagamento]]),MONTH(Table2[[#This Row],[Data ultimo pagamento]]), 1)</f>
        <v>1</v>
      </c>
      <c r="AF439" s="106">
        <f>DATE(YEAR(Table2[[#This Row],[Data prossima scadenza]]),MONTH(Table2[[#This Row],[Data prossima scadenza]]), 1)</f>
        <v>1</v>
      </c>
      <c r="AG439" s="33">
        <f>IFERROR(Table2[[#This Row],[Importo annuale]]*VLOOKUP(Table2[[#This Row],[Ramo]],RAMI_POLIZZA,2,FALSE),0)</f>
        <v>0</v>
      </c>
      <c r="AH439" s="65" t="s">
        <v>113</v>
      </c>
      <c r="AI439" s="63">
        <f>IFERROR(VLOOKUP(Table2[[#This Row],[Contraente]],Table1[[Nome/Ragione sociale]:[Checkbox selezionato]],2,FALSE),"-")</f>
        <v>0</v>
      </c>
      <c r="AJ439" s="63">
        <f>IFERROR(VLOOKUP(Table2[[#This Row],[Contraente]],Table1[[Nome/Ragione sociale]:[Checkbox selezionato]],3,FALSE),"-")</f>
        <v>0</v>
      </c>
      <c r="AK439" s="63">
        <f>IFERROR(VLOOKUP(Table2[[#This Row],[Contraente]],Table1[[Nome/Ragione sociale]:[Checkbox selezionato]],4,FALSE),"-")</f>
        <v>0</v>
      </c>
      <c r="AL439" s="63">
        <f>IFERROR(VLOOKUP(Table2[[#This Row],[Contraente]],Table1[[Nome/Ragione sociale]:[Checkbox selezionato]],5,FALSE),"-")</f>
        <v>0</v>
      </c>
      <c r="AM439" s="62">
        <f>IFERROR(VLOOKUP(Table2[[#This Row],[Contraente]],Table1[[Nome/Ragione sociale]:[Checkbox selezionato]],6,FALSE),"-")</f>
        <v>0</v>
      </c>
      <c r="AN439" s="63" t="str">
        <f>IFERROR(VLOOKUP(Table2[[#This Row],[Contraente]],Table1[[Nome/Ragione sociale]:[Checkbox selezionato]],7,FALSE),"-")</f>
        <v>papies@email.it</v>
      </c>
      <c r="AO439" s="63">
        <f>IFERROR(VLOOKUP(Table2[[#This Row],[Contraente]],Table1[[Nome/Ragione sociale]:[Checkbox selezionato]],8,FALSE),"-")</f>
        <v>0</v>
      </c>
      <c r="AP439" s="63">
        <f>IFERROR(VLOOKUP(Table2[[#This Row],[Contraente]],Table1[[Nome/Ragione sociale]:[Checkbox selezionato]],10,FALSE),"-")</f>
        <v>0</v>
      </c>
      <c r="AQ439" s="63" t="str">
        <f>IFERROR(VLOOKUP(Table2[[#This Row],[Contraente]],Table1[[Nome/Ragione sociale]:[Checkbox selezionato]],11,FALSE),"-")</f>
        <v>SI</v>
      </c>
      <c r="AR439" s="63" t="str">
        <f>IFERROR(VLOOKUP(Table2[[#This Row],[Contraente]],Table1[[Nome/Ragione sociale]:[Checkbox selezionato]],12,FALSE),"-")</f>
        <v>SI</v>
      </c>
    </row>
    <row r="440" spans="1:44" ht="30" hidden="1" customHeight="1" x14ac:dyDescent="0.25">
      <c r="A440" s="60" t="str">
        <f>UPPER(LEFT(Table2[[#This Row],[Contraente]],1))</f>
        <v>E</v>
      </c>
      <c r="B440" s="60" t="s">
        <v>1634</v>
      </c>
      <c r="C440" s="81" t="s">
        <v>125</v>
      </c>
      <c r="D440" s="81" t="s">
        <v>37</v>
      </c>
      <c r="E440" s="86">
        <v>106841903</v>
      </c>
      <c r="F440" s="64">
        <v>42865</v>
      </c>
      <c r="G440" s="64">
        <f>IFERROR(CALCOLASCADENZA(Table2[[#This Row],[Data attivazione]],Table2[[#This Row],[Rateizzazione]],Table2[[#This Row],[Data ultimo pagamento]],Table2[[#This Row],[Data prossima scadenza manuale]]),"-")</f>
        <v>43247</v>
      </c>
      <c r="H440" s="67" t="s">
        <v>30</v>
      </c>
      <c r="I440" s="67" t="s">
        <v>113</v>
      </c>
      <c r="J440" s="33">
        <f>IFERROR(Table2[[#This Row],[Importo annuale]]/(12/VLOOKUP(Table2[[#This Row],[Rateizzazione]],TIPI_RATEIZZAZIONI,2,FALSE)),"-")</f>
        <v>86</v>
      </c>
      <c r="K440" s="88">
        <v>86</v>
      </c>
      <c r="L440" s="88">
        <v>86</v>
      </c>
      <c r="M440" s="67" t="s">
        <v>45</v>
      </c>
      <c r="N440" s="67" t="s">
        <v>51</v>
      </c>
      <c r="O440" s="27" t="s">
        <v>1631</v>
      </c>
      <c r="P440" s="33" t="s">
        <v>23</v>
      </c>
      <c r="Q440" s="60">
        <f>IFERROR(IF(12 / VLOOKUP(Table2[[#This Row],[Rateizzazione]],TIPI_RATEIZZAZIONI,2,FALSE) &gt;=1,  IF(Table2[[#This Row],[Data attivazione]] = "","-",MONTH(Table2[[#This Row],[Data attivazione]])),"-"),"-")</f>
        <v>5</v>
      </c>
      <c r="R4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0" s="67" t="s">
        <v>2</v>
      </c>
      <c r="V440" s="62"/>
      <c r="W440" s="64">
        <v>42882</v>
      </c>
      <c r="X440" s="29">
        <f>DATE(YEAR(Table2[[#This Row],[Data attivazione]])+VLOOKUP(Table2[[#This Row],[Durata]],VALORE_DURATA,2,FALSE),MONTH(Table2[[#This Row],[Data attivazione]]),DAY(Table2[[#This Row],[Data attivazione]]))</f>
        <v>43247</v>
      </c>
      <c r="Y440" s="65"/>
      <c r="Z440" s="61"/>
      <c r="AA440" s="64" t="s">
        <v>85</v>
      </c>
      <c r="AB440" s="29" t="str">
        <f>IF(Table2[[#This Row],[Data ultimo versamento temp]]=0/1/1900,"-",Table2[[#This Row],[Data ultimo versamento temp]])</f>
        <v>-</v>
      </c>
      <c r="AC440" s="29">
        <f t="array" ref="AC440">MAX(IF(TableVersamenti[Polizza]=Table2[[#This Row],[Polizza]],TableVersamenti[Data prevista versamento],"-"))</f>
        <v>0</v>
      </c>
      <c r="AD440" s="62"/>
      <c r="AE440" s="106">
        <f>DATE(YEAR(Table2[[#This Row],[Data ultimo pagamento]]),MONTH(Table2[[#This Row],[Data ultimo pagamento]]), 1)</f>
        <v>42856</v>
      </c>
      <c r="AF440" s="106">
        <f>DATE(YEAR(Table2[[#This Row],[Data prossima scadenza]]),MONTH(Table2[[#This Row],[Data prossima scadenza]]), 1)</f>
        <v>43221</v>
      </c>
      <c r="AG440" s="33">
        <f>IFERROR(Table2[[#This Row],[Importo annuale]]*VLOOKUP(Table2[[#This Row],[Ramo]],RAMI_POLIZZA,2,FALSE),0)</f>
        <v>9.89</v>
      </c>
      <c r="AH440" s="65" t="s">
        <v>113</v>
      </c>
      <c r="AI440" s="63" t="str">
        <f>IFERROR(VLOOKUP(Table2[[#This Row],[Contraente]],Table1[[Nome/Ragione sociale]:[Checkbox selezionato]],2,FALSE),"-")</f>
        <v>VISTARINO</v>
      </c>
      <c r="AJ440" s="63">
        <f>IFERROR(VLOOKUP(Table2[[#This Row],[Contraente]],Table1[[Nome/Ragione sociale]:[Checkbox selezionato]],3,FALSE),"-")</f>
        <v>3486728551</v>
      </c>
      <c r="AK440" s="63">
        <f>IFERROR(VLOOKUP(Table2[[#This Row],[Contraente]],Table1[[Nome/Ragione sociale]:[Checkbox selezionato]],4,FALSE),"-")</f>
        <v>0</v>
      </c>
      <c r="AL440" s="63" t="str">
        <f>IFERROR(VLOOKUP(Table2[[#This Row],[Contraente]],Table1[[Nome/Ragione sociale]:[Checkbox selezionato]],5,FALSE),"-")</f>
        <v>MIRIAM</v>
      </c>
      <c r="AM440" s="62">
        <f>IFERROR(VLOOKUP(Table2[[#This Row],[Contraente]],Table1[[Nome/Ragione sociale]:[Checkbox selezionato]],6,FALSE),"-")</f>
        <v>28366</v>
      </c>
      <c r="AN440" s="63" t="str">
        <f>IFERROR(VLOOKUP(Table2[[#This Row],[Contraente]],Table1[[Nome/Ragione sociale]:[Checkbox selezionato]],7,FALSE),"-")</f>
        <v>papies@libero.it</v>
      </c>
      <c r="AO440" s="63">
        <f>IFERROR(VLOOKUP(Table2[[#This Row],[Contraente]],Table1[[Nome/Ragione sociale]:[Checkbox selezionato]],8,FALSE),"-")</f>
        <v>0</v>
      </c>
      <c r="AP440" s="63">
        <f>IFERROR(VLOOKUP(Table2[[#This Row],[Contraente]],Table1[[Nome/Ragione sociale]:[Checkbox selezionato]],10,FALSE),"-")</f>
        <v>3486728551</v>
      </c>
      <c r="AQ440" s="63" t="str">
        <f>IFERROR(VLOOKUP(Table2[[#This Row],[Contraente]],Table1[[Nome/Ragione sociale]:[Checkbox selezionato]],11,FALSE),"-")</f>
        <v>SI</v>
      </c>
      <c r="AR440" s="63" t="str">
        <f>IFERROR(VLOOKUP(Table2[[#This Row],[Contraente]],Table1[[Nome/Ragione sociale]:[Checkbox selezionato]],12,FALSE),"-")</f>
        <v>SI</v>
      </c>
    </row>
    <row r="441" spans="1:44" ht="30" hidden="1" customHeight="1" x14ac:dyDescent="0.25">
      <c r="A441" s="60" t="str">
        <f>UPPER(LEFT(Table2[[#This Row],[Contraente]],1))</f>
        <v>E</v>
      </c>
      <c r="B441" s="60" t="s">
        <v>1634</v>
      </c>
      <c r="C441" s="81" t="s">
        <v>125</v>
      </c>
      <c r="D441" s="81" t="s">
        <v>37</v>
      </c>
      <c r="E441" s="86">
        <v>104727559</v>
      </c>
      <c r="F441" s="64">
        <v>42787</v>
      </c>
      <c r="G441" s="64">
        <f>IFERROR(CALCOLASCADENZA(Table2[[#This Row],[Data attivazione]],Table2[[#This Row],[Rateizzazione]],Table2[[#This Row],[Data ultimo pagamento]],Table2[[#This Row],[Data prossima scadenza manuale]]),"-")</f>
        <v>42952</v>
      </c>
      <c r="H441" s="67" t="s">
        <v>30</v>
      </c>
      <c r="I441" s="67" t="s">
        <v>113</v>
      </c>
      <c r="J441" s="33">
        <f>IFERROR(Table2[[#This Row],[Importo annuale]]/(12/VLOOKUP(Table2[[#This Row],[Rateizzazione]],TIPI_RATEIZZAZIONI,2,FALSE)),"-")</f>
        <v>162.72</v>
      </c>
      <c r="K441" s="88">
        <v>162.72</v>
      </c>
      <c r="L441" s="88">
        <v>325.44</v>
      </c>
      <c r="M441" s="67" t="s">
        <v>45</v>
      </c>
      <c r="N441" s="67" t="s">
        <v>51</v>
      </c>
      <c r="O441" s="27" t="s">
        <v>1631</v>
      </c>
      <c r="P441" s="33" t="s">
        <v>22</v>
      </c>
      <c r="Q441" s="60">
        <f>IFERROR(IF(12 / VLOOKUP(Table2[[#This Row],[Rateizzazione]],TIPI_RATEIZZAZIONI,2,FALSE) &gt;=1,  IF(Table2[[#This Row],[Data attivazione]] = "","-",MONTH(Table2[[#This Row],[Data attivazione]])),"-"),"-")</f>
        <v>8</v>
      </c>
      <c r="R4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1" s="67" t="s">
        <v>2</v>
      </c>
      <c r="V441" s="62"/>
      <c r="W441" s="64">
        <v>42587</v>
      </c>
      <c r="X441" s="29">
        <f>DATE(YEAR(Table2[[#This Row],[Data attivazione]])+VLOOKUP(Table2[[#This Row],[Durata]],VALORE_DURATA,2,FALSE),MONTH(Table2[[#This Row],[Data attivazione]]),DAY(Table2[[#This Row],[Data attivazione]]))</f>
        <v>42952</v>
      </c>
      <c r="Y441" s="65"/>
      <c r="Z441" s="61"/>
      <c r="AA441" s="64" t="s">
        <v>85</v>
      </c>
      <c r="AB441" s="29" t="str">
        <f>IF(Table2[[#This Row],[Data ultimo versamento temp]]=0/1/1900,"-",Table2[[#This Row],[Data ultimo versamento temp]])</f>
        <v>-</v>
      </c>
      <c r="AC441" s="29">
        <f t="array" ref="AC441">MAX(IF(TableVersamenti[Polizza]=Table2[[#This Row],[Polizza]],TableVersamenti[Data prevista versamento],"-"))</f>
        <v>0</v>
      </c>
      <c r="AD441" s="62"/>
      <c r="AE441" s="106">
        <f>DATE(YEAR(Table2[[#This Row],[Data ultimo pagamento]]),MONTH(Table2[[#This Row],[Data ultimo pagamento]]), 1)</f>
        <v>42767</v>
      </c>
      <c r="AF441" s="106">
        <f>DATE(YEAR(Table2[[#This Row],[Data prossima scadenza]]),MONTH(Table2[[#This Row],[Data prossima scadenza]]), 1)</f>
        <v>42948</v>
      </c>
      <c r="AG441" s="33">
        <f>IFERROR(Table2[[#This Row],[Importo annuale]]*VLOOKUP(Table2[[#This Row],[Ramo]],RAMI_POLIZZA,2,FALSE),0)</f>
        <v>37.425600000000003</v>
      </c>
      <c r="AH441" s="65" t="s">
        <v>113</v>
      </c>
      <c r="AI441" s="63" t="str">
        <f>IFERROR(VLOOKUP(Table2[[#This Row],[Contraente]],Table1[[Nome/Ragione sociale]:[Checkbox selezionato]],2,FALSE),"-")</f>
        <v>VISTARINO</v>
      </c>
      <c r="AJ441" s="63">
        <f>IFERROR(VLOOKUP(Table2[[#This Row],[Contraente]],Table1[[Nome/Ragione sociale]:[Checkbox selezionato]],3,FALSE),"-")</f>
        <v>3486728551</v>
      </c>
      <c r="AK441" s="63">
        <f>IFERROR(VLOOKUP(Table2[[#This Row],[Contraente]],Table1[[Nome/Ragione sociale]:[Checkbox selezionato]],4,FALSE),"-")</f>
        <v>0</v>
      </c>
      <c r="AL441" s="63" t="str">
        <f>IFERROR(VLOOKUP(Table2[[#This Row],[Contraente]],Table1[[Nome/Ragione sociale]:[Checkbox selezionato]],5,FALSE),"-")</f>
        <v>MIRIAM</v>
      </c>
      <c r="AM441" s="62">
        <f>IFERROR(VLOOKUP(Table2[[#This Row],[Contraente]],Table1[[Nome/Ragione sociale]:[Checkbox selezionato]],6,FALSE),"-")</f>
        <v>28366</v>
      </c>
      <c r="AN441" s="63" t="str">
        <f>IFERROR(VLOOKUP(Table2[[#This Row],[Contraente]],Table1[[Nome/Ragione sociale]:[Checkbox selezionato]],7,FALSE),"-")</f>
        <v>papies@libero.it</v>
      </c>
      <c r="AO441" s="63">
        <f>IFERROR(VLOOKUP(Table2[[#This Row],[Contraente]],Table1[[Nome/Ragione sociale]:[Checkbox selezionato]],8,FALSE),"-")</f>
        <v>0</v>
      </c>
      <c r="AP441" s="63">
        <f>IFERROR(VLOOKUP(Table2[[#This Row],[Contraente]],Table1[[Nome/Ragione sociale]:[Checkbox selezionato]],10,FALSE),"-")</f>
        <v>3486728551</v>
      </c>
      <c r="AQ441" s="63" t="str">
        <f>IFERROR(VLOOKUP(Table2[[#This Row],[Contraente]],Table1[[Nome/Ragione sociale]:[Checkbox selezionato]],11,FALSE),"-")</f>
        <v>SI</v>
      </c>
      <c r="AR441" s="63" t="str">
        <f>IFERROR(VLOOKUP(Table2[[#This Row],[Contraente]],Table1[[Nome/Ragione sociale]:[Checkbox selezionato]],12,FALSE),"-")</f>
        <v>SI</v>
      </c>
    </row>
    <row r="442" spans="1:44" ht="30" hidden="1" customHeight="1" x14ac:dyDescent="0.25">
      <c r="A442" s="60" t="str">
        <f>UPPER(LEFT(Table2[[#This Row],[Contraente]],1))</f>
        <v>E</v>
      </c>
      <c r="B442" s="60" t="s">
        <v>1634</v>
      </c>
      <c r="C442" s="81" t="s">
        <v>619</v>
      </c>
      <c r="D442" s="81" t="s">
        <v>37</v>
      </c>
      <c r="E442" s="86">
        <v>106560033</v>
      </c>
      <c r="F442" s="64">
        <v>42921</v>
      </c>
      <c r="G442" s="64">
        <f>IFERROR(CALCOLASCADENZA(Table2[[#This Row],[Data attivazione]],Table2[[#This Row],[Rateizzazione]],Table2[[#This Row],[Data ultimo pagamento]],Table2[[#This Row],[Data prossima scadenza manuale]]),"-")</f>
        <v>43035</v>
      </c>
      <c r="H442" s="67" t="s">
        <v>31</v>
      </c>
      <c r="I442" s="67" t="s">
        <v>1298</v>
      </c>
      <c r="J442" s="33">
        <f>IFERROR(Table2[[#This Row],[Importo annuale]]/(12/VLOOKUP(Table2[[#This Row],[Rateizzazione]],TIPI_RATEIZZAZIONI,2,FALSE)),"-")</f>
        <v>195</v>
      </c>
      <c r="K442" s="88">
        <v>390</v>
      </c>
      <c r="L442" s="88">
        <v>585</v>
      </c>
      <c r="M442" s="67" t="s">
        <v>43</v>
      </c>
      <c r="N442" s="67" t="s">
        <v>51</v>
      </c>
      <c r="O442" s="27" t="s">
        <v>1631</v>
      </c>
      <c r="P442" s="33" t="s">
        <v>21</v>
      </c>
      <c r="Q442" s="60">
        <f>IFERROR(IF(12 / VLOOKUP(Table2[[#This Row],[Rateizzazione]],TIPI_RATEIZZAZIONI,2,FALSE) &gt;=1,  IF(Table2[[#This Row],[Data attivazione]] = "","-",MONTH(Table2[[#This Row],[Data attivazione]])),"-"),"-")</f>
        <v>2</v>
      </c>
      <c r="R4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4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4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2" s="67" t="s">
        <v>2</v>
      </c>
      <c r="V442" s="62"/>
      <c r="W442" s="64">
        <v>42793</v>
      </c>
      <c r="X442" s="29">
        <f>DATE(YEAR(Table2[[#This Row],[Data attivazione]])+VLOOKUP(Table2[[#This Row],[Durata]],VALORE_DURATA,2,FALSE),MONTH(Table2[[#This Row],[Data attivazione]]),DAY(Table2[[#This Row],[Data attivazione]]))</f>
        <v>43158</v>
      </c>
      <c r="Y442" s="65"/>
      <c r="Z442" s="61"/>
      <c r="AA442" s="64" t="s">
        <v>85</v>
      </c>
      <c r="AB442" s="29">
        <f>IF(Table2[[#This Row],[Data ultimo versamento temp]]=0/1/1900,"-",Table2[[#This Row],[Data ultimo versamento temp]])</f>
        <v>42923</v>
      </c>
      <c r="AC442" s="29">
        <f t="array" ref="AC442">MAX(IF(TableVersamenti[Polizza]=Table2[[#This Row],[Polizza]],TableVersamenti[Data prevista versamento],"-"))</f>
        <v>42923</v>
      </c>
      <c r="AD442" s="62"/>
      <c r="AE442" s="106">
        <f>DATE(YEAR(Table2[[#This Row],[Data ultimo pagamento]]),MONTH(Table2[[#This Row],[Data ultimo pagamento]]), 1)</f>
        <v>42917</v>
      </c>
      <c r="AF442" s="106">
        <f>DATE(YEAR(Table2[[#This Row],[Data prossima scadenza]]),MONTH(Table2[[#This Row],[Data prossima scadenza]]), 1)</f>
        <v>43009</v>
      </c>
      <c r="AG442" s="33">
        <f>IFERROR(Table2[[#This Row],[Importo annuale]]*VLOOKUP(Table2[[#This Row],[Ramo]],RAMI_POLIZZA,2,FALSE),0)</f>
        <v>30.419999999999998</v>
      </c>
      <c r="AH442" s="65" t="s">
        <v>113</v>
      </c>
      <c r="AI442" s="63" t="str">
        <f>IFERROR(VLOOKUP(Table2[[#This Row],[Contraente]],Table1[[Nome/Ragione sociale]:[Checkbox selezionato]],2,FALSE),"-")</f>
        <v>MIRADOLO TERME</v>
      </c>
      <c r="AJ442" s="63">
        <f>IFERROR(VLOOKUP(Table2[[#This Row],[Contraente]],Table1[[Nome/Ragione sociale]:[Checkbox selezionato]],3,FALSE),"-")</f>
        <v>3886506260</v>
      </c>
      <c r="AK442" s="63">
        <f>IFERROR(VLOOKUP(Table2[[#This Row],[Contraente]],Table1[[Nome/Ragione sociale]:[Checkbox selezionato]],4,FALSE),"-")</f>
        <v>0</v>
      </c>
      <c r="AL442" s="63" t="str">
        <f>IFERROR(VLOOKUP(Table2[[#This Row],[Contraente]],Table1[[Nome/Ragione sociale]:[Checkbox selezionato]],5,FALSE),"-")</f>
        <v>MOHAMED</v>
      </c>
      <c r="AM442" s="62">
        <f>IFERROR(VLOOKUP(Table2[[#This Row],[Contraente]],Table1[[Nome/Ragione sociale]:[Checkbox selezionato]],6,FALSE),"-")</f>
        <v>29381</v>
      </c>
      <c r="AN442" s="63" t="str">
        <f>IFERROR(VLOOKUP(Table2[[#This Row],[Contraente]],Table1[[Nome/Ragione sociale]:[Checkbox selezionato]],7,FALSE),"-")</f>
        <v>papies@libero.it</v>
      </c>
      <c r="AO442" s="63">
        <f>IFERROR(VLOOKUP(Table2[[#This Row],[Contraente]],Table1[[Nome/Ragione sociale]:[Checkbox selezionato]],8,FALSE),"-")</f>
        <v>0</v>
      </c>
      <c r="AP442" s="63">
        <f>IFERROR(VLOOKUP(Table2[[#This Row],[Contraente]],Table1[[Nome/Ragione sociale]:[Checkbox selezionato]],10,FALSE),"-")</f>
        <v>3886506260</v>
      </c>
      <c r="AQ442" s="63" t="str">
        <f>IFERROR(VLOOKUP(Table2[[#This Row],[Contraente]],Table1[[Nome/Ragione sociale]:[Checkbox selezionato]],11,FALSE),"-")</f>
        <v>SI</v>
      </c>
      <c r="AR442" s="63" t="str">
        <f>IFERROR(VLOOKUP(Table2[[#This Row],[Contraente]],Table1[[Nome/Ragione sociale]:[Checkbox selezionato]],12,FALSE),"-")</f>
        <v>SI</v>
      </c>
    </row>
    <row r="443" spans="1:44" ht="30" hidden="1" customHeight="1" x14ac:dyDescent="0.25">
      <c r="A443" s="60" t="str">
        <f>UPPER(LEFT(Table2[[#This Row],[Contraente]],1))</f>
        <v>E</v>
      </c>
      <c r="B443" s="60" t="s">
        <v>1634</v>
      </c>
      <c r="C443" s="81" t="s">
        <v>622</v>
      </c>
      <c r="D443" s="81" t="s">
        <v>37</v>
      </c>
      <c r="E443" s="86">
        <v>106314482</v>
      </c>
      <c r="F443" s="64">
        <v>42716</v>
      </c>
      <c r="G443" s="64">
        <f>IFERROR(CALCOLASCADENZA(Table2[[#This Row],[Data attivazione]],Table2[[#This Row],[Rateizzazione]],Table2[[#This Row],[Data ultimo pagamento]],Table2[[#This Row],[Data prossima scadenza manuale]]),"-")</f>
        <v>43081</v>
      </c>
      <c r="H443" s="67" t="s">
        <v>30</v>
      </c>
      <c r="I443" s="67" t="s">
        <v>113</v>
      </c>
      <c r="J443" s="33">
        <f>IFERROR(Table2[[#This Row],[Importo annuale]]/(12/VLOOKUP(Table2[[#This Row],[Rateizzazione]],TIPI_RATEIZZAZIONI,2,FALSE)),"-")</f>
        <v>164</v>
      </c>
      <c r="K443" s="88"/>
      <c r="L443" s="88">
        <v>164</v>
      </c>
      <c r="M443" s="67" t="s">
        <v>43</v>
      </c>
      <c r="N443" s="67" t="s">
        <v>52</v>
      </c>
      <c r="O443" s="27" t="s">
        <v>1631</v>
      </c>
      <c r="P443" s="33" t="s">
        <v>23</v>
      </c>
      <c r="Q443" s="60">
        <f>IFERROR(IF(12 / VLOOKUP(Table2[[#This Row],[Rateizzazione]],TIPI_RATEIZZAZIONI,2,FALSE) &gt;=1,  IF(Table2[[#This Row],[Data attivazione]] = "","-",MONTH(Table2[[#This Row],[Data attivazione]])),"-"),"-")</f>
        <v>12</v>
      </c>
      <c r="R4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3" s="67" t="s">
        <v>2</v>
      </c>
      <c r="V443" s="62"/>
      <c r="W443" s="64">
        <v>42716</v>
      </c>
      <c r="X443" s="29">
        <f>DATE(YEAR(Table2[[#This Row],[Data attivazione]])+VLOOKUP(Table2[[#This Row],[Durata]],VALORE_DURATA,2,FALSE),MONTH(Table2[[#This Row],[Data attivazione]]),DAY(Table2[[#This Row],[Data attivazione]]))</f>
        <v>43081</v>
      </c>
      <c r="Y443" s="65"/>
      <c r="Z443" s="61"/>
      <c r="AA443" s="64" t="s">
        <v>85</v>
      </c>
      <c r="AB443" s="29" t="str">
        <f>IF(Table2[[#This Row],[Data ultimo versamento temp]]=0/1/1900,"-",Table2[[#This Row],[Data ultimo versamento temp]])</f>
        <v>-</v>
      </c>
      <c r="AC443" s="29">
        <f t="array" ref="AC443">MAX(IF(TableVersamenti[Polizza]=Table2[[#This Row],[Polizza]],TableVersamenti[Data prevista versamento],"-"))</f>
        <v>0</v>
      </c>
      <c r="AD443" s="62"/>
      <c r="AE443" s="106">
        <f>DATE(YEAR(Table2[[#This Row],[Data ultimo pagamento]]),MONTH(Table2[[#This Row],[Data ultimo pagamento]]), 1)</f>
        <v>42705</v>
      </c>
      <c r="AF443" s="106">
        <f>DATE(YEAR(Table2[[#This Row],[Data prossima scadenza]]),MONTH(Table2[[#This Row],[Data prossima scadenza]]), 1)</f>
        <v>43070</v>
      </c>
      <c r="AG443" s="33">
        <f>IFERROR(Table2[[#This Row],[Importo annuale]]*VLOOKUP(Table2[[#This Row],[Ramo]],RAMI_POLIZZA,2,FALSE),0)</f>
        <v>18.86</v>
      </c>
      <c r="AH443" s="65" t="s">
        <v>113</v>
      </c>
      <c r="AI443" s="63" t="str">
        <f>IFERROR(VLOOKUP(Table2[[#This Row],[Contraente]],Table1[[Nome/Ragione sociale]:[Checkbox selezionato]],2,FALSE),"-")</f>
        <v>LINAROLO</v>
      </c>
      <c r="AJ443" s="63">
        <f>IFERROR(VLOOKUP(Table2[[#This Row],[Contraente]],Table1[[Nome/Ragione sociale]:[Checkbox selezionato]],3,FALSE),"-")</f>
        <v>3485419060</v>
      </c>
      <c r="AK443" s="63">
        <f>IFERROR(VLOOKUP(Table2[[#This Row],[Contraente]],Table1[[Nome/Ragione sociale]:[Checkbox selezionato]],4,FALSE),"-")</f>
        <v>0</v>
      </c>
      <c r="AL443" s="63" t="str">
        <f>IFERROR(VLOOKUP(Table2[[#This Row],[Contraente]],Table1[[Nome/Ragione sociale]:[Checkbox selezionato]],5,FALSE),"-")</f>
        <v>ANTONIO</v>
      </c>
      <c r="AM443" s="62">
        <f>IFERROR(VLOOKUP(Table2[[#This Row],[Contraente]],Table1[[Nome/Ragione sociale]:[Checkbox selezionato]],6,FALSE),"-")</f>
        <v>19005</v>
      </c>
      <c r="AN443" s="63" t="str">
        <f>IFERROR(VLOOKUP(Table2[[#This Row],[Contraente]],Table1[[Nome/Ragione sociale]:[Checkbox selezionato]],7,FALSE),"-")</f>
        <v>papies@email.it</v>
      </c>
      <c r="AO443" s="63">
        <f>IFERROR(VLOOKUP(Table2[[#This Row],[Contraente]],Table1[[Nome/Ragione sociale]:[Checkbox selezionato]],8,FALSE),"-")</f>
        <v>0</v>
      </c>
      <c r="AP443" s="63">
        <f>IFERROR(VLOOKUP(Table2[[#This Row],[Contraente]],Table1[[Nome/Ragione sociale]:[Checkbox selezionato]],10,FALSE),"-")</f>
        <v>3485419060</v>
      </c>
      <c r="AQ443" s="63" t="str">
        <f>IFERROR(VLOOKUP(Table2[[#This Row],[Contraente]],Table1[[Nome/Ragione sociale]:[Checkbox selezionato]],11,FALSE),"-")</f>
        <v>SI</v>
      </c>
      <c r="AR443" s="63" t="str">
        <f>IFERROR(VLOOKUP(Table2[[#This Row],[Contraente]],Table1[[Nome/Ragione sociale]:[Checkbox selezionato]],12,FALSE),"-")</f>
        <v>SI</v>
      </c>
    </row>
    <row r="444" spans="1:44" ht="30" hidden="1" customHeight="1" x14ac:dyDescent="0.25">
      <c r="A444" s="60" t="str">
        <f>UPPER(LEFT(Table2[[#This Row],[Contraente]],1))</f>
        <v>E</v>
      </c>
      <c r="B444" s="60" t="s">
        <v>1634</v>
      </c>
      <c r="C444" s="81" t="s">
        <v>622</v>
      </c>
      <c r="D444" s="81" t="s">
        <v>37</v>
      </c>
      <c r="E444" s="86">
        <v>106982105</v>
      </c>
      <c r="F444" s="64">
        <v>42900</v>
      </c>
      <c r="G444" s="64">
        <f>IFERROR(CALCOLASCADENZA(Table2[[#This Row],[Data attivazione]],Table2[[#This Row],[Rateizzazione]],Table2[[#This Row],[Data ultimo pagamento]],Table2[[#This Row],[Data prossima scadenza manuale]]),"-")</f>
        <v>43023</v>
      </c>
      <c r="H444" s="67" t="s">
        <v>31</v>
      </c>
      <c r="I444" s="67" t="s">
        <v>1299</v>
      </c>
      <c r="J444" s="33">
        <f>IFERROR(Table2[[#This Row],[Importo annuale]]/(12/VLOOKUP(Table2[[#This Row],[Rateizzazione]],TIPI_RATEIZZAZIONI,2,FALSE)),"-")</f>
        <v>131</v>
      </c>
      <c r="K444" s="88">
        <v>131</v>
      </c>
      <c r="L444" s="88">
        <v>131</v>
      </c>
      <c r="M444" s="67" t="s">
        <v>43</v>
      </c>
      <c r="N444" s="67" t="s">
        <v>52</v>
      </c>
      <c r="O444" s="27" t="s">
        <v>1631</v>
      </c>
      <c r="P444" s="33" t="s">
        <v>23</v>
      </c>
      <c r="Q444" s="60">
        <f>IFERROR(IF(12 / VLOOKUP(Table2[[#This Row],[Rateizzazione]],TIPI_RATEIZZAZIONI,2,FALSE) &gt;=1,  IF(Table2[[#This Row],[Data attivazione]] = "","-",MONTH(Table2[[#This Row],[Data attivazione]])),"-"),"-")</f>
        <v>10</v>
      </c>
      <c r="R4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4" s="67" t="s">
        <v>2</v>
      </c>
      <c r="V444" s="62"/>
      <c r="W444" s="64">
        <v>42658</v>
      </c>
      <c r="X444" s="29">
        <f>DATE(YEAR(Table2[[#This Row],[Data attivazione]])+VLOOKUP(Table2[[#This Row],[Durata]],VALORE_DURATA,2,FALSE),MONTH(Table2[[#This Row],[Data attivazione]]),DAY(Table2[[#This Row],[Data attivazione]]))</f>
        <v>43023</v>
      </c>
      <c r="Y444" s="65"/>
      <c r="Z444" s="61"/>
      <c r="AA444" s="64" t="s">
        <v>85</v>
      </c>
      <c r="AB444" s="29" t="str">
        <f>IF(Table2[[#This Row],[Data ultimo versamento temp]]=0/1/1900,"-",Table2[[#This Row],[Data ultimo versamento temp]])</f>
        <v>-</v>
      </c>
      <c r="AC444" s="29">
        <f t="array" ref="AC444">MAX(IF(TableVersamenti[Polizza]=Table2[[#This Row],[Polizza]],TableVersamenti[Data prevista versamento],"-"))</f>
        <v>0</v>
      </c>
      <c r="AD444" s="62"/>
      <c r="AE444" s="106">
        <f>DATE(YEAR(Table2[[#This Row],[Data ultimo pagamento]]),MONTH(Table2[[#This Row],[Data ultimo pagamento]]), 1)</f>
        <v>42887</v>
      </c>
      <c r="AF444" s="106">
        <f>DATE(YEAR(Table2[[#This Row],[Data prossima scadenza]]),MONTH(Table2[[#This Row],[Data prossima scadenza]]), 1)</f>
        <v>43009</v>
      </c>
      <c r="AG444" s="33">
        <f>IFERROR(Table2[[#This Row],[Importo annuale]]*VLOOKUP(Table2[[#This Row],[Ramo]],RAMI_POLIZZA,2,FALSE),0)</f>
        <v>6.8119999999999994</v>
      </c>
      <c r="AH444" s="65" t="s">
        <v>113</v>
      </c>
      <c r="AI444" s="63" t="str">
        <f>IFERROR(VLOOKUP(Table2[[#This Row],[Contraente]],Table1[[Nome/Ragione sociale]:[Checkbox selezionato]],2,FALSE),"-")</f>
        <v>LINAROLO</v>
      </c>
      <c r="AJ444" s="63">
        <f>IFERROR(VLOOKUP(Table2[[#This Row],[Contraente]],Table1[[Nome/Ragione sociale]:[Checkbox selezionato]],3,FALSE),"-")</f>
        <v>3485419060</v>
      </c>
      <c r="AK444" s="63">
        <f>IFERROR(VLOOKUP(Table2[[#This Row],[Contraente]],Table1[[Nome/Ragione sociale]:[Checkbox selezionato]],4,FALSE),"-")</f>
        <v>0</v>
      </c>
      <c r="AL444" s="63" t="str">
        <f>IFERROR(VLOOKUP(Table2[[#This Row],[Contraente]],Table1[[Nome/Ragione sociale]:[Checkbox selezionato]],5,FALSE),"-")</f>
        <v>ANTONIO</v>
      </c>
      <c r="AM444" s="62">
        <f>IFERROR(VLOOKUP(Table2[[#This Row],[Contraente]],Table1[[Nome/Ragione sociale]:[Checkbox selezionato]],6,FALSE),"-")</f>
        <v>19005</v>
      </c>
      <c r="AN444" s="63" t="str">
        <f>IFERROR(VLOOKUP(Table2[[#This Row],[Contraente]],Table1[[Nome/Ragione sociale]:[Checkbox selezionato]],7,FALSE),"-")</f>
        <v>papies@email.it</v>
      </c>
      <c r="AO444" s="63">
        <f>IFERROR(VLOOKUP(Table2[[#This Row],[Contraente]],Table1[[Nome/Ragione sociale]:[Checkbox selezionato]],8,FALSE),"-")</f>
        <v>0</v>
      </c>
      <c r="AP444" s="63">
        <f>IFERROR(VLOOKUP(Table2[[#This Row],[Contraente]],Table1[[Nome/Ragione sociale]:[Checkbox selezionato]],10,FALSE),"-")</f>
        <v>3485419060</v>
      </c>
      <c r="AQ444" s="63" t="str">
        <f>IFERROR(VLOOKUP(Table2[[#This Row],[Contraente]],Table1[[Nome/Ragione sociale]:[Checkbox selezionato]],11,FALSE),"-")</f>
        <v>SI</v>
      </c>
      <c r="AR444" s="63" t="str">
        <f>IFERROR(VLOOKUP(Table2[[#This Row],[Contraente]],Table1[[Nome/Ragione sociale]:[Checkbox selezionato]],12,FALSE),"-")</f>
        <v>SI</v>
      </c>
    </row>
    <row r="445" spans="1:44" ht="30" hidden="1" customHeight="1" x14ac:dyDescent="0.25">
      <c r="A445" s="60" t="str">
        <f>UPPER(LEFT(Table2[[#This Row],[Contraente]],1))</f>
        <v>E</v>
      </c>
      <c r="B445" s="60" t="s">
        <v>1634</v>
      </c>
      <c r="C445" s="81" t="s">
        <v>622</v>
      </c>
      <c r="D445" s="81" t="s">
        <v>37</v>
      </c>
      <c r="E445" s="86">
        <v>106953097</v>
      </c>
      <c r="F445" s="64">
        <v>42893</v>
      </c>
      <c r="G445" s="64">
        <f>IFERROR(CALCOLASCADENZA(Table2[[#This Row],[Data attivazione]],Table2[[#This Row],[Rateizzazione]],Table2[[#This Row],[Data ultimo pagamento]],Table2[[#This Row],[Data prossima scadenza manuale]]),"-")</f>
        <v>43076</v>
      </c>
      <c r="H445" s="67" t="s">
        <v>31</v>
      </c>
      <c r="I445" s="67" t="s">
        <v>1750</v>
      </c>
      <c r="J445" s="33">
        <f>IFERROR(Table2[[#This Row],[Importo annuale]]/(12/VLOOKUP(Table2[[#This Row],[Rateizzazione]],TIPI_RATEIZZAZIONI,2,FALSE)),"-")</f>
        <v>420</v>
      </c>
      <c r="K445" s="88">
        <v>420</v>
      </c>
      <c r="L445" s="88">
        <v>840</v>
      </c>
      <c r="M445" s="67" t="s">
        <v>44</v>
      </c>
      <c r="N445" s="67" t="s">
        <v>52</v>
      </c>
      <c r="O445" s="27" t="s">
        <v>1631</v>
      </c>
      <c r="P445" s="33" t="s">
        <v>22</v>
      </c>
      <c r="Q445" s="60">
        <f>IFERROR(IF(12 / VLOOKUP(Table2[[#This Row],[Rateizzazione]],TIPI_RATEIZZAZIONI,2,FALSE) &gt;=1,  IF(Table2[[#This Row],[Data attivazione]] = "","-",MONTH(Table2[[#This Row],[Data attivazione]])),"-"),"-")</f>
        <v>12</v>
      </c>
      <c r="R4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5" s="67" t="s">
        <v>2</v>
      </c>
      <c r="V445" s="62"/>
      <c r="W445" s="64">
        <v>42711</v>
      </c>
      <c r="X445" s="29">
        <f>DATE(YEAR(Table2[[#This Row],[Data attivazione]])+VLOOKUP(Table2[[#This Row],[Durata]],VALORE_DURATA,2,FALSE),MONTH(Table2[[#This Row],[Data attivazione]]),DAY(Table2[[#This Row],[Data attivazione]]))</f>
        <v>43076</v>
      </c>
      <c r="Y445" s="65"/>
      <c r="Z445" s="61"/>
      <c r="AA445" s="64" t="s">
        <v>85</v>
      </c>
      <c r="AB445" s="29" t="str">
        <f>IF(Table2[[#This Row],[Data ultimo versamento temp]]=0/1/1900,"-",Table2[[#This Row],[Data ultimo versamento temp]])</f>
        <v>-</v>
      </c>
      <c r="AC445" s="29">
        <f t="array" ref="AC445">MAX(IF(TableVersamenti[Polizza]=Table2[[#This Row],[Polizza]],TableVersamenti[Data prevista versamento],"-"))</f>
        <v>0</v>
      </c>
      <c r="AD445" s="62"/>
      <c r="AE445" s="106">
        <f>DATE(YEAR(Table2[[#This Row],[Data ultimo pagamento]]),MONTH(Table2[[#This Row],[Data ultimo pagamento]]), 1)</f>
        <v>42887</v>
      </c>
      <c r="AF445" s="106">
        <f>DATE(YEAR(Table2[[#This Row],[Data prossima scadenza]]),MONTH(Table2[[#This Row],[Data prossima scadenza]]), 1)</f>
        <v>43070</v>
      </c>
      <c r="AG445" s="33">
        <f>IFERROR(Table2[[#This Row],[Importo annuale]]*VLOOKUP(Table2[[#This Row],[Ramo]],RAMI_POLIZZA,2,FALSE),0)</f>
        <v>43.68</v>
      </c>
      <c r="AH445" s="65" t="s">
        <v>113</v>
      </c>
      <c r="AI445" s="63" t="str">
        <f>IFERROR(VLOOKUP(Table2[[#This Row],[Contraente]],Table1[[Nome/Ragione sociale]:[Checkbox selezionato]],2,FALSE),"-")</f>
        <v>LINAROLO</v>
      </c>
      <c r="AJ445" s="63">
        <f>IFERROR(VLOOKUP(Table2[[#This Row],[Contraente]],Table1[[Nome/Ragione sociale]:[Checkbox selezionato]],3,FALSE),"-")</f>
        <v>3485419060</v>
      </c>
      <c r="AK445" s="63">
        <f>IFERROR(VLOOKUP(Table2[[#This Row],[Contraente]],Table1[[Nome/Ragione sociale]:[Checkbox selezionato]],4,FALSE),"-")</f>
        <v>0</v>
      </c>
      <c r="AL445" s="63" t="str">
        <f>IFERROR(VLOOKUP(Table2[[#This Row],[Contraente]],Table1[[Nome/Ragione sociale]:[Checkbox selezionato]],5,FALSE),"-")</f>
        <v>ANTONIO</v>
      </c>
      <c r="AM445" s="62">
        <f>IFERROR(VLOOKUP(Table2[[#This Row],[Contraente]],Table1[[Nome/Ragione sociale]:[Checkbox selezionato]],6,FALSE),"-")</f>
        <v>19005</v>
      </c>
      <c r="AN445" s="63" t="str">
        <f>IFERROR(VLOOKUP(Table2[[#This Row],[Contraente]],Table1[[Nome/Ragione sociale]:[Checkbox selezionato]],7,FALSE),"-")</f>
        <v>papies@email.it</v>
      </c>
      <c r="AO445" s="63">
        <f>IFERROR(VLOOKUP(Table2[[#This Row],[Contraente]],Table1[[Nome/Ragione sociale]:[Checkbox selezionato]],8,FALSE),"-")</f>
        <v>0</v>
      </c>
      <c r="AP445" s="63">
        <f>IFERROR(VLOOKUP(Table2[[#This Row],[Contraente]],Table1[[Nome/Ragione sociale]:[Checkbox selezionato]],10,FALSE),"-")</f>
        <v>3485419060</v>
      </c>
      <c r="AQ445" s="63" t="str">
        <f>IFERROR(VLOOKUP(Table2[[#This Row],[Contraente]],Table1[[Nome/Ragione sociale]:[Checkbox selezionato]],11,FALSE),"-")</f>
        <v>SI</v>
      </c>
      <c r="AR445" s="63" t="str">
        <f>IFERROR(VLOOKUP(Table2[[#This Row],[Contraente]],Table1[[Nome/Ragione sociale]:[Checkbox selezionato]],12,FALSE),"-")</f>
        <v>SI</v>
      </c>
    </row>
    <row r="446" spans="1:44" ht="30" hidden="1" customHeight="1" x14ac:dyDescent="0.25">
      <c r="A446" s="60" t="str">
        <f>UPPER(LEFT(Table2[[#This Row],[Contraente]],1))</f>
        <v>E</v>
      </c>
      <c r="B446" s="60" t="s">
        <v>1634</v>
      </c>
      <c r="C446" s="81" t="s">
        <v>624</v>
      </c>
      <c r="D446" s="81" t="s">
        <v>37</v>
      </c>
      <c r="E446" s="86">
        <v>106622415</v>
      </c>
      <c r="F446" s="64">
        <v>42809</v>
      </c>
      <c r="G446" s="64">
        <f>IFERROR(CALCOLASCADENZA(Table2[[#This Row],[Data attivazione]],Table2[[#This Row],[Rateizzazione]],Table2[[#This Row],[Data ultimo pagamento]],Table2[[#This Row],[Data prossima scadenza manuale]]),"-")</f>
        <v>43174</v>
      </c>
      <c r="H446" s="67" t="s">
        <v>30</v>
      </c>
      <c r="I446" s="67" t="s">
        <v>113</v>
      </c>
      <c r="J446" s="33">
        <f>IFERROR(Table2[[#This Row],[Importo annuale]]/(12/VLOOKUP(Table2[[#This Row],[Rateizzazione]],TIPI_RATEIZZAZIONI,2,FALSE)),"-")</f>
        <v>305</v>
      </c>
      <c r="K446" s="88">
        <v>305</v>
      </c>
      <c r="L446" s="88">
        <v>305</v>
      </c>
      <c r="M446" s="67" t="s">
        <v>46</v>
      </c>
      <c r="N446" s="67" t="s">
        <v>52</v>
      </c>
      <c r="O446" s="27" t="s">
        <v>1631</v>
      </c>
      <c r="P446" s="33" t="s">
        <v>23</v>
      </c>
      <c r="Q446" s="60">
        <f>IFERROR(IF(12 / VLOOKUP(Table2[[#This Row],[Rateizzazione]],TIPI_RATEIZZAZIONI,2,FALSE) &gt;=1,  IF(Table2[[#This Row],[Data attivazione]] = "","-",MONTH(Table2[[#This Row],[Data attivazione]])),"-"),"-")</f>
        <v>3</v>
      </c>
      <c r="R4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6" s="67" t="s">
        <v>2</v>
      </c>
      <c r="V446" s="62"/>
      <c r="W446" s="64">
        <v>42809</v>
      </c>
      <c r="X446" s="29">
        <f>DATE(YEAR(Table2[[#This Row],[Data attivazione]])+VLOOKUP(Table2[[#This Row],[Durata]],VALORE_DURATA,2,FALSE),MONTH(Table2[[#This Row],[Data attivazione]]),DAY(Table2[[#This Row],[Data attivazione]]))</f>
        <v>43174</v>
      </c>
      <c r="Y446" s="65"/>
      <c r="Z446" s="61"/>
      <c r="AA446" s="64" t="s">
        <v>85</v>
      </c>
      <c r="AB446" s="29" t="str">
        <f>IF(Table2[[#This Row],[Data ultimo versamento temp]]=0/1/1900,"-",Table2[[#This Row],[Data ultimo versamento temp]])</f>
        <v>-</v>
      </c>
      <c r="AC446" s="29">
        <f t="array" ref="AC446">MAX(IF(TableVersamenti[Polizza]=Table2[[#This Row],[Polizza]],TableVersamenti[Data prevista versamento],"-"))</f>
        <v>0</v>
      </c>
      <c r="AD446" s="62"/>
      <c r="AE446" s="106">
        <f>DATE(YEAR(Table2[[#This Row],[Data ultimo pagamento]]),MONTH(Table2[[#This Row],[Data ultimo pagamento]]), 1)</f>
        <v>42795</v>
      </c>
      <c r="AF446" s="106">
        <f>DATE(YEAR(Table2[[#This Row],[Data prossima scadenza]]),MONTH(Table2[[#This Row],[Data prossima scadenza]]), 1)</f>
        <v>43160</v>
      </c>
      <c r="AG446" s="33">
        <f>IFERROR(Table2[[#This Row],[Importo annuale]]*VLOOKUP(Table2[[#This Row],[Ramo]],RAMI_POLIZZA,2,FALSE),0)</f>
        <v>35.075000000000003</v>
      </c>
      <c r="AH446" s="65" t="s">
        <v>113</v>
      </c>
      <c r="AI446" s="63" t="str">
        <f>IFERROR(VLOOKUP(Table2[[#This Row],[Contraente]],Table1[[Nome/Ragione sociale]:[Checkbox selezionato]],2,FALSE),"-")</f>
        <v>LINAROLO</v>
      </c>
      <c r="AJ446" s="63">
        <f>IFERROR(VLOOKUP(Table2[[#This Row],[Contraente]],Table1[[Nome/Ragione sociale]:[Checkbox selezionato]],3,FALSE),"-")</f>
        <v>3348695549</v>
      </c>
      <c r="AK446" s="63">
        <f>IFERROR(VLOOKUP(Table2[[#This Row],[Contraente]],Table1[[Nome/Ragione sociale]:[Checkbox selezionato]],4,FALSE),"-")</f>
        <v>0</v>
      </c>
      <c r="AL446" s="63" t="str">
        <f>IFERROR(VLOOKUP(Table2[[#This Row],[Contraente]],Table1[[Nome/Ragione sociale]:[Checkbox selezionato]],5,FALSE),"-")</f>
        <v>RICCARDO</v>
      </c>
      <c r="AM446" s="62">
        <f>IFERROR(VLOOKUP(Table2[[#This Row],[Contraente]],Table1[[Nome/Ragione sociale]:[Checkbox selezionato]],6,FALSE),"-")</f>
        <v>33959</v>
      </c>
      <c r="AN446" s="63" t="str">
        <f>IFERROR(VLOOKUP(Table2[[#This Row],[Contraente]],Table1[[Nome/Ragione sociale]:[Checkbox selezionato]],7,FALSE),"-")</f>
        <v>papies@libero.it</v>
      </c>
      <c r="AO446" s="63">
        <f>IFERROR(VLOOKUP(Table2[[#This Row],[Contraente]],Table1[[Nome/Ragione sociale]:[Checkbox selezionato]],8,FALSE),"-")</f>
        <v>0</v>
      </c>
      <c r="AP446" s="63">
        <f>IFERROR(VLOOKUP(Table2[[#This Row],[Contraente]],Table1[[Nome/Ragione sociale]:[Checkbox selezionato]],10,FALSE),"-")</f>
        <v>3348695549</v>
      </c>
      <c r="AQ446" s="63" t="str">
        <f>IFERROR(VLOOKUP(Table2[[#This Row],[Contraente]],Table1[[Nome/Ragione sociale]:[Checkbox selezionato]],11,FALSE),"-")</f>
        <v>SI</v>
      </c>
      <c r="AR446" s="63" t="str">
        <f>IFERROR(VLOOKUP(Table2[[#This Row],[Contraente]],Table1[[Nome/Ragione sociale]:[Checkbox selezionato]],12,FALSE),"-")</f>
        <v>SI</v>
      </c>
    </row>
    <row r="447" spans="1:44" ht="30" hidden="1" customHeight="1" x14ac:dyDescent="0.25">
      <c r="A447" s="60" t="str">
        <f>UPPER(LEFT(Table2[[#This Row],[Contraente]],1))</f>
        <v>E</v>
      </c>
      <c r="B447" s="60" t="s">
        <v>1634</v>
      </c>
      <c r="C447" s="81" t="s">
        <v>624</v>
      </c>
      <c r="D447" s="81" t="s">
        <v>37</v>
      </c>
      <c r="E447" s="86">
        <v>1074607</v>
      </c>
      <c r="F447" s="64">
        <v>42670</v>
      </c>
      <c r="G447" s="64">
        <f>IFERROR(CALCOLASCADENZA(Table2[[#This Row],[Data attivazione]],Table2[[#This Row],[Rateizzazione]],Table2[[#This Row],[Data ultimo pagamento]],Table2[[#This Row],[Data prossima scadenza manuale]]),"-")</f>
        <v>42703</v>
      </c>
      <c r="H447" s="67" t="s">
        <v>32</v>
      </c>
      <c r="I447" s="67" t="s">
        <v>113</v>
      </c>
      <c r="J447" s="33">
        <f>IFERROR(Table2[[#This Row],[Importo annuale]]/(12/VLOOKUP(Table2[[#This Row],[Rateizzazione]],TIPI_RATEIZZAZIONI,2,FALSE)),"-")</f>
        <v>100</v>
      </c>
      <c r="K447" s="88"/>
      <c r="L447" s="88">
        <v>1200</v>
      </c>
      <c r="M447" s="67" t="s">
        <v>44</v>
      </c>
      <c r="N447" s="67" t="s">
        <v>52</v>
      </c>
      <c r="O447" s="27" t="s">
        <v>1631</v>
      </c>
      <c r="P447" s="33" t="s">
        <v>18</v>
      </c>
      <c r="Q447" s="60">
        <f>IFERROR(IF(12 / VLOOKUP(Table2[[#This Row],[Rateizzazione]],TIPI_RATEIZZAZIONI,2,FALSE) &gt;=1,  IF(Table2[[#This Row],[Data attivazione]] = "","-",MONTH(Table2[[#This Row],[Data attivazione]])),"-"),"-")</f>
        <v>11</v>
      </c>
      <c r="R4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4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447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447" s="67" t="s">
        <v>2</v>
      </c>
      <c r="V447" s="62"/>
      <c r="W447" s="64">
        <v>42338</v>
      </c>
      <c r="X447" s="29">
        <f>DATE(YEAR(Table2[[#This Row],[Data attivazione]])+VLOOKUP(Table2[[#This Row],[Durata]],VALORE_DURATA,2,FALSE),MONTH(Table2[[#This Row],[Data attivazione]]),DAY(Table2[[#This Row],[Data attivazione]]))</f>
        <v>42704</v>
      </c>
      <c r="Y447" s="65"/>
      <c r="Z447" s="61"/>
      <c r="AA447" s="64" t="s">
        <v>88</v>
      </c>
      <c r="AB447" s="29" t="str">
        <f>IF(Table2[[#This Row],[Data ultimo versamento temp]]=0/1/1900,"-",Table2[[#This Row],[Data ultimo versamento temp]])</f>
        <v>-</v>
      </c>
      <c r="AC447" s="29">
        <f t="array" ref="AC447">MAX(IF(TableVersamenti[Polizza]=Table2[[#This Row],[Polizza]],TableVersamenti[Data prevista versamento],"-"))</f>
        <v>0</v>
      </c>
      <c r="AD447" s="62"/>
      <c r="AE447" s="106">
        <f>DATE(YEAR(Table2[[#This Row],[Data ultimo pagamento]]),MONTH(Table2[[#This Row],[Data ultimo pagamento]]), 1)</f>
        <v>42644</v>
      </c>
      <c r="AF447" s="106">
        <f>DATE(YEAR(Table2[[#This Row],[Data prossima scadenza]]),MONTH(Table2[[#This Row],[Data prossima scadenza]]), 1)</f>
        <v>42675</v>
      </c>
      <c r="AG447" s="33">
        <f>IFERROR(Table2[[#This Row],[Importo annuale]]*VLOOKUP(Table2[[#This Row],[Ramo]],RAMI_POLIZZA,2,FALSE),0)</f>
        <v>18</v>
      </c>
      <c r="AH447" s="65" t="s">
        <v>113</v>
      </c>
      <c r="AI447" s="63" t="str">
        <f>IFERROR(VLOOKUP(Table2[[#This Row],[Contraente]],Table1[[Nome/Ragione sociale]:[Checkbox selezionato]],2,FALSE),"-")</f>
        <v>LINAROLO</v>
      </c>
      <c r="AJ447" s="63">
        <f>IFERROR(VLOOKUP(Table2[[#This Row],[Contraente]],Table1[[Nome/Ragione sociale]:[Checkbox selezionato]],3,FALSE),"-")</f>
        <v>3348695549</v>
      </c>
      <c r="AK447" s="63">
        <f>IFERROR(VLOOKUP(Table2[[#This Row],[Contraente]],Table1[[Nome/Ragione sociale]:[Checkbox selezionato]],4,FALSE),"-")</f>
        <v>0</v>
      </c>
      <c r="AL447" s="63" t="str">
        <f>IFERROR(VLOOKUP(Table2[[#This Row],[Contraente]],Table1[[Nome/Ragione sociale]:[Checkbox selezionato]],5,FALSE),"-")</f>
        <v>RICCARDO</v>
      </c>
      <c r="AM447" s="62">
        <f>IFERROR(VLOOKUP(Table2[[#This Row],[Contraente]],Table1[[Nome/Ragione sociale]:[Checkbox selezionato]],6,FALSE),"-")</f>
        <v>33959</v>
      </c>
      <c r="AN447" s="63" t="str">
        <f>IFERROR(VLOOKUP(Table2[[#This Row],[Contraente]],Table1[[Nome/Ragione sociale]:[Checkbox selezionato]],7,FALSE),"-")</f>
        <v>papies@libero.it</v>
      </c>
      <c r="AO447" s="63">
        <f>IFERROR(VLOOKUP(Table2[[#This Row],[Contraente]],Table1[[Nome/Ragione sociale]:[Checkbox selezionato]],8,FALSE),"-")</f>
        <v>0</v>
      </c>
      <c r="AP447" s="63">
        <f>IFERROR(VLOOKUP(Table2[[#This Row],[Contraente]],Table1[[Nome/Ragione sociale]:[Checkbox selezionato]],10,FALSE),"-")</f>
        <v>3348695549</v>
      </c>
      <c r="AQ447" s="63" t="str">
        <f>IFERROR(VLOOKUP(Table2[[#This Row],[Contraente]],Table1[[Nome/Ragione sociale]:[Checkbox selezionato]],11,FALSE),"-")</f>
        <v>SI</v>
      </c>
      <c r="AR447" s="63" t="str">
        <f>IFERROR(VLOOKUP(Table2[[#This Row],[Contraente]],Table1[[Nome/Ragione sociale]:[Checkbox selezionato]],12,FALSE),"-")</f>
        <v>SI</v>
      </c>
    </row>
    <row r="448" spans="1:44" ht="30" hidden="1" customHeight="1" x14ac:dyDescent="0.25">
      <c r="A448" s="60" t="str">
        <f>UPPER(LEFT(Table2[[#This Row],[Contraente]],1))</f>
        <v>E</v>
      </c>
      <c r="B448" s="60" t="s">
        <v>1634</v>
      </c>
      <c r="C448" s="81" t="s">
        <v>624</v>
      </c>
      <c r="D448" s="81" t="s">
        <v>37</v>
      </c>
      <c r="E448" s="86">
        <v>105381070</v>
      </c>
      <c r="F448" s="64">
        <v>42809</v>
      </c>
      <c r="G448" s="64">
        <f>IFERROR(CALCOLASCADENZA(Table2[[#This Row],[Data attivazione]],Table2[[#This Row],[Rateizzazione]],Table2[[#This Row],[Data ultimo pagamento]],Table2[[#This Row],[Data prossima scadenza manuale]]),"-")</f>
        <v>42993</v>
      </c>
      <c r="H448" s="67" t="s">
        <v>30</v>
      </c>
      <c r="I448" s="67" t="s">
        <v>113</v>
      </c>
      <c r="J448" s="33">
        <f>IFERROR(Table2[[#This Row],[Importo annuale]]/(12/VLOOKUP(Table2[[#This Row],[Rateizzazione]],TIPI_RATEIZZAZIONI,2,FALSE)),"-")</f>
        <v>135</v>
      </c>
      <c r="K448" s="88">
        <v>135</v>
      </c>
      <c r="L448" s="88">
        <v>270</v>
      </c>
      <c r="M448" s="67" t="s">
        <v>44</v>
      </c>
      <c r="N448" s="67" t="s">
        <v>51</v>
      </c>
      <c r="O448" s="27" t="s">
        <v>1631</v>
      </c>
      <c r="P448" s="33" t="s">
        <v>22</v>
      </c>
      <c r="Q448" s="60">
        <f>IFERROR(IF(12 / VLOOKUP(Table2[[#This Row],[Rateizzazione]],TIPI_RATEIZZAZIONI,2,FALSE) &gt;=1,  IF(Table2[[#This Row],[Data attivazione]] = "","-",MONTH(Table2[[#This Row],[Data attivazione]])),"-"),"-")</f>
        <v>9</v>
      </c>
      <c r="R4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8" s="67" t="s">
        <v>2</v>
      </c>
      <c r="V448" s="62"/>
      <c r="W448" s="64">
        <v>42628</v>
      </c>
      <c r="X448" s="29">
        <f>DATE(YEAR(Table2[[#This Row],[Data attivazione]])+VLOOKUP(Table2[[#This Row],[Durata]],VALORE_DURATA,2,FALSE),MONTH(Table2[[#This Row],[Data attivazione]]),DAY(Table2[[#This Row],[Data attivazione]]))</f>
        <v>42993</v>
      </c>
      <c r="Y448" s="65"/>
      <c r="Z448" s="61"/>
      <c r="AA448" s="64" t="s">
        <v>85</v>
      </c>
      <c r="AB448" s="29" t="str">
        <f>IF(Table2[[#This Row],[Data ultimo versamento temp]]=0/1/1900,"-",Table2[[#This Row],[Data ultimo versamento temp]])</f>
        <v>-</v>
      </c>
      <c r="AC448" s="29">
        <f t="array" ref="AC448">MAX(IF(TableVersamenti[Polizza]=Table2[[#This Row],[Polizza]],TableVersamenti[Data prevista versamento],"-"))</f>
        <v>0</v>
      </c>
      <c r="AD448" s="62"/>
      <c r="AE448" s="106">
        <f>DATE(YEAR(Table2[[#This Row],[Data ultimo pagamento]]),MONTH(Table2[[#This Row],[Data ultimo pagamento]]), 1)</f>
        <v>42795</v>
      </c>
      <c r="AF448" s="106">
        <f>DATE(YEAR(Table2[[#This Row],[Data prossima scadenza]]),MONTH(Table2[[#This Row],[Data prossima scadenza]]), 1)</f>
        <v>42979</v>
      </c>
      <c r="AG448" s="33">
        <f>IFERROR(Table2[[#This Row],[Importo annuale]]*VLOOKUP(Table2[[#This Row],[Ramo]],RAMI_POLIZZA,2,FALSE),0)</f>
        <v>31.05</v>
      </c>
      <c r="AH448" s="65" t="s">
        <v>113</v>
      </c>
      <c r="AI448" s="63" t="str">
        <f>IFERROR(VLOOKUP(Table2[[#This Row],[Contraente]],Table1[[Nome/Ragione sociale]:[Checkbox selezionato]],2,FALSE),"-")</f>
        <v>LINAROLO</v>
      </c>
      <c r="AJ448" s="63">
        <f>IFERROR(VLOOKUP(Table2[[#This Row],[Contraente]],Table1[[Nome/Ragione sociale]:[Checkbox selezionato]],3,FALSE),"-")</f>
        <v>3348695549</v>
      </c>
      <c r="AK448" s="63">
        <f>IFERROR(VLOOKUP(Table2[[#This Row],[Contraente]],Table1[[Nome/Ragione sociale]:[Checkbox selezionato]],4,FALSE),"-")</f>
        <v>0</v>
      </c>
      <c r="AL448" s="63" t="str">
        <f>IFERROR(VLOOKUP(Table2[[#This Row],[Contraente]],Table1[[Nome/Ragione sociale]:[Checkbox selezionato]],5,FALSE),"-")</f>
        <v>RICCARDO</v>
      </c>
      <c r="AM448" s="62">
        <f>IFERROR(VLOOKUP(Table2[[#This Row],[Contraente]],Table1[[Nome/Ragione sociale]:[Checkbox selezionato]],6,FALSE),"-")</f>
        <v>33959</v>
      </c>
      <c r="AN448" s="63" t="str">
        <f>IFERROR(VLOOKUP(Table2[[#This Row],[Contraente]],Table1[[Nome/Ragione sociale]:[Checkbox selezionato]],7,FALSE),"-")</f>
        <v>papies@libero.it</v>
      </c>
      <c r="AO448" s="63">
        <f>IFERROR(VLOOKUP(Table2[[#This Row],[Contraente]],Table1[[Nome/Ragione sociale]:[Checkbox selezionato]],8,FALSE),"-")</f>
        <v>0</v>
      </c>
      <c r="AP448" s="63">
        <f>IFERROR(VLOOKUP(Table2[[#This Row],[Contraente]],Table1[[Nome/Ragione sociale]:[Checkbox selezionato]],10,FALSE),"-")</f>
        <v>3348695549</v>
      </c>
      <c r="AQ448" s="63" t="str">
        <f>IFERROR(VLOOKUP(Table2[[#This Row],[Contraente]],Table1[[Nome/Ragione sociale]:[Checkbox selezionato]],11,FALSE),"-")</f>
        <v>SI</v>
      </c>
      <c r="AR448" s="63" t="str">
        <f>IFERROR(VLOOKUP(Table2[[#This Row],[Contraente]],Table1[[Nome/Ragione sociale]:[Checkbox selezionato]],12,FALSE),"-")</f>
        <v>SI</v>
      </c>
    </row>
    <row r="449" spans="1:44" ht="30" hidden="1" customHeight="1" x14ac:dyDescent="0.25">
      <c r="A449" s="60" t="str">
        <f>UPPER(LEFT(Table2[[#This Row],[Contraente]],1))</f>
        <v>E</v>
      </c>
      <c r="B449" s="60" t="s">
        <v>1634</v>
      </c>
      <c r="C449" s="81" t="s">
        <v>620</v>
      </c>
      <c r="D449" s="81" t="s">
        <v>37</v>
      </c>
      <c r="E449" s="86">
        <v>106074210</v>
      </c>
      <c r="F449" s="64">
        <v>42643</v>
      </c>
      <c r="G449" s="64">
        <f>IFERROR(CALCOLASCADENZA(Table2[[#This Row],[Data attivazione]],Table2[[#This Row],[Rateizzazione]],Table2[[#This Row],[Data ultimo pagamento]],Table2[[#This Row],[Data prossima scadenza manuale]]),"-")</f>
        <v>43009</v>
      </c>
      <c r="H449" s="67" t="s">
        <v>30</v>
      </c>
      <c r="I449" s="67" t="s">
        <v>113</v>
      </c>
      <c r="J449" s="33">
        <f>IFERROR(Table2[[#This Row],[Importo annuale]]/(12/VLOOKUP(Table2[[#This Row],[Rateizzazione]],TIPI_RATEIZZAZIONI,2,FALSE)),"-")</f>
        <v>131</v>
      </c>
      <c r="K449" s="88"/>
      <c r="L449" s="88">
        <v>131</v>
      </c>
      <c r="M449" s="67" t="s">
        <v>43</v>
      </c>
      <c r="N449" s="67" t="s">
        <v>52</v>
      </c>
      <c r="O449" s="27" t="s">
        <v>1631</v>
      </c>
      <c r="P449" s="33" t="s">
        <v>23</v>
      </c>
      <c r="Q449" s="60">
        <f>IFERROR(IF(12 / VLOOKUP(Table2[[#This Row],[Rateizzazione]],TIPI_RATEIZZAZIONI,2,FALSE) &gt;=1,  IF(Table2[[#This Row],[Data attivazione]] = "","-",MONTH(Table2[[#This Row],[Data attivazione]])),"-"),"-")</f>
        <v>10</v>
      </c>
      <c r="R4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9" s="67" t="s">
        <v>2</v>
      </c>
      <c r="V449" s="62"/>
      <c r="W449" s="64">
        <v>42644</v>
      </c>
      <c r="X449" s="29">
        <f>DATE(YEAR(Table2[[#This Row],[Data attivazione]])+VLOOKUP(Table2[[#This Row],[Durata]],VALORE_DURATA,2,FALSE),MONTH(Table2[[#This Row],[Data attivazione]]),DAY(Table2[[#This Row],[Data attivazione]]))</f>
        <v>43009</v>
      </c>
      <c r="Y449" s="65"/>
      <c r="Z449" s="61"/>
      <c r="AA449" s="64" t="s">
        <v>85</v>
      </c>
      <c r="AB449" s="29" t="str">
        <f>IF(Table2[[#This Row],[Data ultimo versamento temp]]=0/1/1900,"-",Table2[[#This Row],[Data ultimo versamento temp]])</f>
        <v>-</v>
      </c>
      <c r="AC449" s="29">
        <f t="array" ref="AC449">MAX(IF(TableVersamenti[Polizza]=Table2[[#This Row],[Polizza]],TableVersamenti[Data prevista versamento],"-"))</f>
        <v>0</v>
      </c>
      <c r="AD449" s="62"/>
      <c r="AE449" s="106">
        <f>DATE(YEAR(Table2[[#This Row],[Data ultimo pagamento]]),MONTH(Table2[[#This Row],[Data ultimo pagamento]]), 1)</f>
        <v>42614</v>
      </c>
      <c r="AF449" s="106">
        <f>DATE(YEAR(Table2[[#This Row],[Data prossima scadenza]]),MONTH(Table2[[#This Row],[Data prossima scadenza]]), 1)</f>
        <v>43009</v>
      </c>
      <c r="AG449" s="33">
        <f>IFERROR(Table2[[#This Row],[Importo annuale]]*VLOOKUP(Table2[[#This Row],[Ramo]],RAMI_POLIZZA,2,FALSE),0)</f>
        <v>15.065000000000001</v>
      </c>
      <c r="AH449" s="65" t="s">
        <v>113</v>
      </c>
      <c r="AI449" s="63" t="str">
        <f>IFERROR(VLOOKUP(Table2[[#This Row],[Contraente]],Table1[[Nome/Ragione sociale]:[Checkbox selezionato]],2,FALSE),"-")</f>
        <v>BORGO SAN GIOVANNI</v>
      </c>
      <c r="AJ449" s="63">
        <f>IFERROR(VLOOKUP(Table2[[#This Row],[Contraente]],Table1[[Nome/Ragione sociale]:[Checkbox selezionato]],3,FALSE),"-")</f>
        <v>3391527248</v>
      </c>
      <c r="AK449" s="63">
        <f>IFERROR(VLOOKUP(Table2[[#This Row],[Contraente]],Table1[[Nome/Ragione sociale]:[Checkbox selezionato]],4,FALSE),"-")</f>
        <v>0</v>
      </c>
      <c r="AL449" s="63" t="str">
        <f>IFERROR(VLOOKUP(Table2[[#This Row],[Contraente]],Table1[[Nome/Ragione sociale]:[Checkbox selezionato]],5,FALSE),"-")</f>
        <v>MONICA</v>
      </c>
      <c r="AM449" s="62">
        <f>IFERROR(VLOOKUP(Table2[[#This Row],[Contraente]],Table1[[Nome/Ragione sociale]:[Checkbox selezionato]],6,FALSE),"-")</f>
        <v>26212</v>
      </c>
      <c r="AN449" s="63" t="str">
        <f>IFERROR(VLOOKUP(Table2[[#This Row],[Contraente]],Table1[[Nome/Ragione sociale]:[Checkbox selezionato]],7,FALSE),"-")</f>
        <v>papies@libero.it</v>
      </c>
      <c r="AO449" s="63">
        <f>IFERROR(VLOOKUP(Table2[[#This Row],[Contraente]],Table1[[Nome/Ragione sociale]:[Checkbox selezionato]],8,FALSE),"-")</f>
        <v>0</v>
      </c>
      <c r="AP449" s="63">
        <f>IFERROR(VLOOKUP(Table2[[#This Row],[Contraente]],Table1[[Nome/Ragione sociale]:[Checkbox selezionato]],10,FALSE),"-")</f>
        <v>3391527248</v>
      </c>
      <c r="AQ449" s="63" t="str">
        <f>IFERROR(VLOOKUP(Table2[[#This Row],[Contraente]],Table1[[Nome/Ragione sociale]:[Checkbox selezionato]],11,FALSE),"-")</f>
        <v>SI</v>
      </c>
      <c r="AR449" s="63" t="str">
        <f>IFERROR(VLOOKUP(Table2[[#This Row],[Contraente]],Table1[[Nome/Ragione sociale]:[Checkbox selezionato]],12,FALSE),"-")</f>
        <v>SI</v>
      </c>
    </row>
    <row r="450" spans="1:44" ht="30" hidden="1" customHeight="1" x14ac:dyDescent="0.25">
      <c r="A450" s="60" t="str">
        <f>UPPER(LEFT(Table2[[#This Row],[Contraente]],1))</f>
        <v>E</v>
      </c>
      <c r="B450" s="60" t="s">
        <v>1634</v>
      </c>
      <c r="C450" s="81" t="s">
        <v>625</v>
      </c>
      <c r="D450" s="81" t="s">
        <v>37</v>
      </c>
      <c r="E450" s="86">
        <v>1008088</v>
      </c>
      <c r="F450" s="64">
        <v>42865</v>
      </c>
      <c r="G450" s="64">
        <f>IFERROR(CALCOLASCADENZA(Table2[[#This Row],[Data attivazione]],Table2[[#This Row],[Rateizzazione]],Table2[[#This Row],[Data ultimo pagamento]],Table2[[#This Row],[Data prossima scadenza manuale]]),"-")</f>
        <v>42865</v>
      </c>
      <c r="H450" s="67" t="s">
        <v>32</v>
      </c>
      <c r="I450" s="67" t="s">
        <v>113</v>
      </c>
      <c r="J450" s="33">
        <v>149.59</v>
      </c>
      <c r="K450" s="88">
        <v>149.59</v>
      </c>
      <c r="L450" s="88">
        <v>298.16000000000003</v>
      </c>
      <c r="M450" s="67" t="s">
        <v>45</v>
      </c>
      <c r="N450" s="67" t="s">
        <v>51</v>
      </c>
      <c r="O450" s="27" t="s">
        <v>1632</v>
      </c>
      <c r="P450" s="33" t="s">
        <v>24</v>
      </c>
      <c r="Q4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0" s="67" t="s">
        <v>2</v>
      </c>
      <c r="V450" s="62"/>
      <c r="W450" s="64">
        <v>39380</v>
      </c>
      <c r="X450" s="29">
        <f>DATE(YEAR(Table2[[#This Row],[Data attivazione]])+VLOOKUP(Table2[[#This Row],[Durata]],VALORE_DURATA,2,FALSE),MONTH(Table2[[#This Row],[Data attivazione]]),DAY(Table2[[#This Row],[Data attivazione]]))</f>
        <v>43033</v>
      </c>
      <c r="Y450" s="65"/>
      <c r="Z450" s="61"/>
      <c r="AA450" s="64" t="s">
        <v>85</v>
      </c>
      <c r="AB450" s="29" t="str">
        <f>IF(Table2[[#This Row],[Data ultimo versamento temp]]=0/1/1900,"-",Table2[[#This Row],[Data ultimo versamento temp]])</f>
        <v>-</v>
      </c>
      <c r="AC450" s="29">
        <f t="array" ref="AC450">MAX(IF(TableVersamenti[Polizza]=Table2[[#This Row],[Polizza]],TableVersamenti[Data prevista versamento],"-"))</f>
        <v>0</v>
      </c>
      <c r="AD450" s="62"/>
      <c r="AE450" s="106">
        <f>DATE(YEAR(Table2[[#This Row],[Data ultimo pagamento]]),MONTH(Table2[[#This Row],[Data ultimo pagamento]]), 1)</f>
        <v>42856</v>
      </c>
      <c r="AF450" s="106">
        <f>DATE(YEAR(Table2[[#This Row],[Data prossima scadenza]]),MONTH(Table2[[#This Row],[Data prossima scadenza]]), 1)</f>
        <v>42856</v>
      </c>
      <c r="AG450" s="33">
        <f>IFERROR(Table2[[#This Row],[Importo annuale]]*VLOOKUP(Table2[[#This Row],[Ramo]],RAMI_POLIZZA,2,FALSE),0)</f>
        <v>4.4724000000000004</v>
      </c>
      <c r="AH450" s="65" t="s">
        <v>113</v>
      </c>
      <c r="AI450" s="63" t="str">
        <f>IFERROR(VLOOKUP(Table2[[#This Row],[Contraente]],Table1[[Nome/Ragione sociale]:[Checkbox selezionato]],2,FALSE),"-")</f>
        <v>VIGEVANO</v>
      </c>
      <c r="AJ450" s="63">
        <f>IFERROR(VLOOKUP(Table2[[#This Row],[Contraente]],Table1[[Nome/Ragione sociale]:[Checkbox selezionato]],3,FALSE),"-")</f>
        <v>3290991655</v>
      </c>
      <c r="AK450" s="63">
        <f>IFERROR(VLOOKUP(Table2[[#This Row],[Contraente]],Table1[[Nome/Ragione sociale]:[Checkbox selezionato]],4,FALSE),"-")</f>
        <v>0</v>
      </c>
      <c r="AL450" s="63" t="str">
        <f>IFERROR(VLOOKUP(Table2[[#This Row],[Contraente]],Table1[[Nome/Ragione sociale]:[Checkbox selezionato]],5,FALSE),"-")</f>
        <v>MOHAMED</v>
      </c>
      <c r="AM450" s="62">
        <f>IFERROR(VLOOKUP(Table2[[#This Row],[Contraente]],Table1[[Nome/Ragione sociale]:[Checkbox selezionato]],6,FALSE),"-")</f>
        <v>27264</v>
      </c>
      <c r="AN450" s="63" t="str">
        <f>IFERROR(VLOOKUP(Table2[[#This Row],[Contraente]],Table1[[Nome/Ragione sociale]:[Checkbox selezionato]],7,FALSE),"-")</f>
        <v>papies@email.it</v>
      </c>
      <c r="AO450" s="63">
        <f>IFERROR(VLOOKUP(Table2[[#This Row],[Contraente]],Table1[[Nome/Ragione sociale]:[Checkbox selezionato]],8,FALSE),"-")</f>
        <v>0</v>
      </c>
      <c r="AP450" s="63">
        <f>IFERROR(VLOOKUP(Table2[[#This Row],[Contraente]],Table1[[Nome/Ragione sociale]:[Checkbox selezionato]],10,FALSE),"-")</f>
        <v>3290991655</v>
      </c>
      <c r="AQ450" s="63" t="str">
        <f>IFERROR(VLOOKUP(Table2[[#This Row],[Contraente]],Table1[[Nome/Ragione sociale]:[Checkbox selezionato]],11,FALSE),"-")</f>
        <v>SI</v>
      </c>
      <c r="AR450" s="63" t="str">
        <f>IFERROR(VLOOKUP(Table2[[#This Row],[Contraente]],Table1[[Nome/Ragione sociale]:[Checkbox selezionato]],12,FALSE),"-")</f>
        <v>SI</v>
      </c>
    </row>
    <row r="451" spans="1:44" ht="30" hidden="1" customHeight="1" x14ac:dyDescent="0.25">
      <c r="A451" s="60" t="str">
        <f>UPPER(LEFT(Table2[[#This Row],[Contraente]],1))</f>
        <v>E</v>
      </c>
      <c r="B451" s="60" t="s">
        <v>1634</v>
      </c>
      <c r="C451" s="81" t="s">
        <v>612</v>
      </c>
      <c r="D451" s="81" t="s">
        <v>37</v>
      </c>
      <c r="E451" s="86" t="s">
        <v>1124</v>
      </c>
      <c r="F451" s="64">
        <v>42440</v>
      </c>
      <c r="G451" s="64">
        <f>IFERROR(CALCOLASCADENZA(Table2[[#This Row],[Data attivazione]],Table2[[#This Row],[Rateizzazione]],Table2[[#This Row],[Data ultimo pagamento]],Table2[[#This Row],[Data prossima scadenza manuale]]),"-")</f>
        <v>42805</v>
      </c>
      <c r="H451" s="67" t="s">
        <v>30</v>
      </c>
      <c r="I451" s="67" t="s">
        <v>113</v>
      </c>
      <c r="J451" s="33">
        <f>IFERROR(Table2[[#This Row],[Importo annuale]]/(12/VLOOKUP(Table2[[#This Row],[Rateizzazione]],TIPI_RATEIZZAZIONI,2,FALSE)),"-")</f>
        <v>750</v>
      </c>
      <c r="K451" s="88"/>
      <c r="L451" s="88">
        <v>750</v>
      </c>
      <c r="M451" s="67" t="s">
        <v>45</v>
      </c>
      <c r="N451" s="67" t="s">
        <v>52</v>
      </c>
      <c r="O451" s="27" t="s">
        <v>1631</v>
      </c>
      <c r="P451" s="33" t="s">
        <v>23</v>
      </c>
      <c r="Q451" s="60">
        <f>IFERROR(IF(12 / VLOOKUP(Table2[[#This Row],[Rateizzazione]],TIPI_RATEIZZAZIONI,2,FALSE) &gt;=1,  IF(Table2[[#This Row],[Data attivazione]] = "","-",MONTH(Table2[[#This Row],[Data attivazione]])),"-"),"-")</f>
        <v>3</v>
      </c>
      <c r="R4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1" s="67" t="s">
        <v>2</v>
      </c>
      <c r="V451" s="62"/>
      <c r="W451" s="64">
        <v>42440</v>
      </c>
      <c r="X451" s="29">
        <f>DATE(YEAR(Table2[[#This Row],[Data attivazione]])+VLOOKUP(Table2[[#This Row],[Durata]],VALORE_DURATA,2,FALSE),MONTH(Table2[[#This Row],[Data attivazione]]),DAY(Table2[[#This Row],[Data attivazione]]))</f>
        <v>42805</v>
      </c>
      <c r="Y451" s="65"/>
      <c r="Z451" s="61"/>
      <c r="AA451" s="64" t="s">
        <v>88</v>
      </c>
      <c r="AB451" s="29" t="str">
        <f>IF(Table2[[#This Row],[Data ultimo versamento temp]]=0/1/1900,"-",Table2[[#This Row],[Data ultimo versamento temp]])</f>
        <v>-</v>
      </c>
      <c r="AC451" s="29">
        <f t="array" ref="AC451">MAX(IF(TableVersamenti[Polizza]=Table2[[#This Row],[Polizza]],TableVersamenti[Data prevista versamento],"-"))</f>
        <v>0</v>
      </c>
      <c r="AD451" s="62"/>
      <c r="AE451" s="106">
        <f>DATE(YEAR(Table2[[#This Row],[Data ultimo pagamento]]),MONTH(Table2[[#This Row],[Data ultimo pagamento]]), 1)</f>
        <v>42430</v>
      </c>
      <c r="AF451" s="106">
        <f>DATE(YEAR(Table2[[#This Row],[Data prossima scadenza]]),MONTH(Table2[[#This Row],[Data prossima scadenza]]), 1)</f>
        <v>42795</v>
      </c>
      <c r="AG451" s="33">
        <f>IFERROR(Table2[[#This Row],[Importo annuale]]*VLOOKUP(Table2[[#This Row],[Ramo]],RAMI_POLIZZA,2,FALSE),0)</f>
        <v>86.25</v>
      </c>
      <c r="AH451" s="65" t="s">
        <v>113</v>
      </c>
      <c r="AI451" s="63" t="str">
        <f>IFERROR(VLOOKUP(Table2[[#This Row],[Contraente]],Table1[[Nome/Ragione sociale]:[Checkbox selezionato]],2,FALSE),"-")</f>
        <v>TRAVACO' SICCOMARIO</v>
      </c>
      <c r="AJ451" s="63">
        <f>IFERROR(VLOOKUP(Table2[[#This Row],[Contraente]],Table1[[Nome/Ragione sociale]:[Checkbox selezionato]],3,FALSE),"-")</f>
        <v>0</v>
      </c>
      <c r="AK451" s="63">
        <f>IFERROR(VLOOKUP(Table2[[#This Row],[Contraente]],Table1[[Nome/Ragione sociale]:[Checkbox selezionato]],4,FALSE),"-")</f>
        <v>0</v>
      </c>
      <c r="AL451" s="63" t="str">
        <f>IFERROR(VLOOKUP(Table2[[#This Row],[Contraente]],Table1[[Nome/Ragione sociale]:[Checkbox selezionato]],5,FALSE),"-")</f>
        <v>FABIO LOCA</v>
      </c>
      <c r="AM451" s="62" t="str">
        <f>IFERROR(VLOOKUP(Table2[[#This Row],[Contraente]],Table1[[Nome/Ragione sociale]:[Checkbox selezionato]],6,FALSE),"-")</f>
        <v>-</v>
      </c>
      <c r="AN451" s="63" t="str">
        <f>IFERROR(VLOOKUP(Table2[[#This Row],[Contraente]],Table1[[Nome/Ragione sociale]:[Checkbox selezionato]],7,FALSE),"-")</f>
        <v>papies@libero.it</v>
      </c>
      <c r="AO451" s="63">
        <f>IFERROR(VLOOKUP(Table2[[#This Row],[Contraente]],Table1[[Nome/Ragione sociale]:[Checkbox selezionato]],8,FALSE),"-")</f>
        <v>0</v>
      </c>
      <c r="AP451" s="63">
        <f>IFERROR(VLOOKUP(Table2[[#This Row],[Contraente]],Table1[[Nome/Ragione sociale]:[Checkbox selezionato]],10,FALSE),"-")</f>
        <v>0</v>
      </c>
      <c r="AQ451" s="63" t="str">
        <f>IFERROR(VLOOKUP(Table2[[#This Row],[Contraente]],Table1[[Nome/Ragione sociale]:[Checkbox selezionato]],11,FALSE),"-")</f>
        <v>SI</v>
      </c>
      <c r="AR451" s="63" t="str">
        <f>IFERROR(VLOOKUP(Table2[[#This Row],[Contraente]],Table1[[Nome/Ragione sociale]:[Checkbox selezionato]],12,FALSE),"-")</f>
        <v>SI</v>
      </c>
    </row>
    <row r="452" spans="1:44" ht="30" hidden="1" customHeight="1" x14ac:dyDescent="0.25">
      <c r="A452" s="60" t="str">
        <f>UPPER(LEFT(Table2[[#This Row],[Contraente]],1))</f>
        <v>E</v>
      </c>
      <c r="B452" s="60" t="s">
        <v>1634</v>
      </c>
      <c r="C452" s="81" t="s">
        <v>612</v>
      </c>
      <c r="D452" s="81" t="s">
        <v>37</v>
      </c>
      <c r="E452" s="86">
        <v>105825799</v>
      </c>
      <c r="F452" s="64">
        <v>42872</v>
      </c>
      <c r="G452" s="64">
        <f>IFERROR(CALCOLASCADENZA(Table2[[#This Row],[Data attivazione]],Table2[[#This Row],[Rateizzazione]],Table2[[#This Row],[Data ultimo pagamento]],Table2[[#This Row],[Data prossima scadenza manuale]]),"-")</f>
        <v>42872</v>
      </c>
      <c r="H452" s="67" t="s">
        <v>31</v>
      </c>
      <c r="I452" s="67" t="s">
        <v>1290</v>
      </c>
      <c r="J452" s="33">
        <v>0</v>
      </c>
      <c r="K452" s="88">
        <v>308</v>
      </c>
      <c r="L452" s="88">
        <v>616</v>
      </c>
      <c r="M452" s="67" t="s">
        <v>45</v>
      </c>
      <c r="N452" s="67" t="s">
        <v>52</v>
      </c>
      <c r="O452" s="27" t="s">
        <v>1631</v>
      </c>
      <c r="P452" s="33" t="s">
        <v>24</v>
      </c>
      <c r="Q45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2" s="67" t="s">
        <v>2</v>
      </c>
      <c r="V452" s="62"/>
      <c r="W452" s="64">
        <v>42562</v>
      </c>
      <c r="X452" s="29">
        <f>DATE(YEAR(Table2[[#This Row],[Data attivazione]])+VLOOKUP(Table2[[#This Row],[Durata]],VALORE_DURATA,2,FALSE),MONTH(Table2[[#This Row],[Data attivazione]]),DAY(Table2[[#This Row],[Data attivazione]]))</f>
        <v>42927</v>
      </c>
      <c r="Y452" s="65"/>
      <c r="Z452" s="61"/>
      <c r="AA452" s="64" t="s">
        <v>85</v>
      </c>
      <c r="AB452" s="29" t="str">
        <f>IF(Table2[[#This Row],[Data ultimo versamento temp]]=0/1/1900,"-",Table2[[#This Row],[Data ultimo versamento temp]])</f>
        <v>-</v>
      </c>
      <c r="AC452" s="29">
        <f t="array" ref="AC452">MAX(IF(TableVersamenti[Polizza]=Table2[[#This Row],[Polizza]],TableVersamenti[Data prevista versamento],"-"))</f>
        <v>0</v>
      </c>
      <c r="AD452" s="62"/>
      <c r="AE452" s="106">
        <f>DATE(YEAR(Table2[[#This Row],[Data ultimo pagamento]]),MONTH(Table2[[#This Row],[Data ultimo pagamento]]), 1)</f>
        <v>42856</v>
      </c>
      <c r="AF452" s="106">
        <f>DATE(YEAR(Table2[[#This Row],[Data prossima scadenza]]),MONTH(Table2[[#This Row],[Data prossima scadenza]]), 1)</f>
        <v>42856</v>
      </c>
      <c r="AG452" s="33">
        <f>IFERROR(Table2[[#This Row],[Importo annuale]]*VLOOKUP(Table2[[#This Row],[Ramo]],RAMI_POLIZZA,2,FALSE),0)</f>
        <v>32.031999999999996</v>
      </c>
      <c r="AH452" s="65" t="s">
        <v>113</v>
      </c>
      <c r="AI452" s="63" t="str">
        <f>IFERROR(VLOOKUP(Table2[[#This Row],[Contraente]],Table1[[Nome/Ragione sociale]:[Checkbox selezionato]],2,FALSE),"-")</f>
        <v>TRAVACO' SICCOMARIO</v>
      </c>
      <c r="AJ452" s="63">
        <f>IFERROR(VLOOKUP(Table2[[#This Row],[Contraente]],Table1[[Nome/Ragione sociale]:[Checkbox selezionato]],3,FALSE),"-")</f>
        <v>0</v>
      </c>
      <c r="AK452" s="63">
        <f>IFERROR(VLOOKUP(Table2[[#This Row],[Contraente]],Table1[[Nome/Ragione sociale]:[Checkbox selezionato]],4,FALSE),"-")</f>
        <v>0</v>
      </c>
      <c r="AL452" s="63" t="str">
        <f>IFERROR(VLOOKUP(Table2[[#This Row],[Contraente]],Table1[[Nome/Ragione sociale]:[Checkbox selezionato]],5,FALSE),"-")</f>
        <v>FABIO LOCA</v>
      </c>
      <c r="AM452" s="62" t="str">
        <f>IFERROR(VLOOKUP(Table2[[#This Row],[Contraente]],Table1[[Nome/Ragione sociale]:[Checkbox selezionato]],6,FALSE),"-")</f>
        <v>-</v>
      </c>
      <c r="AN452" s="63" t="str">
        <f>IFERROR(VLOOKUP(Table2[[#This Row],[Contraente]],Table1[[Nome/Ragione sociale]:[Checkbox selezionato]],7,FALSE),"-")</f>
        <v>papies@libero.it</v>
      </c>
      <c r="AO452" s="63">
        <f>IFERROR(VLOOKUP(Table2[[#This Row],[Contraente]],Table1[[Nome/Ragione sociale]:[Checkbox selezionato]],8,FALSE),"-")</f>
        <v>0</v>
      </c>
      <c r="AP452" s="63">
        <f>IFERROR(VLOOKUP(Table2[[#This Row],[Contraente]],Table1[[Nome/Ragione sociale]:[Checkbox selezionato]],10,FALSE),"-")</f>
        <v>0</v>
      </c>
      <c r="AQ452" s="63" t="str">
        <f>IFERROR(VLOOKUP(Table2[[#This Row],[Contraente]],Table1[[Nome/Ragione sociale]:[Checkbox selezionato]],11,FALSE),"-")</f>
        <v>SI</v>
      </c>
      <c r="AR452" s="63" t="str">
        <f>IFERROR(VLOOKUP(Table2[[#This Row],[Contraente]],Table1[[Nome/Ragione sociale]:[Checkbox selezionato]],12,FALSE),"-")</f>
        <v>SI</v>
      </c>
    </row>
    <row r="453" spans="1:44" ht="30" hidden="1" customHeight="1" x14ac:dyDescent="0.25">
      <c r="A453" s="60" t="str">
        <f>UPPER(LEFT(Table2[[#This Row],[Contraente]],1))</f>
        <v>E</v>
      </c>
      <c r="B453" s="60" t="s">
        <v>1634</v>
      </c>
      <c r="C453" s="81" t="s">
        <v>612</v>
      </c>
      <c r="D453" s="81" t="s">
        <v>37</v>
      </c>
      <c r="E453" s="86">
        <v>106442484</v>
      </c>
      <c r="F453" s="64">
        <v>42873</v>
      </c>
      <c r="G453" s="64">
        <f>IFERROR(CALCOLASCADENZA(Table2[[#This Row],[Data attivazione]],Table2[[#This Row],[Rateizzazione]],Table2[[#This Row],[Data ultimo pagamento]],Table2[[#This Row],[Data prossima scadenza manuale]]),"-")</f>
        <v>42997</v>
      </c>
      <c r="H453" s="67" t="s">
        <v>31</v>
      </c>
      <c r="I453" s="67" t="s">
        <v>1291</v>
      </c>
      <c r="J453" s="33">
        <f>IFERROR(Table2[[#This Row],[Importo annuale]]/(12/VLOOKUP(Table2[[#This Row],[Rateizzazione]],TIPI_RATEIZZAZIONI,2,FALSE)),"-")</f>
        <v>330</v>
      </c>
      <c r="K453" s="88">
        <v>660</v>
      </c>
      <c r="L453" s="88">
        <v>990</v>
      </c>
      <c r="M453" s="67" t="s">
        <v>44</v>
      </c>
      <c r="N453" s="67" t="s">
        <v>52</v>
      </c>
      <c r="O453" s="27" t="s">
        <v>1631</v>
      </c>
      <c r="P453" s="33" t="s">
        <v>21</v>
      </c>
      <c r="Q453" s="60">
        <f>IFERROR(IF(12 / VLOOKUP(Table2[[#This Row],[Rateizzazione]],TIPI_RATEIZZAZIONI,2,FALSE) &gt;=1,  IF(Table2[[#This Row],[Data attivazione]] = "","-",MONTH(Table2[[#This Row],[Data attivazione]])),"-"),"-")</f>
        <v>9</v>
      </c>
      <c r="R4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3" s="67" t="s">
        <v>2</v>
      </c>
      <c r="V453" s="62"/>
      <c r="W453" s="64">
        <v>42632</v>
      </c>
      <c r="X453" s="29">
        <f>DATE(YEAR(Table2[[#This Row],[Data attivazione]])+VLOOKUP(Table2[[#This Row],[Durata]],VALORE_DURATA,2,FALSE),MONTH(Table2[[#This Row],[Data attivazione]]),DAY(Table2[[#This Row],[Data attivazione]]))</f>
        <v>42997</v>
      </c>
      <c r="Y453" s="65"/>
      <c r="Z453" s="61"/>
      <c r="AA453" s="64" t="s">
        <v>85</v>
      </c>
      <c r="AB453" s="29" t="str">
        <f>IF(Table2[[#This Row],[Data ultimo versamento temp]]=0/1/1900,"-",Table2[[#This Row],[Data ultimo versamento temp]])</f>
        <v>-</v>
      </c>
      <c r="AC453" s="29">
        <f t="array" ref="AC453">MAX(IF(TableVersamenti[Polizza]=Table2[[#This Row],[Polizza]],TableVersamenti[Data prevista versamento],"-"))</f>
        <v>0</v>
      </c>
      <c r="AD453" s="62"/>
      <c r="AE453" s="106">
        <f>DATE(YEAR(Table2[[#This Row],[Data ultimo pagamento]]),MONTH(Table2[[#This Row],[Data ultimo pagamento]]), 1)</f>
        <v>42856</v>
      </c>
      <c r="AF453" s="106">
        <f>DATE(YEAR(Table2[[#This Row],[Data prossima scadenza]]),MONTH(Table2[[#This Row],[Data prossima scadenza]]), 1)</f>
        <v>42979</v>
      </c>
      <c r="AG453" s="33">
        <f>IFERROR(Table2[[#This Row],[Importo annuale]]*VLOOKUP(Table2[[#This Row],[Ramo]],RAMI_POLIZZA,2,FALSE),0)</f>
        <v>51.48</v>
      </c>
      <c r="AH453" s="65" t="s">
        <v>113</v>
      </c>
      <c r="AI453" s="63" t="str">
        <f>IFERROR(VLOOKUP(Table2[[#This Row],[Contraente]],Table1[[Nome/Ragione sociale]:[Checkbox selezionato]],2,FALSE),"-")</f>
        <v>TRAVACO' SICCOMARIO</v>
      </c>
      <c r="AJ453" s="63">
        <f>IFERROR(VLOOKUP(Table2[[#This Row],[Contraente]],Table1[[Nome/Ragione sociale]:[Checkbox selezionato]],3,FALSE),"-")</f>
        <v>0</v>
      </c>
      <c r="AK453" s="63">
        <f>IFERROR(VLOOKUP(Table2[[#This Row],[Contraente]],Table1[[Nome/Ragione sociale]:[Checkbox selezionato]],4,FALSE),"-")</f>
        <v>0</v>
      </c>
      <c r="AL453" s="63" t="str">
        <f>IFERROR(VLOOKUP(Table2[[#This Row],[Contraente]],Table1[[Nome/Ragione sociale]:[Checkbox selezionato]],5,FALSE),"-")</f>
        <v>FABIO LOCA</v>
      </c>
      <c r="AM453" s="62" t="str">
        <f>IFERROR(VLOOKUP(Table2[[#This Row],[Contraente]],Table1[[Nome/Ragione sociale]:[Checkbox selezionato]],6,FALSE),"-")</f>
        <v>-</v>
      </c>
      <c r="AN453" s="63" t="str">
        <f>IFERROR(VLOOKUP(Table2[[#This Row],[Contraente]],Table1[[Nome/Ragione sociale]:[Checkbox selezionato]],7,FALSE),"-")</f>
        <v>papies@libero.it</v>
      </c>
      <c r="AO453" s="63">
        <f>IFERROR(VLOOKUP(Table2[[#This Row],[Contraente]],Table1[[Nome/Ragione sociale]:[Checkbox selezionato]],8,FALSE),"-")</f>
        <v>0</v>
      </c>
      <c r="AP453" s="63">
        <f>IFERROR(VLOOKUP(Table2[[#This Row],[Contraente]],Table1[[Nome/Ragione sociale]:[Checkbox selezionato]],10,FALSE),"-")</f>
        <v>0</v>
      </c>
      <c r="AQ453" s="63" t="str">
        <f>IFERROR(VLOOKUP(Table2[[#This Row],[Contraente]],Table1[[Nome/Ragione sociale]:[Checkbox selezionato]],11,FALSE),"-")</f>
        <v>SI</v>
      </c>
      <c r="AR453" s="63" t="str">
        <f>IFERROR(VLOOKUP(Table2[[#This Row],[Contraente]],Table1[[Nome/Ragione sociale]:[Checkbox selezionato]],12,FALSE),"-")</f>
        <v>SI</v>
      </c>
    </row>
    <row r="454" spans="1:44" ht="30" hidden="1" customHeight="1" x14ac:dyDescent="0.25">
      <c r="A454" s="60" t="str">
        <f>UPPER(LEFT(Table2[[#This Row],[Contraente]],1))</f>
        <v>E</v>
      </c>
      <c r="B454" s="60" t="s">
        <v>1634</v>
      </c>
      <c r="C454" s="81" t="s">
        <v>612</v>
      </c>
      <c r="D454" s="81" t="s">
        <v>37</v>
      </c>
      <c r="E454" s="86">
        <v>106686457</v>
      </c>
      <c r="F454" s="64">
        <v>42881</v>
      </c>
      <c r="G454" s="64">
        <f>IFERROR(CALCOLASCADENZA(Table2[[#This Row],[Data attivazione]],Table2[[#This Row],[Rateizzazione]],Table2[[#This Row],[Data ultimo pagamento]],Table2[[#This Row],[Data prossima scadenza manuale]]),"-")</f>
        <v>43006</v>
      </c>
      <c r="H454" s="67" t="s">
        <v>30</v>
      </c>
      <c r="I454" s="67" t="s">
        <v>113</v>
      </c>
      <c r="J454" s="33">
        <f>IFERROR(Table2[[#This Row],[Importo annuale]]/(12/VLOOKUP(Table2[[#This Row],[Rateizzazione]],TIPI_RATEIZZAZIONI,2,FALSE)),"-")</f>
        <v>736</v>
      </c>
      <c r="K454" s="88">
        <v>1437</v>
      </c>
      <c r="L454" s="88">
        <v>2208</v>
      </c>
      <c r="M454" s="67" t="s">
        <v>44</v>
      </c>
      <c r="N454" s="67" t="s">
        <v>52</v>
      </c>
      <c r="O454" s="27" t="s">
        <v>1631</v>
      </c>
      <c r="P454" s="33" t="s">
        <v>21</v>
      </c>
      <c r="Q454" s="60">
        <f>IFERROR(IF(12 / VLOOKUP(Table2[[#This Row],[Rateizzazione]],TIPI_RATEIZZAZIONI,2,FALSE) &gt;=1,  IF(Table2[[#This Row],[Data attivazione]] = "","-",MONTH(Table2[[#This Row],[Data attivazione]])),"-"),"-")</f>
        <v>9</v>
      </c>
      <c r="R4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4" s="67" t="s">
        <v>2</v>
      </c>
      <c r="V454" s="62"/>
      <c r="W454" s="64">
        <v>42641</v>
      </c>
      <c r="X454" s="29">
        <f>DATE(YEAR(Table2[[#This Row],[Data attivazione]])+VLOOKUP(Table2[[#This Row],[Durata]],VALORE_DURATA,2,FALSE),MONTH(Table2[[#This Row],[Data attivazione]]),DAY(Table2[[#This Row],[Data attivazione]]))</f>
        <v>43006</v>
      </c>
      <c r="Y454" s="65"/>
      <c r="Z454" s="61"/>
      <c r="AA454" s="64" t="s">
        <v>85</v>
      </c>
      <c r="AB454" s="29" t="str">
        <f>IF(Table2[[#This Row],[Data ultimo versamento temp]]=0/1/1900,"-",Table2[[#This Row],[Data ultimo versamento temp]])</f>
        <v>-</v>
      </c>
      <c r="AC454" s="29">
        <f t="array" ref="AC454">MAX(IF(TableVersamenti[Polizza]=Table2[[#This Row],[Polizza]],TableVersamenti[Data prevista versamento],"-"))</f>
        <v>0</v>
      </c>
      <c r="AD454" s="62"/>
      <c r="AE454" s="106">
        <f>DATE(YEAR(Table2[[#This Row],[Data ultimo pagamento]]),MONTH(Table2[[#This Row],[Data ultimo pagamento]]), 1)</f>
        <v>42856</v>
      </c>
      <c r="AF454" s="106">
        <f>DATE(YEAR(Table2[[#This Row],[Data prossima scadenza]]),MONTH(Table2[[#This Row],[Data prossima scadenza]]), 1)</f>
        <v>42979</v>
      </c>
      <c r="AG454" s="33">
        <f>IFERROR(Table2[[#This Row],[Importo annuale]]*VLOOKUP(Table2[[#This Row],[Ramo]],RAMI_POLIZZA,2,FALSE),0)</f>
        <v>253.92000000000002</v>
      </c>
      <c r="AH454" s="65" t="s">
        <v>113</v>
      </c>
      <c r="AI454" s="63" t="str">
        <f>IFERROR(VLOOKUP(Table2[[#This Row],[Contraente]],Table1[[Nome/Ragione sociale]:[Checkbox selezionato]],2,FALSE),"-")</f>
        <v>TRAVACO' SICCOMARIO</v>
      </c>
      <c r="AJ454" s="63">
        <f>IFERROR(VLOOKUP(Table2[[#This Row],[Contraente]],Table1[[Nome/Ragione sociale]:[Checkbox selezionato]],3,FALSE),"-")</f>
        <v>0</v>
      </c>
      <c r="AK454" s="63">
        <f>IFERROR(VLOOKUP(Table2[[#This Row],[Contraente]],Table1[[Nome/Ragione sociale]:[Checkbox selezionato]],4,FALSE),"-")</f>
        <v>0</v>
      </c>
      <c r="AL454" s="63" t="str">
        <f>IFERROR(VLOOKUP(Table2[[#This Row],[Contraente]],Table1[[Nome/Ragione sociale]:[Checkbox selezionato]],5,FALSE),"-")</f>
        <v>FABIO LOCA</v>
      </c>
      <c r="AM454" s="62" t="str">
        <f>IFERROR(VLOOKUP(Table2[[#This Row],[Contraente]],Table1[[Nome/Ragione sociale]:[Checkbox selezionato]],6,FALSE),"-")</f>
        <v>-</v>
      </c>
      <c r="AN454" s="63" t="str">
        <f>IFERROR(VLOOKUP(Table2[[#This Row],[Contraente]],Table1[[Nome/Ragione sociale]:[Checkbox selezionato]],7,FALSE),"-")</f>
        <v>papies@libero.it</v>
      </c>
      <c r="AO454" s="63">
        <f>IFERROR(VLOOKUP(Table2[[#This Row],[Contraente]],Table1[[Nome/Ragione sociale]:[Checkbox selezionato]],8,FALSE),"-")</f>
        <v>0</v>
      </c>
      <c r="AP454" s="63">
        <f>IFERROR(VLOOKUP(Table2[[#This Row],[Contraente]],Table1[[Nome/Ragione sociale]:[Checkbox selezionato]],10,FALSE),"-")</f>
        <v>0</v>
      </c>
      <c r="AQ454" s="63" t="str">
        <f>IFERROR(VLOOKUP(Table2[[#This Row],[Contraente]],Table1[[Nome/Ragione sociale]:[Checkbox selezionato]],11,FALSE),"-")</f>
        <v>SI</v>
      </c>
      <c r="AR454" s="63" t="str">
        <f>IFERROR(VLOOKUP(Table2[[#This Row],[Contraente]],Table1[[Nome/Ragione sociale]:[Checkbox selezionato]],12,FALSE),"-")</f>
        <v>SI</v>
      </c>
    </row>
    <row r="455" spans="1:44" ht="30" hidden="1" customHeight="1" x14ac:dyDescent="0.25">
      <c r="A455" s="60" t="str">
        <f>UPPER(LEFT(Table2[[#This Row],[Contraente]],1))</f>
        <v>E</v>
      </c>
      <c r="B455" s="60" t="s">
        <v>1634</v>
      </c>
      <c r="C455" s="81" t="s">
        <v>612</v>
      </c>
      <c r="D455" s="81" t="s">
        <v>37</v>
      </c>
      <c r="E455" s="86">
        <v>106067017</v>
      </c>
      <c r="F455" s="64">
        <v>42886</v>
      </c>
      <c r="G455" s="64">
        <f>IFERROR(CALCOLASCADENZA(Table2[[#This Row],[Data attivazione]],Table2[[#This Row],[Rateizzazione]],Table2[[#This Row],[Data ultimo pagamento]],Table2[[#This Row],[Data prossima scadenza manuale]]),"-")</f>
        <v>43006</v>
      </c>
      <c r="H455" s="67" t="s">
        <v>31</v>
      </c>
      <c r="I455" s="67" t="s">
        <v>1294</v>
      </c>
      <c r="J455" s="33">
        <f>IFERROR(Table2[[#This Row],[Importo annuale]]/(12/VLOOKUP(Table2[[#This Row],[Rateizzazione]],TIPI_RATEIZZAZIONI,2,FALSE)),"-")</f>
        <v>241</v>
      </c>
      <c r="K455" s="88">
        <v>683</v>
      </c>
      <c r="L455" s="88">
        <v>964</v>
      </c>
      <c r="M455" s="67" t="s">
        <v>44</v>
      </c>
      <c r="N455" s="67" t="s">
        <v>52</v>
      </c>
      <c r="O455" s="27" t="s">
        <v>1631</v>
      </c>
      <c r="P455" s="33" t="s">
        <v>20</v>
      </c>
      <c r="Q455" s="60">
        <f>IFERROR(IF(12 / VLOOKUP(Table2[[#This Row],[Rateizzazione]],TIPI_RATEIZZAZIONI,2,FALSE) &gt;=1,  IF(Table2[[#This Row],[Data attivazione]] = "","-",MONTH(Table2[[#This Row],[Data attivazione]])),"-"),"-")</f>
        <v>9</v>
      </c>
      <c r="R4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5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55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455" s="67" t="s">
        <v>2</v>
      </c>
      <c r="V455" s="62"/>
      <c r="W455" s="64">
        <v>42641</v>
      </c>
      <c r="X455" s="29">
        <f>DATE(YEAR(Table2[[#This Row],[Data attivazione]])+VLOOKUP(Table2[[#This Row],[Durata]],VALORE_DURATA,2,FALSE),MONTH(Table2[[#This Row],[Data attivazione]]),DAY(Table2[[#This Row],[Data attivazione]]))</f>
        <v>43006</v>
      </c>
      <c r="Y455" s="65"/>
      <c r="Z455" s="61"/>
      <c r="AA455" s="64" t="s">
        <v>85</v>
      </c>
      <c r="AB455" s="29" t="str">
        <f>IF(Table2[[#This Row],[Data ultimo versamento temp]]=0/1/1900,"-",Table2[[#This Row],[Data ultimo versamento temp]])</f>
        <v>-</v>
      </c>
      <c r="AC455" s="29">
        <f t="array" ref="AC455">MAX(IF(TableVersamenti[Polizza]=Table2[[#This Row],[Polizza]],TableVersamenti[Data prevista versamento],"-"))</f>
        <v>0</v>
      </c>
      <c r="AD455" s="62"/>
      <c r="AE455" s="106">
        <f>DATE(YEAR(Table2[[#This Row],[Data ultimo pagamento]]),MONTH(Table2[[#This Row],[Data ultimo pagamento]]), 1)</f>
        <v>42856</v>
      </c>
      <c r="AF455" s="106">
        <f>DATE(YEAR(Table2[[#This Row],[Data prossima scadenza]]),MONTH(Table2[[#This Row],[Data prossima scadenza]]), 1)</f>
        <v>42979</v>
      </c>
      <c r="AG455" s="33">
        <f>IFERROR(Table2[[#This Row],[Importo annuale]]*VLOOKUP(Table2[[#This Row],[Ramo]],RAMI_POLIZZA,2,FALSE),0)</f>
        <v>50.128</v>
      </c>
      <c r="AH455" s="65" t="s">
        <v>113</v>
      </c>
      <c r="AI455" s="63" t="str">
        <f>IFERROR(VLOOKUP(Table2[[#This Row],[Contraente]],Table1[[Nome/Ragione sociale]:[Checkbox selezionato]],2,FALSE),"-")</f>
        <v>TRAVACO' SICCOMARIO</v>
      </c>
      <c r="AJ455" s="63">
        <f>IFERROR(VLOOKUP(Table2[[#This Row],[Contraente]],Table1[[Nome/Ragione sociale]:[Checkbox selezionato]],3,FALSE),"-")</f>
        <v>0</v>
      </c>
      <c r="AK455" s="63">
        <f>IFERROR(VLOOKUP(Table2[[#This Row],[Contraente]],Table1[[Nome/Ragione sociale]:[Checkbox selezionato]],4,FALSE),"-")</f>
        <v>0</v>
      </c>
      <c r="AL455" s="63" t="str">
        <f>IFERROR(VLOOKUP(Table2[[#This Row],[Contraente]],Table1[[Nome/Ragione sociale]:[Checkbox selezionato]],5,FALSE),"-")</f>
        <v>FABIO LOCA</v>
      </c>
      <c r="AM455" s="62" t="str">
        <f>IFERROR(VLOOKUP(Table2[[#This Row],[Contraente]],Table1[[Nome/Ragione sociale]:[Checkbox selezionato]],6,FALSE),"-")</f>
        <v>-</v>
      </c>
      <c r="AN455" s="63" t="str">
        <f>IFERROR(VLOOKUP(Table2[[#This Row],[Contraente]],Table1[[Nome/Ragione sociale]:[Checkbox selezionato]],7,FALSE),"-")</f>
        <v>papies@libero.it</v>
      </c>
      <c r="AO455" s="63">
        <f>IFERROR(VLOOKUP(Table2[[#This Row],[Contraente]],Table1[[Nome/Ragione sociale]:[Checkbox selezionato]],8,FALSE),"-")</f>
        <v>0</v>
      </c>
      <c r="AP455" s="63">
        <f>IFERROR(VLOOKUP(Table2[[#This Row],[Contraente]],Table1[[Nome/Ragione sociale]:[Checkbox selezionato]],10,FALSE),"-")</f>
        <v>0</v>
      </c>
      <c r="AQ455" s="63" t="str">
        <f>IFERROR(VLOOKUP(Table2[[#This Row],[Contraente]],Table1[[Nome/Ragione sociale]:[Checkbox selezionato]],11,FALSE),"-")</f>
        <v>SI</v>
      </c>
      <c r="AR455" s="63" t="str">
        <f>IFERROR(VLOOKUP(Table2[[#This Row],[Contraente]],Table1[[Nome/Ragione sociale]:[Checkbox selezionato]],12,FALSE),"-")</f>
        <v>SI</v>
      </c>
    </row>
    <row r="456" spans="1:44" ht="30" hidden="1" customHeight="1" x14ac:dyDescent="0.25">
      <c r="A456" s="60" t="str">
        <f>UPPER(LEFT(Table2[[#This Row],[Contraente]],1))</f>
        <v>E</v>
      </c>
      <c r="B456" s="60" t="s">
        <v>1634</v>
      </c>
      <c r="C456" s="81" t="s">
        <v>1716</v>
      </c>
      <c r="D456" s="81" t="s">
        <v>37</v>
      </c>
      <c r="E456" s="86">
        <v>106412452</v>
      </c>
      <c r="F456" s="64">
        <v>42873</v>
      </c>
      <c r="G456" s="64">
        <f>IFERROR(CALCOLASCADENZA(Table2[[#This Row],[Data attivazione]],Table2[[#This Row],[Rateizzazione]],Table2[[#This Row],[Data ultimo pagamento]],Table2[[#This Row],[Data prossima scadenza manuale]]),"-")</f>
        <v>42989</v>
      </c>
      <c r="H456" s="67" t="s">
        <v>31</v>
      </c>
      <c r="I456" s="67" t="s">
        <v>1292</v>
      </c>
      <c r="J456" s="33">
        <f>IFERROR(Table2[[#This Row],[Importo annuale]]/(12/VLOOKUP(Table2[[#This Row],[Rateizzazione]],TIPI_RATEIZZAZIONI,2,FALSE)),"-")</f>
        <v>336</v>
      </c>
      <c r="K456" s="88">
        <v>672</v>
      </c>
      <c r="L456" s="88">
        <v>1008</v>
      </c>
      <c r="M456" s="67" t="s">
        <v>44</v>
      </c>
      <c r="N456" s="67" t="s">
        <v>52</v>
      </c>
      <c r="O456" s="27" t="s">
        <v>1631</v>
      </c>
      <c r="P456" s="33" t="s">
        <v>21</v>
      </c>
      <c r="Q456" s="60">
        <f>IFERROR(IF(12 / VLOOKUP(Table2[[#This Row],[Rateizzazione]],TIPI_RATEIZZAZIONI,2,FALSE) &gt;=1,  IF(Table2[[#This Row],[Data attivazione]] = "","-",MONTH(Table2[[#This Row],[Data attivazione]])),"-"),"-")</f>
        <v>9</v>
      </c>
      <c r="R4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6" s="67" t="s">
        <v>2</v>
      </c>
      <c r="V456" s="62"/>
      <c r="W456" s="64">
        <v>42624</v>
      </c>
      <c r="X456" s="29">
        <f>DATE(YEAR(Table2[[#This Row],[Data attivazione]])+VLOOKUP(Table2[[#This Row],[Durata]],VALORE_DURATA,2,FALSE),MONTH(Table2[[#This Row],[Data attivazione]]),DAY(Table2[[#This Row],[Data attivazione]]))</f>
        <v>42989</v>
      </c>
      <c r="Y456" s="65"/>
      <c r="Z456" s="61"/>
      <c r="AA456" s="64" t="s">
        <v>85</v>
      </c>
      <c r="AB456" s="29" t="str">
        <f>IF(Table2[[#This Row],[Data ultimo versamento temp]]=0/1/1900,"-",Table2[[#This Row],[Data ultimo versamento temp]])</f>
        <v>-</v>
      </c>
      <c r="AC456" s="29">
        <f t="array" ref="AC456">MAX(IF(TableVersamenti[Polizza]=Table2[[#This Row],[Polizza]],TableVersamenti[Data prevista versamento],"-"))</f>
        <v>0</v>
      </c>
      <c r="AD456" s="62"/>
      <c r="AE456" s="106">
        <f>DATE(YEAR(Table2[[#This Row],[Data ultimo pagamento]]),MONTH(Table2[[#This Row],[Data ultimo pagamento]]), 1)</f>
        <v>42856</v>
      </c>
      <c r="AF456" s="106">
        <f>DATE(YEAR(Table2[[#This Row],[Data prossima scadenza]]),MONTH(Table2[[#This Row],[Data prossima scadenza]]), 1)</f>
        <v>42979</v>
      </c>
      <c r="AG456" s="33">
        <f>IFERROR(Table2[[#This Row],[Importo annuale]]*VLOOKUP(Table2[[#This Row],[Ramo]],RAMI_POLIZZA,2,FALSE),0)</f>
        <v>52.415999999999997</v>
      </c>
      <c r="AH456" s="65" t="s">
        <v>113</v>
      </c>
      <c r="AI456" s="63" t="str">
        <f>IFERROR(VLOOKUP(Table2[[#This Row],[Contraente]],Table1[[Nome/Ragione sociale]:[Checkbox selezionato]],2,FALSE),"-")</f>
        <v>TRAVACO' SICCOMARIO</v>
      </c>
      <c r="AJ456" s="63">
        <f>IFERROR(VLOOKUP(Table2[[#This Row],[Contraente]],Table1[[Nome/Ragione sociale]:[Checkbox selezionato]],3,FALSE),"-")</f>
        <v>0</v>
      </c>
      <c r="AK456" s="63">
        <f>IFERROR(VLOOKUP(Table2[[#This Row],[Contraente]],Table1[[Nome/Ragione sociale]:[Checkbox selezionato]],4,FALSE),"-")</f>
        <v>0</v>
      </c>
      <c r="AL456" s="63" t="str">
        <f>IFERROR(VLOOKUP(Table2[[#This Row],[Contraente]],Table1[[Nome/Ragione sociale]:[Checkbox selezionato]],5,FALSE),"-")</f>
        <v>FABIO LOCA</v>
      </c>
      <c r="AM456" s="62" t="str">
        <f>IFERROR(VLOOKUP(Table2[[#This Row],[Contraente]],Table1[[Nome/Ragione sociale]:[Checkbox selezionato]],6,FALSE),"-")</f>
        <v>-</v>
      </c>
      <c r="AN456" s="63" t="str">
        <f>IFERROR(VLOOKUP(Table2[[#This Row],[Contraente]],Table1[[Nome/Ragione sociale]:[Checkbox selezionato]],7,FALSE),"-")</f>
        <v>papies@libero.it</v>
      </c>
      <c r="AO456" s="63">
        <f>IFERROR(VLOOKUP(Table2[[#This Row],[Contraente]],Table1[[Nome/Ragione sociale]:[Checkbox selezionato]],8,FALSE),"-")</f>
        <v>0</v>
      </c>
      <c r="AP456" s="63">
        <f>IFERROR(VLOOKUP(Table2[[#This Row],[Contraente]],Table1[[Nome/Ragione sociale]:[Checkbox selezionato]],10,FALSE),"-")</f>
        <v>0</v>
      </c>
      <c r="AQ456" s="63" t="str">
        <f>IFERROR(VLOOKUP(Table2[[#This Row],[Contraente]],Table1[[Nome/Ragione sociale]:[Checkbox selezionato]],11,FALSE),"-")</f>
        <v>SI</v>
      </c>
      <c r="AR456" s="63" t="str">
        <f>IFERROR(VLOOKUP(Table2[[#This Row],[Contraente]],Table1[[Nome/Ragione sociale]:[Checkbox selezionato]],12,FALSE),"-")</f>
        <v>SI</v>
      </c>
    </row>
    <row r="457" spans="1:44" ht="30" hidden="1" customHeight="1" x14ac:dyDescent="0.25">
      <c r="A457" s="60" t="str">
        <f>UPPER(LEFT(Table2[[#This Row],[Contraente]],1))</f>
        <v>E</v>
      </c>
      <c r="B457" s="60" t="s">
        <v>1634</v>
      </c>
      <c r="C457" s="81" t="s">
        <v>1716</v>
      </c>
      <c r="D457" s="81" t="s">
        <v>37</v>
      </c>
      <c r="E457" s="86">
        <v>104994340</v>
      </c>
      <c r="F457" s="64">
        <v>42873</v>
      </c>
      <c r="G457" s="64">
        <f>IFERROR(CALCOLASCADENZA(Table2[[#This Row],[Data attivazione]],Table2[[#This Row],[Rateizzazione]],Table2[[#This Row],[Data ultimo pagamento]],Table2[[#This Row],[Data prossima scadenza manuale]]),"-")</f>
        <v>43044</v>
      </c>
      <c r="H457" s="67" t="s">
        <v>31</v>
      </c>
      <c r="I457" s="67" t="s">
        <v>1293</v>
      </c>
      <c r="J457" s="33">
        <f>IFERROR(Table2[[#This Row],[Importo annuale]]/(12/VLOOKUP(Table2[[#This Row],[Rateizzazione]],TIPI_RATEIZZAZIONI,2,FALSE)),"-")</f>
        <v>884</v>
      </c>
      <c r="K457" s="88">
        <v>884</v>
      </c>
      <c r="L457" s="88">
        <v>1768</v>
      </c>
      <c r="M457" s="67" t="s">
        <v>44</v>
      </c>
      <c r="N457" s="67" t="s">
        <v>51</v>
      </c>
      <c r="O457" s="27" t="s">
        <v>1631</v>
      </c>
      <c r="P457" s="33" t="s">
        <v>22</v>
      </c>
      <c r="Q457" s="60">
        <f>IFERROR(IF(12 / VLOOKUP(Table2[[#This Row],[Rateizzazione]],TIPI_RATEIZZAZIONI,2,FALSE) &gt;=1,  IF(Table2[[#This Row],[Data attivazione]] = "","-",MONTH(Table2[[#This Row],[Data attivazione]])),"-"),"-")</f>
        <v>11</v>
      </c>
      <c r="R4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7" s="67" t="s">
        <v>2</v>
      </c>
      <c r="V457" s="62"/>
      <c r="W457" s="64">
        <v>42679</v>
      </c>
      <c r="X457" s="29">
        <f>DATE(YEAR(Table2[[#This Row],[Data attivazione]])+VLOOKUP(Table2[[#This Row],[Durata]],VALORE_DURATA,2,FALSE),MONTH(Table2[[#This Row],[Data attivazione]]),DAY(Table2[[#This Row],[Data attivazione]]))</f>
        <v>43044</v>
      </c>
      <c r="Y457" s="65"/>
      <c r="Z457" s="61"/>
      <c r="AA457" s="64" t="s">
        <v>85</v>
      </c>
      <c r="AB457" s="29" t="str">
        <f>IF(Table2[[#This Row],[Data ultimo versamento temp]]=0/1/1900,"-",Table2[[#This Row],[Data ultimo versamento temp]])</f>
        <v>-</v>
      </c>
      <c r="AC457" s="29">
        <f t="array" ref="AC457">MAX(IF(TableVersamenti[Polizza]=Table2[[#This Row],[Polizza]],TableVersamenti[Data prevista versamento],"-"))</f>
        <v>0</v>
      </c>
      <c r="AD457" s="62"/>
      <c r="AE457" s="106">
        <f>DATE(YEAR(Table2[[#This Row],[Data ultimo pagamento]]),MONTH(Table2[[#This Row],[Data ultimo pagamento]]), 1)</f>
        <v>42856</v>
      </c>
      <c r="AF457" s="106">
        <f>DATE(YEAR(Table2[[#This Row],[Data prossima scadenza]]),MONTH(Table2[[#This Row],[Data prossima scadenza]]), 1)</f>
        <v>43040</v>
      </c>
      <c r="AG457" s="33">
        <f>IFERROR(Table2[[#This Row],[Importo annuale]]*VLOOKUP(Table2[[#This Row],[Ramo]],RAMI_POLIZZA,2,FALSE),0)</f>
        <v>91.935999999999993</v>
      </c>
      <c r="AH457" s="65" t="s">
        <v>113</v>
      </c>
      <c r="AI457" s="63" t="str">
        <f>IFERROR(VLOOKUP(Table2[[#This Row],[Contraente]],Table1[[Nome/Ragione sociale]:[Checkbox selezionato]],2,FALSE),"-")</f>
        <v>TRAVACO' SICCOMARIO</v>
      </c>
      <c r="AJ457" s="63">
        <f>IFERROR(VLOOKUP(Table2[[#This Row],[Contraente]],Table1[[Nome/Ragione sociale]:[Checkbox selezionato]],3,FALSE),"-")</f>
        <v>0</v>
      </c>
      <c r="AK457" s="63">
        <f>IFERROR(VLOOKUP(Table2[[#This Row],[Contraente]],Table1[[Nome/Ragione sociale]:[Checkbox selezionato]],4,FALSE),"-")</f>
        <v>0</v>
      </c>
      <c r="AL457" s="63" t="str">
        <f>IFERROR(VLOOKUP(Table2[[#This Row],[Contraente]],Table1[[Nome/Ragione sociale]:[Checkbox selezionato]],5,FALSE),"-")</f>
        <v>FABIO LOCA</v>
      </c>
      <c r="AM457" s="62" t="str">
        <f>IFERROR(VLOOKUP(Table2[[#This Row],[Contraente]],Table1[[Nome/Ragione sociale]:[Checkbox selezionato]],6,FALSE),"-")</f>
        <v>-</v>
      </c>
      <c r="AN457" s="63" t="str">
        <f>IFERROR(VLOOKUP(Table2[[#This Row],[Contraente]],Table1[[Nome/Ragione sociale]:[Checkbox selezionato]],7,FALSE),"-")</f>
        <v>papies@libero.it</v>
      </c>
      <c r="AO457" s="63">
        <f>IFERROR(VLOOKUP(Table2[[#This Row],[Contraente]],Table1[[Nome/Ragione sociale]:[Checkbox selezionato]],8,FALSE),"-")</f>
        <v>0</v>
      </c>
      <c r="AP457" s="63">
        <f>IFERROR(VLOOKUP(Table2[[#This Row],[Contraente]],Table1[[Nome/Ragione sociale]:[Checkbox selezionato]],10,FALSE),"-")</f>
        <v>0</v>
      </c>
      <c r="AQ457" s="63" t="str">
        <f>IFERROR(VLOOKUP(Table2[[#This Row],[Contraente]],Table1[[Nome/Ragione sociale]:[Checkbox selezionato]],11,FALSE),"-")</f>
        <v>SI</v>
      </c>
      <c r="AR457" s="63" t="str">
        <f>IFERROR(VLOOKUP(Table2[[#This Row],[Contraente]],Table1[[Nome/Ragione sociale]:[Checkbox selezionato]],12,FALSE),"-")</f>
        <v>SI</v>
      </c>
    </row>
    <row r="458" spans="1:44" ht="30" hidden="1" customHeight="1" x14ac:dyDescent="0.25">
      <c r="A458" s="60" t="str">
        <f>UPPER(LEFT(Table2[[#This Row],[Contraente]],1))</f>
        <v>F</v>
      </c>
      <c r="B458" s="60" t="s">
        <v>1634</v>
      </c>
      <c r="C458" s="81" t="s">
        <v>633</v>
      </c>
      <c r="D458" s="81" t="s">
        <v>37</v>
      </c>
      <c r="E458" s="86">
        <v>106375105</v>
      </c>
      <c r="F458" s="64">
        <v>42857</v>
      </c>
      <c r="G458" s="64">
        <f>IFERROR(CALCOLASCADENZA(Table2[[#This Row],[Data attivazione]],Table2[[#This Row],[Rateizzazione]],Table2[[#This Row],[Data ultimo pagamento]],Table2[[#This Row],[Data prossima scadenza manuale]]),"-")</f>
        <v>42964</v>
      </c>
      <c r="H458" s="67" t="s">
        <v>31</v>
      </c>
      <c r="I458" s="67" t="s">
        <v>1306</v>
      </c>
      <c r="J458" s="33">
        <f>IFERROR(Table2[[#This Row],[Importo annuale]]/(12/VLOOKUP(Table2[[#This Row],[Rateizzazione]],TIPI_RATEIZZAZIONI,2,FALSE)),"-")</f>
        <v>450</v>
      </c>
      <c r="K458" s="88">
        <v>450</v>
      </c>
      <c r="L458" s="88">
        <v>1350</v>
      </c>
      <c r="M458" s="67" t="s">
        <v>45</v>
      </c>
      <c r="N458" s="67" t="s">
        <v>51</v>
      </c>
      <c r="O458" s="27" t="s">
        <v>1631</v>
      </c>
      <c r="P458" s="33" t="s">
        <v>21</v>
      </c>
      <c r="Q458" s="60">
        <f>IFERROR(IF(12 / VLOOKUP(Table2[[#This Row],[Rateizzazione]],TIPI_RATEIZZAZIONI,2,FALSE) &gt;=1,  IF(Table2[[#This Row],[Data attivazione]] = "","-",MONTH(Table2[[#This Row],[Data attivazione]])),"-"),"-")</f>
        <v>8</v>
      </c>
      <c r="R4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5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4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8" s="67" t="s">
        <v>2</v>
      </c>
      <c r="V458" s="62"/>
      <c r="W458" s="64">
        <v>42599</v>
      </c>
      <c r="X458" s="29">
        <f>DATE(YEAR(Table2[[#This Row],[Data attivazione]])+VLOOKUP(Table2[[#This Row],[Durata]],VALORE_DURATA,2,FALSE),MONTH(Table2[[#This Row],[Data attivazione]]),DAY(Table2[[#This Row],[Data attivazione]]))</f>
        <v>42964</v>
      </c>
      <c r="Y458" s="65"/>
      <c r="Z458" s="61"/>
      <c r="AA458" s="64" t="s">
        <v>85</v>
      </c>
      <c r="AB458" s="29" t="str">
        <f>IF(Table2[[#This Row],[Data ultimo versamento temp]]=0/1/1900,"-",Table2[[#This Row],[Data ultimo versamento temp]])</f>
        <v>-</v>
      </c>
      <c r="AC458" s="29">
        <f t="array" ref="AC458">MAX(IF(TableVersamenti[Polizza]=Table2[[#This Row],[Polizza]],TableVersamenti[Data prevista versamento],"-"))</f>
        <v>0</v>
      </c>
      <c r="AD458" s="62"/>
      <c r="AE458" s="106">
        <f>DATE(YEAR(Table2[[#This Row],[Data ultimo pagamento]]),MONTH(Table2[[#This Row],[Data ultimo pagamento]]), 1)</f>
        <v>42856</v>
      </c>
      <c r="AF458" s="106">
        <f>DATE(YEAR(Table2[[#This Row],[Data prossima scadenza]]),MONTH(Table2[[#This Row],[Data prossima scadenza]]), 1)</f>
        <v>42948</v>
      </c>
      <c r="AG458" s="33">
        <f>IFERROR(Table2[[#This Row],[Importo annuale]]*VLOOKUP(Table2[[#This Row],[Ramo]],RAMI_POLIZZA,2,FALSE),0)</f>
        <v>70.2</v>
      </c>
      <c r="AH458" s="65" t="s">
        <v>113</v>
      </c>
      <c r="AI458" s="63" t="str">
        <f>IFERROR(VLOOKUP(Table2[[#This Row],[Contraente]],Table1[[Nome/Ragione sociale]:[Checkbox selezionato]],2,FALSE),"-")</f>
        <v>VIDIGULFO</v>
      </c>
      <c r="AJ458" s="63">
        <f>IFERROR(VLOOKUP(Table2[[#This Row],[Contraente]],Table1[[Nome/Ragione sociale]:[Checkbox selezionato]],3,FALSE),"-")</f>
        <v>3287956453</v>
      </c>
      <c r="AK458" s="63">
        <f>IFERROR(VLOOKUP(Table2[[#This Row],[Contraente]],Table1[[Nome/Ragione sociale]:[Checkbox selezionato]],4,FALSE),"-")</f>
        <v>0</v>
      </c>
      <c r="AL458" s="63" t="str">
        <f>IFERROR(VLOOKUP(Table2[[#This Row],[Contraente]],Table1[[Nome/Ragione sociale]:[Checkbox selezionato]],5,FALSE),"-")</f>
        <v>SABINA</v>
      </c>
      <c r="AM458" s="62">
        <f>IFERROR(VLOOKUP(Table2[[#This Row],[Contraente]],Table1[[Nome/Ragione sociale]:[Checkbox selezionato]],6,FALSE),"-")</f>
        <v>0</v>
      </c>
      <c r="AN458" s="63" t="str">
        <f>IFERROR(VLOOKUP(Table2[[#This Row],[Contraente]],Table1[[Nome/Ragione sociale]:[Checkbox selezionato]],7,FALSE),"-")</f>
        <v>papies@email.it</v>
      </c>
      <c r="AO458" s="63">
        <f>IFERROR(VLOOKUP(Table2[[#This Row],[Contraente]],Table1[[Nome/Ragione sociale]:[Checkbox selezionato]],8,FALSE),"-")</f>
        <v>0</v>
      </c>
      <c r="AP458" s="63">
        <f>IFERROR(VLOOKUP(Table2[[#This Row],[Contraente]],Table1[[Nome/Ragione sociale]:[Checkbox selezionato]],10,FALSE),"-")</f>
        <v>3287956453</v>
      </c>
      <c r="AQ458" s="63" t="str">
        <f>IFERROR(VLOOKUP(Table2[[#This Row],[Contraente]],Table1[[Nome/Ragione sociale]:[Checkbox selezionato]],11,FALSE),"-")</f>
        <v>SI</v>
      </c>
      <c r="AR458" s="63" t="str">
        <f>IFERROR(VLOOKUP(Table2[[#This Row],[Contraente]],Table1[[Nome/Ragione sociale]:[Checkbox selezionato]],12,FALSE),"-")</f>
        <v>SI</v>
      </c>
    </row>
    <row r="459" spans="1:44" ht="30" hidden="1" customHeight="1" x14ac:dyDescent="0.25">
      <c r="A459" s="60" t="str">
        <f>UPPER(LEFT(Table2[[#This Row],[Contraente]],1))</f>
        <v>F</v>
      </c>
      <c r="B459" s="60" t="s">
        <v>1634</v>
      </c>
      <c r="C459" s="81" t="s">
        <v>633</v>
      </c>
      <c r="D459" s="81" t="s">
        <v>37</v>
      </c>
      <c r="E459" s="86">
        <v>106210378</v>
      </c>
      <c r="F459" s="64">
        <v>42865</v>
      </c>
      <c r="G459" s="64">
        <f>IFERROR(CALCOLASCADENZA(Table2[[#This Row],[Data attivazione]],Table2[[#This Row],[Rateizzazione]],Table2[[#This Row],[Data ultimo pagamento]],Table2[[#This Row],[Data prossima scadenza manuale]]),"-")</f>
        <v>43034</v>
      </c>
      <c r="H459" s="67" t="s">
        <v>31</v>
      </c>
      <c r="I459" s="67" t="s">
        <v>1305</v>
      </c>
      <c r="J459" s="33">
        <f>IFERROR(Table2[[#This Row],[Importo annuale]]/(12/VLOOKUP(Table2[[#This Row],[Rateizzazione]],TIPI_RATEIZZAZIONI,2,FALSE)),"-")</f>
        <v>770.84</v>
      </c>
      <c r="K459" s="88">
        <v>770</v>
      </c>
      <c r="L459" s="88">
        <v>1541.68</v>
      </c>
      <c r="M459" s="67" t="s">
        <v>45</v>
      </c>
      <c r="N459" s="67" t="s">
        <v>51</v>
      </c>
      <c r="O459" s="27" t="s">
        <v>1631</v>
      </c>
      <c r="P459" s="33" t="s">
        <v>22</v>
      </c>
      <c r="Q459" s="60">
        <f>IFERROR(IF(12 / VLOOKUP(Table2[[#This Row],[Rateizzazione]],TIPI_RATEIZZAZIONI,2,FALSE) &gt;=1,  IF(Table2[[#This Row],[Data attivazione]] = "","-",MONTH(Table2[[#This Row],[Data attivazione]])),"-"),"-")</f>
        <v>10</v>
      </c>
      <c r="R4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9" s="67" t="s">
        <v>2</v>
      </c>
      <c r="V459" s="62"/>
      <c r="W459" s="64">
        <v>42669</v>
      </c>
      <c r="X459" s="29">
        <f>DATE(YEAR(Table2[[#This Row],[Data attivazione]])+VLOOKUP(Table2[[#This Row],[Durata]],VALORE_DURATA,2,FALSE),MONTH(Table2[[#This Row],[Data attivazione]]),DAY(Table2[[#This Row],[Data attivazione]]))</f>
        <v>43034</v>
      </c>
      <c r="Y459" s="65"/>
      <c r="Z459" s="61"/>
      <c r="AA459" s="64" t="s">
        <v>85</v>
      </c>
      <c r="AB459" s="29" t="str">
        <f>IF(Table2[[#This Row],[Data ultimo versamento temp]]=0/1/1900,"-",Table2[[#This Row],[Data ultimo versamento temp]])</f>
        <v>-</v>
      </c>
      <c r="AC459" s="29">
        <f t="array" ref="AC459">MAX(IF(TableVersamenti[Polizza]=Table2[[#This Row],[Polizza]],TableVersamenti[Data prevista versamento],"-"))</f>
        <v>0</v>
      </c>
      <c r="AD459" s="62"/>
      <c r="AE459" s="106">
        <f>DATE(YEAR(Table2[[#This Row],[Data ultimo pagamento]]),MONTH(Table2[[#This Row],[Data ultimo pagamento]]), 1)</f>
        <v>42856</v>
      </c>
      <c r="AF459" s="106">
        <f>DATE(YEAR(Table2[[#This Row],[Data prossima scadenza]]),MONTH(Table2[[#This Row],[Data prossima scadenza]]), 1)</f>
        <v>43009</v>
      </c>
      <c r="AG459" s="33">
        <f>IFERROR(Table2[[#This Row],[Importo annuale]]*VLOOKUP(Table2[[#This Row],[Ramo]],RAMI_POLIZZA,2,FALSE),0)</f>
        <v>80.167360000000002</v>
      </c>
      <c r="AH459" s="65" t="s">
        <v>113</v>
      </c>
      <c r="AI459" s="63" t="str">
        <f>IFERROR(VLOOKUP(Table2[[#This Row],[Contraente]],Table1[[Nome/Ragione sociale]:[Checkbox selezionato]],2,FALSE),"-")</f>
        <v>VIDIGULFO</v>
      </c>
      <c r="AJ459" s="63">
        <f>IFERROR(VLOOKUP(Table2[[#This Row],[Contraente]],Table1[[Nome/Ragione sociale]:[Checkbox selezionato]],3,FALSE),"-")</f>
        <v>3287956453</v>
      </c>
      <c r="AK459" s="63">
        <f>IFERROR(VLOOKUP(Table2[[#This Row],[Contraente]],Table1[[Nome/Ragione sociale]:[Checkbox selezionato]],4,FALSE),"-")</f>
        <v>0</v>
      </c>
      <c r="AL459" s="63" t="str">
        <f>IFERROR(VLOOKUP(Table2[[#This Row],[Contraente]],Table1[[Nome/Ragione sociale]:[Checkbox selezionato]],5,FALSE),"-")</f>
        <v>SABINA</v>
      </c>
      <c r="AM459" s="62">
        <f>IFERROR(VLOOKUP(Table2[[#This Row],[Contraente]],Table1[[Nome/Ragione sociale]:[Checkbox selezionato]],6,FALSE),"-")</f>
        <v>0</v>
      </c>
      <c r="AN459" s="63" t="str">
        <f>IFERROR(VLOOKUP(Table2[[#This Row],[Contraente]],Table1[[Nome/Ragione sociale]:[Checkbox selezionato]],7,FALSE),"-")</f>
        <v>papies@email.it</v>
      </c>
      <c r="AO459" s="63">
        <f>IFERROR(VLOOKUP(Table2[[#This Row],[Contraente]],Table1[[Nome/Ragione sociale]:[Checkbox selezionato]],8,FALSE),"-")</f>
        <v>0</v>
      </c>
      <c r="AP459" s="63">
        <f>IFERROR(VLOOKUP(Table2[[#This Row],[Contraente]],Table1[[Nome/Ragione sociale]:[Checkbox selezionato]],10,FALSE),"-")</f>
        <v>3287956453</v>
      </c>
      <c r="AQ459" s="63" t="str">
        <f>IFERROR(VLOOKUP(Table2[[#This Row],[Contraente]],Table1[[Nome/Ragione sociale]:[Checkbox selezionato]],11,FALSE),"-")</f>
        <v>SI</v>
      </c>
      <c r="AR459" s="63" t="str">
        <f>IFERROR(VLOOKUP(Table2[[#This Row],[Contraente]],Table1[[Nome/Ragione sociale]:[Checkbox selezionato]],12,FALSE),"-")</f>
        <v>SI</v>
      </c>
    </row>
    <row r="460" spans="1:44" ht="30" hidden="1" customHeight="1" x14ac:dyDescent="0.25">
      <c r="A460" s="60" t="str">
        <f>UPPER(LEFT(Table2[[#This Row],[Contraente]],1))</f>
        <v>F</v>
      </c>
      <c r="B460" s="60" t="s">
        <v>1634</v>
      </c>
      <c r="C460" s="81" t="s">
        <v>632</v>
      </c>
      <c r="D460" s="81" t="s">
        <v>37</v>
      </c>
      <c r="E460" s="86">
        <v>1025483</v>
      </c>
      <c r="F460" s="64">
        <v>42656</v>
      </c>
      <c r="G460" s="64">
        <f>IFERROR(CALCOLASCADENZA(Table2[[#This Row],[Data attivazione]],Table2[[#This Row],[Rateizzazione]],Table2[[#This Row],[Data ultimo pagamento]],Table2[[#This Row],[Data prossima scadenza manuale]]),"-")</f>
        <v>42818</v>
      </c>
      <c r="H460" s="67" t="s">
        <v>32</v>
      </c>
      <c r="I460" s="67" t="s">
        <v>113</v>
      </c>
      <c r="J460" s="33">
        <f>IFERROR(Table2[[#This Row],[Importo annuale]]/(12/VLOOKUP(Table2[[#This Row],[Rateizzazione]],TIPI_RATEIZZAZIONI,2,FALSE)),"-")</f>
        <v>62.18</v>
      </c>
      <c r="K460" s="88"/>
      <c r="L460" s="88">
        <v>124.36</v>
      </c>
      <c r="M460" s="67" t="s">
        <v>45</v>
      </c>
      <c r="N460" s="67" t="s">
        <v>51</v>
      </c>
      <c r="O460" s="27" t="s">
        <v>1632</v>
      </c>
      <c r="P460" s="33" t="s">
        <v>22</v>
      </c>
      <c r="Q460" s="60">
        <f>IFERROR(IF(12 / VLOOKUP(Table2[[#This Row],[Rateizzazione]],TIPI_RATEIZZAZIONI,2,FALSE) &gt;=1,  IF(Table2[[#This Row],[Data attivazione]] = "","-",MONTH(Table2[[#This Row],[Data attivazione]])),"-"),"-")</f>
        <v>3</v>
      </c>
      <c r="R4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0" s="67" t="s">
        <v>2</v>
      </c>
      <c r="V460" s="62"/>
      <c r="W460" s="64">
        <v>39165</v>
      </c>
      <c r="X460" s="29">
        <f>DATE(YEAR(Table2[[#This Row],[Data attivazione]])+VLOOKUP(Table2[[#This Row],[Durata]],VALORE_DURATA,2,FALSE),MONTH(Table2[[#This Row],[Data attivazione]]),DAY(Table2[[#This Row],[Data attivazione]]))</f>
        <v>42818</v>
      </c>
      <c r="Y460" s="65"/>
      <c r="Z460" s="61"/>
      <c r="AA460" s="64" t="s">
        <v>88</v>
      </c>
      <c r="AB460" s="29" t="str">
        <f>IF(Table2[[#This Row],[Data ultimo versamento temp]]=0/1/1900,"-",Table2[[#This Row],[Data ultimo versamento temp]])</f>
        <v>-</v>
      </c>
      <c r="AC460" s="29">
        <f t="array" ref="AC460">MAX(IF(TableVersamenti[Polizza]=Table2[[#This Row],[Polizza]],TableVersamenti[Data prevista versamento],"-"))</f>
        <v>0</v>
      </c>
      <c r="AD460" s="62"/>
      <c r="AE460" s="106">
        <f>DATE(YEAR(Table2[[#This Row],[Data ultimo pagamento]]),MONTH(Table2[[#This Row],[Data ultimo pagamento]]), 1)</f>
        <v>42644</v>
      </c>
      <c r="AF460" s="106">
        <f>DATE(YEAR(Table2[[#This Row],[Data prossima scadenza]]),MONTH(Table2[[#This Row],[Data prossima scadenza]]), 1)</f>
        <v>42795</v>
      </c>
      <c r="AG460" s="33">
        <f>IFERROR(Table2[[#This Row],[Importo annuale]]*VLOOKUP(Table2[[#This Row],[Ramo]],RAMI_POLIZZA,2,FALSE),0)</f>
        <v>1.8653999999999999</v>
      </c>
      <c r="AH460" s="65" t="s">
        <v>113</v>
      </c>
      <c r="AI460" s="63" t="str">
        <f>IFERROR(VLOOKUP(Table2[[#This Row],[Contraente]],Table1[[Nome/Ragione sociale]:[Checkbox selezionato]],2,FALSE),"-")</f>
        <v>VIDIGULFO</v>
      </c>
      <c r="AJ460" s="63">
        <f>IFERROR(VLOOKUP(Table2[[#This Row],[Contraente]],Table1[[Nome/Ragione sociale]:[Checkbox selezionato]],3,FALSE),"-")</f>
        <v>3287956453</v>
      </c>
      <c r="AK460" s="63">
        <f>IFERROR(VLOOKUP(Table2[[#This Row],[Contraente]],Table1[[Nome/Ragione sociale]:[Checkbox selezionato]],4,FALSE),"-")</f>
        <v>0</v>
      </c>
      <c r="AL460" s="63" t="str">
        <f>IFERROR(VLOOKUP(Table2[[#This Row],[Contraente]],Table1[[Nome/Ragione sociale]:[Checkbox selezionato]],5,FALSE),"-")</f>
        <v>SABINA</v>
      </c>
      <c r="AM460" s="62">
        <f>IFERROR(VLOOKUP(Table2[[#This Row],[Contraente]],Table1[[Nome/Ragione sociale]:[Checkbox selezionato]],6,FALSE),"-")</f>
        <v>22838</v>
      </c>
      <c r="AN460" s="63" t="str">
        <f>IFERROR(VLOOKUP(Table2[[#This Row],[Contraente]],Table1[[Nome/Ragione sociale]:[Checkbox selezionato]],7,FALSE),"-")</f>
        <v>papies@libero.it</v>
      </c>
      <c r="AO460" s="63">
        <f>IFERROR(VLOOKUP(Table2[[#This Row],[Contraente]],Table1[[Nome/Ragione sociale]:[Checkbox selezionato]],8,FALSE),"-")</f>
        <v>0</v>
      </c>
      <c r="AP460" s="63">
        <f>IFERROR(VLOOKUP(Table2[[#This Row],[Contraente]],Table1[[Nome/Ragione sociale]:[Checkbox selezionato]],10,FALSE),"-")</f>
        <v>3287956453</v>
      </c>
      <c r="AQ460" s="63" t="str">
        <f>IFERROR(VLOOKUP(Table2[[#This Row],[Contraente]],Table1[[Nome/Ragione sociale]:[Checkbox selezionato]],11,FALSE),"-")</f>
        <v>SI</v>
      </c>
      <c r="AR460" s="63" t="str">
        <f>IFERROR(VLOOKUP(Table2[[#This Row],[Contraente]],Table1[[Nome/Ragione sociale]:[Checkbox selezionato]],12,FALSE),"-")</f>
        <v>SI</v>
      </c>
    </row>
    <row r="461" spans="1:44" ht="30" hidden="1" customHeight="1" x14ac:dyDescent="0.25">
      <c r="A461" s="60" t="str">
        <f>UPPER(LEFT(Table2[[#This Row],[Contraente]],1))</f>
        <v>F</v>
      </c>
      <c r="B461" s="60" t="s">
        <v>1634</v>
      </c>
      <c r="C461" s="81" t="s">
        <v>634</v>
      </c>
      <c r="D461" s="81" t="s">
        <v>37</v>
      </c>
      <c r="E461" s="86">
        <v>103419803</v>
      </c>
      <c r="F461" s="64">
        <v>42223</v>
      </c>
      <c r="G461" s="64">
        <f>IFERROR(CALCOLASCADENZA(Table2[[#This Row],[Data attivazione]],Table2[[#This Row],[Rateizzazione]],Table2[[#This Row],[Data ultimo pagamento]],Table2[[#This Row],[Data prossima scadenza manuale]]),"-")</f>
        <v>693778</v>
      </c>
      <c r="H461" s="67" t="s">
        <v>31</v>
      </c>
      <c r="I461" s="67" t="s">
        <v>1307</v>
      </c>
      <c r="J461" s="33">
        <f>IFERROR(Table2[[#This Row],[Importo annuale]]/(12/VLOOKUP(Table2[[#This Row],[Rateizzazione]],TIPI_RATEIZZAZIONI,2,FALSE)),"-")</f>
        <v>310</v>
      </c>
      <c r="K461" s="88"/>
      <c r="L461" s="88">
        <v>620</v>
      </c>
      <c r="M461" s="67" t="s">
        <v>44</v>
      </c>
      <c r="N461" s="67" t="s">
        <v>51</v>
      </c>
      <c r="O461" s="27" t="s">
        <v>1631</v>
      </c>
      <c r="P461" s="33" t="s">
        <v>22</v>
      </c>
      <c r="Q461" s="60">
        <f>IFERROR(IF(12 / VLOOKUP(Table2[[#This Row],[Rateizzazione]],TIPI_RATEIZZAZIONI,2,FALSE) &gt;=1,  IF(Table2[[#This Row],[Data attivazione]] = "","-",MONTH(Table2[[#This Row],[Data attivazione]])),"-"),"-")</f>
        <v>12</v>
      </c>
      <c r="R4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1" s="67" t="s">
        <v>2</v>
      </c>
      <c r="V461" s="62"/>
      <c r="W461" s="64">
        <v>693597</v>
      </c>
      <c r="X461" s="29">
        <f>DATE(YEAR(Table2[[#This Row],[Data attivazione]])+VLOOKUP(Table2[[#This Row],[Durata]],VALORE_DURATA,2,FALSE),MONTH(Table2[[#This Row],[Data attivazione]]),DAY(Table2[[#This Row],[Data attivazione]]))</f>
        <v>693962</v>
      </c>
      <c r="Y461" s="65"/>
      <c r="Z461" s="61"/>
      <c r="AA461" s="64" t="s">
        <v>88</v>
      </c>
      <c r="AB461" s="29" t="str">
        <f>IF(Table2[[#This Row],[Data ultimo versamento temp]]=0/1/1900,"-",Table2[[#This Row],[Data ultimo versamento temp]])</f>
        <v>-</v>
      </c>
      <c r="AC461" s="29">
        <f t="array" ref="AC461">MAX(IF(TableVersamenti[Polizza]=Table2[[#This Row],[Polizza]],TableVersamenti[Data prevista versamento],"-"))</f>
        <v>0</v>
      </c>
      <c r="AD461" s="62"/>
      <c r="AE461" s="106">
        <f>DATE(YEAR(Table2[[#This Row],[Data ultimo pagamento]]),MONTH(Table2[[#This Row],[Data ultimo pagamento]]), 1)</f>
        <v>42217</v>
      </c>
      <c r="AF461" s="106">
        <f>DATE(YEAR(Table2[[#This Row],[Data prossima scadenza]]),MONTH(Table2[[#This Row],[Data prossima scadenza]]), 1)</f>
        <v>693749</v>
      </c>
      <c r="AG461" s="33">
        <f>IFERROR(Table2[[#This Row],[Importo annuale]]*VLOOKUP(Table2[[#This Row],[Ramo]],RAMI_POLIZZA,2,FALSE),0)</f>
        <v>32.24</v>
      </c>
      <c r="AH461" s="65" t="s">
        <v>113</v>
      </c>
      <c r="AI461" s="63" t="str">
        <f>IFERROR(VLOOKUP(Table2[[#This Row],[Contraente]],Table1[[Nome/Ragione sociale]:[Checkbox selezionato]],2,FALSE),"-")</f>
        <v>BELGIOIOSO</v>
      </c>
      <c r="AJ461" s="63">
        <f>IFERROR(VLOOKUP(Table2[[#This Row],[Contraente]],Table1[[Nome/Ragione sociale]:[Checkbox selezionato]],3,FALSE),"-")</f>
        <v>3385815835</v>
      </c>
      <c r="AK461" s="63">
        <f>IFERROR(VLOOKUP(Table2[[#This Row],[Contraente]],Table1[[Nome/Ragione sociale]:[Checkbox selezionato]],4,FALSE),"-")</f>
        <v>0</v>
      </c>
      <c r="AL461" s="63" t="str">
        <f>IFERROR(VLOOKUP(Table2[[#This Row],[Contraente]],Table1[[Nome/Ragione sociale]:[Checkbox selezionato]],5,FALSE),"-")</f>
        <v>MARITO BONVINI ANDR</v>
      </c>
      <c r="AM461" s="62">
        <f>IFERROR(VLOOKUP(Table2[[#This Row],[Contraente]],Table1[[Nome/Ragione sociale]:[Checkbox selezionato]],6,FALSE),"-")</f>
        <v>27350</v>
      </c>
      <c r="AN461" s="63" t="str">
        <f>IFERROR(VLOOKUP(Table2[[#This Row],[Contraente]],Table1[[Nome/Ragione sociale]:[Checkbox selezionato]],7,FALSE),"-")</f>
        <v>papies@libero.it</v>
      </c>
      <c r="AO461" s="63">
        <f>IFERROR(VLOOKUP(Table2[[#This Row],[Contraente]],Table1[[Nome/Ragione sociale]:[Checkbox selezionato]],8,FALSE),"-")</f>
        <v>0</v>
      </c>
      <c r="AP461" s="63">
        <f>IFERROR(VLOOKUP(Table2[[#This Row],[Contraente]],Table1[[Nome/Ragione sociale]:[Checkbox selezionato]],10,FALSE),"-")</f>
        <v>3385815835</v>
      </c>
      <c r="AQ461" s="63" t="str">
        <f>IFERROR(VLOOKUP(Table2[[#This Row],[Contraente]],Table1[[Nome/Ragione sociale]:[Checkbox selezionato]],11,FALSE),"-")</f>
        <v>SI</v>
      </c>
      <c r="AR461" s="63" t="str">
        <f>IFERROR(VLOOKUP(Table2[[#This Row],[Contraente]],Table1[[Nome/Ragione sociale]:[Checkbox selezionato]],12,FALSE),"-")</f>
        <v>SI</v>
      </c>
    </row>
    <row r="462" spans="1:44" ht="30" hidden="1" customHeight="1" x14ac:dyDescent="0.25">
      <c r="A462" s="60" t="str">
        <f>UPPER(LEFT(Table2[[#This Row],[Contraente]],1))</f>
        <v>F</v>
      </c>
      <c r="B462" s="60" t="s">
        <v>1634</v>
      </c>
      <c r="C462" s="81" t="s">
        <v>634</v>
      </c>
      <c r="D462" s="81" t="s">
        <v>37</v>
      </c>
      <c r="E462" s="86">
        <v>103419796</v>
      </c>
      <c r="F462" s="64">
        <v>42794</v>
      </c>
      <c r="G462" s="64">
        <f>IFERROR(CALCOLASCADENZA(Table2[[#This Row],[Data attivazione]],Table2[[#This Row],[Rateizzazione]],Table2[[#This Row],[Data ultimo pagamento]],Table2[[#This Row],[Data prossima scadenza manuale]]),"-")</f>
        <v>42951</v>
      </c>
      <c r="H462" s="67" t="s">
        <v>1628</v>
      </c>
      <c r="I462" s="67" t="s">
        <v>113</v>
      </c>
      <c r="J462" s="33">
        <f>IFERROR(Table2[[#This Row],[Importo annuale]]/(12/VLOOKUP(Table2[[#This Row],[Rateizzazione]],TIPI_RATEIZZAZIONI,2,FALSE)),"-")</f>
        <v>55</v>
      </c>
      <c r="K462" s="88">
        <v>55</v>
      </c>
      <c r="L462" s="88">
        <v>110</v>
      </c>
      <c r="M462" s="67" t="s">
        <v>44</v>
      </c>
      <c r="N462" s="67" t="s">
        <v>51</v>
      </c>
      <c r="O462" s="27" t="s">
        <v>1631</v>
      </c>
      <c r="P462" s="33" t="s">
        <v>22</v>
      </c>
      <c r="Q462" s="60">
        <f>IFERROR(IF(12 / VLOOKUP(Table2[[#This Row],[Rateizzazione]],TIPI_RATEIZZAZIONI,2,FALSE) &gt;=1,  IF(Table2[[#This Row],[Data attivazione]] = "","-",MONTH(Table2[[#This Row],[Data attivazione]])),"-"),"-")</f>
        <v>8</v>
      </c>
      <c r="R46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2" s="67" t="s">
        <v>2</v>
      </c>
      <c r="V462" s="62"/>
      <c r="W462" s="64">
        <v>42586</v>
      </c>
      <c r="X462" s="29">
        <f>DATE(YEAR(Table2[[#This Row],[Data attivazione]])+VLOOKUP(Table2[[#This Row],[Durata]],VALORE_DURATA,2,FALSE),MONTH(Table2[[#This Row],[Data attivazione]]),DAY(Table2[[#This Row],[Data attivazione]]))</f>
        <v>42951</v>
      </c>
      <c r="Y462" s="65"/>
      <c r="Z462" s="61"/>
      <c r="AA462" s="64" t="s">
        <v>85</v>
      </c>
      <c r="AB462" s="29" t="str">
        <f>IF(Table2[[#This Row],[Data ultimo versamento temp]]=0/1/1900,"-",Table2[[#This Row],[Data ultimo versamento temp]])</f>
        <v>-</v>
      </c>
      <c r="AC462" s="29">
        <f t="array" ref="AC462">MAX(IF(TableVersamenti[Polizza]=Table2[[#This Row],[Polizza]],TableVersamenti[Data prevista versamento],"-"))</f>
        <v>0</v>
      </c>
      <c r="AD462" s="62"/>
      <c r="AE462" s="106">
        <f>DATE(YEAR(Table2[[#This Row],[Data ultimo pagamento]]),MONTH(Table2[[#This Row],[Data ultimo pagamento]]), 1)</f>
        <v>42767</v>
      </c>
      <c r="AF462" s="106">
        <f>DATE(YEAR(Table2[[#This Row],[Data prossima scadenza]]),MONTH(Table2[[#This Row],[Data prossima scadenza]]), 1)</f>
        <v>42948</v>
      </c>
      <c r="AG462" s="33">
        <f>IFERROR(Table2[[#This Row],[Importo annuale]]*VLOOKUP(Table2[[#This Row],[Ramo]],RAMI_POLIZZA,2,FALSE),0)</f>
        <v>0</v>
      </c>
      <c r="AH462" s="65" t="s">
        <v>113</v>
      </c>
      <c r="AI462" s="63" t="str">
        <f>IFERROR(VLOOKUP(Table2[[#This Row],[Contraente]],Table1[[Nome/Ragione sociale]:[Checkbox selezionato]],2,FALSE),"-")</f>
        <v>BELGIOIOSO</v>
      </c>
      <c r="AJ462" s="63">
        <f>IFERROR(VLOOKUP(Table2[[#This Row],[Contraente]],Table1[[Nome/Ragione sociale]:[Checkbox selezionato]],3,FALSE),"-")</f>
        <v>3385815835</v>
      </c>
      <c r="AK462" s="63">
        <f>IFERROR(VLOOKUP(Table2[[#This Row],[Contraente]],Table1[[Nome/Ragione sociale]:[Checkbox selezionato]],4,FALSE),"-")</f>
        <v>0</v>
      </c>
      <c r="AL462" s="63" t="str">
        <f>IFERROR(VLOOKUP(Table2[[#This Row],[Contraente]],Table1[[Nome/Ragione sociale]:[Checkbox selezionato]],5,FALSE),"-")</f>
        <v>MARITO BONVINI ANDR</v>
      </c>
      <c r="AM462" s="62">
        <f>IFERROR(VLOOKUP(Table2[[#This Row],[Contraente]],Table1[[Nome/Ragione sociale]:[Checkbox selezionato]],6,FALSE),"-")</f>
        <v>27350</v>
      </c>
      <c r="AN462" s="63" t="str">
        <f>IFERROR(VLOOKUP(Table2[[#This Row],[Contraente]],Table1[[Nome/Ragione sociale]:[Checkbox selezionato]],7,FALSE),"-")</f>
        <v>papies@libero.it</v>
      </c>
      <c r="AO462" s="63">
        <f>IFERROR(VLOOKUP(Table2[[#This Row],[Contraente]],Table1[[Nome/Ragione sociale]:[Checkbox selezionato]],8,FALSE),"-")</f>
        <v>0</v>
      </c>
      <c r="AP462" s="63">
        <f>IFERROR(VLOOKUP(Table2[[#This Row],[Contraente]],Table1[[Nome/Ragione sociale]:[Checkbox selezionato]],10,FALSE),"-")</f>
        <v>3385815835</v>
      </c>
      <c r="AQ462" s="63" t="str">
        <f>IFERROR(VLOOKUP(Table2[[#This Row],[Contraente]],Table1[[Nome/Ragione sociale]:[Checkbox selezionato]],11,FALSE),"-")</f>
        <v>SI</v>
      </c>
      <c r="AR462" s="63" t="str">
        <f>IFERROR(VLOOKUP(Table2[[#This Row],[Contraente]],Table1[[Nome/Ragione sociale]:[Checkbox selezionato]],12,FALSE),"-")</f>
        <v>SI</v>
      </c>
    </row>
    <row r="463" spans="1:44" ht="30" hidden="1" customHeight="1" x14ac:dyDescent="0.25">
      <c r="A463" s="60" t="str">
        <f>UPPER(LEFT(Table2[[#This Row],[Contraente]],1))</f>
        <v>F</v>
      </c>
      <c r="B463" s="60" t="s">
        <v>1634</v>
      </c>
      <c r="C463" s="81" t="s">
        <v>636</v>
      </c>
      <c r="D463" s="81" t="s">
        <v>37</v>
      </c>
      <c r="E463" s="86">
        <v>104756618</v>
      </c>
      <c r="F463" s="64">
        <v>42240</v>
      </c>
      <c r="G463" s="64">
        <f>IFERROR(CALCOLASCADENZA(Table2[[#This Row],[Data attivazione]],Table2[[#This Row],[Rateizzazione]],Table2[[#This Row],[Data ultimo pagamento]],Table2[[#This Row],[Data prossima scadenza manuale]]),"-")</f>
        <v>693962</v>
      </c>
      <c r="H463" s="67" t="s">
        <v>31</v>
      </c>
      <c r="I463" s="67" t="s">
        <v>1308</v>
      </c>
      <c r="J463" s="33">
        <f>IFERROR(Table2[[#This Row],[Importo annuale]]/(12/VLOOKUP(Table2[[#This Row],[Rateizzazione]],TIPI_RATEIZZAZIONI,2,FALSE)),"-")</f>
        <v>155</v>
      </c>
      <c r="K463" s="88"/>
      <c r="L463" s="88">
        <v>155</v>
      </c>
      <c r="M463" s="67" t="s">
        <v>43</v>
      </c>
      <c r="N463" s="67" t="s">
        <v>52</v>
      </c>
      <c r="O463" s="27" t="s">
        <v>1631</v>
      </c>
      <c r="P463" s="33" t="s">
        <v>23</v>
      </c>
      <c r="Q463" s="60">
        <f>IFERROR(IF(12 / VLOOKUP(Table2[[#This Row],[Rateizzazione]],TIPI_RATEIZZAZIONI,2,FALSE) &gt;=1,  IF(Table2[[#This Row],[Data attivazione]] = "","-",MONTH(Table2[[#This Row],[Data attivazione]])),"-"),"-")</f>
        <v>12</v>
      </c>
      <c r="R4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3" s="67" t="s">
        <v>2</v>
      </c>
      <c r="V463" s="62"/>
      <c r="W463" s="64">
        <v>693597</v>
      </c>
      <c r="X463" s="29">
        <f>DATE(YEAR(Table2[[#This Row],[Data attivazione]])+VLOOKUP(Table2[[#This Row],[Durata]],VALORE_DURATA,2,FALSE),MONTH(Table2[[#This Row],[Data attivazione]]),DAY(Table2[[#This Row],[Data attivazione]]))</f>
        <v>693962</v>
      </c>
      <c r="Y463" s="65"/>
      <c r="Z463" s="61"/>
      <c r="AA463" s="64" t="s">
        <v>88</v>
      </c>
      <c r="AB463" s="29" t="str">
        <f>IF(Table2[[#This Row],[Data ultimo versamento temp]]=0/1/1900,"-",Table2[[#This Row],[Data ultimo versamento temp]])</f>
        <v>-</v>
      </c>
      <c r="AC463" s="29">
        <f t="array" ref="AC463">MAX(IF(TableVersamenti[Polizza]=Table2[[#This Row],[Polizza]],TableVersamenti[Data prevista versamento],"-"))</f>
        <v>0</v>
      </c>
      <c r="AD463" s="62"/>
      <c r="AE463" s="106">
        <f>DATE(YEAR(Table2[[#This Row],[Data ultimo pagamento]]),MONTH(Table2[[#This Row],[Data ultimo pagamento]]), 1)</f>
        <v>42217</v>
      </c>
      <c r="AF463" s="106">
        <f>DATE(YEAR(Table2[[#This Row],[Data prossima scadenza]]),MONTH(Table2[[#This Row],[Data prossima scadenza]]), 1)</f>
        <v>693932</v>
      </c>
      <c r="AG463" s="33">
        <f>IFERROR(Table2[[#This Row],[Importo annuale]]*VLOOKUP(Table2[[#This Row],[Ramo]],RAMI_POLIZZA,2,FALSE),0)</f>
        <v>8.06</v>
      </c>
      <c r="AH463" s="65" t="s">
        <v>113</v>
      </c>
      <c r="AI463" s="63" t="str">
        <f>IFERROR(VLOOKUP(Table2[[#This Row],[Contraente]],Table1[[Nome/Ragione sociale]:[Checkbox selezionato]],2,FALSE),"-")</f>
        <v>BORGO SAN GIOVANNI</v>
      </c>
      <c r="AJ463" s="63">
        <f>IFERROR(VLOOKUP(Table2[[#This Row],[Contraente]],Table1[[Nome/Ragione sociale]:[Checkbox selezionato]],3,FALSE),"-")</f>
        <v>3385004980</v>
      </c>
      <c r="AK463" s="63">
        <f>IFERROR(VLOOKUP(Table2[[#This Row],[Contraente]],Table1[[Nome/Ragione sociale]:[Checkbox selezionato]],4,FALSE),"-")</f>
        <v>0</v>
      </c>
      <c r="AL463" s="63" t="str">
        <f>IFERROR(VLOOKUP(Table2[[#This Row],[Contraente]],Table1[[Nome/Ragione sociale]:[Checkbox selezionato]],5,FALSE),"-")</f>
        <v>PAOLO</v>
      </c>
      <c r="AM463" s="62">
        <f>IFERROR(VLOOKUP(Table2[[#This Row],[Contraente]],Table1[[Nome/Ragione sociale]:[Checkbox selezionato]],6,FALSE),"-")</f>
        <v>23866</v>
      </c>
      <c r="AN463" s="63" t="str">
        <f>IFERROR(VLOOKUP(Table2[[#This Row],[Contraente]],Table1[[Nome/Ragione sociale]:[Checkbox selezionato]],7,FALSE),"-")</f>
        <v>papies@email.it</v>
      </c>
      <c r="AO463" s="63">
        <f>IFERROR(VLOOKUP(Table2[[#This Row],[Contraente]],Table1[[Nome/Ragione sociale]:[Checkbox selezionato]],8,FALSE),"-")</f>
        <v>0</v>
      </c>
      <c r="AP463" s="63">
        <f>IFERROR(VLOOKUP(Table2[[#This Row],[Contraente]],Table1[[Nome/Ragione sociale]:[Checkbox selezionato]],10,FALSE),"-")</f>
        <v>3385004980</v>
      </c>
      <c r="AQ463" s="63" t="str">
        <f>IFERROR(VLOOKUP(Table2[[#This Row],[Contraente]],Table1[[Nome/Ragione sociale]:[Checkbox selezionato]],11,FALSE),"-")</f>
        <v>SI</v>
      </c>
      <c r="AR463" s="63" t="str">
        <f>IFERROR(VLOOKUP(Table2[[#This Row],[Contraente]],Table1[[Nome/Ragione sociale]:[Checkbox selezionato]],12,FALSE),"-")</f>
        <v>SI</v>
      </c>
    </row>
    <row r="464" spans="1:44" ht="30" hidden="1" customHeight="1" x14ac:dyDescent="0.25">
      <c r="A464" s="60" t="str">
        <f>UPPER(LEFT(Table2[[#This Row],[Contraente]],1))</f>
        <v>F</v>
      </c>
      <c r="B464" s="60" t="s">
        <v>1634</v>
      </c>
      <c r="C464" s="81" t="s">
        <v>636</v>
      </c>
      <c r="D464" s="81" t="s">
        <v>37</v>
      </c>
      <c r="E464" s="86">
        <v>101786543</v>
      </c>
      <c r="F464" s="64">
        <v>41794</v>
      </c>
      <c r="G464" s="64">
        <f>IFERROR(CALCOLASCADENZA(Table2[[#This Row],[Data attivazione]],Table2[[#This Row],[Rateizzazione]],Table2[[#This Row],[Data ultimo pagamento]],Table2[[#This Row],[Data prossima scadenza manuale]]),"-")</f>
        <v>693962</v>
      </c>
      <c r="H464" s="67" t="s">
        <v>30</v>
      </c>
      <c r="I464" s="67"/>
      <c r="J464" s="33">
        <f>IFERROR(Table2[[#This Row],[Importo annuale]]/(12/VLOOKUP(Table2[[#This Row],[Rateizzazione]],TIPI_RATEIZZAZIONI,2,FALSE)),"-")</f>
        <v>1000</v>
      </c>
      <c r="K464" s="88"/>
      <c r="L464" s="88">
        <v>1000</v>
      </c>
      <c r="M464" s="67" t="s">
        <v>44</v>
      </c>
      <c r="N464" s="67" t="s">
        <v>51</v>
      </c>
      <c r="O464" s="27" t="s">
        <v>1631</v>
      </c>
      <c r="P464" s="33" t="s">
        <v>23</v>
      </c>
      <c r="Q464" s="60">
        <f>IFERROR(IF(12 / VLOOKUP(Table2[[#This Row],[Rateizzazione]],TIPI_RATEIZZAZIONI,2,FALSE) &gt;=1,  IF(Table2[[#This Row],[Data attivazione]] = "","-",MONTH(Table2[[#This Row],[Data attivazione]])),"-"),"-")</f>
        <v>12</v>
      </c>
      <c r="R4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4" s="67" t="s">
        <v>2</v>
      </c>
      <c r="V464" s="62"/>
      <c r="W464" s="64">
        <v>693597</v>
      </c>
      <c r="X464" s="29">
        <f>DATE(YEAR(Table2[[#This Row],[Data attivazione]])+VLOOKUP(Table2[[#This Row],[Durata]],VALORE_DURATA,2,FALSE),MONTH(Table2[[#This Row],[Data attivazione]]),DAY(Table2[[#This Row],[Data attivazione]]))</f>
        <v>693962</v>
      </c>
      <c r="Y464" s="65"/>
      <c r="Z464" s="61"/>
      <c r="AA464" s="64" t="s">
        <v>88</v>
      </c>
      <c r="AB464" s="29" t="str">
        <f>IF(Table2[[#This Row],[Data ultimo versamento temp]]=0/1/1900,"-",Table2[[#This Row],[Data ultimo versamento temp]])</f>
        <v>-</v>
      </c>
      <c r="AC464" s="29">
        <f t="array" ref="AC464">MAX(IF(TableVersamenti[Polizza]=Table2[[#This Row],[Polizza]],TableVersamenti[Data prevista versamento],"-"))</f>
        <v>0</v>
      </c>
      <c r="AD464" s="62"/>
      <c r="AE464" s="106">
        <f>DATE(YEAR(Table2[[#This Row],[Data ultimo pagamento]]),MONTH(Table2[[#This Row],[Data ultimo pagamento]]), 1)</f>
        <v>41791</v>
      </c>
      <c r="AF464" s="106">
        <f>DATE(YEAR(Table2[[#This Row],[Data prossima scadenza]]),MONTH(Table2[[#This Row],[Data prossima scadenza]]), 1)</f>
        <v>693932</v>
      </c>
      <c r="AG464" s="33">
        <f>IFERROR(Table2[[#This Row],[Importo annuale]]*VLOOKUP(Table2[[#This Row],[Ramo]],RAMI_POLIZZA,2,FALSE),0)</f>
        <v>115</v>
      </c>
      <c r="AH464" s="65" t="s">
        <v>113</v>
      </c>
      <c r="AI464" s="63" t="str">
        <f>IFERROR(VLOOKUP(Table2[[#This Row],[Contraente]],Table1[[Nome/Ragione sociale]:[Checkbox selezionato]],2,FALSE),"-")</f>
        <v>BORGO SAN GIOVANNI</v>
      </c>
      <c r="AJ464" s="63">
        <f>IFERROR(VLOOKUP(Table2[[#This Row],[Contraente]],Table1[[Nome/Ragione sociale]:[Checkbox selezionato]],3,FALSE),"-")</f>
        <v>3385004980</v>
      </c>
      <c r="AK464" s="63">
        <f>IFERROR(VLOOKUP(Table2[[#This Row],[Contraente]],Table1[[Nome/Ragione sociale]:[Checkbox selezionato]],4,FALSE),"-")</f>
        <v>0</v>
      </c>
      <c r="AL464" s="63" t="str">
        <f>IFERROR(VLOOKUP(Table2[[#This Row],[Contraente]],Table1[[Nome/Ragione sociale]:[Checkbox selezionato]],5,FALSE),"-")</f>
        <v>PAOLO</v>
      </c>
      <c r="AM464" s="62">
        <f>IFERROR(VLOOKUP(Table2[[#This Row],[Contraente]],Table1[[Nome/Ragione sociale]:[Checkbox selezionato]],6,FALSE),"-")</f>
        <v>23866</v>
      </c>
      <c r="AN464" s="63" t="str">
        <f>IFERROR(VLOOKUP(Table2[[#This Row],[Contraente]],Table1[[Nome/Ragione sociale]:[Checkbox selezionato]],7,FALSE),"-")</f>
        <v>papies@email.it</v>
      </c>
      <c r="AO464" s="63">
        <f>IFERROR(VLOOKUP(Table2[[#This Row],[Contraente]],Table1[[Nome/Ragione sociale]:[Checkbox selezionato]],8,FALSE),"-")</f>
        <v>0</v>
      </c>
      <c r="AP464" s="63">
        <f>IFERROR(VLOOKUP(Table2[[#This Row],[Contraente]],Table1[[Nome/Ragione sociale]:[Checkbox selezionato]],10,FALSE),"-")</f>
        <v>3385004980</v>
      </c>
      <c r="AQ464" s="63" t="str">
        <f>IFERROR(VLOOKUP(Table2[[#This Row],[Contraente]],Table1[[Nome/Ragione sociale]:[Checkbox selezionato]],11,FALSE),"-")</f>
        <v>SI</v>
      </c>
      <c r="AR464" s="63" t="str">
        <f>IFERROR(VLOOKUP(Table2[[#This Row],[Contraente]],Table1[[Nome/Ragione sociale]:[Checkbox selezionato]],12,FALSE),"-")</f>
        <v>SI</v>
      </c>
    </row>
    <row r="465" spans="1:44" ht="30" hidden="1" customHeight="1" x14ac:dyDescent="0.25">
      <c r="A465" s="60" t="str">
        <f>UPPER(LEFT(Table2[[#This Row],[Contraente]],1))</f>
        <v>F</v>
      </c>
      <c r="B465" s="60" t="s">
        <v>1634</v>
      </c>
      <c r="C465" s="81" t="s">
        <v>636</v>
      </c>
      <c r="D465" s="81" t="s">
        <v>37</v>
      </c>
      <c r="E465" s="86">
        <v>104328031</v>
      </c>
      <c r="F465" s="64">
        <v>42851</v>
      </c>
      <c r="G465" s="64">
        <f>IFERROR(CALCOLASCADENZA(Table2[[#This Row],[Data attivazione]],Table2[[#This Row],[Rateizzazione]],Table2[[#This Row],[Data ultimo pagamento]],Table2[[#This Row],[Data prossima scadenza manuale]]),"-")</f>
        <v>43217</v>
      </c>
      <c r="H465" s="67" t="s">
        <v>30</v>
      </c>
      <c r="I465" s="67" t="s">
        <v>113</v>
      </c>
      <c r="J465" s="33">
        <f>IFERROR(Table2[[#This Row],[Importo annuale]]/(12/VLOOKUP(Table2[[#This Row],[Rateizzazione]],TIPI_RATEIZZAZIONI,2,FALSE)),"-")</f>
        <v>1715</v>
      </c>
      <c r="K465" s="88">
        <v>1715</v>
      </c>
      <c r="L465" s="88">
        <v>1715</v>
      </c>
      <c r="M465" s="67" t="s">
        <v>44</v>
      </c>
      <c r="N465" s="67" t="s">
        <v>51</v>
      </c>
      <c r="O465" s="27" t="s">
        <v>1631</v>
      </c>
      <c r="P465" s="33" t="s">
        <v>23</v>
      </c>
      <c r="Q465" s="60">
        <f>IFERROR(IF(12 / VLOOKUP(Table2[[#This Row],[Rateizzazione]],TIPI_RATEIZZAZIONI,2,FALSE) &gt;=1,  IF(Table2[[#This Row],[Data attivazione]] = "","-",MONTH(Table2[[#This Row],[Data attivazione]])),"-"),"-")</f>
        <v>4</v>
      </c>
      <c r="R4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5" s="67" t="s">
        <v>2</v>
      </c>
      <c r="V465" s="62"/>
      <c r="W465" s="64">
        <v>42852</v>
      </c>
      <c r="X465" s="29">
        <f>DATE(YEAR(Table2[[#This Row],[Data attivazione]])+VLOOKUP(Table2[[#This Row],[Durata]],VALORE_DURATA,2,FALSE),MONTH(Table2[[#This Row],[Data attivazione]]),DAY(Table2[[#This Row],[Data attivazione]]))</f>
        <v>43217</v>
      </c>
      <c r="Y465" s="65"/>
      <c r="Z465" s="61"/>
      <c r="AA465" s="64" t="s">
        <v>85</v>
      </c>
      <c r="AB465" s="29" t="str">
        <f>IF(Table2[[#This Row],[Data ultimo versamento temp]]=0/1/1900,"-",Table2[[#This Row],[Data ultimo versamento temp]])</f>
        <v>-</v>
      </c>
      <c r="AC465" s="29">
        <f t="array" ref="AC465">MAX(IF(TableVersamenti[Polizza]=Table2[[#This Row],[Polizza]],TableVersamenti[Data prevista versamento],"-"))</f>
        <v>0</v>
      </c>
      <c r="AD465" s="62"/>
      <c r="AE465" s="106">
        <f>DATE(YEAR(Table2[[#This Row],[Data ultimo pagamento]]),MONTH(Table2[[#This Row],[Data ultimo pagamento]]), 1)</f>
        <v>42826</v>
      </c>
      <c r="AF465" s="106">
        <f>DATE(YEAR(Table2[[#This Row],[Data prossima scadenza]]),MONTH(Table2[[#This Row],[Data prossima scadenza]]), 1)</f>
        <v>43191</v>
      </c>
      <c r="AG465" s="33">
        <f>IFERROR(Table2[[#This Row],[Importo annuale]]*VLOOKUP(Table2[[#This Row],[Ramo]],RAMI_POLIZZA,2,FALSE),0)</f>
        <v>197.22500000000002</v>
      </c>
      <c r="AH465" s="65" t="s">
        <v>113</v>
      </c>
      <c r="AI465" s="63" t="str">
        <f>IFERROR(VLOOKUP(Table2[[#This Row],[Contraente]],Table1[[Nome/Ragione sociale]:[Checkbox selezionato]],2,FALSE),"-")</f>
        <v>BORGO SAN GIOVANNI</v>
      </c>
      <c r="AJ465" s="63">
        <f>IFERROR(VLOOKUP(Table2[[#This Row],[Contraente]],Table1[[Nome/Ragione sociale]:[Checkbox selezionato]],3,FALSE),"-")</f>
        <v>3385004980</v>
      </c>
      <c r="AK465" s="63">
        <f>IFERROR(VLOOKUP(Table2[[#This Row],[Contraente]],Table1[[Nome/Ragione sociale]:[Checkbox selezionato]],4,FALSE),"-")</f>
        <v>0</v>
      </c>
      <c r="AL465" s="63" t="str">
        <f>IFERROR(VLOOKUP(Table2[[#This Row],[Contraente]],Table1[[Nome/Ragione sociale]:[Checkbox selezionato]],5,FALSE),"-")</f>
        <v>PAOLO</v>
      </c>
      <c r="AM465" s="62">
        <f>IFERROR(VLOOKUP(Table2[[#This Row],[Contraente]],Table1[[Nome/Ragione sociale]:[Checkbox selezionato]],6,FALSE),"-")</f>
        <v>23866</v>
      </c>
      <c r="AN465" s="63" t="str">
        <f>IFERROR(VLOOKUP(Table2[[#This Row],[Contraente]],Table1[[Nome/Ragione sociale]:[Checkbox selezionato]],7,FALSE),"-")</f>
        <v>papies@email.it</v>
      </c>
      <c r="AO465" s="63">
        <f>IFERROR(VLOOKUP(Table2[[#This Row],[Contraente]],Table1[[Nome/Ragione sociale]:[Checkbox selezionato]],8,FALSE),"-")</f>
        <v>0</v>
      </c>
      <c r="AP465" s="63">
        <f>IFERROR(VLOOKUP(Table2[[#This Row],[Contraente]],Table1[[Nome/Ragione sociale]:[Checkbox selezionato]],10,FALSE),"-")</f>
        <v>3385004980</v>
      </c>
      <c r="AQ465" s="63" t="str">
        <f>IFERROR(VLOOKUP(Table2[[#This Row],[Contraente]],Table1[[Nome/Ragione sociale]:[Checkbox selezionato]],11,FALSE),"-")</f>
        <v>SI</v>
      </c>
      <c r="AR465" s="63" t="str">
        <f>IFERROR(VLOOKUP(Table2[[#This Row],[Contraente]],Table1[[Nome/Ragione sociale]:[Checkbox selezionato]],12,FALSE),"-")</f>
        <v>SI</v>
      </c>
    </row>
    <row r="466" spans="1:44" ht="30" hidden="1" customHeight="1" x14ac:dyDescent="0.25">
      <c r="A466" s="60" t="str">
        <f>UPPER(LEFT(Table2[[#This Row],[Contraente]],1))</f>
        <v>F</v>
      </c>
      <c r="B466" s="60" t="s">
        <v>1634</v>
      </c>
      <c r="C466" s="81" t="s">
        <v>636</v>
      </c>
      <c r="D466" s="81" t="s">
        <v>37</v>
      </c>
      <c r="E466" s="86">
        <v>104327944</v>
      </c>
      <c r="F466" s="64">
        <v>42851</v>
      </c>
      <c r="G466" s="64">
        <f>IFERROR(CALCOLASCADENZA(Table2[[#This Row],[Data attivazione]],Table2[[#This Row],[Rateizzazione]],Table2[[#This Row],[Data ultimo pagamento]],Table2[[#This Row],[Data prossima scadenza manuale]]),"-")</f>
        <v>43217</v>
      </c>
      <c r="H466" s="67" t="s">
        <v>30</v>
      </c>
      <c r="I466" s="67" t="s">
        <v>113</v>
      </c>
      <c r="J466" s="33">
        <f>IFERROR(Table2[[#This Row],[Importo annuale]]/(12/VLOOKUP(Table2[[#This Row],[Rateizzazione]],TIPI_RATEIZZAZIONI,2,FALSE)),"-")</f>
        <v>400</v>
      </c>
      <c r="K466" s="88">
        <v>400</v>
      </c>
      <c r="L466" s="88">
        <v>400</v>
      </c>
      <c r="M466" s="67" t="s">
        <v>44</v>
      </c>
      <c r="N466" s="67" t="s">
        <v>51</v>
      </c>
      <c r="O466" s="27" t="s">
        <v>1631</v>
      </c>
      <c r="P466" s="33" t="s">
        <v>23</v>
      </c>
      <c r="Q466" s="60">
        <f>IFERROR(IF(12 / VLOOKUP(Table2[[#This Row],[Rateizzazione]],TIPI_RATEIZZAZIONI,2,FALSE) &gt;=1,  IF(Table2[[#This Row],[Data attivazione]] = "","-",MONTH(Table2[[#This Row],[Data attivazione]])),"-"),"-")</f>
        <v>4</v>
      </c>
      <c r="R4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6" s="67" t="s">
        <v>2</v>
      </c>
      <c r="V466" s="62"/>
      <c r="W466" s="64">
        <v>42852</v>
      </c>
      <c r="X466" s="29">
        <f>DATE(YEAR(Table2[[#This Row],[Data attivazione]])+VLOOKUP(Table2[[#This Row],[Durata]],VALORE_DURATA,2,FALSE),MONTH(Table2[[#This Row],[Data attivazione]]),DAY(Table2[[#This Row],[Data attivazione]]))</f>
        <v>43217</v>
      </c>
      <c r="Y466" s="65"/>
      <c r="Z466" s="61"/>
      <c r="AA466" s="64" t="s">
        <v>85</v>
      </c>
      <c r="AB466" s="29" t="str">
        <f>IF(Table2[[#This Row],[Data ultimo versamento temp]]=0/1/1900,"-",Table2[[#This Row],[Data ultimo versamento temp]])</f>
        <v>-</v>
      </c>
      <c r="AC466" s="29">
        <f t="array" ref="AC466">MAX(IF(TableVersamenti[Polizza]=Table2[[#This Row],[Polizza]],TableVersamenti[Data prevista versamento],"-"))</f>
        <v>0</v>
      </c>
      <c r="AD466" s="62"/>
      <c r="AE466" s="106">
        <f>DATE(YEAR(Table2[[#This Row],[Data ultimo pagamento]]),MONTH(Table2[[#This Row],[Data ultimo pagamento]]), 1)</f>
        <v>42826</v>
      </c>
      <c r="AF466" s="106">
        <f>DATE(YEAR(Table2[[#This Row],[Data prossima scadenza]]),MONTH(Table2[[#This Row],[Data prossima scadenza]]), 1)</f>
        <v>43191</v>
      </c>
      <c r="AG466" s="33">
        <f>IFERROR(Table2[[#This Row],[Importo annuale]]*VLOOKUP(Table2[[#This Row],[Ramo]],RAMI_POLIZZA,2,FALSE),0)</f>
        <v>46</v>
      </c>
      <c r="AH466" s="65" t="s">
        <v>113</v>
      </c>
      <c r="AI466" s="63" t="str">
        <f>IFERROR(VLOOKUP(Table2[[#This Row],[Contraente]],Table1[[Nome/Ragione sociale]:[Checkbox selezionato]],2,FALSE),"-")</f>
        <v>BORGO SAN GIOVANNI</v>
      </c>
      <c r="AJ466" s="63">
        <f>IFERROR(VLOOKUP(Table2[[#This Row],[Contraente]],Table1[[Nome/Ragione sociale]:[Checkbox selezionato]],3,FALSE),"-")</f>
        <v>3385004980</v>
      </c>
      <c r="AK466" s="63">
        <f>IFERROR(VLOOKUP(Table2[[#This Row],[Contraente]],Table1[[Nome/Ragione sociale]:[Checkbox selezionato]],4,FALSE),"-")</f>
        <v>0</v>
      </c>
      <c r="AL466" s="63" t="str">
        <f>IFERROR(VLOOKUP(Table2[[#This Row],[Contraente]],Table1[[Nome/Ragione sociale]:[Checkbox selezionato]],5,FALSE),"-")</f>
        <v>PAOLO</v>
      </c>
      <c r="AM466" s="62">
        <f>IFERROR(VLOOKUP(Table2[[#This Row],[Contraente]],Table1[[Nome/Ragione sociale]:[Checkbox selezionato]],6,FALSE),"-")</f>
        <v>23866</v>
      </c>
      <c r="AN466" s="63" t="str">
        <f>IFERROR(VLOOKUP(Table2[[#This Row],[Contraente]],Table1[[Nome/Ragione sociale]:[Checkbox selezionato]],7,FALSE),"-")</f>
        <v>papies@email.it</v>
      </c>
      <c r="AO466" s="63">
        <f>IFERROR(VLOOKUP(Table2[[#This Row],[Contraente]],Table1[[Nome/Ragione sociale]:[Checkbox selezionato]],8,FALSE),"-")</f>
        <v>0</v>
      </c>
      <c r="AP466" s="63">
        <f>IFERROR(VLOOKUP(Table2[[#This Row],[Contraente]],Table1[[Nome/Ragione sociale]:[Checkbox selezionato]],10,FALSE),"-")</f>
        <v>3385004980</v>
      </c>
      <c r="AQ466" s="63" t="str">
        <f>IFERROR(VLOOKUP(Table2[[#This Row],[Contraente]],Table1[[Nome/Ragione sociale]:[Checkbox selezionato]],11,FALSE),"-")</f>
        <v>SI</v>
      </c>
      <c r="AR466" s="63" t="str">
        <f>IFERROR(VLOOKUP(Table2[[#This Row],[Contraente]],Table1[[Nome/Ragione sociale]:[Checkbox selezionato]],12,FALSE),"-")</f>
        <v>SI</v>
      </c>
    </row>
    <row r="467" spans="1:44" ht="30" hidden="1" customHeight="1" x14ac:dyDescent="0.25">
      <c r="A467" s="60" t="str">
        <f>UPPER(LEFT(Table2[[#This Row],[Contraente]],1))</f>
        <v>F</v>
      </c>
      <c r="B467" s="60" t="s">
        <v>1634</v>
      </c>
      <c r="C467" s="81" t="s">
        <v>636</v>
      </c>
      <c r="D467" s="81" t="s">
        <v>37</v>
      </c>
      <c r="E467" s="86">
        <v>104562936</v>
      </c>
      <c r="F467" s="64">
        <v>42552</v>
      </c>
      <c r="G467" s="64">
        <f>IFERROR(CALCOLASCADENZA(Table2[[#This Row],[Data attivazione]],Table2[[#This Row],[Rateizzazione]],Table2[[#This Row],[Data ultimo pagamento]],Table2[[#This Row],[Data prossima scadenza manuale]]),"-")</f>
        <v>42911</v>
      </c>
      <c r="H467" s="67" t="s">
        <v>30</v>
      </c>
      <c r="I467" s="67" t="s">
        <v>113</v>
      </c>
      <c r="J467" s="33">
        <f>IFERROR(Table2[[#This Row],[Importo annuale]]/(12/VLOOKUP(Table2[[#This Row],[Rateizzazione]],TIPI_RATEIZZAZIONI,2,FALSE)),"-")</f>
        <v>375</v>
      </c>
      <c r="K467" s="88"/>
      <c r="L467" s="88">
        <v>375</v>
      </c>
      <c r="M467" s="67" t="s">
        <v>44</v>
      </c>
      <c r="N467" s="67" t="s">
        <v>51</v>
      </c>
      <c r="O467" s="27" t="s">
        <v>1631</v>
      </c>
      <c r="P467" s="33" t="s">
        <v>23</v>
      </c>
      <c r="Q467" s="60">
        <f>IFERROR(IF(12 / VLOOKUP(Table2[[#This Row],[Rateizzazione]],TIPI_RATEIZZAZIONI,2,FALSE) &gt;=1,  IF(Table2[[#This Row],[Data attivazione]] = "","-",MONTH(Table2[[#This Row],[Data attivazione]])),"-"),"-")</f>
        <v>6</v>
      </c>
      <c r="R4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7" s="67" t="s">
        <v>2</v>
      </c>
      <c r="V467" s="62"/>
      <c r="W467" s="64">
        <v>42546</v>
      </c>
      <c r="X467" s="29">
        <f>DATE(YEAR(Table2[[#This Row],[Data attivazione]])+VLOOKUP(Table2[[#This Row],[Durata]],VALORE_DURATA,2,FALSE),MONTH(Table2[[#This Row],[Data attivazione]]),DAY(Table2[[#This Row],[Data attivazione]]))</f>
        <v>42911</v>
      </c>
      <c r="Y467" s="65"/>
      <c r="Z467" s="61"/>
      <c r="AA467" s="64" t="s">
        <v>88</v>
      </c>
      <c r="AB467" s="29" t="str">
        <f>IF(Table2[[#This Row],[Data ultimo versamento temp]]=0/1/1900,"-",Table2[[#This Row],[Data ultimo versamento temp]])</f>
        <v>-</v>
      </c>
      <c r="AC467" s="29">
        <f t="array" ref="AC467">MAX(IF(TableVersamenti[Polizza]=Table2[[#This Row],[Polizza]],TableVersamenti[Data prevista versamento],"-"))</f>
        <v>0</v>
      </c>
      <c r="AD467" s="62"/>
      <c r="AE467" s="106">
        <f>DATE(YEAR(Table2[[#This Row],[Data ultimo pagamento]]),MONTH(Table2[[#This Row],[Data ultimo pagamento]]), 1)</f>
        <v>42552</v>
      </c>
      <c r="AF467" s="106">
        <f>DATE(YEAR(Table2[[#This Row],[Data prossima scadenza]]),MONTH(Table2[[#This Row],[Data prossima scadenza]]), 1)</f>
        <v>42887</v>
      </c>
      <c r="AG467" s="33">
        <f>IFERROR(Table2[[#This Row],[Importo annuale]]*VLOOKUP(Table2[[#This Row],[Ramo]],RAMI_POLIZZA,2,FALSE),0)</f>
        <v>43.125</v>
      </c>
      <c r="AH467" s="65" t="s">
        <v>113</v>
      </c>
      <c r="AI467" s="63" t="str">
        <f>IFERROR(VLOOKUP(Table2[[#This Row],[Contraente]],Table1[[Nome/Ragione sociale]:[Checkbox selezionato]],2,FALSE),"-")</f>
        <v>BORGO SAN GIOVANNI</v>
      </c>
      <c r="AJ467" s="63">
        <f>IFERROR(VLOOKUP(Table2[[#This Row],[Contraente]],Table1[[Nome/Ragione sociale]:[Checkbox selezionato]],3,FALSE),"-")</f>
        <v>3385004980</v>
      </c>
      <c r="AK467" s="63">
        <f>IFERROR(VLOOKUP(Table2[[#This Row],[Contraente]],Table1[[Nome/Ragione sociale]:[Checkbox selezionato]],4,FALSE),"-")</f>
        <v>0</v>
      </c>
      <c r="AL467" s="63" t="str">
        <f>IFERROR(VLOOKUP(Table2[[#This Row],[Contraente]],Table1[[Nome/Ragione sociale]:[Checkbox selezionato]],5,FALSE),"-")</f>
        <v>PAOLO</v>
      </c>
      <c r="AM467" s="62">
        <f>IFERROR(VLOOKUP(Table2[[#This Row],[Contraente]],Table1[[Nome/Ragione sociale]:[Checkbox selezionato]],6,FALSE),"-")</f>
        <v>23866</v>
      </c>
      <c r="AN467" s="63" t="str">
        <f>IFERROR(VLOOKUP(Table2[[#This Row],[Contraente]],Table1[[Nome/Ragione sociale]:[Checkbox selezionato]],7,FALSE),"-")</f>
        <v>papies@email.it</v>
      </c>
      <c r="AO467" s="63">
        <f>IFERROR(VLOOKUP(Table2[[#This Row],[Contraente]],Table1[[Nome/Ragione sociale]:[Checkbox selezionato]],8,FALSE),"-")</f>
        <v>0</v>
      </c>
      <c r="AP467" s="63">
        <f>IFERROR(VLOOKUP(Table2[[#This Row],[Contraente]],Table1[[Nome/Ragione sociale]:[Checkbox selezionato]],10,FALSE),"-")</f>
        <v>3385004980</v>
      </c>
      <c r="AQ467" s="63" t="str">
        <f>IFERROR(VLOOKUP(Table2[[#This Row],[Contraente]],Table1[[Nome/Ragione sociale]:[Checkbox selezionato]],11,FALSE),"-")</f>
        <v>SI</v>
      </c>
      <c r="AR467" s="63" t="str">
        <f>IFERROR(VLOOKUP(Table2[[#This Row],[Contraente]],Table1[[Nome/Ragione sociale]:[Checkbox selezionato]],12,FALSE),"-")</f>
        <v>SI</v>
      </c>
    </row>
    <row r="468" spans="1:44" ht="30" hidden="1" customHeight="1" x14ac:dyDescent="0.25">
      <c r="A468" s="60" t="str">
        <f>UPPER(LEFT(Table2[[#This Row],[Contraente]],1))</f>
        <v>F</v>
      </c>
      <c r="B468" s="60" t="s">
        <v>1634</v>
      </c>
      <c r="C468" s="81" t="s">
        <v>638</v>
      </c>
      <c r="D468" s="81" t="s">
        <v>37</v>
      </c>
      <c r="E468" s="86">
        <v>106634021</v>
      </c>
      <c r="F468" s="64">
        <v>42810</v>
      </c>
      <c r="G468" s="64">
        <f>IFERROR(CALCOLASCADENZA(Table2[[#This Row],[Data attivazione]],Table2[[#This Row],[Rateizzazione]],Table2[[#This Row],[Data ultimo pagamento]],Table2[[#This Row],[Data prossima scadenza manuale]]),"-")</f>
        <v>43175</v>
      </c>
      <c r="H468" s="67" t="s">
        <v>31</v>
      </c>
      <c r="I468" s="67" t="s">
        <v>1310</v>
      </c>
      <c r="J468" s="33">
        <f>IFERROR(Table2[[#This Row],[Importo annuale]]/(12/VLOOKUP(Table2[[#This Row],[Rateizzazione]],TIPI_RATEIZZAZIONI,2,FALSE)),"-")</f>
        <v>250</v>
      </c>
      <c r="K468" s="88">
        <v>250</v>
      </c>
      <c r="L468" s="88">
        <v>250</v>
      </c>
      <c r="M468" s="67" t="s">
        <v>43</v>
      </c>
      <c r="N468" s="67" t="s">
        <v>52</v>
      </c>
      <c r="O468" s="27" t="s">
        <v>1631</v>
      </c>
      <c r="P468" s="33" t="s">
        <v>23</v>
      </c>
      <c r="Q468" s="60">
        <f>IFERROR(IF(12 / VLOOKUP(Table2[[#This Row],[Rateizzazione]],TIPI_RATEIZZAZIONI,2,FALSE) &gt;=1,  IF(Table2[[#This Row],[Data attivazione]] = "","-",MONTH(Table2[[#This Row],[Data attivazione]])),"-"),"-")</f>
        <v>3</v>
      </c>
      <c r="R4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8" s="67" t="s">
        <v>2</v>
      </c>
      <c r="V468" s="62"/>
      <c r="W468" s="64">
        <v>42810</v>
      </c>
      <c r="X468" s="29">
        <f>DATE(YEAR(Table2[[#This Row],[Data attivazione]])+VLOOKUP(Table2[[#This Row],[Durata]],VALORE_DURATA,2,FALSE),MONTH(Table2[[#This Row],[Data attivazione]]),DAY(Table2[[#This Row],[Data attivazione]]))</f>
        <v>43175</v>
      </c>
      <c r="Y468" s="65"/>
      <c r="Z468" s="61"/>
      <c r="AA468" s="64" t="s">
        <v>85</v>
      </c>
      <c r="AB468" s="29" t="str">
        <f>IF(Table2[[#This Row],[Data ultimo versamento temp]]=0/1/1900,"-",Table2[[#This Row],[Data ultimo versamento temp]])</f>
        <v>-</v>
      </c>
      <c r="AC468" s="29">
        <f t="array" ref="AC468">MAX(IF(TableVersamenti[Polizza]=Table2[[#This Row],[Polizza]],TableVersamenti[Data prevista versamento],"-"))</f>
        <v>0</v>
      </c>
      <c r="AD468" s="62"/>
      <c r="AE468" s="106">
        <f>DATE(YEAR(Table2[[#This Row],[Data ultimo pagamento]]),MONTH(Table2[[#This Row],[Data ultimo pagamento]]), 1)</f>
        <v>42795</v>
      </c>
      <c r="AF468" s="106">
        <f>DATE(YEAR(Table2[[#This Row],[Data prossima scadenza]]),MONTH(Table2[[#This Row],[Data prossima scadenza]]), 1)</f>
        <v>43160</v>
      </c>
      <c r="AG468" s="33">
        <f>IFERROR(Table2[[#This Row],[Importo annuale]]*VLOOKUP(Table2[[#This Row],[Ramo]],RAMI_POLIZZA,2,FALSE),0)</f>
        <v>13</v>
      </c>
      <c r="AH468" s="65" t="s">
        <v>113</v>
      </c>
      <c r="AI468" s="63" t="str">
        <f>IFERROR(VLOOKUP(Table2[[#This Row],[Contraente]],Table1[[Nome/Ragione sociale]:[Checkbox selezionato]],2,FALSE),"-")</f>
        <v>CORTEOLONA</v>
      </c>
      <c r="AJ468" s="63">
        <f>IFERROR(VLOOKUP(Table2[[#This Row],[Contraente]],Table1[[Nome/Ragione sociale]:[Checkbox selezionato]],3,FALSE),"-")</f>
        <v>3493841408</v>
      </c>
      <c r="AK468" s="63">
        <f>IFERROR(VLOOKUP(Table2[[#This Row],[Contraente]],Table1[[Nome/Ragione sociale]:[Checkbox selezionato]],4,FALSE),"-")</f>
        <v>0</v>
      </c>
      <c r="AL468" s="63" t="str">
        <f>IFERROR(VLOOKUP(Table2[[#This Row],[Contraente]],Table1[[Nome/Ragione sociale]:[Checkbox selezionato]],5,FALSE),"-")</f>
        <v>RICCARDO</v>
      </c>
      <c r="AM468" s="62">
        <f>IFERROR(VLOOKUP(Table2[[#This Row],[Contraente]],Table1[[Nome/Ragione sociale]:[Checkbox selezionato]],6,FALSE),"-")</f>
        <v>24958</v>
      </c>
      <c r="AN468" s="63" t="str">
        <f>IFERROR(VLOOKUP(Table2[[#This Row],[Contraente]],Table1[[Nome/Ragione sociale]:[Checkbox selezionato]],7,FALSE),"-")</f>
        <v>papies@libero.it</v>
      </c>
      <c r="AO468" s="63">
        <f>IFERROR(VLOOKUP(Table2[[#This Row],[Contraente]],Table1[[Nome/Ragione sociale]:[Checkbox selezionato]],8,FALSE),"-")</f>
        <v>0</v>
      </c>
      <c r="AP468" s="63">
        <f>IFERROR(VLOOKUP(Table2[[#This Row],[Contraente]],Table1[[Nome/Ragione sociale]:[Checkbox selezionato]],10,FALSE),"-")</f>
        <v>3493841408</v>
      </c>
      <c r="AQ468" s="63" t="str">
        <f>IFERROR(VLOOKUP(Table2[[#This Row],[Contraente]],Table1[[Nome/Ragione sociale]:[Checkbox selezionato]],11,FALSE),"-")</f>
        <v>SI</v>
      </c>
      <c r="AR468" s="63" t="str">
        <f>IFERROR(VLOOKUP(Table2[[#This Row],[Contraente]],Table1[[Nome/Ragione sociale]:[Checkbox selezionato]],12,FALSE),"-")</f>
        <v>SI</v>
      </c>
    </row>
    <row r="469" spans="1:44" ht="30" hidden="1" customHeight="1" x14ac:dyDescent="0.25">
      <c r="A469" s="60" t="str">
        <f>UPPER(LEFT(Table2[[#This Row],[Contraente]],1))</f>
        <v>F</v>
      </c>
      <c r="B469" s="60" t="s">
        <v>1634</v>
      </c>
      <c r="C469" s="81" t="s">
        <v>637</v>
      </c>
      <c r="D469" s="81" t="s">
        <v>37</v>
      </c>
      <c r="E469" s="86">
        <v>102952118</v>
      </c>
      <c r="F469" s="64">
        <v>42846</v>
      </c>
      <c r="G469" s="64">
        <f>IFERROR(CALCOLASCADENZA(Table2[[#This Row],[Data attivazione]],Table2[[#This Row],[Rateizzazione]],Table2[[#This Row],[Data ultimo pagamento]],Table2[[#This Row],[Data prossima scadenza manuale]]),"-")</f>
        <v>43023</v>
      </c>
      <c r="H469" s="67" t="s">
        <v>1628</v>
      </c>
      <c r="I469" s="67" t="s">
        <v>113</v>
      </c>
      <c r="J469" s="33">
        <f>IFERROR(Table2[[#This Row],[Importo annuale]]/(12/VLOOKUP(Table2[[#This Row],[Rateizzazione]],TIPI_RATEIZZAZIONI,2,FALSE)),"-")</f>
        <v>32</v>
      </c>
      <c r="K469" s="88">
        <v>32</v>
      </c>
      <c r="L469" s="88">
        <v>64</v>
      </c>
      <c r="M469" s="67" t="s">
        <v>44</v>
      </c>
      <c r="N469" s="67" t="s">
        <v>51</v>
      </c>
      <c r="O469" s="27" t="s">
        <v>1631</v>
      </c>
      <c r="P469" s="33" t="s">
        <v>22</v>
      </c>
      <c r="Q469" s="60">
        <f>IFERROR(IF(12 / VLOOKUP(Table2[[#This Row],[Rateizzazione]],TIPI_RATEIZZAZIONI,2,FALSE) &gt;=1,  IF(Table2[[#This Row],[Data attivazione]] = "","-",MONTH(Table2[[#This Row],[Data attivazione]])),"-"),"-")</f>
        <v>10</v>
      </c>
      <c r="R4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9" s="67" t="s">
        <v>2</v>
      </c>
      <c r="V469" s="62"/>
      <c r="W469" s="64">
        <v>42658</v>
      </c>
      <c r="X469" s="29">
        <f>DATE(YEAR(Table2[[#This Row],[Data attivazione]])+VLOOKUP(Table2[[#This Row],[Durata]],VALORE_DURATA,2,FALSE),MONTH(Table2[[#This Row],[Data attivazione]]),DAY(Table2[[#This Row],[Data attivazione]]))</f>
        <v>43023</v>
      </c>
      <c r="Y469" s="65"/>
      <c r="Z469" s="61"/>
      <c r="AA469" s="64" t="s">
        <v>85</v>
      </c>
      <c r="AB469" s="29" t="str">
        <f>IF(Table2[[#This Row],[Data ultimo versamento temp]]=0/1/1900,"-",Table2[[#This Row],[Data ultimo versamento temp]])</f>
        <v>-</v>
      </c>
      <c r="AC469" s="29">
        <f t="array" ref="AC469">MAX(IF(TableVersamenti[Polizza]=Table2[[#This Row],[Polizza]],TableVersamenti[Data prevista versamento],"-"))</f>
        <v>0</v>
      </c>
      <c r="AD469" s="62"/>
      <c r="AE469" s="106">
        <f>DATE(YEAR(Table2[[#This Row],[Data ultimo pagamento]]),MONTH(Table2[[#This Row],[Data ultimo pagamento]]), 1)</f>
        <v>42826</v>
      </c>
      <c r="AF469" s="106">
        <f>DATE(YEAR(Table2[[#This Row],[Data prossima scadenza]]),MONTH(Table2[[#This Row],[Data prossima scadenza]]), 1)</f>
        <v>43009</v>
      </c>
      <c r="AG469" s="33">
        <f>IFERROR(Table2[[#This Row],[Importo annuale]]*VLOOKUP(Table2[[#This Row],[Ramo]],RAMI_POLIZZA,2,FALSE),0)</f>
        <v>0</v>
      </c>
      <c r="AH469" s="65" t="s">
        <v>113</v>
      </c>
      <c r="AI469" s="63" t="str">
        <f>IFERROR(VLOOKUP(Table2[[#This Row],[Contraente]],Table1[[Nome/Ragione sociale]:[Checkbox selezionato]],2,FALSE),"-")</f>
        <v>SANTA CRISTINA E BISSONE</v>
      </c>
      <c r="AJ469" s="63">
        <f>IFERROR(VLOOKUP(Table2[[#This Row],[Contraente]],Table1[[Nome/Ragione sociale]:[Checkbox selezionato]],3,FALSE),"-")</f>
        <v>3315474576</v>
      </c>
      <c r="AK469" s="63">
        <f>IFERROR(VLOOKUP(Table2[[#This Row],[Contraente]],Table1[[Nome/Ragione sociale]:[Checkbox selezionato]],4,FALSE),"-")</f>
        <v>0</v>
      </c>
      <c r="AL469" s="63" t="str">
        <f>IFERROR(VLOOKUP(Table2[[#This Row],[Contraente]],Table1[[Nome/Ragione sociale]:[Checkbox selezionato]],5,FALSE),"-")</f>
        <v>CLAUDIO</v>
      </c>
      <c r="AM469" s="62">
        <f>IFERROR(VLOOKUP(Table2[[#This Row],[Contraente]],Table1[[Nome/Ragione sociale]:[Checkbox selezionato]],6,FALSE),"-")</f>
        <v>22972</v>
      </c>
      <c r="AN469" s="63" t="str">
        <f>IFERROR(VLOOKUP(Table2[[#This Row],[Contraente]],Table1[[Nome/Ragione sociale]:[Checkbox selezionato]],7,FALSE),"-")</f>
        <v>papies@libero.it</v>
      </c>
      <c r="AO469" s="63">
        <f>IFERROR(VLOOKUP(Table2[[#This Row],[Contraente]],Table1[[Nome/Ragione sociale]:[Checkbox selezionato]],8,FALSE),"-")</f>
        <v>0</v>
      </c>
      <c r="AP469" s="63">
        <f>IFERROR(VLOOKUP(Table2[[#This Row],[Contraente]],Table1[[Nome/Ragione sociale]:[Checkbox selezionato]],10,FALSE),"-")</f>
        <v>3315474576</v>
      </c>
      <c r="AQ469" s="63" t="str">
        <f>IFERROR(VLOOKUP(Table2[[#This Row],[Contraente]],Table1[[Nome/Ragione sociale]:[Checkbox selezionato]],11,FALSE),"-")</f>
        <v>SI</v>
      </c>
      <c r="AR469" s="63" t="str">
        <f>IFERROR(VLOOKUP(Table2[[#This Row],[Contraente]],Table1[[Nome/Ragione sociale]:[Checkbox selezionato]],12,FALSE),"-")</f>
        <v>SI</v>
      </c>
    </row>
    <row r="470" spans="1:44" ht="30" hidden="1" customHeight="1" x14ac:dyDescent="0.25">
      <c r="A470" s="60" t="str">
        <f>UPPER(LEFT(Table2[[#This Row],[Contraente]],1))</f>
        <v>F</v>
      </c>
      <c r="B470" s="60" t="s">
        <v>1634</v>
      </c>
      <c r="C470" s="81" t="s">
        <v>637</v>
      </c>
      <c r="D470" s="81" t="s">
        <v>37</v>
      </c>
      <c r="E470" s="86">
        <v>105536070</v>
      </c>
      <c r="F470" s="64">
        <v>42846</v>
      </c>
      <c r="G470" s="64">
        <f>IFERROR(CALCOLASCADENZA(Table2[[#This Row],[Data attivazione]],Table2[[#This Row],[Rateizzazione]],Table2[[#This Row],[Data ultimo pagamento]],Table2[[#This Row],[Data prossima scadenza manuale]]),"-")</f>
        <v>43024</v>
      </c>
      <c r="H470" s="67" t="s">
        <v>31</v>
      </c>
      <c r="I470" s="67" t="s">
        <v>1309</v>
      </c>
      <c r="J470" s="33">
        <f>IFERROR(Table2[[#This Row],[Importo annuale]]/(12/VLOOKUP(Table2[[#This Row],[Rateizzazione]],TIPI_RATEIZZAZIONI,2,FALSE)),"-")</f>
        <v>284</v>
      </c>
      <c r="K470" s="88">
        <v>284</v>
      </c>
      <c r="L470" s="88">
        <v>568</v>
      </c>
      <c r="M470" s="67" t="s">
        <v>44</v>
      </c>
      <c r="N470" s="67" t="s">
        <v>51</v>
      </c>
      <c r="O470" s="27" t="s">
        <v>1631</v>
      </c>
      <c r="P470" s="33" t="s">
        <v>22</v>
      </c>
      <c r="Q470" s="60">
        <f>IFERROR(IF(12 / VLOOKUP(Table2[[#This Row],[Rateizzazione]],TIPI_RATEIZZAZIONI,2,FALSE) &gt;=1,  IF(Table2[[#This Row],[Data attivazione]] = "","-",MONTH(Table2[[#This Row],[Data attivazione]])),"-"),"-")</f>
        <v>10</v>
      </c>
      <c r="R4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0" s="67" t="s">
        <v>2</v>
      </c>
      <c r="V470" s="62"/>
      <c r="W470" s="64">
        <v>42659</v>
      </c>
      <c r="X470" s="29">
        <f>DATE(YEAR(Table2[[#This Row],[Data attivazione]])+VLOOKUP(Table2[[#This Row],[Durata]],VALORE_DURATA,2,FALSE),MONTH(Table2[[#This Row],[Data attivazione]]),DAY(Table2[[#This Row],[Data attivazione]]))</f>
        <v>43024</v>
      </c>
      <c r="Y470" s="65"/>
      <c r="Z470" s="61"/>
      <c r="AA470" s="64" t="s">
        <v>85</v>
      </c>
      <c r="AB470" s="29" t="str">
        <f>IF(Table2[[#This Row],[Data ultimo versamento temp]]=0/1/1900,"-",Table2[[#This Row],[Data ultimo versamento temp]])</f>
        <v>-</v>
      </c>
      <c r="AC470" s="29">
        <f t="array" ref="AC470">MAX(IF(TableVersamenti[Polizza]=Table2[[#This Row],[Polizza]],TableVersamenti[Data prevista versamento],"-"))</f>
        <v>0</v>
      </c>
      <c r="AD470" s="62"/>
      <c r="AE470" s="106">
        <f>DATE(YEAR(Table2[[#This Row],[Data ultimo pagamento]]),MONTH(Table2[[#This Row],[Data ultimo pagamento]]), 1)</f>
        <v>42826</v>
      </c>
      <c r="AF470" s="106">
        <f>DATE(YEAR(Table2[[#This Row],[Data prossima scadenza]]),MONTH(Table2[[#This Row],[Data prossima scadenza]]), 1)</f>
        <v>43009</v>
      </c>
      <c r="AG470" s="33">
        <f>IFERROR(Table2[[#This Row],[Importo annuale]]*VLOOKUP(Table2[[#This Row],[Ramo]],RAMI_POLIZZA,2,FALSE),0)</f>
        <v>29.535999999999998</v>
      </c>
      <c r="AH470" s="65" t="s">
        <v>113</v>
      </c>
      <c r="AI470" s="63" t="str">
        <f>IFERROR(VLOOKUP(Table2[[#This Row],[Contraente]],Table1[[Nome/Ragione sociale]:[Checkbox selezionato]],2,FALSE),"-")</f>
        <v>SANTA CRISTINA E BISSONE</v>
      </c>
      <c r="AJ470" s="63">
        <f>IFERROR(VLOOKUP(Table2[[#This Row],[Contraente]],Table1[[Nome/Ragione sociale]:[Checkbox selezionato]],3,FALSE),"-")</f>
        <v>3315474576</v>
      </c>
      <c r="AK470" s="63">
        <f>IFERROR(VLOOKUP(Table2[[#This Row],[Contraente]],Table1[[Nome/Ragione sociale]:[Checkbox selezionato]],4,FALSE),"-")</f>
        <v>0</v>
      </c>
      <c r="AL470" s="63" t="str">
        <f>IFERROR(VLOOKUP(Table2[[#This Row],[Contraente]],Table1[[Nome/Ragione sociale]:[Checkbox selezionato]],5,FALSE),"-")</f>
        <v>CLAUDIO</v>
      </c>
      <c r="AM470" s="62">
        <f>IFERROR(VLOOKUP(Table2[[#This Row],[Contraente]],Table1[[Nome/Ragione sociale]:[Checkbox selezionato]],6,FALSE),"-")</f>
        <v>22972</v>
      </c>
      <c r="AN470" s="63" t="str">
        <f>IFERROR(VLOOKUP(Table2[[#This Row],[Contraente]],Table1[[Nome/Ragione sociale]:[Checkbox selezionato]],7,FALSE),"-")</f>
        <v>papies@libero.it</v>
      </c>
      <c r="AO470" s="63">
        <f>IFERROR(VLOOKUP(Table2[[#This Row],[Contraente]],Table1[[Nome/Ragione sociale]:[Checkbox selezionato]],8,FALSE),"-")</f>
        <v>0</v>
      </c>
      <c r="AP470" s="63">
        <f>IFERROR(VLOOKUP(Table2[[#This Row],[Contraente]],Table1[[Nome/Ragione sociale]:[Checkbox selezionato]],10,FALSE),"-")</f>
        <v>3315474576</v>
      </c>
      <c r="AQ470" s="63" t="str">
        <f>IFERROR(VLOOKUP(Table2[[#This Row],[Contraente]],Table1[[Nome/Ragione sociale]:[Checkbox selezionato]],11,FALSE),"-")</f>
        <v>SI</v>
      </c>
      <c r="AR470" s="63" t="str">
        <f>IFERROR(VLOOKUP(Table2[[#This Row],[Contraente]],Table1[[Nome/Ragione sociale]:[Checkbox selezionato]],12,FALSE),"-")</f>
        <v>SI</v>
      </c>
    </row>
    <row r="471" spans="1:44" ht="30" hidden="1" customHeight="1" x14ac:dyDescent="0.25">
      <c r="A471" s="60" t="str">
        <f>UPPER(LEFT(Table2[[#This Row],[Contraente]],1))</f>
        <v>F</v>
      </c>
      <c r="B471" s="60" t="s">
        <v>1634</v>
      </c>
      <c r="C471" s="81" t="s">
        <v>639</v>
      </c>
      <c r="D471" s="81" t="s">
        <v>37</v>
      </c>
      <c r="E471" s="86">
        <v>103057404</v>
      </c>
      <c r="F471" s="64">
        <v>42044</v>
      </c>
      <c r="G471" s="64">
        <f>IFERROR(CALCOLASCADENZA(Table2[[#This Row],[Data attivazione]],Table2[[#This Row],[Rateizzazione]],Table2[[#This Row],[Data ultimo pagamento]],Table2[[#This Row],[Data prossima scadenza manuale]]),"-")</f>
        <v>42044</v>
      </c>
      <c r="H471" s="67" t="s">
        <v>31</v>
      </c>
      <c r="I471" s="67"/>
      <c r="J471" s="33">
        <v>0</v>
      </c>
      <c r="K471" s="88"/>
      <c r="L471" s="88">
        <v>795</v>
      </c>
      <c r="M471" s="67" t="s">
        <v>44</v>
      </c>
      <c r="N471" s="67" t="s">
        <v>52</v>
      </c>
      <c r="O471" s="27" t="s">
        <v>1631</v>
      </c>
      <c r="P471" s="33" t="s">
        <v>24</v>
      </c>
      <c r="Q4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1" s="67" t="s">
        <v>2</v>
      </c>
      <c r="V471" s="62"/>
      <c r="W471" s="64">
        <v>693597</v>
      </c>
      <c r="X471" s="29">
        <f>DATE(YEAR(Table2[[#This Row],[Data attivazione]])+VLOOKUP(Table2[[#This Row],[Durata]],VALORE_DURATA,2,FALSE),MONTH(Table2[[#This Row],[Data attivazione]]),DAY(Table2[[#This Row],[Data attivazione]]))</f>
        <v>693962</v>
      </c>
      <c r="Y471" s="65"/>
      <c r="Z471" s="61"/>
      <c r="AA471" s="64" t="s">
        <v>88</v>
      </c>
      <c r="AB471" s="29" t="str">
        <f>IF(Table2[[#This Row],[Data ultimo versamento temp]]=0/1/1900,"-",Table2[[#This Row],[Data ultimo versamento temp]])</f>
        <v>-</v>
      </c>
      <c r="AC471" s="29">
        <f t="array" ref="AC471">MAX(IF(TableVersamenti[Polizza]=Table2[[#This Row],[Polizza]],TableVersamenti[Data prevista versamento],"-"))</f>
        <v>0</v>
      </c>
      <c r="AD471" s="62"/>
      <c r="AE471" s="106">
        <f>DATE(YEAR(Table2[[#This Row],[Data ultimo pagamento]]),MONTH(Table2[[#This Row],[Data ultimo pagamento]]), 1)</f>
        <v>42036</v>
      </c>
      <c r="AF471" s="106">
        <f>DATE(YEAR(Table2[[#This Row],[Data prossima scadenza]]),MONTH(Table2[[#This Row],[Data prossima scadenza]]), 1)</f>
        <v>42036</v>
      </c>
      <c r="AG471" s="33">
        <f>IFERROR(Table2[[#This Row],[Importo annuale]]*VLOOKUP(Table2[[#This Row],[Ramo]],RAMI_POLIZZA,2,FALSE),0)</f>
        <v>41.339999999999996</v>
      </c>
      <c r="AH471" s="65" t="s">
        <v>113</v>
      </c>
      <c r="AI471" s="63" t="str">
        <f>IFERROR(VLOOKUP(Table2[[#This Row],[Contraente]],Table1[[Nome/Ragione sociale]:[Checkbox selezionato]],2,FALSE),"-")</f>
        <v>CORVINO SAN QUIRICO</v>
      </c>
      <c r="AJ471" s="63">
        <f>IFERROR(VLOOKUP(Table2[[#This Row],[Contraente]],Table1[[Nome/Ragione sociale]:[Checkbox selezionato]],3,FALSE),"-")</f>
        <v>3332667956</v>
      </c>
      <c r="AK471" s="63">
        <f>IFERROR(VLOOKUP(Table2[[#This Row],[Contraente]],Table1[[Nome/Ragione sociale]:[Checkbox selezionato]],4,FALSE),"-")</f>
        <v>0</v>
      </c>
      <c r="AL471" s="63" t="str">
        <f>IFERROR(VLOOKUP(Table2[[#This Row],[Contraente]],Table1[[Nome/Ragione sociale]:[Checkbox selezionato]],5,FALSE),"-")</f>
        <v>FABIO</v>
      </c>
      <c r="AM471" s="62">
        <f>IFERROR(VLOOKUP(Table2[[#This Row],[Contraente]],Table1[[Nome/Ragione sociale]:[Checkbox selezionato]],6,FALSE),"-")</f>
        <v>27577</v>
      </c>
      <c r="AN471" s="63" t="str">
        <f>IFERROR(VLOOKUP(Table2[[#This Row],[Contraente]],Table1[[Nome/Ragione sociale]:[Checkbox selezionato]],7,FALSE),"-")</f>
        <v>papies@email.it</v>
      </c>
      <c r="AO471" s="63">
        <f>IFERROR(VLOOKUP(Table2[[#This Row],[Contraente]],Table1[[Nome/Ragione sociale]:[Checkbox selezionato]],8,FALSE),"-")</f>
        <v>0</v>
      </c>
      <c r="AP471" s="63">
        <f>IFERROR(VLOOKUP(Table2[[#This Row],[Contraente]],Table1[[Nome/Ragione sociale]:[Checkbox selezionato]],10,FALSE),"-")</f>
        <v>3332667956</v>
      </c>
      <c r="AQ471" s="63" t="str">
        <f>IFERROR(VLOOKUP(Table2[[#This Row],[Contraente]],Table1[[Nome/Ragione sociale]:[Checkbox selezionato]],11,FALSE),"-")</f>
        <v>SI</v>
      </c>
      <c r="AR471" s="63" t="str">
        <f>IFERROR(VLOOKUP(Table2[[#This Row],[Contraente]],Table1[[Nome/Ragione sociale]:[Checkbox selezionato]],12,FALSE),"-")</f>
        <v>SI</v>
      </c>
    </row>
    <row r="472" spans="1:44" ht="30" hidden="1" customHeight="1" x14ac:dyDescent="0.25">
      <c r="A472" s="60" t="str">
        <f>UPPER(LEFT(Table2[[#This Row],[Contraente]],1))</f>
        <v>F</v>
      </c>
      <c r="B472" s="60" t="s">
        <v>1634</v>
      </c>
      <c r="C472" s="81" t="s">
        <v>640</v>
      </c>
      <c r="D472" s="81" t="s">
        <v>37</v>
      </c>
      <c r="E472" s="86">
        <v>106449398</v>
      </c>
      <c r="F472" s="64">
        <v>42758</v>
      </c>
      <c r="G472" s="64">
        <f>IFERROR(CALCOLASCADENZA(Table2[[#This Row],[Data attivazione]],Table2[[#This Row],[Rateizzazione]],Table2[[#This Row],[Data ultimo pagamento]],Table2[[#This Row],[Data prossima scadenza manuale]]),"-")</f>
        <v>42758</v>
      </c>
      <c r="H472" s="67" t="s">
        <v>31</v>
      </c>
      <c r="I472" s="67" t="s">
        <v>1311</v>
      </c>
      <c r="J472" s="33">
        <v>447.35</v>
      </c>
      <c r="K472" s="88">
        <v>447.35</v>
      </c>
      <c r="L472" s="88">
        <v>894.9</v>
      </c>
      <c r="M472" s="67" t="s">
        <v>43</v>
      </c>
      <c r="N472" s="67" t="s">
        <v>52</v>
      </c>
      <c r="O472" s="27" t="s">
        <v>1631</v>
      </c>
      <c r="P472" s="33" t="s">
        <v>24</v>
      </c>
      <c r="Q4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2" s="67" t="s">
        <v>2</v>
      </c>
      <c r="V472" s="62"/>
      <c r="W472" s="64">
        <v>42574</v>
      </c>
      <c r="X472" s="29">
        <f>DATE(YEAR(Table2[[#This Row],[Data attivazione]])+VLOOKUP(Table2[[#This Row],[Durata]],VALORE_DURATA,2,FALSE),MONTH(Table2[[#This Row],[Data attivazione]]),DAY(Table2[[#This Row],[Data attivazione]]))</f>
        <v>42939</v>
      </c>
      <c r="Y472" s="65"/>
      <c r="Z472" s="61"/>
      <c r="AA472" s="64" t="s">
        <v>85</v>
      </c>
      <c r="AB472" s="29" t="str">
        <f>IF(Table2[[#This Row],[Data ultimo versamento temp]]=0/1/1900,"-",Table2[[#This Row],[Data ultimo versamento temp]])</f>
        <v>-</v>
      </c>
      <c r="AC472" s="29">
        <f t="array" ref="AC472">MAX(IF(TableVersamenti[Polizza]=Table2[[#This Row],[Polizza]],TableVersamenti[Data prevista versamento],"-"))</f>
        <v>0</v>
      </c>
      <c r="AD472" s="62"/>
      <c r="AE472" s="106">
        <f>DATE(YEAR(Table2[[#This Row],[Data ultimo pagamento]]),MONTH(Table2[[#This Row],[Data ultimo pagamento]]), 1)</f>
        <v>42736</v>
      </c>
      <c r="AF472" s="106">
        <f>DATE(YEAR(Table2[[#This Row],[Data prossima scadenza]]),MONTH(Table2[[#This Row],[Data prossima scadenza]]), 1)</f>
        <v>42736</v>
      </c>
      <c r="AG472" s="33">
        <f>IFERROR(Table2[[#This Row],[Importo annuale]]*VLOOKUP(Table2[[#This Row],[Ramo]],RAMI_POLIZZA,2,FALSE),0)</f>
        <v>46.534799999999997</v>
      </c>
      <c r="AH472" s="65" t="s">
        <v>113</v>
      </c>
      <c r="AI472" s="63" t="str">
        <f>IFERROR(VLOOKUP(Table2[[#This Row],[Contraente]],Table1[[Nome/Ragione sociale]:[Checkbox selezionato]],2,FALSE),"-")</f>
        <v>CHIGNOLO PO</v>
      </c>
      <c r="AJ472" s="63">
        <f>IFERROR(VLOOKUP(Table2[[#This Row],[Contraente]],Table1[[Nome/Ragione sociale]:[Checkbox selezionato]],3,FALSE),"-")</f>
        <v>3343672351</v>
      </c>
      <c r="AK472" s="63">
        <f>IFERROR(VLOOKUP(Table2[[#This Row],[Contraente]],Table1[[Nome/Ragione sociale]:[Checkbox selezionato]],4,FALSE),"-")</f>
        <v>0</v>
      </c>
      <c r="AL472" s="63" t="str">
        <f>IFERROR(VLOOKUP(Table2[[#This Row],[Contraente]],Table1[[Nome/Ragione sociale]:[Checkbox selezionato]],5,FALSE),"-")</f>
        <v>SILVIA</v>
      </c>
      <c r="AM472" s="62">
        <f>IFERROR(VLOOKUP(Table2[[#This Row],[Contraente]],Table1[[Nome/Ragione sociale]:[Checkbox selezionato]],6,FALSE),"-")</f>
        <v>35520</v>
      </c>
      <c r="AN472" s="63" t="str">
        <f>IFERROR(VLOOKUP(Table2[[#This Row],[Contraente]],Table1[[Nome/Ragione sociale]:[Checkbox selezionato]],7,FALSE),"-")</f>
        <v>papies@libero.it</v>
      </c>
      <c r="AO472" s="63">
        <f>IFERROR(VLOOKUP(Table2[[#This Row],[Contraente]],Table1[[Nome/Ragione sociale]:[Checkbox selezionato]],8,FALSE),"-")</f>
        <v>0</v>
      </c>
      <c r="AP472" s="63">
        <f>IFERROR(VLOOKUP(Table2[[#This Row],[Contraente]],Table1[[Nome/Ragione sociale]:[Checkbox selezionato]],10,FALSE),"-")</f>
        <v>3343672351</v>
      </c>
      <c r="AQ472" s="63" t="str">
        <f>IFERROR(VLOOKUP(Table2[[#This Row],[Contraente]],Table1[[Nome/Ragione sociale]:[Checkbox selezionato]],11,FALSE),"-")</f>
        <v>SI</v>
      </c>
      <c r="AR472" s="63" t="str">
        <f>IFERROR(VLOOKUP(Table2[[#This Row],[Contraente]],Table1[[Nome/Ragione sociale]:[Checkbox selezionato]],12,FALSE),"-")</f>
        <v>SI</v>
      </c>
    </row>
    <row r="473" spans="1:44" ht="30" hidden="1" customHeight="1" x14ac:dyDescent="0.25">
      <c r="A473" s="60" t="str">
        <f>UPPER(LEFT(Table2[[#This Row],[Contraente]],1))</f>
        <v>F</v>
      </c>
      <c r="B473" s="60" t="s">
        <v>1634</v>
      </c>
      <c r="C473" s="81" t="s">
        <v>642</v>
      </c>
      <c r="D473" s="81" t="s">
        <v>37</v>
      </c>
      <c r="E473" s="86">
        <v>104679814</v>
      </c>
      <c r="F473" s="64">
        <v>42923</v>
      </c>
      <c r="G473" s="64">
        <f>IFERROR(CALCOLASCADENZA(Table2[[#This Row],[Data attivazione]],Table2[[#This Row],[Rateizzazione]],Table2[[#This Row],[Data ultimo pagamento]],Table2[[#This Row],[Data prossima scadenza manuale]]),"-")</f>
        <v>43303</v>
      </c>
      <c r="H473" s="67" t="s">
        <v>30</v>
      </c>
      <c r="I473" s="67" t="s">
        <v>113</v>
      </c>
      <c r="J473" s="33">
        <f>IFERROR(Table2[[#This Row],[Importo annuale]]/(12/VLOOKUP(Table2[[#This Row],[Rateizzazione]],TIPI_RATEIZZAZIONI,2,FALSE)),"-")</f>
        <v>197</v>
      </c>
      <c r="K473" s="88">
        <v>197</v>
      </c>
      <c r="L473" s="88">
        <v>197</v>
      </c>
      <c r="M473" s="67" t="s">
        <v>44</v>
      </c>
      <c r="N473" s="67" t="s">
        <v>51</v>
      </c>
      <c r="O473" s="27" t="s">
        <v>1631</v>
      </c>
      <c r="P473" s="33" t="s">
        <v>23</v>
      </c>
      <c r="Q473" s="60">
        <f>IFERROR(IF(12 / VLOOKUP(Table2[[#This Row],[Rateizzazione]],TIPI_RATEIZZAZIONI,2,FALSE) &gt;=1,  IF(Table2[[#This Row],[Data attivazione]] = "","-",MONTH(Table2[[#This Row],[Data attivazione]])),"-"),"-")</f>
        <v>7</v>
      </c>
      <c r="R4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3" s="67" t="s">
        <v>2</v>
      </c>
      <c r="V473" s="62"/>
      <c r="W473" s="64">
        <v>42938</v>
      </c>
      <c r="X473" s="29">
        <f>DATE(YEAR(Table2[[#This Row],[Data attivazione]])+VLOOKUP(Table2[[#This Row],[Durata]],VALORE_DURATA,2,FALSE),MONTH(Table2[[#This Row],[Data attivazione]]),DAY(Table2[[#This Row],[Data attivazione]]))</f>
        <v>43303</v>
      </c>
      <c r="Y473" s="65"/>
      <c r="Z473" s="61"/>
      <c r="AA473" s="64" t="s">
        <v>85</v>
      </c>
      <c r="AB473" s="29">
        <f>IF(Table2[[#This Row],[Data ultimo versamento temp]]=0/1/1900,"-",Table2[[#This Row],[Data ultimo versamento temp]])</f>
        <v>42926</v>
      </c>
      <c r="AC473" s="29">
        <f t="array" ref="AC473">MAX(IF(TableVersamenti[Polizza]=Table2[[#This Row],[Polizza]],TableVersamenti[Data prevista versamento],"-"))</f>
        <v>42926</v>
      </c>
      <c r="AD473" s="62"/>
      <c r="AE473" s="106">
        <f>DATE(YEAR(Table2[[#This Row],[Data ultimo pagamento]]),MONTH(Table2[[#This Row],[Data ultimo pagamento]]), 1)</f>
        <v>42917</v>
      </c>
      <c r="AF473" s="106">
        <f>DATE(YEAR(Table2[[#This Row],[Data prossima scadenza]]),MONTH(Table2[[#This Row],[Data prossima scadenza]]), 1)</f>
        <v>43282</v>
      </c>
      <c r="AG473" s="33">
        <f>IFERROR(Table2[[#This Row],[Importo annuale]]*VLOOKUP(Table2[[#This Row],[Ramo]],RAMI_POLIZZA,2,FALSE),0)</f>
        <v>22.655000000000001</v>
      </c>
      <c r="AH473" s="65" t="s">
        <v>113</v>
      </c>
      <c r="AI473" s="63" t="str">
        <f>IFERROR(VLOOKUP(Table2[[#This Row],[Contraente]],Table1[[Nome/Ragione sociale]:[Checkbox selezionato]],2,FALSE),"-")</f>
        <v>LINAROLO</v>
      </c>
      <c r="AJ473" s="63">
        <f>IFERROR(VLOOKUP(Table2[[#This Row],[Contraente]],Table1[[Nome/Ragione sociale]:[Checkbox selezionato]],3,FALSE),"-")</f>
        <v>3389157320</v>
      </c>
      <c r="AK473" s="63">
        <f>IFERROR(VLOOKUP(Table2[[#This Row],[Contraente]],Table1[[Nome/Ragione sociale]:[Checkbox selezionato]],4,FALSE),"-")</f>
        <v>0</v>
      </c>
      <c r="AL473" s="63" t="str">
        <f>IFERROR(VLOOKUP(Table2[[#This Row],[Contraente]],Table1[[Nome/Ragione sociale]:[Checkbox selezionato]],5,FALSE),"-")</f>
        <v>STEFANO</v>
      </c>
      <c r="AM473" s="62">
        <f>IFERROR(VLOOKUP(Table2[[#This Row],[Contraente]],Table1[[Nome/Ragione sociale]:[Checkbox selezionato]],6,FALSE),"-")</f>
        <v>23419</v>
      </c>
      <c r="AN473" s="63" t="str">
        <f>IFERROR(VLOOKUP(Table2[[#This Row],[Contraente]],Table1[[Nome/Ragione sociale]:[Checkbox selezionato]],7,FALSE),"-")</f>
        <v>papies@libero.it</v>
      </c>
      <c r="AO473" s="63">
        <f>IFERROR(VLOOKUP(Table2[[#This Row],[Contraente]],Table1[[Nome/Ragione sociale]:[Checkbox selezionato]],8,FALSE),"-")</f>
        <v>0</v>
      </c>
      <c r="AP473" s="63">
        <f>IFERROR(VLOOKUP(Table2[[#This Row],[Contraente]],Table1[[Nome/Ragione sociale]:[Checkbox selezionato]],10,FALSE),"-")</f>
        <v>3389157320</v>
      </c>
      <c r="AQ473" s="63" t="str">
        <f>IFERROR(VLOOKUP(Table2[[#This Row],[Contraente]],Table1[[Nome/Ragione sociale]:[Checkbox selezionato]],11,FALSE),"-")</f>
        <v>SI</v>
      </c>
      <c r="AR473" s="63" t="str">
        <f>IFERROR(VLOOKUP(Table2[[#This Row],[Contraente]],Table1[[Nome/Ragione sociale]:[Checkbox selezionato]],12,FALSE),"-")</f>
        <v>SI</v>
      </c>
    </row>
    <row r="474" spans="1:44" ht="30" hidden="1" customHeight="1" x14ac:dyDescent="0.25">
      <c r="A474" s="60" t="str">
        <f>UPPER(LEFT(Table2[[#This Row],[Contraente]],1))</f>
        <v>F</v>
      </c>
      <c r="B474" s="60" t="s">
        <v>1634</v>
      </c>
      <c r="C474" s="81" t="s">
        <v>642</v>
      </c>
      <c r="D474" s="81" t="s">
        <v>37</v>
      </c>
      <c r="E474" s="86">
        <v>107075050</v>
      </c>
      <c r="F474" s="64">
        <v>42923</v>
      </c>
      <c r="G474" s="64">
        <f>IFERROR(CALCOLASCADENZA(Table2[[#This Row],[Data attivazione]],Table2[[#This Row],[Rateizzazione]],Table2[[#This Row],[Data ultimo pagamento]],Table2[[#This Row],[Data prossima scadenza manuale]]),"-")</f>
        <v>43301</v>
      </c>
      <c r="H474" s="67" t="s">
        <v>31</v>
      </c>
      <c r="I474" s="67" t="s">
        <v>1312</v>
      </c>
      <c r="J474" s="33">
        <v>1340</v>
      </c>
      <c r="K474" s="88">
        <v>1340</v>
      </c>
      <c r="L474" s="88">
        <v>1340</v>
      </c>
      <c r="M474" s="67" t="s">
        <v>44</v>
      </c>
      <c r="N474" s="67" t="s">
        <v>51</v>
      </c>
      <c r="O474" s="27" t="s">
        <v>1631</v>
      </c>
      <c r="P474" s="33" t="s">
        <v>23</v>
      </c>
      <c r="Q474" s="60">
        <f>IFERROR(IF(12 / VLOOKUP(Table2[[#This Row],[Rateizzazione]],TIPI_RATEIZZAZIONI,2,FALSE) &gt;=1,  IF(Table2[[#This Row],[Data attivazione]] = "","-",MONTH(Table2[[#This Row],[Data attivazione]])),"-"),"-")</f>
        <v>7</v>
      </c>
      <c r="R4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4" s="67" t="s">
        <v>2</v>
      </c>
      <c r="V474" s="62"/>
      <c r="W474" s="64">
        <v>42936</v>
      </c>
      <c r="X474" s="29">
        <f>DATE(YEAR(Table2[[#This Row],[Data attivazione]])+VLOOKUP(Table2[[#This Row],[Durata]],VALORE_DURATA,2,FALSE),MONTH(Table2[[#This Row],[Data attivazione]]),DAY(Table2[[#This Row],[Data attivazione]]))</f>
        <v>43301</v>
      </c>
      <c r="Y474" s="65"/>
      <c r="Z474" s="61"/>
      <c r="AA474" s="64" t="s">
        <v>85</v>
      </c>
      <c r="AB474" s="29">
        <f>IF(Table2[[#This Row],[Data ultimo versamento temp]]=0/1/1900,"-",Table2[[#This Row],[Data ultimo versamento temp]])</f>
        <v>42926</v>
      </c>
      <c r="AC474" s="29">
        <f t="array" ref="AC474">MAX(IF(TableVersamenti[Polizza]=Table2[[#This Row],[Polizza]],TableVersamenti[Data prevista versamento],"-"))</f>
        <v>42926</v>
      </c>
      <c r="AD474" s="62"/>
      <c r="AE474" s="106">
        <f>DATE(YEAR(Table2[[#This Row],[Data ultimo pagamento]]),MONTH(Table2[[#This Row],[Data ultimo pagamento]]), 1)</f>
        <v>42917</v>
      </c>
      <c r="AF474" s="106">
        <f>DATE(YEAR(Table2[[#This Row],[Data prossima scadenza]]),MONTH(Table2[[#This Row],[Data prossima scadenza]]), 1)</f>
        <v>43282</v>
      </c>
      <c r="AG474" s="33">
        <f>IFERROR(Table2[[#This Row],[Importo annuale]]*VLOOKUP(Table2[[#This Row],[Ramo]],RAMI_POLIZZA,2,FALSE),0)</f>
        <v>69.679999999999993</v>
      </c>
      <c r="AH474" s="65" t="s">
        <v>113</v>
      </c>
      <c r="AI474" s="63" t="str">
        <f>IFERROR(VLOOKUP(Table2[[#This Row],[Contraente]],Table1[[Nome/Ragione sociale]:[Checkbox selezionato]],2,FALSE),"-")</f>
        <v>LINAROLO</v>
      </c>
      <c r="AJ474" s="63">
        <f>IFERROR(VLOOKUP(Table2[[#This Row],[Contraente]],Table1[[Nome/Ragione sociale]:[Checkbox selezionato]],3,FALSE),"-")</f>
        <v>3389157320</v>
      </c>
      <c r="AK474" s="63">
        <f>IFERROR(VLOOKUP(Table2[[#This Row],[Contraente]],Table1[[Nome/Ragione sociale]:[Checkbox selezionato]],4,FALSE),"-")</f>
        <v>0</v>
      </c>
      <c r="AL474" s="63" t="str">
        <f>IFERROR(VLOOKUP(Table2[[#This Row],[Contraente]],Table1[[Nome/Ragione sociale]:[Checkbox selezionato]],5,FALSE),"-")</f>
        <v>STEFANO</v>
      </c>
      <c r="AM474" s="62">
        <f>IFERROR(VLOOKUP(Table2[[#This Row],[Contraente]],Table1[[Nome/Ragione sociale]:[Checkbox selezionato]],6,FALSE),"-")</f>
        <v>23419</v>
      </c>
      <c r="AN474" s="63" t="str">
        <f>IFERROR(VLOOKUP(Table2[[#This Row],[Contraente]],Table1[[Nome/Ragione sociale]:[Checkbox selezionato]],7,FALSE),"-")</f>
        <v>papies@libero.it</v>
      </c>
      <c r="AO474" s="63">
        <f>IFERROR(VLOOKUP(Table2[[#This Row],[Contraente]],Table1[[Nome/Ragione sociale]:[Checkbox selezionato]],8,FALSE),"-")</f>
        <v>0</v>
      </c>
      <c r="AP474" s="63">
        <f>IFERROR(VLOOKUP(Table2[[#This Row],[Contraente]],Table1[[Nome/Ragione sociale]:[Checkbox selezionato]],10,FALSE),"-")</f>
        <v>3389157320</v>
      </c>
      <c r="AQ474" s="63" t="str">
        <f>IFERROR(VLOOKUP(Table2[[#This Row],[Contraente]],Table1[[Nome/Ragione sociale]:[Checkbox selezionato]],11,FALSE),"-")</f>
        <v>SI</v>
      </c>
      <c r="AR474" s="63" t="str">
        <f>IFERROR(VLOOKUP(Table2[[#This Row],[Contraente]],Table1[[Nome/Ragione sociale]:[Checkbox selezionato]],12,FALSE),"-")</f>
        <v>SI</v>
      </c>
    </row>
    <row r="475" spans="1:44" ht="30" hidden="1" customHeight="1" x14ac:dyDescent="0.25">
      <c r="A475" s="60" t="str">
        <f>UPPER(LEFT(Table2[[#This Row],[Contraente]],1))</f>
        <v>F</v>
      </c>
      <c r="B475" s="60" t="s">
        <v>1634</v>
      </c>
      <c r="C475" s="81" t="s">
        <v>643</v>
      </c>
      <c r="D475" s="81" t="s">
        <v>37</v>
      </c>
      <c r="E475" s="86">
        <v>105821637</v>
      </c>
      <c r="F475" s="64">
        <v>42923</v>
      </c>
      <c r="G475" s="64">
        <f>IFERROR(CALCOLASCADENZA(Table2[[#This Row],[Data attivazione]],Table2[[#This Row],[Rateizzazione]],Table2[[#This Row],[Data ultimo pagamento]],Table2[[#This Row],[Data prossima scadenza manuale]]),"-")</f>
        <v>43303</v>
      </c>
      <c r="H475" s="67" t="s">
        <v>30</v>
      </c>
      <c r="I475" s="67" t="s">
        <v>113</v>
      </c>
      <c r="J475" s="33">
        <f>IFERROR(Table2[[#This Row],[Importo annuale]]/(12/VLOOKUP(Table2[[#This Row],[Rateizzazione]],TIPI_RATEIZZAZIONI,2,FALSE)),"-")</f>
        <v>220</v>
      </c>
      <c r="K475" s="88">
        <v>220</v>
      </c>
      <c r="L475" s="88">
        <v>220</v>
      </c>
      <c r="M475" s="67" t="s">
        <v>44</v>
      </c>
      <c r="N475" s="67" t="s">
        <v>51</v>
      </c>
      <c r="O475" s="27" t="s">
        <v>1631</v>
      </c>
      <c r="P475" s="33" t="s">
        <v>23</v>
      </c>
      <c r="Q475" s="60">
        <f>IFERROR(IF(12 / VLOOKUP(Table2[[#This Row],[Rateizzazione]],TIPI_RATEIZZAZIONI,2,FALSE) &gt;=1,  IF(Table2[[#This Row],[Data attivazione]] = "","-",MONTH(Table2[[#This Row],[Data attivazione]])),"-"),"-")</f>
        <v>7</v>
      </c>
      <c r="R4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5" s="67" t="s">
        <v>2</v>
      </c>
      <c r="V475" s="62"/>
      <c r="W475" s="64">
        <v>42938</v>
      </c>
      <c r="X475" s="29">
        <f>DATE(YEAR(Table2[[#This Row],[Data attivazione]])+VLOOKUP(Table2[[#This Row],[Durata]],VALORE_DURATA,2,FALSE),MONTH(Table2[[#This Row],[Data attivazione]]),DAY(Table2[[#This Row],[Data attivazione]]))</f>
        <v>43303</v>
      </c>
      <c r="Y475" s="65"/>
      <c r="Z475" s="61"/>
      <c r="AA475" s="64" t="s">
        <v>85</v>
      </c>
      <c r="AB475" s="29">
        <f>IF(Table2[[#This Row],[Data ultimo versamento temp]]=0/1/1900,"-",Table2[[#This Row],[Data ultimo versamento temp]])</f>
        <v>42926</v>
      </c>
      <c r="AC475" s="29">
        <f t="array" ref="AC475">MAX(IF(TableVersamenti[Polizza]=Table2[[#This Row],[Polizza]],TableVersamenti[Data prevista versamento],"-"))</f>
        <v>42926</v>
      </c>
      <c r="AD475" s="62"/>
      <c r="AE475" s="106">
        <f>DATE(YEAR(Table2[[#This Row],[Data ultimo pagamento]]),MONTH(Table2[[#This Row],[Data ultimo pagamento]]), 1)</f>
        <v>42917</v>
      </c>
      <c r="AF475" s="106">
        <f>DATE(YEAR(Table2[[#This Row],[Data prossima scadenza]]),MONTH(Table2[[#This Row],[Data prossima scadenza]]), 1)</f>
        <v>43282</v>
      </c>
      <c r="AG475" s="33">
        <f>IFERROR(Table2[[#This Row],[Importo annuale]]*VLOOKUP(Table2[[#This Row],[Ramo]],RAMI_POLIZZA,2,FALSE),0)</f>
        <v>25.3</v>
      </c>
      <c r="AH475" s="65" t="s">
        <v>113</v>
      </c>
      <c r="AI475" s="63" t="str">
        <f>IFERROR(VLOOKUP(Table2[[#This Row],[Contraente]],Table1[[Nome/Ragione sociale]:[Checkbox selezionato]],2,FALSE),"-")</f>
        <v>LINAROLO</v>
      </c>
      <c r="AJ475" s="63">
        <f>IFERROR(VLOOKUP(Table2[[#This Row],[Contraente]],Table1[[Nome/Ragione sociale]:[Checkbox selezionato]],3,FALSE),"-")</f>
        <v>3389157320</v>
      </c>
      <c r="AK475" s="63" t="str">
        <f>IFERROR(VLOOKUP(Table2[[#This Row],[Contraente]],Table1[[Nome/Ragione sociale]:[Checkbox selezionato]],4,FALSE),"-")</f>
        <v>.0382579184</v>
      </c>
      <c r="AL475" s="63" t="str">
        <f>IFERROR(VLOOKUP(Table2[[#This Row],[Contraente]],Table1[[Nome/Ragione sociale]:[Checkbox selezionato]],5,FALSE),"-")</f>
        <v xml:space="preserve">STEFANO </v>
      </c>
      <c r="AM475" s="62" t="str">
        <f>IFERROR(VLOOKUP(Table2[[#This Row],[Contraente]],Table1[[Nome/Ragione sociale]:[Checkbox selezionato]],6,FALSE),"-")</f>
        <v>-</v>
      </c>
      <c r="AN475" s="63" t="str">
        <f>IFERROR(VLOOKUP(Table2[[#This Row],[Contraente]],Table1[[Nome/Ragione sociale]:[Checkbox selezionato]],7,FALSE),"-")</f>
        <v>papies@email.it</v>
      </c>
      <c r="AO475" s="63">
        <f>IFERROR(VLOOKUP(Table2[[#This Row],[Contraente]],Table1[[Nome/Ragione sociale]:[Checkbox selezionato]],8,FALSE),"-")</f>
        <v>0</v>
      </c>
      <c r="AP475" s="63">
        <f>IFERROR(VLOOKUP(Table2[[#This Row],[Contraente]],Table1[[Nome/Ragione sociale]:[Checkbox selezionato]],10,FALSE),"-")</f>
        <v>3389157320</v>
      </c>
      <c r="AQ475" s="63" t="str">
        <f>IFERROR(VLOOKUP(Table2[[#This Row],[Contraente]],Table1[[Nome/Ragione sociale]:[Checkbox selezionato]],11,FALSE),"-")</f>
        <v>SI</v>
      </c>
      <c r="AR475" s="63" t="str">
        <f>IFERROR(VLOOKUP(Table2[[#This Row],[Contraente]],Table1[[Nome/Ragione sociale]:[Checkbox selezionato]],12,FALSE),"-")</f>
        <v>SI</v>
      </c>
    </row>
    <row r="476" spans="1:44" ht="30" hidden="1" customHeight="1" x14ac:dyDescent="0.25">
      <c r="A476" s="60" t="str">
        <f>UPPER(LEFT(Table2[[#This Row],[Contraente]],1))</f>
        <v>F</v>
      </c>
      <c r="B476" s="60" t="s">
        <v>1634</v>
      </c>
      <c r="C476" s="81" t="s">
        <v>646</v>
      </c>
      <c r="D476" s="81" t="s">
        <v>37</v>
      </c>
      <c r="E476" s="86">
        <v>106891318</v>
      </c>
      <c r="F476" s="64">
        <v>42877</v>
      </c>
      <c r="G476" s="64">
        <f>IFERROR(CALCOLASCADENZA(Table2[[#This Row],[Data attivazione]],Table2[[#This Row],[Rateizzazione]],Table2[[#This Row],[Data ultimo pagamento]],Table2[[#This Row],[Data prossima scadenza manuale]]),"-")</f>
        <v>42877</v>
      </c>
      <c r="H476" s="67" t="s">
        <v>31</v>
      </c>
      <c r="I476" s="67" t="s">
        <v>1751</v>
      </c>
      <c r="J476" s="33">
        <v>31</v>
      </c>
      <c r="K476" s="88">
        <v>223</v>
      </c>
      <c r="L476" s="88">
        <v>612</v>
      </c>
      <c r="M476" s="67" t="s">
        <v>43</v>
      </c>
      <c r="N476" s="67" t="s">
        <v>52</v>
      </c>
      <c r="O476" s="27" t="s">
        <v>1631</v>
      </c>
      <c r="P476" s="33" t="s">
        <v>24</v>
      </c>
      <c r="Q47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6" s="67" t="s">
        <v>2</v>
      </c>
      <c r="V476" s="62"/>
      <c r="W476" s="64">
        <v>42595</v>
      </c>
      <c r="X476" s="29">
        <f>DATE(YEAR(Table2[[#This Row],[Data attivazione]])+VLOOKUP(Table2[[#This Row],[Durata]],VALORE_DURATA,2,FALSE),MONTH(Table2[[#This Row],[Data attivazione]]),DAY(Table2[[#This Row],[Data attivazione]]))</f>
        <v>42960</v>
      </c>
      <c r="Y476" s="65"/>
      <c r="Z476" s="61"/>
      <c r="AA476" s="64" t="s">
        <v>85</v>
      </c>
      <c r="AB476" s="29" t="str">
        <f>IF(Table2[[#This Row],[Data ultimo versamento temp]]=0/1/1900,"-",Table2[[#This Row],[Data ultimo versamento temp]])</f>
        <v>-</v>
      </c>
      <c r="AC476" s="29">
        <f t="array" ref="AC476">MAX(IF(TableVersamenti[Polizza]=Table2[[#This Row],[Polizza]],TableVersamenti[Data prevista versamento],"-"))</f>
        <v>0</v>
      </c>
      <c r="AD476" s="62"/>
      <c r="AE476" s="106">
        <f>DATE(YEAR(Table2[[#This Row],[Data ultimo pagamento]]),MONTH(Table2[[#This Row],[Data ultimo pagamento]]), 1)</f>
        <v>42856</v>
      </c>
      <c r="AF476" s="106">
        <f>DATE(YEAR(Table2[[#This Row],[Data prossima scadenza]]),MONTH(Table2[[#This Row],[Data prossima scadenza]]), 1)</f>
        <v>42856</v>
      </c>
      <c r="AG476" s="33">
        <f>IFERROR(Table2[[#This Row],[Importo annuale]]*VLOOKUP(Table2[[#This Row],[Ramo]],RAMI_POLIZZA,2,FALSE),0)</f>
        <v>31.823999999999998</v>
      </c>
      <c r="AH476" s="65" t="s">
        <v>113</v>
      </c>
      <c r="AI476" s="63" t="str">
        <f>IFERROR(VLOOKUP(Table2[[#This Row],[Contraente]],Table1[[Nome/Ragione sociale]:[Checkbox selezionato]],2,FALSE),"-")</f>
        <v>CORTEOLONA</v>
      </c>
      <c r="AJ476" s="63">
        <f>IFERROR(VLOOKUP(Table2[[#This Row],[Contraente]],Table1[[Nome/Ragione sociale]:[Checkbox selezionato]],3,FALSE),"-")</f>
        <v>3470592084</v>
      </c>
      <c r="AK476" s="63">
        <f>IFERROR(VLOOKUP(Table2[[#This Row],[Contraente]],Table1[[Nome/Ragione sociale]:[Checkbox selezionato]],4,FALSE),"-")</f>
        <v>0</v>
      </c>
      <c r="AL476" s="63" t="str">
        <f>IFERROR(VLOOKUP(Table2[[#This Row],[Contraente]],Table1[[Nome/Ragione sociale]:[Checkbox selezionato]],5,FALSE),"-")</f>
        <v>SEBASTIANO</v>
      </c>
      <c r="AM476" s="62">
        <f>IFERROR(VLOOKUP(Table2[[#This Row],[Contraente]],Table1[[Nome/Ragione sociale]:[Checkbox selezionato]],6,FALSE),"-")</f>
        <v>23743</v>
      </c>
      <c r="AN476" s="63" t="str">
        <f>IFERROR(VLOOKUP(Table2[[#This Row],[Contraente]],Table1[[Nome/Ragione sociale]:[Checkbox selezionato]],7,FALSE),"-")</f>
        <v>papies@libero.it</v>
      </c>
      <c r="AO476" s="63">
        <f>IFERROR(VLOOKUP(Table2[[#This Row],[Contraente]],Table1[[Nome/Ragione sociale]:[Checkbox selezionato]],8,FALSE),"-")</f>
        <v>0</v>
      </c>
      <c r="AP476" s="63">
        <f>IFERROR(VLOOKUP(Table2[[#This Row],[Contraente]],Table1[[Nome/Ragione sociale]:[Checkbox selezionato]],10,FALSE),"-")</f>
        <v>3470592084</v>
      </c>
      <c r="AQ476" s="63" t="str">
        <f>IFERROR(VLOOKUP(Table2[[#This Row],[Contraente]],Table1[[Nome/Ragione sociale]:[Checkbox selezionato]],11,FALSE),"-")</f>
        <v>SI</v>
      </c>
      <c r="AR476" s="63" t="str">
        <f>IFERROR(VLOOKUP(Table2[[#This Row],[Contraente]],Table1[[Nome/Ragione sociale]:[Checkbox selezionato]],12,FALSE),"-")</f>
        <v>SI</v>
      </c>
    </row>
    <row r="477" spans="1:44" ht="30" hidden="1" customHeight="1" x14ac:dyDescent="0.25">
      <c r="A477" s="60" t="str">
        <f>UPPER(LEFT(Table2[[#This Row],[Contraente]],1))</f>
        <v>F</v>
      </c>
      <c r="B477" s="60" t="s">
        <v>1634</v>
      </c>
      <c r="C477" s="81" t="s">
        <v>648</v>
      </c>
      <c r="D477" s="81" t="s">
        <v>37</v>
      </c>
      <c r="E477" s="86">
        <v>104719979</v>
      </c>
      <c r="F477" s="64">
        <v>42584</v>
      </c>
      <c r="G477" s="64">
        <f>IFERROR(CALCOLASCADENZA(Table2[[#This Row],[Data attivazione]],Table2[[#This Row],[Rateizzazione]],Table2[[#This Row],[Data ultimo pagamento]],Table2[[#This Row],[Data prossima scadenza manuale]]),"-")</f>
        <v>42951</v>
      </c>
      <c r="H477" s="67" t="s">
        <v>31</v>
      </c>
      <c r="I477" s="67" t="s">
        <v>1313</v>
      </c>
      <c r="J477" s="33">
        <f>IFERROR(Table2[[#This Row],[Importo annuale]]/(12/VLOOKUP(Table2[[#This Row],[Rateizzazione]],TIPI_RATEIZZAZIONI,2,FALSE)),"-")</f>
        <v>736</v>
      </c>
      <c r="K477" s="88"/>
      <c r="L477" s="88">
        <v>736</v>
      </c>
      <c r="M477" s="67" t="s">
        <v>44</v>
      </c>
      <c r="N477" s="67" t="s">
        <v>51</v>
      </c>
      <c r="O477" s="27" t="s">
        <v>1631</v>
      </c>
      <c r="P477" s="33" t="s">
        <v>23</v>
      </c>
      <c r="Q477" s="60">
        <f>IFERROR(IF(12 / VLOOKUP(Table2[[#This Row],[Rateizzazione]],TIPI_RATEIZZAZIONI,2,FALSE) &gt;=1,  IF(Table2[[#This Row],[Data attivazione]] = "","-",MONTH(Table2[[#This Row],[Data attivazione]])),"-"),"-")</f>
        <v>8</v>
      </c>
      <c r="R4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7" s="67" t="s">
        <v>2</v>
      </c>
      <c r="V477" s="62"/>
      <c r="W477" s="64">
        <v>42586</v>
      </c>
      <c r="X477" s="29">
        <f>DATE(YEAR(Table2[[#This Row],[Data attivazione]])+VLOOKUP(Table2[[#This Row],[Durata]],VALORE_DURATA,2,FALSE),MONTH(Table2[[#This Row],[Data attivazione]]),DAY(Table2[[#This Row],[Data attivazione]]))</f>
        <v>42951</v>
      </c>
      <c r="Y477" s="65"/>
      <c r="Z477" s="61"/>
      <c r="AA477" s="64" t="s">
        <v>85</v>
      </c>
      <c r="AB477" s="29" t="str">
        <f>IF(Table2[[#This Row],[Data ultimo versamento temp]]=0/1/1900,"-",Table2[[#This Row],[Data ultimo versamento temp]])</f>
        <v>-</v>
      </c>
      <c r="AC477" s="29">
        <f t="array" ref="AC477">MAX(IF(TableVersamenti[Polizza]=Table2[[#This Row],[Polizza]],TableVersamenti[Data prevista versamento],"-"))</f>
        <v>0</v>
      </c>
      <c r="AD477" s="62"/>
      <c r="AE477" s="106">
        <f>DATE(YEAR(Table2[[#This Row],[Data ultimo pagamento]]),MONTH(Table2[[#This Row],[Data ultimo pagamento]]), 1)</f>
        <v>42583</v>
      </c>
      <c r="AF477" s="106">
        <f>DATE(YEAR(Table2[[#This Row],[Data prossima scadenza]]),MONTH(Table2[[#This Row],[Data prossima scadenza]]), 1)</f>
        <v>42948</v>
      </c>
      <c r="AG477" s="33">
        <f>IFERROR(Table2[[#This Row],[Importo annuale]]*VLOOKUP(Table2[[#This Row],[Ramo]],RAMI_POLIZZA,2,FALSE),0)</f>
        <v>38.271999999999998</v>
      </c>
      <c r="AH477" s="65" t="s">
        <v>113</v>
      </c>
      <c r="AI477" s="63" t="str">
        <f>IFERROR(VLOOKUP(Table2[[#This Row],[Contraente]],Table1[[Nome/Ragione sociale]:[Checkbox selezionato]],2,FALSE),"-")</f>
        <v>ALBUZZANO</v>
      </c>
      <c r="AJ477" s="63">
        <f>IFERROR(VLOOKUP(Table2[[#This Row],[Contraente]],Table1[[Nome/Ragione sociale]:[Checkbox selezionato]],3,FALSE),"-")</f>
        <v>3772190648</v>
      </c>
      <c r="AK477" s="63">
        <f>IFERROR(VLOOKUP(Table2[[#This Row],[Contraente]],Table1[[Nome/Ragione sociale]:[Checkbox selezionato]],4,FALSE),"-")</f>
        <v>0</v>
      </c>
      <c r="AL477" s="63" t="str">
        <f>IFERROR(VLOOKUP(Table2[[#This Row],[Contraente]],Table1[[Nome/Ragione sociale]:[Checkbox selezionato]],5,FALSE),"-")</f>
        <v>GIUDITTA</v>
      </c>
      <c r="AM477" s="62">
        <f>IFERROR(VLOOKUP(Table2[[#This Row],[Contraente]],Table1[[Nome/Ragione sociale]:[Checkbox selezionato]],6,FALSE),"-")</f>
        <v>12562</v>
      </c>
      <c r="AN477" s="63" t="str">
        <f>IFERROR(VLOOKUP(Table2[[#This Row],[Contraente]],Table1[[Nome/Ragione sociale]:[Checkbox selezionato]],7,FALSE),"-")</f>
        <v>papies@libero.it</v>
      </c>
      <c r="AO477" s="63">
        <f>IFERROR(VLOOKUP(Table2[[#This Row],[Contraente]],Table1[[Nome/Ragione sociale]:[Checkbox selezionato]],8,FALSE),"-")</f>
        <v>0</v>
      </c>
      <c r="AP477" s="63">
        <f>IFERROR(VLOOKUP(Table2[[#This Row],[Contraente]],Table1[[Nome/Ragione sociale]:[Checkbox selezionato]],10,FALSE),"-")</f>
        <v>3772190648</v>
      </c>
      <c r="AQ477" s="63" t="str">
        <f>IFERROR(VLOOKUP(Table2[[#This Row],[Contraente]],Table1[[Nome/Ragione sociale]:[Checkbox selezionato]],11,FALSE),"-")</f>
        <v>SI</v>
      </c>
      <c r="AR477" s="63" t="str">
        <f>IFERROR(VLOOKUP(Table2[[#This Row],[Contraente]],Table1[[Nome/Ragione sociale]:[Checkbox selezionato]],12,FALSE),"-")</f>
        <v>SI</v>
      </c>
    </row>
    <row r="478" spans="1:44" ht="30" hidden="1" customHeight="1" x14ac:dyDescent="0.25">
      <c r="A478" s="60" t="str">
        <f>UPPER(LEFT(Table2[[#This Row],[Contraente]],1))</f>
        <v>F</v>
      </c>
      <c r="B478" s="60" t="s">
        <v>1634</v>
      </c>
      <c r="C478" s="81" t="s">
        <v>650</v>
      </c>
      <c r="D478" s="81" t="s">
        <v>37</v>
      </c>
      <c r="E478" s="86">
        <v>103914036</v>
      </c>
      <c r="F478" s="64">
        <v>42279</v>
      </c>
      <c r="G478" s="64">
        <f>IFERROR(CALCOLASCADENZA(Table2[[#This Row],[Data attivazione]],Table2[[#This Row],[Rateizzazione]],Table2[[#This Row],[Data ultimo pagamento]],Table2[[#This Row],[Data prossima scadenza manuale]]),"-")</f>
        <v>42279</v>
      </c>
      <c r="H478" s="67" t="s">
        <v>31</v>
      </c>
      <c r="I478" s="67" t="s">
        <v>1314</v>
      </c>
      <c r="J478" s="33">
        <v>-67.28</v>
      </c>
      <c r="K478" s="88"/>
      <c r="L478" s="88">
        <v>0</v>
      </c>
      <c r="M478" s="67" t="s">
        <v>44</v>
      </c>
      <c r="N478" s="67" t="s">
        <v>52</v>
      </c>
      <c r="O478" s="27" t="s">
        <v>1631</v>
      </c>
      <c r="P478" s="33" t="s">
        <v>24</v>
      </c>
      <c r="Q47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8" s="67" t="s">
        <v>2</v>
      </c>
      <c r="V478" s="62"/>
      <c r="W478" s="64">
        <v>693597</v>
      </c>
      <c r="X478" s="29">
        <f>DATE(YEAR(Table2[[#This Row],[Data attivazione]])+VLOOKUP(Table2[[#This Row],[Durata]],VALORE_DURATA,2,FALSE),MONTH(Table2[[#This Row],[Data attivazione]]),DAY(Table2[[#This Row],[Data attivazione]]))</f>
        <v>693962</v>
      </c>
      <c r="Y478" s="65"/>
      <c r="Z478" s="61"/>
      <c r="AA478" s="64" t="s">
        <v>88</v>
      </c>
      <c r="AB478" s="29" t="str">
        <f>IF(Table2[[#This Row],[Data ultimo versamento temp]]=0/1/1900,"-",Table2[[#This Row],[Data ultimo versamento temp]])</f>
        <v>-</v>
      </c>
      <c r="AC478" s="29">
        <f t="array" ref="AC478">MAX(IF(TableVersamenti[Polizza]=Table2[[#This Row],[Polizza]],TableVersamenti[Data prevista versamento],"-"))</f>
        <v>0</v>
      </c>
      <c r="AD478" s="62"/>
      <c r="AE478" s="106">
        <f>DATE(YEAR(Table2[[#This Row],[Data ultimo pagamento]]),MONTH(Table2[[#This Row],[Data ultimo pagamento]]), 1)</f>
        <v>42278</v>
      </c>
      <c r="AF478" s="106">
        <f>DATE(YEAR(Table2[[#This Row],[Data prossima scadenza]]),MONTH(Table2[[#This Row],[Data prossima scadenza]]), 1)</f>
        <v>42278</v>
      </c>
      <c r="AG478" s="33">
        <f>IFERROR(Table2[[#This Row],[Importo annuale]]*VLOOKUP(Table2[[#This Row],[Ramo]],RAMI_POLIZZA,2,FALSE),0)</f>
        <v>0</v>
      </c>
      <c r="AH478" s="65" t="s">
        <v>113</v>
      </c>
      <c r="AI478" s="63" t="str">
        <f>IFERROR(VLOOKUP(Table2[[#This Row],[Contraente]],Table1[[Nome/Ragione sociale]:[Checkbox selezionato]],2,FALSE),"-")</f>
        <v>SAN GENESIO ED UNITI</v>
      </c>
      <c r="AJ478" s="63">
        <f>IFERROR(VLOOKUP(Table2[[#This Row],[Contraente]],Table1[[Nome/Ragione sociale]:[Checkbox selezionato]],3,FALSE),"-")</f>
        <v>3391560033</v>
      </c>
      <c r="AK478" s="63">
        <f>IFERROR(VLOOKUP(Table2[[#This Row],[Contraente]],Table1[[Nome/Ragione sociale]:[Checkbox selezionato]],4,FALSE),"-")</f>
        <v>0</v>
      </c>
      <c r="AL478" s="63" t="str">
        <f>IFERROR(VLOOKUP(Table2[[#This Row],[Contraente]],Table1[[Nome/Ragione sociale]:[Checkbox selezionato]],5,FALSE),"-")</f>
        <v>ANTONIO</v>
      </c>
      <c r="AM478" s="62">
        <f>IFERROR(VLOOKUP(Table2[[#This Row],[Contraente]],Table1[[Nome/Ragione sociale]:[Checkbox selezionato]],6,FALSE),"-")</f>
        <v>15904</v>
      </c>
      <c r="AN478" s="63" t="str">
        <f>IFERROR(VLOOKUP(Table2[[#This Row],[Contraente]],Table1[[Nome/Ragione sociale]:[Checkbox selezionato]],7,FALSE),"-")</f>
        <v>papies@email.it</v>
      </c>
      <c r="AO478" s="63">
        <f>IFERROR(VLOOKUP(Table2[[#This Row],[Contraente]],Table1[[Nome/Ragione sociale]:[Checkbox selezionato]],8,FALSE),"-")</f>
        <v>0</v>
      </c>
      <c r="AP478" s="63">
        <f>IFERROR(VLOOKUP(Table2[[#This Row],[Contraente]],Table1[[Nome/Ragione sociale]:[Checkbox selezionato]],10,FALSE),"-")</f>
        <v>3391560033</v>
      </c>
      <c r="AQ478" s="63" t="str">
        <f>IFERROR(VLOOKUP(Table2[[#This Row],[Contraente]],Table1[[Nome/Ragione sociale]:[Checkbox selezionato]],11,FALSE),"-")</f>
        <v>SI</v>
      </c>
      <c r="AR478" s="63" t="str">
        <f>IFERROR(VLOOKUP(Table2[[#This Row],[Contraente]],Table1[[Nome/Ragione sociale]:[Checkbox selezionato]],12,FALSE),"-")</f>
        <v>SI</v>
      </c>
    </row>
    <row r="479" spans="1:44" ht="30" hidden="1" customHeight="1" x14ac:dyDescent="0.25">
      <c r="A479" s="60" t="str">
        <f>UPPER(LEFT(Table2[[#This Row],[Contraente]],1))</f>
        <v>F</v>
      </c>
      <c r="B479" s="60" t="s">
        <v>1634</v>
      </c>
      <c r="C479" s="81" t="s">
        <v>650</v>
      </c>
      <c r="D479" s="81" t="s">
        <v>37</v>
      </c>
      <c r="E479" s="86">
        <v>104346800</v>
      </c>
      <c r="F479" s="64">
        <v>42297</v>
      </c>
      <c r="G479" s="64">
        <f>IFERROR(CALCOLASCADENZA(Table2[[#This Row],[Data attivazione]],Table2[[#This Row],[Rateizzazione]],Table2[[#This Row],[Data ultimo pagamento]],Table2[[#This Row],[Data prossima scadenza manuale]]),"-")</f>
        <v>693778</v>
      </c>
      <c r="H479" s="67" t="s">
        <v>31</v>
      </c>
      <c r="I479" s="67" t="s">
        <v>1315</v>
      </c>
      <c r="J479" s="33">
        <f>IFERROR(Table2[[#This Row],[Importo annuale]]/(12/VLOOKUP(Table2[[#This Row],[Rateizzazione]],TIPI_RATEIZZAZIONI,2,FALSE)),"-")</f>
        <v>301</v>
      </c>
      <c r="K479" s="88"/>
      <c r="L479" s="88">
        <v>602</v>
      </c>
      <c r="M479" s="67" t="s">
        <v>44</v>
      </c>
      <c r="N479" s="67" t="s">
        <v>51</v>
      </c>
      <c r="O479" s="27" t="s">
        <v>1631</v>
      </c>
      <c r="P479" s="33" t="s">
        <v>22</v>
      </c>
      <c r="Q479" s="60">
        <f>IFERROR(IF(12 / VLOOKUP(Table2[[#This Row],[Rateizzazione]],TIPI_RATEIZZAZIONI,2,FALSE) &gt;=1,  IF(Table2[[#This Row],[Data attivazione]] = "","-",MONTH(Table2[[#This Row],[Data attivazione]])),"-"),"-")</f>
        <v>12</v>
      </c>
      <c r="R4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9" s="67" t="s">
        <v>2</v>
      </c>
      <c r="V479" s="62"/>
      <c r="W479" s="64">
        <v>693597</v>
      </c>
      <c r="X479" s="29">
        <f>DATE(YEAR(Table2[[#This Row],[Data attivazione]])+VLOOKUP(Table2[[#This Row],[Durata]],VALORE_DURATA,2,FALSE),MONTH(Table2[[#This Row],[Data attivazione]]),DAY(Table2[[#This Row],[Data attivazione]]))</f>
        <v>693962</v>
      </c>
      <c r="Y479" s="65"/>
      <c r="Z479" s="61"/>
      <c r="AA479" s="64" t="s">
        <v>88</v>
      </c>
      <c r="AB479" s="29" t="str">
        <f>IF(Table2[[#This Row],[Data ultimo versamento temp]]=0/1/1900,"-",Table2[[#This Row],[Data ultimo versamento temp]])</f>
        <v>-</v>
      </c>
      <c r="AC479" s="29">
        <f t="array" ref="AC479">MAX(IF(TableVersamenti[Polizza]=Table2[[#This Row],[Polizza]],TableVersamenti[Data prevista versamento],"-"))</f>
        <v>0</v>
      </c>
      <c r="AD479" s="62"/>
      <c r="AE479" s="106">
        <f>DATE(YEAR(Table2[[#This Row],[Data ultimo pagamento]]),MONTH(Table2[[#This Row],[Data ultimo pagamento]]), 1)</f>
        <v>42278</v>
      </c>
      <c r="AF479" s="106">
        <f>DATE(YEAR(Table2[[#This Row],[Data prossima scadenza]]),MONTH(Table2[[#This Row],[Data prossima scadenza]]), 1)</f>
        <v>693749</v>
      </c>
      <c r="AG479" s="33">
        <f>IFERROR(Table2[[#This Row],[Importo annuale]]*VLOOKUP(Table2[[#This Row],[Ramo]],RAMI_POLIZZA,2,FALSE),0)</f>
        <v>31.303999999999998</v>
      </c>
      <c r="AH479" s="65" t="s">
        <v>113</v>
      </c>
      <c r="AI479" s="63" t="str">
        <f>IFERROR(VLOOKUP(Table2[[#This Row],[Contraente]],Table1[[Nome/Ragione sociale]:[Checkbox selezionato]],2,FALSE),"-")</f>
        <v>SAN GENESIO ED UNITI</v>
      </c>
      <c r="AJ479" s="63">
        <f>IFERROR(VLOOKUP(Table2[[#This Row],[Contraente]],Table1[[Nome/Ragione sociale]:[Checkbox selezionato]],3,FALSE),"-")</f>
        <v>3391560033</v>
      </c>
      <c r="AK479" s="63">
        <f>IFERROR(VLOOKUP(Table2[[#This Row],[Contraente]],Table1[[Nome/Ragione sociale]:[Checkbox selezionato]],4,FALSE),"-")</f>
        <v>0</v>
      </c>
      <c r="AL479" s="63" t="str">
        <f>IFERROR(VLOOKUP(Table2[[#This Row],[Contraente]],Table1[[Nome/Ragione sociale]:[Checkbox selezionato]],5,FALSE),"-")</f>
        <v>ANTONIO</v>
      </c>
      <c r="AM479" s="62">
        <f>IFERROR(VLOOKUP(Table2[[#This Row],[Contraente]],Table1[[Nome/Ragione sociale]:[Checkbox selezionato]],6,FALSE),"-")</f>
        <v>15904</v>
      </c>
      <c r="AN479" s="63" t="str">
        <f>IFERROR(VLOOKUP(Table2[[#This Row],[Contraente]],Table1[[Nome/Ragione sociale]:[Checkbox selezionato]],7,FALSE),"-")</f>
        <v>papies@email.it</v>
      </c>
      <c r="AO479" s="63">
        <f>IFERROR(VLOOKUP(Table2[[#This Row],[Contraente]],Table1[[Nome/Ragione sociale]:[Checkbox selezionato]],8,FALSE),"-")</f>
        <v>0</v>
      </c>
      <c r="AP479" s="63">
        <f>IFERROR(VLOOKUP(Table2[[#This Row],[Contraente]],Table1[[Nome/Ragione sociale]:[Checkbox selezionato]],10,FALSE),"-")</f>
        <v>3391560033</v>
      </c>
      <c r="AQ479" s="63" t="str">
        <f>IFERROR(VLOOKUP(Table2[[#This Row],[Contraente]],Table1[[Nome/Ragione sociale]:[Checkbox selezionato]],11,FALSE),"-")</f>
        <v>SI</v>
      </c>
      <c r="AR479" s="63" t="str">
        <f>IFERROR(VLOOKUP(Table2[[#This Row],[Contraente]],Table1[[Nome/Ragione sociale]:[Checkbox selezionato]],12,FALSE),"-")</f>
        <v>SI</v>
      </c>
    </row>
    <row r="480" spans="1:44" ht="30" hidden="1" customHeight="1" x14ac:dyDescent="0.25">
      <c r="A480" s="60" t="str">
        <f>UPPER(LEFT(Table2[[#This Row],[Contraente]],1))</f>
        <v>F</v>
      </c>
      <c r="B480" s="60" t="s">
        <v>1634</v>
      </c>
      <c r="C480" s="81" t="s">
        <v>652</v>
      </c>
      <c r="D480" s="81" t="s">
        <v>37</v>
      </c>
      <c r="E480" s="86">
        <v>103827410</v>
      </c>
      <c r="F480" s="64">
        <v>42079</v>
      </c>
      <c r="G480" s="64">
        <f>IFERROR(CALCOLASCADENZA(Table2[[#This Row],[Data attivazione]],Table2[[#This Row],[Rateizzazione]],Table2[[#This Row],[Data ultimo pagamento]],Table2[[#This Row],[Data prossima scadenza manuale]]),"-")</f>
        <v>42079</v>
      </c>
      <c r="H480" s="67" t="s">
        <v>31</v>
      </c>
      <c r="I480" s="67"/>
      <c r="J480" s="33">
        <v>0</v>
      </c>
      <c r="K480" s="88"/>
      <c r="L480" s="88">
        <v>299.64</v>
      </c>
      <c r="M480" s="67" t="s">
        <v>44</v>
      </c>
      <c r="N480" s="67" t="s">
        <v>52</v>
      </c>
      <c r="O480" s="27" t="s">
        <v>1631</v>
      </c>
      <c r="P480" s="33" t="s">
        <v>24</v>
      </c>
      <c r="Q48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0" s="67" t="s">
        <v>2</v>
      </c>
      <c r="V480" s="62"/>
      <c r="W480" s="64">
        <v>693597</v>
      </c>
      <c r="X480" s="29">
        <f>DATE(YEAR(Table2[[#This Row],[Data attivazione]])+VLOOKUP(Table2[[#This Row],[Durata]],VALORE_DURATA,2,FALSE),MONTH(Table2[[#This Row],[Data attivazione]]),DAY(Table2[[#This Row],[Data attivazione]]))</f>
        <v>693962</v>
      </c>
      <c r="Y480" s="65"/>
      <c r="Z480" s="61"/>
      <c r="AA480" s="64" t="s">
        <v>88</v>
      </c>
      <c r="AB480" s="29" t="str">
        <f>IF(Table2[[#This Row],[Data ultimo versamento temp]]=0/1/1900,"-",Table2[[#This Row],[Data ultimo versamento temp]])</f>
        <v>-</v>
      </c>
      <c r="AC480" s="29">
        <f t="array" ref="AC480">MAX(IF(TableVersamenti[Polizza]=Table2[[#This Row],[Polizza]],TableVersamenti[Data prevista versamento],"-"))</f>
        <v>0</v>
      </c>
      <c r="AD480" s="62"/>
      <c r="AE480" s="106">
        <f>DATE(YEAR(Table2[[#This Row],[Data ultimo pagamento]]),MONTH(Table2[[#This Row],[Data ultimo pagamento]]), 1)</f>
        <v>42064</v>
      </c>
      <c r="AF480" s="106">
        <f>DATE(YEAR(Table2[[#This Row],[Data prossima scadenza]]),MONTH(Table2[[#This Row],[Data prossima scadenza]]), 1)</f>
        <v>42064</v>
      </c>
      <c r="AG480" s="33">
        <f>IFERROR(Table2[[#This Row],[Importo annuale]]*VLOOKUP(Table2[[#This Row],[Ramo]],RAMI_POLIZZA,2,FALSE),0)</f>
        <v>15.581279999999998</v>
      </c>
      <c r="AH480" s="65" t="s">
        <v>113</v>
      </c>
      <c r="AI480" s="63" t="str">
        <f>IFERROR(VLOOKUP(Table2[[#This Row],[Contraente]],Table1[[Nome/Ragione sociale]:[Checkbox selezionato]],2,FALSE),"-")</f>
        <v>CURA CARPIGNANO</v>
      </c>
      <c r="AJ480" s="63">
        <f>IFERROR(VLOOKUP(Table2[[#This Row],[Contraente]],Table1[[Nome/Ragione sociale]:[Checkbox selezionato]],3,FALSE),"-")</f>
        <v>3496041467</v>
      </c>
      <c r="AK480" s="63">
        <f>IFERROR(VLOOKUP(Table2[[#This Row],[Contraente]],Table1[[Nome/Ragione sociale]:[Checkbox selezionato]],4,FALSE),"-")</f>
        <v>0</v>
      </c>
      <c r="AL480" s="63" t="str">
        <f>IFERROR(VLOOKUP(Table2[[#This Row],[Contraente]],Table1[[Nome/Ragione sociale]:[Checkbox selezionato]],5,FALSE),"-")</f>
        <v>DE MASI MARIO</v>
      </c>
      <c r="AM480" s="62">
        <f>IFERROR(VLOOKUP(Table2[[#This Row],[Contraente]],Table1[[Nome/Ragione sociale]:[Checkbox selezionato]],6,FALSE),"-")</f>
        <v>22920</v>
      </c>
      <c r="AN480" s="63" t="str">
        <f>IFERROR(VLOOKUP(Table2[[#This Row],[Contraente]],Table1[[Nome/Ragione sociale]:[Checkbox selezionato]],7,FALSE),"-")</f>
        <v>papies@libero.it</v>
      </c>
      <c r="AO480" s="63">
        <f>IFERROR(VLOOKUP(Table2[[#This Row],[Contraente]],Table1[[Nome/Ragione sociale]:[Checkbox selezionato]],8,FALSE),"-")</f>
        <v>0</v>
      </c>
      <c r="AP480" s="63">
        <f>IFERROR(VLOOKUP(Table2[[#This Row],[Contraente]],Table1[[Nome/Ragione sociale]:[Checkbox selezionato]],10,FALSE),"-")</f>
        <v>3496041467</v>
      </c>
      <c r="AQ480" s="63" t="str">
        <f>IFERROR(VLOOKUP(Table2[[#This Row],[Contraente]],Table1[[Nome/Ragione sociale]:[Checkbox selezionato]],11,FALSE),"-")</f>
        <v>SI</v>
      </c>
      <c r="AR480" s="63" t="str">
        <f>IFERROR(VLOOKUP(Table2[[#This Row],[Contraente]],Table1[[Nome/Ragione sociale]:[Checkbox selezionato]],12,FALSE),"-")</f>
        <v>SI</v>
      </c>
    </row>
    <row r="481" spans="1:44" ht="30" hidden="1" customHeight="1" x14ac:dyDescent="0.25">
      <c r="A481" s="60" t="str">
        <f>UPPER(LEFT(Table2[[#This Row],[Contraente]],1))</f>
        <v>F</v>
      </c>
      <c r="B481" s="60" t="s">
        <v>1634</v>
      </c>
      <c r="C481" s="81" t="s">
        <v>652</v>
      </c>
      <c r="D481" s="81" t="s">
        <v>37</v>
      </c>
      <c r="E481" s="86">
        <v>105720762</v>
      </c>
      <c r="F481" s="64">
        <v>42899</v>
      </c>
      <c r="G481" s="64">
        <f>IFERROR(CALCOLASCADENZA(Table2[[#This Row],[Data attivazione]],Table2[[#This Row],[Rateizzazione]],Table2[[#This Row],[Data ultimo pagamento]],Table2[[#This Row],[Data prossima scadenza manuale]]),"-")</f>
        <v>43069</v>
      </c>
      <c r="H481" s="67" t="s">
        <v>31</v>
      </c>
      <c r="I481" s="67" t="s">
        <v>1316</v>
      </c>
      <c r="J481" s="33">
        <f>IFERROR(Table2[[#This Row],[Importo annuale]]/(12/VLOOKUP(Table2[[#This Row],[Rateizzazione]],TIPI_RATEIZZAZIONI,2,FALSE)),"-")</f>
        <v>206</v>
      </c>
      <c r="K481" s="88">
        <v>206</v>
      </c>
      <c r="L481" s="88">
        <v>412</v>
      </c>
      <c r="M481" s="67" t="s">
        <v>43</v>
      </c>
      <c r="N481" s="67" t="s">
        <v>51</v>
      </c>
      <c r="O481" s="27" t="s">
        <v>1631</v>
      </c>
      <c r="P481" s="33" t="s">
        <v>22</v>
      </c>
      <c r="Q481" s="60">
        <f>IFERROR(IF(12 / VLOOKUP(Table2[[#This Row],[Rateizzazione]],TIPI_RATEIZZAZIONI,2,FALSE) &gt;=1,  IF(Table2[[#This Row],[Data attivazione]] = "","-",MONTH(Table2[[#This Row],[Data attivazione]])),"-"),"-")</f>
        <v>11</v>
      </c>
      <c r="R4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1" s="67" t="s">
        <v>2</v>
      </c>
      <c r="V481" s="62"/>
      <c r="W481" s="64">
        <v>42704</v>
      </c>
      <c r="X481" s="29">
        <f>DATE(YEAR(Table2[[#This Row],[Data attivazione]])+VLOOKUP(Table2[[#This Row],[Durata]],VALORE_DURATA,2,FALSE),MONTH(Table2[[#This Row],[Data attivazione]]),DAY(Table2[[#This Row],[Data attivazione]]))</f>
        <v>43069</v>
      </c>
      <c r="Y481" s="65"/>
      <c r="Z481" s="61"/>
      <c r="AA481" s="64" t="s">
        <v>85</v>
      </c>
      <c r="AB481" s="29" t="str">
        <f>IF(Table2[[#This Row],[Data ultimo versamento temp]]=0/1/1900,"-",Table2[[#This Row],[Data ultimo versamento temp]])</f>
        <v>-</v>
      </c>
      <c r="AC481" s="29">
        <f t="array" ref="AC481">MAX(IF(TableVersamenti[Polizza]=Table2[[#This Row],[Polizza]],TableVersamenti[Data prevista versamento],"-"))</f>
        <v>0</v>
      </c>
      <c r="AD481" s="62"/>
      <c r="AE481" s="106">
        <f>DATE(YEAR(Table2[[#This Row],[Data ultimo pagamento]]),MONTH(Table2[[#This Row],[Data ultimo pagamento]]), 1)</f>
        <v>42887</v>
      </c>
      <c r="AF481" s="106">
        <f>DATE(YEAR(Table2[[#This Row],[Data prossima scadenza]]),MONTH(Table2[[#This Row],[Data prossima scadenza]]), 1)</f>
        <v>43040</v>
      </c>
      <c r="AG481" s="33">
        <f>IFERROR(Table2[[#This Row],[Importo annuale]]*VLOOKUP(Table2[[#This Row],[Ramo]],RAMI_POLIZZA,2,FALSE),0)</f>
        <v>21.423999999999999</v>
      </c>
      <c r="AH481" s="65" t="s">
        <v>113</v>
      </c>
      <c r="AI481" s="63" t="str">
        <f>IFERROR(VLOOKUP(Table2[[#This Row],[Contraente]],Table1[[Nome/Ragione sociale]:[Checkbox selezionato]],2,FALSE),"-")</f>
        <v>CURA CARPIGNANO</v>
      </c>
      <c r="AJ481" s="63">
        <f>IFERROR(VLOOKUP(Table2[[#This Row],[Contraente]],Table1[[Nome/Ragione sociale]:[Checkbox selezionato]],3,FALSE),"-")</f>
        <v>3496041467</v>
      </c>
      <c r="AK481" s="63">
        <f>IFERROR(VLOOKUP(Table2[[#This Row],[Contraente]],Table1[[Nome/Ragione sociale]:[Checkbox selezionato]],4,FALSE),"-")</f>
        <v>0</v>
      </c>
      <c r="AL481" s="63" t="str">
        <f>IFERROR(VLOOKUP(Table2[[#This Row],[Contraente]],Table1[[Nome/Ragione sociale]:[Checkbox selezionato]],5,FALSE),"-")</f>
        <v>DE MASI MARIO</v>
      </c>
      <c r="AM481" s="62">
        <f>IFERROR(VLOOKUP(Table2[[#This Row],[Contraente]],Table1[[Nome/Ragione sociale]:[Checkbox selezionato]],6,FALSE),"-")</f>
        <v>22920</v>
      </c>
      <c r="AN481" s="63" t="str">
        <f>IFERROR(VLOOKUP(Table2[[#This Row],[Contraente]],Table1[[Nome/Ragione sociale]:[Checkbox selezionato]],7,FALSE),"-")</f>
        <v>papies@libero.it</v>
      </c>
      <c r="AO481" s="63">
        <f>IFERROR(VLOOKUP(Table2[[#This Row],[Contraente]],Table1[[Nome/Ragione sociale]:[Checkbox selezionato]],8,FALSE),"-")</f>
        <v>0</v>
      </c>
      <c r="AP481" s="63">
        <f>IFERROR(VLOOKUP(Table2[[#This Row],[Contraente]],Table1[[Nome/Ragione sociale]:[Checkbox selezionato]],10,FALSE),"-")</f>
        <v>3496041467</v>
      </c>
      <c r="AQ481" s="63" t="str">
        <f>IFERROR(VLOOKUP(Table2[[#This Row],[Contraente]],Table1[[Nome/Ragione sociale]:[Checkbox selezionato]],11,FALSE),"-")</f>
        <v>SI</v>
      </c>
      <c r="AR481" s="63" t="str">
        <f>IFERROR(VLOOKUP(Table2[[#This Row],[Contraente]],Table1[[Nome/Ragione sociale]:[Checkbox selezionato]],12,FALSE),"-")</f>
        <v>SI</v>
      </c>
    </row>
    <row r="482" spans="1:44" ht="30" hidden="1" customHeight="1" x14ac:dyDescent="0.25">
      <c r="A482" s="60" t="str">
        <f>UPPER(LEFT(Table2[[#This Row],[Contraente]],1))</f>
        <v>F</v>
      </c>
      <c r="B482" s="60" t="s">
        <v>1634</v>
      </c>
      <c r="C482" s="81" t="s">
        <v>657</v>
      </c>
      <c r="D482" s="81" t="s">
        <v>37</v>
      </c>
      <c r="E482" s="86">
        <v>1006447</v>
      </c>
      <c r="F482" s="64">
        <v>42580</v>
      </c>
      <c r="G482" s="64">
        <f>IFERROR(CALCOLASCADENZA(Table2[[#This Row],[Data attivazione]],Table2[[#This Row],[Rateizzazione]],Table2[[#This Row],[Data ultimo pagamento]],Table2[[#This Row],[Data prossima scadenza manuale]]),"-")</f>
        <v>42947</v>
      </c>
      <c r="H482" s="67" t="s">
        <v>32</v>
      </c>
      <c r="I482" s="67" t="s">
        <v>113</v>
      </c>
      <c r="J482" s="33">
        <f>IFERROR(Table2[[#This Row],[Importo annuale]]/(12/VLOOKUP(Table2[[#This Row],[Rateizzazione]],TIPI_RATEIZZAZIONI,2,FALSE)),"-")</f>
        <v>75.180000000000007</v>
      </c>
      <c r="K482" s="88"/>
      <c r="L482" s="88">
        <v>75.180000000000007</v>
      </c>
      <c r="M482" s="67" t="s">
        <v>44</v>
      </c>
      <c r="N482" s="67" t="s">
        <v>51</v>
      </c>
      <c r="O482" s="27" t="s">
        <v>1632</v>
      </c>
      <c r="P482" s="33" t="s">
        <v>23</v>
      </c>
      <c r="Q482" s="60">
        <f>IFERROR(IF(12 / VLOOKUP(Table2[[#This Row],[Rateizzazione]],TIPI_RATEIZZAZIONI,2,FALSE) &gt;=1,  IF(Table2[[#This Row],[Data attivazione]] = "","-",MONTH(Table2[[#This Row],[Data attivazione]])),"-"),"-")</f>
        <v>7</v>
      </c>
      <c r="R4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2" s="67" t="s">
        <v>2</v>
      </c>
      <c r="V482" s="62"/>
      <c r="W482" s="64">
        <v>39294</v>
      </c>
      <c r="X482" s="29">
        <f>DATE(YEAR(Table2[[#This Row],[Data attivazione]])+VLOOKUP(Table2[[#This Row],[Durata]],VALORE_DURATA,2,FALSE),MONTH(Table2[[#This Row],[Data attivazione]]),DAY(Table2[[#This Row],[Data attivazione]]))</f>
        <v>42947</v>
      </c>
      <c r="Y482" s="65"/>
      <c r="Z482" s="61"/>
      <c r="AA482" s="64" t="s">
        <v>85</v>
      </c>
      <c r="AB482" s="29" t="str">
        <f>IF(Table2[[#This Row],[Data ultimo versamento temp]]=0/1/1900,"-",Table2[[#This Row],[Data ultimo versamento temp]])</f>
        <v>-</v>
      </c>
      <c r="AC482" s="29">
        <f t="array" ref="AC482">MAX(IF(TableVersamenti[Polizza]=Table2[[#This Row],[Polizza]],TableVersamenti[Data prevista versamento],"-"))</f>
        <v>0</v>
      </c>
      <c r="AD482" s="62"/>
      <c r="AE482" s="106">
        <f>DATE(YEAR(Table2[[#This Row],[Data ultimo pagamento]]),MONTH(Table2[[#This Row],[Data ultimo pagamento]]), 1)</f>
        <v>42552</v>
      </c>
      <c r="AF482" s="106">
        <f>DATE(YEAR(Table2[[#This Row],[Data prossima scadenza]]),MONTH(Table2[[#This Row],[Data prossima scadenza]]), 1)</f>
        <v>42917</v>
      </c>
      <c r="AG482" s="33">
        <f>IFERROR(Table2[[#This Row],[Importo annuale]]*VLOOKUP(Table2[[#This Row],[Ramo]],RAMI_POLIZZA,2,FALSE),0)</f>
        <v>1.1277000000000001</v>
      </c>
      <c r="AH482" s="65" t="s">
        <v>113</v>
      </c>
      <c r="AI482" s="63" t="str">
        <f>IFERROR(VLOOKUP(Table2[[#This Row],[Contraente]],Table1[[Nome/Ragione sociale]:[Checkbox selezionato]],2,FALSE),"-")</f>
        <v>BORNASCO</v>
      </c>
      <c r="AJ482" s="63">
        <f>IFERROR(VLOOKUP(Table2[[#This Row],[Contraente]],Table1[[Nome/Ragione sociale]:[Checkbox selezionato]],3,FALSE),"-")</f>
        <v>3339343190</v>
      </c>
      <c r="AK482" s="63">
        <f>IFERROR(VLOOKUP(Table2[[#This Row],[Contraente]],Table1[[Nome/Ragione sociale]:[Checkbox selezionato]],4,FALSE),"-")</f>
        <v>0</v>
      </c>
      <c r="AL482" s="63" t="str">
        <f>IFERROR(VLOOKUP(Table2[[#This Row],[Contraente]],Table1[[Nome/Ragione sociale]:[Checkbox selezionato]],5,FALSE),"-")</f>
        <v>GIOVANNA</v>
      </c>
      <c r="AM482" s="62">
        <f>IFERROR(VLOOKUP(Table2[[#This Row],[Contraente]],Table1[[Nome/Ragione sociale]:[Checkbox selezionato]],6,FALSE),"-")</f>
        <v>25208</v>
      </c>
      <c r="AN482" s="63" t="str">
        <f>IFERROR(VLOOKUP(Table2[[#This Row],[Contraente]],Table1[[Nome/Ragione sociale]:[Checkbox selezionato]],7,FALSE),"-")</f>
        <v>papies@libero.it</v>
      </c>
      <c r="AO482" s="63">
        <f>IFERROR(VLOOKUP(Table2[[#This Row],[Contraente]],Table1[[Nome/Ragione sociale]:[Checkbox selezionato]],8,FALSE),"-")</f>
        <v>0</v>
      </c>
      <c r="AP482" s="63">
        <f>IFERROR(VLOOKUP(Table2[[#This Row],[Contraente]],Table1[[Nome/Ragione sociale]:[Checkbox selezionato]],10,FALSE),"-")</f>
        <v>3339343190</v>
      </c>
      <c r="AQ482" s="63" t="str">
        <f>IFERROR(VLOOKUP(Table2[[#This Row],[Contraente]],Table1[[Nome/Ragione sociale]:[Checkbox selezionato]],11,FALSE),"-")</f>
        <v>SI</v>
      </c>
      <c r="AR482" s="63" t="str">
        <f>IFERROR(VLOOKUP(Table2[[#This Row],[Contraente]],Table1[[Nome/Ragione sociale]:[Checkbox selezionato]],12,FALSE),"-")</f>
        <v>SI</v>
      </c>
    </row>
    <row r="483" spans="1:44" ht="30" hidden="1" customHeight="1" x14ac:dyDescent="0.25">
      <c r="A483" s="60" t="str">
        <f>UPPER(LEFT(Table2[[#This Row],[Contraente]],1))</f>
        <v>F</v>
      </c>
      <c r="B483" s="60" t="s">
        <v>1634</v>
      </c>
      <c r="C483" s="81" t="s">
        <v>655</v>
      </c>
      <c r="D483" s="81" t="s">
        <v>37</v>
      </c>
      <c r="E483" s="86">
        <v>106670848</v>
      </c>
      <c r="F483" s="64">
        <v>42821</v>
      </c>
      <c r="G483" s="64">
        <f>IFERROR(CALCOLASCADENZA(Table2[[#This Row],[Data attivazione]],Table2[[#This Row],[Rateizzazione]],Table2[[#This Row],[Data ultimo pagamento]],Table2[[#This Row],[Data prossima scadenza manuale]]),"-")</f>
        <v>43006</v>
      </c>
      <c r="H483" s="67" t="s">
        <v>31</v>
      </c>
      <c r="I483" s="67" t="s">
        <v>1318</v>
      </c>
      <c r="J483" s="33">
        <f>IFERROR(Table2[[#This Row],[Importo annuale]]/(12/VLOOKUP(Table2[[#This Row],[Rateizzazione]],TIPI_RATEIZZAZIONI,2,FALSE)),"-")</f>
        <v>300</v>
      </c>
      <c r="K483" s="88">
        <v>300</v>
      </c>
      <c r="L483" s="88">
        <v>600</v>
      </c>
      <c r="M483" s="67" t="s">
        <v>43</v>
      </c>
      <c r="N483" s="67" t="s">
        <v>51</v>
      </c>
      <c r="O483" s="27" t="s">
        <v>1631</v>
      </c>
      <c r="P483" s="33" t="s">
        <v>22</v>
      </c>
      <c r="Q483" s="60">
        <f>IFERROR(IF(12 / VLOOKUP(Table2[[#This Row],[Rateizzazione]],TIPI_RATEIZZAZIONI,2,FALSE) &gt;=1,  IF(Table2[[#This Row],[Data attivazione]] = "","-",MONTH(Table2[[#This Row],[Data attivazione]])),"-"),"-")</f>
        <v>9</v>
      </c>
      <c r="R4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3" s="67" t="s">
        <v>2</v>
      </c>
      <c r="V483" s="62"/>
      <c r="W483" s="64">
        <v>42641</v>
      </c>
      <c r="X483" s="29">
        <f>DATE(YEAR(Table2[[#This Row],[Data attivazione]])+VLOOKUP(Table2[[#This Row],[Durata]],VALORE_DURATA,2,FALSE),MONTH(Table2[[#This Row],[Data attivazione]]),DAY(Table2[[#This Row],[Data attivazione]]))</f>
        <v>43006</v>
      </c>
      <c r="Y483" s="65"/>
      <c r="Z483" s="61"/>
      <c r="AA483" s="64" t="s">
        <v>85</v>
      </c>
      <c r="AB483" s="29" t="str">
        <f>IF(Table2[[#This Row],[Data ultimo versamento temp]]=0/1/1900,"-",Table2[[#This Row],[Data ultimo versamento temp]])</f>
        <v>-</v>
      </c>
      <c r="AC483" s="29">
        <f t="array" ref="AC483">MAX(IF(TableVersamenti[Polizza]=Table2[[#This Row],[Polizza]],TableVersamenti[Data prevista versamento],"-"))</f>
        <v>0</v>
      </c>
      <c r="AD483" s="62"/>
      <c r="AE483" s="106">
        <f>DATE(YEAR(Table2[[#This Row],[Data ultimo pagamento]]),MONTH(Table2[[#This Row],[Data ultimo pagamento]]), 1)</f>
        <v>42795</v>
      </c>
      <c r="AF483" s="106">
        <f>DATE(YEAR(Table2[[#This Row],[Data prossima scadenza]]),MONTH(Table2[[#This Row],[Data prossima scadenza]]), 1)</f>
        <v>42979</v>
      </c>
      <c r="AG483" s="33">
        <f>IFERROR(Table2[[#This Row],[Importo annuale]]*VLOOKUP(Table2[[#This Row],[Ramo]],RAMI_POLIZZA,2,FALSE),0)</f>
        <v>31.2</v>
      </c>
      <c r="AH483" s="65" t="s">
        <v>113</v>
      </c>
      <c r="AI483" s="63" t="str">
        <f>IFERROR(VLOOKUP(Table2[[#This Row],[Contraente]],Table1[[Nome/Ragione sociale]:[Checkbox selezionato]],2,FALSE),"-")</f>
        <v>ALBUZZANO</v>
      </c>
      <c r="AJ483" s="63" t="str">
        <f>IFERROR(VLOOKUP(Table2[[#This Row],[Contraente]],Table1[[Nome/Ragione sociale]:[Checkbox selezionato]],3,FALSE),"-")</f>
        <v>-</v>
      </c>
      <c r="AK483" s="63">
        <f>IFERROR(VLOOKUP(Table2[[#This Row],[Contraente]],Table1[[Nome/Ragione sociale]:[Checkbox selezionato]],4,FALSE),"-")</f>
        <v>0</v>
      </c>
      <c r="AL483" s="63" t="str">
        <f>IFERROR(VLOOKUP(Table2[[#This Row],[Contraente]],Table1[[Nome/Ragione sociale]:[Checkbox selezionato]],5,FALSE),"-")</f>
        <v>FAUSTO</v>
      </c>
      <c r="AM483" s="62">
        <f>IFERROR(VLOOKUP(Table2[[#This Row],[Contraente]],Table1[[Nome/Ragione sociale]:[Checkbox selezionato]],6,FALSE),"-")</f>
        <v>24989</v>
      </c>
      <c r="AN483" s="63" t="str">
        <f>IFERROR(VLOOKUP(Table2[[#This Row],[Contraente]],Table1[[Nome/Ragione sociale]:[Checkbox selezionato]],7,FALSE),"-")</f>
        <v>papies@email.it</v>
      </c>
      <c r="AO483" s="63">
        <f>IFERROR(VLOOKUP(Table2[[#This Row],[Contraente]],Table1[[Nome/Ragione sociale]:[Checkbox selezionato]],8,FALSE),"-")</f>
        <v>0</v>
      </c>
      <c r="AP483" s="63" t="str">
        <f>IFERROR(VLOOKUP(Table2[[#This Row],[Contraente]],Table1[[Nome/Ragione sociale]:[Checkbox selezionato]],10,FALSE),"-")</f>
        <v>-</v>
      </c>
      <c r="AQ483" s="63" t="str">
        <f>IFERROR(VLOOKUP(Table2[[#This Row],[Contraente]],Table1[[Nome/Ragione sociale]:[Checkbox selezionato]],11,FALSE),"-")</f>
        <v>SI</v>
      </c>
      <c r="AR483" s="63" t="str">
        <f>IFERROR(VLOOKUP(Table2[[#This Row],[Contraente]],Table1[[Nome/Ragione sociale]:[Checkbox selezionato]],12,FALSE),"-")</f>
        <v>SI</v>
      </c>
    </row>
    <row r="484" spans="1:44" ht="30" hidden="1" customHeight="1" x14ac:dyDescent="0.25">
      <c r="A484" s="60" t="str">
        <f>UPPER(LEFT(Table2[[#This Row],[Contraente]],1))</f>
        <v>F</v>
      </c>
      <c r="B484" s="60" t="s">
        <v>1634</v>
      </c>
      <c r="C484" s="81" t="s">
        <v>655</v>
      </c>
      <c r="D484" s="81" t="s">
        <v>37</v>
      </c>
      <c r="E484" s="86">
        <v>102633346</v>
      </c>
      <c r="F484" s="64">
        <v>42851</v>
      </c>
      <c r="G484" s="64">
        <f>IFERROR(CALCOLASCADENZA(Table2[[#This Row],[Data attivazione]],Table2[[#This Row],[Rateizzazione]],Table2[[#This Row],[Data ultimo pagamento]],Table2[[#This Row],[Data prossima scadenza manuale]]),"-")</f>
        <v>43038</v>
      </c>
      <c r="H484" s="67" t="s">
        <v>31</v>
      </c>
      <c r="I484" s="67" t="s">
        <v>1319</v>
      </c>
      <c r="J484" s="33">
        <f>IFERROR(Table2[[#This Row],[Importo annuale]]/(12/VLOOKUP(Table2[[#This Row],[Rateizzazione]],TIPI_RATEIZZAZIONI,2,FALSE)),"-")</f>
        <v>199</v>
      </c>
      <c r="K484" s="88">
        <v>199</v>
      </c>
      <c r="L484" s="88">
        <v>398</v>
      </c>
      <c r="M484" s="67" t="s">
        <v>43</v>
      </c>
      <c r="N484" s="67" t="s">
        <v>51</v>
      </c>
      <c r="O484" s="27" t="s">
        <v>1631</v>
      </c>
      <c r="P484" s="33" t="s">
        <v>22</v>
      </c>
      <c r="Q484" s="60">
        <f>IFERROR(IF(12 / VLOOKUP(Table2[[#This Row],[Rateizzazione]],TIPI_RATEIZZAZIONI,2,FALSE) &gt;=1,  IF(Table2[[#This Row],[Data attivazione]] = "","-",MONTH(Table2[[#This Row],[Data attivazione]])),"-"),"-")</f>
        <v>10</v>
      </c>
      <c r="R4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4" s="67" t="s">
        <v>2</v>
      </c>
      <c r="V484" s="62"/>
      <c r="W484" s="64">
        <v>42674</v>
      </c>
      <c r="X484" s="29">
        <f>DATE(YEAR(Table2[[#This Row],[Data attivazione]])+VLOOKUP(Table2[[#This Row],[Durata]],VALORE_DURATA,2,FALSE),MONTH(Table2[[#This Row],[Data attivazione]]),DAY(Table2[[#This Row],[Data attivazione]]))</f>
        <v>43039</v>
      </c>
      <c r="Y484" s="65"/>
      <c r="Z484" s="61"/>
      <c r="AA484" s="64" t="s">
        <v>85</v>
      </c>
      <c r="AB484" s="29" t="str">
        <f>IF(Table2[[#This Row],[Data ultimo versamento temp]]=0/1/1900,"-",Table2[[#This Row],[Data ultimo versamento temp]])</f>
        <v>-</v>
      </c>
      <c r="AC484" s="29">
        <f t="array" ref="AC484">MAX(IF(TableVersamenti[Polizza]=Table2[[#This Row],[Polizza]],TableVersamenti[Data prevista versamento],"-"))</f>
        <v>0</v>
      </c>
      <c r="AD484" s="62"/>
      <c r="AE484" s="106">
        <f>DATE(YEAR(Table2[[#This Row],[Data ultimo pagamento]]),MONTH(Table2[[#This Row],[Data ultimo pagamento]]), 1)</f>
        <v>42826</v>
      </c>
      <c r="AF484" s="106">
        <f>DATE(YEAR(Table2[[#This Row],[Data prossima scadenza]]),MONTH(Table2[[#This Row],[Data prossima scadenza]]), 1)</f>
        <v>43009</v>
      </c>
      <c r="AG484" s="33">
        <f>IFERROR(Table2[[#This Row],[Importo annuale]]*VLOOKUP(Table2[[#This Row],[Ramo]],RAMI_POLIZZA,2,FALSE),0)</f>
        <v>20.695999999999998</v>
      </c>
      <c r="AH484" s="65" t="s">
        <v>113</v>
      </c>
      <c r="AI484" s="63" t="str">
        <f>IFERROR(VLOOKUP(Table2[[#This Row],[Contraente]],Table1[[Nome/Ragione sociale]:[Checkbox selezionato]],2,FALSE),"-")</f>
        <v>ALBUZZANO</v>
      </c>
      <c r="AJ484" s="63" t="str">
        <f>IFERROR(VLOOKUP(Table2[[#This Row],[Contraente]],Table1[[Nome/Ragione sociale]:[Checkbox selezionato]],3,FALSE),"-")</f>
        <v>-</v>
      </c>
      <c r="AK484" s="63">
        <f>IFERROR(VLOOKUP(Table2[[#This Row],[Contraente]],Table1[[Nome/Ragione sociale]:[Checkbox selezionato]],4,FALSE),"-")</f>
        <v>0</v>
      </c>
      <c r="AL484" s="63" t="str">
        <f>IFERROR(VLOOKUP(Table2[[#This Row],[Contraente]],Table1[[Nome/Ragione sociale]:[Checkbox selezionato]],5,FALSE),"-")</f>
        <v>FAUSTO</v>
      </c>
      <c r="AM484" s="62">
        <f>IFERROR(VLOOKUP(Table2[[#This Row],[Contraente]],Table1[[Nome/Ragione sociale]:[Checkbox selezionato]],6,FALSE),"-")</f>
        <v>24989</v>
      </c>
      <c r="AN484" s="63" t="str">
        <f>IFERROR(VLOOKUP(Table2[[#This Row],[Contraente]],Table1[[Nome/Ragione sociale]:[Checkbox selezionato]],7,FALSE),"-")</f>
        <v>papies@email.it</v>
      </c>
      <c r="AO484" s="63">
        <f>IFERROR(VLOOKUP(Table2[[#This Row],[Contraente]],Table1[[Nome/Ragione sociale]:[Checkbox selezionato]],8,FALSE),"-")</f>
        <v>0</v>
      </c>
      <c r="AP484" s="63" t="str">
        <f>IFERROR(VLOOKUP(Table2[[#This Row],[Contraente]],Table1[[Nome/Ragione sociale]:[Checkbox selezionato]],10,FALSE),"-")</f>
        <v>-</v>
      </c>
      <c r="AQ484" s="63" t="str">
        <f>IFERROR(VLOOKUP(Table2[[#This Row],[Contraente]],Table1[[Nome/Ragione sociale]:[Checkbox selezionato]],11,FALSE),"-")</f>
        <v>SI</v>
      </c>
      <c r="AR484" s="63" t="str">
        <f>IFERROR(VLOOKUP(Table2[[#This Row],[Contraente]],Table1[[Nome/Ragione sociale]:[Checkbox selezionato]],12,FALSE),"-")</f>
        <v>SI</v>
      </c>
    </row>
    <row r="485" spans="1:44" ht="30" hidden="1" customHeight="1" x14ac:dyDescent="0.25">
      <c r="A485" s="60" t="str">
        <f>UPPER(LEFT(Table2[[#This Row],[Contraente]],1))</f>
        <v>F</v>
      </c>
      <c r="B485" s="60" t="s">
        <v>1634</v>
      </c>
      <c r="C485" s="81" t="s">
        <v>659</v>
      </c>
      <c r="D485" s="81" t="s">
        <v>37</v>
      </c>
      <c r="E485" s="86">
        <v>105810606</v>
      </c>
      <c r="F485" s="64">
        <v>42922</v>
      </c>
      <c r="G485" s="64">
        <f>IFERROR(CALCOLASCADENZA(Table2[[#This Row],[Data attivazione]],Table2[[#This Row],[Rateizzazione]],Table2[[#This Row],[Data ultimo pagamento]],Table2[[#This Row],[Data prossima scadenza manuale]]),"-")</f>
        <v>43288</v>
      </c>
      <c r="H485" s="67" t="s">
        <v>31</v>
      </c>
      <c r="I485" s="67" t="s">
        <v>1320</v>
      </c>
      <c r="J485" s="33">
        <f>IFERROR(Table2[[#This Row],[Importo annuale]]/(12/VLOOKUP(Table2[[#This Row],[Rateizzazione]],TIPI_RATEIZZAZIONI,2,FALSE)),"-")</f>
        <v>414.7</v>
      </c>
      <c r="K485" s="88">
        <v>414.7</v>
      </c>
      <c r="L485" s="88">
        <v>414.7</v>
      </c>
      <c r="M485" s="67" t="s">
        <v>44</v>
      </c>
      <c r="N485" s="67" t="s">
        <v>51</v>
      </c>
      <c r="O485" s="27" t="s">
        <v>1631</v>
      </c>
      <c r="P485" s="33" t="s">
        <v>23</v>
      </c>
      <c r="Q485" s="60">
        <f>IFERROR(IF(12 / VLOOKUP(Table2[[#This Row],[Rateizzazione]],TIPI_RATEIZZAZIONI,2,FALSE) &gt;=1,  IF(Table2[[#This Row],[Data attivazione]] = "","-",MONTH(Table2[[#This Row],[Data attivazione]])),"-"),"-")</f>
        <v>7</v>
      </c>
      <c r="R4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5" s="67" t="s">
        <v>2</v>
      </c>
      <c r="V485" s="62"/>
      <c r="W485" s="64">
        <v>42923</v>
      </c>
      <c r="X485" s="29">
        <f>DATE(YEAR(Table2[[#This Row],[Data attivazione]])+VLOOKUP(Table2[[#This Row],[Durata]],VALORE_DURATA,2,FALSE),MONTH(Table2[[#This Row],[Data attivazione]]),DAY(Table2[[#This Row],[Data attivazione]]))</f>
        <v>43288</v>
      </c>
      <c r="Y485" s="65"/>
      <c r="Z485" s="61"/>
      <c r="AA485" s="64" t="s">
        <v>85</v>
      </c>
      <c r="AB485" s="29">
        <f>IF(Table2[[#This Row],[Data ultimo versamento temp]]=0/1/1900,"-",Table2[[#This Row],[Data ultimo versamento temp]])</f>
        <v>42925</v>
      </c>
      <c r="AC485" s="29">
        <f t="array" ref="AC485">MAX(IF(TableVersamenti[Polizza]=Table2[[#This Row],[Polizza]],TableVersamenti[Data prevista versamento],"-"))</f>
        <v>42925</v>
      </c>
      <c r="AD485" s="62"/>
      <c r="AE485" s="106">
        <f>DATE(YEAR(Table2[[#This Row],[Data ultimo pagamento]]),MONTH(Table2[[#This Row],[Data ultimo pagamento]]), 1)</f>
        <v>42917</v>
      </c>
      <c r="AF485" s="106">
        <f>DATE(YEAR(Table2[[#This Row],[Data prossima scadenza]]),MONTH(Table2[[#This Row],[Data prossima scadenza]]), 1)</f>
        <v>43282</v>
      </c>
      <c r="AG485" s="33">
        <f>IFERROR(Table2[[#This Row],[Importo annuale]]*VLOOKUP(Table2[[#This Row],[Ramo]],RAMI_POLIZZA,2,FALSE),0)</f>
        <v>21.564399999999999</v>
      </c>
      <c r="AH485" s="65" t="s">
        <v>113</v>
      </c>
      <c r="AI485" s="63" t="str">
        <f>IFERROR(VLOOKUP(Table2[[#This Row],[Contraente]],Table1[[Nome/Ragione sociale]:[Checkbox selezionato]],2,FALSE),"-")</f>
        <v xml:space="preserve">GENZONE </v>
      </c>
      <c r="AJ485" s="63">
        <f>IFERROR(VLOOKUP(Table2[[#This Row],[Contraente]],Table1[[Nome/Ragione sociale]:[Checkbox selezionato]],3,FALSE),"-")</f>
        <v>3496635799</v>
      </c>
      <c r="AK485" s="63">
        <f>IFERROR(VLOOKUP(Table2[[#This Row],[Contraente]],Table1[[Nome/Ragione sociale]:[Checkbox selezionato]],4,FALSE),"-")</f>
        <v>0</v>
      </c>
      <c r="AL485" s="63" t="str">
        <f>IFERROR(VLOOKUP(Table2[[#This Row],[Contraente]],Table1[[Nome/Ragione sociale]:[Checkbox selezionato]],5,FALSE),"-")</f>
        <v>ANNA MARIA</v>
      </c>
      <c r="AM485" s="62">
        <f>IFERROR(VLOOKUP(Table2[[#This Row],[Contraente]],Table1[[Nome/Ragione sociale]:[Checkbox selezionato]],6,FALSE),"-")</f>
        <v>22875</v>
      </c>
      <c r="AN485" s="63" t="str">
        <f>IFERROR(VLOOKUP(Table2[[#This Row],[Contraente]],Table1[[Nome/Ragione sociale]:[Checkbox selezionato]],7,FALSE),"-")</f>
        <v>papies@libero.it</v>
      </c>
      <c r="AO485" s="63">
        <f>IFERROR(VLOOKUP(Table2[[#This Row],[Contraente]],Table1[[Nome/Ragione sociale]:[Checkbox selezionato]],8,FALSE),"-")</f>
        <v>0</v>
      </c>
      <c r="AP485" s="63">
        <f>IFERROR(VLOOKUP(Table2[[#This Row],[Contraente]],Table1[[Nome/Ragione sociale]:[Checkbox selezionato]],10,FALSE),"-")</f>
        <v>3496635799</v>
      </c>
      <c r="AQ485" s="63" t="str">
        <f>IFERROR(VLOOKUP(Table2[[#This Row],[Contraente]],Table1[[Nome/Ragione sociale]:[Checkbox selezionato]],11,FALSE),"-")</f>
        <v>SI</v>
      </c>
      <c r="AR485" s="63" t="str">
        <f>IFERROR(VLOOKUP(Table2[[#This Row],[Contraente]],Table1[[Nome/Ragione sociale]:[Checkbox selezionato]],12,FALSE),"-")</f>
        <v>SI</v>
      </c>
    </row>
    <row r="486" spans="1:44" ht="30" hidden="1" customHeight="1" x14ac:dyDescent="0.25">
      <c r="A486" s="60" t="str">
        <f>UPPER(LEFT(Table2[[#This Row],[Contraente]],1))</f>
        <v>F</v>
      </c>
      <c r="B486" s="60" t="s">
        <v>1634</v>
      </c>
      <c r="C486" s="81" t="s">
        <v>660</v>
      </c>
      <c r="D486" s="81" t="s">
        <v>37</v>
      </c>
      <c r="E486" s="86">
        <v>106680295</v>
      </c>
      <c r="F486" s="64">
        <v>42823</v>
      </c>
      <c r="G486" s="64">
        <f>IFERROR(CALCOLASCADENZA(Table2[[#This Row],[Data attivazione]],Table2[[#This Row],[Rateizzazione]],Table2[[#This Row],[Data ultimo pagamento]],Table2[[#This Row],[Data prossima scadenza manuale]]),"-")</f>
        <v>42945</v>
      </c>
      <c r="H486" s="67" t="s">
        <v>31</v>
      </c>
      <c r="I486" s="67" t="s">
        <v>1322</v>
      </c>
      <c r="J486" s="33">
        <f>IFERROR(Table2[[#This Row],[Importo annuale]]/(12/VLOOKUP(Table2[[#This Row],[Rateizzazione]],TIPI_RATEIZZAZIONI,2,FALSE)),"-")</f>
        <v>100</v>
      </c>
      <c r="K486" s="88">
        <v>100</v>
      </c>
      <c r="L486" s="88">
        <v>100</v>
      </c>
      <c r="M486" s="67" t="s">
        <v>43</v>
      </c>
      <c r="N486" s="67" t="s">
        <v>52</v>
      </c>
      <c r="O486" s="27" t="s">
        <v>1631</v>
      </c>
      <c r="P486" s="33" t="s">
        <v>23</v>
      </c>
      <c r="Q486" s="60">
        <f>IFERROR(IF(12 / VLOOKUP(Table2[[#This Row],[Rateizzazione]],TIPI_RATEIZZAZIONI,2,FALSE) &gt;=1,  IF(Table2[[#This Row],[Data attivazione]] = "","-",MONTH(Table2[[#This Row],[Data attivazione]])),"-"),"-")</f>
        <v>7</v>
      </c>
      <c r="R4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6" s="67" t="s">
        <v>2</v>
      </c>
      <c r="V486" s="62"/>
      <c r="W486" s="64">
        <v>42580</v>
      </c>
      <c r="X486" s="29">
        <f>DATE(YEAR(Table2[[#This Row],[Data attivazione]])+VLOOKUP(Table2[[#This Row],[Durata]],VALORE_DURATA,2,FALSE),MONTH(Table2[[#This Row],[Data attivazione]]),DAY(Table2[[#This Row],[Data attivazione]]))</f>
        <v>42945</v>
      </c>
      <c r="Y486" s="65"/>
      <c r="Z486" s="61"/>
      <c r="AA486" s="64" t="s">
        <v>85</v>
      </c>
      <c r="AB486" s="29" t="str">
        <f>IF(Table2[[#This Row],[Data ultimo versamento temp]]=0/1/1900,"-",Table2[[#This Row],[Data ultimo versamento temp]])</f>
        <v>-</v>
      </c>
      <c r="AC486" s="29">
        <f t="array" ref="AC486">MAX(IF(TableVersamenti[Polizza]=Table2[[#This Row],[Polizza]],TableVersamenti[Data prevista versamento],"-"))</f>
        <v>0</v>
      </c>
      <c r="AD486" s="62"/>
      <c r="AE486" s="106">
        <f>DATE(YEAR(Table2[[#This Row],[Data ultimo pagamento]]),MONTH(Table2[[#This Row],[Data ultimo pagamento]]), 1)</f>
        <v>42795</v>
      </c>
      <c r="AF486" s="106">
        <f>DATE(YEAR(Table2[[#This Row],[Data prossima scadenza]]),MONTH(Table2[[#This Row],[Data prossima scadenza]]), 1)</f>
        <v>42917</v>
      </c>
      <c r="AG486" s="33">
        <f>IFERROR(Table2[[#This Row],[Importo annuale]]*VLOOKUP(Table2[[#This Row],[Ramo]],RAMI_POLIZZA,2,FALSE),0)</f>
        <v>5.2</v>
      </c>
      <c r="AH486" s="65" t="s">
        <v>113</v>
      </c>
      <c r="AI486" s="63" t="str">
        <f>IFERROR(VLOOKUP(Table2[[#This Row],[Contraente]],Table1[[Nome/Ragione sociale]:[Checkbox selezionato]],2,FALSE),"-")</f>
        <v>BELGIOIOSO</v>
      </c>
      <c r="AJ486" s="63">
        <f>IFERROR(VLOOKUP(Table2[[#This Row],[Contraente]],Table1[[Nome/Ragione sociale]:[Checkbox selezionato]],3,FALSE),"-")</f>
        <v>3923968063</v>
      </c>
      <c r="AK486" s="63">
        <f>IFERROR(VLOOKUP(Table2[[#This Row],[Contraente]],Table1[[Nome/Ragione sociale]:[Checkbox selezionato]],4,FALSE),"-")</f>
        <v>0</v>
      </c>
      <c r="AL486" s="63" t="str">
        <f>IFERROR(VLOOKUP(Table2[[#This Row],[Contraente]],Table1[[Nome/Ragione sociale]:[Checkbox selezionato]],5,FALSE),"-")</f>
        <v>MAURO</v>
      </c>
      <c r="AM486" s="62">
        <f>IFERROR(VLOOKUP(Table2[[#This Row],[Contraente]],Table1[[Nome/Ragione sociale]:[Checkbox selezionato]],6,FALSE),"-")</f>
        <v>22976</v>
      </c>
      <c r="AN486" s="63" t="str">
        <f>IFERROR(VLOOKUP(Table2[[#This Row],[Contraente]],Table1[[Nome/Ragione sociale]:[Checkbox selezionato]],7,FALSE),"-")</f>
        <v>papies@libero.it</v>
      </c>
      <c r="AO486" s="63">
        <f>IFERROR(VLOOKUP(Table2[[#This Row],[Contraente]],Table1[[Nome/Ragione sociale]:[Checkbox selezionato]],8,FALSE),"-")</f>
        <v>0</v>
      </c>
      <c r="AP486" s="63">
        <f>IFERROR(VLOOKUP(Table2[[#This Row],[Contraente]],Table1[[Nome/Ragione sociale]:[Checkbox selezionato]],10,FALSE),"-")</f>
        <v>3923968063</v>
      </c>
      <c r="AQ486" s="63" t="str">
        <f>IFERROR(VLOOKUP(Table2[[#This Row],[Contraente]],Table1[[Nome/Ragione sociale]:[Checkbox selezionato]],11,FALSE),"-")</f>
        <v>SI</v>
      </c>
      <c r="AR486" s="63" t="str">
        <f>IFERROR(VLOOKUP(Table2[[#This Row],[Contraente]],Table1[[Nome/Ragione sociale]:[Checkbox selezionato]],12,FALSE),"-")</f>
        <v>SI</v>
      </c>
    </row>
    <row r="487" spans="1:44" ht="30" hidden="1" customHeight="1" x14ac:dyDescent="0.25">
      <c r="A487" s="60" t="str">
        <f>UPPER(LEFT(Table2[[#This Row],[Contraente]],1))</f>
        <v>F</v>
      </c>
      <c r="B487" s="60" t="s">
        <v>1634</v>
      </c>
      <c r="C487" s="81" t="s">
        <v>660</v>
      </c>
      <c r="D487" s="81" t="s">
        <v>37</v>
      </c>
      <c r="E487" s="86">
        <v>106591555</v>
      </c>
      <c r="F487" s="64">
        <v>42928</v>
      </c>
      <c r="G487" s="64">
        <f>IFERROR(CALCOLASCADENZA(Table2[[#This Row],[Data attivazione]],Table2[[#This Row],[Rateizzazione]],Table2[[#This Row],[Data ultimo pagamento]],Table2[[#This Row],[Data prossima scadenza manuale]]),"-")</f>
        <v>43035</v>
      </c>
      <c r="H487" s="67" t="s">
        <v>31</v>
      </c>
      <c r="I487" s="67" t="s">
        <v>1321</v>
      </c>
      <c r="J487" s="33">
        <f>IFERROR(Table2[[#This Row],[Importo annuale]]/(12/VLOOKUP(Table2[[#This Row],[Rateizzazione]],TIPI_RATEIZZAZIONI,2,FALSE)),"-")</f>
        <v>350</v>
      </c>
      <c r="K487" s="88">
        <v>700</v>
      </c>
      <c r="L487" s="88">
        <v>1050</v>
      </c>
      <c r="M487" s="67" t="s">
        <v>44</v>
      </c>
      <c r="N487" s="67" t="s">
        <v>51</v>
      </c>
      <c r="O487" s="27" t="s">
        <v>1631</v>
      </c>
      <c r="P487" s="33" t="s">
        <v>21</v>
      </c>
      <c r="Q487" s="60">
        <f>IFERROR(IF(12 / VLOOKUP(Table2[[#This Row],[Rateizzazione]],TIPI_RATEIZZAZIONI,2,FALSE) &gt;=1,  IF(Table2[[#This Row],[Data attivazione]] = "","-",MONTH(Table2[[#This Row],[Data attivazione]])),"-"),"-")</f>
        <v>2</v>
      </c>
      <c r="R4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4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7" s="67" t="s">
        <v>2</v>
      </c>
      <c r="V487" s="62"/>
      <c r="W487" s="64">
        <v>42793</v>
      </c>
      <c r="X487" s="29">
        <f>DATE(YEAR(Table2[[#This Row],[Data attivazione]])+VLOOKUP(Table2[[#This Row],[Durata]],VALORE_DURATA,2,FALSE),MONTH(Table2[[#This Row],[Data attivazione]]),DAY(Table2[[#This Row],[Data attivazione]]))</f>
        <v>43158</v>
      </c>
      <c r="Y487" s="65"/>
      <c r="Z487" s="61"/>
      <c r="AA487" s="64" t="s">
        <v>85</v>
      </c>
      <c r="AB487" s="29">
        <f>IF(Table2[[#This Row],[Data ultimo versamento temp]]=0/1/1900,"-",Table2[[#This Row],[Data ultimo versamento temp]])</f>
        <v>42931</v>
      </c>
      <c r="AC487" s="29">
        <f t="array" ref="AC487">MAX(IF(TableVersamenti[Polizza]=Table2[[#This Row],[Polizza]],TableVersamenti[Data prevista versamento],"-"))</f>
        <v>42931</v>
      </c>
      <c r="AD487" s="62"/>
      <c r="AE487" s="106">
        <f>DATE(YEAR(Table2[[#This Row],[Data ultimo pagamento]]),MONTH(Table2[[#This Row],[Data ultimo pagamento]]), 1)</f>
        <v>42917</v>
      </c>
      <c r="AF487" s="106">
        <f>DATE(YEAR(Table2[[#This Row],[Data prossima scadenza]]),MONTH(Table2[[#This Row],[Data prossima scadenza]]), 1)</f>
        <v>43009</v>
      </c>
      <c r="AG487" s="33">
        <f>IFERROR(Table2[[#This Row],[Importo annuale]]*VLOOKUP(Table2[[#This Row],[Ramo]],RAMI_POLIZZA,2,FALSE),0)</f>
        <v>54.599999999999994</v>
      </c>
      <c r="AH487" s="65" t="s">
        <v>113</v>
      </c>
      <c r="AI487" s="63" t="str">
        <f>IFERROR(VLOOKUP(Table2[[#This Row],[Contraente]],Table1[[Nome/Ragione sociale]:[Checkbox selezionato]],2,FALSE),"-")</f>
        <v>BELGIOIOSO</v>
      </c>
      <c r="AJ487" s="63">
        <f>IFERROR(VLOOKUP(Table2[[#This Row],[Contraente]],Table1[[Nome/Ragione sociale]:[Checkbox selezionato]],3,FALSE),"-")</f>
        <v>3923968063</v>
      </c>
      <c r="AK487" s="63">
        <f>IFERROR(VLOOKUP(Table2[[#This Row],[Contraente]],Table1[[Nome/Ragione sociale]:[Checkbox selezionato]],4,FALSE),"-")</f>
        <v>0</v>
      </c>
      <c r="AL487" s="63" t="str">
        <f>IFERROR(VLOOKUP(Table2[[#This Row],[Contraente]],Table1[[Nome/Ragione sociale]:[Checkbox selezionato]],5,FALSE),"-")</f>
        <v>MAURO</v>
      </c>
      <c r="AM487" s="62">
        <f>IFERROR(VLOOKUP(Table2[[#This Row],[Contraente]],Table1[[Nome/Ragione sociale]:[Checkbox selezionato]],6,FALSE),"-")</f>
        <v>22976</v>
      </c>
      <c r="AN487" s="63" t="str">
        <f>IFERROR(VLOOKUP(Table2[[#This Row],[Contraente]],Table1[[Nome/Ragione sociale]:[Checkbox selezionato]],7,FALSE),"-")</f>
        <v>papies@libero.it</v>
      </c>
      <c r="AO487" s="63">
        <f>IFERROR(VLOOKUP(Table2[[#This Row],[Contraente]],Table1[[Nome/Ragione sociale]:[Checkbox selezionato]],8,FALSE),"-")</f>
        <v>0</v>
      </c>
      <c r="AP487" s="63">
        <f>IFERROR(VLOOKUP(Table2[[#This Row],[Contraente]],Table1[[Nome/Ragione sociale]:[Checkbox selezionato]],10,FALSE),"-")</f>
        <v>3923968063</v>
      </c>
      <c r="AQ487" s="63" t="str">
        <f>IFERROR(VLOOKUP(Table2[[#This Row],[Contraente]],Table1[[Nome/Ragione sociale]:[Checkbox selezionato]],11,FALSE),"-")</f>
        <v>SI</v>
      </c>
      <c r="AR487" s="63" t="str">
        <f>IFERROR(VLOOKUP(Table2[[#This Row],[Contraente]],Table1[[Nome/Ragione sociale]:[Checkbox selezionato]],12,FALSE),"-")</f>
        <v>SI</v>
      </c>
    </row>
    <row r="488" spans="1:44" ht="30" hidden="1" customHeight="1" x14ac:dyDescent="0.25">
      <c r="A488" s="60" t="str">
        <f>UPPER(LEFT(Table2[[#This Row],[Contraente]],1))</f>
        <v>F</v>
      </c>
      <c r="B488" s="60" t="s">
        <v>1634</v>
      </c>
      <c r="C488" s="81" t="s">
        <v>660</v>
      </c>
      <c r="D488" s="81" t="s">
        <v>37</v>
      </c>
      <c r="E488" s="86">
        <v>1085434</v>
      </c>
      <c r="F488" s="64">
        <v>42800</v>
      </c>
      <c r="G488" s="64">
        <f>IFERROR(CALCOLASCADENZA(Table2[[#This Row],[Data attivazione]],Table2[[#This Row],[Rateizzazione]],Table2[[#This Row],[Data ultimo pagamento]],Table2[[#This Row],[Data prossima scadenza manuale]]),"-")</f>
        <v>42892</v>
      </c>
      <c r="H488" s="67" t="s">
        <v>32</v>
      </c>
      <c r="I488" s="67" t="s">
        <v>113</v>
      </c>
      <c r="J488" s="33">
        <f>IFERROR(Table2[[#This Row],[Importo annuale]]/(12/VLOOKUP(Table2[[#This Row],[Rateizzazione]],TIPI_RATEIZZAZIONI,2,FALSE)),"-")</f>
        <v>300</v>
      </c>
      <c r="K488" s="88">
        <v>300</v>
      </c>
      <c r="L488" s="88">
        <v>1200</v>
      </c>
      <c r="M488" s="67" t="s">
        <v>44</v>
      </c>
      <c r="N488" s="67" t="s">
        <v>52</v>
      </c>
      <c r="O488" s="27" t="s">
        <v>1631</v>
      </c>
      <c r="P488" s="33" t="s">
        <v>20</v>
      </c>
      <c r="Q488" s="60">
        <f>IFERROR(IF(12 / VLOOKUP(Table2[[#This Row],[Rateizzazione]],TIPI_RATEIZZAZIONI,2,FALSE) &gt;=1,  IF(Table2[[#This Row],[Data attivazione]] = "","-",MONTH(Table2[[#This Row],[Data attivazione]])),"-"),"-")</f>
        <v>6</v>
      </c>
      <c r="R4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8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48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3</v>
      </c>
      <c r="U488" s="67" t="s">
        <v>2</v>
      </c>
      <c r="V488" s="62"/>
      <c r="W488" s="64">
        <v>42527</v>
      </c>
      <c r="X488" s="29">
        <f>DATE(YEAR(Table2[[#This Row],[Data attivazione]])+VLOOKUP(Table2[[#This Row],[Durata]],VALORE_DURATA,2,FALSE),MONTH(Table2[[#This Row],[Data attivazione]]),DAY(Table2[[#This Row],[Data attivazione]]))</f>
        <v>42892</v>
      </c>
      <c r="Y488" s="65"/>
      <c r="Z488" s="61"/>
      <c r="AA488" s="64" t="s">
        <v>88</v>
      </c>
      <c r="AB488" s="29" t="str">
        <f>IF(Table2[[#This Row],[Data ultimo versamento temp]]=0/1/1900,"-",Table2[[#This Row],[Data ultimo versamento temp]])</f>
        <v>-</v>
      </c>
      <c r="AC488" s="29">
        <f t="array" ref="AC488">MAX(IF(TableVersamenti[Polizza]=Table2[[#This Row],[Polizza]],TableVersamenti[Data prevista versamento],"-"))</f>
        <v>0</v>
      </c>
      <c r="AD488" s="62"/>
      <c r="AE488" s="106">
        <f>DATE(YEAR(Table2[[#This Row],[Data ultimo pagamento]]),MONTH(Table2[[#This Row],[Data ultimo pagamento]]), 1)</f>
        <v>42795</v>
      </c>
      <c r="AF488" s="106">
        <f>DATE(YEAR(Table2[[#This Row],[Data prossima scadenza]]),MONTH(Table2[[#This Row],[Data prossima scadenza]]), 1)</f>
        <v>42887</v>
      </c>
      <c r="AG488" s="33">
        <f>IFERROR(Table2[[#This Row],[Importo annuale]]*VLOOKUP(Table2[[#This Row],[Ramo]],RAMI_POLIZZA,2,FALSE),0)</f>
        <v>18</v>
      </c>
      <c r="AH488" s="65" t="s">
        <v>113</v>
      </c>
      <c r="AI488" s="63" t="str">
        <f>IFERROR(VLOOKUP(Table2[[#This Row],[Contraente]],Table1[[Nome/Ragione sociale]:[Checkbox selezionato]],2,FALSE),"-")</f>
        <v>BELGIOIOSO</v>
      </c>
      <c r="AJ488" s="63">
        <f>IFERROR(VLOOKUP(Table2[[#This Row],[Contraente]],Table1[[Nome/Ragione sociale]:[Checkbox selezionato]],3,FALSE),"-")</f>
        <v>3923968063</v>
      </c>
      <c r="AK488" s="63">
        <f>IFERROR(VLOOKUP(Table2[[#This Row],[Contraente]],Table1[[Nome/Ragione sociale]:[Checkbox selezionato]],4,FALSE),"-")</f>
        <v>0</v>
      </c>
      <c r="AL488" s="63" t="str">
        <f>IFERROR(VLOOKUP(Table2[[#This Row],[Contraente]],Table1[[Nome/Ragione sociale]:[Checkbox selezionato]],5,FALSE),"-")</f>
        <v>MAURO</v>
      </c>
      <c r="AM488" s="62">
        <f>IFERROR(VLOOKUP(Table2[[#This Row],[Contraente]],Table1[[Nome/Ragione sociale]:[Checkbox selezionato]],6,FALSE),"-")</f>
        <v>22976</v>
      </c>
      <c r="AN488" s="63" t="str">
        <f>IFERROR(VLOOKUP(Table2[[#This Row],[Contraente]],Table1[[Nome/Ragione sociale]:[Checkbox selezionato]],7,FALSE),"-")</f>
        <v>papies@libero.it</v>
      </c>
      <c r="AO488" s="63">
        <f>IFERROR(VLOOKUP(Table2[[#This Row],[Contraente]],Table1[[Nome/Ragione sociale]:[Checkbox selezionato]],8,FALSE),"-")</f>
        <v>0</v>
      </c>
      <c r="AP488" s="63">
        <f>IFERROR(VLOOKUP(Table2[[#This Row],[Contraente]],Table1[[Nome/Ragione sociale]:[Checkbox selezionato]],10,FALSE),"-")</f>
        <v>3923968063</v>
      </c>
      <c r="AQ488" s="63" t="str">
        <f>IFERROR(VLOOKUP(Table2[[#This Row],[Contraente]],Table1[[Nome/Ragione sociale]:[Checkbox selezionato]],11,FALSE),"-")</f>
        <v>SI</v>
      </c>
      <c r="AR488" s="63" t="str">
        <f>IFERROR(VLOOKUP(Table2[[#This Row],[Contraente]],Table1[[Nome/Ragione sociale]:[Checkbox selezionato]],12,FALSE),"-")</f>
        <v>SI</v>
      </c>
    </row>
    <row r="489" spans="1:44" ht="30" hidden="1" customHeight="1" x14ac:dyDescent="0.25">
      <c r="A489" s="60" t="str">
        <f>UPPER(LEFT(Table2[[#This Row],[Contraente]],1))</f>
        <v>F</v>
      </c>
      <c r="B489" s="60" t="s">
        <v>1634</v>
      </c>
      <c r="C489" s="81" t="s">
        <v>661</v>
      </c>
      <c r="D489" s="81" t="s">
        <v>37</v>
      </c>
      <c r="E489" s="86">
        <v>106384102</v>
      </c>
      <c r="F489" s="64">
        <v>42734</v>
      </c>
      <c r="G489" s="64">
        <f>IFERROR(CALCOLASCADENZA(Table2[[#This Row],[Data attivazione]],Table2[[#This Row],[Rateizzazione]],Table2[[#This Row],[Data ultimo pagamento]],Table2[[#This Row],[Data prossima scadenza manuale]]),"-")</f>
        <v>42734</v>
      </c>
      <c r="H489" s="67" t="s">
        <v>31</v>
      </c>
      <c r="I489" s="67" t="s">
        <v>1323</v>
      </c>
      <c r="J489" s="33">
        <v>19</v>
      </c>
      <c r="K489" s="88"/>
      <c r="L489" s="88">
        <v>602</v>
      </c>
      <c r="M489" s="67" t="s">
        <v>43</v>
      </c>
      <c r="N489" s="67" t="s">
        <v>51</v>
      </c>
      <c r="O489" s="27" t="s">
        <v>1631</v>
      </c>
      <c r="P489" s="33" t="s">
        <v>24</v>
      </c>
      <c r="Q48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9" s="67" t="s">
        <v>2</v>
      </c>
      <c r="V489" s="62"/>
      <c r="W489" s="64">
        <v>42432</v>
      </c>
      <c r="X489" s="29">
        <f>DATE(YEAR(Table2[[#This Row],[Data attivazione]])+VLOOKUP(Table2[[#This Row],[Durata]],VALORE_DURATA,2,FALSE),MONTH(Table2[[#This Row],[Data attivazione]]),DAY(Table2[[#This Row],[Data attivazione]]))</f>
        <v>42797</v>
      </c>
      <c r="Y489" s="65"/>
      <c r="Z489" s="61"/>
      <c r="AA489" s="64" t="s">
        <v>88</v>
      </c>
      <c r="AB489" s="29" t="str">
        <f>IF(Table2[[#This Row],[Data ultimo versamento temp]]=0/1/1900,"-",Table2[[#This Row],[Data ultimo versamento temp]])</f>
        <v>-</v>
      </c>
      <c r="AC489" s="29">
        <f t="array" ref="AC489">MAX(IF(TableVersamenti[Polizza]=Table2[[#This Row],[Polizza]],TableVersamenti[Data prevista versamento],"-"))</f>
        <v>0</v>
      </c>
      <c r="AD489" s="62"/>
      <c r="AE489" s="106">
        <f>DATE(YEAR(Table2[[#This Row],[Data ultimo pagamento]]),MONTH(Table2[[#This Row],[Data ultimo pagamento]]), 1)</f>
        <v>42705</v>
      </c>
      <c r="AF489" s="106">
        <f>DATE(YEAR(Table2[[#This Row],[Data prossima scadenza]]),MONTH(Table2[[#This Row],[Data prossima scadenza]]), 1)</f>
        <v>42705</v>
      </c>
      <c r="AG489" s="33">
        <f>IFERROR(Table2[[#This Row],[Importo annuale]]*VLOOKUP(Table2[[#This Row],[Ramo]],RAMI_POLIZZA,2,FALSE),0)</f>
        <v>31.303999999999998</v>
      </c>
      <c r="AH489" s="65" t="s">
        <v>113</v>
      </c>
      <c r="AI489" s="63" t="str">
        <f>IFERROR(VLOOKUP(Table2[[#This Row],[Contraente]],Table1[[Nome/Ragione sociale]:[Checkbox selezionato]],2,FALSE),"-")</f>
        <v>MILANO</v>
      </c>
      <c r="AJ489" s="63">
        <f>IFERROR(VLOOKUP(Table2[[#This Row],[Contraente]],Table1[[Nome/Ragione sociale]:[Checkbox selezionato]],3,FALSE),"-")</f>
        <v>3469864961</v>
      </c>
      <c r="AK489" s="63">
        <f>IFERROR(VLOOKUP(Table2[[#This Row],[Contraente]],Table1[[Nome/Ragione sociale]:[Checkbox selezionato]],4,FALSE),"-")</f>
        <v>0</v>
      </c>
      <c r="AL489" s="63" t="str">
        <f>IFERROR(VLOOKUP(Table2[[#This Row],[Contraente]],Table1[[Nome/Ragione sociale]:[Checkbox selezionato]],5,FALSE),"-")</f>
        <v>ALESSANDRO</v>
      </c>
      <c r="AM489" s="62">
        <f>IFERROR(VLOOKUP(Table2[[#This Row],[Contraente]],Table1[[Nome/Ragione sociale]:[Checkbox selezionato]],6,FALSE),"-")</f>
        <v>23087</v>
      </c>
      <c r="AN489" s="63" t="str">
        <f>IFERROR(VLOOKUP(Table2[[#This Row],[Contraente]],Table1[[Nome/Ragione sociale]:[Checkbox selezionato]],7,FALSE),"-")</f>
        <v>papies@email.it</v>
      </c>
      <c r="AO489" s="63">
        <f>IFERROR(VLOOKUP(Table2[[#This Row],[Contraente]],Table1[[Nome/Ragione sociale]:[Checkbox selezionato]],8,FALSE),"-")</f>
        <v>0</v>
      </c>
      <c r="AP489" s="63">
        <f>IFERROR(VLOOKUP(Table2[[#This Row],[Contraente]],Table1[[Nome/Ragione sociale]:[Checkbox selezionato]],10,FALSE),"-")</f>
        <v>3469864961</v>
      </c>
      <c r="AQ489" s="63" t="str">
        <f>IFERROR(VLOOKUP(Table2[[#This Row],[Contraente]],Table1[[Nome/Ragione sociale]:[Checkbox selezionato]],11,FALSE),"-")</f>
        <v>SI</v>
      </c>
      <c r="AR489" s="63" t="str">
        <f>IFERROR(VLOOKUP(Table2[[#This Row],[Contraente]],Table1[[Nome/Ragione sociale]:[Checkbox selezionato]],12,FALSE),"-")</f>
        <v>SI</v>
      </c>
    </row>
    <row r="490" spans="1:44" ht="30" hidden="1" customHeight="1" x14ac:dyDescent="0.25">
      <c r="A490" s="60" t="str">
        <f>UPPER(LEFT(Table2[[#This Row],[Contraente]],1))</f>
        <v>F</v>
      </c>
      <c r="B490" s="60" t="s">
        <v>1634</v>
      </c>
      <c r="C490" s="81" t="s">
        <v>653</v>
      </c>
      <c r="D490" s="81" t="s">
        <v>37</v>
      </c>
      <c r="E490" s="86">
        <v>106344283</v>
      </c>
      <c r="F490" s="64">
        <v>42905</v>
      </c>
      <c r="G490" s="64">
        <f>IFERROR(CALCOLASCADENZA(Table2[[#This Row],[Data attivazione]],Table2[[#This Row],[Rateizzazione]],Table2[[#This Row],[Data ultimo pagamento]],Table2[[#This Row],[Data prossima scadenza manuale]]),"-")</f>
        <v>43074</v>
      </c>
      <c r="H490" s="67" t="s">
        <v>31</v>
      </c>
      <c r="I490" s="67" t="s">
        <v>1317</v>
      </c>
      <c r="J490" s="33">
        <f>IFERROR(Table2[[#This Row],[Importo annuale]]/(12/VLOOKUP(Table2[[#This Row],[Rateizzazione]],TIPI_RATEIZZAZIONI,2,FALSE)),"-")</f>
        <v>200</v>
      </c>
      <c r="K490" s="88">
        <v>200</v>
      </c>
      <c r="L490" s="88">
        <v>400</v>
      </c>
      <c r="M490" s="67" t="s">
        <v>43</v>
      </c>
      <c r="N490" s="67" t="s">
        <v>51</v>
      </c>
      <c r="O490" s="27" t="s">
        <v>1631</v>
      </c>
      <c r="P490" s="33" t="s">
        <v>22</v>
      </c>
      <c r="Q490" s="60">
        <f>IFERROR(IF(12 / VLOOKUP(Table2[[#This Row],[Rateizzazione]],TIPI_RATEIZZAZIONI,2,FALSE) &gt;=1,  IF(Table2[[#This Row],[Data attivazione]] = "","-",MONTH(Table2[[#This Row],[Data attivazione]])),"-"),"-")</f>
        <v>12</v>
      </c>
      <c r="R4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0" s="67" t="s">
        <v>2</v>
      </c>
      <c r="V490" s="62"/>
      <c r="W490" s="64">
        <v>42709</v>
      </c>
      <c r="X490" s="29">
        <f>DATE(YEAR(Table2[[#This Row],[Data attivazione]])+VLOOKUP(Table2[[#This Row],[Durata]],VALORE_DURATA,2,FALSE),MONTH(Table2[[#This Row],[Data attivazione]]),DAY(Table2[[#This Row],[Data attivazione]]))</f>
        <v>43074</v>
      </c>
      <c r="Y490" s="65"/>
      <c r="Z490" s="61"/>
      <c r="AA490" s="64" t="s">
        <v>85</v>
      </c>
      <c r="AB490" s="29" t="str">
        <f>IF(Table2[[#This Row],[Data ultimo versamento temp]]=0/1/1900,"-",Table2[[#This Row],[Data ultimo versamento temp]])</f>
        <v>-</v>
      </c>
      <c r="AC490" s="29">
        <f t="array" ref="AC490">MAX(IF(TableVersamenti[Polizza]=Table2[[#This Row],[Polizza]],TableVersamenti[Data prevista versamento],"-"))</f>
        <v>0</v>
      </c>
      <c r="AD490" s="62"/>
      <c r="AE490" s="106">
        <f>DATE(YEAR(Table2[[#This Row],[Data ultimo pagamento]]),MONTH(Table2[[#This Row],[Data ultimo pagamento]]), 1)</f>
        <v>42887</v>
      </c>
      <c r="AF490" s="106">
        <f>DATE(YEAR(Table2[[#This Row],[Data prossima scadenza]]),MONTH(Table2[[#This Row],[Data prossima scadenza]]), 1)</f>
        <v>43070</v>
      </c>
      <c r="AG490" s="33">
        <f>IFERROR(Table2[[#This Row],[Importo annuale]]*VLOOKUP(Table2[[#This Row],[Ramo]],RAMI_POLIZZA,2,FALSE),0)</f>
        <v>20.8</v>
      </c>
      <c r="AH490" s="65" t="s">
        <v>113</v>
      </c>
      <c r="AI490" s="63" t="str">
        <f>IFERROR(VLOOKUP(Table2[[#This Row],[Contraente]],Table1[[Nome/Ragione sociale]:[Checkbox selezionato]],2,FALSE),"-")</f>
        <v>BELGIOIOSO</v>
      </c>
      <c r="AJ490" s="63">
        <f>IFERROR(VLOOKUP(Table2[[#This Row],[Contraente]],Table1[[Nome/Ragione sociale]:[Checkbox selezionato]],3,FALSE),"-")</f>
        <v>3392276697</v>
      </c>
      <c r="AK490" s="63">
        <f>IFERROR(VLOOKUP(Table2[[#This Row],[Contraente]],Table1[[Nome/Ragione sociale]:[Checkbox selezionato]],4,FALSE),"-")</f>
        <v>0</v>
      </c>
      <c r="AL490" s="63" t="str">
        <f>IFERROR(VLOOKUP(Table2[[#This Row],[Contraente]],Table1[[Nome/Ragione sociale]:[Checkbox selezionato]],5,FALSE),"-")</f>
        <v>TEDESCO GIOVANNI</v>
      </c>
      <c r="AM490" s="62">
        <f>IFERROR(VLOOKUP(Table2[[#This Row],[Contraente]],Table1[[Nome/Ragione sociale]:[Checkbox selezionato]],6,FALSE),"-")</f>
        <v>22335</v>
      </c>
      <c r="AN490" s="63" t="str">
        <f>IFERROR(VLOOKUP(Table2[[#This Row],[Contraente]],Table1[[Nome/Ragione sociale]:[Checkbox selezionato]],7,FALSE),"-")</f>
        <v>papies@libero.it</v>
      </c>
      <c r="AO490" s="63">
        <f>IFERROR(VLOOKUP(Table2[[#This Row],[Contraente]],Table1[[Nome/Ragione sociale]:[Checkbox selezionato]],8,FALSE),"-")</f>
        <v>0</v>
      </c>
      <c r="AP490" s="63">
        <f>IFERROR(VLOOKUP(Table2[[#This Row],[Contraente]],Table1[[Nome/Ragione sociale]:[Checkbox selezionato]],10,FALSE),"-")</f>
        <v>3392276697</v>
      </c>
      <c r="AQ490" s="63" t="str">
        <f>IFERROR(VLOOKUP(Table2[[#This Row],[Contraente]],Table1[[Nome/Ragione sociale]:[Checkbox selezionato]],11,FALSE),"-")</f>
        <v>SI</v>
      </c>
      <c r="AR490" s="63" t="str">
        <f>IFERROR(VLOOKUP(Table2[[#This Row],[Contraente]],Table1[[Nome/Ragione sociale]:[Checkbox selezionato]],12,FALSE),"-")</f>
        <v>SI</v>
      </c>
    </row>
    <row r="491" spans="1:44" ht="30" hidden="1" customHeight="1" x14ac:dyDescent="0.25">
      <c r="A491" s="60" t="str">
        <f>UPPER(LEFT(Table2[[#This Row],[Contraente]],1))</f>
        <v>F</v>
      </c>
      <c r="B491" s="60" t="s">
        <v>1634</v>
      </c>
      <c r="C491" s="81" t="s">
        <v>653</v>
      </c>
      <c r="D491" s="81" t="s">
        <v>37</v>
      </c>
      <c r="E491" s="86">
        <v>103819698</v>
      </c>
      <c r="F491" s="64">
        <v>42905</v>
      </c>
      <c r="G491" s="64">
        <f>IFERROR(CALCOLASCADENZA(Table2[[#This Row],[Data attivazione]],Table2[[#This Row],[Rateizzazione]],Table2[[#This Row],[Data ultimo pagamento]],Table2[[#This Row],[Data prossima scadenza manuale]]),"-")</f>
        <v>43074</v>
      </c>
      <c r="H491" s="67" t="s">
        <v>30</v>
      </c>
      <c r="I491" s="67" t="s">
        <v>113</v>
      </c>
      <c r="J491" s="33">
        <f>IFERROR(Table2[[#This Row],[Importo annuale]]/(12/VLOOKUP(Table2[[#This Row],[Rateizzazione]],TIPI_RATEIZZAZIONI,2,FALSE)),"-")</f>
        <v>32</v>
      </c>
      <c r="K491" s="88">
        <v>32</v>
      </c>
      <c r="L491" s="88">
        <v>64</v>
      </c>
      <c r="M491" s="67" t="s">
        <v>43</v>
      </c>
      <c r="N491" s="67" t="s">
        <v>51</v>
      </c>
      <c r="O491" s="27" t="s">
        <v>1631</v>
      </c>
      <c r="P491" s="33" t="s">
        <v>22</v>
      </c>
      <c r="Q491" s="60">
        <f>IFERROR(IF(12 / VLOOKUP(Table2[[#This Row],[Rateizzazione]],TIPI_RATEIZZAZIONI,2,FALSE) &gt;=1,  IF(Table2[[#This Row],[Data attivazione]] = "","-",MONTH(Table2[[#This Row],[Data attivazione]])),"-"),"-")</f>
        <v>12</v>
      </c>
      <c r="R4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1" s="67" t="s">
        <v>2</v>
      </c>
      <c r="V491" s="62"/>
      <c r="W491" s="64">
        <v>42709</v>
      </c>
      <c r="X491" s="29">
        <f>DATE(YEAR(Table2[[#This Row],[Data attivazione]])+VLOOKUP(Table2[[#This Row],[Durata]],VALORE_DURATA,2,FALSE),MONTH(Table2[[#This Row],[Data attivazione]]),DAY(Table2[[#This Row],[Data attivazione]]))</f>
        <v>43074</v>
      </c>
      <c r="Y491" s="65"/>
      <c r="Z491" s="61"/>
      <c r="AA491" s="64" t="s">
        <v>85</v>
      </c>
      <c r="AB491" s="29" t="str">
        <f>IF(Table2[[#This Row],[Data ultimo versamento temp]]=0/1/1900,"-",Table2[[#This Row],[Data ultimo versamento temp]])</f>
        <v>-</v>
      </c>
      <c r="AC491" s="29">
        <f t="array" ref="AC491">MAX(IF(TableVersamenti[Polizza]=Table2[[#This Row],[Polizza]],TableVersamenti[Data prevista versamento],"-"))</f>
        <v>0</v>
      </c>
      <c r="AD491" s="62"/>
      <c r="AE491" s="106">
        <f>DATE(YEAR(Table2[[#This Row],[Data ultimo pagamento]]),MONTH(Table2[[#This Row],[Data ultimo pagamento]]), 1)</f>
        <v>42887</v>
      </c>
      <c r="AF491" s="106">
        <f>DATE(YEAR(Table2[[#This Row],[Data prossima scadenza]]),MONTH(Table2[[#This Row],[Data prossima scadenza]]), 1)</f>
        <v>43070</v>
      </c>
      <c r="AG491" s="33">
        <f>IFERROR(Table2[[#This Row],[Importo annuale]]*VLOOKUP(Table2[[#This Row],[Ramo]],RAMI_POLIZZA,2,FALSE),0)</f>
        <v>7.36</v>
      </c>
      <c r="AH491" s="65" t="s">
        <v>113</v>
      </c>
      <c r="AI491" s="63" t="str">
        <f>IFERROR(VLOOKUP(Table2[[#This Row],[Contraente]],Table1[[Nome/Ragione sociale]:[Checkbox selezionato]],2,FALSE),"-")</f>
        <v>BELGIOIOSO</v>
      </c>
      <c r="AJ491" s="63">
        <f>IFERROR(VLOOKUP(Table2[[#This Row],[Contraente]],Table1[[Nome/Ragione sociale]:[Checkbox selezionato]],3,FALSE),"-")</f>
        <v>3392276697</v>
      </c>
      <c r="AK491" s="63">
        <f>IFERROR(VLOOKUP(Table2[[#This Row],[Contraente]],Table1[[Nome/Ragione sociale]:[Checkbox selezionato]],4,FALSE),"-")</f>
        <v>0</v>
      </c>
      <c r="AL491" s="63" t="str">
        <f>IFERROR(VLOOKUP(Table2[[#This Row],[Contraente]],Table1[[Nome/Ragione sociale]:[Checkbox selezionato]],5,FALSE),"-")</f>
        <v>TEDESCO GIOVANNI</v>
      </c>
      <c r="AM491" s="62">
        <f>IFERROR(VLOOKUP(Table2[[#This Row],[Contraente]],Table1[[Nome/Ragione sociale]:[Checkbox selezionato]],6,FALSE),"-")</f>
        <v>22335</v>
      </c>
      <c r="AN491" s="63" t="str">
        <f>IFERROR(VLOOKUP(Table2[[#This Row],[Contraente]],Table1[[Nome/Ragione sociale]:[Checkbox selezionato]],7,FALSE),"-")</f>
        <v>papies@libero.it</v>
      </c>
      <c r="AO491" s="63">
        <f>IFERROR(VLOOKUP(Table2[[#This Row],[Contraente]],Table1[[Nome/Ragione sociale]:[Checkbox selezionato]],8,FALSE),"-")</f>
        <v>0</v>
      </c>
      <c r="AP491" s="63">
        <f>IFERROR(VLOOKUP(Table2[[#This Row],[Contraente]],Table1[[Nome/Ragione sociale]:[Checkbox selezionato]],10,FALSE),"-")</f>
        <v>3392276697</v>
      </c>
      <c r="AQ491" s="63" t="str">
        <f>IFERROR(VLOOKUP(Table2[[#This Row],[Contraente]],Table1[[Nome/Ragione sociale]:[Checkbox selezionato]],11,FALSE),"-")</f>
        <v>SI</v>
      </c>
      <c r="AR491" s="63" t="str">
        <f>IFERROR(VLOOKUP(Table2[[#This Row],[Contraente]],Table1[[Nome/Ragione sociale]:[Checkbox selezionato]],12,FALSE),"-")</f>
        <v>SI</v>
      </c>
    </row>
    <row r="492" spans="1:44" ht="30" hidden="1" customHeight="1" x14ac:dyDescent="0.25">
      <c r="A492" s="60" t="str">
        <f>UPPER(LEFT(Table2[[#This Row],[Contraente]],1))</f>
        <v>G</v>
      </c>
      <c r="B492" s="60" t="s">
        <v>1634</v>
      </c>
      <c r="C492" s="81" t="s">
        <v>1717</v>
      </c>
      <c r="D492" s="81" t="s">
        <v>37</v>
      </c>
      <c r="E492" s="86">
        <v>106865085</v>
      </c>
      <c r="F492" s="64">
        <v>42871</v>
      </c>
      <c r="G492" s="64">
        <f>IFERROR(CALCOLASCADENZA(Table2[[#This Row],[Data attivazione]],Table2[[#This Row],[Rateizzazione]],Table2[[#This Row],[Data ultimo pagamento]],Table2[[#This Row],[Data prossima scadenza manuale]]),"-")</f>
        <v>43236</v>
      </c>
      <c r="H492" s="67" t="s">
        <v>30</v>
      </c>
      <c r="I492" s="67" t="s">
        <v>113</v>
      </c>
      <c r="J492" s="33">
        <f>IFERROR(Table2[[#This Row],[Importo annuale]]/(12/VLOOKUP(Table2[[#This Row],[Rateizzazione]],TIPI_RATEIZZAZIONI,2,FALSE)),"-")</f>
        <v>550</v>
      </c>
      <c r="K492" s="88">
        <v>550</v>
      </c>
      <c r="L492" s="88">
        <v>550</v>
      </c>
      <c r="M492" s="67" t="s">
        <v>44</v>
      </c>
      <c r="N492" s="67" t="s">
        <v>52</v>
      </c>
      <c r="O492" s="27" t="s">
        <v>1631</v>
      </c>
      <c r="P492" s="33" t="s">
        <v>23</v>
      </c>
      <c r="Q492" s="60">
        <f>IFERROR(IF(12 / VLOOKUP(Table2[[#This Row],[Rateizzazione]],TIPI_RATEIZZAZIONI,2,FALSE) &gt;=1,  IF(Table2[[#This Row],[Data attivazione]] = "","-",MONTH(Table2[[#This Row],[Data attivazione]])),"-"),"-")</f>
        <v>5</v>
      </c>
      <c r="R4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2" s="67" t="s">
        <v>2</v>
      </c>
      <c r="V492" s="62"/>
      <c r="W492" s="64">
        <v>42871</v>
      </c>
      <c r="X492" s="29">
        <f>DATE(YEAR(Table2[[#This Row],[Data attivazione]])+VLOOKUP(Table2[[#This Row],[Durata]],VALORE_DURATA,2,FALSE),MONTH(Table2[[#This Row],[Data attivazione]]),DAY(Table2[[#This Row],[Data attivazione]]))</f>
        <v>43236</v>
      </c>
      <c r="Y492" s="65"/>
      <c r="Z492" s="61"/>
      <c r="AA492" s="64" t="s">
        <v>85</v>
      </c>
      <c r="AB492" s="29" t="str">
        <f>IF(Table2[[#This Row],[Data ultimo versamento temp]]=0/1/1900,"-",Table2[[#This Row],[Data ultimo versamento temp]])</f>
        <v>-</v>
      </c>
      <c r="AC492" s="29">
        <f t="array" ref="AC492">MAX(IF(TableVersamenti[Polizza]=Table2[[#This Row],[Polizza]],TableVersamenti[Data prevista versamento],"-"))</f>
        <v>0</v>
      </c>
      <c r="AD492" s="62"/>
      <c r="AE492" s="106">
        <f>DATE(YEAR(Table2[[#This Row],[Data ultimo pagamento]]),MONTH(Table2[[#This Row],[Data ultimo pagamento]]), 1)</f>
        <v>42856</v>
      </c>
      <c r="AF492" s="106">
        <f>DATE(YEAR(Table2[[#This Row],[Data prossima scadenza]]),MONTH(Table2[[#This Row],[Data prossima scadenza]]), 1)</f>
        <v>43221</v>
      </c>
      <c r="AG492" s="33">
        <f>IFERROR(Table2[[#This Row],[Importo annuale]]*VLOOKUP(Table2[[#This Row],[Ramo]],RAMI_POLIZZA,2,FALSE),0)</f>
        <v>63.25</v>
      </c>
      <c r="AH492" s="65" t="s">
        <v>113</v>
      </c>
      <c r="AI492" s="63" t="str">
        <f>IFERROR(VLOOKUP(Table2[[#This Row],[Contraente]],Table1[[Nome/Ragione sociale]:[Checkbox selezionato]],2,FALSE),"-")</f>
        <v>PORTLBERA</v>
      </c>
      <c r="AJ492" s="63">
        <f>IFERROR(VLOOKUP(Table2[[#This Row],[Contraente]],Table1[[Nome/Ragione sociale]:[Checkbox selezionato]],3,FALSE),"-")</f>
        <v>3347881724</v>
      </c>
      <c r="AK492" s="63">
        <f>IFERROR(VLOOKUP(Table2[[#This Row],[Contraente]],Table1[[Nome/Ragione sociale]:[Checkbox selezionato]],4,FALSE),"-")</f>
        <v>0</v>
      </c>
      <c r="AL492" s="63" t="str">
        <f>IFERROR(VLOOKUP(Table2[[#This Row],[Contraente]],Table1[[Nome/Ragione sociale]:[Checkbox selezionato]],5,FALSE),"-")</f>
        <v>MANUELA .LODA</v>
      </c>
      <c r="AM492" s="62" t="str">
        <f>IFERROR(VLOOKUP(Table2[[#This Row],[Contraente]],Table1[[Nome/Ragione sociale]:[Checkbox selezionato]],6,FALSE),"-")</f>
        <v>-</v>
      </c>
      <c r="AN492" s="63" t="str">
        <f>IFERROR(VLOOKUP(Table2[[#This Row],[Contraente]],Table1[[Nome/Ragione sociale]:[Checkbox selezionato]],7,FALSE),"-")</f>
        <v>papies@libero.it</v>
      </c>
      <c r="AO492" s="63">
        <f>IFERROR(VLOOKUP(Table2[[#This Row],[Contraente]],Table1[[Nome/Ragione sociale]:[Checkbox selezionato]],8,FALSE),"-")</f>
        <v>0</v>
      </c>
      <c r="AP492" s="63">
        <f>IFERROR(VLOOKUP(Table2[[#This Row],[Contraente]],Table1[[Nome/Ragione sociale]:[Checkbox selezionato]],10,FALSE),"-")</f>
        <v>3347881724</v>
      </c>
      <c r="AQ492" s="63" t="str">
        <f>IFERROR(VLOOKUP(Table2[[#This Row],[Contraente]],Table1[[Nome/Ragione sociale]:[Checkbox selezionato]],11,FALSE),"-")</f>
        <v>SI</v>
      </c>
      <c r="AR492" s="63" t="str">
        <f>IFERROR(VLOOKUP(Table2[[#This Row],[Contraente]],Table1[[Nome/Ragione sociale]:[Checkbox selezionato]],12,FALSE),"-")</f>
        <v>SI</v>
      </c>
    </row>
    <row r="493" spans="1:44" ht="30" hidden="1" customHeight="1" x14ac:dyDescent="0.25">
      <c r="A493" s="60" t="str">
        <f>UPPER(LEFT(Table2[[#This Row],[Contraente]],1))</f>
        <v>G</v>
      </c>
      <c r="B493" s="60" t="s">
        <v>1634</v>
      </c>
      <c r="C493" s="81" t="s">
        <v>662</v>
      </c>
      <c r="D493" s="81" t="s">
        <v>37</v>
      </c>
      <c r="E493" s="86">
        <v>101784144</v>
      </c>
      <c r="F493" s="64">
        <v>42089</v>
      </c>
      <c r="G493" s="64">
        <f>IFERROR(CALCOLASCADENZA(Table2[[#This Row],[Data attivazione]],Table2[[#This Row],[Rateizzazione]],Table2[[#This Row],[Data ultimo pagamento]],Table2[[#This Row],[Data prossima scadenza manuale]]),"-")</f>
        <v>42089</v>
      </c>
      <c r="H493" s="67" t="s">
        <v>31</v>
      </c>
      <c r="I493" s="67"/>
      <c r="J493" s="33">
        <v>-131</v>
      </c>
      <c r="K493" s="88"/>
      <c r="L493" s="88">
        <v>0</v>
      </c>
      <c r="M493" s="67" t="s">
        <v>44</v>
      </c>
      <c r="N493" s="67" t="s">
        <v>51</v>
      </c>
      <c r="O493" s="27" t="s">
        <v>1631</v>
      </c>
      <c r="P493" s="33" t="s">
        <v>24</v>
      </c>
      <c r="Q49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3" s="67" t="s">
        <v>2</v>
      </c>
      <c r="V493" s="62"/>
      <c r="W493" s="64">
        <v>693597</v>
      </c>
      <c r="X493" s="29">
        <f>DATE(YEAR(Table2[[#This Row],[Data attivazione]])+VLOOKUP(Table2[[#This Row],[Durata]],VALORE_DURATA,2,FALSE),MONTH(Table2[[#This Row],[Data attivazione]]),DAY(Table2[[#This Row],[Data attivazione]]))</f>
        <v>693962</v>
      </c>
      <c r="Y493" s="65"/>
      <c r="Z493" s="61"/>
      <c r="AA493" s="64" t="s">
        <v>88</v>
      </c>
      <c r="AB493" s="29" t="str">
        <f>IF(Table2[[#This Row],[Data ultimo versamento temp]]=0/1/1900,"-",Table2[[#This Row],[Data ultimo versamento temp]])</f>
        <v>-</v>
      </c>
      <c r="AC493" s="29">
        <f t="array" ref="AC493">MAX(IF(TableVersamenti[Polizza]=Table2[[#This Row],[Polizza]],TableVersamenti[Data prevista versamento],"-"))</f>
        <v>0</v>
      </c>
      <c r="AD493" s="62"/>
      <c r="AE493" s="106">
        <f>DATE(YEAR(Table2[[#This Row],[Data ultimo pagamento]]),MONTH(Table2[[#This Row],[Data ultimo pagamento]]), 1)</f>
        <v>42064</v>
      </c>
      <c r="AF493" s="106">
        <f>DATE(YEAR(Table2[[#This Row],[Data prossima scadenza]]),MONTH(Table2[[#This Row],[Data prossima scadenza]]), 1)</f>
        <v>42064</v>
      </c>
      <c r="AG493" s="33">
        <f>IFERROR(Table2[[#This Row],[Importo annuale]]*VLOOKUP(Table2[[#This Row],[Ramo]],RAMI_POLIZZA,2,FALSE),0)</f>
        <v>0</v>
      </c>
      <c r="AH493" s="65" t="s">
        <v>113</v>
      </c>
      <c r="AI493" s="63">
        <f>IFERROR(VLOOKUP(Table2[[#This Row],[Contraente]],Table1[[Nome/Ragione sociale]:[Checkbox selezionato]],2,FALSE),"-")</f>
        <v>0</v>
      </c>
      <c r="AJ493" s="63">
        <f>IFERROR(VLOOKUP(Table2[[#This Row],[Contraente]],Table1[[Nome/Ragione sociale]:[Checkbox selezionato]],3,FALSE),"-")</f>
        <v>0</v>
      </c>
      <c r="AK493" s="63">
        <f>IFERROR(VLOOKUP(Table2[[#This Row],[Contraente]],Table1[[Nome/Ragione sociale]:[Checkbox selezionato]],4,FALSE),"-")</f>
        <v>0</v>
      </c>
      <c r="AL493" s="63">
        <f>IFERROR(VLOOKUP(Table2[[#This Row],[Contraente]],Table1[[Nome/Ragione sociale]:[Checkbox selezionato]],5,FALSE),"-")</f>
        <v>0</v>
      </c>
      <c r="AM493" s="62">
        <f>IFERROR(VLOOKUP(Table2[[#This Row],[Contraente]],Table1[[Nome/Ragione sociale]:[Checkbox selezionato]],6,FALSE),"-")</f>
        <v>0</v>
      </c>
      <c r="AN493" s="63" t="str">
        <f>IFERROR(VLOOKUP(Table2[[#This Row],[Contraente]],Table1[[Nome/Ragione sociale]:[Checkbox selezionato]],7,FALSE),"-")</f>
        <v>papies@email.it</v>
      </c>
      <c r="AO493" s="63">
        <f>IFERROR(VLOOKUP(Table2[[#This Row],[Contraente]],Table1[[Nome/Ragione sociale]:[Checkbox selezionato]],8,FALSE),"-")</f>
        <v>0</v>
      </c>
      <c r="AP493" s="63">
        <f>IFERROR(VLOOKUP(Table2[[#This Row],[Contraente]],Table1[[Nome/Ragione sociale]:[Checkbox selezionato]],10,FALSE),"-")</f>
        <v>0</v>
      </c>
      <c r="AQ493" s="63" t="str">
        <f>IFERROR(VLOOKUP(Table2[[#This Row],[Contraente]],Table1[[Nome/Ragione sociale]:[Checkbox selezionato]],11,FALSE),"-")</f>
        <v>SI</v>
      </c>
      <c r="AR493" s="63" t="str">
        <f>IFERROR(VLOOKUP(Table2[[#This Row],[Contraente]],Table1[[Nome/Ragione sociale]:[Checkbox selezionato]],12,FALSE),"-")</f>
        <v>SI</v>
      </c>
    </row>
    <row r="494" spans="1:44" ht="30" hidden="1" customHeight="1" x14ac:dyDescent="0.25">
      <c r="A494" s="60" t="str">
        <f>UPPER(LEFT(Table2[[#This Row],[Contraente]],1))</f>
        <v>G</v>
      </c>
      <c r="B494" s="60" t="s">
        <v>1634</v>
      </c>
      <c r="C494" s="81" t="s">
        <v>1768</v>
      </c>
      <c r="D494" s="81" t="s">
        <v>37</v>
      </c>
      <c r="E494" s="86">
        <v>107022603</v>
      </c>
      <c r="F494" s="64">
        <v>42915</v>
      </c>
      <c r="G494" s="64">
        <f>IFERROR(CALCOLASCADENZA(Table2[[#This Row],[Data attivazione]],Table2[[#This Row],[Rateizzazione]],Table2[[#This Row],[Data ultimo pagamento]],Table2[[#This Row],[Data prossima scadenza manuale]]),"-")</f>
        <v>43280</v>
      </c>
      <c r="H494" s="67" t="s">
        <v>31</v>
      </c>
      <c r="I494" s="67" t="s">
        <v>1777</v>
      </c>
      <c r="J494" s="33">
        <f>IFERROR(Table2[[#This Row],[Importo annuale]]/(12/VLOOKUP(Table2[[#This Row],[Rateizzazione]],TIPI_RATEIZZAZIONI,2,FALSE)),"-")</f>
        <v>250</v>
      </c>
      <c r="K494" s="88">
        <v>250</v>
      </c>
      <c r="L494" s="88">
        <v>250</v>
      </c>
      <c r="M494" s="67" t="s">
        <v>44</v>
      </c>
      <c r="N494" s="67" t="s">
        <v>52</v>
      </c>
      <c r="O494" s="27" t="s">
        <v>1631</v>
      </c>
      <c r="P494" s="33" t="s">
        <v>23</v>
      </c>
      <c r="Q494" s="60">
        <f>IFERROR(IF(12 / VLOOKUP(Table2[[#This Row],[Rateizzazione]],TIPI_RATEIZZAZIONI,2,FALSE) &gt;=1,  IF(Table2[[#This Row],[Data attivazione]] = "","-",MONTH(Table2[[#This Row],[Data attivazione]])),"-"),"-")</f>
        <v>6</v>
      </c>
      <c r="R4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4" s="67" t="s">
        <v>1774</v>
      </c>
      <c r="V494" s="62"/>
      <c r="W494" s="64">
        <v>42915</v>
      </c>
      <c r="X494" s="29">
        <f>DATE(YEAR(Table2[[#This Row],[Data attivazione]])+VLOOKUP(Table2[[#This Row],[Durata]],VALORE_DURATA,2,FALSE),MONTH(Table2[[#This Row],[Data attivazione]]),DAY(Table2[[#This Row],[Data attivazione]]))</f>
        <v>43280</v>
      </c>
      <c r="Y494" s="65"/>
      <c r="Z494" s="61"/>
      <c r="AA494" s="64" t="s">
        <v>85</v>
      </c>
      <c r="AB494" s="29" t="str">
        <f>IF(Table2[[#This Row],[Data ultimo versamento temp]]=0/1/1900,"-",Table2[[#This Row],[Data ultimo versamento temp]])</f>
        <v>-</v>
      </c>
      <c r="AC494" s="29">
        <f t="array" ref="AC494">MAX(IF(TableVersamenti[Polizza]=Table2[[#This Row],[Polizza]],TableVersamenti[Data prevista versamento],"-"))</f>
        <v>0</v>
      </c>
      <c r="AD494" s="62"/>
      <c r="AE494" s="106">
        <f>DATE(YEAR(Table2[[#This Row],[Data ultimo pagamento]]),MONTH(Table2[[#This Row],[Data ultimo pagamento]]), 1)</f>
        <v>42887</v>
      </c>
      <c r="AF494" s="106">
        <f>DATE(YEAR(Table2[[#This Row],[Data prossima scadenza]]),MONTH(Table2[[#This Row],[Data prossima scadenza]]), 1)</f>
        <v>43252</v>
      </c>
      <c r="AG494" s="33">
        <f>IFERROR(Table2[[#This Row],[Importo annuale]]*VLOOKUP(Table2[[#This Row],[Ramo]],RAMI_POLIZZA,2,FALSE),0)</f>
        <v>13</v>
      </c>
      <c r="AH494" s="65" t="s">
        <v>113</v>
      </c>
      <c r="AI494" s="63">
        <f>IFERROR(VLOOKUP(Table2[[#This Row],[Contraente]],Table1[[Nome/Ragione sociale]:[Checkbox selezionato]],2,FALSE),"-")</f>
        <v>0</v>
      </c>
      <c r="AJ494" s="63">
        <f>IFERROR(VLOOKUP(Table2[[#This Row],[Contraente]],Table1[[Nome/Ragione sociale]:[Checkbox selezionato]],3,FALSE),"-")</f>
        <v>0</v>
      </c>
      <c r="AK494" s="63">
        <f>IFERROR(VLOOKUP(Table2[[#This Row],[Contraente]],Table1[[Nome/Ragione sociale]:[Checkbox selezionato]],4,FALSE),"-")</f>
        <v>0</v>
      </c>
      <c r="AL494" s="63">
        <f>IFERROR(VLOOKUP(Table2[[#This Row],[Contraente]],Table1[[Nome/Ragione sociale]:[Checkbox selezionato]],5,FALSE),"-")</f>
        <v>0</v>
      </c>
      <c r="AM494" s="62" t="str">
        <f>IFERROR(VLOOKUP(Table2[[#This Row],[Contraente]],Table1[[Nome/Ragione sociale]:[Checkbox selezionato]],6,FALSE),"-")</f>
        <v>-</v>
      </c>
      <c r="AN494" s="63" t="str">
        <f>IFERROR(VLOOKUP(Table2[[#This Row],[Contraente]],Table1[[Nome/Ragione sociale]:[Checkbox selezionato]],7,FALSE),"-")</f>
        <v>papies@libero.it</v>
      </c>
      <c r="AO494" s="63">
        <f>IFERROR(VLOOKUP(Table2[[#This Row],[Contraente]],Table1[[Nome/Ragione sociale]:[Checkbox selezionato]],8,FALSE),"-")</f>
        <v>0</v>
      </c>
      <c r="AP494" s="63">
        <f>IFERROR(VLOOKUP(Table2[[#This Row],[Contraente]],Table1[[Nome/Ragione sociale]:[Checkbox selezionato]],10,FALSE),"-")</f>
        <v>0</v>
      </c>
      <c r="AQ494" s="63" t="str">
        <f>IFERROR(VLOOKUP(Table2[[#This Row],[Contraente]],Table1[[Nome/Ragione sociale]:[Checkbox selezionato]],11,FALSE),"-")</f>
        <v>SI</v>
      </c>
      <c r="AR494" s="63" t="str">
        <f>IFERROR(VLOOKUP(Table2[[#This Row],[Contraente]],Table1[[Nome/Ragione sociale]:[Checkbox selezionato]],12,FALSE),"-")</f>
        <v>SI</v>
      </c>
    </row>
    <row r="495" spans="1:44" ht="30" hidden="1" customHeight="1" x14ac:dyDescent="0.25">
      <c r="A495" s="60" t="str">
        <f>UPPER(LEFT(Table2[[#This Row],[Contraente]],1))</f>
        <v>G</v>
      </c>
      <c r="B495" s="60" t="s">
        <v>1634</v>
      </c>
      <c r="C495" s="81" t="s">
        <v>1768</v>
      </c>
      <c r="D495" s="81" t="s">
        <v>37</v>
      </c>
      <c r="E495" s="86">
        <v>107044757</v>
      </c>
      <c r="F495" s="64">
        <v>42915</v>
      </c>
      <c r="G495" s="64">
        <f>IFERROR(CALCOLASCADENZA(Table2[[#This Row],[Data attivazione]],Table2[[#This Row],[Rateizzazione]],Table2[[#This Row],[Data ultimo pagamento]],Table2[[#This Row],[Data prossima scadenza manuale]]),"-")</f>
        <v>43280</v>
      </c>
      <c r="H495" s="67" t="s">
        <v>30</v>
      </c>
      <c r="I495" s="67" t="s">
        <v>113</v>
      </c>
      <c r="J495" s="33">
        <f>IFERROR(Table2[[#This Row],[Importo annuale]]/(12/VLOOKUP(Table2[[#This Row],[Rateizzazione]],TIPI_RATEIZZAZIONI,2,FALSE)),"-")</f>
        <v>60</v>
      </c>
      <c r="K495" s="88">
        <v>60</v>
      </c>
      <c r="L495" s="88">
        <v>60</v>
      </c>
      <c r="M495" s="67" t="s">
        <v>44</v>
      </c>
      <c r="N495" s="67" t="s">
        <v>52</v>
      </c>
      <c r="O495" s="27" t="s">
        <v>1631</v>
      </c>
      <c r="P495" s="33" t="s">
        <v>23</v>
      </c>
      <c r="Q495" s="60">
        <f>IFERROR(IF(12 / VLOOKUP(Table2[[#This Row],[Rateizzazione]],TIPI_RATEIZZAZIONI,2,FALSE) &gt;=1,  IF(Table2[[#This Row],[Data attivazione]] = "","-",MONTH(Table2[[#This Row],[Data attivazione]])),"-"),"-")</f>
        <v>6</v>
      </c>
      <c r="R4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5" s="67" t="s">
        <v>1774</v>
      </c>
      <c r="V495" s="62"/>
      <c r="W495" s="64">
        <v>42915</v>
      </c>
      <c r="X495" s="29">
        <f>DATE(YEAR(Table2[[#This Row],[Data attivazione]])+VLOOKUP(Table2[[#This Row],[Durata]],VALORE_DURATA,2,FALSE),MONTH(Table2[[#This Row],[Data attivazione]]),DAY(Table2[[#This Row],[Data attivazione]]))</f>
        <v>43280</v>
      </c>
      <c r="Y495" s="65"/>
      <c r="Z495" s="61"/>
      <c r="AA495" s="64" t="s">
        <v>85</v>
      </c>
      <c r="AB495" s="29" t="str">
        <f>IF(Table2[[#This Row],[Data ultimo versamento temp]]=0/1/1900,"-",Table2[[#This Row],[Data ultimo versamento temp]])</f>
        <v>-</v>
      </c>
      <c r="AC495" s="29">
        <f t="array" ref="AC495">MAX(IF(TableVersamenti[Polizza]=Table2[[#This Row],[Polizza]],TableVersamenti[Data prevista versamento],"-"))</f>
        <v>0</v>
      </c>
      <c r="AD495" s="62"/>
      <c r="AE495" s="106">
        <f>DATE(YEAR(Table2[[#This Row],[Data ultimo pagamento]]),MONTH(Table2[[#This Row],[Data ultimo pagamento]]), 1)</f>
        <v>42887</v>
      </c>
      <c r="AF495" s="106">
        <f>DATE(YEAR(Table2[[#This Row],[Data prossima scadenza]]),MONTH(Table2[[#This Row],[Data prossima scadenza]]), 1)</f>
        <v>43252</v>
      </c>
      <c r="AG495" s="33">
        <f>IFERROR(Table2[[#This Row],[Importo annuale]]*VLOOKUP(Table2[[#This Row],[Ramo]],RAMI_POLIZZA,2,FALSE),0)</f>
        <v>6.9</v>
      </c>
      <c r="AH495" s="65" t="s">
        <v>113</v>
      </c>
      <c r="AI495" s="63">
        <f>IFERROR(VLOOKUP(Table2[[#This Row],[Contraente]],Table1[[Nome/Ragione sociale]:[Checkbox selezionato]],2,FALSE),"-")</f>
        <v>0</v>
      </c>
      <c r="AJ495" s="63">
        <f>IFERROR(VLOOKUP(Table2[[#This Row],[Contraente]],Table1[[Nome/Ragione sociale]:[Checkbox selezionato]],3,FALSE),"-")</f>
        <v>0</v>
      </c>
      <c r="AK495" s="63">
        <f>IFERROR(VLOOKUP(Table2[[#This Row],[Contraente]],Table1[[Nome/Ragione sociale]:[Checkbox selezionato]],4,FALSE),"-")</f>
        <v>0</v>
      </c>
      <c r="AL495" s="63">
        <f>IFERROR(VLOOKUP(Table2[[#This Row],[Contraente]],Table1[[Nome/Ragione sociale]:[Checkbox selezionato]],5,FALSE),"-")</f>
        <v>0</v>
      </c>
      <c r="AM495" s="62" t="str">
        <f>IFERROR(VLOOKUP(Table2[[#This Row],[Contraente]],Table1[[Nome/Ragione sociale]:[Checkbox selezionato]],6,FALSE),"-")</f>
        <v>-</v>
      </c>
      <c r="AN495" s="63" t="str">
        <f>IFERROR(VLOOKUP(Table2[[#This Row],[Contraente]],Table1[[Nome/Ragione sociale]:[Checkbox selezionato]],7,FALSE),"-")</f>
        <v>papies@libero.it</v>
      </c>
      <c r="AO495" s="63">
        <f>IFERROR(VLOOKUP(Table2[[#This Row],[Contraente]],Table1[[Nome/Ragione sociale]:[Checkbox selezionato]],8,FALSE),"-")</f>
        <v>0</v>
      </c>
      <c r="AP495" s="63">
        <f>IFERROR(VLOOKUP(Table2[[#This Row],[Contraente]],Table1[[Nome/Ragione sociale]:[Checkbox selezionato]],10,FALSE),"-")</f>
        <v>0</v>
      </c>
      <c r="AQ495" s="63" t="str">
        <f>IFERROR(VLOOKUP(Table2[[#This Row],[Contraente]],Table1[[Nome/Ragione sociale]:[Checkbox selezionato]],11,FALSE),"-")</f>
        <v>SI</v>
      </c>
      <c r="AR495" s="63" t="str">
        <f>IFERROR(VLOOKUP(Table2[[#This Row],[Contraente]],Table1[[Nome/Ragione sociale]:[Checkbox selezionato]],12,FALSE),"-")</f>
        <v>SI</v>
      </c>
    </row>
    <row r="496" spans="1:44" ht="30" hidden="1" customHeight="1" x14ac:dyDescent="0.25">
      <c r="A496" s="60" t="str">
        <f>UPPER(LEFT(Table2[[#This Row],[Contraente]],1))</f>
        <v>G</v>
      </c>
      <c r="B496" s="60" t="s">
        <v>1634</v>
      </c>
      <c r="C496" s="47" t="s">
        <v>1796</v>
      </c>
      <c r="D496" s="98" t="s">
        <v>37</v>
      </c>
      <c r="E496" s="99" t="s">
        <v>1797</v>
      </c>
      <c r="F496" s="64">
        <v>42922</v>
      </c>
      <c r="G496" s="64">
        <f>IFERROR(CALCOLASCADENZA(Table2[[#This Row],[Data attivazione]],Table2[[#This Row],[Rateizzazione]],Table2[[#This Row],[Data ultimo pagamento]],Table2[[#This Row],[Data prossima scadenza manuale]]),"-")</f>
        <v>43287</v>
      </c>
      <c r="H496" s="67" t="s">
        <v>31</v>
      </c>
      <c r="I496" s="67" t="s">
        <v>1798</v>
      </c>
      <c r="J496" s="100">
        <f>IFERROR(Table2[[#This Row],[Importo annuale]]/(12/VLOOKUP(Table2[[#This Row],[Rateizzazione]],TIPI_RATEIZZAZIONI,2,FALSE)),"-")</f>
        <v>340</v>
      </c>
      <c r="K496" s="102">
        <v>340</v>
      </c>
      <c r="L496" s="69">
        <v>340</v>
      </c>
      <c r="M496" s="67" t="s">
        <v>44</v>
      </c>
      <c r="N496" s="67" t="s">
        <v>52</v>
      </c>
      <c r="O496" s="27" t="s">
        <v>1631</v>
      </c>
      <c r="P496" s="92" t="s">
        <v>23</v>
      </c>
      <c r="Q496" s="60">
        <f>IFERROR(IF(12 / VLOOKUP(Table2[[#This Row],[Rateizzazione]],TIPI_RATEIZZAZIONI,2,FALSE) &gt;=1,  IF(Table2[[#This Row],[Data attivazione]] = "","-",MONTH(Table2[[#This Row],[Data attivazione]])),"-"),"-")</f>
        <v>7</v>
      </c>
      <c r="R4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6" s="67" t="s">
        <v>1774</v>
      </c>
      <c r="V496" s="62"/>
      <c r="W496" s="64">
        <v>42922</v>
      </c>
      <c r="X496" s="29">
        <f>DATE(YEAR(Table2[[#This Row],[Data attivazione]])+VLOOKUP(Table2[[#This Row],[Durata]],VALORE_DURATA,2,FALSE),MONTH(Table2[[#This Row],[Data attivazione]]),DAY(Table2[[#This Row],[Data attivazione]]))</f>
        <v>43287</v>
      </c>
      <c r="Y496" s="65"/>
      <c r="Z496" s="61"/>
      <c r="AA496" s="64" t="s">
        <v>85</v>
      </c>
      <c r="AB496" s="29" t="str">
        <f>IF(Table2[[#This Row],[Data ultimo versamento temp]]=0/1/1900,"-",Table2[[#This Row],[Data ultimo versamento temp]])</f>
        <v>-</v>
      </c>
      <c r="AC496" s="29">
        <f t="array" ref="AC496">MAX(IF(TableVersamenti[Polizza]=Table2[[#This Row],[Polizza]],TableVersamenti[Data prevista versamento],"-"))</f>
        <v>0</v>
      </c>
      <c r="AD496" s="62"/>
      <c r="AE496" s="106">
        <f>DATE(YEAR(Table2[[#This Row],[Data ultimo pagamento]]),MONTH(Table2[[#This Row],[Data ultimo pagamento]]), 1)</f>
        <v>42917</v>
      </c>
      <c r="AF496" s="106">
        <f>DATE(YEAR(Table2[[#This Row],[Data prossima scadenza]]),MONTH(Table2[[#This Row],[Data prossima scadenza]]), 1)</f>
        <v>43282</v>
      </c>
      <c r="AG496" s="92">
        <f>IFERROR(Table2[[#This Row],[Importo annuale]]*VLOOKUP(Table2[[#This Row],[Ramo]],RAMI_POLIZZA,2,FALSE),0)</f>
        <v>17.68</v>
      </c>
      <c r="AH496" s="65" t="s">
        <v>113</v>
      </c>
      <c r="AI496" s="63" t="str">
        <f>IFERROR(VLOOKUP(Table2[[#This Row],[Contraente]],Table1[[Nome/Ragione sociale]:[Checkbox selezionato]],2,FALSE),"-")</f>
        <v>MIRADOLO TERME</v>
      </c>
      <c r="AJ496" s="63">
        <f>IFERROR(VLOOKUP(Table2[[#This Row],[Contraente]],Table1[[Nome/Ragione sociale]:[Checkbox selezionato]],3,FALSE),"-")</f>
        <v>0</v>
      </c>
      <c r="AK496" s="63">
        <f>IFERROR(VLOOKUP(Table2[[#This Row],[Contraente]],Table1[[Nome/Ragione sociale]:[Checkbox selezionato]],4,FALSE),"-")</f>
        <v>0</v>
      </c>
      <c r="AL496" s="63">
        <f>IFERROR(VLOOKUP(Table2[[#This Row],[Contraente]],Table1[[Nome/Ragione sociale]:[Checkbox selezionato]],5,FALSE),"-")</f>
        <v>0</v>
      </c>
      <c r="AM496" s="62">
        <f>IFERROR(VLOOKUP(Table2[[#This Row],[Contraente]],Table1[[Nome/Ragione sociale]:[Checkbox selezionato]],6,FALSE),"-")</f>
        <v>0</v>
      </c>
      <c r="AN496" s="63" t="str">
        <f>IFERROR(VLOOKUP(Table2[[#This Row],[Contraente]],Table1[[Nome/Ragione sociale]:[Checkbox selezionato]],7,FALSE),"-")</f>
        <v>papies@libero.it</v>
      </c>
      <c r="AO496" s="63">
        <f>IFERROR(VLOOKUP(Table2[[#This Row],[Contraente]],Table1[[Nome/Ragione sociale]:[Checkbox selezionato]],8,FALSE),"-")</f>
        <v>0</v>
      </c>
      <c r="AP496" s="63">
        <f>IFERROR(VLOOKUP(Table2[[#This Row],[Contraente]],Table1[[Nome/Ragione sociale]:[Checkbox selezionato]],10,FALSE),"-")</f>
        <v>0</v>
      </c>
      <c r="AQ496" s="63" t="str">
        <f>IFERROR(VLOOKUP(Table2[[#This Row],[Contraente]],Table1[[Nome/Ragione sociale]:[Checkbox selezionato]],11,FALSE),"-")</f>
        <v>SI</v>
      </c>
      <c r="AR496" s="63" t="str">
        <f>IFERROR(VLOOKUP(Table2[[#This Row],[Contraente]],Table1[[Nome/Ragione sociale]:[Checkbox selezionato]],12,FALSE),"-")</f>
        <v>SI</v>
      </c>
    </row>
    <row r="497" spans="1:44" ht="30" hidden="1" customHeight="1" x14ac:dyDescent="0.25">
      <c r="A497" s="60" t="str">
        <f>UPPER(LEFT(Table2[[#This Row],[Contraente]],1))</f>
        <v>G</v>
      </c>
      <c r="B497" s="60" t="s">
        <v>1634</v>
      </c>
      <c r="C497" s="47" t="s">
        <v>1796</v>
      </c>
      <c r="D497" s="98" t="s">
        <v>37</v>
      </c>
      <c r="E497" s="99" t="s">
        <v>1799</v>
      </c>
      <c r="F497" s="64">
        <v>42922</v>
      </c>
      <c r="G497" s="64">
        <f>IFERROR(CALCOLASCADENZA(Table2[[#This Row],[Data attivazione]],Table2[[#This Row],[Rateizzazione]],Table2[[#This Row],[Data ultimo pagamento]],Table2[[#This Row],[Data prossima scadenza manuale]]),"-")</f>
        <v>43287</v>
      </c>
      <c r="H497" s="67" t="s">
        <v>30</v>
      </c>
      <c r="I497" s="67" t="s">
        <v>113</v>
      </c>
      <c r="J497" s="100">
        <f>IFERROR(Table2[[#This Row],[Importo annuale]]/(12/VLOOKUP(Table2[[#This Row],[Rateizzazione]],TIPI_RATEIZZAZIONI,2,FALSE)),"-")</f>
        <v>60</v>
      </c>
      <c r="K497" s="102">
        <v>60</v>
      </c>
      <c r="L497" s="69">
        <v>60</v>
      </c>
      <c r="M497" s="67" t="s">
        <v>44</v>
      </c>
      <c r="N497" s="67" t="s">
        <v>52</v>
      </c>
      <c r="O497" s="27" t="s">
        <v>1631</v>
      </c>
      <c r="P497" s="92" t="s">
        <v>23</v>
      </c>
      <c r="Q497" s="60">
        <f>IFERROR(IF(12 / VLOOKUP(Table2[[#This Row],[Rateizzazione]],TIPI_RATEIZZAZIONI,2,FALSE) &gt;=1,  IF(Table2[[#This Row],[Data attivazione]] = "","-",MONTH(Table2[[#This Row],[Data attivazione]])),"-"),"-")</f>
        <v>7</v>
      </c>
      <c r="R4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7" s="67" t="s">
        <v>1774</v>
      </c>
      <c r="V497" s="62"/>
      <c r="W497" s="64">
        <v>42922</v>
      </c>
      <c r="X497" s="29">
        <f>DATE(YEAR(Table2[[#This Row],[Data attivazione]])+VLOOKUP(Table2[[#This Row],[Durata]],VALORE_DURATA,2,FALSE),MONTH(Table2[[#This Row],[Data attivazione]]),DAY(Table2[[#This Row],[Data attivazione]]))</f>
        <v>43287</v>
      </c>
      <c r="Y497" s="65"/>
      <c r="Z497" s="61"/>
      <c r="AA497" s="64" t="s">
        <v>85</v>
      </c>
      <c r="AB497" s="29" t="str">
        <f>IF(Table2[[#This Row],[Data ultimo versamento temp]]=0/1/1900,"-",Table2[[#This Row],[Data ultimo versamento temp]])</f>
        <v>-</v>
      </c>
      <c r="AC497" s="29">
        <f t="array" ref="AC497">MAX(IF(TableVersamenti[Polizza]=Table2[[#This Row],[Polizza]],TableVersamenti[Data prevista versamento],"-"))</f>
        <v>0</v>
      </c>
      <c r="AD497" s="62"/>
      <c r="AE497" s="106">
        <f>DATE(YEAR(Table2[[#This Row],[Data ultimo pagamento]]),MONTH(Table2[[#This Row],[Data ultimo pagamento]]), 1)</f>
        <v>42917</v>
      </c>
      <c r="AF497" s="106">
        <f>DATE(YEAR(Table2[[#This Row],[Data prossima scadenza]]),MONTH(Table2[[#This Row],[Data prossima scadenza]]), 1)</f>
        <v>43282</v>
      </c>
      <c r="AG497" s="92">
        <f>IFERROR(Table2[[#This Row],[Importo annuale]]*VLOOKUP(Table2[[#This Row],[Ramo]],RAMI_POLIZZA,2,FALSE),0)</f>
        <v>6.9</v>
      </c>
      <c r="AH497" s="65" t="s">
        <v>113</v>
      </c>
      <c r="AI497" s="63" t="str">
        <f>IFERROR(VLOOKUP(Table2[[#This Row],[Contraente]],Table1[[Nome/Ragione sociale]:[Checkbox selezionato]],2,FALSE),"-")</f>
        <v>MIRADOLO TERME</v>
      </c>
      <c r="AJ497" s="63">
        <f>IFERROR(VLOOKUP(Table2[[#This Row],[Contraente]],Table1[[Nome/Ragione sociale]:[Checkbox selezionato]],3,FALSE),"-")</f>
        <v>0</v>
      </c>
      <c r="AK497" s="63">
        <f>IFERROR(VLOOKUP(Table2[[#This Row],[Contraente]],Table1[[Nome/Ragione sociale]:[Checkbox selezionato]],4,FALSE),"-")</f>
        <v>0</v>
      </c>
      <c r="AL497" s="63">
        <f>IFERROR(VLOOKUP(Table2[[#This Row],[Contraente]],Table1[[Nome/Ragione sociale]:[Checkbox selezionato]],5,FALSE),"-")</f>
        <v>0</v>
      </c>
      <c r="AM497" s="62">
        <f>IFERROR(VLOOKUP(Table2[[#This Row],[Contraente]],Table1[[Nome/Ragione sociale]:[Checkbox selezionato]],6,FALSE),"-")</f>
        <v>0</v>
      </c>
      <c r="AN497" s="63" t="str">
        <f>IFERROR(VLOOKUP(Table2[[#This Row],[Contraente]],Table1[[Nome/Ragione sociale]:[Checkbox selezionato]],7,FALSE),"-")</f>
        <v>papies@libero.it</v>
      </c>
      <c r="AO497" s="63">
        <f>IFERROR(VLOOKUP(Table2[[#This Row],[Contraente]],Table1[[Nome/Ragione sociale]:[Checkbox selezionato]],8,FALSE),"-")</f>
        <v>0</v>
      </c>
      <c r="AP497" s="63">
        <f>IFERROR(VLOOKUP(Table2[[#This Row],[Contraente]],Table1[[Nome/Ragione sociale]:[Checkbox selezionato]],10,FALSE),"-")</f>
        <v>0</v>
      </c>
      <c r="AQ497" s="63" t="str">
        <f>IFERROR(VLOOKUP(Table2[[#This Row],[Contraente]],Table1[[Nome/Ragione sociale]:[Checkbox selezionato]],11,FALSE),"-")</f>
        <v>SI</v>
      </c>
      <c r="AR497" s="63" t="str">
        <f>IFERROR(VLOOKUP(Table2[[#This Row],[Contraente]],Table1[[Nome/Ragione sociale]:[Checkbox selezionato]],12,FALSE),"-")</f>
        <v>SI</v>
      </c>
    </row>
    <row r="498" spans="1:44" ht="30" hidden="1" customHeight="1" x14ac:dyDescent="0.25">
      <c r="A498" s="60" t="str">
        <f>UPPER(LEFT(Table2[[#This Row],[Contraente]],1))</f>
        <v>G</v>
      </c>
      <c r="B498" s="60" t="s">
        <v>1634</v>
      </c>
      <c r="C498" s="47" t="s">
        <v>1789</v>
      </c>
      <c r="D498" s="98" t="s">
        <v>37</v>
      </c>
      <c r="E498" s="99" t="s">
        <v>1793</v>
      </c>
      <c r="F498" s="64">
        <v>42921</v>
      </c>
      <c r="G498" s="64">
        <f>IFERROR(CALCOLASCADENZA(Table2[[#This Row],[Data attivazione]],Table2[[#This Row],[Rateizzazione]],Table2[[#This Row],[Data ultimo pagamento]],Table2[[#This Row],[Data prossima scadenza manuale]]),"-")</f>
        <v>43283</v>
      </c>
      <c r="H498" s="67" t="s">
        <v>31</v>
      </c>
      <c r="I498" s="67" t="s">
        <v>1794</v>
      </c>
      <c r="J498" s="100">
        <f>IFERROR(Table2[[#This Row],[Importo annuale]]/(12/VLOOKUP(Table2[[#This Row],[Rateizzazione]],TIPI_RATEIZZAZIONI,2,FALSE)),"-")</f>
        <v>997.68</v>
      </c>
      <c r="K498" s="102">
        <v>997.68</v>
      </c>
      <c r="L498" s="69">
        <v>997.68</v>
      </c>
      <c r="M498" s="67" t="s">
        <v>44</v>
      </c>
      <c r="N498" s="67" t="s">
        <v>52</v>
      </c>
      <c r="O498" s="27" t="s">
        <v>1631</v>
      </c>
      <c r="P498" s="92" t="s">
        <v>23</v>
      </c>
      <c r="Q498" s="60">
        <f>IFERROR(IF(12 / VLOOKUP(Table2[[#This Row],[Rateizzazione]],TIPI_RATEIZZAZIONI,2,FALSE) &gt;=1,  IF(Table2[[#This Row],[Data attivazione]] = "","-",MONTH(Table2[[#This Row],[Data attivazione]])),"-"),"-")</f>
        <v>7</v>
      </c>
      <c r="R4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8" s="67" t="s">
        <v>1774</v>
      </c>
      <c r="V498" s="62"/>
      <c r="W498" s="64">
        <v>42918</v>
      </c>
      <c r="X498" s="29">
        <f>DATE(YEAR(Table2[[#This Row],[Data attivazione]])+VLOOKUP(Table2[[#This Row],[Durata]],VALORE_DURATA,2,FALSE),MONTH(Table2[[#This Row],[Data attivazione]]),DAY(Table2[[#This Row],[Data attivazione]]))</f>
        <v>43283</v>
      </c>
      <c r="Y498" s="65"/>
      <c r="Z498" s="61"/>
      <c r="AA498" s="64" t="s">
        <v>85</v>
      </c>
      <c r="AB498" s="29" t="str">
        <f>IF(Table2[[#This Row],[Data ultimo versamento temp]]=0/1/1900,"-",Table2[[#This Row],[Data ultimo versamento temp]])</f>
        <v>-</v>
      </c>
      <c r="AC498" s="29">
        <f t="array" ref="AC498">MAX(IF(TableVersamenti[Polizza]=Table2[[#This Row],[Polizza]],TableVersamenti[Data prevista versamento],"-"))</f>
        <v>0</v>
      </c>
      <c r="AD498" s="62"/>
      <c r="AE498" s="106">
        <f>DATE(YEAR(Table2[[#This Row],[Data ultimo pagamento]]),MONTH(Table2[[#This Row],[Data ultimo pagamento]]), 1)</f>
        <v>42917</v>
      </c>
      <c r="AF498" s="106">
        <f>DATE(YEAR(Table2[[#This Row],[Data prossima scadenza]]),MONTH(Table2[[#This Row],[Data prossima scadenza]]), 1)</f>
        <v>43282</v>
      </c>
      <c r="AG498" s="92">
        <f>IFERROR(Table2[[#This Row],[Importo annuale]]*VLOOKUP(Table2[[#This Row],[Ramo]],RAMI_POLIZZA,2,FALSE),0)</f>
        <v>51.879359999999998</v>
      </c>
      <c r="AH498" s="65" t="s">
        <v>113</v>
      </c>
      <c r="AI498" s="63" t="str">
        <f>IFERROR(VLOOKUP(Table2[[#This Row],[Contraente]],Table1[[Nome/Ragione sociale]:[Checkbox selezionato]],2,FALSE),"-")</f>
        <v>MILANO</v>
      </c>
      <c r="AJ498" s="63">
        <f>IFERROR(VLOOKUP(Table2[[#This Row],[Contraente]],Table1[[Nome/Ragione sociale]:[Checkbox selezionato]],3,FALSE),"-")</f>
        <v>0</v>
      </c>
      <c r="AK498" s="63">
        <f>IFERROR(VLOOKUP(Table2[[#This Row],[Contraente]],Table1[[Nome/Ragione sociale]:[Checkbox selezionato]],4,FALSE),"-")</f>
        <v>0</v>
      </c>
      <c r="AL498" s="63">
        <f>IFERROR(VLOOKUP(Table2[[#This Row],[Contraente]],Table1[[Nome/Ragione sociale]:[Checkbox selezionato]],5,FALSE),"-")</f>
        <v>0</v>
      </c>
      <c r="AM498" s="62">
        <f>IFERROR(VLOOKUP(Table2[[#This Row],[Contraente]],Table1[[Nome/Ragione sociale]:[Checkbox selezionato]],6,FALSE),"-")</f>
        <v>0</v>
      </c>
      <c r="AN498" s="63" t="str">
        <f>IFERROR(VLOOKUP(Table2[[#This Row],[Contraente]],Table1[[Nome/Ragione sociale]:[Checkbox selezionato]],7,FALSE),"-")</f>
        <v>papies@email.it</v>
      </c>
      <c r="AO498" s="63">
        <f>IFERROR(VLOOKUP(Table2[[#This Row],[Contraente]],Table1[[Nome/Ragione sociale]:[Checkbox selezionato]],8,FALSE),"-")</f>
        <v>0</v>
      </c>
      <c r="AP498" s="63">
        <f>IFERROR(VLOOKUP(Table2[[#This Row],[Contraente]],Table1[[Nome/Ragione sociale]:[Checkbox selezionato]],10,FALSE),"-")</f>
        <v>0</v>
      </c>
      <c r="AQ498" s="63" t="str">
        <f>IFERROR(VLOOKUP(Table2[[#This Row],[Contraente]],Table1[[Nome/Ragione sociale]:[Checkbox selezionato]],11,FALSE),"-")</f>
        <v>SI</v>
      </c>
      <c r="AR498" s="63" t="str">
        <f>IFERROR(VLOOKUP(Table2[[#This Row],[Contraente]],Table1[[Nome/Ragione sociale]:[Checkbox selezionato]],12,FALSE),"-")</f>
        <v>SI</v>
      </c>
    </row>
    <row r="499" spans="1:44" ht="30" hidden="1" customHeight="1" x14ac:dyDescent="0.25">
      <c r="A499" s="60" t="str">
        <f>UPPER(LEFT(Table2[[#This Row],[Contraente]],1))</f>
        <v>G</v>
      </c>
      <c r="B499" s="60" t="s">
        <v>1634</v>
      </c>
      <c r="C499" s="47" t="s">
        <v>1789</v>
      </c>
      <c r="D499" s="98" t="s">
        <v>37</v>
      </c>
      <c r="E499" s="99" t="s">
        <v>1795</v>
      </c>
      <c r="F499" s="64">
        <v>42921</v>
      </c>
      <c r="G499" s="64">
        <f>IFERROR(CALCOLASCADENZA(Table2[[#This Row],[Data attivazione]],Table2[[#This Row],[Rateizzazione]],Table2[[#This Row],[Data ultimo pagamento]],Table2[[#This Row],[Data prossima scadenza manuale]]),"-")</f>
        <v>43283</v>
      </c>
      <c r="H499" s="67" t="s">
        <v>30</v>
      </c>
      <c r="I499" s="67" t="s">
        <v>113</v>
      </c>
      <c r="J499" s="100">
        <f>IFERROR(Table2[[#This Row],[Importo annuale]]/(12/VLOOKUP(Table2[[#This Row],[Rateizzazione]],TIPI_RATEIZZAZIONI,2,FALSE)),"-")</f>
        <v>60</v>
      </c>
      <c r="K499" s="102">
        <v>60</v>
      </c>
      <c r="L499" s="69">
        <v>60</v>
      </c>
      <c r="M499" s="67" t="s">
        <v>44</v>
      </c>
      <c r="N499" s="67" t="s">
        <v>52</v>
      </c>
      <c r="O499" s="27" t="s">
        <v>1631</v>
      </c>
      <c r="P499" s="92" t="s">
        <v>23</v>
      </c>
      <c r="Q499" s="60">
        <f>IFERROR(IF(12 / VLOOKUP(Table2[[#This Row],[Rateizzazione]],TIPI_RATEIZZAZIONI,2,FALSE) &gt;=1,  IF(Table2[[#This Row],[Data attivazione]] = "","-",MONTH(Table2[[#This Row],[Data attivazione]])),"-"),"-")</f>
        <v>7</v>
      </c>
      <c r="R4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9" s="67" t="s">
        <v>1774</v>
      </c>
      <c r="V499" s="62"/>
      <c r="W499" s="64">
        <v>42918</v>
      </c>
      <c r="X499" s="29">
        <f>DATE(YEAR(Table2[[#This Row],[Data attivazione]])+VLOOKUP(Table2[[#This Row],[Durata]],VALORE_DURATA,2,FALSE),MONTH(Table2[[#This Row],[Data attivazione]]),DAY(Table2[[#This Row],[Data attivazione]]))</f>
        <v>43283</v>
      </c>
      <c r="Y499" s="65"/>
      <c r="Z499" s="61"/>
      <c r="AA499" s="64" t="s">
        <v>85</v>
      </c>
      <c r="AB499" s="29" t="str">
        <f>IF(Table2[[#This Row],[Data ultimo versamento temp]]=0/1/1900,"-",Table2[[#This Row],[Data ultimo versamento temp]])</f>
        <v>-</v>
      </c>
      <c r="AC499" s="29">
        <f t="array" ref="AC499">MAX(IF(TableVersamenti[Polizza]=Table2[[#This Row],[Polizza]],TableVersamenti[Data prevista versamento],"-"))</f>
        <v>0</v>
      </c>
      <c r="AD499" s="62"/>
      <c r="AE499" s="106">
        <f>DATE(YEAR(Table2[[#This Row],[Data ultimo pagamento]]),MONTH(Table2[[#This Row],[Data ultimo pagamento]]), 1)</f>
        <v>42917</v>
      </c>
      <c r="AF499" s="106">
        <f>DATE(YEAR(Table2[[#This Row],[Data prossima scadenza]]),MONTH(Table2[[#This Row],[Data prossima scadenza]]), 1)</f>
        <v>43282</v>
      </c>
      <c r="AG499" s="92">
        <f>IFERROR(Table2[[#This Row],[Importo annuale]]*VLOOKUP(Table2[[#This Row],[Ramo]],RAMI_POLIZZA,2,FALSE),0)</f>
        <v>6.9</v>
      </c>
      <c r="AH499" s="65" t="s">
        <v>113</v>
      </c>
      <c r="AI499" s="63" t="str">
        <f>IFERROR(VLOOKUP(Table2[[#This Row],[Contraente]],Table1[[Nome/Ragione sociale]:[Checkbox selezionato]],2,FALSE),"-")</f>
        <v>MILANO</v>
      </c>
      <c r="AJ499" s="63">
        <f>IFERROR(VLOOKUP(Table2[[#This Row],[Contraente]],Table1[[Nome/Ragione sociale]:[Checkbox selezionato]],3,FALSE),"-")</f>
        <v>0</v>
      </c>
      <c r="AK499" s="63">
        <f>IFERROR(VLOOKUP(Table2[[#This Row],[Contraente]],Table1[[Nome/Ragione sociale]:[Checkbox selezionato]],4,FALSE),"-")</f>
        <v>0</v>
      </c>
      <c r="AL499" s="63">
        <f>IFERROR(VLOOKUP(Table2[[#This Row],[Contraente]],Table1[[Nome/Ragione sociale]:[Checkbox selezionato]],5,FALSE),"-")</f>
        <v>0</v>
      </c>
      <c r="AM499" s="62">
        <f>IFERROR(VLOOKUP(Table2[[#This Row],[Contraente]],Table1[[Nome/Ragione sociale]:[Checkbox selezionato]],6,FALSE),"-")</f>
        <v>0</v>
      </c>
      <c r="AN499" s="63" t="str">
        <f>IFERROR(VLOOKUP(Table2[[#This Row],[Contraente]],Table1[[Nome/Ragione sociale]:[Checkbox selezionato]],7,FALSE),"-")</f>
        <v>papies@email.it</v>
      </c>
      <c r="AO499" s="63">
        <f>IFERROR(VLOOKUP(Table2[[#This Row],[Contraente]],Table1[[Nome/Ragione sociale]:[Checkbox selezionato]],8,FALSE),"-")</f>
        <v>0</v>
      </c>
      <c r="AP499" s="63">
        <f>IFERROR(VLOOKUP(Table2[[#This Row],[Contraente]],Table1[[Nome/Ragione sociale]:[Checkbox selezionato]],10,FALSE),"-")</f>
        <v>0</v>
      </c>
      <c r="AQ499" s="63" t="str">
        <f>IFERROR(VLOOKUP(Table2[[#This Row],[Contraente]],Table1[[Nome/Ragione sociale]:[Checkbox selezionato]],11,FALSE),"-")</f>
        <v>SI</v>
      </c>
      <c r="AR499" s="63" t="str">
        <f>IFERROR(VLOOKUP(Table2[[#This Row],[Contraente]],Table1[[Nome/Ragione sociale]:[Checkbox selezionato]],12,FALSE),"-")</f>
        <v>SI</v>
      </c>
    </row>
    <row r="500" spans="1:44" ht="30" hidden="1" customHeight="1" x14ac:dyDescent="0.25">
      <c r="A500" s="60" t="str">
        <f>UPPER(LEFT(Table2[[#This Row],[Contraente]],1))</f>
        <v>G</v>
      </c>
      <c r="B500" s="60" t="s">
        <v>1634</v>
      </c>
      <c r="C500" s="81" t="s">
        <v>666</v>
      </c>
      <c r="D500" s="81" t="s">
        <v>37</v>
      </c>
      <c r="E500" s="86">
        <v>106460032</v>
      </c>
      <c r="F500" s="64">
        <v>42761</v>
      </c>
      <c r="G500" s="64">
        <f>IFERROR(CALCOLASCADENZA(Table2[[#This Row],[Data attivazione]],Table2[[#This Row],[Rateizzazione]],Table2[[#This Row],[Data ultimo pagamento]],Table2[[#This Row],[Data prossima scadenza manuale]]),"-")</f>
        <v>43126</v>
      </c>
      <c r="H500" s="67" t="s">
        <v>30</v>
      </c>
      <c r="I500" s="67" t="s">
        <v>113</v>
      </c>
      <c r="J500" s="33">
        <f>IFERROR(Table2[[#This Row],[Importo annuale]]/(12/VLOOKUP(Table2[[#This Row],[Rateizzazione]],TIPI_RATEIZZAZIONI,2,FALSE)),"-")</f>
        <v>350</v>
      </c>
      <c r="K500" s="88">
        <v>350</v>
      </c>
      <c r="L500" s="88">
        <v>350</v>
      </c>
      <c r="M500" s="67" t="s">
        <v>44</v>
      </c>
      <c r="N500" s="67" t="s">
        <v>52</v>
      </c>
      <c r="O500" s="27" t="s">
        <v>1631</v>
      </c>
      <c r="P500" s="33" t="s">
        <v>23</v>
      </c>
      <c r="Q500" s="60">
        <f>IFERROR(IF(12 / VLOOKUP(Table2[[#This Row],[Rateizzazione]],TIPI_RATEIZZAZIONI,2,FALSE) &gt;=1,  IF(Table2[[#This Row],[Data attivazione]] = "","-",MONTH(Table2[[#This Row],[Data attivazione]])),"-"),"-")</f>
        <v>1</v>
      </c>
      <c r="R5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0" s="67" t="s">
        <v>2</v>
      </c>
      <c r="V500" s="62"/>
      <c r="W500" s="64">
        <v>42761</v>
      </c>
      <c r="X500" s="29">
        <f>DATE(YEAR(Table2[[#This Row],[Data attivazione]])+VLOOKUP(Table2[[#This Row],[Durata]],VALORE_DURATA,2,FALSE),MONTH(Table2[[#This Row],[Data attivazione]]),DAY(Table2[[#This Row],[Data attivazione]]))</f>
        <v>43126</v>
      </c>
      <c r="Y500" s="65"/>
      <c r="Z500" s="61"/>
      <c r="AA500" s="64" t="s">
        <v>85</v>
      </c>
      <c r="AB500" s="29" t="str">
        <f>IF(Table2[[#This Row],[Data ultimo versamento temp]]=0/1/1900,"-",Table2[[#This Row],[Data ultimo versamento temp]])</f>
        <v>-</v>
      </c>
      <c r="AC500" s="29">
        <f t="array" ref="AC500">MAX(IF(TableVersamenti[Polizza]=Table2[[#This Row],[Polizza]],TableVersamenti[Data prevista versamento],"-"))</f>
        <v>0</v>
      </c>
      <c r="AD500" s="62"/>
      <c r="AE500" s="106">
        <f>DATE(YEAR(Table2[[#This Row],[Data ultimo pagamento]]),MONTH(Table2[[#This Row],[Data ultimo pagamento]]), 1)</f>
        <v>42736</v>
      </c>
      <c r="AF500" s="106">
        <f>DATE(YEAR(Table2[[#This Row],[Data prossima scadenza]]),MONTH(Table2[[#This Row],[Data prossima scadenza]]), 1)</f>
        <v>43101</v>
      </c>
      <c r="AG500" s="33">
        <f>IFERROR(Table2[[#This Row],[Importo annuale]]*VLOOKUP(Table2[[#This Row],[Ramo]],RAMI_POLIZZA,2,FALSE),0)</f>
        <v>40.25</v>
      </c>
      <c r="AH500" s="65" t="s">
        <v>113</v>
      </c>
      <c r="AI500" s="63" t="str">
        <f>IFERROR(VLOOKUP(Table2[[#This Row],[Contraente]],Table1[[Nome/Ragione sociale]:[Checkbox selezionato]],2,FALSE),"-")</f>
        <v>PAVIA</v>
      </c>
      <c r="AJ500" s="63">
        <f>IFERROR(VLOOKUP(Table2[[#This Row],[Contraente]],Table1[[Nome/Ragione sociale]:[Checkbox selezionato]],3,FALSE),"-")</f>
        <v>3472547303</v>
      </c>
      <c r="AK500" s="63">
        <f>IFERROR(VLOOKUP(Table2[[#This Row],[Contraente]],Table1[[Nome/Ragione sociale]:[Checkbox selezionato]],4,FALSE),"-")</f>
        <v>0</v>
      </c>
      <c r="AL500" s="63" t="str">
        <f>IFERROR(VLOOKUP(Table2[[#This Row],[Contraente]],Table1[[Nome/Ragione sociale]:[Checkbox selezionato]],5,FALSE),"-")</f>
        <v>DENIS</v>
      </c>
      <c r="AM500" s="62">
        <f>IFERROR(VLOOKUP(Table2[[#This Row],[Contraente]],Table1[[Nome/Ragione sociale]:[Checkbox selezionato]],6,FALSE),"-")</f>
        <v>32661</v>
      </c>
      <c r="AN500" s="63" t="str">
        <f>IFERROR(VLOOKUP(Table2[[#This Row],[Contraente]],Table1[[Nome/Ragione sociale]:[Checkbox selezionato]],7,FALSE),"-")</f>
        <v>papies@libero.it</v>
      </c>
      <c r="AO500" s="63">
        <f>IFERROR(VLOOKUP(Table2[[#This Row],[Contraente]],Table1[[Nome/Ragione sociale]:[Checkbox selezionato]],8,FALSE),"-")</f>
        <v>0</v>
      </c>
      <c r="AP500" s="63">
        <f>IFERROR(VLOOKUP(Table2[[#This Row],[Contraente]],Table1[[Nome/Ragione sociale]:[Checkbox selezionato]],10,FALSE),"-")</f>
        <v>3472547303</v>
      </c>
      <c r="AQ500" s="63" t="str">
        <f>IFERROR(VLOOKUP(Table2[[#This Row],[Contraente]],Table1[[Nome/Ragione sociale]:[Checkbox selezionato]],11,FALSE),"-")</f>
        <v>SI</v>
      </c>
      <c r="AR500" s="63" t="str">
        <f>IFERROR(VLOOKUP(Table2[[#This Row],[Contraente]],Table1[[Nome/Ragione sociale]:[Checkbox selezionato]],12,FALSE),"-")</f>
        <v>SI</v>
      </c>
    </row>
    <row r="501" spans="1:44" ht="30" hidden="1" customHeight="1" x14ac:dyDescent="0.25">
      <c r="A501" s="60" t="str">
        <f>UPPER(LEFT(Table2[[#This Row],[Contraente]],1))</f>
        <v>G</v>
      </c>
      <c r="B501" s="60" t="s">
        <v>1634</v>
      </c>
      <c r="C501" s="81" t="s">
        <v>666</v>
      </c>
      <c r="D501" s="81" t="s">
        <v>37</v>
      </c>
      <c r="E501" s="86">
        <v>106460792</v>
      </c>
      <c r="F501" s="64">
        <v>42761</v>
      </c>
      <c r="G501" s="64">
        <f>IFERROR(CALCOLASCADENZA(Table2[[#This Row],[Data attivazione]],Table2[[#This Row],[Rateizzazione]],Table2[[#This Row],[Data ultimo pagamento]],Table2[[#This Row],[Data prossima scadenza manuale]]),"-")</f>
        <v>43126</v>
      </c>
      <c r="H501" s="67" t="s">
        <v>30</v>
      </c>
      <c r="I501" s="67" t="s">
        <v>113</v>
      </c>
      <c r="J501" s="33">
        <f>IFERROR(Table2[[#This Row],[Importo annuale]]/(12/VLOOKUP(Table2[[#This Row],[Rateizzazione]],TIPI_RATEIZZAZIONI,2,FALSE)),"-")</f>
        <v>180</v>
      </c>
      <c r="K501" s="88">
        <v>180</v>
      </c>
      <c r="L501" s="88">
        <v>180</v>
      </c>
      <c r="M501" s="67" t="s">
        <v>44</v>
      </c>
      <c r="N501" s="67" t="s">
        <v>52</v>
      </c>
      <c r="O501" s="27" t="s">
        <v>1631</v>
      </c>
      <c r="P501" s="33" t="s">
        <v>23</v>
      </c>
      <c r="Q501" s="60">
        <f>IFERROR(IF(12 / VLOOKUP(Table2[[#This Row],[Rateizzazione]],TIPI_RATEIZZAZIONI,2,FALSE) &gt;=1,  IF(Table2[[#This Row],[Data attivazione]] = "","-",MONTH(Table2[[#This Row],[Data attivazione]])),"-"),"-")</f>
        <v>1</v>
      </c>
      <c r="R5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1" s="67" t="s">
        <v>2</v>
      </c>
      <c r="V501" s="62"/>
      <c r="W501" s="64">
        <v>42761</v>
      </c>
      <c r="X501" s="29">
        <f>DATE(YEAR(Table2[[#This Row],[Data attivazione]])+VLOOKUP(Table2[[#This Row],[Durata]],VALORE_DURATA,2,FALSE),MONTH(Table2[[#This Row],[Data attivazione]]),DAY(Table2[[#This Row],[Data attivazione]]))</f>
        <v>43126</v>
      </c>
      <c r="Y501" s="65"/>
      <c r="Z501" s="61"/>
      <c r="AA501" s="64" t="s">
        <v>85</v>
      </c>
      <c r="AB501" s="29" t="str">
        <f>IF(Table2[[#This Row],[Data ultimo versamento temp]]=0/1/1900,"-",Table2[[#This Row],[Data ultimo versamento temp]])</f>
        <v>-</v>
      </c>
      <c r="AC501" s="29">
        <f t="array" ref="AC501">MAX(IF(TableVersamenti[Polizza]=Table2[[#This Row],[Polizza]],TableVersamenti[Data prevista versamento],"-"))</f>
        <v>0</v>
      </c>
      <c r="AD501" s="62"/>
      <c r="AE501" s="106">
        <f>DATE(YEAR(Table2[[#This Row],[Data ultimo pagamento]]),MONTH(Table2[[#This Row],[Data ultimo pagamento]]), 1)</f>
        <v>42736</v>
      </c>
      <c r="AF501" s="106">
        <f>DATE(YEAR(Table2[[#This Row],[Data prossima scadenza]]),MONTH(Table2[[#This Row],[Data prossima scadenza]]), 1)</f>
        <v>43101</v>
      </c>
      <c r="AG501" s="33">
        <f>IFERROR(Table2[[#This Row],[Importo annuale]]*VLOOKUP(Table2[[#This Row],[Ramo]],RAMI_POLIZZA,2,FALSE),0)</f>
        <v>20.7</v>
      </c>
      <c r="AH501" s="65" t="s">
        <v>113</v>
      </c>
      <c r="AI501" s="63" t="str">
        <f>IFERROR(VLOOKUP(Table2[[#This Row],[Contraente]],Table1[[Nome/Ragione sociale]:[Checkbox selezionato]],2,FALSE),"-")</f>
        <v>PAVIA</v>
      </c>
      <c r="AJ501" s="63">
        <f>IFERROR(VLOOKUP(Table2[[#This Row],[Contraente]],Table1[[Nome/Ragione sociale]:[Checkbox selezionato]],3,FALSE),"-")</f>
        <v>3472547303</v>
      </c>
      <c r="AK501" s="63">
        <f>IFERROR(VLOOKUP(Table2[[#This Row],[Contraente]],Table1[[Nome/Ragione sociale]:[Checkbox selezionato]],4,FALSE),"-")</f>
        <v>0</v>
      </c>
      <c r="AL501" s="63" t="str">
        <f>IFERROR(VLOOKUP(Table2[[#This Row],[Contraente]],Table1[[Nome/Ragione sociale]:[Checkbox selezionato]],5,FALSE),"-")</f>
        <v>DENIS</v>
      </c>
      <c r="AM501" s="62">
        <f>IFERROR(VLOOKUP(Table2[[#This Row],[Contraente]],Table1[[Nome/Ragione sociale]:[Checkbox selezionato]],6,FALSE),"-")</f>
        <v>32661</v>
      </c>
      <c r="AN501" s="63" t="str">
        <f>IFERROR(VLOOKUP(Table2[[#This Row],[Contraente]],Table1[[Nome/Ragione sociale]:[Checkbox selezionato]],7,FALSE),"-")</f>
        <v>papies@libero.it</v>
      </c>
      <c r="AO501" s="63">
        <f>IFERROR(VLOOKUP(Table2[[#This Row],[Contraente]],Table1[[Nome/Ragione sociale]:[Checkbox selezionato]],8,FALSE),"-")</f>
        <v>0</v>
      </c>
      <c r="AP501" s="63">
        <f>IFERROR(VLOOKUP(Table2[[#This Row],[Contraente]],Table1[[Nome/Ragione sociale]:[Checkbox selezionato]],10,FALSE),"-")</f>
        <v>3472547303</v>
      </c>
      <c r="AQ501" s="63" t="str">
        <f>IFERROR(VLOOKUP(Table2[[#This Row],[Contraente]],Table1[[Nome/Ragione sociale]:[Checkbox selezionato]],11,FALSE),"-")</f>
        <v>SI</v>
      </c>
      <c r="AR501" s="63" t="str">
        <f>IFERROR(VLOOKUP(Table2[[#This Row],[Contraente]],Table1[[Nome/Ragione sociale]:[Checkbox selezionato]],12,FALSE),"-")</f>
        <v>SI</v>
      </c>
    </row>
    <row r="502" spans="1:44" ht="30" hidden="1" customHeight="1" x14ac:dyDescent="0.25">
      <c r="A502" s="60" t="str">
        <f>UPPER(LEFT(Table2[[#This Row],[Contraente]],1))</f>
        <v>G</v>
      </c>
      <c r="B502" s="60" t="s">
        <v>1634</v>
      </c>
      <c r="C502" s="81" t="s">
        <v>668</v>
      </c>
      <c r="D502" s="81" t="s">
        <v>37</v>
      </c>
      <c r="E502" s="86">
        <v>105717302</v>
      </c>
      <c r="F502" s="64">
        <v>42901</v>
      </c>
      <c r="G502" s="64">
        <f>IFERROR(CALCOLASCADENZA(Table2[[#This Row],[Data attivazione]],Table2[[#This Row],[Rateizzazione]],Table2[[#This Row],[Data ultimo pagamento]],Table2[[#This Row],[Data prossima scadenza manuale]]),"-")</f>
        <v>43255</v>
      </c>
      <c r="H502" s="67" t="s">
        <v>30</v>
      </c>
      <c r="I502" s="67" t="s">
        <v>113</v>
      </c>
      <c r="J502" s="33">
        <f>IFERROR(Table2[[#This Row],[Importo annuale]]/(12/VLOOKUP(Table2[[#This Row],[Rateizzazione]],TIPI_RATEIZZAZIONI,2,FALSE)),"-")</f>
        <v>185</v>
      </c>
      <c r="K502" s="88">
        <v>185</v>
      </c>
      <c r="L502" s="88">
        <v>185</v>
      </c>
      <c r="M502" s="67" t="s">
        <v>45</v>
      </c>
      <c r="N502" s="67" t="s">
        <v>51</v>
      </c>
      <c r="O502" s="27" t="s">
        <v>1631</v>
      </c>
      <c r="P502" s="33" t="s">
        <v>23</v>
      </c>
      <c r="Q502" s="60">
        <f>IFERROR(IF(12 / VLOOKUP(Table2[[#This Row],[Rateizzazione]],TIPI_RATEIZZAZIONI,2,FALSE) &gt;=1,  IF(Table2[[#This Row],[Data attivazione]] = "","-",MONTH(Table2[[#This Row],[Data attivazione]])),"-"),"-")</f>
        <v>6</v>
      </c>
      <c r="R5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2" s="67" t="s">
        <v>2</v>
      </c>
      <c r="V502" s="62"/>
      <c r="W502" s="64">
        <v>42890</v>
      </c>
      <c r="X502" s="29">
        <f>DATE(YEAR(Table2[[#This Row],[Data attivazione]])+VLOOKUP(Table2[[#This Row],[Durata]],VALORE_DURATA,2,FALSE),MONTH(Table2[[#This Row],[Data attivazione]]),DAY(Table2[[#This Row],[Data attivazione]]))</f>
        <v>43255</v>
      </c>
      <c r="Y502" s="65"/>
      <c r="Z502" s="61"/>
      <c r="AA502" s="64" t="s">
        <v>85</v>
      </c>
      <c r="AB502" s="29" t="str">
        <f>IF(Table2[[#This Row],[Data ultimo versamento temp]]=0/1/1900,"-",Table2[[#This Row],[Data ultimo versamento temp]])</f>
        <v>-</v>
      </c>
      <c r="AC502" s="29">
        <f t="array" ref="AC502">MAX(IF(TableVersamenti[Polizza]=Table2[[#This Row],[Polizza]],TableVersamenti[Data prevista versamento],"-"))</f>
        <v>0</v>
      </c>
      <c r="AD502" s="62"/>
      <c r="AE502" s="106">
        <f>DATE(YEAR(Table2[[#This Row],[Data ultimo pagamento]]),MONTH(Table2[[#This Row],[Data ultimo pagamento]]), 1)</f>
        <v>42887</v>
      </c>
      <c r="AF502" s="106">
        <f>DATE(YEAR(Table2[[#This Row],[Data prossima scadenza]]),MONTH(Table2[[#This Row],[Data prossima scadenza]]), 1)</f>
        <v>43252</v>
      </c>
      <c r="AG502" s="33">
        <f>IFERROR(Table2[[#This Row],[Importo annuale]]*VLOOKUP(Table2[[#This Row],[Ramo]],RAMI_POLIZZA,2,FALSE),0)</f>
        <v>21.275000000000002</v>
      </c>
      <c r="AH502" s="65" t="s">
        <v>113</v>
      </c>
      <c r="AI502" s="63" t="str">
        <f>IFERROR(VLOOKUP(Table2[[#This Row],[Contraente]],Table1[[Nome/Ragione sociale]:[Checkbox selezionato]],2,FALSE),"-")</f>
        <v>ALBUZZANO</v>
      </c>
      <c r="AJ502" s="63">
        <f>IFERROR(VLOOKUP(Table2[[#This Row],[Contraente]],Table1[[Nome/Ragione sociale]:[Checkbox selezionato]],3,FALSE),"-")</f>
        <v>3334702780</v>
      </c>
      <c r="AK502" s="63">
        <f>IFERROR(VLOOKUP(Table2[[#This Row],[Contraente]],Table1[[Nome/Ragione sociale]:[Checkbox selezionato]],4,FALSE),"-")</f>
        <v>0</v>
      </c>
      <c r="AL502" s="63" t="str">
        <f>IFERROR(VLOOKUP(Table2[[#This Row],[Contraente]],Table1[[Nome/Ragione sociale]:[Checkbox selezionato]],5,FALSE),"-")</f>
        <v>FIGLIO GERMANI LORE</v>
      </c>
      <c r="AM502" s="62">
        <f>IFERROR(VLOOKUP(Table2[[#This Row],[Contraente]],Table1[[Nome/Ragione sociale]:[Checkbox selezionato]],6,FALSE),"-")</f>
        <v>18816</v>
      </c>
      <c r="AN502" s="63" t="str">
        <f>IFERROR(VLOOKUP(Table2[[#This Row],[Contraente]],Table1[[Nome/Ragione sociale]:[Checkbox selezionato]],7,FALSE),"-")</f>
        <v>papies@libero.it</v>
      </c>
      <c r="AO502" s="63">
        <f>IFERROR(VLOOKUP(Table2[[#This Row],[Contraente]],Table1[[Nome/Ragione sociale]:[Checkbox selezionato]],8,FALSE),"-")</f>
        <v>0</v>
      </c>
      <c r="AP502" s="63">
        <f>IFERROR(VLOOKUP(Table2[[#This Row],[Contraente]],Table1[[Nome/Ragione sociale]:[Checkbox selezionato]],10,FALSE),"-")</f>
        <v>3334702780</v>
      </c>
      <c r="AQ502" s="63" t="str">
        <f>IFERROR(VLOOKUP(Table2[[#This Row],[Contraente]],Table1[[Nome/Ragione sociale]:[Checkbox selezionato]],11,FALSE),"-")</f>
        <v>SI</v>
      </c>
      <c r="AR502" s="63" t="str">
        <f>IFERROR(VLOOKUP(Table2[[#This Row],[Contraente]],Table1[[Nome/Ragione sociale]:[Checkbox selezionato]],12,FALSE),"-")</f>
        <v>SI</v>
      </c>
    </row>
    <row r="503" spans="1:44" ht="30" hidden="1" customHeight="1" x14ac:dyDescent="0.25">
      <c r="A503" s="60" t="str">
        <f>UPPER(LEFT(Table2[[#This Row],[Contraente]],1))</f>
        <v>G</v>
      </c>
      <c r="B503" s="60" t="s">
        <v>1634</v>
      </c>
      <c r="C503" s="47" t="s">
        <v>1782</v>
      </c>
      <c r="D503" s="98" t="s">
        <v>37</v>
      </c>
      <c r="E503" s="99" t="s">
        <v>1845</v>
      </c>
      <c r="F503" s="109">
        <v>42934</v>
      </c>
      <c r="G503" s="64">
        <f>IFERROR(CALCOLASCADENZA(Table2[[#This Row],[Data attivazione]],Table2[[#This Row],[Rateizzazione]],Table2[[#This Row],[Data ultimo pagamento]],Table2[[#This Row],[Data prossima scadenza manuale]]),"-")</f>
        <v>43299</v>
      </c>
      <c r="H503" s="64" t="s">
        <v>31</v>
      </c>
      <c r="I503" s="64" t="s">
        <v>1846</v>
      </c>
      <c r="J503" s="92">
        <f>IFERROR(Table2[[#This Row],[Importo annuale]]/(12/VLOOKUP(Table2[[#This Row],[Rateizzazione]],TIPI_RATEIZZAZIONI,2,FALSE)),"-")</f>
        <v>1100</v>
      </c>
      <c r="K503" s="69">
        <v>1100</v>
      </c>
      <c r="L503" s="69">
        <v>1100</v>
      </c>
      <c r="M503" s="92" t="s">
        <v>44</v>
      </c>
      <c r="N503" s="92" t="s">
        <v>52</v>
      </c>
      <c r="O503" s="67" t="s">
        <v>1631</v>
      </c>
      <c r="P503" s="92" t="s">
        <v>23</v>
      </c>
      <c r="Q503" s="60">
        <f>IFERROR(IF(12 / VLOOKUP(Table2[[#This Row],[Rateizzazione]],TIPI_RATEIZZAZIONI,2,FALSE) &gt;=1,  IF(Table2[[#This Row],[Data attivazione]] = "","-",MONTH(Table2[[#This Row],[Data attivazione]])),"-"),"-")</f>
        <v>7</v>
      </c>
      <c r="R5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3" s="60" t="s">
        <v>1774</v>
      </c>
      <c r="V503" s="62"/>
      <c r="W503" s="64">
        <v>42934</v>
      </c>
      <c r="X503" s="29">
        <f>DATE(YEAR(Table2[[#This Row],[Data attivazione]])+VLOOKUP(Table2[[#This Row],[Durata]],VALORE_DURATA,2,FALSE),MONTH(Table2[[#This Row],[Data attivazione]]),DAY(Table2[[#This Row],[Data attivazione]]))</f>
        <v>43299</v>
      </c>
      <c r="Y503" s="65"/>
      <c r="Z503" s="61"/>
      <c r="AA503" s="64" t="s">
        <v>85</v>
      </c>
      <c r="AB503" s="29" t="str">
        <f>IF(Table2[[#This Row],[Data ultimo versamento temp]]=0/1/1900,"-",Table2[[#This Row],[Data ultimo versamento temp]])</f>
        <v>-</v>
      </c>
      <c r="AC503" s="29">
        <f t="array" ref="AC503">MAX(IF(TableVersamenti[Polizza]=Table2[[#This Row],[Polizza]],TableVersamenti[Data prevista versamento],"-"))</f>
        <v>0</v>
      </c>
      <c r="AD503" s="62"/>
      <c r="AE503" s="106">
        <f>DATE(YEAR(Table2[[#This Row],[Data ultimo pagamento]]),MONTH(Table2[[#This Row],[Data ultimo pagamento]]), 1)</f>
        <v>42917</v>
      </c>
      <c r="AF503" s="106">
        <f>DATE(YEAR(Table2[[#This Row],[Data prossima scadenza]]),MONTH(Table2[[#This Row],[Data prossima scadenza]]), 1)</f>
        <v>43282</v>
      </c>
      <c r="AG503" s="92">
        <f>IFERROR(Table2[[#This Row],[Importo annuale]]*VLOOKUP(Table2[[#This Row],[Ramo]],RAMI_POLIZZA,2,FALSE),0)</f>
        <v>57.199999999999996</v>
      </c>
      <c r="AH503" s="65"/>
      <c r="AI503" s="63" t="str">
        <f>IFERROR(VLOOKUP(Table2[[#This Row],[Contraente]],Table1[[Nome/Ragione sociale]:[Checkbox selezionato]],2,FALSE),"-")</f>
        <v>BREMBIO</v>
      </c>
      <c r="AJ503" s="63">
        <f>IFERROR(VLOOKUP(Table2[[#This Row],[Contraente]],Table1[[Nome/Ragione sociale]:[Checkbox selezionato]],3,FALSE),"-")</f>
        <v>0</v>
      </c>
      <c r="AK503" s="63">
        <f>IFERROR(VLOOKUP(Table2[[#This Row],[Contraente]],Table1[[Nome/Ragione sociale]:[Checkbox selezionato]],4,FALSE),"-")</f>
        <v>0</v>
      </c>
      <c r="AL503" s="63">
        <f>IFERROR(VLOOKUP(Table2[[#This Row],[Contraente]],Table1[[Nome/Ragione sociale]:[Checkbox selezionato]],5,FALSE),"-")</f>
        <v>0</v>
      </c>
      <c r="AM503" s="62">
        <f>IFERROR(VLOOKUP(Table2[[#This Row],[Contraente]],Table1[[Nome/Ragione sociale]:[Checkbox selezionato]],6,FALSE),"-")</f>
        <v>0</v>
      </c>
      <c r="AN503" s="63" t="str">
        <f>IFERROR(VLOOKUP(Table2[[#This Row],[Contraente]],Table1[[Nome/Ragione sociale]:[Checkbox selezionato]],7,FALSE),"-")</f>
        <v>papies@email.it</v>
      </c>
      <c r="AO503" s="63">
        <f>IFERROR(VLOOKUP(Table2[[#This Row],[Contraente]],Table1[[Nome/Ragione sociale]:[Checkbox selezionato]],8,FALSE),"-")</f>
        <v>0</v>
      </c>
      <c r="AP503" s="63">
        <f>IFERROR(VLOOKUP(Table2[[#This Row],[Contraente]],Table1[[Nome/Ragione sociale]:[Checkbox selezionato]],10,FALSE),"-")</f>
        <v>0</v>
      </c>
      <c r="AQ503" s="63" t="str">
        <f>IFERROR(VLOOKUP(Table2[[#This Row],[Contraente]],Table1[[Nome/Ragione sociale]:[Checkbox selezionato]],11,FALSE),"-")</f>
        <v>SI</v>
      </c>
      <c r="AR503" s="63" t="str">
        <f>IFERROR(VLOOKUP(Table2[[#This Row],[Contraente]],Table1[[Nome/Ragione sociale]:[Checkbox selezionato]],12,FALSE),"-")</f>
        <v>SI</v>
      </c>
    </row>
    <row r="504" spans="1:44" ht="30" hidden="1" customHeight="1" x14ac:dyDescent="0.25">
      <c r="A504" s="60" t="str">
        <f>UPPER(LEFT(Table2[[#This Row],[Contraente]],1))</f>
        <v>G</v>
      </c>
      <c r="B504" s="60" t="s">
        <v>1634</v>
      </c>
      <c r="C504" s="47" t="s">
        <v>1782</v>
      </c>
      <c r="D504" s="98" t="s">
        <v>37</v>
      </c>
      <c r="E504" s="99" t="s">
        <v>1784</v>
      </c>
      <c r="F504" s="64">
        <v>42919</v>
      </c>
      <c r="G504" s="64">
        <f>IFERROR(CALCOLASCADENZA(Table2[[#This Row],[Data attivazione]],Table2[[#This Row],[Rateizzazione]],Table2[[#This Row],[Data ultimo pagamento]],Table2[[#This Row],[Data prossima scadenza manuale]]),"-")</f>
        <v>43284</v>
      </c>
      <c r="H504" s="67" t="s">
        <v>30</v>
      </c>
      <c r="I504" s="67" t="s">
        <v>113</v>
      </c>
      <c r="J504" s="100">
        <f>IFERROR(Table2[[#This Row],[Importo annuale]]/(12/VLOOKUP(Table2[[#This Row],[Rateizzazione]],TIPI_RATEIZZAZIONI,2,FALSE)),"-")</f>
        <v>315</v>
      </c>
      <c r="K504" s="102">
        <v>315</v>
      </c>
      <c r="L504" s="102">
        <v>315</v>
      </c>
      <c r="M504" s="67" t="s">
        <v>44</v>
      </c>
      <c r="N504" s="67" t="s">
        <v>52</v>
      </c>
      <c r="O504" s="27" t="s">
        <v>1631</v>
      </c>
      <c r="P504" s="92" t="s">
        <v>23</v>
      </c>
      <c r="Q504" s="60">
        <f>IFERROR(IF(12 / VLOOKUP(Table2[[#This Row],[Rateizzazione]],TIPI_RATEIZZAZIONI,2,FALSE) &gt;=1,  IF(Table2[[#This Row],[Data attivazione]] = "","-",MONTH(Table2[[#This Row],[Data attivazione]])),"-"),"-")</f>
        <v>7</v>
      </c>
      <c r="R5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4" s="67" t="s">
        <v>1774</v>
      </c>
      <c r="V504" s="62"/>
      <c r="W504" s="64">
        <v>42919</v>
      </c>
      <c r="X504" s="29">
        <f>DATE(YEAR(Table2[[#This Row],[Data attivazione]])+VLOOKUP(Table2[[#This Row],[Durata]],VALORE_DURATA,2,FALSE),MONTH(Table2[[#This Row],[Data attivazione]]),DAY(Table2[[#This Row],[Data attivazione]]))</f>
        <v>43284</v>
      </c>
      <c r="Y504" s="65"/>
      <c r="Z504" s="61"/>
      <c r="AA504" s="64" t="s">
        <v>85</v>
      </c>
      <c r="AB504" s="29" t="str">
        <f>IF(Table2[[#This Row],[Data ultimo versamento temp]]=0/1/1900,"-",Table2[[#This Row],[Data ultimo versamento temp]])</f>
        <v>-</v>
      </c>
      <c r="AC504" s="29">
        <f t="array" ref="AC504">MAX(IF(TableVersamenti[Polizza]=Table2[[#This Row],[Polizza]],TableVersamenti[Data prevista versamento],"-"))</f>
        <v>0</v>
      </c>
      <c r="AD504" s="62"/>
      <c r="AE504" s="106">
        <f>DATE(YEAR(Table2[[#This Row],[Data ultimo pagamento]]),MONTH(Table2[[#This Row],[Data ultimo pagamento]]), 1)</f>
        <v>42917</v>
      </c>
      <c r="AF504" s="106">
        <f>DATE(YEAR(Table2[[#This Row],[Data prossima scadenza]]),MONTH(Table2[[#This Row],[Data prossima scadenza]]), 1)</f>
        <v>43282</v>
      </c>
      <c r="AG504" s="92">
        <f>IFERROR(Table2[[#This Row],[Importo annuale]]*VLOOKUP(Table2[[#This Row],[Ramo]],RAMI_POLIZZA,2,FALSE),0)</f>
        <v>36.225000000000001</v>
      </c>
      <c r="AH504" s="65" t="s">
        <v>113</v>
      </c>
      <c r="AI504" s="63" t="str">
        <f>IFERROR(VLOOKUP(Table2[[#This Row],[Contraente]],Table1[[Nome/Ragione sociale]:[Checkbox selezionato]],2,FALSE),"-")</f>
        <v>BREMBIO</v>
      </c>
      <c r="AJ504" s="63">
        <f>IFERROR(VLOOKUP(Table2[[#This Row],[Contraente]],Table1[[Nome/Ragione sociale]:[Checkbox selezionato]],3,FALSE),"-")</f>
        <v>0</v>
      </c>
      <c r="AK504" s="63">
        <f>IFERROR(VLOOKUP(Table2[[#This Row],[Contraente]],Table1[[Nome/Ragione sociale]:[Checkbox selezionato]],4,FALSE),"-")</f>
        <v>0</v>
      </c>
      <c r="AL504" s="63">
        <f>IFERROR(VLOOKUP(Table2[[#This Row],[Contraente]],Table1[[Nome/Ragione sociale]:[Checkbox selezionato]],5,FALSE),"-")</f>
        <v>0</v>
      </c>
      <c r="AM504" s="62">
        <f>IFERROR(VLOOKUP(Table2[[#This Row],[Contraente]],Table1[[Nome/Ragione sociale]:[Checkbox selezionato]],6,FALSE),"-")</f>
        <v>0</v>
      </c>
      <c r="AN504" s="63" t="str">
        <f>IFERROR(VLOOKUP(Table2[[#This Row],[Contraente]],Table1[[Nome/Ragione sociale]:[Checkbox selezionato]],7,FALSE),"-")</f>
        <v>papies@email.it</v>
      </c>
      <c r="AO504" s="63">
        <f>IFERROR(VLOOKUP(Table2[[#This Row],[Contraente]],Table1[[Nome/Ragione sociale]:[Checkbox selezionato]],8,FALSE),"-")</f>
        <v>0</v>
      </c>
      <c r="AP504" s="63">
        <f>IFERROR(VLOOKUP(Table2[[#This Row],[Contraente]],Table1[[Nome/Ragione sociale]:[Checkbox selezionato]],10,FALSE),"-")</f>
        <v>0</v>
      </c>
      <c r="AQ504" s="63" t="str">
        <f>IFERROR(VLOOKUP(Table2[[#This Row],[Contraente]],Table1[[Nome/Ragione sociale]:[Checkbox selezionato]],11,FALSE),"-")</f>
        <v>SI</v>
      </c>
      <c r="AR504" s="63" t="str">
        <f>IFERROR(VLOOKUP(Table2[[#This Row],[Contraente]],Table1[[Nome/Ragione sociale]:[Checkbox selezionato]],12,FALSE),"-")</f>
        <v>SI</v>
      </c>
    </row>
    <row r="505" spans="1:44" ht="30" hidden="1" customHeight="1" x14ac:dyDescent="0.25">
      <c r="A505" s="60" t="str">
        <f>UPPER(LEFT(Table2[[#This Row],[Contraente]],1))</f>
        <v>G</v>
      </c>
      <c r="B505" s="60" t="s">
        <v>1634</v>
      </c>
      <c r="C505" s="81" t="s">
        <v>672</v>
      </c>
      <c r="D505" s="81" t="s">
        <v>37</v>
      </c>
      <c r="E505" s="86">
        <v>103788672</v>
      </c>
      <c r="F505" s="64">
        <v>42716</v>
      </c>
      <c r="G505" s="64">
        <f>IFERROR(CALCOLASCADENZA(Table2[[#This Row],[Data attivazione]],Table2[[#This Row],[Rateizzazione]],Table2[[#This Row],[Data ultimo pagamento]],Table2[[#This Row],[Data prossima scadenza manuale]]),"-")</f>
        <v>43067</v>
      </c>
      <c r="H505" s="67" t="s">
        <v>30</v>
      </c>
      <c r="I505" s="67" t="s">
        <v>113</v>
      </c>
      <c r="J505" s="33">
        <f>IFERROR(Table2[[#This Row],[Importo annuale]]/(12/VLOOKUP(Table2[[#This Row],[Rateizzazione]],TIPI_RATEIZZAZIONI,2,FALSE)),"-")</f>
        <v>206</v>
      </c>
      <c r="K505" s="88"/>
      <c r="L505" s="88">
        <v>206</v>
      </c>
      <c r="M505" s="67" t="s">
        <v>44</v>
      </c>
      <c r="N505" s="67" t="s">
        <v>51</v>
      </c>
      <c r="O505" s="27" t="s">
        <v>1631</v>
      </c>
      <c r="P505" s="33" t="s">
        <v>23</v>
      </c>
      <c r="Q505" s="60">
        <f>IFERROR(IF(12 / VLOOKUP(Table2[[#This Row],[Rateizzazione]],TIPI_RATEIZZAZIONI,2,FALSE) &gt;=1,  IF(Table2[[#This Row],[Data attivazione]] = "","-",MONTH(Table2[[#This Row],[Data attivazione]])),"-"),"-")</f>
        <v>11</v>
      </c>
      <c r="R5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5" s="67" t="s">
        <v>2</v>
      </c>
      <c r="V505" s="62"/>
      <c r="W505" s="64">
        <v>42702</v>
      </c>
      <c r="X505" s="29">
        <f>DATE(YEAR(Table2[[#This Row],[Data attivazione]])+VLOOKUP(Table2[[#This Row],[Durata]],VALORE_DURATA,2,FALSE),MONTH(Table2[[#This Row],[Data attivazione]]),DAY(Table2[[#This Row],[Data attivazione]]))</f>
        <v>43067</v>
      </c>
      <c r="Y505" s="65"/>
      <c r="Z505" s="61"/>
      <c r="AA505" s="64" t="s">
        <v>85</v>
      </c>
      <c r="AB505" s="29" t="str">
        <f>IF(Table2[[#This Row],[Data ultimo versamento temp]]=0/1/1900,"-",Table2[[#This Row],[Data ultimo versamento temp]])</f>
        <v>-</v>
      </c>
      <c r="AC505" s="29">
        <f t="array" ref="AC505">MAX(IF(TableVersamenti[Polizza]=Table2[[#This Row],[Polizza]],TableVersamenti[Data prevista versamento],"-"))</f>
        <v>0</v>
      </c>
      <c r="AD505" s="62"/>
      <c r="AE505" s="106">
        <f>DATE(YEAR(Table2[[#This Row],[Data ultimo pagamento]]),MONTH(Table2[[#This Row],[Data ultimo pagamento]]), 1)</f>
        <v>42705</v>
      </c>
      <c r="AF505" s="106">
        <f>DATE(YEAR(Table2[[#This Row],[Data prossima scadenza]]),MONTH(Table2[[#This Row],[Data prossima scadenza]]), 1)</f>
        <v>43040</v>
      </c>
      <c r="AG505" s="33">
        <f>IFERROR(Table2[[#This Row],[Importo annuale]]*VLOOKUP(Table2[[#This Row],[Ramo]],RAMI_POLIZZA,2,FALSE),0)</f>
        <v>23.69</v>
      </c>
      <c r="AH505" s="65" t="s">
        <v>113</v>
      </c>
      <c r="AI505" s="63" t="str">
        <f>IFERROR(VLOOKUP(Table2[[#This Row],[Contraente]],Table1[[Nome/Ragione sociale]:[Checkbox selezionato]],2,FALSE),"-")</f>
        <v>PAVIA</v>
      </c>
      <c r="AJ505" s="63">
        <f>IFERROR(VLOOKUP(Table2[[#This Row],[Contraente]],Table1[[Nome/Ragione sociale]:[Checkbox selezionato]],3,FALSE),"-")</f>
        <v>3382260490</v>
      </c>
      <c r="AK505" s="63">
        <f>IFERROR(VLOOKUP(Table2[[#This Row],[Contraente]],Table1[[Nome/Ragione sociale]:[Checkbox selezionato]],4,FALSE),"-")</f>
        <v>0</v>
      </c>
      <c r="AL505" s="63" t="str">
        <f>IFERROR(VLOOKUP(Table2[[#This Row],[Contraente]],Table1[[Nome/Ragione sociale]:[Checkbox selezionato]],5,FALSE),"-")</f>
        <v>FRANCESCO</v>
      </c>
      <c r="AM505" s="62">
        <f>IFERROR(VLOOKUP(Table2[[#This Row],[Contraente]],Table1[[Nome/Ragione sociale]:[Checkbox selezionato]],6,FALSE),"-")</f>
        <v>22566</v>
      </c>
      <c r="AN505" s="63" t="str">
        <f>IFERROR(VLOOKUP(Table2[[#This Row],[Contraente]],Table1[[Nome/Ragione sociale]:[Checkbox selezionato]],7,FALSE),"-")</f>
        <v>papies@libero.it</v>
      </c>
      <c r="AO505" s="63">
        <f>IFERROR(VLOOKUP(Table2[[#This Row],[Contraente]],Table1[[Nome/Ragione sociale]:[Checkbox selezionato]],8,FALSE),"-")</f>
        <v>0</v>
      </c>
      <c r="AP505" s="63">
        <f>IFERROR(VLOOKUP(Table2[[#This Row],[Contraente]],Table1[[Nome/Ragione sociale]:[Checkbox selezionato]],10,FALSE),"-")</f>
        <v>3382260490</v>
      </c>
      <c r="AQ505" s="63" t="str">
        <f>IFERROR(VLOOKUP(Table2[[#This Row],[Contraente]],Table1[[Nome/Ragione sociale]:[Checkbox selezionato]],11,FALSE),"-")</f>
        <v>SI</v>
      </c>
      <c r="AR505" s="63" t="str">
        <f>IFERROR(VLOOKUP(Table2[[#This Row],[Contraente]],Table1[[Nome/Ragione sociale]:[Checkbox selezionato]],12,FALSE),"-")</f>
        <v>SI</v>
      </c>
    </row>
    <row r="506" spans="1:44" ht="30" hidden="1" customHeight="1" x14ac:dyDescent="0.25">
      <c r="A506" s="60" t="str">
        <f>UPPER(LEFT(Table2[[#This Row],[Contraente]],1))</f>
        <v>G</v>
      </c>
      <c r="B506" s="60" t="s">
        <v>1634</v>
      </c>
      <c r="C506" s="81" t="s">
        <v>672</v>
      </c>
      <c r="D506" s="81" t="s">
        <v>37</v>
      </c>
      <c r="E506" s="86">
        <v>107031243</v>
      </c>
      <c r="F506" s="64">
        <v>42909</v>
      </c>
      <c r="G506" s="64">
        <f>IFERROR(CALCOLASCADENZA(Table2[[#This Row],[Data attivazione]],Table2[[#This Row],[Rateizzazione]],Table2[[#This Row],[Data ultimo pagamento]],Table2[[#This Row],[Data prossima scadenza manuale]]),"-")</f>
        <v>43277</v>
      </c>
      <c r="H506" s="67" t="s">
        <v>31</v>
      </c>
      <c r="I506" s="67" t="s">
        <v>1690</v>
      </c>
      <c r="J506" s="33">
        <f>IFERROR(Table2[[#This Row],[Importo annuale]]/(12/VLOOKUP(Table2[[#This Row],[Rateizzazione]],TIPI_RATEIZZAZIONI,2,FALSE)),"-")</f>
        <v>220</v>
      </c>
      <c r="K506" s="88">
        <v>220</v>
      </c>
      <c r="L506" s="88">
        <v>220</v>
      </c>
      <c r="M506" s="67" t="s">
        <v>44</v>
      </c>
      <c r="N506" s="67" t="s">
        <v>51</v>
      </c>
      <c r="O506" s="27" t="s">
        <v>1631</v>
      </c>
      <c r="P506" s="33" t="s">
        <v>23</v>
      </c>
      <c r="Q506" s="60">
        <f>IFERROR(IF(12 / VLOOKUP(Table2[[#This Row],[Rateizzazione]],TIPI_RATEIZZAZIONI,2,FALSE) &gt;=1,  IF(Table2[[#This Row],[Data attivazione]] = "","-",MONTH(Table2[[#This Row],[Data attivazione]])),"-"),"-")</f>
        <v>6</v>
      </c>
      <c r="R5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6" s="67" t="s">
        <v>2</v>
      </c>
      <c r="V506" s="62"/>
      <c r="W506" s="64">
        <v>42912</v>
      </c>
      <c r="X506" s="29">
        <f>DATE(YEAR(Table2[[#This Row],[Data attivazione]])+VLOOKUP(Table2[[#This Row],[Durata]],VALORE_DURATA,2,FALSE),MONTH(Table2[[#This Row],[Data attivazione]]),DAY(Table2[[#This Row],[Data attivazione]]))</f>
        <v>43277</v>
      </c>
      <c r="Y506" s="65"/>
      <c r="Z506" s="61"/>
      <c r="AA506" s="64" t="s">
        <v>85</v>
      </c>
      <c r="AB506" s="29" t="str">
        <f>IF(Table2[[#This Row],[Data ultimo versamento temp]]=0/1/1900,"-",Table2[[#This Row],[Data ultimo versamento temp]])</f>
        <v>-</v>
      </c>
      <c r="AC506" s="29">
        <f t="array" ref="AC506">MAX(IF(TableVersamenti[Polizza]=Table2[[#This Row],[Polizza]],TableVersamenti[Data prevista versamento],"-"))</f>
        <v>0</v>
      </c>
      <c r="AD506" s="62"/>
      <c r="AE506" s="106">
        <f>DATE(YEAR(Table2[[#This Row],[Data ultimo pagamento]]),MONTH(Table2[[#This Row],[Data ultimo pagamento]]), 1)</f>
        <v>42887</v>
      </c>
      <c r="AF506" s="106">
        <f>DATE(YEAR(Table2[[#This Row],[Data prossima scadenza]]),MONTH(Table2[[#This Row],[Data prossima scadenza]]), 1)</f>
        <v>43252</v>
      </c>
      <c r="AG506" s="33">
        <f>IFERROR(Table2[[#This Row],[Importo annuale]]*VLOOKUP(Table2[[#This Row],[Ramo]],RAMI_POLIZZA,2,FALSE),0)</f>
        <v>11.44</v>
      </c>
      <c r="AH506" s="65" t="s">
        <v>113</v>
      </c>
      <c r="AI506" s="63" t="str">
        <f>IFERROR(VLOOKUP(Table2[[#This Row],[Contraente]],Table1[[Nome/Ragione sociale]:[Checkbox selezionato]],2,FALSE),"-")</f>
        <v>PAVIA</v>
      </c>
      <c r="AJ506" s="63">
        <f>IFERROR(VLOOKUP(Table2[[#This Row],[Contraente]],Table1[[Nome/Ragione sociale]:[Checkbox selezionato]],3,FALSE),"-")</f>
        <v>3382260490</v>
      </c>
      <c r="AK506" s="63">
        <f>IFERROR(VLOOKUP(Table2[[#This Row],[Contraente]],Table1[[Nome/Ragione sociale]:[Checkbox selezionato]],4,FALSE),"-")</f>
        <v>0</v>
      </c>
      <c r="AL506" s="63" t="str">
        <f>IFERROR(VLOOKUP(Table2[[#This Row],[Contraente]],Table1[[Nome/Ragione sociale]:[Checkbox selezionato]],5,FALSE),"-")</f>
        <v>FRANCESCO</v>
      </c>
      <c r="AM506" s="62">
        <f>IFERROR(VLOOKUP(Table2[[#This Row],[Contraente]],Table1[[Nome/Ragione sociale]:[Checkbox selezionato]],6,FALSE),"-")</f>
        <v>22566</v>
      </c>
      <c r="AN506" s="63" t="str">
        <f>IFERROR(VLOOKUP(Table2[[#This Row],[Contraente]],Table1[[Nome/Ragione sociale]:[Checkbox selezionato]],7,FALSE),"-")</f>
        <v>papies@libero.it</v>
      </c>
      <c r="AO506" s="63">
        <f>IFERROR(VLOOKUP(Table2[[#This Row],[Contraente]],Table1[[Nome/Ragione sociale]:[Checkbox selezionato]],8,FALSE),"-")</f>
        <v>0</v>
      </c>
      <c r="AP506" s="63">
        <f>IFERROR(VLOOKUP(Table2[[#This Row],[Contraente]],Table1[[Nome/Ragione sociale]:[Checkbox selezionato]],10,FALSE),"-")</f>
        <v>3382260490</v>
      </c>
      <c r="AQ506" s="63" t="str">
        <f>IFERROR(VLOOKUP(Table2[[#This Row],[Contraente]],Table1[[Nome/Ragione sociale]:[Checkbox selezionato]],11,FALSE),"-")</f>
        <v>SI</v>
      </c>
      <c r="AR506" s="63" t="str">
        <f>IFERROR(VLOOKUP(Table2[[#This Row],[Contraente]],Table1[[Nome/Ragione sociale]:[Checkbox selezionato]],12,FALSE),"-")</f>
        <v>SI</v>
      </c>
    </row>
    <row r="507" spans="1:44" ht="30" hidden="1" customHeight="1" x14ac:dyDescent="0.25">
      <c r="A507" s="60" t="str">
        <f>UPPER(LEFT(Table2[[#This Row],[Contraente]],1))</f>
        <v>G</v>
      </c>
      <c r="B507" s="60" t="s">
        <v>1634</v>
      </c>
      <c r="C507" s="81" t="s">
        <v>670</v>
      </c>
      <c r="D507" s="81" t="s">
        <v>37</v>
      </c>
      <c r="E507" s="86">
        <v>106190949</v>
      </c>
      <c r="F507" s="64">
        <v>42677</v>
      </c>
      <c r="G507" s="64">
        <f>IFERROR(CALCOLASCADENZA(Table2[[#This Row],[Data attivazione]],Table2[[#This Row],[Rateizzazione]],Table2[[#This Row],[Data ultimo pagamento]],Table2[[#This Row],[Data prossima scadenza manuale]]),"-")</f>
        <v>43042</v>
      </c>
      <c r="H507" s="67" t="s">
        <v>30</v>
      </c>
      <c r="I507" s="67" t="s">
        <v>113</v>
      </c>
      <c r="J507" s="33">
        <f>IFERROR(Table2[[#This Row],[Importo annuale]]/(12/VLOOKUP(Table2[[#This Row],[Rateizzazione]],TIPI_RATEIZZAZIONI,2,FALSE)),"-")</f>
        <v>86</v>
      </c>
      <c r="K507" s="88"/>
      <c r="L507" s="88">
        <v>86</v>
      </c>
      <c r="M507" s="67" t="s">
        <v>43</v>
      </c>
      <c r="N507" s="67" t="s">
        <v>52</v>
      </c>
      <c r="O507" s="27" t="s">
        <v>1631</v>
      </c>
      <c r="P507" s="33" t="s">
        <v>23</v>
      </c>
      <c r="Q507" s="60">
        <f>IFERROR(IF(12 / VLOOKUP(Table2[[#This Row],[Rateizzazione]],TIPI_RATEIZZAZIONI,2,FALSE) &gt;=1,  IF(Table2[[#This Row],[Data attivazione]] = "","-",MONTH(Table2[[#This Row],[Data attivazione]])),"-"),"-")</f>
        <v>11</v>
      </c>
      <c r="R5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7" s="67" t="s">
        <v>2</v>
      </c>
      <c r="V507" s="62"/>
      <c r="W507" s="64">
        <v>42677</v>
      </c>
      <c r="X507" s="29">
        <f>DATE(YEAR(Table2[[#This Row],[Data attivazione]])+VLOOKUP(Table2[[#This Row],[Durata]],VALORE_DURATA,2,FALSE),MONTH(Table2[[#This Row],[Data attivazione]]),DAY(Table2[[#This Row],[Data attivazione]]))</f>
        <v>43042</v>
      </c>
      <c r="Y507" s="65"/>
      <c r="Z507" s="61"/>
      <c r="AA507" s="64" t="s">
        <v>85</v>
      </c>
      <c r="AB507" s="29" t="str">
        <f>IF(Table2[[#This Row],[Data ultimo versamento temp]]=0/1/1900,"-",Table2[[#This Row],[Data ultimo versamento temp]])</f>
        <v>-</v>
      </c>
      <c r="AC507" s="29">
        <f t="array" ref="AC507">MAX(IF(TableVersamenti[Polizza]=Table2[[#This Row],[Polizza]],TableVersamenti[Data prevista versamento],"-"))</f>
        <v>0</v>
      </c>
      <c r="AD507" s="62"/>
      <c r="AE507" s="106">
        <f>DATE(YEAR(Table2[[#This Row],[Data ultimo pagamento]]),MONTH(Table2[[#This Row],[Data ultimo pagamento]]), 1)</f>
        <v>42675</v>
      </c>
      <c r="AF507" s="106">
        <f>DATE(YEAR(Table2[[#This Row],[Data prossima scadenza]]),MONTH(Table2[[#This Row],[Data prossima scadenza]]), 1)</f>
        <v>43040</v>
      </c>
      <c r="AG507" s="33">
        <f>IFERROR(Table2[[#This Row],[Importo annuale]]*VLOOKUP(Table2[[#This Row],[Ramo]],RAMI_POLIZZA,2,FALSE),0)</f>
        <v>9.89</v>
      </c>
      <c r="AH507" s="65" t="s">
        <v>113</v>
      </c>
      <c r="AI507" s="63" t="str">
        <f>IFERROR(VLOOKUP(Table2[[#This Row],[Contraente]],Table1[[Nome/Ragione sociale]:[Checkbox selezionato]],2,FALSE),"-")</f>
        <v>PAVIA</v>
      </c>
      <c r="AJ507" s="63">
        <f>IFERROR(VLOOKUP(Table2[[#This Row],[Contraente]],Table1[[Nome/Ragione sociale]:[Checkbox selezionato]],3,FALSE),"-")</f>
        <v>3349496507</v>
      </c>
      <c r="AK507" s="63">
        <f>IFERROR(VLOOKUP(Table2[[#This Row],[Contraente]],Table1[[Nome/Ragione sociale]:[Checkbox selezionato]],4,FALSE),"-")</f>
        <v>0</v>
      </c>
      <c r="AL507" s="63" t="str">
        <f>IFERROR(VLOOKUP(Table2[[#This Row],[Contraente]],Table1[[Nome/Ragione sociale]:[Checkbox selezionato]],5,FALSE),"-")</f>
        <v>GAIA</v>
      </c>
      <c r="AM507" s="62">
        <f>IFERROR(VLOOKUP(Table2[[#This Row],[Contraente]],Table1[[Nome/Ragione sociale]:[Checkbox selezionato]],6,FALSE),"-")</f>
        <v>34957</v>
      </c>
      <c r="AN507" s="63" t="str">
        <f>IFERROR(VLOOKUP(Table2[[#This Row],[Contraente]],Table1[[Nome/Ragione sociale]:[Checkbox selezionato]],7,FALSE),"-")</f>
        <v>papies@libero.it</v>
      </c>
      <c r="AO507" s="63">
        <f>IFERROR(VLOOKUP(Table2[[#This Row],[Contraente]],Table1[[Nome/Ragione sociale]:[Checkbox selezionato]],8,FALSE),"-")</f>
        <v>0</v>
      </c>
      <c r="AP507" s="63">
        <f>IFERROR(VLOOKUP(Table2[[#This Row],[Contraente]],Table1[[Nome/Ragione sociale]:[Checkbox selezionato]],10,FALSE),"-")</f>
        <v>3349496507</v>
      </c>
      <c r="AQ507" s="63" t="str">
        <f>IFERROR(VLOOKUP(Table2[[#This Row],[Contraente]],Table1[[Nome/Ragione sociale]:[Checkbox selezionato]],11,FALSE),"-")</f>
        <v>SI</v>
      </c>
      <c r="AR507" s="63" t="str">
        <f>IFERROR(VLOOKUP(Table2[[#This Row],[Contraente]],Table1[[Nome/Ragione sociale]:[Checkbox selezionato]],12,FALSE),"-")</f>
        <v>SI</v>
      </c>
    </row>
    <row r="508" spans="1:44" ht="30" hidden="1" customHeight="1" x14ac:dyDescent="0.25">
      <c r="A508" s="60" t="str">
        <f>UPPER(LEFT(Table2[[#This Row],[Contraente]],1))</f>
        <v>G</v>
      </c>
      <c r="B508" s="60" t="s">
        <v>1634</v>
      </c>
      <c r="C508" s="81" t="s">
        <v>673</v>
      </c>
      <c r="D508" s="81" t="s">
        <v>37</v>
      </c>
      <c r="E508" s="86">
        <v>105433313</v>
      </c>
      <c r="F508" s="64">
        <v>42818</v>
      </c>
      <c r="G508" s="64">
        <f>IFERROR(CALCOLASCADENZA(Table2[[#This Row],[Data attivazione]],Table2[[#This Row],[Rateizzazione]],Table2[[#This Row],[Data ultimo pagamento]],Table2[[#This Row],[Data prossima scadenza manuale]]),"-")</f>
        <v>42988</v>
      </c>
      <c r="H508" s="67" t="s">
        <v>31</v>
      </c>
      <c r="I508" s="67" t="s">
        <v>1325</v>
      </c>
      <c r="J508" s="33">
        <f>IFERROR(Table2[[#This Row],[Importo annuale]]/(12/VLOOKUP(Table2[[#This Row],[Rateizzazione]],TIPI_RATEIZZAZIONI,2,FALSE)),"-")</f>
        <v>193</v>
      </c>
      <c r="K508" s="88">
        <v>193</v>
      </c>
      <c r="L508" s="88">
        <v>386</v>
      </c>
      <c r="M508" s="67" t="s">
        <v>43</v>
      </c>
      <c r="N508" s="67" t="s">
        <v>51</v>
      </c>
      <c r="O508" s="27" t="s">
        <v>1631</v>
      </c>
      <c r="P508" s="33" t="s">
        <v>22</v>
      </c>
      <c r="Q508" s="60">
        <f>IFERROR(IF(12 / VLOOKUP(Table2[[#This Row],[Rateizzazione]],TIPI_RATEIZZAZIONI,2,FALSE) &gt;=1,  IF(Table2[[#This Row],[Data attivazione]] = "","-",MONTH(Table2[[#This Row],[Data attivazione]])),"-"),"-")</f>
        <v>9</v>
      </c>
      <c r="R5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8" s="67" t="s">
        <v>2</v>
      </c>
      <c r="V508" s="62"/>
      <c r="W508" s="64">
        <v>42623</v>
      </c>
      <c r="X508" s="29">
        <f>DATE(YEAR(Table2[[#This Row],[Data attivazione]])+VLOOKUP(Table2[[#This Row],[Durata]],VALORE_DURATA,2,FALSE),MONTH(Table2[[#This Row],[Data attivazione]]),DAY(Table2[[#This Row],[Data attivazione]]))</f>
        <v>42988</v>
      </c>
      <c r="Y508" s="65"/>
      <c r="Z508" s="61"/>
      <c r="AA508" s="64" t="s">
        <v>85</v>
      </c>
      <c r="AB508" s="29" t="str">
        <f>IF(Table2[[#This Row],[Data ultimo versamento temp]]=0/1/1900,"-",Table2[[#This Row],[Data ultimo versamento temp]])</f>
        <v>-</v>
      </c>
      <c r="AC508" s="29">
        <f t="array" ref="AC508">MAX(IF(TableVersamenti[Polizza]=Table2[[#This Row],[Polizza]],TableVersamenti[Data prevista versamento],"-"))</f>
        <v>0</v>
      </c>
      <c r="AD508" s="62"/>
      <c r="AE508" s="106">
        <f>DATE(YEAR(Table2[[#This Row],[Data ultimo pagamento]]),MONTH(Table2[[#This Row],[Data ultimo pagamento]]), 1)</f>
        <v>42795</v>
      </c>
      <c r="AF508" s="106">
        <f>DATE(YEAR(Table2[[#This Row],[Data prossima scadenza]]),MONTH(Table2[[#This Row],[Data prossima scadenza]]), 1)</f>
        <v>42979</v>
      </c>
      <c r="AG508" s="33">
        <f>IFERROR(Table2[[#This Row],[Importo annuale]]*VLOOKUP(Table2[[#This Row],[Ramo]],RAMI_POLIZZA,2,FALSE),0)</f>
        <v>20.071999999999999</v>
      </c>
      <c r="AH508" s="65" t="s">
        <v>113</v>
      </c>
      <c r="AI508" s="63" t="str">
        <f>IFERROR(VLOOKUP(Table2[[#This Row],[Contraente]],Table1[[Nome/Ragione sociale]:[Checkbox selezionato]],2,FALSE),"-")</f>
        <v>CORTEOLONA</v>
      </c>
      <c r="AJ508" s="63">
        <f>IFERROR(VLOOKUP(Table2[[#This Row],[Contraente]],Table1[[Nome/Ragione sociale]:[Checkbox selezionato]],3,FALSE),"-")</f>
        <v>3485309760</v>
      </c>
      <c r="AK508" s="63">
        <f>IFERROR(VLOOKUP(Table2[[#This Row],[Contraente]],Table1[[Nome/Ragione sociale]:[Checkbox selezionato]],4,FALSE),"-")</f>
        <v>0</v>
      </c>
      <c r="AL508" s="63" t="str">
        <f>IFERROR(VLOOKUP(Table2[[#This Row],[Contraente]],Table1[[Nome/Ragione sociale]:[Checkbox selezionato]],5,FALSE),"-")</f>
        <v>LUIGINA</v>
      </c>
      <c r="AM508" s="62">
        <f>IFERROR(VLOOKUP(Table2[[#This Row],[Contraente]],Table1[[Nome/Ragione sociale]:[Checkbox selezionato]],6,FALSE),"-")</f>
        <v>24008</v>
      </c>
      <c r="AN508" s="63" t="str">
        <f>IFERROR(VLOOKUP(Table2[[#This Row],[Contraente]],Table1[[Nome/Ragione sociale]:[Checkbox selezionato]],7,FALSE),"-")</f>
        <v>papies@email.it</v>
      </c>
      <c r="AO508" s="63">
        <f>IFERROR(VLOOKUP(Table2[[#This Row],[Contraente]],Table1[[Nome/Ragione sociale]:[Checkbox selezionato]],8,FALSE),"-")</f>
        <v>0</v>
      </c>
      <c r="AP508" s="63">
        <f>IFERROR(VLOOKUP(Table2[[#This Row],[Contraente]],Table1[[Nome/Ragione sociale]:[Checkbox selezionato]],10,FALSE),"-")</f>
        <v>3485309760</v>
      </c>
      <c r="AQ508" s="63" t="str">
        <f>IFERROR(VLOOKUP(Table2[[#This Row],[Contraente]],Table1[[Nome/Ragione sociale]:[Checkbox selezionato]],11,FALSE),"-")</f>
        <v>SI</v>
      </c>
      <c r="AR508" s="63" t="str">
        <f>IFERROR(VLOOKUP(Table2[[#This Row],[Contraente]],Table1[[Nome/Ragione sociale]:[Checkbox selezionato]],12,FALSE),"-")</f>
        <v>SI</v>
      </c>
    </row>
    <row r="509" spans="1:44" ht="30" hidden="1" customHeight="1" x14ac:dyDescent="0.25">
      <c r="A509" s="60" t="str">
        <f>UPPER(LEFT(Table2[[#This Row],[Contraente]],1))</f>
        <v>G</v>
      </c>
      <c r="B509" s="60" t="s">
        <v>1634</v>
      </c>
      <c r="C509" s="81" t="s">
        <v>676</v>
      </c>
      <c r="D509" s="81" t="s">
        <v>37</v>
      </c>
      <c r="E509" s="86">
        <v>106537841</v>
      </c>
      <c r="F509" s="64">
        <v>42783</v>
      </c>
      <c r="G509" s="64">
        <f>IFERROR(CALCOLASCADENZA(Table2[[#This Row],[Data attivazione]],Table2[[#This Row],[Rateizzazione]],Table2[[#This Row],[Data ultimo pagamento]],Table2[[#This Row],[Data prossima scadenza manuale]]),"-")</f>
        <v>43134</v>
      </c>
      <c r="H509" s="67" t="s">
        <v>31</v>
      </c>
      <c r="I509" s="67" t="s">
        <v>1327</v>
      </c>
      <c r="J509" s="33">
        <f>IFERROR(Table2[[#This Row],[Importo annuale]]/(12/VLOOKUP(Table2[[#This Row],[Rateizzazione]],TIPI_RATEIZZAZIONI,2,FALSE)),"-")</f>
        <v>599.67999999999995</v>
      </c>
      <c r="K509" s="88">
        <v>599.67999999999995</v>
      </c>
      <c r="L509" s="88">
        <v>599.67999999999995</v>
      </c>
      <c r="M509" s="67" t="s">
        <v>43</v>
      </c>
      <c r="N509" s="67" t="s">
        <v>51</v>
      </c>
      <c r="O509" s="27" t="s">
        <v>1631</v>
      </c>
      <c r="P509" s="33" t="s">
        <v>23</v>
      </c>
      <c r="Q509" s="60">
        <f>IFERROR(IF(12 / VLOOKUP(Table2[[#This Row],[Rateizzazione]],TIPI_RATEIZZAZIONI,2,FALSE) &gt;=1,  IF(Table2[[#This Row],[Data attivazione]] = "","-",MONTH(Table2[[#This Row],[Data attivazione]])),"-"),"-")</f>
        <v>2</v>
      </c>
      <c r="R5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9" s="67" t="s">
        <v>2</v>
      </c>
      <c r="V509" s="62"/>
      <c r="W509" s="64">
        <v>42769</v>
      </c>
      <c r="X509" s="29">
        <f>DATE(YEAR(Table2[[#This Row],[Data attivazione]])+VLOOKUP(Table2[[#This Row],[Durata]],VALORE_DURATA,2,FALSE),MONTH(Table2[[#This Row],[Data attivazione]]),DAY(Table2[[#This Row],[Data attivazione]]))</f>
        <v>43134</v>
      </c>
      <c r="Y509" s="65"/>
      <c r="Z509" s="61"/>
      <c r="AA509" s="64" t="s">
        <v>85</v>
      </c>
      <c r="AB509" s="29" t="str">
        <f>IF(Table2[[#This Row],[Data ultimo versamento temp]]=0/1/1900,"-",Table2[[#This Row],[Data ultimo versamento temp]])</f>
        <v>-</v>
      </c>
      <c r="AC509" s="29">
        <f t="array" ref="AC509">MAX(IF(TableVersamenti[Polizza]=Table2[[#This Row],[Polizza]],TableVersamenti[Data prevista versamento],"-"))</f>
        <v>0</v>
      </c>
      <c r="AD509" s="62"/>
      <c r="AE509" s="106">
        <f>DATE(YEAR(Table2[[#This Row],[Data ultimo pagamento]]),MONTH(Table2[[#This Row],[Data ultimo pagamento]]), 1)</f>
        <v>42767</v>
      </c>
      <c r="AF509" s="106">
        <f>DATE(YEAR(Table2[[#This Row],[Data prossima scadenza]]),MONTH(Table2[[#This Row],[Data prossima scadenza]]), 1)</f>
        <v>43132</v>
      </c>
      <c r="AG509" s="33">
        <f>IFERROR(Table2[[#This Row],[Importo annuale]]*VLOOKUP(Table2[[#This Row],[Ramo]],RAMI_POLIZZA,2,FALSE),0)</f>
        <v>31.183359999999997</v>
      </c>
      <c r="AH509" s="65" t="s">
        <v>113</v>
      </c>
      <c r="AI509" s="63" t="str">
        <f>IFERROR(VLOOKUP(Table2[[#This Row],[Contraente]],Table1[[Nome/Ragione sociale]:[Checkbox selezionato]],2,FALSE),"-")</f>
        <v>BELGIOIOSO</v>
      </c>
      <c r="AJ509" s="63">
        <f>IFERROR(VLOOKUP(Table2[[#This Row],[Contraente]],Table1[[Nome/Ragione sociale]:[Checkbox selezionato]],3,FALSE),"-")</f>
        <v>3356309738</v>
      </c>
      <c r="AK509" s="63">
        <f>IFERROR(VLOOKUP(Table2[[#This Row],[Contraente]],Table1[[Nome/Ragione sociale]:[Checkbox selezionato]],4,FALSE),"-")</f>
        <v>0</v>
      </c>
      <c r="AL509" s="63" t="str">
        <f>IFERROR(VLOOKUP(Table2[[#This Row],[Contraente]],Table1[[Nome/Ragione sociale]:[Checkbox selezionato]],5,FALSE),"-")</f>
        <v>CLAUDIO</v>
      </c>
      <c r="AM509" s="62">
        <f>IFERROR(VLOOKUP(Table2[[#This Row],[Contraente]],Table1[[Nome/Ragione sociale]:[Checkbox selezionato]],6,FALSE),"-")</f>
        <v>14244</v>
      </c>
      <c r="AN509" s="63" t="str">
        <f>IFERROR(VLOOKUP(Table2[[#This Row],[Contraente]],Table1[[Nome/Ragione sociale]:[Checkbox selezionato]],7,FALSE),"-")</f>
        <v>papies@libero.it</v>
      </c>
      <c r="AO509" s="63">
        <f>IFERROR(VLOOKUP(Table2[[#This Row],[Contraente]],Table1[[Nome/Ragione sociale]:[Checkbox selezionato]],8,FALSE),"-")</f>
        <v>0</v>
      </c>
      <c r="AP509" s="63">
        <f>IFERROR(VLOOKUP(Table2[[#This Row],[Contraente]],Table1[[Nome/Ragione sociale]:[Checkbox selezionato]],10,FALSE),"-")</f>
        <v>3356309738</v>
      </c>
      <c r="AQ509" s="63" t="str">
        <f>IFERROR(VLOOKUP(Table2[[#This Row],[Contraente]],Table1[[Nome/Ragione sociale]:[Checkbox selezionato]],11,FALSE),"-")</f>
        <v>SI</v>
      </c>
      <c r="AR509" s="63" t="str">
        <f>IFERROR(VLOOKUP(Table2[[#This Row],[Contraente]],Table1[[Nome/Ragione sociale]:[Checkbox selezionato]],12,FALSE),"-")</f>
        <v>SI</v>
      </c>
    </row>
    <row r="510" spans="1:44" ht="30" hidden="1" customHeight="1" x14ac:dyDescent="0.25">
      <c r="A510" s="60" t="str">
        <f>UPPER(LEFT(Table2[[#This Row],[Contraente]],1))</f>
        <v>G</v>
      </c>
      <c r="B510" s="60" t="s">
        <v>1634</v>
      </c>
      <c r="C510" s="81" t="s">
        <v>675</v>
      </c>
      <c r="D510" s="81" t="s">
        <v>37</v>
      </c>
      <c r="E510" s="86">
        <v>106144384</v>
      </c>
      <c r="F510" s="64">
        <v>42857</v>
      </c>
      <c r="G510" s="64">
        <f>IFERROR(CALCOLASCADENZA(Table2[[#This Row],[Data attivazione]],Table2[[#This Row],[Rateizzazione]],Table2[[#This Row],[Data ultimo pagamento]],Table2[[#This Row],[Data prossima scadenza manuale]]),"-")</f>
        <v>42857</v>
      </c>
      <c r="H510" s="67" t="s">
        <v>31</v>
      </c>
      <c r="I510" s="67" t="s">
        <v>1326</v>
      </c>
      <c r="J510" s="33">
        <v>310</v>
      </c>
      <c r="K510" s="88">
        <v>310</v>
      </c>
      <c r="L510" s="88">
        <v>610</v>
      </c>
      <c r="M510" s="67" t="s">
        <v>43</v>
      </c>
      <c r="N510" s="67" t="s">
        <v>51</v>
      </c>
      <c r="O510" s="27" t="s">
        <v>1631</v>
      </c>
      <c r="P510" s="33" t="s">
        <v>24</v>
      </c>
      <c r="Q51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0" s="67" t="s">
        <v>2</v>
      </c>
      <c r="V510" s="62"/>
      <c r="W510" s="64">
        <v>42670</v>
      </c>
      <c r="X510" s="29">
        <f>DATE(YEAR(Table2[[#This Row],[Data attivazione]])+VLOOKUP(Table2[[#This Row],[Durata]],VALORE_DURATA,2,FALSE),MONTH(Table2[[#This Row],[Data attivazione]]),DAY(Table2[[#This Row],[Data attivazione]]))</f>
        <v>43035</v>
      </c>
      <c r="Y510" s="65"/>
      <c r="Z510" s="61"/>
      <c r="AA510" s="64" t="s">
        <v>85</v>
      </c>
      <c r="AB510" s="29" t="str">
        <f>IF(Table2[[#This Row],[Data ultimo versamento temp]]=0/1/1900,"-",Table2[[#This Row],[Data ultimo versamento temp]])</f>
        <v>-</v>
      </c>
      <c r="AC510" s="29">
        <f t="array" ref="AC510">MAX(IF(TableVersamenti[Polizza]=Table2[[#This Row],[Polizza]],TableVersamenti[Data prevista versamento],"-"))</f>
        <v>0</v>
      </c>
      <c r="AD510" s="62"/>
      <c r="AE510" s="106">
        <f>DATE(YEAR(Table2[[#This Row],[Data ultimo pagamento]]),MONTH(Table2[[#This Row],[Data ultimo pagamento]]), 1)</f>
        <v>42856</v>
      </c>
      <c r="AF510" s="106">
        <f>DATE(YEAR(Table2[[#This Row],[Data prossima scadenza]]),MONTH(Table2[[#This Row],[Data prossima scadenza]]), 1)</f>
        <v>42856</v>
      </c>
      <c r="AG510" s="33">
        <f>IFERROR(Table2[[#This Row],[Importo annuale]]*VLOOKUP(Table2[[#This Row],[Ramo]],RAMI_POLIZZA,2,FALSE),0)</f>
        <v>31.72</v>
      </c>
      <c r="AH510" s="65" t="s">
        <v>113</v>
      </c>
      <c r="AI510" s="63" t="str">
        <f>IFERROR(VLOOKUP(Table2[[#This Row],[Contraente]],Table1[[Nome/Ragione sociale]:[Checkbox selezionato]],2,FALSE),"-")</f>
        <v>BELGIOIOSO</v>
      </c>
      <c r="AJ510" s="63">
        <f>IFERROR(VLOOKUP(Table2[[#This Row],[Contraente]],Table1[[Nome/Ragione sociale]:[Checkbox selezionato]],3,FALSE),"-")</f>
        <v>3337376672</v>
      </c>
      <c r="AK510" s="63">
        <f>IFERROR(VLOOKUP(Table2[[#This Row],[Contraente]],Table1[[Nome/Ragione sociale]:[Checkbox selezionato]],4,FALSE),"-")</f>
        <v>0</v>
      </c>
      <c r="AL510" s="63" t="str">
        <f>IFERROR(VLOOKUP(Table2[[#This Row],[Contraente]],Table1[[Nome/Ragione sociale]:[Checkbox selezionato]],5,FALSE),"-")</f>
        <v>LUIGI</v>
      </c>
      <c r="AM510" s="62">
        <f>IFERROR(VLOOKUP(Table2[[#This Row],[Contraente]],Table1[[Nome/Ragione sociale]:[Checkbox selezionato]],6,FALSE),"-")</f>
        <v>0</v>
      </c>
      <c r="AN510" s="63" t="str">
        <f>IFERROR(VLOOKUP(Table2[[#This Row],[Contraente]],Table1[[Nome/Ragione sociale]:[Checkbox selezionato]],7,FALSE),"-")</f>
        <v>papies@libero.it</v>
      </c>
      <c r="AO510" s="63">
        <f>IFERROR(VLOOKUP(Table2[[#This Row],[Contraente]],Table1[[Nome/Ragione sociale]:[Checkbox selezionato]],8,FALSE),"-")</f>
        <v>0</v>
      </c>
      <c r="AP510" s="63">
        <f>IFERROR(VLOOKUP(Table2[[#This Row],[Contraente]],Table1[[Nome/Ragione sociale]:[Checkbox selezionato]],10,FALSE),"-")</f>
        <v>3337376672</v>
      </c>
      <c r="AQ510" s="63" t="str">
        <f>IFERROR(VLOOKUP(Table2[[#This Row],[Contraente]],Table1[[Nome/Ragione sociale]:[Checkbox selezionato]],11,FALSE),"-")</f>
        <v>SI</v>
      </c>
      <c r="AR510" s="63" t="str">
        <f>IFERROR(VLOOKUP(Table2[[#This Row],[Contraente]],Table1[[Nome/Ragione sociale]:[Checkbox selezionato]],12,FALSE),"-")</f>
        <v>SI</v>
      </c>
    </row>
    <row r="511" spans="1:44" ht="30" hidden="1" customHeight="1" x14ac:dyDescent="0.25">
      <c r="A511" s="60" t="str">
        <f>UPPER(LEFT(Table2[[#This Row],[Contraente]],1))</f>
        <v>G</v>
      </c>
      <c r="B511" s="60" t="s">
        <v>1634</v>
      </c>
      <c r="C511" s="47" t="s">
        <v>1818</v>
      </c>
      <c r="D511" s="98" t="s">
        <v>37</v>
      </c>
      <c r="E511" s="99" t="s">
        <v>1819</v>
      </c>
      <c r="F511" s="109">
        <v>42928</v>
      </c>
      <c r="G511" s="64">
        <f>IFERROR(CALCOLASCADENZA(Table2[[#This Row],[Data attivazione]],Table2[[#This Row],[Rateizzazione]],Table2[[#This Row],[Data ultimo pagamento]],Table2[[#This Row],[Data prossima scadenza manuale]]),"-")</f>
        <v>43112</v>
      </c>
      <c r="H511" s="64" t="s">
        <v>31</v>
      </c>
      <c r="I511" s="64" t="s">
        <v>1820</v>
      </c>
      <c r="J511" s="92">
        <v>327.01</v>
      </c>
      <c r="K511" s="69">
        <v>327.01</v>
      </c>
      <c r="L511" s="69">
        <v>654.02</v>
      </c>
      <c r="M511" s="92" t="s">
        <v>43</v>
      </c>
      <c r="N511" s="92" t="s">
        <v>52</v>
      </c>
      <c r="O511" s="67" t="s">
        <v>1631</v>
      </c>
      <c r="P511" s="33" t="s">
        <v>22</v>
      </c>
      <c r="Q511" s="60">
        <f>IFERROR(IF(12 / VLOOKUP(Table2[[#This Row],[Rateizzazione]],TIPI_RATEIZZAZIONI,2,FALSE) &gt;=1,  IF(Table2[[#This Row],[Data attivazione]] = "","-",MONTH(Table2[[#This Row],[Data attivazione]])),"-"),"-")</f>
        <v>7</v>
      </c>
      <c r="R5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1" s="60" t="s">
        <v>1774</v>
      </c>
      <c r="V511" s="62"/>
      <c r="W511" s="64">
        <v>42928</v>
      </c>
      <c r="X511" s="29">
        <f>DATE(YEAR(Table2[[#This Row],[Data attivazione]])+VLOOKUP(Table2[[#This Row],[Durata]],VALORE_DURATA,2,FALSE),MONTH(Table2[[#This Row],[Data attivazione]]),DAY(Table2[[#This Row],[Data attivazione]]))</f>
        <v>43293</v>
      </c>
      <c r="Y511" s="65"/>
      <c r="Z511" s="61"/>
      <c r="AA511" s="64" t="s">
        <v>85</v>
      </c>
      <c r="AB511" s="29" t="str">
        <f>IF(Table2[[#This Row],[Data ultimo versamento temp]]=0/1/1900,"-",Table2[[#This Row],[Data ultimo versamento temp]])</f>
        <v>-</v>
      </c>
      <c r="AC511" s="29">
        <f t="array" ref="AC511">MAX(IF(TableVersamenti[Polizza]=Table2[[#This Row],[Polizza]],TableVersamenti[Data prevista versamento],"-"))</f>
        <v>0</v>
      </c>
      <c r="AD511" s="62"/>
      <c r="AE511" s="105">
        <f>DATE(YEAR(Table2[[#This Row],[Data ultimo pagamento]]),MONTH(Table2[[#This Row],[Data ultimo pagamento]]), 1)</f>
        <v>42917</v>
      </c>
      <c r="AF511" s="106">
        <f>DATE(YEAR(Table2[[#This Row],[Data prossima scadenza]]),MONTH(Table2[[#This Row],[Data prossima scadenza]]), 1)</f>
        <v>43101</v>
      </c>
      <c r="AG511" s="92">
        <f>IFERROR(Table2[[#This Row],[Importo annuale]]*VLOOKUP(Table2[[#This Row],[Ramo]],RAMI_POLIZZA,2,FALSE),0)</f>
        <v>34.009039999999999</v>
      </c>
      <c r="AH511" s="65"/>
      <c r="AI511" s="63" t="str">
        <f>IFERROR(VLOOKUP(Table2[[#This Row],[Contraente]],Table1[[Nome/Ragione sociale]:[Checkbox selezionato]],2,FALSE),"-")</f>
        <v>SANTA CRISTINA E BISSONE</v>
      </c>
      <c r="AJ511" s="63">
        <f>IFERROR(VLOOKUP(Table2[[#This Row],[Contraente]],Table1[[Nome/Ragione sociale]:[Checkbox selezionato]],3,FALSE),"-")</f>
        <v>0</v>
      </c>
      <c r="AK511" s="63">
        <f>IFERROR(VLOOKUP(Table2[[#This Row],[Contraente]],Table1[[Nome/Ragione sociale]:[Checkbox selezionato]],4,FALSE),"-")</f>
        <v>0</v>
      </c>
      <c r="AL511" s="63">
        <f>IFERROR(VLOOKUP(Table2[[#This Row],[Contraente]],Table1[[Nome/Ragione sociale]:[Checkbox selezionato]],5,FALSE),"-")</f>
        <v>0</v>
      </c>
      <c r="AM511" s="62">
        <f>IFERROR(VLOOKUP(Table2[[#This Row],[Contraente]],Table1[[Nome/Ragione sociale]:[Checkbox selezionato]],6,FALSE),"-")</f>
        <v>0</v>
      </c>
      <c r="AN511" s="63" t="str">
        <f>IFERROR(VLOOKUP(Table2[[#This Row],[Contraente]],Table1[[Nome/Ragione sociale]:[Checkbox selezionato]],7,FALSE),"-")</f>
        <v>papies@email.it</v>
      </c>
      <c r="AO511" s="63">
        <f>IFERROR(VLOOKUP(Table2[[#This Row],[Contraente]],Table1[[Nome/Ragione sociale]:[Checkbox selezionato]],8,FALSE),"-")</f>
        <v>0</v>
      </c>
      <c r="AP511" s="63">
        <f>IFERROR(VLOOKUP(Table2[[#This Row],[Contraente]],Table1[[Nome/Ragione sociale]:[Checkbox selezionato]],10,FALSE),"-")</f>
        <v>0</v>
      </c>
      <c r="AQ511" s="63" t="str">
        <f>IFERROR(VLOOKUP(Table2[[#This Row],[Contraente]],Table1[[Nome/Ragione sociale]:[Checkbox selezionato]],11,FALSE),"-")</f>
        <v>SI</v>
      </c>
      <c r="AR511" s="63" t="str">
        <f>IFERROR(VLOOKUP(Table2[[#This Row],[Contraente]],Table1[[Nome/Ragione sociale]:[Checkbox selezionato]],12,FALSE),"-")</f>
        <v>SI</v>
      </c>
    </row>
    <row r="512" spans="1:44" ht="30" hidden="1" customHeight="1" x14ac:dyDescent="0.25">
      <c r="A512" s="60" t="str">
        <f>UPPER(LEFT(Table2[[#This Row],[Contraente]],1))</f>
        <v>G</v>
      </c>
      <c r="B512" s="60" t="s">
        <v>1634</v>
      </c>
      <c r="C512" s="81" t="s">
        <v>677</v>
      </c>
      <c r="D512" s="81" t="s">
        <v>37</v>
      </c>
      <c r="E512" s="86">
        <v>106425715</v>
      </c>
      <c r="F512" s="64">
        <v>42748</v>
      </c>
      <c r="G512" s="64">
        <f>IFERROR(CALCOLASCADENZA(Table2[[#This Row],[Data attivazione]],Table2[[#This Row],[Rateizzazione]],Table2[[#This Row],[Data ultimo pagamento]],Table2[[#This Row],[Data prossima scadenza manuale]]),"-")</f>
        <v>43114</v>
      </c>
      <c r="H512" s="67" t="s">
        <v>31</v>
      </c>
      <c r="I512" s="67" t="s">
        <v>1328</v>
      </c>
      <c r="J512" s="33">
        <f>IFERROR(Table2[[#This Row],[Importo annuale]]/(12/VLOOKUP(Table2[[#This Row],[Rateizzazione]],TIPI_RATEIZZAZIONI,2,FALSE)),"-")</f>
        <v>540</v>
      </c>
      <c r="K512" s="88">
        <v>540</v>
      </c>
      <c r="L512" s="88">
        <v>540</v>
      </c>
      <c r="M512" s="67" t="s">
        <v>44</v>
      </c>
      <c r="N512" s="67" t="s">
        <v>52</v>
      </c>
      <c r="O512" s="27" t="s">
        <v>1631</v>
      </c>
      <c r="P512" s="33" t="s">
        <v>23</v>
      </c>
      <c r="Q512" s="60">
        <f>IFERROR(IF(12 / VLOOKUP(Table2[[#This Row],[Rateizzazione]],TIPI_RATEIZZAZIONI,2,FALSE) &gt;=1,  IF(Table2[[#This Row],[Data attivazione]] = "","-",MONTH(Table2[[#This Row],[Data attivazione]])),"-"),"-")</f>
        <v>1</v>
      </c>
      <c r="R5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2" s="67" t="s">
        <v>133</v>
      </c>
      <c r="V512" s="62"/>
      <c r="W512" s="64">
        <v>42749</v>
      </c>
      <c r="X512" s="29">
        <f>DATE(YEAR(Table2[[#This Row],[Data attivazione]])+VLOOKUP(Table2[[#This Row],[Durata]],VALORE_DURATA,2,FALSE),MONTH(Table2[[#This Row],[Data attivazione]]),DAY(Table2[[#This Row],[Data attivazione]]))</f>
        <v>43114</v>
      </c>
      <c r="Y512" s="65"/>
      <c r="Z512" s="61"/>
      <c r="AA512" s="64" t="s">
        <v>85</v>
      </c>
      <c r="AB512" s="29" t="str">
        <f>IF(Table2[[#This Row],[Data ultimo versamento temp]]=0/1/1900,"-",Table2[[#This Row],[Data ultimo versamento temp]])</f>
        <v>-</v>
      </c>
      <c r="AC512" s="29">
        <f t="array" ref="AC512">MAX(IF(TableVersamenti[Polizza]=Table2[[#This Row],[Polizza]],TableVersamenti[Data prevista versamento],"-"))</f>
        <v>0</v>
      </c>
      <c r="AD512" s="62"/>
      <c r="AE512" s="106">
        <f>DATE(YEAR(Table2[[#This Row],[Data ultimo pagamento]]),MONTH(Table2[[#This Row],[Data ultimo pagamento]]), 1)</f>
        <v>42736</v>
      </c>
      <c r="AF512" s="106">
        <f>DATE(YEAR(Table2[[#This Row],[Data prossima scadenza]]),MONTH(Table2[[#This Row],[Data prossima scadenza]]), 1)</f>
        <v>43101</v>
      </c>
      <c r="AG512" s="33">
        <f>IFERROR(Table2[[#This Row],[Importo annuale]]*VLOOKUP(Table2[[#This Row],[Ramo]],RAMI_POLIZZA,2,FALSE),0)</f>
        <v>28.08</v>
      </c>
      <c r="AH512" s="65" t="s">
        <v>113</v>
      </c>
      <c r="AI512" s="63" t="str">
        <f>IFERROR(VLOOKUP(Table2[[#This Row],[Contraente]],Table1[[Nome/Ragione sociale]:[Checkbox selezionato]],2,FALSE),"-")</f>
        <v>BRONI</v>
      </c>
      <c r="AJ512" s="63">
        <f>IFERROR(VLOOKUP(Table2[[#This Row],[Contraente]],Table1[[Nome/Ragione sociale]:[Checkbox selezionato]],3,FALSE),"-")</f>
        <v>3282237744</v>
      </c>
      <c r="AK512" s="63">
        <f>IFERROR(VLOOKUP(Table2[[#This Row],[Contraente]],Table1[[Nome/Ragione sociale]:[Checkbox selezionato]],4,FALSE),"-")</f>
        <v>0</v>
      </c>
      <c r="AL512" s="63" t="str">
        <f>IFERROR(VLOOKUP(Table2[[#This Row],[Contraente]],Table1[[Nome/Ragione sociale]:[Checkbox selezionato]],5,FALSE),"-")</f>
        <v xml:space="preserve">ADOLFO </v>
      </c>
      <c r="AM512" s="62">
        <f>IFERROR(VLOOKUP(Table2[[#This Row],[Contraente]],Table1[[Nome/Ragione sociale]:[Checkbox selezionato]],6,FALSE),"-")</f>
        <v>22954</v>
      </c>
      <c r="AN512" s="63" t="str">
        <f>IFERROR(VLOOKUP(Table2[[#This Row],[Contraente]],Table1[[Nome/Ragione sociale]:[Checkbox selezionato]],7,FALSE),"-")</f>
        <v>papies@libero.it</v>
      </c>
      <c r="AO512" s="63">
        <f>IFERROR(VLOOKUP(Table2[[#This Row],[Contraente]],Table1[[Nome/Ragione sociale]:[Checkbox selezionato]],8,FALSE),"-")</f>
        <v>0</v>
      </c>
      <c r="AP512" s="63">
        <f>IFERROR(VLOOKUP(Table2[[#This Row],[Contraente]],Table1[[Nome/Ragione sociale]:[Checkbox selezionato]],10,FALSE),"-")</f>
        <v>3282237744</v>
      </c>
      <c r="AQ512" s="63" t="str">
        <f>IFERROR(VLOOKUP(Table2[[#This Row],[Contraente]],Table1[[Nome/Ragione sociale]:[Checkbox selezionato]],11,FALSE),"-")</f>
        <v>SI</v>
      </c>
      <c r="AR512" s="63" t="str">
        <f>IFERROR(VLOOKUP(Table2[[#This Row],[Contraente]],Table1[[Nome/Ragione sociale]:[Checkbox selezionato]],12,FALSE),"-")</f>
        <v>SI</v>
      </c>
    </row>
    <row r="513" spans="1:44" ht="30" hidden="1" customHeight="1" x14ac:dyDescent="0.25">
      <c r="A513" s="60" t="str">
        <f>UPPER(LEFT(Table2[[#This Row],[Contraente]],1))</f>
        <v>G</v>
      </c>
      <c r="B513" s="60" t="s">
        <v>1634</v>
      </c>
      <c r="C513" s="81" t="s">
        <v>677</v>
      </c>
      <c r="D513" s="81" t="s">
        <v>37</v>
      </c>
      <c r="E513" s="86">
        <v>106217419</v>
      </c>
      <c r="F513" s="64">
        <v>42685</v>
      </c>
      <c r="G513" s="64">
        <f>IFERROR(CALCOLASCADENZA(Table2[[#This Row],[Data attivazione]],Table2[[#This Row],[Rateizzazione]],Table2[[#This Row],[Data ultimo pagamento]],Table2[[#This Row],[Data prossima scadenza manuale]]),"-")</f>
        <v>43050</v>
      </c>
      <c r="H513" s="67" t="s">
        <v>31</v>
      </c>
      <c r="I513" s="67" t="s">
        <v>1329</v>
      </c>
      <c r="J513" s="33">
        <f>IFERROR(Table2[[#This Row],[Importo annuale]]/(12/VLOOKUP(Table2[[#This Row],[Rateizzazione]],TIPI_RATEIZZAZIONI,2,FALSE)),"-")</f>
        <v>969.7</v>
      </c>
      <c r="K513" s="88"/>
      <c r="L513" s="88">
        <v>969.7</v>
      </c>
      <c r="M513" s="67" t="s">
        <v>44</v>
      </c>
      <c r="N513" s="67" t="s">
        <v>52</v>
      </c>
      <c r="O513" s="27" t="s">
        <v>1631</v>
      </c>
      <c r="P513" s="33" t="s">
        <v>23</v>
      </c>
      <c r="Q513" s="60">
        <f>IFERROR(IF(12 / VLOOKUP(Table2[[#This Row],[Rateizzazione]],TIPI_RATEIZZAZIONI,2,FALSE) &gt;=1,  IF(Table2[[#This Row],[Data attivazione]] = "","-",MONTH(Table2[[#This Row],[Data attivazione]])),"-"),"-")</f>
        <v>11</v>
      </c>
      <c r="R5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3" s="67" t="s">
        <v>133</v>
      </c>
      <c r="V513" s="62"/>
      <c r="W513" s="64">
        <v>42685</v>
      </c>
      <c r="X513" s="29">
        <f>DATE(YEAR(Table2[[#This Row],[Data attivazione]])+VLOOKUP(Table2[[#This Row],[Durata]],VALORE_DURATA,2,FALSE),MONTH(Table2[[#This Row],[Data attivazione]]),DAY(Table2[[#This Row],[Data attivazione]]))</f>
        <v>43050</v>
      </c>
      <c r="Y513" s="65"/>
      <c r="Z513" s="61"/>
      <c r="AA513" s="64" t="s">
        <v>85</v>
      </c>
      <c r="AB513" s="29" t="str">
        <f>IF(Table2[[#This Row],[Data ultimo versamento temp]]=0/1/1900,"-",Table2[[#This Row],[Data ultimo versamento temp]])</f>
        <v>-</v>
      </c>
      <c r="AC513" s="29">
        <f t="array" ref="AC513">MAX(IF(TableVersamenti[Polizza]=Table2[[#This Row],[Polizza]],TableVersamenti[Data prevista versamento],"-"))</f>
        <v>0</v>
      </c>
      <c r="AD513" s="62"/>
      <c r="AE513" s="106">
        <f>DATE(YEAR(Table2[[#This Row],[Data ultimo pagamento]]),MONTH(Table2[[#This Row],[Data ultimo pagamento]]), 1)</f>
        <v>42675</v>
      </c>
      <c r="AF513" s="106">
        <f>DATE(YEAR(Table2[[#This Row],[Data prossima scadenza]]),MONTH(Table2[[#This Row],[Data prossima scadenza]]), 1)</f>
        <v>43040</v>
      </c>
      <c r="AG513" s="33">
        <f>IFERROR(Table2[[#This Row],[Importo annuale]]*VLOOKUP(Table2[[#This Row],[Ramo]],RAMI_POLIZZA,2,FALSE),0)</f>
        <v>50.424399999999999</v>
      </c>
      <c r="AH513" s="65" t="s">
        <v>113</v>
      </c>
      <c r="AI513" s="63" t="str">
        <f>IFERROR(VLOOKUP(Table2[[#This Row],[Contraente]],Table1[[Nome/Ragione sociale]:[Checkbox selezionato]],2,FALSE),"-")</f>
        <v>BRONI</v>
      </c>
      <c r="AJ513" s="63">
        <f>IFERROR(VLOOKUP(Table2[[#This Row],[Contraente]],Table1[[Nome/Ragione sociale]:[Checkbox selezionato]],3,FALSE),"-")</f>
        <v>3282237744</v>
      </c>
      <c r="AK513" s="63">
        <f>IFERROR(VLOOKUP(Table2[[#This Row],[Contraente]],Table1[[Nome/Ragione sociale]:[Checkbox selezionato]],4,FALSE),"-")</f>
        <v>0</v>
      </c>
      <c r="AL513" s="63" t="str">
        <f>IFERROR(VLOOKUP(Table2[[#This Row],[Contraente]],Table1[[Nome/Ragione sociale]:[Checkbox selezionato]],5,FALSE),"-")</f>
        <v xml:space="preserve">ADOLFO </v>
      </c>
      <c r="AM513" s="62">
        <f>IFERROR(VLOOKUP(Table2[[#This Row],[Contraente]],Table1[[Nome/Ragione sociale]:[Checkbox selezionato]],6,FALSE),"-")</f>
        <v>22954</v>
      </c>
      <c r="AN513" s="63" t="str">
        <f>IFERROR(VLOOKUP(Table2[[#This Row],[Contraente]],Table1[[Nome/Ragione sociale]:[Checkbox selezionato]],7,FALSE),"-")</f>
        <v>papies@libero.it</v>
      </c>
      <c r="AO513" s="63">
        <f>IFERROR(VLOOKUP(Table2[[#This Row],[Contraente]],Table1[[Nome/Ragione sociale]:[Checkbox selezionato]],8,FALSE),"-")</f>
        <v>0</v>
      </c>
      <c r="AP513" s="63">
        <f>IFERROR(VLOOKUP(Table2[[#This Row],[Contraente]],Table1[[Nome/Ragione sociale]:[Checkbox selezionato]],10,FALSE),"-")</f>
        <v>3282237744</v>
      </c>
      <c r="AQ513" s="63" t="str">
        <f>IFERROR(VLOOKUP(Table2[[#This Row],[Contraente]],Table1[[Nome/Ragione sociale]:[Checkbox selezionato]],11,FALSE),"-")</f>
        <v>SI</v>
      </c>
      <c r="AR513" s="63" t="str">
        <f>IFERROR(VLOOKUP(Table2[[#This Row],[Contraente]],Table1[[Nome/Ragione sociale]:[Checkbox selezionato]],12,FALSE),"-")</f>
        <v>SI</v>
      </c>
    </row>
    <row r="514" spans="1:44" ht="30" hidden="1" customHeight="1" x14ac:dyDescent="0.25">
      <c r="A514" s="60" t="str">
        <f>UPPER(LEFT(Table2[[#This Row],[Contraente]],1))</f>
        <v>G</v>
      </c>
      <c r="B514" s="60" t="s">
        <v>1634</v>
      </c>
      <c r="C514" s="81" t="s">
        <v>679</v>
      </c>
      <c r="D514" s="81" t="s">
        <v>37</v>
      </c>
      <c r="E514" s="86">
        <v>105855712</v>
      </c>
      <c r="F514" s="64">
        <v>42685</v>
      </c>
      <c r="G514" s="64" t="str">
        <f>IFERROR(CALCOLASCADENZA(Table2[[#This Row],[Data attivazione]],Table2[[#This Row],[Rateizzazione]],Table2[[#This Row],[Data ultimo pagamento]],Table2[[#This Row],[Data prossima scadenza manuale]]),"-")</f>
        <v>-</v>
      </c>
      <c r="H514" s="67" t="s">
        <v>31</v>
      </c>
      <c r="I514" s="67" t="s">
        <v>1329</v>
      </c>
      <c r="J514" s="33">
        <v>-170.86</v>
      </c>
      <c r="K514" s="88"/>
      <c r="L514" s="88">
        <v>0</v>
      </c>
      <c r="M514" s="67" t="s">
        <v>44</v>
      </c>
      <c r="N514" s="67" t="s">
        <v>51</v>
      </c>
      <c r="O514" s="27" t="s">
        <v>1631</v>
      </c>
      <c r="P514" s="33" t="s">
        <v>24</v>
      </c>
      <c r="Q51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4" s="67" t="s">
        <v>133</v>
      </c>
      <c r="V514" s="62"/>
      <c r="W514" s="64" t="e">
        <v>#VALUE!</v>
      </c>
      <c r="X51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14" s="65"/>
      <c r="Z514" s="61"/>
      <c r="AA514" s="64" t="s">
        <v>85</v>
      </c>
      <c r="AB514" s="29" t="str">
        <f>IF(Table2[[#This Row],[Data ultimo versamento temp]]=0/1/1900,"-",Table2[[#This Row],[Data ultimo versamento temp]])</f>
        <v>-</v>
      </c>
      <c r="AC514" s="29">
        <f t="array" ref="AC514">MAX(IF(TableVersamenti[Polizza]=Table2[[#This Row],[Polizza]],TableVersamenti[Data prevista versamento],"-"))</f>
        <v>0</v>
      </c>
      <c r="AD514" s="62"/>
      <c r="AE514" s="106">
        <f>DATE(YEAR(Table2[[#This Row],[Data ultimo pagamento]]),MONTH(Table2[[#This Row],[Data ultimo pagamento]]), 1)</f>
        <v>42675</v>
      </c>
      <c r="AF514" s="106" t="e">
        <f>DATE(YEAR(Table2[[#This Row],[Data prossima scadenza]]),MONTH(Table2[[#This Row],[Data prossima scadenza]]), 1)</f>
        <v>#VALUE!</v>
      </c>
      <c r="AG514" s="33">
        <f>IFERROR(Table2[[#This Row],[Importo annuale]]*VLOOKUP(Table2[[#This Row],[Ramo]],RAMI_POLIZZA,2,FALSE),0)</f>
        <v>0</v>
      </c>
      <c r="AH514" s="65" t="s">
        <v>113</v>
      </c>
      <c r="AI514" s="63" t="str">
        <f>IFERROR(VLOOKUP(Table2[[#This Row],[Contraente]],Table1[[Nome/Ragione sociale]:[Checkbox selezionato]],2,FALSE),"-")</f>
        <v>RUINO</v>
      </c>
      <c r="AJ514" s="63">
        <f>IFERROR(VLOOKUP(Table2[[#This Row],[Contraente]],Table1[[Nome/Ragione sociale]:[Checkbox selezionato]],3,FALSE),"-")</f>
        <v>3282237744</v>
      </c>
      <c r="AK514" s="63">
        <f>IFERROR(VLOOKUP(Table2[[#This Row],[Contraente]],Table1[[Nome/Ragione sociale]:[Checkbox selezionato]],4,FALSE),"-")</f>
        <v>0</v>
      </c>
      <c r="AL514" s="63">
        <f>IFERROR(VLOOKUP(Table2[[#This Row],[Contraente]],Table1[[Nome/Ragione sociale]:[Checkbox selezionato]],5,FALSE),"-")</f>
        <v>0</v>
      </c>
      <c r="AM514" s="62">
        <f>IFERROR(VLOOKUP(Table2[[#This Row],[Contraente]],Table1[[Nome/Ragione sociale]:[Checkbox selezionato]],6,FALSE),"-")</f>
        <v>0</v>
      </c>
      <c r="AN514" s="63" t="str">
        <f>IFERROR(VLOOKUP(Table2[[#This Row],[Contraente]],Table1[[Nome/Ragione sociale]:[Checkbox selezionato]],7,FALSE),"-")</f>
        <v>papies@libero.it</v>
      </c>
      <c r="AO514" s="63">
        <f>IFERROR(VLOOKUP(Table2[[#This Row],[Contraente]],Table1[[Nome/Ragione sociale]:[Checkbox selezionato]],8,FALSE),"-")</f>
        <v>0</v>
      </c>
      <c r="AP514" s="63">
        <f>IFERROR(VLOOKUP(Table2[[#This Row],[Contraente]],Table1[[Nome/Ragione sociale]:[Checkbox selezionato]],10,FALSE),"-")</f>
        <v>3282237744</v>
      </c>
      <c r="AQ514" s="63" t="str">
        <f>IFERROR(VLOOKUP(Table2[[#This Row],[Contraente]],Table1[[Nome/Ragione sociale]:[Checkbox selezionato]],11,FALSE),"-")</f>
        <v>SI</v>
      </c>
      <c r="AR514" s="63" t="str">
        <f>IFERROR(VLOOKUP(Table2[[#This Row],[Contraente]],Table1[[Nome/Ragione sociale]:[Checkbox selezionato]],12,FALSE),"-")</f>
        <v>SI</v>
      </c>
    </row>
    <row r="515" spans="1:44" ht="30" hidden="1" customHeight="1" x14ac:dyDescent="0.25">
      <c r="A515" s="60" t="str">
        <f>UPPER(LEFT(Table2[[#This Row],[Contraente]],1))</f>
        <v>G</v>
      </c>
      <c r="B515" s="60" t="s">
        <v>1634</v>
      </c>
      <c r="C515" s="81" t="s">
        <v>663</v>
      </c>
      <c r="D515" s="81" t="s">
        <v>37</v>
      </c>
      <c r="E515" s="86">
        <v>105786733</v>
      </c>
      <c r="F515" s="64">
        <v>42927</v>
      </c>
      <c r="G515" s="64">
        <f>IFERROR(CALCOLASCADENZA(Table2[[#This Row],[Data attivazione]],Table2[[#This Row],[Rateizzazione]],Table2[[#This Row],[Data ultimo pagamento]],Table2[[#This Row],[Data prossima scadenza manuale]]),"-")</f>
        <v>43101</v>
      </c>
      <c r="H515" s="67" t="s">
        <v>31</v>
      </c>
      <c r="I515" s="67" t="s">
        <v>1324</v>
      </c>
      <c r="J515" s="33">
        <v>256.35000000000002</v>
      </c>
      <c r="K515" s="88">
        <v>511.35</v>
      </c>
      <c r="L515" s="88">
        <v>512.70000000000005</v>
      </c>
      <c r="M515" s="67" t="s">
        <v>44</v>
      </c>
      <c r="N515" s="67" t="s">
        <v>51</v>
      </c>
      <c r="O515" s="27" t="s">
        <v>1631</v>
      </c>
      <c r="P515" s="33" t="s">
        <v>22</v>
      </c>
      <c r="Q515" s="60">
        <f>IFERROR(IF(12 / VLOOKUP(Table2[[#This Row],[Rateizzazione]],TIPI_RATEIZZAZIONI,2,FALSE) &gt;=1,  IF(Table2[[#This Row],[Data attivazione]] = "","-",MONTH(Table2[[#This Row],[Data attivazione]])),"-"),"-")</f>
        <v>7</v>
      </c>
      <c r="R5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5" s="67" t="s">
        <v>2</v>
      </c>
      <c r="V515" s="62"/>
      <c r="W515" s="64">
        <v>42917</v>
      </c>
      <c r="X515" s="29">
        <f>DATE(YEAR(Table2[[#This Row],[Data attivazione]])+VLOOKUP(Table2[[#This Row],[Durata]],VALORE_DURATA,2,FALSE),MONTH(Table2[[#This Row],[Data attivazione]]),DAY(Table2[[#This Row],[Data attivazione]]))</f>
        <v>43282</v>
      </c>
      <c r="Y515" s="65"/>
      <c r="Z515" s="61"/>
      <c r="AA515" s="64" t="s">
        <v>85</v>
      </c>
      <c r="AB515" s="29">
        <f>IF(Table2[[#This Row],[Data ultimo versamento temp]]=0/1/1900,"-",Table2[[#This Row],[Data ultimo versamento temp]])</f>
        <v>42930</v>
      </c>
      <c r="AC515" s="29">
        <f t="array" ref="AC515">MAX(IF(TableVersamenti[Polizza]=Table2[[#This Row],[Polizza]],TableVersamenti[Data prevista versamento],"-"))</f>
        <v>42930</v>
      </c>
      <c r="AD515" s="62"/>
      <c r="AE515" s="106">
        <f>DATE(YEAR(Table2[[#This Row],[Data ultimo pagamento]]),MONTH(Table2[[#This Row],[Data ultimo pagamento]]), 1)</f>
        <v>42917</v>
      </c>
      <c r="AF515" s="106">
        <f>DATE(YEAR(Table2[[#This Row],[Data prossima scadenza]]),MONTH(Table2[[#This Row],[Data prossima scadenza]]), 1)</f>
        <v>43101</v>
      </c>
      <c r="AG515" s="33">
        <f>IFERROR(Table2[[#This Row],[Importo annuale]]*VLOOKUP(Table2[[#This Row],[Ramo]],RAMI_POLIZZA,2,FALSE),0)</f>
        <v>26.660400000000003</v>
      </c>
      <c r="AH515" s="65" t="s">
        <v>113</v>
      </c>
      <c r="AI515" s="63" t="str">
        <f>IFERROR(VLOOKUP(Table2[[#This Row],[Contraente]],Table1[[Nome/Ragione sociale]:[Checkbox selezionato]],2,FALSE),"-")</f>
        <v>SERAVEZZA</v>
      </c>
      <c r="AJ515" s="63">
        <f>IFERROR(VLOOKUP(Table2[[#This Row],[Contraente]],Table1[[Nome/Ragione sociale]:[Checkbox selezionato]],3,FALSE),"-")</f>
        <v>3929200282</v>
      </c>
      <c r="AK515" s="63">
        <f>IFERROR(VLOOKUP(Table2[[#This Row],[Contraente]],Table1[[Nome/Ragione sociale]:[Checkbox selezionato]],4,FALSE),"-")</f>
        <v>0</v>
      </c>
      <c r="AL515" s="63" t="str">
        <f>IFERROR(VLOOKUP(Table2[[#This Row],[Contraente]],Table1[[Nome/Ragione sociale]:[Checkbox selezionato]],5,FALSE),"-")</f>
        <v>NICOLETTA</v>
      </c>
      <c r="AM515" s="62">
        <f>IFERROR(VLOOKUP(Table2[[#This Row],[Contraente]],Table1[[Nome/Ragione sociale]:[Checkbox selezionato]],6,FALSE),"-")</f>
        <v>21136</v>
      </c>
      <c r="AN515" s="63" t="str">
        <f>IFERROR(VLOOKUP(Table2[[#This Row],[Contraente]],Table1[[Nome/Ragione sociale]:[Checkbox selezionato]],7,FALSE),"-")</f>
        <v>papies@email.it</v>
      </c>
      <c r="AO515" s="63">
        <f>IFERROR(VLOOKUP(Table2[[#This Row],[Contraente]],Table1[[Nome/Ragione sociale]:[Checkbox selezionato]],8,FALSE),"-")</f>
        <v>0</v>
      </c>
      <c r="AP515" s="63">
        <f>IFERROR(VLOOKUP(Table2[[#This Row],[Contraente]],Table1[[Nome/Ragione sociale]:[Checkbox selezionato]],10,FALSE),"-")</f>
        <v>3929200282</v>
      </c>
      <c r="AQ515" s="63" t="str">
        <f>IFERROR(VLOOKUP(Table2[[#This Row],[Contraente]],Table1[[Nome/Ragione sociale]:[Checkbox selezionato]],11,FALSE),"-")</f>
        <v>SI</v>
      </c>
      <c r="AR515" s="63" t="str">
        <f>IFERROR(VLOOKUP(Table2[[#This Row],[Contraente]],Table1[[Nome/Ragione sociale]:[Checkbox selezionato]],12,FALSE),"-")</f>
        <v>SI</v>
      </c>
    </row>
    <row r="516" spans="1:44" ht="30" hidden="1" customHeight="1" x14ac:dyDescent="0.25">
      <c r="A516" s="60" t="str">
        <f>UPPER(LEFT(Table2[[#This Row],[Contraente]],1))</f>
        <v>G</v>
      </c>
      <c r="B516" s="60" t="s">
        <v>1634</v>
      </c>
      <c r="C516" s="81" t="s">
        <v>686</v>
      </c>
      <c r="D516" s="81" t="s">
        <v>37</v>
      </c>
      <c r="E516" s="86">
        <v>106366942</v>
      </c>
      <c r="F516" s="64">
        <v>42727</v>
      </c>
      <c r="G516" s="64">
        <f>IFERROR(CALCOLASCADENZA(Table2[[#This Row],[Data attivazione]],Table2[[#This Row],[Rateizzazione]],Table2[[#This Row],[Data ultimo pagamento]],Table2[[#This Row],[Data prossima scadenza manuale]]),"-")</f>
        <v>43092</v>
      </c>
      <c r="H516" s="67" t="s">
        <v>30</v>
      </c>
      <c r="I516" s="67" t="s">
        <v>113</v>
      </c>
      <c r="J516" s="33">
        <f>IFERROR(Table2[[#This Row],[Importo annuale]]/(12/VLOOKUP(Table2[[#This Row],[Rateizzazione]],TIPI_RATEIZZAZIONI,2,FALSE)),"-")</f>
        <v>131</v>
      </c>
      <c r="K516" s="88"/>
      <c r="L516" s="88">
        <v>131</v>
      </c>
      <c r="M516" s="67" t="s">
        <v>44</v>
      </c>
      <c r="N516" s="67" t="s">
        <v>52</v>
      </c>
      <c r="O516" s="27" t="s">
        <v>1631</v>
      </c>
      <c r="P516" s="33" t="s">
        <v>23</v>
      </c>
      <c r="Q516" s="60">
        <f>IFERROR(IF(12 / VLOOKUP(Table2[[#This Row],[Rateizzazione]],TIPI_RATEIZZAZIONI,2,FALSE) &gt;=1,  IF(Table2[[#This Row],[Data attivazione]] = "","-",MONTH(Table2[[#This Row],[Data attivazione]])),"-"),"-")</f>
        <v>12</v>
      </c>
      <c r="R5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6" s="67" t="s">
        <v>2</v>
      </c>
      <c r="V516" s="62"/>
      <c r="W516" s="64">
        <v>42727</v>
      </c>
      <c r="X516" s="29">
        <f>DATE(YEAR(Table2[[#This Row],[Data attivazione]])+VLOOKUP(Table2[[#This Row],[Durata]],VALORE_DURATA,2,FALSE),MONTH(Table2[[#This Row],[Data attivazione]]),DAY(Table2[[#This Row],[Data attivazione]]))</f>
        <v>43092</v>
      </c>
      <c r="Y516" s="65"/>
      <c r="Z516" s="61"/>
      <c r="AA516" s="64" t="s">
        <v>85</v>
      </c>
      <c r="AB516" s="29" t="str">
        <f>IF(Table2[[#This Row],[Data ultimo versamento temp]]=0/1/1900,"-",Table2[[#This Row],[Data ultimo versamento temp]])</f>
        <v>-</v>
      </c>
      <c r="AC516" s="29">
        <f t="array" ref="AC516">MAX(IF(TableVersamenti[Polizza]=Table2[[#This Row],[Polizza]],TableVersamenti[Data prevista versamento],"-"))</f>
        <v>0</v>
      </c>
      <c r="AD516" s="62"/>
      <c r="AE516" s="106">
        <f>DATE(YEAR(Table2[[#This Row],[Data ultimo pagamento]]),MONTH(Table2[[#This Row],[Data ultimo pagamento]]), 1)</f>
        <v>42705</v>
      </c>
      <c r="AF516" s="106">
        <f>DATE(YEAR(Table2[[#This Row],[Data prossima scadenza]]),MONTH(Table2[[#This Row],[Data prossima scadenza]]), 1)</f>
        <v>43070</v>
      </c>
      <c r="AG516" s="33">
        <f>IFERROR(Table2[[#This Row],[Importo annuale]]*VLOOKUP(Table2[[#This Row],[Ramo]],RAMI_POLIZZA,2,FALSE),0)</f>
        <v>15.065000000000001</v>
      </c>
      <c r="AH516" s="65" t="s">
        <v>113</v>
      </c>
      <c r="AI516" s="63" t="str">
        <f>IFERROR(VLOOKUP(Table2[[#This Row],[Contraente]],Table1[[Nome/Ragione sociale]:[Checkbox selezionato]],2,FALSE),"-")</f>
        <v>ALBUZZANO</v>
      </c>
      <c r="AJ516" s="63">
        <f>IFERROR(VLOOKUP(Table2[[#This Row],[Contraente]],Table1[[Nome/Ragione sociale]:[Checkbox selezionato]],3,FALSE),"-")</f>
        <v>3334702780</v>
      </c>
      <c r="AK516" s="63">
        <f>IFERROR(VLOOKUP(Table2[[#This Row],[Contraente]],Table1[[Nome/Ragione sociale]:[Checkbox selezionato]],4,FALSE),"-")</f>
        <v>0</v>
      </c>
      <c r="AL516" s="63" t="str">
        <f>IFERROR(VLOOKUP(Table2[[#This Row],[Contraente]],Table1[[Nome/Ragione sociale]:[Checkbox selezionato]],5,FALSE),"-")</f>
        <v>LORENZO</v>
      </c>
      <c r="AM516" s="62">
        <f>IFERROR(VLOOKUP(Table2[[#This Row],[Contraente]],Table1[[Nome/Ragione sociale]:[Checkbox selezionato]],6,FALSE),"-")</f>
        <v>29057</v>
      </c>
      <c r="AN516" s="63" t="str">
        <f>IFERROR(VLOOKUP(Table2[[#This Row],[Contraente]],Table1[[Nome/Ragione sociale]:[Checkbox selezionato]],7,FALSE),"-")</f>
        <v>papies@libero.it</v>
      </c>
      <c r="AO516" s="63">
        <f>IFERROR(VLOOKUP(Table2[[#This Row],[Contraente]],Table1[[Nome/Ragione sociale]:[Checkbox selezionato]],8,FALSE),"-")</f>
        <v>0</v>
      </c>
      <c r="AP516" s="63">
        <f>IFERROR(VLOOKUP(Table2[[#This Row],[Contraente]],Table1[[Nome/Ragione sociale]:[Checkbox selezionato]],10,FALSE),"-")</f>
        <v>3334702780</v>
      </c>
      <c r="AQ516" s="63" t="str">
        <f>IFERROR(VLOOKUP(Table2[[#This Row],[Contraente]],Table1[[Nome/Ragione sociale]:[Checkbox selezionato]],11,FALSE),"-")</f>
        <v>SI</v>
      </c>
      <c r="AR516" s="63" t="str">
        <f>IFERROR(VLOOKUP(Table2[[#This Row],[Contraente]],Table1[[Nome/Ragione sociale]:[Checkbox selezionato]],12,FALSE),"-")</f>
        <v>SI</v>
      </c>
    </row>
    <row r="517" spans="1:44" ht="30" hidden="1" customHeight="1" x14ac:dyDescent="0.25">
      <c r="A517" s="60" t="str">
        <f>UPPER(LEFT(Table2[[#This Row],[Contraente]],1))</f>
        <v>G</v>
      </c>
      <c r="B517" s="60" t="s">
        <v>1634</v>
      </c>
      <c r="C517" s="81" t="s">
        <v>686</v>
      </c>
      <c r="D517" s="81" t="s">
        <v>37</v>
      </c>
      <c r="E517" s="86">
        <v>104685262</v>
      </c>
      <c r="F517" s="64">
        <v>42765</v>
      </c>
      <c r="G517" s="64">
        <f>IFERROR(CALCOLASCADENZA(Table2[[#This Row],[Data attivazione]],Table2[[#This Row],[Rateizzazione]],Table2[[#This Row],[Data ultimo pagamento]],Table2[[#This Row],[Data prossima scadenza manuale]]),"-")</f>
        <v>42765</v>
      </c>
      <c r="H517" s="67" t="s">
        <v>31</v>
      </c>
      <c r="I517" s="67" t="s">
        <v>1332</v>
      </c>
      <c r="J517" s="33">
        <v>458.84</v>
      </c>
      <c r="K517" s="88">
        <v>458.84</v>
      </c>
      <c r="L517" s="88">
        <v>936.68</v>
      </c>
      <c r="M517" s="67" t="s">
        <v>45</v>
      </c>
      <c r="N517" s="67" t="s">
        <v>51</v>
      </c>
      <c r="O517" s="27" t="s">
        <v>1631</v>
      </c>
      <c r="P517" s="33" t="s">
        <v>24</v>
      </c>
      <c r="Q51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7" s="67" t="s">
        <v>2</v>
      </c>
      <c r="V517" s="62"/>
      <c r="W517" s="64">
        <v>42575</v>
      </c>
      <c r="X517" s="29">
        <f>DATE(YEAR(Table2[[#This Row],[Data attivazione]])+VLOOKUP(Table2[[#This Row],[Durata]],VALORE_DURATA,2,FALSE),MONTH(Table2[[#This Row],[Data attivazione]]),DAY(Table2[[#This Row],[Data attivazione]]))</f>
        <v>42940</v>
      </c>
      <c r="Y517" s="65"/>
      <c r="Z517" s="61"/>
      <c r="AA517" s="64" t="s">
        <v>85</v>
      </c>
      <c r="AB517" s="29" t="str">
        <f>IF(Table2[[#This Row],[Data ultimo versamento temp]]=0/1/1900,"-",Table2[[#This Row],[Data ultimo versamento temp]])</f>
        <v>-</v>
      </c>
      <c r="AC517" s="29">
        <f t="array" ref="AC517">MAX(IF(TableVersamenti[Polizza]=Table2[[#This Row],[Polizza]],TableVersamenti[Data prevista versamento],"-"))</f>
        <v>0</v>
      </c>
      <c r="AD517" s="62"/>
      <c r="AE517" s="106">
        <f>DATE(YEAR(Table2[[#This Row],[Data ultimo pagamento]]),MONTH(Table2[[#This Row],[Data ultimo pagamento]]), 1)</f>
        <v>42736</v>
      </c>
      <c r="AF517" s="106">
        <f>DATE(YEAR(Table2[[#This Row],[Data prossima scadenza]]),MONTH(Table2[[#This Row],[Data prossima scadenza]]), 1)</f>
        <v>42736</v>
      </c>
      <c r="AG517" s="33">
        <f>IFERROR(Table2[[#This Row],[Importo annuale]]*VLOOKUP(Table2[[#This Row],[Ramo]],RAMI_POLIZZA,2,FALSE),0)</f>
        <v>48.707359999999994</v>
      </c>
      <c r="AH517" s="65" t="s">
        <v>113</v>
      </c>
      <c r="AI517" s="63" t="str">
        <f>IFERROR(VLOOKUP(Table2[[#This Row],[Contraente]],Table1[[Nome/Ragione sociale]:[Checkbox selezionato]],2,FALSE),"-")</f>
        <v>ALBUZZANO</v>
      </c>
      <c r="AJ517" s="63">
        <f>IFERROR(VLOOKUP(Table2[[#This Row],[Contraente]],Table1[[Nome/Ragione sociale]:[Checkbox selezionato]],3,FALSE),"-")</f>
        <v>3334702780</v>
      </c>
      <c r="AK517" s="63">
        <f>IFERROR(VLOOKUP(Table2[[#This Row],[Contraente]],Table1[[Nome/Ragione sociale]:[Checkbox selezionato]],4,FALSE),"-")</f>
        <v>0</v>
      </c>
      <c r="AL517" s="63" t="str">
        <f>IFERROR(VLOOKUP(Table2[[#This Row],[Contraente]],Table1[[Nome/Ragione sociale]:[Checkbox selezionato]],5,FALSE),"-")</f>
        <v>LORENZO</v>
      </c>
      <c r="AM517" s="62">
        <f>IFERROR(VLOOKUP(Table2[[#This Row],[Contraente]],Table1[[Nome/Ragione sociale]:[Checkbox selezionato]],6,FALSE),"-")</f>
        <v>29057</v>
      </c>
      <c r="AN517" s="63" t="str">
        <f>IFERROR(VLOOKUP(Table2[[#This Row],[Contraente]],Table1[[Nome/Ragione sociale]:[Checkbox selezionato]],7,FALSE),"-")</f>
        <v>papies@libero.it</v>
      </c>
      <c r="AO517" s="63">
        <f>IFERROR(VLOOKUP(Table2[[#This Row],[Contraente]],Table1[[Nome/Ragione sociale]:[Checkbox selezionato]],8,FALSE),"-")</f>
        <v>0</v>
      </c>
      <c r="AP517" s="63">
        <f>IFERROR(VLOOKUP(Table2[[#This Row],[Contraente]],Table1[[Nome/Ragione sociale]:[Checkbox selezionato]],10,FALSE),"-")</f>
        <v>3334702780</v>
      </c>
      <c r="AQ517" s="63" t="str">
        <f>IFERROR(VLOOKUP(Table2[[#This Row],[Contraente]],Table1[[Nome/Ragione sociale]:[Checkbox selezionato]],11,FALSE),"-")</f>
        <v>SI</v>
      </c>
      <c r="AR517" s="63" t="str">
        <f>IFERROR(VLOOKUP(Table2[[#This Row],[Contraente]],Table1[[Nome/Ragione sociale]:[Checkbox selezionato]],12,FALSE),"-")</f>
        <v>SI</v>
      </c>
    </row>
    <row r="518" spans="1:44" ht="30" hidden="1" customHeight="1" x14ac:dyDescent="0.25">
      <c r="A518" s="60" t="str">
        <f>UPPER(LEFT(Table2[[#This Row],[Contraente]],1))</f>
        <v>G</v>
      </c>
      <c r="B518" s="60" t="s">
        <v>1634</v>
      </c>
      <c r="C518" s="81" t="s">
        <v>686</v>
      </c>
      <c r="D518" s="81" t="s">
        <v>37</v>
      </c>
      <c r="E518" s="86">
        <v>106366936</v>
      </c>
      <c r="F518" s="64">
        <v>42816</v>
      </c>
      <c r="G518" s="64">
        <f>IFERROR(CALCOLASCADENZA(Table2[[#This Row],[Data attivazione]],Table2[[#This Row],[Rateizzazione]],Table2[[#This Row],[Data ultimo pagamento]],Table2[[#This Row],[Data prossima scadenza manuale]]),"-")</f>
        <v>42929</v>
      </c>
      <c r="H518" s="67" t="s">
        <v>30</v>
      </c>
      <c r="I518" s="67" t="s">
        <v>113</v>
      </c>
      <c r="J518" s="33">
        <f>IFERROR(Table2[[#This Row],[Importo annuale]]/(12/VLOOKUP(Table2[[#This Row],[Rateizzazione]],TIPI_RATEIZZAZIONI,2,FALSE)),"-")</f>
        <v>225</v>
      </c>
      <c r="K518" s="88">
        <v>225</v>
      </c>
      <c r="L518" s="88">
        <v>675</v>
      </c>
      <c r="M518" s="67" t="s">
        <v>44</v>
      </c>
      <c r="N518" s="67" t="s">
        <v>51</v>
      </c>
      <c r="O518" s="27" t="s">
        <v>1631</v>
      </c>
      <c r="P518" s="33" t="s">
        <v>21</v>
      </c>
      <c r="Q518" s="60">
        <f>IFERROR(IF(12 / VLOOKUP(Table2[[#This Row],[Rateizzazione]],TIPI_RATEIZZAZIONI,2,FALSE) &gt;=1,  IF(Table2[[#This Row],[Data attivazione]] = "","-",MONTH(Table2[[#This Row],[Data attivazione]])),"-"),"-")</f>
        <v>7</v>
      </c>
      <c r="R5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51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5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8" s="67" t="s">
        <v>2</v>
      </c>
      <c r="V518" s="62"/>
      <c r="W518" s="64">
        <v>42564</v>
      </c>
      <c r="X518" s="29">
        <f>DATE(YEAR(Table2[[#This Row],[Data attivazione]])+VLOOKUP(Table2[[#This Row],[Durata]],VALORE_DURATA,2,FALSE),MONTH(Table2[[#This Row],[Data attivazione]]),DAY(Table2[[#This Row],[Data attivazione]]))</f>
        <v>42929</v>
      </c>
      <c r="Y518" s="65"/>
      <c r="Z518" s="61"/>
      <c r="AA518" s="64" t="s">
        <v>85</v>
      </c>
      <c r="AB518" s="29" t="str">
        <f>IF(Table2[[#This Row],[Data ultimo versamento temp]]=0/1/1900,"-",Table2[[#This Row],[Data ultimo versamento temp]])</f>
        <v>-</v>
      </c>
      <c r="AC518" s="29">
        <f t="array" ref="AC518">MAX(IF(TableVersamenti[Polizza]=Table2[[#This Row],[Polizza]],TableVersamenti[Data prevista versamento],"-"))</f>
        <v>0</v>
      </c>
      <c r="AD518" s="62"/>
      <c r="AE518" s="106">
        <f>DATE(YEAR(Table2[[#This Row],[Data ultimo pagamento]]),MONTH(Table2[[#This Row],[Data ultimo pagamento]]), 1)</f>
        <v>42795</v>
      </c>
      <c r="AF518" s="106">
        <f>DATE(YEAR(Table2[[#This Row],[Data prossima scadenza]]),MONTH(Table2[[#This Row],[Data prossima scadenza]]), 1)</f>
        <v>42917</v>
      </c>
      <c r="AG518" s="33">
        <f>IFERROR(Table2[[#This Row],[Importo annuale]]*VLOOKUP(Table2[[#This Row],[Ramo]],RAMI_POLIZZA,2,FALSE),0)</f>
        <v>77.625</v>
      </c>
      <c r="AH518" s="65" t="s">
        <v>113</v>
      </c>
      <c r="AI518" s="63" t="str">
        <f>IFERROR(VLOOKUP(Table2[[#This Row],[Contraente]],Table1[[Nome/Ragione sociale]:[Checkbox selezionato]],2,FALSE),"-")</f>
        <v>ALBUZZANO</v>
      </c>
      <c r="AJ518" s="63">
        <f>IFERROR(VLOOKUP(Table2[[#This Row],[Contraente]],Table1[[Nome/Ragione sociale]:[Checkbox selezionato]],3,FALSE),"-")</f>
        <v>3334702780</v>
      </c>
      <c r="AK518" s="63">
        <f>IFERROR(VLOOKUP(Table2[[#This Row],[Contraente]],Table1[[Nome/Ragione sociale]:[Checkbox selezionato]],4,FALSE),"-")</f>
        <v>0</v>
      </c>
      <c r="AL518" s="63" t="str">
        <f>IFERROR(VLOOKUP(Table2[[#This Row],[Contraente]],Table1[[Nome/Ragione sociale]:[Checkbox selezionato]],5,FALSE),"-")</f>
        <v>LORENZO</v>
      </c>
      <c r="AM518" s="62">
        <f>IFERROR(VLOOKUP(Table2[[#This Row],[Contraente]],Table1[[Nome/Ragione sociale]:[Checkbox selezionato]],6,FALSE),"-")</f>
        <v>29057</v>
      </c>
      <c r="AN518" s="63" t="str">
        <f>IFERROR(VLOOKUP(Table2[[#This Row],[Contraente]],Table1[[Nome/Ragione sociale]:[Checkbox selezionato]],7,FALSE),"-")</f>
        <v>papies@libero.it</v>
      </c>
      <c r="AO518" s="63">
        <f>IFERROR(VLOOKUP(Table2[[#This Row],[Contraente]],Table1[[Nome/Ragione sociale]:[Checkbox selezionato]],8,FALSE),"-")</f>
        <v>0</v>
      </c>
      <c r="AP518" s="63">
        <f>IFERROR(VLOOKUP(Table2[[#This Row],[Contraente]],Table1[[Nome/Ragione sociale]:[Checkbox selezionato]],10,FALSE),"-")</f>
        <v>3334702780</v>
      </c>
      <c r="AQ518" s="63" t="str">
        <f>IFERROR(VLOOKUP(Table2[[#This Row],[Contraente]],Table1[[Nome/Ragione sociale]:[Checkbox selezionato]],11,FALSE),"-")</f>
        <v>SI</v>
      </c>
      <c r="AR518" s="63" t="str">
        <f>IFERROR(VLOOKUP(Table2[[#This Row],[Contraente]],Table1[[Nome/Ragione sociale]:[Checkbox selezionato]],12,FALSE),"-")</f>
        <v>SI</v>
      </c>
    </row>
    <row r="519" spans="1:44" ht="30" hidden="1" customHeight="1" x14ac:dyDescent="0.25">
      <c r="A519" s="60" t="str">
        <f>UPPER(LEFT(Table2[[#This Row],[Contraente]],1))</f>
        <v>G</v>
      </c>
      <c r="B519" s="60" t="s">
        <v>1634</v>
      </c>
      <c r="C519" s="81" t="s">
        <v>686</v>
      </c>
      <c r="D519" s="81" t="s">
        <v>37</v>
      </c>
      <c r="E519" s="86">
        <v>1077780</v>
      </c>
      <c r="F519" s="64">
        <v>42843</v>
      </c>
      <c r="G519" s="64">
        <f>IFERROR(CALCOLASCADENZA(Table2[[#This Row],[Data attivazione]],Table2[[#This Row],[Rateizzazione]],Table2[[#This Row],[Data ultimo pagamento]],Table2[[#This Row],[Data prossima scadenza manuale]]),"-")</f>
        <v>43015</v>
      </c>
      <c r="H519" s="67" t="s">
        <v>32</v>
      </c>
      <c r="I519" s="67" t="s">
        <v>113</v>
      </c>
      <c r="J519" s="33">
        <f>IFERROR(Table2[[#This Row],[Importo annuale]]/(12/VLOOKUP(Table2[[#This Row],[Rateizzazione]],TIPI_RATEIZZAZIONI,2,FALSE)),"-")</f>
        <v>102.49</v>
      </c>
      <c r="K519" s="88">
        <v>102.49</v>
      </c>
      <c r="L519" s="88">
        <v>204.98</v>
      </c>
      <c r="M519" s="67" t="s">
        <v>45</v>
      </c>
      <c r="N519" s="67" t="s">
        <v>51</v>
      </c>
      <c r="O519" s="27" t="s">
        <v>1632</v>
      </c>
      <c r="P519" s="33" t="s">
        <v>22</v>
      </c>
      <c r="Q519" s="60">
        <f>IFERROR(IF(12 / VLOOKUP(Table2[[#This Row],[Rateizzazione]],TIPI_RATEIZZAZIONI,2,FALSE) &gt;=1,  IF(Table2[[#This Row],[Data attivazione]] = "","-",MONTH(Table2[[#This Row],[Data attivazione]])),"-"),"-")</f>
        <v>10</v>
      </c>
      <c r="R5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9" s="67" t="s">
        <v>2</v>
      </c>
      <c r="V519" s="62"/>
      <c r="W519" s="64">
        <v>39362</v>
      </c>
      <c r="X519" s="29">
        <f>DATE(YEAR(Table2[[#This Row],[Data attivazione]])+VLOOKUP(Table2[[#This Row],[Durata]],VALORE_DURATA,2,FALSE),MONTH(Table2[[#This Row],[Data attivazione]]),DAY(Table2[[#This Row],[Data attivazione]]))</f>
        <v>43015</v>
      </c>
      <c r="Y519" s="65"/>
      <c r="Z519" s="61"/>
      <c r="AA519" s="64" t="s">
        <v>85</v>
      </c>
      <c r="AB519" s="29" t="str">
        <f>IF(Table2[[#This Row],[Data ultimo versamento temp]]=0/1/1900,"-",Table2[[#This Row],[Data ultimo versamento temp]])</f>
        <v>-</v>
      </c>
      <c r="AC519" s="29">
        <f t="array" ref="AC519">MAX(IF(TableVersamenti[Polizza]=Table2[[#This Row],[Polizza]],TableVersamenti[Data prevista versamento],"-"))</f>
        <v>0</v>
      </c>
      <c r="AD519" s="62"/>
      <c r="AE519" s="106">
        <f>DATE(YEAR(Table2[[#This Row],[Data ultimo pagamento]]),MONTH(Table2[[#This Row],[Data ultimo pagamento]]), 1)</f>
        <v>42826</v>
      </c>
      <c r="AF519" s="106">
        <f>DATE(YEAR(Table2[[#This Row],[Data prossima scadenza]]),MONTH(Table2[[#This Row],[Data prossima scadenza]]), 1)</f>
        <v>43009</v>
      </c>
      <c r="AG519" s="33">
        <f>IFERROR(Table2[[#This Row],[Importo annuale]]*VLOOKUP(Table2[[#This Row],[Ramo]],RAMI_POLIZZA,2,FALSE),0)</f>
        <v>3.0746999999999995</v>
      </c>
      <c r="AH519" s="65" t="s">
        <v>113</v>
      </c>
      <c r="AI519" s="63" t="str">
        <f>IFERROR(VLOOKUP(Table2[[#This Row],[Contraente]],Table1[[Nome/Ragione sociale]:[Checkbox selezionato]],2,FALSE),"-")</f>
        <v>ALBUZZANO</v>
      </c>
      <c r="AJ519" s="63">
        <f>IFERROR(VLOOKUP(Table2[[#This Row],[Contraente]],Table1[[Nome/Ragione sociale]:[Checkbox selezionato]],3,FALSE),"-")</f>
        <v>3334702780</v>
      </c>
      <c r="AK519" s="63">
        <f>IFERROR(VLOOKUP(Table2[[#This Row],[Contraente]],Table1[[Nome/Ragione sociale]:[Checkbox selezionato]],4,FALSE),"-")</f>
        <v>0</v>
      </c>
      <c r="AL519" s="63" t="str">
        <f>IFERROR(VLOOKUP(Table2[[#This Row],[Contraente]],Table1[[Nome/Ragione sociale]:[Checkbox selezionato]],5,FALSE),"-")</f>
        <v>LORENZO</v>
      </c>
      <c r="AM519" s="62">
        <f>IFERROR(VLOOKUP(Table2[[#This Row],[Contraente]],Table1[[Nome/Ragione sociale]:[Checkbox selezionato]],6,FALSE),"-")</f>
        <v>29057</v>
      </c>
      <c r="AN519" s="63" t="str">
        <f>IFERROR(VLOOKUP(Table2[[#This Row],[Contraente]],Table1[[Nome/Ragione sociale]:[Checkbox selezionato]],7,FALSE),"-")</f>
        <v>papies@libero.it</v>
      </c>
      <c r="AO519" s="63">
        <f>IFERROR(VLOOKUP(Table2[[#This Row],[Contraente]],Table1[[Nome/Ragione sociale]:[Checkbox selezionato]],8,FALSE),"-")</f>
        <v>0</v>
      </c>
      <c r="AP519" s="63">
        <f>IFERROR(VLOOKUP(Table2[[#This Row],[Contraente]],Table1[[Nome/Ragione sociale]:[Checkbox selezionato]],10,FALSE),"-")</f>
        <v>3334702780</v>
      </c>
      <c r="AQ519" s="63" t="str">
        <f>IFERROR(VLOOKUP(Table2[[#This Row],[Contraente]],Table1[[Nome/Ragione sociale]:[Checkbox selezionato]],11,FALSE),"-")</f>
        <v>SI</v>
      </c>
      <c r="AR519" s="63" t="str">
        <f>IFERROR(VLOOKUP(Table2[[#This Row],[Contraente]],Table1[[Nome/Ragione sociale]:[Checkbox selezionato]],12,FALSE),"-")</f>
        <v>SI</v>
      </c>
    </row>
    <row r="520" spans="1:44" ht="30" hidden="1" customHeight="1" x14ac:dyDescent="0.25">
      <c r="A520" s="60" t="str">
        <f>UPPER(LEFT(Table2[[#This Row],[Contraente]],1))</f>
        <v>G</v>
      </c>
      <c r="B520" s="60" t="s">
        <v>1634</v>
      </c>
      <c r="C520" s="81" t="s">
        <v>689</v>
      </c>
      <c r="D520" s="81" t="s">
        <v>37</v>
      </c>
      <c r="E520" s="86">
        <v>103445790</v>
      </c>
      <c r="F520" s="64">
        <v>42086</v>
      </c>
      <c r="G520" s="64">
        <f>IFERROR(CALCOLASCADENZA(Table2[[#This Row],[Data attivazione]],Table2[[#This Row],[Rateizzazione]],Table2[[#This Row],[Data ultimo pagamento]],Table2[[#This Row],[Data prossima scadenza manuale]]),"-")</f>
        <v>42086</v>
      </c>
      <c r="H520" s="67" t="s">
        <v>30</v>
      </c>
      <c r="I520" s="67" t="s">
        <v>113</v>
      </c>
      <c r="J520" s="33">
        <v>0</v>
      </c>
      <c r="K520" s="88"/>
      <c r="L520" s="88">
        <v>0</v>
      </c>
      <c r="M520" s="67" t="s">
        <v>43</v>
      </c>
      <c r="N520" s="67" t="s">
        <v>52</v>
      </c>
      <c r="O520" s="27" t="s">
        <v>1631</v>
      </c>
      <c r="P520" s="33" t="s">
        <v>24</v>
      </c>
      <c r="Q52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0" s="67" t="s">
        <v>2</v>
      </c>
      <c r="V520" s="62"/>
      <c r="W520" s="64">
        <v>693597</v>
      </c>
      <c r="X520" s="29">
        <f>DATE(YEAR(Table2[[#This Row],[Data attivazione]])+VLOOKUP(Table2[[#This Row],[Durata]],VALORE_DURATA,2,FALSE),MONTH(Table2[[#This Row],[Data attivazione]]),DAY(Table2[[#This Row],[Data attivazione]]))</f>
        <v>693962</v>
      </c>
      <c r="Y520" s="65"/>
      <c r="Z520" s="61"/>
      <c r="AA520" s="64" t="s">
        <v>88</v>
      </c>
      <c r="AB520" s="29" t="str">
        <f>IF(Table2[[#This Row],[Data ultimo versamento temp]]=0/1/1900,"-",Table2[[#This Row],[Data ultimo versamento temp]])</f>
        <v>-</v>
      </c>
      <c r="AC520" s="29">
        <f t="array" ref="AC520">MAX(IF(TableVersamenti[Polizza]=Table2[[#This Row],[Polizza]],TableVersamenti[Data prevista versamento],"-"))</f>
        <v>0</v>
      </c>
      <c r="AD520" s="62"/>
      <c r="AE520" s="106">
        <f>DATE(YEAR(Table2[[#This Row],[Data ultimo pagamento]]),MONTH(Table2[[#This Row],[Data ultimo pagamento]]), 1)</f>
        <v>42064</v>
      </c>
      <c r="AF520" s="106">
        <f>DATE(YEAR(Table2[[#This Row],[Data prossima scadenza]]),MONTH(Table2[[#This Row],[Data prossima scadenza]]), 1)</f>
        <v>42064</v>
      </c>
      <c r="AG520" s="33">
        <f>IFERROR(Table2[[#This Row],[Importo annuale]]*VLOOKUP(Table2[[#This Row],[Ramo]],RAMI_POLIZZA,2,FALSE),0)</f>
        <v>0</v>
      </c>
      <c r="AH520" s="65" t="s">
        <v>113</v>
      </c>
      <c r="AI520" s="63" t="str">
        <f>IFERROR(VLOOKUP(Table2[[#This Row],[Contraente]],Table1[[Nome/Ragione sociale]:[Checkbox selezionato]],2,FALSE),"-")</f>
        <v>PAVIA</v>
      </c>
      <c r="AJ520" s="63">
        <f>IFERROR(VLOOKUP(Table2[[#This Row],[Contraente]],Table1[[Nome/Ragione sociale]:[Checkbox selezionato]],3,FALSE),"-")</f>
        <v>3804779715</v>
      </c>
      <c r="AK520" s="63">
        <f>IFERROR(VLOOKUP(Table2[[#This Row],[Contraente]],Table1[[Nome/Ragione sociale]:[Checkbox selezionato]],4,FALSE),"-")</f>
        <v>0</v>
      </c>
      <c r="AL520" s="63" t="str">
        <f>IFERROR(VLOOKUP(Table2[[#This Row],[Contraente]],Table1[[Nome/Ragione sociale]:[Checkbox selezionato]],5,FALSE),"-")</f>
        <v>AURELIA</v>
      </c>
      <c r="AM520" s="62">
        <f>IFERROR(VLOOKUP(Table2[[#This Row],[Contraente]],Table1[[Nome/Ragione sociale]:[Checkbox selezionato]],6,FALSE),"-")</f>
        <v>29389</v>
      </c>
      <c r="AN520" s="63" t="str">
        <f>IFERROR(VLOOKUP(Table2[[#This Row],[Contraente]],Table1[[Nome/Ragione sociale]:[Checkbox selezionato]],7,FALSE),"-")</f>
        <v>papies@libero.it</v>
      </c>
      <c r="AO520" s="63">
        <f>IFERROR(VLOOKUP(Table2[[#This Row],[Contraente]],Table1[[Nome/Ragione sociale]:[Checkbox selezionato]],8,FALSE),"-")</f>
        <v>0</v>
      </c>
      <c r="AP520" s="63">
        <f>IFERROR(VLOOKUP(Table2[[#This Row],[Contraente]],Table1[[Nome/Ragione sociale]:[Checkbox selezionato]],10,FALSE),"-")</f>
        <v>3804779715</v>
      </c>
      <c r="AQ520" s="63" t="str">
        <f>IFERROR(VLOOKUP(Table2[[#This Row],[Contraente]],Table1[[Nome/Ragione sociale]:[Checkbox selezionato]],11,FALSE),"-")</f>
        <v>SI</v>
      </c>
      <c r="AR520" s="63" t="str">
        <f>IFERROR(VLOOKUP(Table2[[#This Row],[Contraente]],Table1[[Nome/Ragione sociale]:[Checkbox selezionato]],12,FALSE),"-")</f>
        <v>SI</v>
      </c>
    </row>
    <row r="521" spans="1:44" ht="30" hidden="1" customHeight="1" x14ac:dyDescent="0.25">
      <c r="A521" s="60" t="str">
        <f>UPPER(LEFT(Table2[[#This Row],[Contraente]],1))</f>
        <v>G</v>
      </c>
      <c r="B521" s="60" t="s">
        <v>1634</v>
      </c>
      <c r="C521" s="81" t="s">
        <v>689</v>
      </c>
      <c r="D521" s="81" t="s">
        <v>37</v>
      </c>
      <c r="E521" s="86">
        <v>103446092</v>
      </c>
      <c r="F521" s="64">
        <v>42116</v>
      </c>
      <c r="G521" s="64">
        <f>IFERROR(CALCOLASCADENZA(Table2[[#This Row],[Data attivazione]],Table2[[#This Row],[Rateizzazione]],Table2[[#This Row],[Data ultimo pagamento]],Table2[[#This Row],[Data prossima scadenza manuale]]),"-")</f>
        <v>42116</v>
      </c>
      <c r="H521" s="67" t="s">
        <v>31</v>
      </c>
      <c r="I521" s="67" t="s">
        <v>1333</v>
      </c>
      <c r="J521" s="33">
        <v>0</v>
      </c>
      <c r="K521" s="88"/>
      <c r="L521" s="88">
        <v>0</v>
      </c>
      <c r="M521" s="67" t="s">
        <v>43</v>
      </c>
      <c r="N521" s="67" t="s">
        <v>52</v>
      </c>
      <c r="O521" s="27" t="s">
        <v>1631</v>
      </c>
      <c r="P521" s="33" t="s">
        <v>24</v>
      </c>
      <c r="Q52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1" s="67" t="s">
        <v>2</v>
      </c>
      <c r="V521" s="62"/>
      <c r="W521" s="64">
        <v>693597</v>
      </c>
      <c r="X521" s="29">
        <f>DATE(YEAR(Table2[[#This Row],[Data attivazione]])+VLOOKUP(Table2[[#This Row],[Durata]],VALORE_DURATA,2,FALSE),MONTH(Table2[[#This Row],[Data attivazione]]),DAY(Table2[[#This Row],[Data attivazione]]))</f>
        <v>693962</v>
      </c>
      <c r="Y521" s="65"/>
      <c r="Z521" s="61"/>
      <c r="AA521" s="64" t="s">
        <v>88</v>
      </c>
      <c r="AB521" s="29" t="str">
        <f>IF(Table2[[#This Row],[Data ultimo versamento temp]]=0/1/1900,"-",Table2[[#This Row],[Data ultimo versamento temp]])</f>
        <v>-</v>
      </c>
      <c r="AC521" s="29">
        <f t="array" ref="AC521">MAX(IF(TableVersamenti[Polizza]=Table2[[#This Row],[Polizza]],TableVersamenti[Data prevista versamento],"-"))</f>
        <v>0</v>
      </c>
      <c r="AD521" s="62"/>
      <c r="AE521" s="106">
        <f>DATE(YEAR(Table2[[#This Row],[Data ultimo pagamento]]),MONTH(Table2[[#This Row],[Data ultimo pagamento]]), 1)</f>
        <v>42095</v>
      </c>
      <c r="AF521" s="106">
        <f>DATE(YEAR(Table2[[#This Row],[Data prossima scadenza]]),MONTH(Table2[[#This Row],[Data prossima scadenza]]), 1)</f>
        <v>42095</v>
      </c>
      <c r="AG521" s="33">
        <f>IFERROR(Table2[[#This Row],[Importo annuale]]*VLOOKUP(Table2[[#This Row],[Ramo]],RAMI_POLIZZA,2,FALSE),0)</f>
        <v>0</v>
      </c>
      <c r="AH521" s="65" t="s">
        <v>113</v>
      </c>
      <c r="AI521" s="63" t="str">
        <f>IFERROR(VLOOKUP(Table2[[#This Row],[Contraente]],Table1[[Nome/Ragione sociale]:[Checkbox selezionato]],2,FALSE),"-")</f>
        <v>PAVIA</v>
      </c>
      <c r="AJ521" s="63">
        <f>IFERROR(VLOOKUP(Table2[[#This Row],[Contraente]],Table1[[Nome/Ragione sociale]:[Checkbox selezionato]],3,FALSE),"-")</f>
        <v>3804779715</v>
      </c>
      <c r="AK521" s="63">
        <f>IFERROR(VLOOKUP(Table2[[#This Row],[Contraente]],Table1[[Nome/Ragione sociale]:[Checkbox selezionato]],4,FALSE),"-")</f>
        <v>0</v>
      </c>
      <c r="AL521" s="63" t="str">
        <f>IFERROR(VLOOKUP(Table2[[#This Row],[Contraente]],Table1[[Nome/Ragione sociale]:[Checkbox selezionato]],5,FALSE),"-")</f>
        <v>AURELIA</v>
      </c>
      <c r="AM521" s="62">
        <f>IFERROR(VLOOKUP(Table2[[#This Row],[Contraente]],Table1[[Nome/Ragione sociale]:[Checkbox selezionato]],6,FALSE),"-")</f>
        <v>29389</v>
      </c>
      <c r="AN521" s="63" t="str">
        <f>IFERROR(VLOOKUP(Table2[[#This Row],[Contraente]],Table1[[Nome/Ragione sociale]:[Checkbox selezionato]],7,FALSE),"-")</f>
        <v>papies@libero.it</v>
      </c>
      <c r="AO521" s="63">
        <f>IFERROR(VLOOKUP(Table2[[#This Row],[Contraente]],Table1[[Nome/Ragione sociale]:[Checkbox selezionato]],8,FALSE),"-")</f>
        <v>0</v>
      </c>
      <c r="AP521" s="63">
        <f>IFERROR(VLOOKUP(Table2[[#This Row],[Contraente]],Table1[[Nome/Ragione sociale]:[Checkbox selezionato]],10,FALSE),"-")</f>
        <v>3804779715</v>
      </c>
      <c r="AQ521" s="63" t="str">
        <f>IFERROR(VLOOKUP(Table2[[#This Row],[Contraente]],Table1[[Nome/Ragione sociale]:[Checkbox selezionato]],11,FALSE),"-")</f>
        <v>SI</v>
      </c>
      <c r="AR521" s="63" t="str">
        <f>IFERROR(VLOOKUP(Table2[[#This Row],[Contraente]],Table1[[Nome/Ragione sociale]:[Checkbox selezionato]],12,FALSE),"-")</f>
        <v>SI</v>
      </c>
    </row>
    <row r="522" spans="1:44" ht="30" hidden="1" customHeight="1" x14ac:dyDescent="0.25">
      <c r="A522" s="60" t="str">
        <f>UPPER(LEFT(Table2[[#This Row],[Contraente]],1))</f>
        <v>G</v>
      </c>
      <c r="B522" s="60" t="s">
        <v>1634</v>
      </c>
      <c r="C522" s="81" t="s">
        <v>691</v>
      </c>
      <c r="D522" s="81" t="s">
        <v>37</v>
      </c>
      <c r="E522" s="86">
        <v>103272825</v>
      </c>
      <c r="F522" s="64">
        <v>42019</v>
      </c>
      <c r="G522" s="64">
        <f>IFERROR(CALCOLASCADENZA(Table2[[#This Row],[Data attivazione]],Table2[[#This Row],[Rateizzazione]],Table2[[#This Row],[Data ultimo pagamento]],Table2[[#This Row],[Data prossima scadenza manuale]]),"-")</f>
        <v>693778</v>
      </c>
      <c r="H522" s="67" t="s">
        <v>30</v>
      </c>
      <c r="I522" s="67"/>
      <c r="J522" s="33">
        <f>IFERROR(Table2[[#This Row],[Importo annuale]]/(12/VLOOKUP(Table2[[#This Row],[Rateizzazione]],TIPI_RATEIZZAZIONI,2,FALSE)),"-")</f>
        <v>130.06</v>
      </c>
      <c r="K522" s="88"/>
      <c r="L522" s="88">
        <v>260.12</v>
      </c>
      <c r="M522" s="67" t="s">
        <v>43</v>
      </c>
      <c r="N522" s="67" t="s">
        <v>52</v>
      </c>
      <c r="O522" s="27" t="s">
        <v>1631</v>
      </c>
      <c r="P522" s="33" t="s">
        <v>22</v>
      </c>
      <c r="Q522" s="60">
        <f>IFERROR(IF(12 / VLOOKUP(Table2[[#This Row],[Rateizzazione]],TIPI_RATEIZZAZIONI,2,FALSE) &gt;=1,  IF(Table2[[#This Row],[Data attivazione]] = "","-",MONTH(Table2[[#This Row],[Data attivazione]])),"-"),"-")</f>
        <v>12</v>
      </c>
      <c r="R5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2" s="67" t="s">
        <v>133</v>
      </c>
      <c r="V522" s="62"/>
      <c r="W522" s="64">
        <v>693597</v>
      </c>
      <c r="X522" s="29">
        <f>DATE(YEAR(Table2[[#This Row],[Data attivazione]])+VLOOKUP(Table2[[#This Row],[Durata]],VALORE_DURATA,2,FALSE),MONTH(Table2[[#This Row],[Data attivazione]]),DAY(Table2[[#This Row],[Data attivazione]]))</f>
        <v>693962</v>
      </c>
      <c r="Y522" s="65"/>
      <c r="Z522" s="61"/>
      <c r="AA522" s="64" t="s">
        <v>88</v>
      </c>
      <c r="AB522" s="29" t="str">
        <f>IF(Table2[[#This Row],[Data ultimo versamento temp]]=0/1/1900,"-",Table2[[#This Row],[Data ultimo versamento temp]])</f>
        <v>-</v>
      </c>
      <c r="AC522" s="29">
        <f t="array" ref="AC522">MAX(IF(TableVersamenti[Polizza]=Table2[[#This Row],[Polizza]],TableVersamenti[Data prevista versamento],"-"))</f>
        <v>0</v>
      </c>
      <c r="AD522" s="62"/>
      <c r="AE522" s="106">
        <f>DATE(YEAR(Table2[[#This Row],[Data ultimo pagamento]]),MONTH(Table2[[#This Row],[Data ultimo pagamento]]), 1)</f>
        <v>42005</v>
      </c>
      <c r="AF522" s="106">
        <f>DATE(YEAR(Table2[[#This Row],[Data prossima scadenza]]),MONTH(Table2[[#This Row],[Data prossima scadenza]]), 1)</f>
        <v>693749</v>
      </c>
      <c r="AG522" s="33">
        <f>IFERROR(Table2[[#This Row],[Importo annuale]]*VLOOKUP(Table2[[#This Row],[Ramo]],RAMI_POLIZZA,2,FALSE),0)</f>
        <v>29.913800000000002</v>
      </c>
      <c r="AH522" s="65" t="s">
        <v>113</v>
      </c>
      <c r="AI522" s="63">
        <f>IFERROR(VLOOKUP(Table2[[#This Row],[Contraente]],Table1[[Nome/Ragione sociale]:[Checkbox selezionato]],2,FALSE),"-")</f>
        <v>0</v>
      </c>
      <c r="AJ522" s="63">
        <f>IFERROR(VLOOKUP(Table2[[#This Row],[Contraente]],Table1[[Nome/Ragione sociale]:[Checkbox selezionato]],3,FALSE),"-")</f>
        <v>0</v>
      </c>
      <c r="AK522" s="63">
        <f>IFERROR(VLOOKUP(Table2[[#This Row],[Contraente]],Table1[[Nome/Ragione sociale]:[Checkbox selezionato]],4,FALSE),"-")</f>
        <v>0</v>
      </c>
      <c r="AL522" s="63">
        <f>IFERROR(VLOOKUP(Table2[[#This Row],[Contraente]],Table1[[Nome/Ragione sociale]:[Checkbox selezionato]],5,FALSE),"-")</f>
        <v>0</v>
      </c>
      <c r="AM522" s="62">
        <f>IFERROR(VLOOKUP(Table2[[#This Row],[Contraente]],Table1[[Nome/Ragione sociale]:[Checkbox selezionato]],6,FALSE),"-")</f>
        <v>0</v>
      </c>
      <c r="AN522" s="63" t="str">
        <f>IFERROR(VLOOKUP(Table2[[#This Row],[Contraente]],Table1[[Nome/Ragione sociale]:[Checkbox selezionato]],7,FALSE),"-")</f>
        <v>papies@email.it</v>
      </c>
      <c r="AO522" s="63">
        <f>IFERROR(VLOOKUP(Table2[[#This Row],[Contraente]],Table1[[Nome/Ragione sociale]:[Checkbox selezionato]],8,FALSE),"-")</f>
        <v>0</v>
      </c>
      <c r="AP522" s="63">
        <f>IFERROR(VLOOKUP(Table2[[#This Row],[Contraente]],Table1[[Nome/Ragione sociale]:[Checkbox selezionato]],10,FALSE),"-")</f>
        <v>0</v>
      </c>
      <c r="AQ522" s="63" t="str">
        <f>IFERROR(VLOOKUP(Table2[[#This Row],[Contraente]],Table1[[Nome/Ragione sociale]:[Checkbox selezionato]],11,FALSE),"-")</f>
        <v>SI</v>
      </c>
      <c r="AR522" s="63" t="str">
        <f>IFERROR(VLOOKUP(Table2[[#This Row],[Contraente]],Table1[[Nome/Ragione sociale]:[Checkbox selezionato]],12,FALSE),"-")</f>
        <v>SI</v>
      </c>
    </row>
    <row r="523" spans="1:44" ht="30" hidden="1" customHeight="1" x14ac:dyDescent="0.25">
      <c r="A523" s="60" t="str">
        <f>UPPER(LEFT(Table2[[#This Row],[Contraente]],1))</f>
        <v>G</v>
      </c>
      <c r="B523" s="60" t="s">
        <v>1634</v>
      </c>
      <c r="C523" s="81" t="s">
        <v>695</v>
      </c>
      <c r="D523" s="81" t="s">
        <v>37</v>
      </c>
      <c r="E523" s="86">
        <v>106870977</v>
      </c>
      <c r="F523" s="64">
        <v>42872</v>
      </c>
      <c r="G523" s="64">
        <f>IFERROR(CALCOLASCADENZA(Table2[[#This Row],[Data attivazione]],Table2[[#This Row],[Rateizzazione]],Table2[[#This Row],[Data ultimo pagamento]],Table2[[#This Row],[Data prossima scadenza manuale]]),"-")</f>
        <v>43064</v>
      </c>
      <c r="H523" s="67" t="s">
        <v>31</v>
      </c>
      <c r="I523" s="67" t="s">
        <v>1336</v>
      </c>
      <c r="J523" s="33">
        <f>IFERROR(Table2[[#This Row],[Importo annuale]]/(12/VLOOKUP(Table2[[#This Row],[Rateizzazione]],TIPI_RATEIZZAZIONI,2,FALSE)),"-")</f>
        <v>540</v>
      </c>
      <c r="K523" s="88">
        <v>540</v>
      </c>
      <c r="L523" s="88">
        <v>1080</v>
      </c>
      <c r="M523" s="67" t="s">
        <v>43</v>
      </c>
      <c r="N523" s="67" t="s">
        <v>51</v>
      </c>
      <c r="O523" s="27" t="s">
        <v>1631</v>
      </c>
      <c r="P523" s="33" t="s">
        <v>22</v>
      </c>
      <c r="Q523" s="60">
        <f>IFERROR(IF(12 / VLOOKUP(Table2[[#This Row],[Rateizzazione]],TIPI_RATEIZZAZIONI,2,FALSE) &gt;=1,  IF(Table2[[#This Row],[Data attivazione]] = "","-",MONTH(Table2[[#This Row],[Data attivazione]])),"-"),"-")</f>
        <v>5</v>
      </c>
      <c r="R5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5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3" s="67" t="s">
        <v>2</v>
      </c>
      <c r="V523" s="62"/>
      <c r="W523" s="64">
        <v>42880</v>
      </c>
      <c r="X523" s="29">
        <f>DATE(YEAR(Table2[[#This Row],[Data attivazione]])+VLOOKUP(Table2[[#This Row],[Durata]],VALORE_DURATA,2,FALSE),MONTH(Table2[[#This Row],[Data attivazione]]),DAY(Table2[[#This Row],[Data attivazione]]))</f>
        <v>43245</v>
      </c>
      <c r="Y523" s="65"/>
      <c r="Z523" s="61"/>
      <c r="AA523" s="64" t="s">
        <v>85</v>
      </c>
      <c r="AB523" s="29" t="str">
        <f>IF(Table2[[#This Row],[Data ultimo versamento temp]]=0/1/1900,"-",Table2[[#This Row],[Data ultimo versamento temp]])</f>
        <v>-</v>
      </c>
      <c r="AC523" s="29">
        <f t="array" ref="AC523">MAX(IF(TableVersamenti[Polizza]=Table2[[#This Row],[Polizza]],TableVersamenti[Data prevista versamento],"-"))</f>
        <v>0</v>
      </c>
      <c r="AD523" s="62"/>
      <c r="AE523" s="106">
        <f>DATE(YEAR(Table2[[#This Row],[Data ultimo pagamento]]),MONTH(Table2[[#This Row],[Data ultimo pagamento]]), 1)</f>
        <v>42856</v>
      </c>
      <c r="AF523" s="106">
        <f>DATE(YEAR(Table2[[#This Row],[Data prossima scadenza]]),MONTH(Table2[[#This Row],[Data prossima scadenza]]), 1)</f>
        <v>43040</v>
      </c>
      <c r="AG523" s="33">
        <f>IFERROR(Table2[[#This Row],[Importo annuale]]*VLOOKUP(Table2[[#This Row],[Ramo]],RAMI_POLIZZA,2,FALSE),0)</f>
        <v>56.16</v>
      </c>
      <c r="AH523" s="65" t="s">
        <v>113</v>
      </c>
      <c r="AI523" s="63" t="str">
        <f>IFERROR(VLOOKUP(Table2[[#This Row],[Contraente]],Table1[[Nome/Ragione sociale]:[Checkbox selezionato]],2,FALSE),"-")</f>
        <v>MIRADOLO TERME</v>
      </c>
      <c r="AJ523" s="63">
        <f>IFERROR(VLOOKUP(Table2[[#This Row],[Contraente]],Table1[[Nome/Ragione sociale]:[Checkbox selezionato]],3,FALSE),"-")</f>
        <v>3451234555</v>
      </c>
      <c r="AK523" s="63">
        <f>IFERROR(VLOOKUP(Table2[[#This Row],[Contraente]],Table1[[Nome/Ragione sociale]:[Checkbox selezionato]],4,FALSE),"-")</f>
        <v>0</v>
      </c>
      <c r="AL523" s="63" t="str">
        <f>IFERROR(VLOOKUP(Table2[[#This Row],[Contraente]],Table1[[Nome/Ragione sociale]:[Checkbox selezionato]],5,FALSE),"-")</f>
        <v>ELENA</v>
      </c>
      <c r="AM523" s="62">
        <f>IFERROR(VLOOKUP(Table2[[#This Row],[Contraente]],Table1[[Nome/Ragione sociale]:[Checkbox selezionato]],6,FALSE),"-")</f>
        <v>27108</v>
      </c>
      <c r="AN523" s="63" t="str">
        <f>IFERROR(VLOOKUP(Table2[[#This Row],[Contraente]],Table1[[Nome/Ragione sociale]:[Checkbox selezionato]],7,FALSE),"-")</f>
        <v>papies@libero.it</v>
      </c>
      <c r="AO523" s="63">
        <f>IFERROR(VLOOKUP(Table2[[#This Row],[Contraente]],Table1[[Nome/Ragione sociale]:[Checkbox selezionato]],8,FALSE),"-")</f>
        <v>0</v>
      </c>
      <c r="AP523" s="63">
        <f>IFERROR(VLOOKUP(Table2[[#This Row],[Contraente]],Table1[[Nome/Ragione sociale]:[Checkbox selezionato]],10,FALSE),"-")</f>
        <v>3451234555</v>
      </c>
      <c r="AQ523" s="63" t="str">
        <f>IFERROR(VLOOKUP(Table2[[#This Row],[Contraente]],Table1[[Nome/Ragione sociale]:[Checkbox selezionato]],11,FALSE),"-")</f>
        <v>SI</v>
      </c>
      <c r="AR523" s="63" t="str">
        <f>IFERROR(VLOOKUP(Table2[[#This Row],[Contraente]],Table1[[Nome/Ragione sociale]:[Checkbox selezionato]],12,FALSE),"-")</f>
        <v>SI</v>
      </c>
    </row>
    <row r="524" spans="1:44" ht="30" hidden="1" customHeight="1" x14ac:dyDescent="0.25">
      <c r="A524" s="60" t="str">
        <f>UPPER(LEFT(Table2[[#This Row],[Contraente]],1))</f>
        <v>G</v>
      </c>
      <c r="B524" s="60" t="s">
        <v>1634</v>
      </c>
      <c r="C524" s="81" t="s">
        <v>695</v>
      </c>
      <c r="D524" s="81" t="s">
        <v>37</v>
      </c>
      <c r="E524" s="86">
        <v>1085971</v>
      </c>
      <c r="F524" s="64">
        <v>42809</v>
      </c>
      <c r="G524" s="64">
        <f>IFERROR(CALCOLASCADENZA(Table2[[#This Row],[Data attivazione]],Table2[[#This Row],[Rateizzazione]],Table2[[#This Row],[Data ultimo pagamento]],Table2[[#This Row],[Data prossima scadenza manuale]]),"-")</f>
        <v>42901</v>
      </c>
      <c r="H524" s="67" t="s">
        <v>32</v>
      </c>
      <c r="I524" s="67" t="s">
        <v>113</v>
      </c>
      <c r="J524" s="33">
        <f>IFERROR(Table2[[#This Row],[Importo annuale]]/(12/VLOOKUP(Table2[[#This Row],[Rateizzazione]],TIPI_RATEIZZAZIONI,2,FALSE)),"-")</f>
        <v>1500</v>
      </c>
      <c r="K524" s="88">
        <v>1500</v>
      </c>
      <c r="L524" s="88">
        <v>6000</v>
      </c>
      <c r="M524" s="67" t="s">
        <v>45</v>
      </c>
      <c r="N524" s="67" t="s">
        <v>52</v>
      </c>
      <c r="O524" s="27" t="s">
        <v>1631</v>
      </c>
      <c r="P524" s="33" t="s">
        <v>20</v>
      </c>
      <c r="Q524" s="60">
        <f>IFERROR(IF(12 / VLOOKUP(Table2[[#This Row],[Rateizzazione]],TIPI_RATEIZZAZIONI,2,FALSE) &gt;=1,  IF(Table2[[#This Row],[Data attivazione]] = "","-",MONTH(Table2[[#This Row],[Data attivazione]])),"-"),"-")</f>
        <v>3</v>
      </c>
      <c r="R5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9</v>
      </c>
      <c r="T52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12</v>
      </c>
      <c r="U524" s="67" t="s">
        <v>2</v>
      </c>
      <c r="V524" s="62"/>
      <c r="W524" s="64">
        <v>42809</v>
      </c>
      <c r="X524" s="29">
        <f>DATE(YEAR(Table2[[#This Row],[Data attivazione]])+VLOOKUP(Table2[[#This Row],[Durata]],VALORE_DURATA,2,FALSE),MONTH(Table2[[#This Row],[Data attivazione]]),DAY(Table2[[#This Row],[Data attivazione]]))</f>
        <v>43174</v>
      </c>
      <c r="Y524" s="65"/>
      <c r="Z524" s="61"/>
      <c r="AA524" s="64" t="s">
        <v>85</v>
      </c>
      <c r="AB524" s="29" t="str">
        <f>IF(Table2[[#This Row],[Data ultimo versamento temp]]=0/1/1900,"-",Table2[[#This Row],[Data ultimo versamento temp]])</f>
        <v>-</v>
      </c>
      <c r="AC524" s="29">
        <f t="array" ref="AC524">MAX(IF(TableVersamenti[Polizza]=Table2[[#This Row],[Polizza]],TableVersamenti[Data prevista versamento],"-"))</f>
        <v>0</v>
      </c>
      <c r="AD524" s="62"/>
      <c r="AE524" s="106">
        <f>DATE(YEAR(Table2[[#This Row],[Data ultimo pagamento]]),MONTH(Table2[[#This Row],[Data ultimo pagamento]]), 1)</f>
        <v>42795</v>
      </c>
      <c r="AF524" s="106">
        <f>DATE(YEAR(Table2[[#This Row],[Data prossima scadenza]]),MONTH(Table2[[#This Row],[Data prossima scadenza]]), 1)</f>
        <v>42887</v>
      </c>
      <c r="AG524" s="33">
        <f>IFERROR(Table2[[#This Row],[Importo annuale]]*VLOOKUP(Table2[[#This Row],[Ramo]],RAMI_POLIZZA,2,FALSE),0)</f>
        <v>90</v>
      </c>
      <c r="AH524" s="65" t="s">
        <v>113</v>
      </c>
      <c r="AI524" s="63" t="str">
        <f>IFERROR(VLOOKUP(Table2[[#This Row],[Contraente]],Table1[[Nome/Ragione sociale]:[Checkbox selezionato]],2,FALSE),"-")</f>
        <v>MIRADOLO TERME</v>
      </c>
      <c r="AJ524" s="63">
        <f>IFERROR(VLOOKUP(Table2[[#This Row],[Contraente]],Table1[[Nome/Ragione sociale]:[Checkbox selezionato]],3,FALSE),"-")</f>
        <v>3451234555</v>
      </c>
      <c r="AK524" s="63">
        <f>IFERROR(VLOOKUP(Table2[[#This Row],[Contraente]],Table1[[Nome/Ragione sociale]:[Checkbox selezionato]],4,FALSE),"-")</f>
        <v>0</v>
      </c>
      <c r="AL524" s="63" t="str">
        <f>IFERROR(VLOOKUP(Table2[[#This Row],[Contraente]],Table1[[Nome/Ragione sociale]:[Checkbox selezionato]],5,FALSE),"-")</f>
        <v>ELENA</v>
      </c>
      <c r="AM524" s="62">
        <f>IFERROR(VLOOKUP(Table2[[#This Row],[Contraente]],Table1[[Nome/Ragione sociale]:[Checkbox selezionato]],6,FALSE),"-")</f>
        <v>27108</v>
      </c>
      <c r="AN524" s="63" t="str">
        <f>IFERROR(VLOOKUP(Table2[[#This Row],[Contraente]],Table1[[Nome/Ragione sociale]:[Checkbox selezionato]],7,FALSE),"-")</f>
        <v>papies@libero.it</v>
      </c>
      <c r="AO524" s="63">
        <f>IFERROR(VLOOKUP(Table2[[#This Row],[Contraente]],Table1[[Nome/Ragione sociale]:[Checkbox selezionato]],8,FALSE),"-")</f>
        <v>0</v>
      </c>
      <c r="AP524" s="63">
        <f>IFERROR(VLOOKUP(Table2[[#This Row],[Contraente]],Table1[[Nome/Ragione sociale]:[Checkbox selezionato]],10,FALSE),"-")</f>
        <v>3451234555</v>
      </c>
      <c r="AQ524" s="63" t="str">
        <f>IFERROR(VLOOKUP(Table2[[#This Row],[Contraente]],Table1[[Nome/Ragione sociale]:[Checkbox selezionato]],11,FALSE),"-")</f>
        <v>SI</v>
      </c>
      <c r="AR524" s="63" t="str">
        <f>IFERROR(VLOOKUP(Table2[[#This Row],[Contraente]],Table1[[Nome/Ragione sociale]:[Checkbox selezionato]],12,FALSE),"-")</f>
        <v>SI</v>
      </c>
    </row>
    <row r="525" spans="1:44" ht="30" hidden="1" customHeight="1" x14ac:dyDescent="0.25">
      <c r="A525" s="60" t="str">
        <f>UPPER(LEFT(Table2[[#This Row],[Contraente]],1))</f>
        <v>G</v>
      </c>
      <c r="B525" s="60" t="s">
        <v>1634</v>
      </c>
      <c r="C525" s="81" t="s">
        <v>693</v>
      </c>
      <c r="D525" s="81" t="s">
        <v>37</v>
      </c>
      <c r="E525" s="86">
        <v>105607481</v>
      </c>
      <c r="F525" s="64">
        <v>42872</v>
      </c>
      <c r="G525" s="64">
        <f>IFERROR(CALCOLASCADENZA(Table2[[#This Row],[Data attivazione]],Table2[[#This Row],[Rateizzazione]],Table2[[#This Row],[Data ultimo pagamento]],Table2[[#This Row],[Data prossima scadenza manuale]]),"-")</f>
        <v>43055</v>
      </c>
      <c r="H525" s="67" t="s">
        <v>31</v>
      </c>
      <c r="I525" s="67" t="s">
        <v>1335</v>
      </c>
      <c r="J525" s="33">
        <f>IFERROR(Table2[[#This Row],[Importo annuale]]/(12/VLOOKUP(Table2[[#This Row],[Rateizzazione]],TIPI_RATEIZZAZIONI,2,FALSE)),"-")</f>
        <v>224</v>
      </c>
      <c r="K525" s="88">
        <v>224</v>
      </c>
      <c r="L525" s="88">
        <v>448</v>
      </c>
      <c r="M525" s="67" t="s">
        <v>43</v>
      </c>
      <c r="N525" s="67" t="s">
        <v>51</v>
      </c>
      <c r="O525" s="27" t="s">
        <v>1631</v>
      </c>
      <c r="P525" s="33" t="s">
        <v>22</v>
      </c>
      <c r="Q525" s="60">
        <f>IFERROR(IF(12 / VLOOKUP(Table2[[#This Row],[Rateizzazione]],TIPI_RATEIZZAZIONI,2,FALSE) &gt;=1,  IF(Table2[[#This Row],[Data attivazione]] = "","-",MONTH(Table2[[#This Row],[Data attivazione]])),"-"),"-")</f>
        <v>11</v>
      </c>
      <c r="R5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5" s="67" t="s">
        <v>2</v>
      </c>
      <c r="V525" s="62"/>
      <c r="W525" s="64">
        <v>42690</v>
      </c>
      <c r="X525" s="29">
        <f>DATE(YEAR(Table2[[#This Row],[Data attivazione]])+VLOOKUP(Table2[[#This Row],[Durata]],VALORE_DURATA,2,FALSE),MONTH(Table2[[#This Row],[Data attivazione]]),DAY(Table2[[#This Row],[Data attivazione]]))</f>
        <v>43055</v>
      </c>
      <c r="Y525" s="65"/>
      <c r="Z525" s="61"/>
      <c r="AA525" s="64" t="s">
        <v>85</v>
      </c>
      <c r="AB525" s="29" t="str">
        <f>IF(Table2[[#This Row],[Data ultimo versamento temp]]=0/1/1900,"-",Table2[[#This Row],[Data ultimo versamento temp]])</f>
        <v>-</v>
      </c>
      <c r="AC525" s="29">
        <f t="array" ref="AC525">MAX(IF(TableVersamenti[Polizza]=Table2[[#This Row],[Polizza]],TableVersamenti[Data prevista versamento],"-"))</f>
        <v>0</v>
      </c>
      <c r="AD525" s="62"/>
      <c r="AE525" s="106">
        <f>DATE(YEAR(Table2[[#This Row],[Data ultimo pagamento]]),MONTH(Table2[[#This Row],[Data ultimo pagamento]]), 1)</f>
        <v>42856</v>
      </c>
      <c r="AF525" s="106">
        <f>DATE(YEAR(Table2[[#This Row],[Data prossima scadenza]]),MONTH(Table2[[#This Row],[Data prossima scadenza]]), 1)</f>
        <v>43040</v>
      </c>
      <c r="AG525" s="33">
        <f>IFERROR(Table2[[#This Row],[Importo annuale]]*VLOOKUP(Table2[[#This Row],[Ramo]],RAMI_POLIZZA,2,FALSE),0)</f>
        <v>23.295999999999999</v>
      </c>
      <c r="AH525" s="65" t="s">
        <v>113</v>
      </c>
      <c r="AI525" s="63" t="str">
        <f>IFERROR(VLOOKUP(Table2[[#This Row],[Contraente]],Table1[[Nome/Ragione sociale]:[Checkbox selezionato]],2,FALSE),"-")</f>
        <v>SANT'ANGELO LODIGIANO</v>
      </c>
      <c r="AJ525" s="63">
        <f>IFERROR(VLOOKUP(Table2[[#This Row],[Contraente]],Table1[[Nome/Ragione sociale]:[Checkbox selezionato]],3,FALSE),"-")</f>
        <v>3451234555</v>
      </c>
      <c r="AK525" s="63">
        <f>IFERROR(VLOOKUP(Table2[[#This Row],[Contraente]],Table1[[Nome/Ragione sociale]:[Checkbox selezionato]],4,FALSE),"-")</f>
        <v>0</v>
      </c>
      <c r="AL525" s="63" t="str">
        <f>IFERROR(VLOOKUP(Table2[[#This Row],[Contraente]],Table1[[Nome/Ragione sociale]:[Checkbox selezionato]],5,FALSE),"-")</f>
        <v>ELENA (FIGLIA)</v>
      </c>
      <c r="AM525" s="62">
        <f>IFERROR(VLOOKUP(Table2[[#This Row],[Contraente]],Table1[[Nome/Ragione sociale]:[Checkbox selezionato]],6,FALSE),"-")</f>
        <v>16008</v>
      </c>
      <c r="AN525" s="63" t="str">
        <f>IFERROR(VLOOKUP(Table2[[#This Row],[Contraente]],Table1[[Nome/Ragione sociale]:[Checkbox selezionato]],7,FALSE),"-")</f>
        <v>papies@libero.it</v>
      </c>
      <c r="AO525" s="63">
        <f>IFERROR(VLOOKUP(Table2[[#This Row],[Contraente]],Table1[[Nome/Ragione sociale]:[Checkbox selezionato]],8,FALSE),"-")</f>
        <v>0</v>
      </c>
      <c r="AP525" s="63">
        <f>IFERROR(VLOOKUP(Table2[[#This Row],[Contraente]],Table1[[Nome/Ragione sociale]:[Checkbox selezionato]],10,FALSE),"-")</f>
        <v>3451234555</v>
      </c>
      <c r="AQ525" s="63" t="str">
        <f>IFERROR(VLOOKUP(Table2[[#This Row],[Contraente]],Table1[[Nome/Ragione sociale]:[Checkbox selezionato]],11,FALSE),"-")</f>
        <v>SI</v>
      </c>
      <c r="AR525" s="63" t="str">
        <f>IFERROR(VLOOKUP(Table2[[#This Row],[Contraente]],Table1[[Nome/Ragione sociale]:[Checkbox selezionato]],12,FALSE),"-")</f>
        <v>SI</v>
      </c>
    </row>
    <row r="526" spans="1:44" ht="30" hidden="1" customHeight="1" x14ac:dyDescent="0.25">
      <c r="A526" s="60" t="str">
        <f>UPPER(LEFT(Table2[[#This Row],[Contraente]],1))</f>
        <v>G</v>
      </c>
      <c r="B526" s="60" t="s">
        <v>1634</v>
      </c>
      <c r="C526" s="47" t="s">
        <v>1840</v>
      </c>
      <c r="D526" s="98" t="s">
        <v>37</v>
      </c>
      <c r="E526" s="99" t="s">
        <v>1844</v>
      </c>
      <c r="F526" s="109">
        <v>42933</v>
      </c>
      <c r="G526" s="64">
        <f>IFERROR(CALCOLASCADENZA(Table2[[#This Row],[Data attivazione]],Table2[[#This Row],[Rateizzazione]],Table2[[#This Row],[Data ultimo pagamento]],Table2[[#This Row],[Data prossima scadenza manuale]]),"-")</f>
        <v>43115</v>
      </c>
      <c r="H526" s="64" t="s">
        <v>31</v>
      </c>
      <c r="I526" s="64" t="s">
        <v>1843</v>
      </c>
      <c r="J526" s="92">
        <f>IFERROR(Table2[[#This Row],[Importo annuale]]/(12/VLOOKUP(Table2[[#This Row],[Rateizzazione]],TIPI_RATEIZZAZIONI,2,FALSE)),"-")</f>
        <v>337.84</v>
      </c>
      <c r="K526" s="69">
        <v>337.84</v>
      </c>
      <c r="L526" s="69">
        <v>675.68</v>
      </c>
      <c r="M526" s="92" t="s">
        <v>43</v>
      </c>
      <c r="N526" s="92" t="s">
        <v>52</v>
      </c>
      <c r="O526" s="67" t="s">
        <v>1631</v>
      </c>
      <c r="P526" s="92" t="s">
        <v>22</v>
      </c>
      <c r="Q526" s="60">
        <f>IFERROR(IF(12 / VLOOKUP(Table2[[#This Row],[Rateizzazione]],TIPI_RATEIZZAZIONI,2,FALSE) &gt;=1,  IF(Table2[[#This Row],[Data attivazione]] = "","-",MONTH(Table2[[#This Row],[Data attivazione]])),"-"),"-")</f>
        <v>1</v>
      </c>
      <c r="R5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5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6" s="60" t="s">
        <v>1774</v>
      </c>
      <c r="V526" s="62"/>
      <c r="W526" s="64">
        <v>42750</v>
      </c>
      <c r="X526" s="29">
        <f>DATE(YEAR(Table2[[#This Row],[Data attivazione]])+VLOOKUP(Table2[[#This Row],[Durata]],VALORE_DURATA,2,FALSE),MONTH(Table2[[#This Row],[Data attivazione]]),DAY(Table2[[#This Row],[Data attivazione]]))</f>
        <v>43115</v>
      </c>
      <c r="Y526" s="65"/>
      <c r="Z526" s="61"/>
      <c r="AA526" s="64"/>
      <c r="AB526" s="29" t="str">
        <f>IF(Table2[[#This Row],[Data ultimo versamento temp]]=0/1/1900,"-",Table2[[#This Row],[Data ultimo versamento temp]])</f>
        <v>-</v>
      </c>
      <c r="AC526" s="29">
        <f t="array" ref="AC526">MAX(IF(TableVersamenti[Polizza]=Table2[[#This Row],[Polizza]],TableVersamenti[Data prevista versamento],"-"))</f>
        <v>0</v>
      </c>
      <c r="AD526" s="62"/>
      <c r="AE526" s="105">
        <f>DATE(YEAR(Table2[[#This Row],[Data ultimo pagamento]]),MONTH(Table2[[#This Row],[Data ultimo pagamento]]), 1)</f>
        <v>42917</v>
      </c>
      <c r="AF526" s="106">
        <f>DATE(YEAR(Table2[[#This Row],[Data prossima scadenza]]),MONTH(Table2[[#This Row],[Data prossima scadenza]]), 1)</f>
        <v>43101</v>
      </c>
      <c r="AG526" s="92">
        <f>IFERROR(Table2[[#This Row],[Importo annuale]]*VLOOKUP(Table2[[#This Row],[Ramo]],RAMI_POLIZZA,2,FALSE),0)</f>
        <v>35.135359999999999</v>
      </c>
      <c r="AH526" s="65"/>
      <c r="AI526" s="63" t="str">
        <f>IFERROR(VLOOKUP(Table2[[#This Row],[Contraente]],Table1[[Nome/Ragione sociale]:[Checkbox selezionato]],2,FALSE),"-")</f>
        <v>PIEVE PORTO MORONE</v>
      </c>
      <c r="AJ526" s="63">
        <f>IFERROR(VLOOKUP(Table2[[#This Row],[Contraente]],Table1[[Nome/Ragione sociale]:[Checkbox selezionato]],3,FALSE),"-")</f>
        <v>0</v>
      </c>
      <c r="AK526" s="63">
        <f>IFERROR(VLOOKUP(Table2[[#This Row],[Contraente]],Table1[[Nome/Ragione sociale]:[Checkbox selezionato]],4,FALSE),"-")</f>
        <v>0</v>
      </c>
      <c r="AL526" s="63">
        <f>IFERROR(VLOOKUP(Table2[[#This Row],[Contraente]],Table1[[Nome/Ragione sociale]:[Checkbox selezionato]],5,FALSE),"-")</f>
        <v>0</v>
      </c>
      <c r="AM526" s="62">
        <f>IFERROR(VLOOKUP(Table2[[#This Row],[Contraente]],Table1[[Nome/Ragione sociale]:[Checkbox selezionato]],6,FALSE),"-")</f>
        <v>0</v>
      </c>
      <c r="AN526" s="63" t="str">
        <f>IFERROR(VLOOKUP(Table2[[#This Row],[Contraente]],Table1[[Nome/Ragione sociale]:[Checkbox selezionato]],7,FALSE),"-")</f>
        <v>papies@email.it</v>
      </c>
      <c r="AO526" s="63">
        <f>IFERROR(VLOOKUP(Table2[[#This Row],[Contraente]],Table1[[Nome/Ragione sociale]:[Checkbox selezionato]],8,FALSE),"-")</f>
        <v>0</v>
      </c>
      <c r="AP526" s="63">
        <f>IFERROR(VLOOKUP(Table2[[#This Row],[Contraente]],Table1[[Nome/Ragione sociale]:[Checkbox selezionato]],10,FALSE),"-")</f>
        <v>0</v>
      </c>
      <c r="AQ526" s="63" t="str">
        <f>IFERROR(VLOOKUP(Table2[[#This Row],[Contraente]],Table1[[Nome/Ragione sociale]:[Checkbox selezionato]],11,FALSE),"-")</f>
        <v>SI</v>
      </c>
      <c r="AR526" s="63" t="str">
        <f>IFERROR(VLOOKUP(Table2[[#This Row],[Contraente]],Table1[[Nome/Ragione sociale]:[Checkbox selezionato]],12,FALSE),"-")</f>
        <v>SI</v>
      </c>
    </row>
    <row r="527" spans="1:44" ht="30" hidden="1" customHeight="1" x14ac:dyDescent="0.25">
      <c r="A527" s="60" t="str">
        <f>UPPER(LEFT(Table2[[#This Row],[Contraente]],1))</f>
        <v>G</v>
      </c>
      <c r="B527" s="60" t="s">
        <v>1634</v>
      </c>
      <c r="C527" s="81" t="s">
        <v>1720</v>
      </c>
      <c r="D527" s="81" t="s">
        <v>37</v>
      </c>
      <c r="E527" s="86">
        <v>1076081</v>
      </c>
      <c r="F527" s="64">
        <v>42580</v>
      </c>
      <c r="G527" s="64" t="str">
        <f>IFERROR(CALCOLASCADENZA(Table2[[#This Row],[Data attivazione]],Table2[[#This Row],[Rateizzazione]],Table2[[#This Row],[Data ultimo pagamento]],Table2[[#This Row],[Data prossima scadenza manuale]]),"-")</f>
        <v>-</v>
      </c>
      <c r="H527" s="67" t="s">
        <v>1763</v>
      </c>
      <c r="I527" s="67" t="s">
        <v>113</v>
      </c>
      <c r="J527" s="33">
        <f>IFERROR(Table2[[#This Row],[Importo annuale]]/(12/VLOOKUP(Table2[[#This Row],[Rateizzazione]],TIPI_RATEIZZAZIONI,2,FALSE)),"-")</f>
        <v>10000</v>
      </c>
      <c r="K527" s="88"/>
      <c r="L527" s="88">
        <v>10000</v>
      </c>
      <c r="M527" s="67" t="s">
        <v>44</v>
      </c>
      <c r="N527" s="67" t="s">
        <v>52</v>
      </c>
      <c r="O527" s="27" t="s">
        <v>1631</v>
      </c>
      <c r="P527" s="33" t="s">
        <v>23</v>
      </c>
      <c r="Q5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7" s="67" t="s">
        <v>2</v>
      </c>
      <c r="V527" s="62"/>
      <c r="W527" s="64" t="e">
        <v>#VALUE!</v>
      </c>
      <c r="X52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27" s="65"/>
      <c r="Z527" s="61"/>
      <c r="AA527" s="64" t="s">
        <v>85</v>
      </c>
      <c r="AB527" s="29" t="str">
        <f>IF(Table2[[#This Row],[Data ultimo versamento temp]]=0/1/1900,"-",Table2[[#This Row],[Data ultimo versamento temp]])</f>
        <v>-</v>
      </c>
      <c r="AC527" s="29">
        <f t="array" ref="AC527">MAX(IF(TableVersamenti[Polizza]=Table2[[#This Row],[Polizza]],TableVersamenti[Data prevista versamento],"-"))</f>
        <v>0</v>
      </c>
      <c r="AD527" s="62"/>
      <c r="AE527" s="106">
        <f>DATE(YEAR(Table2[[#This Row],[Data ultimo pagamento]]),MONTH(Table2[[#This Row],[Data ultimo pagamento]]), 1)</f>
        <v>42552</v>
      </c>
      <c r="AF527" s="106" t="e">
        <f>DATE(YEAR(Table2[[#This Row],[Data prossima scadenza]]),MONTH(Table2[[#This Row],[Data prossima scadenza]]), 1)</f>
        <v>#VALUE!</v>
      </c>
      <c r="AG527" s="33">
        <f>IFERROR(Table2[[#This Row],[Importo annuale]]*VLOOKUP(Table2[[#This Row],[Ramo]],RAMI_POLIZZA,2,FALSE),0)</f>
        <v>0</v>
      </c>
      <c r="AH527" s="65" t="s">
        <v>113</v>
      </c>
      <c r="AI527" s="63" t="str">
        <f>IFERROR(VLOOKUP(Table2[[#This Row],[Contraente]],Table1[[Nome/Ragione sociale]:[Checkbox selezionato]],2,FALSE),"-")</f>
        <v>PAVIA</v>
      </c>
      <c r="AJ527" s="63">
        <f>IFERROR(VLOOKUP(Table2[[#This Row],[Contraente]],Table1[[Nome/Ragione sociale]:[Checkbox selezionato]],3,FALSE),"-")</f>
        <v>0</v>
      </c>
      <c r="AK527" s="63">
        <f>IFERROR(VLOOKUP(Table2[[#This Row],[Contraente]],Table1[[Nome/Ragione sociale]:[Checkbox selezionato]],4,FALSE),"-")</f>
        <v>0</v>
      </c>
      <c r="AL527" s="63">
        <f>IFERROR(VLOOKUP(Table2[[#This Row],[Contraente]],Table1[[Nome/Ragione sociale]:[Checkbox selezionato]],5,FALSE),"-")</f>
        <v>0</v>
      </c>
      <c r="AM527" s="62">
        <f>IFERROR(VLOOKUP(Table2[[#This Row],[Contraente]],Table1[[Nome/Ragione sociale]:[Checkbox selezionato]],6,FALSE),"-")</f>
        <v>24719</v>
      </c>
      <c r="AN527" s="63" t="str">
        <f>IFERROR(VLOOKUP(Table2[[#This Row],[Contraente]],Table1[[Nome/Ragione sociale]:[Checkbox selezionato]],7,FALSE),"-")</f>
        <v>papies@libero.it</v>
      </c>
      <c r="AO527" s="63">
        <f>IFERROR(VLOOKUP(Table2[[#This Row],[Contraente]],Table1[[Nome/Ragione sociale]:[Checkbox selezionato]],8,FALSE),"-")</f>
        <v>0</v>
      </c>
      <c r="AP527" s="63">
        <f>IFERROR(VLOOKUP(Table2[[#This Row],[Contraente]],Table1[[Nome/Ragione sociale]:[Checkbox selezionato]],10,FALSE),"-")</f>
        <v>0</v>
      </c>
      <c r="AQ527" s="63" t="str">
        <f>IFERROR(VLOOKUP(Table2[[#This Row],[Contraente]],Table1[[Nome/Ragione sociale]:[Checkbox selezionato]],11,FALSE),"-")</f>
        <v>SI</v>
      </c>
      <c r="AR527" s="63" t="str">
        <f>IFERROR(VLOOKUP(Table2[[#This Row],[Contraente]],Table1[[Nome/Ragione sociale]:[Checkbox selezionato]],12,FALSE),"-")</f>
        <v>SI</v>
      </c>
    </row>
    <row r="528" spans="1:44" ht="30" hidden="1" customHeight="1" x14ac:dyDescent="0.25">
      <c r="A528" s="60" t="str">
        <f>UPPER(LEFT(Table2[[#This Row],[Contraente]],1))</f>
        <v>G</v>
      </c>
      <c r="B528" s="60" t="s">
        <v>1634</v>
      </c>
      <c r="C528" s="81" t="s">
        <v>697</v>
      </c>
      <c r="D528" s="81" t="s">
        <v>37</v>
      </c>
      <c r="E528" s="86">
        <v>105323909</v>
      </c>
      <c r="F528" s="64">
        <v>42793</v>
      </c>
      <c r="G528" s="64">
        <f>IFERROR(CALCOLASCADENZA(Table2[[#This Row],[Data attivazione]],Table2[[#This Row],[Rateizzazione]],Table2[[#This Row],[Data ultimo pagamento]],Table2[[#This Row],[Data prossima scadenza manuale]]),"-")</f>
        <v>42960</v>
      </c>
      <c r="H528" s="67" t="s">
        <v>30</v>
      </c>
      <c r="I528" s="67" t="s">
        <v>113</v>
      </c>
      <c r="J528" s="33">
        <f>IFERROR(Table2[[#This Row],[Importo annuale]]/(12/VLOOKUP(Table2[[#This Row],[Rateizzazione]],TIPI_RATEIZZAZIONI,2,FALSE)),"-")</f>
        <v>299</v>
      </c>
      <c r="K528" s="88">
        <v>299</v>
      </c>
      <c r="L528" s="88">
        <v>598</v>
      </c>
      <c r="M528" s="67" t="s">
        <v>44</v>
      </c>
      <c r="N528" s="67" t="s">
        <v>51</v>
      </c>
      <c r="O528" s="27" t="s">
        <v>1631</v>
      </c>
      <c r="P528" s="33" t="s">
        <v>22</v>
      </c>
      <c r="Q528" s="60">
        <f>IFERROR(IF(12 / VLOOKUP(Table2[[#This Row],[Rateizzazione]],TIPI_RATEIZZAZIONI,2,FALSE) &gt;=1,  IF(Table2[[#This Row],[Data attivazione]] = "","-",MONTH(Table2[[#This Row],[Data attivazione]])),"-"),"-")</f>
        <v>8</v>
      </c>
      <c r="R5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8" s="67" t="s">
        <v>2</v>
      </c>
      <c r="V528" s="62"/>
      <c r="W528" s="64">
        <v>42595</v>
      </c>
      <c r="X528" s="29">
        <f>DATE(YEAR(Table2[[#This Row],[Data attivazione]])+VLOOKUP(Table2[[#This Row],[Durata]],VALORE_DURATA,2,FALSE),MONTH(Table2[[#This Row],[Data attivazione]]),DAY(Table2[[#This Row],[Data attivazione]]))</f>
        <v>42960</v>
      </c>
      <c r="Y528" s="65"/>
      <c r="Z528" s="61"/>
      <c r="AA528" s="64" t="s">
        <v>85</v>
      </c>
      <c r="AB528" s="29" t="str">
        <f>IF(Table2[[#This Row],[Data ultimo versamento temp]]=0/1/1900,"-",Table2[[#This Row],[Data ultimo versamento temp]])</f>
        <v>-</v>
      </c>
      <c r="AC528" s="29">
        <f t="array" ref="AC528">MAX(IF(TableVersamenti[Polizza]=Table2[[#This Row],[Polizza]],TableVersamenti[Data prevista versamento],"-"))</f>
        <v>0</v>
      </c>
      <c r="AD528" s="62"/>
      <c r="AE528" s="106">
        <f>DATE(YEAR(Table2[[#This Row],[Data ultimo pagamento]]),MONTH(Table2[[#This Row],[Data ultimo pagamento]]), 1)</f>
        <v>42767</v>
      </c>
      <c r="AF528" s="106">
        <f>DATE(YEAR(Table2[[#This Row],[Data prossima scadenza]]),MONTH(Table2[[#This Row],[Data prossima scadenza]]), 1)</f>
        <v>42948</v>
      </c>
      <c r="AG528" s="33">
        <f>IFERROR(Table2[[#This Row],[Importo annuale]]*VLOOKUP(Table2[[#This Row],[Ramo]],RAMI_POLIZZA,2,FALSE),0)</f>
        <v>68.77</v>
      </c>
      <c r="AH528" s="65" t="s">
        <v>113</v>
      </c>
      <c r="AI528" s="63" t="str">
        <f>IFERROR(VLOOKUP(Table2[[#This Row],[Contraente]],Table1[[Nome/Ragione sociale]:[Checkbox selezionato]],2,FALSE),"-")</f>
        <v>ARENA PO</v>
      </c>
      <c r="AJ528" s="63">
        <f>IFERROR(VLOOKUP(Table2[[#This Row],[Contraente]],Table1[[Nome/Ragione sociale]:[Checkbox selezionato]],3,FALSE),"-")</f>
        <v>0</v>
      </c>
      <c r="AK528" s="63">
        <f>IFERROR(VLOOKUP(Table2[[#This Row],[Contraente]],Table1[[Nome/Ragione sociale]:[Checkbox selezionato]],4,FALSE),"-")</f>
        <v>0</v>
      </c>
      <c r="AL528" s="63" t="str">
        <f>IFERROR(VLOOKUP(Table2[[#This Row],[Contraente]],Table1[[Nome/Ragione sociale]:[Checkbox selezionato]],5,FALSE),"-")</f>
        <v>GIORGIA</v>
      </c>
      <c r="AM528" s="62" t="str">
        <f>IFERROR(VLOOKUP(Table2[[#This Row],[Contraente]],Table1[[Nome/Ragione sociale]:[Checkbox selezionato]],6,FALSE),"-")</f>
        <v>-</v>
      </c>
      <c r="AN528" s="63" t="str">
        <f>IFERROR(VLOOKUP(Table2[[#This Row],[Contraente]],Table1[[Nome/Ragione sociale]:[Checkbox selezionato]],7,FALSE),"-")</f>
        <v>papies@libero.it</v>
      </c>
      <c r="AO528" s="63">
        <f>IFERROR(VLOOKUP(Table2[[#This Row],[Contraente]],Table1[[Nome/Ragione sociale]:[Checkbox selezionato]],8,FALSE),"-")</f>
        <v>0</v>
      </c>
      <c r="AP528" s="63">
        <f>IFERROR(VLOOKUP(Table2[[#This Row],[Contraente]],Table1[[Nome/Ragione sociale]:[Checkbox selezionato]],10,FALSE),"-")</f>
        <v>0</v>
      </c>
      <c r="AQ528" s="63" t="str">
        <f>IFERROR(VLOOKUP(Table2[[#This Row],[Contraente]],Table1[[Nome/Ragione sociale]:[Checkbox selezionato]],11,FALSE),"-")</f>
        <v>SI</v>
      </c>
      <c r="AR528" s="63" t="str">
        <f>IFERROR(VLOOKUP(Table2[[#This Row],[Contraente]],Table1[[Nome/Ragione sociale]:[Checkbox selezionato]],12,FALSE),"-")</f>
        <v>SI</v>
      </c>
    </row>
    <row r="529" spans="1:44" ht="30" hidden="1" customHeight="1" x14ac:dyDescent="0.25">
      <c r="A529" s="60" t="str">
        <f>UPPER(LEFT(Table2[[#This Row],[Contraente]],1))</f>
        <v>G</v>
      </c>
      <c r="B529" s="60" t="s">
        <v>1634</v>
      </c>
      <c r="C529" s="81" t="s">
        <v>684</v>
      </c>
      <c r="D529" s="81" t="s">
        <v>37</v>
      </c>
      <c r="E529" s="86">
        <v>104114736</v>
      </c>
      <c r="F529" s="64">
        <v>42256</v>
      </c>
      <c r="G529" s="64">
        <f>IFERROR(CALCOLASCADENZA(Table2[[#This Row],[Data attivazione]],Table2[[#This Row],[Rateizzazione]],Table2[[#This Row],[Data ultimo pagamento]],Table2[[#This Row],[Data prossima scadenza manuale]]),"-")</f>
        <v>693778</v>
      </c>
      <c r="H529" s="67" t="s">
        <v>31</v>
      </c>
      <c r="I529" s="67" t="s">
        <v>1331</v>
      </c>
      <c r="J529" s="33">
        <f>IFERROR(Table2[[#This Row],[Importo annuale]]/(12/VLOOKUP(Table2[[#This Row],[Rateizzazione]],TIPI_RATEIZZAZIONI,2,FALSE)),"-")</f>
        <v>188</v>
      </c>
      <c r="K529" s="88"/>
      <c r="L529" s="88">
        <v>376</v>
      </c>
      <c r="M529" s="67" t="s">
        <v>43</v>
      </c>
      <c r="N529" s="67" t="s">
        <v>52</v>
      </c>
      <c r="O529" s="27" t="s">
        <v>1631</v>
      </c>
      <c r="P529" s="33" t="s">
        <v>22</v>
      </c>
      <c r="Q529" s="60">
        <f>IFERROR(IF(12 / VLOOKUP(Table2[[#This Row],[Rateizzazione]],TIPI_RATEIZZAZIONI,2,FALSE) &gt;=1,  IF(Table2[[#This Row],[Data attivazione]] = "","-",MONTH(Table2[[#This Row],[Data attivazione]])),"-"),"-")</f>
        <v>12</v>
      </c>
      <c r="R5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9" s="67" t="s">
        <v>133</v>
      </c>
      <c r="V529" s="62"/>
      <c r="W529" s="64">
        <v>693597</v>
      </c>
      <c r="X529" s="29">
        <f>DATE(YEAR(Table2[[#This Row],[Data attivazione]])+VLOOKUP(Table2[[#This Row],[Durata]],VALORE_DURATA,2,FALSE),MONTH(Table2[[#This Row],[Data attivazione]]),DAY(Table2[[#This Row],[Data attivazione]]))</f>
        <v>693962</v>
      </c>
      <c r="Y529" s="65"/>
      <c r="Z529" s="61"/>
      <c r="AA529" s="64" t="s">
        <v>88</v>
      </c>
      <c r="AB529" s="29" t="str">
        <f>IF(Table2[[#This Row],[Data ultimo versamento temp]]=0/1/1900,"-",Table2[[#This Row],[Data ultimo versamento temp]])</f>
        <v>-</v>
      </c>
      <c r="AC529" s="29">
        <f t="array" ref="AC529">MAX(IF(TableVersamenti[Polizza]=Table2[[#This Row],[Polizza]],TableVersamenti[Data prevista versamento],"-"))</f>
        <v>0</v>
      </c>
      <c r="AD529" s="62"/>
      <c r="AE529" s="106">
        <f>DATE(YEAR(Table2[[#This Row],[Data ultimo pagamento]]),MONTH(Table2[[#This Row],[Data ultimo pagamento]]), 1)</f>
        <v>42248</v>
      </c>
      <c r="AF529" s="106">
        <f>DATE(YEAR(Table2[[#This Row],[Data prossima scadenza]]),MONTH(Table2[[#This Row],[Data prossima scadenza]]), 1)</f>
        <v>693749</v>
      </c>
      <c r="AG529" s="33">
        <f>IFERROR(Table2[[#This Row],[Importo annuale]]*VLOOKUP(Table2[[#This Row],[Ramo]],RAMI_POLIZZA,2,FALSE),0)</f>
        <v>19.552</v>
      </c>
      <c r="AH529" s="65" t="s">
        <v>113</v>
      </c>
      <c r="AI529" s="63" t="str">
        <f>IFERROR(VLOOKUP(Table2[[#This Row],[Contraente]],Table1[[Nome/Ragione sociale]:[Checkbox selezionato]],2,FALSE),"-")</f>
        <v>BRONI</v>
      </c>
      <c r="AJ529" s="63" t="str">
        <f>IFERROR(VLOOKUP(Table2[[#This Row],[Contraente]],Table1[[Nome/Ragione sociale]:[Checkbox selezionato]],3,FALSE),"-")</f>
        <v>-</v>
      </c>
      <c r="AK529" s="63">
        <f>IFERROR(VLOOKUP(Table2[[#This Row],[Contraente]],Table1[[Nome/Ragione sociale]:[Checkbox selezionato]],4,FALSE),"-")</f>
        <v>0</v>
      </c>
      <c r="AL529" s="63">
        <f>IFERROR(VLOOKUP(Table2[[#This Row],[Contraente]],Table1[[Nome/Ragione sociale]:[Checkbox selezionato]],5,FALSE),"-")</f>
        <v>0</v>
      </c>
      <c r="AM529" s="62">
        <f>IFERROR(VLOOKUP(Table2[[#This Row],[Contraente]],Table1[[Nome/Ragione sociale]:[Checkbox selezionato]],6,FALSE),"-")</f>
        <v>30840</v>
      </c>
      <c r="AN529" s="63" t="str">
        <f>IFERROR(VLOOKUP(Table2[[#This Row],[Contraente]],Table1[[Nome/Ragione sociale]:[Checkbox selezionato]],7,FALSE),"-")</f>
        <v>papies@email.it</v>
      </c>
      <c r="AO529" s="63">
        <f>IFERROR(VLOOKUP(Table2[[#This Row],[Contraente]],Table1[[Nome/Ragione sociale]:[Checkbox selezionato]],8,FALSE),"-")</f>
        <v>0</v>
      </c>
      <c r="AP529" s="63" t="str">
        <f>IFERROR(VLOOKUP(Table2[[#This Row],[Contraente]],Table1[[Nome/Ragione sociale]:[Checkbox selezionato]],10,FALSE),"-")</f>
        <v>-</v>
      </c>
      <c r="AQ529" s="63" t="str">
        <f>IFERROR(VLOOKUP(Table2[[#This Row],[Contraente]],Table1[[Nome/Ragione sociale]:[Checkbox selezionato]],11,FALSE),"-")</f>
        <v>SI</v>
      </c>
      <c r="AR529" s="63" t="str">
        <f>IFERROR(VLOOKUP(Table2[[#This Row],[Contraente]],Table1[[Nome/Ragione sociale]:[Checkbox selezionato]],12,FALSE),"-")</f>
        <v>SI</v>
      </c>
    </row>
    <row r="530" spans="1:44" ht="30" hidden="1" customHeight="1" x14ac:dyDescent="0.25">
      <c r="A530" s="60" t="str">
        <f>UPPER(LEFT(Table2[[#This Row],[Contraente]],1))</f>
        <v>G</v>
      </c>
      <c r="B530" s="60" t="s">
        <v>1634</v>
      </c>
      <c r="C530" s="81" t="s">
        <v>685</v>
      </c>
      <c r="D530" s="81" t="s">
        <v>37</v>
      </c>
      <c r="E530" s="86">
        <v>104212295</v>
      </c>
      <c r="F530" s="64">
        <v>42886</v>
      </c>
      <c r="G530" s="64">
        <f>IFERROR(CALCOLASCADENZA(Table2[[#This Row],[Data attivazione]],Table2[[#This Row],[Rateizzazione]],Table2[[#This Row],[Data ultimo pagamento]],Table2[[#This Row],[Data prossima scadenza manuale]]),"-")</f>
        <v>43004</v>
      </c>
      <c r="H530" s="67" t="s">
        <v>30</v>
      </c>
      <c r="I530" s="67" t="s">
        <v>113</v>
      </c>
      <c r="J530" s="33">
        <f>IFERROR(Table2[[#This Row],[Importo annuale]]/(12/VLOOKUP(Table2[[#This Row],[Rateizzazione]],TIPI_RATEIZZAZIONI,2,FALSE)),"-")</f>
        <v>130</v>
      </c>
      <c r="K530" s="88">
        <v>260</v>
      </c>
      <c r="L530" s="88">
        <v>260</v>
      </c>
      <c r="M530" s="67" t="s">
        <v>43</v>
      </c>
      <c r="N530" s="67" t="s">
        <v>51</v>
      </c>
      <c r="O530" s="27" t="s">
        <v>1631</v>
      </c>
      <c r="P530" s="33" t="s">
        <v>22</v>
      </c>
      <c r="Q530" s="60">
        <f>IFERROR(IF(12 / VLOOKUP(Table2[[#This Row],[Rateizzazione]],TIPI_RATEIZZAZIONI,2,FALSE) &gt;=1,  IF(Table2[[#This Row],[Data attivazione]] = "","-",MONTH(Table2[[#This Row],[Data attivazione]])),"-"),"-")</f>
        <v>9</v>
      </c>
      <c r="R5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0" s="67" t="s">
        <v>133</v>
      </c>
      <c r="V530" s="62"/>
      <c r="W530" s="64">
        <v>42639</v>
      </c>
      <c r="X530" s="29">
        <f>DATE(YEAR(Table2[[#This Row],[Data attivazione]])+VLOOKUP(Table2[[#This Row],[Durata]],VALORE_DURATA,2,FALSE),MONTH(Table2[[#This Row],[Data attivazione]]),DAY(Table2[[#This Row],[Data attivazione]]))</f>
        <v>43004</v>
      </c>
      <c r="Y530" s="65"/>
      <c r="Z530" s="61"/>
      <c r="AA530" s="64" t="s">
        <v>85</v>
      </c>
      <c r="AB530" s="29" t="str">
        <f>IF(Table2[[#This Row],[Data ultimo versamento temp]]=0/1/1900,"-",Table2[[#This Row],[Data ultimo versamento temp]])</f>
        <v>-</v>
      </c>
      <c r="AC530" s="29">
        <f t="array" ref="AC530">MAX(IF(TableVersamenti[Polizza]=Table2[[#This Row],[Polizza]],TableVersamenti[Data prevista versamento],"-"))</f>
        <v>0</v>
      </c>
      <c r="AD530" s="62"/>
      <c r="AE530" s="106">
        <f>DATE(YEAR(Table2[[#This Row],[Data ultimo pagamento]]),MONTH(Table2[[#This Row],[Data ultimo pagamento]]), 1)</f>
        <v>42856</v>
      </c>
      <c r="AF530" s="106">
        <f>DATE(YEAR(Table2[[#This Row],[Data prossima scadenza]]),MONTH(Table2[[#This Row],[Data prossima scadenza]]), 1)</f>
        <v>42979</v>
      </c>
      <c r="AG530" s="33">
        <f>IFERROR(Table2[[#This Row],[Importo annuale]]*VLOOKUP(Table2[[#This Row],[Ramo]],RAMI_POLIZZA,2,FALSE),0)</f>
        <v>29.900000000000002</v>
      </c>
      <c r="AH530" s="65" t="s">
        <v>113</v>
      </c>
      <c r="AI530" s="63" t="str">
        <f>IFERROR(VLOOKUP(Table2[[#This Row],[Contraente]],Table1[[Nome/Ragione sociale]:[Checkbox selezionato]],2,FALSE),"-")</f>
        <v>BRONI</v>
      </c>
      <c r="AJ530" s="63" t="str">
        <f>IFERROR(VLOOKUP(Table2[[#This Row],[Contraente]],Table1[[Nome/Ragione sociale]:[Checkbox selezionato]],3,FALSE),"-")</f>
        <v>-</v>
      </c>
      <c r="AK530" s="63">
        <f>IFERROR(VLOOKUP(Table2[[#This Row],[Contraente]],Table1[[Nome/Ragione sociale]:[Checkbox selezionato]],4,FALSE),"-")</f>
        <v>0</v>
      </c>
      <c r="AL530" s="63">
        <f>IFERROR(VLOOKUP(Table2[[#This Row],[Contraente]],Table1[[Nome/Ragione sociale]:[Checkbox selezionato]],5,FALSE),"-")</f>
        <v>0</v>
      </c>
      <c r="AM530" s="62">
        <f>IFERROR(VLOOKUP(Table2[[#This Row],[Contraente]],Table1[[Nome/Ragione sociale]:[Checkbox selezionato]],6,FALSE),"-")</f>
        <v>21246</v>
      </c>
      <c r="AN530" s="63" t="str">
        <f>IFERROR(VLOOKUP(Table2[[#This Row],[Contraente]],Table1[[Nome/Ragione sociale]:[Checkbox selezionato]],7,FALSE),"-")</f>
        <v>papies@libero.it</v>
      </c>
      <c r="AO530" s="63">
        <f>IFERROR(VLOOKUP(Table2[[#This Row],[Contraente]],Table1[[Nome/Ragione sociale]:[Checkbox selezionato]],8,FALSE),"-")</f>
        <v>0</v>
      </c>
      <c r="AP530" s="63" t="str">
        <f>IFERROR(VLOOKUP(Table2[[#This Row],[Contraente]],Table1[[Nome/Ragione sociale]:[Checkbox selezionato]],10,FALSE),"-")</f>
        <v>-</v>
      </c>
      <c r="AQ530" s="63" t="str">
        <f>IFERROR(VLOOKUP(Table2[[#This Row],[Contraente]],Table1[[Nome/Ragione sociale]:[Checkbox selezionato]],11,FALSE),"-")</f>
        <v>SI</v>
      </c>
      <c r="AR530" s="63" t="str">
        <f>IFERROR(VLOOKUP(Table2[[#This Row],[Contraente]],Table1[[Nome/Ragione sociale]:[Checkbox selezionato]],12,FALSE),"-")</f>
        <v>SI</v>
      </c>
    </row>
    <row r="531" spans="1:44" ht="30" hidden="1" customHeight="1" x14ac:dyDescent="0.25">
      <c r="A531" s="60" t="str">
        <f>UPPER(LEFT(Table2[[#This Row],[Contraente]],1))</f>
        <v>G</v>
      </c>
      <c r="B531" s="60" t="s">
        <v>1634</v>
      </c>
      <c r="C531" s="81" t="s">
        <v>681</v>
      </c>
      <c r="D531" s="81" t="s">
        <v>37</v>
      </c>
      <c r="E531" s="86">
        <v>106122035</v>
      </c>
      <c r="F531" s="64">
        <v>42857</v>
      </c>
      <c r="G531" s="64">
        <f>IFERROR(CALCOLASCADENZA(Table2[[#This Row],[Data attivazione]],Table2[[#This Row],[Rateizzazione]],Table2[[#This Row],[Data ultimo pagamento]],Table2[[#This Row],[Data prossima scadenza manuale]]),"-")</f>
        <v>43015</v>
      </c>
      <c r="H531" s="67" t="s">
        <v>31</v>
      </c>
      <c r="I531" s="67" t="s">
        <v>1330</v>
      </c>
      <c r="J531" s="33">
        <f>IFERROR(Table2[[#This Row],[Importo annuale]]/(12/VLOOKUP(Table2[[#This Row],[Rateizzazione]],TIPI_RATEIZZAZIONI,2,FALSE)),"-")</f>
        <v>190</v>
      </c>
      <c r="K531" s="88">
        <v>190</v>
      </c>
      <c r="L531" s="88">
        <v>380</v>
      </c>
      <c r="M531" s="67" t="s">
        <v>43</v>
      </c>
      <c r="N531" s="67" t="s">
        <v>51</v>
      </c>
      <c r="O531" s="27" t="s">
        <v>1631</v>
      </c>
      <c r="P531" s="33" t="s">
        <v>22</v>
      </c>
      <c r="Q531" s="60">
        <f>IFERROR(IF(12 / VLOOKUP(Table2[[#This Row],[Rateizzazione]],TIPI_RATEIZZAZIONI,2,FALSE) &gt;=1,  IF(Table2[[#This Row],[Data attivazione]] = "","-",MONTH(Table2[[#This Row],[Data attivazione]])),"-"),"-")</f>
        <v>10</v>
      </c>
      <c r="R5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1" s="67" t="s">
        <v>2</v>
      </c>
      <c r="V531" s="62"/>
      <c r="W531" s="64">
        <v>42650</v>
      </c>
      <c r="X531" s="29">
        <f>DATE(YEAR(Table2[[#This Row],[Data attivazione]])+VLOOKUP(Table2[[#This Row],[Durata]],VALORE_DURATA,2,FALSE),MONTH(Table2[[#This Row],[Data attivazione]]),DAY(Table2[[#This Row],[Data attivazione]]))</f>
        <v>43015</v>
      </c>
      <c r="Y531" s="65"/>
      <c r="Z531" s="61"/>
      <c r="AA531" s="64" t="s">
        <v>85</v>
      </c>
      <c r="AB531" s="29" t="str">
        <f>IF(Table2[[#This Row],[Data ultimo versamento temp]]=0/1/1900,"-",Table2[[#This Row],[Data ultimo versamento temp]])</f>
        <v>-</v>
      </c>
      <c r="AC531" s="29">
        <f t="array" ref="AC531">MAX(IF(TableVersamenti[Polizza]=Table2[[#This Row],[Polizza]],TableVersamenti[Data prevista versamento],"-"))</f>
        <v>0</v>
      </c>
      <c r="AD531" s="62"/>
      <c r="AE531" s="106">
        <f>DATE(YEAR(Table2[[#This Row],[Data ultimo pagamento]]),MONTH(Table2[[#This Row],[Data ultimo pagamento]]), 1)</f>
        <v>42856</v>
      </c>
      <c r="AF531" s="106">
        <f>DATE(YEAR(Table2[[#This Row],[Data prossima scadenza]]),MONTH(Table2[[#This Row],[Data prossima scadenza]]), 1)</f>
        <v>43009</v>
      </c>
      <c r="AG531" s="33">
        <f>IFERROR(Table2[[#This Row],[Importo annuale]]*VLOOKUP(Table2[[#This Row],[Ramo]],RAMI_POLIZZA,2,FALSE),0)</f>
        <v>19.759999999999998</v>
      </c>
      <c r="AH531" s="65" t="s">
        <v>113</v>
      </c>
      <c r="AI531" s="63" t="str">
        <f>IFERROR(VLOOKUP(Table2[[#This Row],[Contraente]],Table1[[Nome/Ragione sociale]:[Checkbox selezionato]],2,FALSE),"-")</f>
        <v>SIZIANO</v>
      </c>
      <c r="AJ531" s="63">
        <f>IFERROR(VLOOKUP(Table2[[#This Row],[Contraente]],Table1[[Nome/Ragione sociale]:[Checkbox selezionato]],3,FALSE),"-")</f>
        <v>3469864961</v>
      </c>
      <c r="AK531" s="63">
        <f>IFERROR(VLOOKUP(Table2[[#This Row],[Contraente]],Table1[[Nome/Ragione sociale]:[Checkbox selezionato]],4,FALSE),"-")</f>
        <v>0</v>
      </c>
      <c r="AL531" s="63" t="str">
        <f>IFERROR(VLOOKUP(Table2[[#This Row],[Contraente]],Table1[[Nome/Ragione sociale]:[Checkbox selezionato]],5,FALSE),"-")</f>
        <v>DANIELE FRANZINI</v>
      </c>
      <c r="AM531" s="62">
        <f>IFERROR(VLOOKUP(Table2[[#This Row],[Contraente]],Table1[[Nome/Ragione sociale]:[Checkbox selezionato]],6,FALSE),"-")</f>
        <v>23208</v>
      </c>
      <c r="AN531" s="63" t="str">
        <f>IFERROR(VLOOKUP(Table2[[#This Row],[Contraente]],Table1[[Nome/Ragione sociale]:[Checkbox selezionato]],7,FALSE),"-")</f>
        <v>papies@libero.it</v>
      </c>
      <c r="AO531" s="63">
        <f>IFERROR(VLOOKUP(Table2[[#This Row],[Contraente]],Table1[[Nome/Ragione sociale]:[Checkbox selezionato]],8,FALSE),"-")</f>
        <v>0</v>
      </c>
      <c r="AP531" s="63">
        <f>IFERROR(VLOOKUP(Table2[[#This Row],[Contraente]],Table1[[Nome/Ragione sociale]:[Checkbox selezionato]],10,FALSE),"-")</f>
        <v>3469864961</v>
      </c>
      <c r="AQ531" s="63" t="str">
        <f>IFERROR(VLOOKUP(Table2[[#This Row],[Contraente]],Table1[[Nome/Ragione sociale]:[Checkbox selezionato]],11,FALSE),"-")</f>
        <v>SI</v>
      </c>
      <c r="AR531" s="63" t="str">
        <f>IFERROR(VLOOKUP(Table2[[#This Row],[Contraente]],Table1[[Nome/Ragione sociale]:[Checkbox selezionato]],12,FALSE),"-")</f>
        <v>SI</v>
      </c>
    </row>
    <row r="532" spans="1:44" ht="30" hidden="1" customHeight="1" x14ac:dyDescent="0.25">
      <c r="A532" s="60" t="str">
        <f>UPPER(LEFT(Table2[[#This Row],[Contraente]],1))</f>
        <v>G</v>
      </c>
      <c r="B532" s="60" t="s">
        <v>1634</v>
      </c>
      <c r="C532" s="81" t="s">
        <v>699</v>
      </c>
      <c r="D532" s="81" t="s">
        <v>37</v>
      </c>
      <c r="E532" s="86">
        <v>105070056</v>
      </c>
      <c r="F532" s="64">
        <v>42339</v>
      </c>
      <c r="G532" s="64">
        <f>IFERROR(CALCOLASCADENZA(Table2[[#This Row],[Data attivazione]],Table2[[#This Row],[Rateizzazione]],Table2[[#This Row],[Data ultimo pagamento]],Table2[[#This Row],[Data prossima scadenza manuale]]),"-")</f>
        <v>42692</v>
      </c>
      <c r="H532" s="67" t="s">
        <v>31</v>
      </c>
      <c r="I532" s="67" t="s">
        <v>1338</v>
      </c>
      <c r="J532" s="33">
        <f>IFERROR(Table2[[#This Row],[Importo annuale]]/(12/VLOOKUP(Table2[[#This Row],[Rateizzazione]],TIPI_RATEIZZAZIONI,2,FALSE)),"-")</f>
        <v>360</v>
      </c>
      <c r="K532" s="88"/>
      <c r="L532" s="88">
        <v>360</v>
      </c>
      <c r="M532" s="67" t="s">
        <v>43</v>
      </c>
      <c r="N532" s="67" t="s">
        <v>51</v>
      </c>
      <c r="O532" s="27" t="s">
        <v>1631</v>
      </c>
      <c r="P532" s="33" t="s">
        <v>23</v>
      </c>
      <c r="Q532" s="60">
        <f>IFERROR(IF(12 / VLOOKUP(Table2[[#This Row],[Rateizzazione]],TIPI_RATEIZZAZIONI,2,FALSE) &gt;=1,  IF(Table2[[#This Row],[Data attivazione]] = "","-",MONTH(Table2[[#This Row],[Data attivazione]])),"-"),"-")</f>
        <v>11</v>
      </c>
      <c r="R5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2" s="67" t="s">
        <v>2</v>
      </c>
      <c r="V532" s="62"/>
      <c r="W532" s="64">
        <v>42326</v>
      </c>
      <c r="X532" s="29">
        <f>DATE(YEAR(Table2[[#This Row],[Data attivazione]])+VLOOKUP(Table2[[#This Row],[Durata]],VALORE_DURATA,2,FALSE),MONTH(Table2[[#This Row],[Data attivazione]]),DAY(Table2[[#This Row],[Data attivazione]]))</f>
        <v>42692</v>
      </c>
      <c r="Y532" s="65"/>
      <c r="Z532" s="61"/>
      <c r="AA532" s="64" t="s">
        <v>88</v>
      </c>
      <c r="AB532" s="29" t="str">
        <f>IF(Table2[[#This Row],[Data ultimo versamento temp]]=0/1/1900,"-",Table2[[#This Row],[Data ultimo versamento temp]])</f>
        <v>-</v>
      </c>
      <c r="AC532" s="29">
        <f t="array" ref="AC532">MAX(IF(TableVersamenti[Polizza]=Table2[[#This Row],[Polizza]],TableVersamenti[Data prevista versamento],"-"))</f>
        <v>0</v>
      </c>
      <c r="AD532" s="62"/>
      <c r="AE532" s="106">
        <f>DATE(YEAR(Table2[[#This Row],[Data ultimo pagamento]]),MONTH(Table2[[#This Row],[Data ultimo pagamento]]), 1)</f>
        <v>42339</v>
      </c>
      <c r="AF532" s="106">
        <f>DATE(YEAR(Table2[[#This Row],[Data prossima scadenza]]),MONTH(Table2[[#This Row],[Data prossima scadenza]]), 1)</f>
        <v>42675</v>
      </c>
      <c r="AG532" s="33">
        <f>IFERROR(Table2[[#This Row],[Importo annuale]]*VLOOKUP(Table2[[#This Row],[Ramo]],RAMI_POLIZZA,2,FALSE),0)</f>
        <v>18.72</v>
      </c>
      <c r="AH532" s="65" t="s">
        <v>113</v>
      </c>
      <c r="AI532" s="63" t="str">
        <f>IFERROR(VLOOKUP(Table2[[#This Row],[Contraente]],Table1[[Nome/Ragione sociale]:[Checkbox selezionato]],2,FALSE),"-")</f>
        <v>BELGIOIOSO</v>
      </c>
      <c r="AJ532" s="63">
        <f>IFERROR(VLOOKUP(Table2[[#This Row],[Contraente]],Table1[[Nome/Ragione sociale]:[Checkbox selezionato]],3,FALSE),"-")</f>
        <v>3398729787</v>
      </c>
      <c r="AK532" s="63">
        <f>IFERROR(VLOOKUP(Table2[[#This Row],[Contraente]],Table1[[Nome/Ragione sociale]:[Checkbox selezionato]],4,FALSE),"-")</f>
        <v>0</v>
      </c>
      <c r="AL532" s="63" t="str">
        <f>IFERROR(VLOOKUP(Table2[[#This Row],[Contraente]],Table1[[Nome/Ragione sociale]:[Checkbox selezionato]],5,FALSE),"-")</f>
        <v>DOMENICO</v>
      </c>
      <c r="AM532" s="62">
        <f>IFERROR(VLOOKUP(Table2[[#This Row],[Contraente]],Table1[[Nome/Ragione sociale]:[Checkbox selezionato]],6,FALSE),"-")</f>
        <v>26680</v>
      </c>
      <c r="AN532" s="63" t="str">
        <f>IFERROR(VLOOKUP(Table2[[#This Row],[Contraente]],Table1[[Nome/Ragione sociale]:[Checkbox selezionato]],7,FALSE),"-")</f>
        <v>papies@email.it</v>
      </c>
      <c r="AO532" s="63">
        <f>IFERROR(VLOOKUP(Table2[[#This Row],[Contraente]],Table1[[Nome/Ragione sociale]:[Checkbox selezionato]],8,FALSE),"-")</f>
        <v>0</v>
      </c>
      <c r="AP532" s="63">
        <f>IFERROR(VLOOKUP(Table2[[#This Row],[Contraente]],Table1[[Nome/Ragione sociale]:[Checkbox selezionato]],10,FALSE),"-")</f>
        <v>3398729787</v>
      </c>
      <c r="AQ532" s="63" t="str">
        <f>IFERROR(VLOOKUP(Table2[[#This Row],[Contraente]],Table1[[Nome/Ragione sociale]:[Checkbox selezionato]],11,FALSE),"-")</f>
        <v>SI</v>
      </c>
      <c r="AR532" s="63" t="str">
        <f>IFERROR(VLOOKUP(Table2[[#This Row],[Contraente]],Table1[[Nome/Ragione sociale]:[Checkbox selezionato]],12,FALSE),"-")</f>
        <v>SI</v>
      </c>
    </row>
    <row r="533" spans="1:44" ht="30" hidden="1" customHeight="1" x14ac:dyDescent="0.25">
      <c r="A533" s="60" t="str">
        <f>UPPER(LEFT(Table2[[#This Row],[Contraente]],1))</f>
        <v>G</v>
      </c>
      <c r="B533" s="60" t="s">
        <v>1634</v>
      </c>
      <c r="C533" s="81" t="s">
        <v>699</v>
      </c>
      <c r="D533" s="81" t="s">
        <v>37</v>
      </c>
      <c r="E533" s="86">
        <v>104764390</v>
      </c>
      <c r="F533" s="64">
        <v>42429</v>
      </c>
      <c r="G533" s="64">
        <f>IFERROR(CALCOLASCADENZA(Table2[[#This Row],[Data attivazione]],Table2[[#This Row],[Rateizzazione]],Table2[[#This Row],[Data ultimo pagamento]],Table2[[#This Row],[Data prossima scadenza manuale]]),"-")</f>
        <v>42608</v>
      </c>
      <c r="H533" s="67" t="s">
        <v>31</v>
      </c>
      <c r="I533" s="67" t="s">
        <v>1337</v>
      </c>
      <c r="J533" s="33">
        <f>IFERROR(Table2[[#This Row],[Importo annuale]]/(12/VLOOKUP(Table2[[#This Row],[Rateizzazione]],TIPI_RATEIZZAZIONI,2,FALSE)),"-")</f>
        <v>445</v>
      </c>
      <c r="K533" s="88"/>
      <c r="L533" s="88">
        <v>890</v>
      </c>
      <c r="M533" s="67" t="s">
        <v>43</v>
      </c>
      <c r="N533" s="67" t="s">
        <v>52</v>
      </c>
      <c r="O533" s="27" t="s">
        <v>1631</v>
      </c>
      <c r="P533" s="33" t="s">
        <v>22</v>
      </c>
      <c r="Q533" s="60">
        <f>IFERROR(IF(12 / VLOOKUP(Table2[[#This Row],[Rateizzazione]],TIPI_RATEIZZAZIONI,2,FALSE) &gt;=1,  IF(Table2[[#This Row],[Data attivazione]] = "","-",MONTH(Table2[[#This Row],[Data attivazione]])),"-"),"-")</f>
        <v>8</v>
      </c>
      <c r="R5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3" s="67" t="s">
        <v>2</v>
      </c>
      <c r="V533" s="62"/>
      <c r="W533" s="64">
        <v>42242</v>
      </c>
      <c r="X533" s="29">
        <f>DATE(YEAR(Table2[[#This Row],[Data attivazione]])+VLOOKUP(Table2[[#This Row],[Durata]],VALORE_DURATA,2,FALSE),MONTH(Table2[[#This Row],[Data attivazione]]),DAY(Table2[[#This Row],[Data attivazione]]))</f>
        <v>42608</v>
      </c>
      <c r="Y533" s="65"/>
      <c r="Z533" s="61"/>
      <c r="AA533" s="64" t="s">
        <v>88</v>
      </c>
      <c r="AB533" s="29" t="str">
        <f>IF(Table2[[#This Row],[Data ultimo versamento temp]]=0/1/1900,"-",Table2[[#This Row],[Data ultimo versamento temp]])</f>
        <v>-</v>
      </c>
      <c r="AC533" s="29">
        <f t="array" ref="AC533">MAX(IF(TableVersamenti[Polizza]=Table2[[#This Row],[Polizza]],TableVersamenti[Data prevista versamento],"-"))</f>
        <v>0</v>
      </c>
      <c r="AD533" s="62"/>
      <c r="AE533" s="106">
        <f>DATE(YEAR(Table2[[#This Row],[Data ultimo pagamento]]),MONTH(Table2[[#This Row],[Data ultimo pagamento]]), 1)</f>
        <v>42401</v>
      </c>
      <c r="AF533" s="106">
        <f>DATE(YEAR(Table2[[#This Row],[Data prossima scadenza]]),MONTH(Table2[[#This Row],[Data prossima scadenza]]), 1)</f>
        <v>42583</v>
      </c>
      <c r="AG533" s="33">
        <f>IFERROR(Table2[[#This Row],[Importo annuale]]*VLOOKUP(Table2[[#This Row],[Ramo]],RAMI_POLIZZA,2,FALSE),0)</f>
        <v>46.28</v>
      </c>
      <c r="AH533" s="65" t="s">
        <v>113</v>
      </c>
      <c r="AI533" s="63" t="str">
        <f>IFERROR(VLOOKUP(Table2[[#This Row],[Contraente]],Table1[[Nome/Ragione sociale]:[Checkbox selezionato]],2,FALSE),"-")</f>
        <v>BELGIOIOSO</v>
      </c>
      <c r="AJ533" s="63">
        <f>IFERROR(VLOOKUP(Table2[[#This Row],[Contraente]],Table1[[Nome/Ragione sociale]:[Checkbox selezionato]],3,FALSE),"-")</f>
        <v>3398729787</v>
      </c>
      <c r="AK533" s="63">
        <f>IFERROR(VLOOKUP(Table2[[#This Row],[Contraente]],Table1[[Nome/Ragione sociale]:[Checkbox selezionato]],4,FALSE),"-")</f>
        <v>0</v>
      </c>
      <c r="AL533" s="63" t="str">
        <f>IFERROR(VLOOKUP(Table2[[#This Row],[Contraente]],Table1[[Nome/Ragione sociale]:[Checkbox selezionato]],5,FALSE),"-")</f>
        <v>DOMENICO</v>
      </c>
      <c r="AM533" s="62">
        <f>IFERROR(VLOOKUP(Table2[[#This Row],[Contraente]],Table1[[Nome/Ragione sociale]:[Checkbox selezionato]],6,FALSE),"-")</f>
        <v>26680</v>
      </c>
      <c r="AN533" s="63" t="str">
        <f>IFERROR(VLOOKUP(Table2[[#This Row],[Contraente]],Table1[[Nome/Ragione sociale]:[Checkbox selezionato]],7,FALSE),"-")</f>
        <v>papies@email.it</v>
      </c>
      <c r="AO533" s="63">
        <f>IFERROR(VLOOKUP(Table2[[#This Row],[Contraente]],Table1[[Nome/Ragione sociale]:[Checkbox selezionato]],8,FALSE),"-")</f>
        <v>0</v>
      </c>
      <c r="AP533" s="63">
        <f>IFERROR(VLOOKUP(Table2[[#This Row],[Contraente]],Table1[[Nome/Ragione sociale]:[Checkbox selezionato]],10,FALSE),"-")</f>
        <v>3398729787</v>
      </c>
      <c r="AQ533" s="63" t="str">
        <f>IFERROR(VLOOKUP(Table2[[#This Row],[Contraente]],Table1[[Nome/Ragione sociale]:[Checkbox selezionato]],11,FALSE),"-")</f>
        <v>SI</v>
      </c>
      <c r="AR533" s="63" t="str">
        <f>IFERROR(VLOOKUP(Table2[[#This Row],[Contraente]],Table1[[Nome/Ragione sociale]:[Checkbox selezionato]],12,FALSE),"-")</f>
        <v>SI</v>
      </c>
    </row>
    <row r="534" spans="1:44" ht="30" hidden="1" customHeight="1" x14ac:dyDescent="0.25">
      <c r="A534" s="60" t="str">
        <f>UPPER(LEFT(Table2[[#This Row],[Contraente]],1))</f>
        <v>G</v>
      </c>
      <c r="B534" s="60" t="s">
        <v>1634</v>
      </c>
      <c r="C534" s="81" t="s">
        <v>699</v>
      </c>
      <c r="D534" s="81" t="s">
        <v>37</v>
      </c>
      <c r="E534" s="86">
        <v>104764332</v>
      </c>
      <c r="F534" s="64">
        <v>42429</v>
      </c>
      <c r="G534" s="64">
        <f>IFERROR(CALCOLASCADENZA(Table2[[#This Row],[Data attivazione]],Table2[[#This Row],[Rateizzazione]],Table2[[#This Row],[Data ultimo pagamento]],Table2[[#This Row],[Data prossima scadenza manuale]]),"-")</f>
        <v>42608</v>
      </c>
      <c r="H534" s="67" t="s">
        <v>30</v>
      </c>
      <c r="I534" s="67" t="s">
        <v>113</v>
      </c>
      <c r="J534" s="33">
        <f>IFERROR(Table2[[#This Row],[Importo annuale]]/(12/VLOOKUP(Table2[[#This Row],[Rateizzazione]],TIPI_RATEIZZAZIONI,2,FALSE)),"-")</f>
        <v>160</v>
      </c>
      <c r="K534" s="88"/>
      <c r="L534" s="88">
        <v>320</v>
      </c>
      <c r="M534" s="67" t="s">
        <v>43</v>
      </c>
      <c r="N534" s="67" t="s">
        <v>52</v>
      </c>
      <c r="O534" s="27" t="s">
        <v>1631</v>
      </c>
      <c r="P534" s="33" t="s">
        <v>22</v>
      </c>
      <c r="Q534" s="60">
        <f>IFERROR(IF(12 / VLOOKUP(Table2[[#This Row],[Rateizzazione]],TIPI_RATEIZZAZIONI,2,FALSE) &gt;=1,  IF(Table2[[#This Row],[Data attivazione]] = "","-",MONTH(Table2[[#This Row],[Data attivazione]])),"-"),"-")</f>
        <v>8</v>
      </c>
      <c r="R5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4" s="67" t="s">
        <v>2</v>
      </c>
      <c r="V534" s="62"/>
      <c r="W534" s="64">
        <v>42242</v>
      </c>
      <c r="X534" s="29">
        <f>DATE(YEAR(Table2[[#This Row],[Data attivazione]])+VLOOKUP(Table2[[#This Row],[Durata]],VALORE_DURATA,2,FALSE),MONTH(Table2[[#This Row],[Data attivazione]]),DAY(Table2[[#This Row],[Data attivazione]]))</f>
        <v>42608</v>
      </c>
      <c r="Y534" s="65"/>
      <c r="Z534" s="61"/>
      <c r="AA534" s="64" t="s">
        <v>88</v>
      </c>
      <c r="AB534" s="29" t="str">
        <f>IF(Table2[[#This Row],[Data ultimo versamento temp]]=0/1/1900,"-",Table2[[#This Row],[Data ultimo versamento temp]])</f>
        <v>-</v>
      </c>
      <c r="AC534" s="29">
        <f t="array" ref="AC534">MAX(IF(TableVersamenti[Polizza]=Table2[[#This Row],[Polizza]],TableVersamenti[Data prevista versamento],"-"))</f>
        <v>0</v>
      </c>
      <c r="AD534" s="62"/>
      <c r="AE534" s="106">
        <f>DATE(YEAR(Table2[[#This Row],[Data ultimo pagamento]]),MONTH(Table2[[#This Row],[Data ultimo pagamento]]), 1)</f>
        <v>42401</v>
      </c>
      <c r="AF534" s="106">
        <f>DATE(YEAR(Table2[[#This Row],[Data prossima scadenza]]),MONTH(Table2[[#This Row],[Data prossima scadenza]]), 1)</f>
        <v>42583</v>
      </c>
      <c r="AG534" s="33">
        <f>IFERROR(Table2[[#This Row],[Importo annuale]]*VLOOKUP(Table2[[#This Row],[Ramo]],RAMI_POLIZZA,2,FALSE),0)</f>
        <v>36.800000000000004</v>
      </c>
      <c r="AH534" s="65" t="s">
        <v>113</v>
      </c>
      <c r="AI534" s="63" t="str">
        <f>IFERROR(VLOOKUP(Table2[[#This Row],[Contraente]],Table1[[Nome/Ragione sociale]:[Checkbox selezionato]],2,FALSE),"-")</f>
        <v>BELGIOIOSO</v>
      </c>
      <c r="AJ534" s="63">
        <f>IFERROR(VLOOKUP(Table2[[#This Row],[Contraente]],Table1[[Nome/Ragione sociale]:[Checkbox selezionato]],3,FALSE),"-")</f>
        <v>3398729787</v>
      </c>
      <c r="AK534" s="63">
        <f>IFERROR(VLOOKUP(Table2[[#This Row],[Contraente]],Table1[[Nome/Ragione sociale]:[Checkbox selezionato]],4,FALSE),"-")</f>
        <v>0</v>
      </c>
      <c r="AL534" s="63" t="str">
        <f>IFERROR(VLOOKUP(Table2[[#This Row],[Contraente]],Table1[[Nome/Ragione sociale]:[Checkbox selezionato]],5,FALSE),"-")</f>
        <v>DOMENICO</v>
      </c>
      <c r="AM534" s="62">
        <f>IFERROR(VLOOKUP(Table2[[#This Row],[Contraente]],Table1[[Nome/Ragione sociale]:[Checkbox selezionato]],6,FALSE),"-")</f>
        <v>26680</v>
      </c>
      <c r="AN534" s="63" t="str">
        <f>IFERROR(VLOOKUP(Table2[[#This Row],[Contraente]],Table1[[Nome/Ragione sociale]:[Checkbox selezionato]],7,FALSE),"-")</f>
        <v>papies@email.it</v>
      </c>
      <c r="AO534" s="63">
        <f>IFERROR(VLOOKUP(Table2[[#This Row],[Contraente]],Table1[[Nome/Ragione sociale]:[Checkbox selezionato]],8,FALSE),"-")</f>
        <v>0</v>
      </c>
      <c r="AP534" s="63">
        <f>IFERROR(VLOOKUP(Table2[[#This Row],[Contraente]],Table1[[Nome/Ragione sociale]:[Checkbox selezionato]],10,FALSE),"-")</f>
        <v>3398729787</v>
      </c>
      <c r="AQ534" s="63" t="str">
        <f>IFERROR(VLOOKUP(Table2[[#This Row],[Contraente]],Table1[[Nome/Ragione sociale]:[Checkbox selezionato]],11,FALSE),"-")</f>
        <v>SI</v>
      </c>
      <c r="AR534" s="63" t="str">
        <f>IFERROR(VLOOKUP(Table2[[#This Row],[Contraente]],Table1[[Nome/Ragione sociale]:[Checkbox selezionato]],12,FALSE),"-")</f>
        <v>SI</v>
      </c>
    </row>
    <row r="535" spans="1:44" ht="30" hidden="1" customHeight="1" x14ac:dyDescent="0.25">
      <c r="A535" s="60" t="str">
        <f>UPPER(LEFT(Table2[[#This Row],[Contraente]],1))</f>
        <v>G</v>
      </c>
      <c r="B535" s="60" t="s">
        <v>1634</v>
      </c>
      <c r="C535" s="81" t="s">
        <v>688</v>
      </c>
      <c r="D535" s="81" t="s">
        <v>37</v>
      </c>
      <c r="E535" s="86">
        <v>104855837</v>
      </c>
      <c r="F535" s="64">
        <v>42902</v>
      </c>
      <c r="G535" s="64">
        <f>IFERROR(CALCOLASCADENZA(Table2[[#This Row],[Data attivazione]],Table2[[#This Row],[Rateizzazione]],Table2[[#This Row],[Data ultimo pagamento]],Table2[[#This Row],[Data prossima scadenza manuale]]),"-")</f>
        <v>43010</v>
      </c>
      <c r="H535" s="67" t="s">
        <v>30</v>
      </c>
      <c r="I535" s="67" t="s">
        <v>113</v>
      </c>
      <c r="J535" s="33">
        <f>IFERROR(Table2[[#This Row],[Importo annuale]]/(12/VLOOKUP(Table2[[#This Row],[Rateizzazione]],TIPI_RATEIZZAZIONI,2,FALSE)),"-")</f>
        <v>203</v>
      </c>
      <c r="K535" s="88">
        <v>406</v>
      </c>
      <c r="L535" s="88">
        <v>609</v>
      </c>
      <c r="M535" s="67" t="s">
        <v>45</v>
      </c>
      <c r="N535" s="67" t="s">
        <v>52</v>
      </c>
      <c r="O535" s="27" t="s">
        <v>1631</v>
      </c>
      <c r="P535" s="33" t="s">
        <v>21</v>
      </c>
      <c r="Q535" s="60">
        <f>IFERROR(IF(12 / VLOOKUP(Table2[[#This Row],[Rateizzazione]],TIPI_RATEIZZAZIONI,2,FALSE) &gt;=1,  IF(Table2[[#This Row],[Data attivazione]] = "","-",MONTH(Table2[[#This Row],[Data attivazione]])),"-"),"-")</f>
        <v>10</v>
      </c>
      <c r="R5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5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5" s="67" t="s">
        <v>2</v>
      </c>
      <c r="V535" s="62"/>
      <c r="W535" s="64">
        <v>42645</v>
      </c>
      <c r="X535" s="29">
        <f>DATE(YEAR(Table2[[#This Row],[Data attivazione]])+VLOOKUP(Table2[[#This Row],[Durata]],VALORE_DURATA,2,FALSE),MONTH(Table2[[#This Row],[Data attivazione]]),DAY(Table2[[#This Row],[Data attivazione]]))</f>
        <v>43010</v>
      </c>
      <c r="Y535" s="65"/>
      <c r="Z535" s="61"/>
      <c r="AA535" s="64" t="s">
        <v>85</v>
      </c>
      <c r="AB535" s="29" t="str">
        <f>IF(Table2[[#This Row],[Data ultimo versamento temp]]=0/1/1900,"-",Table2[[#This Row],[Data ultimo versamento temp]])</f>
        <v>-</v>
      </c>
      <c r="AC535" s="29">
        <f t="array" ref="AC535">MAX(IF(TableVersamenti[Polizza]=Table2[[#This Row],[Polizza]],TableVersamenti[Data prevista versamento],"-"))</f>
        <v>0</v>
      </c>
      <c r="AD535" s="62"/>
      <c r="AE535" s="106">
        <f>DATE(YEAR(Table2[[#This Row],[Data ultimo pagamento]]),MONTH(Table2[[#This Row],[Data ultimo pagamento]]), 1)</f>
        <v>42887</v>
      </c>
      <c r="AF535" s="106">
        <f>DATE(YEAR(Table2[[#This Row],[Data prossima scadenza]]),MONTH(Table2[[#This Row],[Data prossima scadenza]]), 1)</f>
        <v>43009</v>
      </c>
      <c r="AG535" s="33">
        <f>IFERROR(Table2[[#This Row],[Importo annuale]]*VLOOKUP(Table2[[#This Row],[Ramo]],RAMI_POLIZZA,2,FALSE),0)</f>
        <v>70.034999999999997</v>
      </c>
      <c r="AH535" s="65" t="s">
        <v>113</v>
      </c>
      <c r="AI535" s="63" t="str">
        <f>IFERROR(VLOOKUP(Table2[[#This Row],[Contraente]],Table1[[Nome/Ragione sociale]:[Checkbox selezionato]],2,FALSE),"-")</f>
        <v>BELGIOIOSO</v>
      </c>
      <c r="AJ535" s="63">
        <f>IFERROR(VLOOKUP(Table2[[#This Row],[Contraente]],Table1[[Nome/Ragione sociale]:[Checkbox selezionato]],3,FALSE),"-")</f>
        <v>3393403620</v>
      </c>
      <c r="AK535" s="63">
        <f>IFERROR(VLOOKUP(Table2[[#This Row],[Contraente]],Table1[[Nome/Ragione sociale]:[Checkbox selezionato]],4,FALSE),"-")</f>
        <v>0</v>
      </c>
      <c r="AL535" s="63" t="str">
        <f>IFERROR(VLOOKUP(Table2[[#This Row],[Contraente]],Table1[[Nome/Ragione sociale]:[Checkbox selezionato]],5,FALSE),"-")</f>
        <v>JACOPO</v>
      </c>
      <c r="AM535" s="62">
        <f>IFERROR(VLOOKUP(Table2[[#This Row],[Contraente]],Table1[[Nome/Ragione sociale]:[Checkbox selezionato]],6,FALSE),"-")</f>
        <v>34405</v>
      </c>
      <c r="AN535" s="63" t="str">
        <f>IFERROR(VLOOKUP(Table2[[#This Row],[Contraente]],Table1[[Nome/Ragione sociale]:[Checkbox selezionato]],7,FALSE),"-")</f>
        <v>papies@libero.it</v>
      </c>
      <c r="AO535" s="63">
        <f>IFERROR(VLOOKUP(Table2[[#This Row],[Contraente]],Table1[[Nome/Ragione sociale]:[Checkbox selezionato]],8,FALSE),"-")</f>
        <v>0</v>
      </c>
      <c r="AP535" s="63">
        <f>IFERROR(VLOOKUP(Table2[[#This Row],[Contraente]],Table1[[Nome/Ragione sociale]:[Checkbox selezionato]],10,FALSE),"-")</f>
        <v>3393403620</v>
      </c>
      <c r="AQ535" s="63" t="str">
        <f>IFERROR(VLOOKUP(Table2[[#This Row],[Contraente]],Table1[[Nome/Ragione sociale]:[Checkbox selezionato]],11,FALSE),"-")</f>
        <v>SI</v>
      </c>
      <c r="AR535" s="63" t="str">
        <f>IFERROR(VLOOKUP(Table2[[#This Row],[Contraente]],Table1[[Nome/Ragione sociale]:[Checkbox selezionato]],12,FALSE),"-")</f>
        <v>SI</v>
      </c>
    </row>
    <row r="536" spans="1:44" ht="30" hidden="1" customHeight="1" x14ac:dyDescent="0.25">
      <c r="A536" s="60" t="str">
        <f>UPPER(LEFT(Table2[[#This Row],[Contraente]],1))</f>
        <v>G</v>
      </c>
      <c r="B536" s="60" t="s">
        <v>1634</v>
      </c>
      <c r="C536" s="81" t="s">
        <v>688</v>
      </c>
      <c r="D536" s="81" t="s">
        <v>37</v>
      </c>
      <c r="E536" s="86">
        <v>106993573</v>
      </c>
      <c r="F536" s="64">
        <v>42902</v>
      </c>
      <c r="G536" s="64">
        <f>IFERROR(CALCOLASCADENZA(Table2[[#This Row],[Data attivazione]],Table2[[#This Row],[Rateizzazione]],Table2[[#This Row],[Data ultimo pagamento]],Table2[[#This Row],[Data prossima scadenza manuale]]),"-")</f>
        <v>43085</v>
      </c>
      <c r="H536" s="67" t="s">
        <v>30</v>
      </c>
      <c r="I536" s="67" t="s">
        <v>113</v>
      </c>
      <c r="J536" s="33">
        <f>IFERROR(Table2[[#This Row],[Importo annuale]]/(12/VLOOKUP(Table2[[#This Row],[Rateizzazione]],TIPI_RATEIZZAZIONI,2,FALSE)),"-")</f>
        <v>206</v>
      </c>
      <c r="K536" s="88">
        <v>206</v>
      </c>
      <c r="L536" s="88">
        <v>412</v>
      </c>
      <c r="M536" s="67" t="s">
        <v>44</v>
      </c>
      <c r="N536" s="67" t="s">
        <v>52</v>
      </c>
      <c r="O536" s="27" t="s">
        <v>1631</v>
      </c>
      <c r="P536" s="33" t="s">
        <v>22</v>
      </c>
      <c r="Q536" s="60">
        <f>IFERROR(IF(12 / VLOOKUP(Table2[[#This Row],[Rateizzazione]],TIPI_RATEIZZAZIONI,2,FALSE) &gt;=1,  IF(Table2[[#This Row],[Data attivazione]] = "","-",MONTH(Table2[[#This Row],[Data attivazione]])),"-"),"-")</f>
        <v>12</v>
      </c>
      <c r="R5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6" s="67" t="s">
        <v>2</v>
      </c>
      <c r="V536" s="62"/>
      <c r="W536" s="64">
        <v>42720</v>
      </c>
      <c r="X536" s="29">
        <f>DATE(YEAR(Table2[[#This Row],[Data attivazione]])+VLOOKUP(Table2[[#This Row],[Durata]],VALORE_DURATA,2,FALSE),MONTH(Table2[[#This Row],[Data attivazione]]),DAY(Table2[[#This Row],[Data attivazione]]))</f>
        <v>43085</v>
      </c>
      <c r="Y536" s="65"/>
      <c r="Z536" s="61"/>
      <c r="AA536" s="64" t="s">
        <v>85</v>
      </c>
      <c r="AB536" s="29" t="str">
        <f>IF(Table2[[#This Row],[Data ultimo versamento temp]]=0/1/1900,"-",Table2[[#This Row],[Data ultimo versamento temp]])</f>
        <v>-</v>
      </c>
      <c r="AC536" s="29">
        <f t="array" ref="AC536">MAX(IF(TableVersamenti[Polizza]=Table2[[#This Row],[Polizza]],TableVersamenti[Data prevista versamento],"-"))</f>
        <v>0</v>
      </c>
      <c r="AD536" s="62"/>
      <c r="AE536" s="106">
        <f>DATE(YEAR(Table2[[#This Row],[Data ultimo pagamento]]),MONTH(Table2[[#This Row],[Data ultimo pagamento]]), 1)</f>
        <v>42887</v>
      </c>
      <c r="AF536" s="106">
        <f>DATE(YEAR(Table2[[#This Row],[Data prossima scadenza]]),MONTH(Table2[[#This Row],[Data prossima scadenza]]), 1)</f>
        <v>43070</v>
      </c>
      <c r="AG536" s="33">
        <f>IFERROR(Table2[[#This Row],[Importo annuale]]*VLOOKUP(Table2[[#This Row],[Ramo]],RAMI_POLIZZA,2,FALSE),0)</f>
        <v>47.38</v>
      </c>
      <c r="AH536" s="65" t="s">
        <v>113</v>
      </c>
      <c r="AI536" s="63" t="str">
        <f>IFERROR(VLOOKUP(Table2[[#This Row],[Contraente]],Table1[[Nome/Ragione sociale]:[Checkbox selezionato]],2,FALSE),"-")</f>
        <v>BELGIOIOSO</v>
      </c>
      <c r="AJ536" s="63">
        <f>IFERROR(VLOOKUP(Table2[[#This Row],[Contraente]],Table1[[Nome/Ragione sociale]:[Checkbox selezionato]],3,FALSE),"-")</f>
        <v>3393403620</v>
      </c>
      <c r="AK536" s="63">
        <f>IFERROR(VLOOKUP(Table2[[#This Row],[Contraente]],Table1[[Nome/Ragione sociale]:[Checkbox selezionato]],4,FALSE),"-")</f>
        <v>0</v>
      </c>
      <c r="AL536" s="63" t="str">
        <f>IFERROR(VLOOKUP(Table2[[#This Row],[Contraente]],Table1[[Nome/Ragione sociale]:[Checkbox selezionato]],5,FALSE),"-")</f>
        <v>JACOPO</v>
      </c>
      <c r="AM536" s="62">
        <f>IFERROR(VLOOKUP(Table2[[#This Row],[Contraente]],Table1[[Nome/Ragione sociale]:[Checkbox selezionato]],6,FALSE),"-")</f>
        <v>34405</v>
      </c>
      <c r="AN536" s="63" t="str">
        <f>IFERROR(VLOOKUP(Table2[[#This Row],[Contraente]],Table1[[Nome/Ragione sociale]:[Checkbox selezionato]],7,FALSE),"-")</f>
        <v>papies@libero.it</v>
      </c>
      <c r="AO536" s="63">
        <f>IFERROR(VLOOKUP(Table2[[#This Row],[Contraente]],Table1[[Nome/Ragione sociale]:[Checkbox selezionato]],8,FALSE),"-")</f>
        <v>0</v>
      </c>
      <c r="AP536" s="63">
        <f>IFERROR(VLOOKUP(Table2[[#This Row],[Contraente]],Table1[[Nome/Ragione sociale]:[Checkbox selezionato]],10,FALSE),"-")</f>
        <v>3393403620</v>
      </c>
      <c r="AQ536" s="63" t="str">
        <f>IFERROR(VLOOKUP(Table2[[#This Row],[Contraente]],Table1[[Nome/Ragione sociale]:[Checkbox selezionato]],11,FALSE),"-")</f>
        <v>SI</v>
      </c>
      <c r="AR536" s="63" t="str">
        <f>IFERROR(VLOOKUP(Table2[[#This Row],[Contraente]],Table1[[Nome/Ragione sociale]:[Checkbox selezionato]],12,FALSE),"-")</f>
        <v>SI</v>
      </c>
    </row>
    <row r="537" spans="1:44" ht="30" hidden="1" customHeight="1" x14ac:dyDescent="0.25">
      <c r="A537" s="60" t="str">
        <f>UPPER(LEFT(Table2[[#This Row],[Contraente]],1))</f>
        <v>G</v>
      </c>
      <c r="B537" s="60" t="s">
        <v>1634</v>
      </c>
      <c r="C537" s="81" t="s">
        <v>700</v>
      </c>
      <c r="D537" s="81" t="s">
        <v>37</v>
      </c>
      <c r="E537" s="86">
        <v>106837254</v>
      </c>
      <c r="F537" s="64">
        <v>42864</v>
      </c>
      <c r="G537" s="64">
        <f>IFERROR(CALCOLASCADENZA(Table2[[#This Row],[Data attivazione]],Table2[[#This Row],[Rateizzazione]],Table2[[#This Row],[Data ultimo pagamento]],Table2[[#This Row],[Data prossima scadenza manuale]]),"-")</f>
        <v>43230</v>
      </c>
      <c r="H537" s="67" t="s">
        <v>31</v>
      </c>
      <c r="I537" s="67" t="s">
        <v>1340</v>
      </c>
      <c r="J537" s="33">
        <f>IFERROR(Table2[[#This Row],[Importo annuale]]/(12/VLOOKUP(Table2[[#This Row],[Rateizzazione]],TIPI_RATEIZZAZIONI,2,FALSE)),"-")</f>
        <v>625</v>
      </c>
      <c r="K537" s="88">
        <v>625</v>
      </c>
      <c r="L537" s="88">
        <v>625</v>
      </c>
      <c r="M537" s="67" t="s">
        <v>44</v>
      </c>
      <c r="N537" s="67" t="s">
        <v>51</v>
      </c>
      <c r="O537" s="27" t="s">
        <v>1631</v>
      </c>
      <c r="P537" s="33" t="s">
        <v>23</v>
      </c>
      <c r="Q537" s="60">
        <f>IFERROR(IF(12 / VLOOKUP(Table2[[#This Row],[Rateizzazione]],TIPI_RATEIZZAZIONI,2,FALSE) &gt;=1,  IF(Table2[[#This Row],[Data attivazione]] = "","-",MONTH(Table2[[#This Row],[Data attivazione]])),"-"),"-")</f>
        <v>5</v>
      </c>
      <c r="R5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7" s="67" t="s">
        <v>2</v>
      </c>
      <c r="V537" s="62"/>
      <c r="W537" s="64">
        <v>42865</v>
      </c>
      <c r="X537" s="29">
        <f>DATE(YEAR(Table2[[#This Row],[Data attivazione]])+VLOOKUP(Table2[[#This Row],[Durata]],VALORE_DURATA,2,FALSE),MONTH(Table2[[#This Row],[Data attivazione]]),DAY(Table2[[#This Row],[Data attivazione]]))</f>
        <v>43230</v>
      </c>
      <c r="Y537" s="65"/>
      <c r="Z537" s="61"/>
      <c r="AA537" s="64" t="s">
        <v>85</v>
      </c>
      <c r="AB537" s="29" t="str">
        <f>IF(Table2[[#This Row],[Data ultimo versamento temp]]=0/1/1900,"-",Table2[[#This Row],[Data ultimo versamento temp]])</f>
        <v>-</v>
      </c>
      <c r="AC537" s="29">
        <f t="array" ref="AC537">MAX(IF(TableVersamenti[Polizza]=Table2[[#This Row],[Polizza]],TableVersamenti[Data prevista versamento],"-"))</f>
        <v>0</v>
      </c>
      <c r="AD537" s="62"/>
      <c r="AE537" s="106">
        <f>DATE(YEAR(Table2[[#This Row],[Data ultimo pagamento]]),MONTH(Table2[[#This Row],[Data ultimo pagamento]]), 1)</f>
        <v>42856</v>
      </c>
      <c r="AF537" s="106">
        <f>DATE(YEAR(Table2[[#This Row],[Data prossima scadenza]]),MONTH(Table2[[#This Row],[Data prossima scadenza]]), 1)</f>
        <v>43221</v>
      </c>
      <c r="AG537" s="33">
        <f>IFERROR(Table2[[#This Row],[Importo annuale]]*VLOOKUP(Table2[[#This Row],[Ramo]],RAMI_POLIZZA,2,FALSE),0)</f>
        <v>32.5</v>
      </c>
      <c r="AH537" s="65" t="s">
        <v>113</v>
      </c>
      <c r="AI537" s="63" t="str">
        <f>IFERROR(VLOOKUP(Table2[[#This Row],[Contraente]],Table1[[Nome/Ragione sociale]:[Checkbox selezionato]],2,FALSE),"-")</f>
        <v>MIRADOLO TERME</v>
      </c>
      <c r="AJ537" s="63" t="str">
        <f>IFERROR(VLOOKUP(Table2[[#This Row],[Contraente]],Table1[[Nome/Ragione sociale]:[Checkbox selezionato]],3,FALSE),"-")</f>
        <v>340-0510138</v>
      </c>
      <c r="AK537" s="63">
        <f>IFERROR(VLOOKUP(Table2[[#This Row],[Contraente]],Table1[[Nome/Ragione sociale]:[Checkbox selezionato]],4,FALSE),"-")</f>
        <v>0</v>
      </c>
      <c r="AL537" s="63" t="str">
        <f>IFERROR(VLOOKUP(Table2[[#This Row],[Contraente]],Table1[[Nome/Ragione sociale]:[Checkbox selezionato]],5,FALSE),"-")</f>
        <v>MARIA</v>
      </c>
      <c r="AM537" s="62">
        <f>IFERROR(VLOOKUP(Table2[[#This Row],[Contraente]],Table1[[Nome/Ragione sociale]:[Checkbox selezionato]],6,FALSE),"-")</f>
        <v>22915</v>
      </c>
      <c r="AN537" s="63" t="str">
        <f>IFERROR(VLOOKUP(Table2[[#This Row],[Contraente]],Table1[[Nome/Ragione sociale]:[Checkbox selezionato]],7,FALSE),"-")</f>
        <v>papies@libero.it</v>
      </c>
      <c r="AO537" s="63">
        <f>IFERROR(VLOOKUP(Table2[[#This Row],[Contraente]],Table1[[Nome/Ragione sociale]:[Checkbox selezionato]],8,FALSE),"-")</f>
        <v>0</v>
      </c>
      <c r="AP537" s="63" t="str">
        <f>IFERROR(VLOOKUP(Table2[[#This Row],[Contraente]],Table1[[Nome/Ragione sociale]:[Checkbox selezionato]],10,FALSE),"-")</f>
        <v>340-0510138</v>
      </c>
      <c r="AQ537" s="63" t="str">
        <f>IFERROR(VLOOKUP(Table2[[#This Row],[Contraente]],Table1[[Nome/Ragione sociale]:[Checkbox selezionato]],11,FALSE),"-")</f>
        <v>SI</v>
      </c>
      <c r="AR537" s="63" t="str">
        <f>IFERROR(VLOOKUP(Table2[[#This Row],[Contraente]],Table1[[Nome/Ragione sociale]:[Checkbox selezionato]],12,FALSE),"-")</f>
        <v>SI</v>
      </c>
    </row>
    <row r="538" spans="1:44" ht="30" hidden="1" customHeight="1" x14ac:dyDescent="0.25">
      <c r="A538" s="60" t="str">
        <f>UPPER(LEFT(Table2[[#This Row],[Contraente]],1))</f>
        <v>G</v>
      </c>
      <c r="B538" s="60" t="s">
        <v>1634</v>
      </c>
      <c r="C538" s="81" t="s">
        <v>700</v>
      </c>
      <c r="D538" s="81" t="s">
        <v>37</v>
      </c>
      <c r="E538" s="86">
        <v>106837298</v>
      </c>
      <c r="F538" s="64">
        <v>42864</v>
      </c>
      <c r="G538" s="64">
        <f>IFERROR(CALCOLASCADENZA(Table2[[#This Row],[Data attivazione]],Table2[[#This Row],[Rateizzazione]],Table2[[#This Row],[Data ultimo pagamento]],Table2[[#This Row],[Data prossima scadenza manuale]]),"-")</f>
        <v>43230</v>
      </c>
      <c r="H538" s="67" t="s">
        <v>31</v>
      </c>
      <c r="I538" s="67" t="s">
        <v>113</v>
      </c>
      <c r="J538" s="33">
        <f>IFERROR(Table2[[#This Row],[Importo annuale]]/(12/VLOOKUP(Table2[[#This Row],[Rateizzazione]],TIPI_RATEIZZAZIONI,2,FALSE)),"-")</f>
        <v>60</v>
      </c>
      <c r="K538" s="88">
        <v>60</v>
      </c>
      <c r="L538" s="88">
        <v>60</v>
      </c>
      <c r="M538" s="67" t="s">
        <v>44</v>
      </c>
      <c r="N538" s="67" t="s">
        <v>51</v>
      </c>
      <c r="O538" s="27" t="s">
        <v>1631</v>
      </c>
      <c r="P538" s="33" t="s">
        <v>23</v>
      </c>
      <c r="Q538" s="60">
        <f>IFERROR(IF(12 / VLOOKUP(Table2[[#This Row],[Rateizzazione]],TIPI_RATEIZZAZIONI,2,FALSE) &gt;=1,  IF(Table2[[#This Row],[Data attivazione]] = "","-",MONTH(Table2[[#This Row],[Data attivazione]])),"-"),"-")</f>
        <v>5</v>
      </c>
      <c r="R5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8" s="67" t="s">
        <v>2</v>
      </c>
      <c r="V538" s="62"/>
      <c r="W538" s="64">
        <v>42865</v>
      </c>
      <c r="X538" s="29">
        <f>DATE(YEAR(Table2[[#This Row],[Data attivazione]])+VLOOKUP(Table2[[#This Row],[Durata]],VALORE_DURATA,2,FALSE),MONTH(Table2[[#This Row],[Data attivazione]]),DAY(Table2[[#This Row],[Data attivazione]]))</f>
        <v>43230</v>
      </c>
      <c r="Y538" s="65"/>
      <c r="Z538" s="61"/>
      <c r="AA538" s="64" t="s">
        <v>85</v>
      </c>
      <c r="AB538" s="29" t="str">
        <f>IF(Table2[[#This Row],[Data ultimo versamento temp]]=0/1/1900,"-",Table2[[#This Row],[Data ultimo versamento temp]])</f>
        <v>-</v>
      </c>
      <c r="AC538" s="29">
        <f t="array" ref="AC538">MAX(IF(TableVersamenti[Polizza]=Table2[[#This Row],[Polizza]],TableVersamenti[Data prevista versamento],"-"))</f>
        <v>0</v>
      </c>
      <c r="AD538" s="62"/>
      <c r="AE538" s="106">
        <f>DATE(YEAR(Table2[[#This Row],[Data ultimo pagamento]]),MONTH(Table2[[#This Row],[Data ultimo pagamento]]), 1)</f>
        <v>42856</v>
      </c>
      <c r="AF538" s="106">
        <f>DATE(YEAR(Table2[[#This Row],[Data prossima scadenza]]),MONTH(Table2[[#This Row],[Data prossima scadenza]]), 1)</f>
        <v>43221</v>
      </c>
      <c r="AG538" s="33">
        <f>IFERROR(Table2[[#This Row],[Importo annuale]]*VLOOKUP(Table2[[#This Row],[Ramo]],RAMI_POLIZZA,2,FALSE),0)</f>
        <v>3.1199999999999997</v>
      </c>
      <c r="AH538" s="65" t="s">
        <v>113</v>
      </c>
      <c r="AI538" s="63" t="str">
        <f>IFERROR(VLOOKUP(Table2[[#This Row],[Contraente]],Table1[[Nome/Ragione sociale]:[Checkbox selezionato]],2,FALSE),"-")</f>
        <v>MIRADOLO TERME</v>
      </c>
      <c r="AJ538" s="63" t="str">
        <f>IFERROR(VLOOKUP(Table2[[#This Row],[Contraente]],Table1[[Nome/Ragione sociale]:[Checkbox selezionato]],3,FALSE),"-")</f>
        <v>340-0510138</v>
      </c>
      <c r="AK538" s="63">
        <f>IFERROR(VLOOKUP(Table2[[#This Row],[Contraente]],Table1[[Nome/Ragione sociale]:[Checkbox selezionato]],4,FALSE),"-")</f>
        <v>0</v>
      </c>
      <c r="AL538" s="63" t="str">
        <f>IFERROR(VLOOKUP(Table2[[#This Row],[Contraente]],Table1[[Nome/Ragione sociale]:[Checkbox selezionato]],5,FALSE),"-")</f>
        <v>MARIA</v>
      </c>
      <c r="AM538" s="62">
        <f>IFERROR(VLOOKUP(Table2[[#This Row],[Contraente]],Table1[[Nome/Ragione sociale]:[Checkbox selezionato]],6,FALSE),"-")</f>
        <v>22915</v>
      </c>
      <c r="AN538" s="63" t="str">
        <f>IFERROR(VLOOKUP(Table2[[#This Row],[Contraente]],Table1[[Nome/Ragione sociale]:[Checkbox selezionato]],7,FALSE),"-")</f>
        <v>papies@libero.it</v>
      </c>
      <c r="AO538" s="63">
        <f>IFERROR(VLOOKUP(Table2[[#This Row],[Contraente]],Table1[[Nome/Ragione sociale]:[Checkbox selezionato]],8,FALSE),"-")</f>
        <v>0</v>
      </c>
      <c r="AP538" s="63" t="str">
        <f>IFERROR(VLOOKUP(Table2[[#This Row],[Contraente]],Table1[[Nome/Ragione sociale]:[Checkbox selezionato]],10,FALSE),"-")</f>
        <v>340-0510138</v>
      </c>
      <c r="AQ538" s="63" t="str">
        <f>IFERROR(VLOOKUP(Table2[[#This Row],[Contraente]],Table1[[Nome/Ragione sociale]:[Checkbox selezionato]],11,FALSE),"-")</f>
        <v>SI</v>
      </c>
      <c r="AR538" s="63" t="str">
        <f>IFERROR(VLOOKUP(Table2[[#This Row],[Contraente]],Table1[[Nome/Ragione sociale]:[Checkbox selezionato]],12,FALSE),"-")</f>
        <v>SI</v>
      </c>
    </row>
    <row r="539" spans="1:44" ht="30" hidden="1" customHeight="1" x14ac:dyDescent="0.25">
      <c r="A539" s="60" t="str">
        <f>UPPER(LEFT(Table2[[#This Row],[Contraente]],1))</f>
        <v>G</v>
      </c>
      <c r="B539" s="60" t="s">
        <v>1634</v>
      </c>
      <c r="C539" s="81" t="s">
        <v>128</v>
      </c>
      <c r="D539" s="81" t="s">
        <v>37</v>
      </c>
      <c r="E539" s="86">
        <v>107127417</v>
      </c>
      <c r="F539" s="64">
        <v>42934</v>
      </c>
      <c r="G539" s="64">
        <f>IFERROR(CALCOLASCADENZA(Table2[[#This Row],[Data attivazione]],Table2[[#This Row],[Rateizzazione]],Table2[[#This Row],[Data ultimo pagamento]],Table2[[#This Row],[Data prossima scadenza manuale]]),"-")</f>
        <v>42974</v>
      </c>
      <c r="H539" s="67" t="s">
        <v>31</v>
      </c>
      <c r="I539" s="67" t="s">
        <v>1847</v>
      </c>
      <c r="J539" s="33">
        <v>3</v>
      </c>
      <c r="K539" s="88">
        <v>167.94</v>
      </c>
      <c r="L539" s="88">
        <v>374</v>
      </c>
      <c r="M539" s="67" t="s">
        <v>43</v>
      </c>
      <c r="N539" s="67" t="s">
        <v>52</v>
      </c>
      <c r="O539" s="27" t="s">
        <v>1631</v>
      </c>
      <c r="P539" s="33" t="s">
        <v>22</v>
      </c>
      <c r="Q539" s="60">
        <f>IFERROR(IF(12 / VLOOKUP(Table2[[#This Row],[Rateizzazione]],TIPI_RATEIZZAZIONI,2,FALSE) &gt;=1,  IF(Table2[[#This Row],[Data attivazione]] = "","-",MONTH(Table2[[#This Row],[Data attivazione]])),"-"),"-")</f>
        <v>8</v>
      </c>
      <c r="R5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9" s="67" t="s">
        <v>2</v>
      </c>
      <c r="V539" s="62"/>
      <c r="W539" s="64">
        <v>42609</v>
      </c>
      <c r="X539" s="29">
        <f>DATE(YEAR(Table2[[#This Row],[Data attivazione]])+VLOOKUP(Table2[[#This Row],[Durata]],VALORE_DURATA,2,FALSE),MONTH(Table2[[#This Row],[Data attivazione]]),DAY(Table2[[#This Row],[Data attivazione]]))</f>
        <v>42974</v>
      </c>
      <c r="Y539" s="65"/>
      <c r="Z539" s="61"/>
      <c r="AA539" s="64" t="s">
        <v>85</v>
      </c>
      <c r="AB539" s="29">
        <f>IF(Table2[[#This Row],[Data ultimo versamento temp]]=0/1/1900,"-",Table2[[#This Row],[Data ultimo versamento temp]])</f>
        <v>42937</v>
      </c>
      <c r="AC539" s="29">
        <f t="array" ref="AC539">MAX(IF(TableVersamenti[Polizza]=Table2[[#This Row],[Polizza]],TableVersamenti[Data prevista versamento],"-"))</f>
        <v>42937</v>
      </c>
      <c r="AD539" s="62"/>
      <c r="AE539" s="106">
        <f>DATE(YEAR(Table2[[#This Row],[Data ultimo pagamento]]),MONTH(Table2[[#This Row],[Data ultimo pagamento]]), 1)</f>
        <v>42917</v>
      </c>
      <c r="AF539" s="106">
        <f>DATE(YEAR(Table2[[#This Row],[Data prossima scadenza]]),MONTH(Table2[[#This Row],[Data prossima scadenza]]), 1)</f>
        <v>42948</v>
      </c>
      <c r="AG539" s="33">
        <f>IFERROR(Table2[[#This Row],[Importo annuale]]*VLOOKUP(Table2[[#This Row],[Ramo]],RAMI_POLIZZA,2,FALSE),0)</f>
        <v>19.448</v>
      </c>
      <c r="AH539" s="65" t="s">
        <v>113</v>
      </c>
      <c r="AI539" s="63" t="str">
        <f>IFERROR(VLOOKUP(Table2[[#This Row],[Contraente]],Table1[[Nome/Ragione sociale]:[Checkbox selezionato]],2,FALSE),"-")</f>
        <v>BELGIOIOSO</v>
      </c>
      <c r="AJ539" s="63">
        <f>IFERROR(VLOOKUP(Table2[[#This Row],[Contraente]],Table1[[Nome/Ragione sociale]:[Checkbox selezionato]],3,FALSE),"-")</f>
        <v>3392905813</v>
      </c>
      <c r="AK539" s="63">
        <f>IFERROR(VLOOKUP(Table2[[#This Row],[Contraente]],Table1[[Nome/Ragione sociale]:[Checkbox selezionato]],4,FALSE),"-")</f>
        <v>0</v>
      </c>
      <c r="AL539" s="63" t="str">
        <f>IFERROR(VLOOKUP(Table2[[#This Row],[Contraente]],Table1[[Nome/Ragione sociale]:[Checkbox selezionato]],5,FALSE),"-")</f>
        <v>ITALO</v>
      </c>
      <c r="AM539" s="62">
        <f>IFERROR(VLOOKUP(Table2[[#This Row],[Contraente]],Table1[[Nome/Ragione sociale]:[Checkbox selezionato]],6,FALSE),"-")</f>
        <v>13079</v>
      </c>
      <c r="AN539" s="63" t="str">
        <f>IFERROR(VLOOKUP(Table2[[#This Row],[Contraente]],Table1[[Nome/Ragione sociale]:[Checkbox selezionato]],7,FALSE),"-")</f>
        <v>papies@email.it</v>
      </c>
      <c r="AO539" s="63">
        <f>IFERROR(VLOOKUP(Table2[[#This Row],[Contraente]],Table1[[Nome/Ragione sociale]:[Checkbox selezionato]],8,FALSE),"-")</f>
        <v>0</v>
      </c>
      <c r="AP539" s="63">
        <f>IFERROR(VLOOKUP(Table2[[#This Row],[Contraente]],Table1[[Nome/Ragione sociale]:[Checkbox selezionato]],10,FALSE),"-")</f>
        <v>3392905813</v>
      </c>
      <c r="AQ539" s="63" t="str">
        <f>IFERROR(VLOOKUP(Table2[[#This Row],[Contraente]],Table1[[Nome/Ragione sociale]:[Checkbox selezionato]],11,FALSE),"-")</f>
        <v>SI</v>
      </c>
      <c r="AR539" s="63" t="str">
        <f>IFERROR(VLOOKUP(Table2[[#This Row],[Contraente]],Table1[[Nome/Ragione sociale]:[Checkbox selezionato]],12,FALSE),"-")</f>
        <v>SI</v>
      </c>
    </row>
    <row r="540" spans="1:44" ht="30" hidden="1" customHeight="1" x14ac:dyDescent="0.25">
      <c r="A540" s="60" t="str">
        <f>UPPER(LEFT(Table2[[#This Row],[Contraente]],1))</f>
        <v>G</v>
      </c>
      <c r="B540" s="60" t="s">
        <v>1634</v>
      </c>
      <c r="C540" s="81" t="s">
        <v>128</v>
      </c>
      <c r="D540" s="81" t="s">
        <v>37</v>
      </c>
      <c r="E540" s="86">
        <v>106551055</v>
      </c>
      <c r="F540" s="64">
        <v>42788</v>
      </c>
      <c r="G540" s="64">
        <f>IFERROR(CALCOLASCADENZA(Table2[[#This Row],[Data attivazione]],Table2[[#This Row],[Rateizzazione]],Table2[[#This Row],[Data ultimo pagamento]],Table2[[#This Row],[Data prossima scadenza manuale]]),"-")</f>
        <v>42973</v>
      </c>
      <c r="H540" s="67" t="s">
        <v>31</v>
      </c>
      <c r="I540" s="67" t="s">
        <v>1339</v>
      </c>
      <c r="J540" s="33">
        <f>IFERROR(Table2[[#This Row],[Importo annuale]]/(12/VLOOKUP(Table2[[#This Row],[Rateizzazione]],TIPI_RATEIZZAZIONI,2,FALSE)),"-")</f>
        <v>200</v>
      </c>
      <c r="K540" s="88">
        <v>200</v>
      </c>
      <c r="L540" s="88">
        <v>400</v>
      </c>
      <c r="M540" s="67" t="s">
        <v>43</v>
      </c>
      <c r="N540" s="67" t="s">
        <v>51</v>
      </c>
      <c r="O540" s="27" t="s">
        <v>1631</v>
      </c>
      <c r="P540" s="33" t="s">
        <v>22</v>
      </c>
      <c r="Q540" s="60">
        <f>IFERROR(IF(12 / VLOOKUP(Table2[[#This Row],[Rateizzazione]],TIPI_RATEIZZAZIONI,2,FALSE) &gt;=1,  IF(Table2[[#This Row],[Data attivazione]] = "","-",MONTH(Table2[[#This Row],[Data attivazione]])),"-"),"-")</f>
        <v>2</v>
      </c>
      <c r="R5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5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0" s="67" t="s">
        <v>2</v>
      </c>
      <c r="V540" s="62"/>
      <c r="W540" s="64">
        <v>42792</v>
      </c>
      <c r="X540" s="29">
        <f>DATE(YEAR(Table2[[#This Row],[Data attivazione]])+VLOOKUP(Table2[[#This Row],[Durata]],VALORE_DURATA,2,FALSE),MONTH(Table2[[#This Row],[Data attivazione]]),DAY(Table2[[#This Row],[Data attivazione]]))</f>
        <v>43157</v>
      </c>
      <c r="Y540" s="65"/>
      <c r="Z540" s="61"/>
      <c r="AA540" s="64" t="s">
        <v>85</v>
      </c>
      <c r="AB540" s="29" t="str">
        <f>IF(Table2[[#This Row],[Data ultimo versamento temp]]=0/1/1900,"-",Table2[[#This Row],[Data ultimo versamento temp]])</f>
        <v>-</v>
      </c>
      <c r="AC540" s="29">
        <f t="array" ref="AC540">MAX(IF(TableVersamenti[Polizza]=Table2[[#This Row],[Polizza]],TableVersamenti[Data prevista versamento],"-"))</f>
        <v>0</v>
      </c>
      <c r="AD540" s="62"/>
      <c r="AE540" s="106">
        <f>DATE(YEAR(Table2[[#This Row],[Data ultimo pagamento]]),MONTH(Table2[[#This Row],[Data ultimo pagamento]]), 1)</f>
        <v>42767</v>
      </c>
      <c r="AF540" s="106">
        <f>DATE(YEAR(Table2[[#This Row],[Data prossima scadenza]]),MONTH(Table2[[#This Row],[Data prossima scadenza]]), 1)</f>
        <v>42948</v>
      </c>
      <c r="AG540" s="33">
        <f>IFERROR(Table2[[#This Row],[Importo annuale]]*VLOOKUP(Table2[[#This Row],[Ramo]],RAMI_POLIZZA,2,FALSE),0)</f>
        <v>20.8</v>
      </c>
      <c r="AH540" s="65" t="s">
        <v>113</v>
      </c>
      <c r="AI540" s="63" t="str">
        <f>IFERROR(VLOOKUP(Table2[[#This Row],[Contraente]],Table1[[Nome/Ragione sociale]:[Checkbox selezionato]],2,FALSE),"-")</f>
        <v>BELGIOIOSO</v>
      </c>
      <c r="AJ540" s="63">
        <f>IFERROR(VLOOKUP(Table2[[#This Row],[Contraente]],Table1[[Nome/Ragione sociale]:[Checkbox selezionato]],3,FALSE),"-")</f>
        <v>3392905813</v>
      </c>
      <c r="AK540" s="63">
        <f>IFERROR(VLOOKUP(Table2[[#This Row],[Contraente]],Table1[[Nome/Ragione sociale]:[Checkbox selezionato]],4,FALSE),"-")</f>
        <v>0</v>
      </c>
      <c r="AL540" s="63" t="str">
        <f>IFERROR(VLOOKUP(Table2[[#This Row],[Contraente]],Table1[[Nome/Ragione sociale]:[Checkbox selezionato]],5,FALSE),"-")</f>
        <v>ITALO</v>
      </c>
      <c r="AM540" s="62">
        <f>IFERROR(VLOOKUP(Table2[[#This Row],[Contraente]],Table1[[Nome/Ragione sociale]:[Checkbox selezionato]],6,FALSE),"-")</f>
        <v>13079</v>
      </c>
      <c r="AN540" s="63" t="str">
        <f>IFERROR(VLOOKUP(Table2[[#This Row],[Contraente]],Table1[[Nome/Ragione sociale]:[Checkbox selezionato]],7,FALSE),"-")</f>
        <v>papies@email.it</v>
      </c>
      <c r="AO540" s="63">
        <f>IFERROR(VLOOKUP(Table2[[#This Row],[Contraente]],Table1[[Nome/Ragione sociale]:[Checkbox selezionato]],8,FALSE),"-")</f>
        <v>0</v>
      </c>
      <c r="AP540" s="63">
        <f>IFERROR(VLOOKUP(Table2[[#This Row],[Contraente]],Table1[[Nome/Ragione sociale]:[Checkbox selezionato]],10,FALSE),"-")</f>
        <v>3392905813</v>
      </c>
      <c r="AQ540" s="63" t="str">
        <f>IFERROR(VLOOKUP(Table2[[#This Row],[Contraente]],Table1[[Nome/Ragione sociale]:[Checkbox selezionato]],11,FALSE),"-")</f>
        <v>SI</v>
      </c>
      <c r="AR540" s="63" t="str">
        <f>IFERROR(VLOOKUP(Table2[[#This Row],[Contraente]],Table1[[Nome/Ragione sociale]:[Checkbox selezionato]],12,FALSE),"-")</f>
        <v>SI</v>
      </c>
    </row>
    <row r="541" spans="1:44" ht="30" hidden="1" customHeight="1" x14ac:dyDescent="0.25">
      <c r="A541" s="60" t="str">
        <f>UPPER(LEFT(Table2[[#This Row],[Contraente]],1))</f>
        <v>G</v>
      </c>
      <c r="B541" s="60" t="s">
        <v>1634</v>
      </c>
      <c r="C541" s="81" t="s">
        <v>702</v>
      </c>
      <c r="D541" s="81" t="s">
        <v>37</v>
      </c>
      <c r="E541" s="86">
        <v>100424092</v>
      </c>
      <c r="F541" s="64">
        <v>42864</v>
      </c>
      <c r="G541" s="64">
        <f>IFERROR(CALCOLASCADENZA(Table2[[#This Row],[Data attivazione]],Table2[[#This Row],[Rateizzazione]],Table2[[#This Row],[Data ultimo pagamento]],Table2[[#This Row],[Data prossima scadenza manuale]]),"-")</f>
        <v>43228</v>
      </c>
      <c r="H541" s="67" t="s">
        <v>30</v>
      </c>
      <c r="I541" s="67" t="s">
        <v>113</v>
      </c>
      <c r="J541" s="33">
        <f>IFERROR(Table2[[#This Row],[Importo annuale]]/(12/VLOOKUP(Table2[[#This Row],[Rateizzazione]],TIPI_RATEIZZAZIONI,2,FALSE)),"-")</f>
        <v>110</v>
      </c>
      <c r="K541" s="88">
        <v>110</v>
      </c>
      <c r="L541" s="88">
        <v>110</v>
      </c>
      <c r="M541" s="67" t="s">
        <v>44</v>
      </c>
      <c r="N541" s="67" t="s">
        <v>51</v>
      </c>
      <c r="O541" s="27" t="s">
        <v>1632</v>
      </c>
      <c r="P541" s="33" t="s">
        <v>23</v>
      </c>
      <c r="Q541" s="60">
        <f>IFERROR(IF(12 / VLOOKUP(Table2[[#This Row],[Rateizzazione]],TIPI_RATEIZZAZIONI,2,FALSE) &gt;=1,  IF(Table2[[#This Row],[Data attivazione]] = "","-",MONTH(Table2[[#This Row],[Data attivazione]])),"-"),"-")</f>
        <v>5</v>
      </c>
      <c r="R5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1" s="67" t="s">
        <v>2</v>
      </c>
      <c r="V541" s="62"/>
      <c r="W541" s="64">
        <v>39576</v>
      </c>
      <c r="X541" s="29">
        <f>DATE(YEAR(Table2[[#This Row],[Data attivazione]])+VLOOKUP(Table2[[#This Row],[Durata]],VALORE_DURATA,2,FALSE),MONTH(Table2[[#This Row],[Data attivazione]]),DAY(Table2[[#This Row],[Data attivazione]]))</f>
        <v>43228</v>
      </c>
      <c r="Y541" s="65"/>
      <c r="Z541" s="61"/>
      <c r="AA541" s="64" t="s">
        <v>85</v>
      </c>
      <c r="AB541" s="29" t="str">
        <f>IF(Table2[[#This Row],[Data ultimo versamento temp]]=0/1/1900,"-",Table2[[#This Row],[Data ultimo versamento temp]])</f>
        <v>-</v>
      </c>
      <c r="AC541" s="29">
        <f t="array" ref="AC541">MAX(IF(TableVersamenti[Polizza]=Table2[[#This Row],[Polizza]],TableVersamenti[Data prevista versamento],"-"))</f>
        <v>0</v>
      </c>
      <c r="AD541" s="62"/>
      <c r="AE541" s="106">
        <f>DATE(YEAR(Table2[[#This Row],[Data ultimo pagamento]]),MONTH(Table2[[#This Row],[Data ultimo pagamento]]), 1)</f>
        <v>42856</v>
      </c>
      <c r="AF541" s="106">
        <f>DATE(YEAR(Table2[[#This Row],[Data prossima scadenza]]),MONTH(Table2[[#This Row],[Data prossima scadenza]]), 1)</f>
        <v>43221</v>
      </c>
      <c r="AG541" s="33">
        <f>IFERROR(Table2[[#This Row],[Importo annuale]]*VLOOKUP(Table2[[#This Row],[Ramo]],RAMI_POLIZZA,2,FALSE),0)</f>
        <v>12.65</v>
      </c>
      <c r="AH541" s="65" t="s">
        <v>113</v>
      </c>
      <c r="AI541" s="63" t="str">
        <f>IFERROR(VLOOKUP(Table2[[#This Row],[Contraente]],Table1[[Nome/Ragione sociale]:[Checkbox selezionato]],2,FALSE),"-")</f>
        <v>BELGIOIOSO</v>
      </c>
      <c r="AJ541" s="63">
        <f>IFERROR(VLOOKUP(Table2[[#This Row],[Contraente]],Table1[[Nome/Ragione sociale]:[Checkbox selezionato]],3,FALSE),"-")</f>
        <v>3479623688</v>
      </c>
      <c r="AK541" s="63">
        <f>IFERROR(VLOOKUP(Table2[[#This Row],[Contraente]],Table1[[Nome/Ragione sociale]:[Checkbox selezionato]],4,FALSE),"-")</f>
        <v>0</v>
      </c>
      <c r="AL541" s="63" t="str">
        <f>IFERROR(VLOOKUP(Table2[[#This Row],[Contraente]],Table1[[Nome/Ragione sociale]:[Checkbox selezionato]],5,FALSE),"-")</f>
        <v>PIERANGELA</v>
      </c>
      <c r="AM541" s="62">
        <f>IFERROR(VLOOKUP(Table2[[#This Row],[Contraente]],Table1[[Nome/Ragione sociale]:[Checkbox selezionato]],6,FALSE),"-")</f>
        <v>19323</v>
      </c>
      <c r="AN541" s="63" t="str">
        <f>IFERROR(VLOOKUP(Table2[[#This Row],[Contraente]],Table1[[Nome/Ragione sociale]:[Checkbox selezionato]],7,FALSE),"-")</f>
        <v>papies@libero.it</v>
      </c>
      <c r="AO541" s="63">
        <f>IFERROR(VLOOKUP(Table2[[#This Row],[Contraente]],Table1[[Nome/Ragione sociale]:[Checkbox selezionato]],8,FALSE),"-")</f>
        <v>0</v>
      </c>
      <c r="AP541" s="63">
        <f>IFERROR(VLOOKUP(Table2[[#This Row],[Contraente]],Table1[[Nome/Ragione sociale]:[Checkbox selezionato]],10,FALSE),"-")</f>
        <v>3479623688</v>
      </c>
      <c r="AQ541" s="63" t="str">
        <f>IFERROR(VLOOKUP(Table2[[#This Row],[Contraente]],Table1[[Nome/Ragione sociale]:[Checkbox selezionato]],11,FALSE),"-")</f>
        <v>SI</v>
      </c>
      <c r="AR541" s="63" t="str">
        <f>IFERROR(VLOOKUP(Table2[[#This Row],[Contraente]],Table1[[Nome/Ragione sociale]:[Checkbox selezionato]],12,FALSE),"-")</f>
        <v>SI</v>
      </c>
    </row>
    <row r="542" spans="1:44" ht="30" hidden="1" customHeight="1" x14ac:dyDescent="0.25">
      <c r="A542" s="60" t="str">
        <f>UPPER(LEFT(Table2[[#This Row],[Contraente]],1))</f>
        <v>G</v>
      </c>
      <c r="B542" s="60" t="s">
        <v>1634</v>
      </c>
      <c r="C542" s="81" t="s">
        <v>704</v>
      </c>
      <c r="D542" s="81" t="s">
        <v>37</v>
      </c>
      <c r="E542" s="86">
        <v>105461308</v>
      </c>
      <c r="F542" s="64">
        <v>42839</v>
      </c>
      <c r="G542" s="64">
        <f>IFERROR(CALCOLASCADENZA(Table2[[#This Row],[Data attivazione]],Table2[[#This Row],[Rateizzazione]],Table2[[#This Row],[Data ultimo pagamento]],Table2[[#This Row],[Data prossima scadenza manuale]]),"-")</f>
        <v>43012</v>
      </c>
      <c r="H542" s="67" t="s">
        <v>31</v>
      </c>
      <c r="I542" s="67" t="s">
        <v>1341</v>
      </c>
      <c r="J542" s="33">
        <f>IFERROR(Table2[[#This Row],[Importo annuale]]/(12/VLOOKUP(Table2[[#This Row],[Rateizzazione]],TIPI_RATEIZZAZIONI,2,FALSE)),"-")</f>
        <v>599.84</v>
      </c>
      <c r="K542" s="88">
        <v>599.84</v>
      </c>
      <c r="L542" s="88">
        <v>1199.68</v>
      </c>
      <c r="M542" s="67" t="s">
        <v>44</v>
      </c>
      <c r="N542" s="67" t="s">
        <v>51</v>
      </c>
      <c r="O542" s="27" t="s">
        <v>1631</v>
      </c>
      <c r="P542" s="33" t="s">
        <v>22</v>
      </c>
      <c r="Q542" s="60">
        <f>IFERROR(IF(12 / VLOOKUP(Table2[[#This Row],[Rateizzazione]],TIPI_RATEIZZAZIONI,2,FALSE) &gt;=1,  IF(Table2[[#This Row],[Data attivazione]] = "","-",MONTH(Table2[[#This Row],[Data attivazione]])),"-"),"-")</f>
        <v>10</v>
      </c>
      <c r="R5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2" s="67" t="s">
        <v>2</v>
      </c>
      <c r="V542" s="62"/>
      <c r="W542" s="64">
        <v>42647</v>
      </c>
      <c r="X542" s="29">
        <f>DATE(YEAR(Table2[[#This Row],[Data attivazione]])+VLOOKUP(Table2[[#This Row],[Durata]],VALORE_DURATA,2,FALSE),MONTH(Table2[[#This Row],[Data attivazione]]),DAY(Table2[[#This Row],[Data attivazione]]))</f>
        <v>43012</v>
      </c>
      <c r="Y542" s="65"/>
      <c r="Z542" s="61"/>
      <c r="AA542" s="64" t="s">
        <v>85</v>
      </c>
      <c r="AB542" s="29" t="str">
        <f>IF(Table2[[#This Row],[Data ultimo versamento temp]]=0/1/1900,"-",Table2[[#This Row],[Data ultimo versamento temp]])</f>
        <v>-</v>
      </c>
      <c r="AC542" s="29">
        <f t="array" ref="AC542">MAX(IF(TableVersamenti[Polizza]=Table2[[#This Row],[Polizza]],TableVersamenti[Data prevista versamento],"-"))</f>
        <v>0</v>
      </c>
      <c r="AD542" s="62"/>
      <c r="AE542" s="106">
        <f>DATE(YEAR(Table2[[#This Row],[Data ultimo pagamento]]),MONTH(Table2[[#This Row],[Data ultimo pagamento]]), 1)</f>
        <v>42826</v>
      </c>
      <c r="AF542" s="106">
        <f>DATE(YEAR(Table2[[#This Row],[Data prossima scadenza]]),MONTH(Table2[[#This Row],[Data prossima scadenza]]), 1)</f>
        <v>43009</v>
      </c>
      <c r="AG542" s="33">
        <f>IFERROR(Table2[[#This Row],[Importo annuale]]*VLOOKUP(Table2[[#This Row],[Ramo]],RAMI_POLIZZA,2,FALSE),0)</f>
        <v>62.383360000000003</v>
      </c>
      <c r="AH542" s="65" t="s">
        <v>113</v>
      </c>
      <c r="AI542" s="63" t="str">
        <f>IFERROR(VLOOKUP(Table2[[#This Row],[Contraente]],Table1[[Nome/Ragione sociale]:[Checkbox selezionato]],2,FALSE),"-")</f>
        <v>BELGIOIOSO</v>
      </c>
      <c r="AJ542" s="63">
        <f>IFERROR(VLOOKUP(Table2[[#This Row],[Contraente]],Table1[[Nome/Ragione sociale]:[Checkbox selezionato]],3,FALSE),"-")</f>
        <v>3892762546</v>
      </c>
      <c r="AK542" s="63">
        <f>IFERROR(VLOOKUP(Table2[[#This Row],[Contraente]],Table1[[Nome/Ragione sociale]:[Checkbox selezionato]],4,FALSE),"-")</f>
        <v>0</v>
      </c>
      <c r="AL542" s="63" t="str">
        <f>IFERROR(VLOOKUP(Table2[[#This Row],[Contraente]],Table1[[Nome/Ragione sociale]:[Checkbox selezionato]],5,FALSE),"-")</f>
        <v>GIACOMO</v>
      </c>
      <c r="AM542" s="62">
        <f>IFERROR(VLOOKUP(Table2[[#This Row],[Contraente]],Table1[[Nome/Ragione sociale]:[Checkbox selezionato]],6,FALSE),"-")</f>
        <v>31668</v>
      </c>
      <c r="AN542" s="63" t="str">
        <f>IFERROR(VLOOKUP(Table2[[#This Row],[Contraente]],Table1[[Nome/Ragione sociale]:[Checkbox selezionato]],7,FALSE),"-")</f>
        <v>papies@libero.it</v>
      </c>
      <c r="AO542" s="63">
        <f>IFERROR(VLOOKUP(Table2[[#This Row],[Contraente]],Table1[[Nome/Ragione sociale]:[Checkbox selezionato]],8,FALSE),"-")</f>
        <v>0</v>
      </c>
      <c r="AP542" s="63">
        <f>IFERROR(VLOOKUP(Table2[[#This Row],[Contraente]],Table1[[Nome/Ragione sociale]:[Checkbox selezionato]],10,FALSE),"-")</f>
        <v>3892762546</v>
      </c>
      <c r="AQ542" s="63" t="str">
        <f>IFERROR(VLOOKUP(Table2[[#This Row],[Contraente]],Table1[[Nome/Ragione sociale]:[Checkbox selezionato]],11,FALSE),"-")</f>
        <v>SI</v>
      </c>
      <c r="AR542" s="63" t="str">
        <f>IFERROR(VLOOKUP(Table2[[#This Row],[Contraente]],Table1[[Nome/Ragione sociale]:[Checkbox selezionato]],12,FALSE),"-")</f>
        <v>SI</v>
      </c>
    </row>
    <row r="543" spans="1:44" ht="30" hidden="1" customHeight="1" x14ac:dyDescent="0.25">
      <c r="A543" s="60" t="str">
        <f>UPPER(LEFT(Table2[[#This Row],[Contraente]],1))</f>
        <v>G</v>
      </c>
      <c r="B543" s="60" t="s">
        <v>1634</v>
      </c>
      <c r="C543" s="81" t="s">
        <v>692</v>
      </c>
      <c r="D543" s="81" t="s">
        <v>37</v>
      </c>
      <c r="E543" s="86">
        <v>104948652</v>
      </c>
      <c r="F543" s="64">
        <v>42849</v>
      </c>
      <c r="G543" s="64">
        <f>IFERROR(CALCOLASCADENZA(Table2[[#This Row],[Data attivazione]],Table2[[#This Row],[Rateizzazione]],Table2[[#This Row],[Data ultimo pagamento]],Table2[[#This Row],[Data prossima scadenza manuale]]),"-")</f>
        <v>43030</v>
      </c>
      <c r="H543" s="67" t="s">
        <v>31</v>
      </c>
      <c r="I543" s="67" t="s">
        <v>1334</v>
      </c>
      <c r="J543" s="33">
        <f>IFERROR(Table2[[#This Row],[Importo annuale]]/(12/VLOOKUP(Table2[[#This Row],[Rateizzazione]],TIPI_RATEIZZAZIONI,2,FALSE)),"-")</f>
        <v>116</v>
      </c>
      <c r="K543" s="88">
        <v>116</v>
      </c>
      <c r="L543" s="88">
        <v>232</v>
      </c>
      <c r="M543" s="67" t="s">
        <v>43</v>
      </c>
      <c r="N543" s="67" t="s">
        <v>51</v>
      </c>
      <c r="O543" s="27" t="s">
        <v>1631</v>
      </c>
      <c r="P543" s="33" t="s">
        <v>22</v>
      </c>
      <c r="Q543" s="60">
        <f>IFERROR(IF(12 / VLOOKUP(Table2[[#This Row],[Rateizzazione]],TIPI_RATEIZZAZIONI,2,FALSE) &gt;=1,  IF(Table2[[#This Row],[Data attivazione]] = "","-",MONTH(Table2[[#This Row],[Data attivazione]])),"-"),"-")</f>
        <v>10</v>
      </c>
      <c r="R5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3" s="67" t="s">
        <v>2</v>
      </c>
      <c r="V543" s="62"/>
      <c r="W543" s="64">
        <v>42665</v>
      </c>
      <c r="X543" s="29">
        <f>DATE(YEAR(Table2[[#This Row],[Data attivazione]])+VLOOKUP(Table2[[#This Row],[Durata]],VALORE_DURATA,2,FALSE),MONTH(Table2[[#This Row],[Data attivazione]]),DAY(Table2[[#This Row],[Data attivazione]]))</f>
        <v>43030</v>
      </c>
      <c r="Y543" s="65"/>
      <c r="Z543" s="61"/>
      <c r="AA543" s="64" t="s">
        <v>85</v>
      </c>
      <c r="AB543" s="29" t="str">
        <f>IF(Table2[[#This Row],[Data ultimo versamento temp]]=0/1/1900,"-",Table2[[#This Row],[Data ultimo versamento temp]])</f>
        <v>-</v>
      </c>
      <c r="AC543" s="29">
        <f t="array" ref="AC543">MAX(IF(TableVersamenti[Polizza]=Table2[[#This Row],[Polizza]],TableVersamenti[Data prevista versamento],"-"))</f>
        <v>0</v>
      </c>
      <c r="AD543" s="62"/>
      <c r="AE543" s="106">
        <f>DATE(YEAR(Table2[[#This Row],[Data ultimo pagamento]]),MONTH(Table2[[#This Row],[Data ultimo pagamento]]), 1)</f>
        <v>42826</v>
      </c>
      <c r="AF543" s="106">
        <f>DATE(YEAR(Table2[[#This Row],[Data prossima scadenza]]),MONTH(Table2[[#This Row],[Data prossima scadenza]]), 1)</f>
        <v>43009</v>
      </c>
      <c r="AG543" s="33">
        <f>IFERROR(Table2[[#This Row],[Importo annuale]]*VLOOKUP(Table2[[#This Row],[Ramo]],RAMI_POLIZZA,2,FALSE),0)</f>
        <v>12.064</v>
      </c>
      <c r="AH543" s="65" t="s">
        <v>113</v>
      </c>
      <c r="AI543" s="63" t="str">
        <f>IFERROR(VLOOKUP(Table2[[#This Row],[Contraente]],Table1[[Nome/Ragione sociale]:[Checkbox selezionato]],2,FALSE),"-")</f>
        <v>SANTA CRISTINA E BISSONE</v>
      </c>
      <c r="AJ543" s="63">
        <f>IFERROR(VLOOKUP(Table2[[#This Row],[Contraente]],Table1[[Nome/Ragione sociale]:[Checkbox selezionato]],3,FALSE),"-")</f>
        <v>3475377275</v>
      </c>
      <c r="AK543" s="63">
        <f>IFERROR(VLOOKUP(Table2[[#This Row],[Contraente]],Table1[[Nome/Ragione sociale]:[Checkbox selezionato]],4,FALSE),"-")</f>
        <v>0</v>
      </c>
      <c r="AL543" s="63" t="str">
        <f>IFERROR(VLOOKUP(Table2[[#This Row],[Contraente]],Table1[[Nome/Ragione sociale]:[Checkbox selezionato]],5,FALSE),"-")</f>
        <v>GIUSEPPE</v>
      </c>
      <c r="AM543" s="62">
        <f>IFERROR(VLOOKUP(Table2[[#This Row],[Contraente]],Table1[[Nome/Ragione sociale]:[Checkbox selezionato]],6,FALSE),"-")</f>
        <v>19436</v>
      </c>
      <c r="AN543" s="63" t="str">
        <f>IFERROR(VLOOKUP(Table2[[#This Row],[Contraente]],Table1[[Nome/Ragione sociale]:[Checkbox selezionato]],7,FALSE),"-")</f>
        <v>papies@email.it</v>
      </c>
      <c r="AO543" s="63">
        <f>IFERROR(VLOOKUP(Table2[[#This Row],[Contraente]],Table1[[Nome/Ragione sociale]:[Checkbox selezionato]],8,FALSE),"-")</f>
        <v>0</v>
      </c>
      <c r="AP543" s="63">
        <f>IFERROR(VLOOKUP(Table2[[#This Row],[Contraente]],Table1[[Nome/Ragione sociale]:[Checkbox selezionato]],10,FALSE),"-")</f>
        <v>3475377275</v>
      </c>
      <c r="AQ543" s="63" t="str">
        <f>IFERROR(VLOOKUP(Table2[[#This Row],[Contraente]],Table1[[Nome/Ragione sociale]:[Checkbox selezionato]],11,FALSE),"-")</f>
        <v>SI</v>
      </c>
      <c r="AR543" s="63" t="str">
        <f>IFERROR(VLOOKUP(Table2[[#This Row],[Contraente]],Table1[[Nome/Ragione sociale]:[Checkbox selezionato]],12,FALSE),"-")</f>
        <v>SI</v>
      </c>
    </row>
    <row r="544" spans="1:44" ht="30" hidden="1" customHeight="1" x14ac:dyDescent="0.25">
      <c r="A544" s="60" t="str">
        <f>UPPER(LEFT(Table2[[#This Row],[Contraente]],1))</f>
        <v>G</v>
      </c>
      <c r="B544" s="60" t="s">
        <v>1634</v>
      </c>
      <c r="C544" s="81" t="s">
        <v>706</v>
      </c>
      <c r="D544" s="81" t="s">
        <v>37</v>
      </c>
      <c r="E544" s="86">
        <v>106731913</v>
      </c>
      <c r="F544" s="64">
        <v>42836</v>
      </c>
      <c r="G544" s="64">
        <f>IFERROR(CALCOLASCADENZA(Table2[[#This Row],[Data attivazione]],Table2[[#This Row],[Rateizzazione]],Table2[[#This Row],[Data ultimo pagamento]],Table2[[#This Row],[Data prossima scadenza manuale]]),"-")</f>
        <v>43201</v>
      </c>
      <c r="H544" s="67" t="s">
        <v>31</v>
      </c>
      <c r="I544" s="67" t="s">
        <v>1342</v>
      </c>
      <c r="J544" s="33">
        <f>IFERROR(Table2[[#This Row],[Importo annuale]]/(12/VLOOKUP(Table2[[#This Row],[Rateizzazione]],TIPI_RATEIZZAZIONI,2,FALSE)),"-")</f>
        <v>175.2</v>
      </c>
      <c r="K544" s="88">
        <v>175.2</v>
      </c>
      <c r="L544" s="88">
        <v>350.4</v>
      </c>
      <c r="M544" s="67" t="s">
        <v>43</v>
      </c>
      <c r="N544" s="67" t="s">
        <v>51</v>
      </c>
      <c r="O544" s="27" t="s">
        <v>1631</v>
      </c>
      <c r="P544" s="33" t="s">
        <v>22</v>
      </c>
      <c r="Q544" s="60">
        <f>IFERROR(IF(12 / VLOOKUP(Table2[[#This Row],[Rateizzazione]],TIPI_RATEIZZAZIONI,2,FALSE) &gt;=1,  IF(Table2[[#This Row],[Data attivazione]] = "","-",MONTH(Table2[[#This Row],[Data attivazione]])),"-"),"-")</f>
        <v>10</v>
      </c>
      <c r="R5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4" s="67" t="s">
        <v>2</v>
      </c>
      <c r="V544" s="62"/>
      <c r="W544" s="64">
        <v>43019</v>
      </c>
      <c r="X544" s="29">
        <f>DATE(YEAR(Table2[[#This Row],[Data attivazione]])+VLOOKUP(Table2[[#This Row],[Durata]],VALORE_DURATA,2,FALSE),MONTH(Table2[[#This Row],[Data attivazione]]),DAY(Table2[[#This Row],[Data attivazione]]))</f>
        <v>43384</v>
      </c>
      <c r="Y544" s="65"/>
      <c r="Z544" s="61"/>
      <c r="AA544" s="64" t="s">
        <v>85</v>
      </c>
      <c r="AB544" s="29" t="str">
        <f>IF(Table2[[#This Row],[Data ultimo versamento temp]]=0/1/1900,"-",Table2[[#This Row],[Data ultimo versamento temp]])</f>
        <v>-</v>
      </c>
      <c r="AC544" s="29">
        <f t="array" ref="AC544">MAX(IF(TableVersamenti[Polizza]=Table2[[#This Row],[Polizza]],TableVersamenti[Data prevista versamento],"-"))</f>
        <v>0</v>
      </c>
      <c r="AD544" s="62"/>
      <c r="AE544" s="106">
        <f>DATE(YEAR(Table2[[#This Row],[Data ultimo pagamento]]),MONTH(Table2[[#This Row],[Data ultimo pagamento]]), 1)</f>
        <v>42826</v>
      </c>
      <c r="AF544" s="106">
        <f>DATE(YEAR(Table2[[#This Row],[Data prossima scadenza]]),MONTH(Table2[[#This Row],[Data prossima scadenza]]), 1)</f>
        <v>43191</v>
      </c>
      <c r="AG544" s="33">
        <f>IFERROR(Table2[[#This Row],[Importo annuale]]*VLOOKUP(Table2[[#This Row],[Ramo]],RAMI_POLIZZA,2,FALSE),0)</f>
        <v>18.220799999999997</v>
      </c>
      <c r="AH544" s="65" t="s">
        <v>113</v>
      </c>
      <c r="AI544" s="63" t="str">
        <f>IFERROR(VLOOKUP(Table2[[#This Row],[Contraente]],Table1[[Nome/Ragione sociale]:[Checkbox selezionato]],2,FALSE),"-")</f>
        <v>SANTA CRISTINA E BISSONE</v>
      </c>
      <c r="AJ544" s="63">
        <f>IFERROR(VLOOKUP(Table2[[#This Row],[Contraente]],Table1[[Nome/Ragione sociale]:[Checkbox selezionato]],3,FALSE),"-")</f>
        <v>3475845691</v>
      </c>
      <c r="AK544" s="63">
        <f>IFERROR(VLOOKUP(Table2[[#This Row],[Contraente]],Table1[[Nome/Ragione sociale]:[Checkbox selezionato]],4,FALSE),"-")</f>
        <v>0</v>
      </c>
      <c r="AL544" s="63" t="str">
        <f>IFERROR(VLOOKUP(Table2[[#This Row],[Contraente]],Table1[[Nome/Ragione sociale]:[Checkbox selezionato]],5,FALSE),"-")</f>
        <v>MATTEO</v>
      </c>
      <c r="AM544" s="62">
        <f>IFERROR(VLOOKUP(Table2[[#This Row],[Contraente]],Table1[[Nome/Ragione sociale]:[Checkbox selezionato]],6,FALSE),"-")</f>
        <v>21567</v>
      </c>
      <c r="AN544" s="63" t="str">
        <f>IFERROR(VLOOKUP(Table2[[#This Row],[Contraente]],Table1[[Nome/Ragione sociale]:[Checkbox selezionato]],7,FALSE),"-")</f>
        <v>papies@libero.it</v>
      </c>
      <c r="AO544" s="63">
        <f>IFERROR(VLOOKUP(Table2[[#This Row],[Contraente]],Table1[[Nome/Ragione sociale]:[Checkbox selezionato]],8,FALSE),"-")</f>
        <v>0</v>
      </c>
      <c r="AP544" s="63">
        <f>IFERROR(VLOOKUP(Table2[[#This Row],[Contraente]],Table1[[Nome/Ragione sociale]:[Checkbox selezionato]],10,FALSE),"-")</f>
        <v>3475845691</v>
      </c>
      <c r="AQ544" s="63" t="str">
        <f>IFERROR(VLOOKUP(Table2[[#This Row],[Contraente]],Table1[[Nome/Ragione sociale]:[Checkbox selezionato]],11,FALSE),"-")</f>
        <v>SI</v>
      </c>
      <c r="AR544" s="63" t="str">
        <f>IFERROR(VLOOKUP(Table2[[#This Row],[Contraente]],Table1[[Nome/Ragione sociale]:[Checkbox selezionato]],12,FALSE),"-")</f>
        <v>SI</v>
      </c>
    </row>
    <row r="545" spans="1:44" ht="30" hidden="1" customHeight="1" x14ac:dyDescent="0.25">
      <c r="A545" s="60" t="str">
        <f>UPPER(LEFT(Table2[[#This Row],[Contraente]],1))</f>
        <v>G</v>
      </c>
      <c r="B545" s="60" t="s">
        <v>1634</v>
      </c>
      <c r="C545" s="81" t="s">
        <v>130</v>
      </c>
      <c r="D545" s="81" t="s">
        <v>37</v>
      </c>
      <c r="E545" s="86">
        <v>106380190</v>
      </c>
      <c r="F545" s="64">
        <v>42926</v>
      </c>
      <c r="G545" s="64">
        <f>IFERROR(CALCOLASCADENZA(Table2[[#This Row],[Data attivazione]],Table2[[#This Row],[Rateizzazione]],Table2[[#This Row],[Data ultimo pagamento]],Table2[[#This Row],[Data prossima scadenza manuale]]),"-")</f>
        <v>43281</v>
      </c>
      <c r="H545" s="67" t="s">
        <v>31</v>
      </c>
      <c r="I545" s="67" t="s">
        <v>1343</v>
      </c>
      <c r="J545" s="33">
        <f>IFERROR(Table2[[#This Row],[Importo annuale]]/(12/VLOOKUP(Table2[[#This Row],[Rateizzazione]],TIPI_RATEIZZAZIONI,2,FALSE)),"-")</f>
        <v>360.2</v>
      </c>
      <c r="K545" s="88">
        <v>360.2</v>
      </c>
      <c r="L545" s="88">
        <v>720.4</v>
      </c>
      <c r="M545" s="67" t="s">
        <v>44</v>
      </c>
      <c r="N545" s="67" t="s">
        <v>52</v>
      </c>
      <c r="O545" s="27" t="s">
        <v>1631</v>
      </c>
      <c r="P545" s="33" t="s">
        <v>22</v>
      </c>
      <c r="Q545" s="60">
        <f>IFERROR(IF(12 / VLOOKUP(Table2[[#This Row],[Rateizzazione]],TIPI_RATEIZZAZIONI,2,FALSE) &gt;=1,  IF(Table2[[#This Row],[Data attivazione]] = "","-",MONTH(Table2[[#This Row],[Data attivazione]])),"-"),"-")</f>
        <v>12</v>
      </c>
      <c r="R5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5" s="67" t="s">
        <v>133</v>
      </c>
      <c r="V545" s="62"/>
      <c r="W545" s="64">
        <v>43099</v>
      </c>
      <c r="X545" s="29">
        <f>DATE(YEAR(Table2[[#This Row],[Data attivazione]])+VLOOKUP(Table2[[#This Row],[Durata]],VALORE_DURATA,2,FALSE),MONTH(Table2[[#This Row],[Data attivazione]]),DAY(Table2[[#This Row],[Data attivazione]]))</f>
        <v>43464</v>
      </c>
      <c r="Y545" s="65"/>
      <c r="Z545" s="61"/>
      <c r="AA545" s="64" t="s">
        <v>85</v>
      </c>
      <c r="AB545" s="29">
        <f>IF(Table2[[#This Row],[Data ultimo versamento temp]]=0/1/1900,"-",Table2[[#This Row],[Data ultimo versamento temp]])</f>
        <v>42929</v>
      </c>
      <c r="AC545" s="29">
        <f t="array" ref="AC545">MAX(IF(TableVersamenti[Polizza]=Table2[[#This Row],[Polizza]],TableVersamenti[Data prevista versamento],"-"))</f>
        <v>42929</v>
      </c>
      <c r="AD545" s="62"/>
      <c r="AE545" s="106">
        <f>DATE(YEAR(Table2[[#This Row],[Data ultimo pagamento]]),MONTH(Table2[[#This Row],[Data ultimo pagamento]]), 1)</f>
        <v>42917</v>
      </c>
      <c r="AF545" s="106">
        <f>DATE(YEAR(Table2[[#This Row],[Data prossima scadenza]]),MONTH(Table2[[#This Row],[Data prossima scadenza]]), 1)</f>
        <v>43252</v>
      </c>
      <c r="AG545" s="33">
        <f>IFERROR(Table2[[#This Row],[Importo annuale]]*VLOOKUP(Table2[[#This Row],[Ramo]],RAMI_POLIZZA,2,FALSE),0)</f>
        <v>37.460799999999999</v>
      </c>
      <c r="AH545" s="65" t="s">
        <v>113</v>
      </c>
      <c r="AI545" s="63" t="str">
        <f>IFERROR(VLOOKUP(Table2[[#This Row],[Contraente]],Table1[[Nome/Ragione sociale]:[Checkbox selezionato]],2,FALSE),"-")</f>
        <v>CANNETO PAVESE</v>
      </c>
      <c r="AJ545" s="63">
        <f>IFERROR(VLOOKUP(Table2[[#This Row],[Contraente]],Table1[[Nome/Ragione sociale]:[Checkbox selezionato]],3,FALSE),"-")</f>
        <v>3392837449</v>
      </c>
      <c r="AK545" s="63">
        <f>IFERROR(VLOOKUP(Table2[[#This Row],[Contraente]],Table1[[Nome/Ragione sociale]:[Checkbox selezionato]],4,FALSE),"-")</f>
        <v>0</v>
      </c>
      <c r="AL545" s="63" t="str">
        <f>IFERROR(VLOOKUP(Table2[[#This Row],[Contraente]],Table1[[Nome/Ragione sociale]:[Checkbox selezionato]],5,FALSE),"-")</f>
        <v>BRUNO</v>
      </c>
      <c r="AM545" s="62">
        <f>IFERROR(VLOOKUP(Table2[[#This Row],[Contraente]],Table1[[Nome/Ragione sociale]:[Checkbox selezionato]],6,FALSE),"-")</f>
        <v>15423</v>
      </c>
      <c r="AN545" s="63" t="str">
        <f>IFERROR(VLOOKUP(Table2[[#This Row],[Contraente]],Table1[[Nome/Ragione sociale]:[Checkbox selezionato]],7,FALSE),"-")</f>
        <v>papies@libero.it</v>
      </c>
      <c r="AO545" s="63">
        <f>IFERROR(VLOOKUP(Table2[[#This Row],[Contraente]],Table1[[Nome/Ragione sociale]:[Checkbox selezionato]],8,FALSE),"-")</f>
        <v>0</v>
      </c>
      <c r="AP545" s="63">
        <f>IFERROR(VLOOKUP(Table2[[#This Row],[Contraente]],Table1[[Nome/Ragione sociale]:[Checkbox selezionato]],10,FALSE),"-")</f>
        <v>3392837449</v>
      </c>
      <c r="AQ545" s="63" t="str">
        <f>IFERROR(VLOOKUP(Table2[[#This Row],[Contraente]],Table1[[Nome/Ragione sociale]:[Checkbox selezionato]],11,FALSE),"-")</f>
        <v>SI</v>
      </c>
      <c r="AR545" s="63" t="str">
        <f>IFERROR(VLOOKUP(Table2[[#This Row],[Contraente]],Table1[[Nome/Ragione sociale]:[Checkbox selezionato]],12,FALSE),"-")</f>
        <v>SI</v>
      </c>
    </row>
    <row r="546" spans="1:44" ht="30" hidden="1" customHeight="1" x14ac:dyDescent="0.25">
      <c r="A546" s="60" t="str">
        <f>UPPER(LEFT(Table2[[#This Row],[Contraente]],1))</f>
        <v>G</v>
      </c>
      <c r="B546" s="60" t="s">
        <v>1634</v>
      </c>
      <c r="C546" s="81" t="s">
        <v>130</v>
      </c>
      <c r="D546" s="81" t="s">
        <v>37</v>
      </c>
      <c r="E546" s="86">
        <v>103380774</v>
      </c>
      <c r="F546" s="64">
        <v>42761</v>
      </c>
      <c r="G546" s="64">
        <f>IFERROR(CALCOLASCADENZA(Table2[[#This Row],[Data attivazione]],Table2[[#This Row],[Rateizzazione]],Table2[[#This Row],[Data ultimo pagamento]],Table2[[#This Row],[Data prossima scadenza manuale]]),"-")</f>
        <v>42942</v>
      </c>
      <c r="H546" s="67" t="s">
        <v>30</v>
      </c>
      <c r="I546" s="67" t="s">
        <v>113</v>
      </c>
      <c r="J546" s="33">
        <f>IFERROR(Table2[[#This Row],[Importo annuale]]/(12/VLOOKUP(Table2[[#This Row],[Rateizzazione]],TIPI_RATEIZZAZIONI,2,FALSE)),"-")</f>
        <v>203</v>
      </c>
      <c r="K546" s="88">
        <v>203</v>
      </c>
      <c r="L546" s="88">
        <v>406</v>
      </c>
      <c r="M546" s="67" t="s">
        <v>44</v>
      </c>
      <c r="N546" s="67" t="s">
        <v>51</v>
      </c>
      <c r="O546" s="27" t="s">
        <v>1631</v>
      </c>
      <c r="P546" s="33" t="s">
        <v>22</v>
      </c>
      <c r="Q546" s="60">
        <f>IFERROR(IF(12 / VLOOKUP(Table2[[#This Row],[Rateizzazione]],TIPI_RATEIZZAZIONI,2,FALSE) &gt;=1,  IF(Table2[[#This Row],[Data attivazione]] = "","-",MONTH(Table2[[#This Row],[Data attivazione]])),"-"),"-")</f>
        <v>7</v>
      </c>
      <c r="R5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6" s="67" t="s">
        <v>133</v>
      </c>
      <c r="V546" s="62"/>
      <c r="W546" s="64">
        <v>42577</v>
      </c>
      <c r="X546" s="29">
        <f>DATE(YEAR(Table2[[#This Row],[Data attivazione]])+VLOOKUP(Table2[[#This Row],[Durata]],VALORE_DURATA,2,FALSE),MONTH(Table2[[#This Row],[Data attivazione]]),DAY(Table2[[#This Row],[Data attivazione]]))</f>
        <v>42942</v>
      </c>
      <c r="Y546" s="65"/>
      <c r="Z546" s="61"/>
      <c r="AA546" s="64" t="s">
        <v>85</v>
      </c>
      <c r="AB546" s="29" t="str">
        <f>IF(Table2[[#This Row],[Data ultimo versamento temp]]=0/1/1900,"-",Table2[[#This Row],[Data ultimo versamento temp]])</f>
        <v>-</v>
      </c>
      <c r="AC546" s="29">
        <f t="array" ref="AC546">MAX(IF(TableVersamenti[Polizza]=Table2[[#This Row],[Polizza]],TableVersamenti[Data prevista versamento],"-"))</f>
        <v>0</v>
      </c>
      <c r="AD546" s="62"/>
      <c r="AE546" s="106">
        <f>DATE(YEAR(Table2[[#This Row],[Data ultimo pagamento]]),MONTH(Table2[[#This Row],[Data ultimo pagamento]]), 1)</f>
        <v>42736</v>
      </c>
      <c r="AF546" s="106">
        <f>DATE(YEAR(Table2[[#This Row],[Data prossima scadenza]]),MONTH(Table2[[#This Row],[Data prossima scadenza]]), 1)</f>
        <v>42917</v>
      </c>
      <c r="AG546" s="33">
        <f>IFERROR(Table2[[#This Row],[Importo annuale]]*VLOOKUP(Table2[[#This Row],[Ramo]],RAMI_POLIZZA,2,FALSE),0)</f>
        <v>46.690000000000005</v>
      </c>
      <c r="AH546" s="65" t="s">
        <v>113</v>
      </c>
      <c r="AI546" s="63" t="str">
        <f>IFERROR(VLOOKUP(Table2[[#This Row],[Contraente]],Table1[[Nome/Ragione sociale]:[Checkbox selezionato]],2,FALSE),"-")</f>
        <v>CANNETO PAVESE</v>
      </c>
      <c r="AJ546" s="63">
        <f>IFERROR(VLOOKUP(Table2[[#This Row],[Contraente]],Table1[[Nome/Ragione sociale]:[Checkbox selezionato]],3,FALSE),"-")</f>
        <v>3392837449</v>
      </c>
      <c r="AK546" s="63">
        <f>IFERROR(VLOOKUP(Table2[[#This Row],[Contraente]],Table1[[Nome/Ragione sociale]:[Checkbox selezionato]],4,FALSE),"-")</f>
        <v>0</v>
      </c>
      <c r="AL546" s="63" t="str">
        <f>IFERROR(VLOOKUP(Table2[[#This Row],[Contraente]],Table1[[Nome/Ragione sociale]:[Checkbox selezionato]],5,FALSE),"-")</f>
        <v>BRUNO</v>
      </c>
      <c r="AM546" s="62">
        <f>IFERROR(VLOOKUP(Table2[[#This Row],[Contraente]],Table1[[Nome/Ragione sociale]:[Checkbox selezionato]],6,FALSE),"-")</f>
        <v>15423</v>
      </c>
      <c r="AN546" s="63" t="str">
        <f>IFERROR(VLOOKUP(Table2[[#This Row],[Contraente]],Table1[[Nome/Ragione sociale]:[Checkbox selezionato]],7,FALSE),"-")</f>
        <v>papies@libero.it</v>
      </c>
      <c r="AO546" s="63">
        <f>IFERROR(VLOOKUP(Table2[[#This Row],[Contraente]],Table1[[Nome/Ragione sociale]:[Checkbox selezionato]],8,FALSE),"-")</f>
        <v>0</v>
      </c>
      <c r="AP546" s="63">
        <f>IFERROR(VLOOKUP(Table2[[#This Row],[Contraente]],Table1[[Nome/Ragione sociale]:[Checkbox selezionato]],10,FALSE),"-")</f>
        <v>3392837449</v>
      </c>
      <c r="AQ546" s="63" t="str">
        <f>IFERROR(VLOOKUP(Table2[[#This Row],[Contraente]],Table1[[Nome/Ragione sociale]:[Checkbox selezionato]],11,FALSE),"-")</f>
        <v>SI</v>
      </c>
      <c r="AR546" s="63" t="str">
        <f>IFERROR(VLOOKUP(Table2[[#This Row],[Contraente]],Table1[[Nome/Ragione sociale]:[Checkbox selezionato]],12,FALSE),"-")</f>
        <v>SI</v>
      </c>
    </row>
    <row r="547" spans="1:44" ht="30" hidden="1" customHeight="1" x14ac:dyDescent="0.25">
      <c r="A547" s="60" t="str">
        <f>UPPER(LEFT(Table2[[#This Row],[Contraente]],1))</f>
        <v>G</v>
      </c>
      <c r="B547" s="60" t="s">
        <v>1634</v>
      </c>
      <c r="C547" s="81" t="s">
        <v>707</v>
      </c>
      <c r="D547" s="81" t="s">
        <v>37</v>
      </c>
      <c r="E547" s="86">
        <v>104628398</v>
      </c>
      <c r="F547" s="64">
        <v>42391</v>
      </c>
      <c r="G547" s="64">
        <f>IFERROR(CALCOLASCADENZA(Table2[[#This Row],[Data attivazione]],Table2[[#This Row],[Rateizzazione]],Table2[[#This Row],[Data ultimo pagamento]],Table2[[#This Row],[Data prossima scadenza manuale]]),"-")</f>
        <v>42564</v>
      </c>
      <c r="H547" s="67" t="s">
        <v>31</v>
      </c>
      <c r="I547" s="67" t="s">
        <v>1344</v>
      </c>
      <c r="J547" s="33">
        <f>IFERROR(Table2[[#This Row],[Importo annuale]]/(12/VLOOKUP(Table2[[#This Row],[Rateizzazione]],TIPI_RATEIZZAZIONI,2,FALSE)),"-")</f>
        <v>395</v>
      </c>
      <c r="K547" s="88"/>
      <c r="L547" s="88">
        <v>790</v>
      </c>
      <c r="M547" s="67" t="s">
        <v>45</v>
      </c>
      <c r="N547" s="67" t="s">
        <v>52</v>
      </c>
      <c r="O547" s="27" t="s">
        <v>1631</v>
      </c>
      <c r="P547" s="33" t="s">
        <v>22</v>
      </c>
      <c r="Q547" s="60">
        <f>IFERROR(IF(12 / VLOOKUP(Table2[[#This Row],[Rateizzazione]],TIPI_RATEIZZAZIONI,2,FALSE) &gt;=1,  IF(Table2[[#This Row],[Data attivazione]] = "","-",MONTH(Table2[[#This Row],[Data attivazione]])),"-"),"-")</f>
        <v>7</v>
      </c>
      <c r="R5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7" s="67" t="s">
        <v>2</v>
      </c>
      <c r="V547" s="62"/>
      <c r="W547" s="64">
        <v>42198</v>
      </c>
      <c r="X547" s="29">
        <f>DATE(YEAR(Table2[[#This Row],[Data attivazione]])+VLOOKUP(Table2[[#This Row],[Durata]],VALORE_DURATA,2,FALSE),MONTH(Table2[[#This Row],[Data attivazione]]),DAY(Table2[[#This Row],[Data attivazione]]))</f>
        <v>42564</v>
      </c>
      <c r="Y547" s="65"/>
      <c r="Z547" s="61"/>
      <c r="AA547" s="64" t="s">
        <v>88</v>
      </c>
      <c r="AB547" s="29" t="str">
        <f>IF(Table2[[#This Row],[Data ultimo versamento temp]]=0/1/1900,"-",Table2[[#This Row],[Data ultimo versamento temp]])</f>
        <v>-</v>
      </c>
      <c r="AC547" s="29">
        <f t="array" ref="AC547">MAX(IF(TableVersamenti[Polizza]=Table2[[#This Row],[Polizza]],TableVersamenti[Data prevista versamento],"-"))</f>
        <v>0</v>
      </c>
      <c r="AD547" s="62"/>
      <c r="AE547" s="106">
        <f>DATE(YEAR(Table2[[#This Row],[Data ultimo pagamento]]),MONTH(Table2[[#This Row],[Data ultimo pagamento]]), 1)</f>
        <v>42370</v>
      </c>
      <c r="AF547" s="106">
        <f>DATE(YEAR(Table2[[#This Row],[Data prossima scadenza]]),MONTH(Table2[[#This Row],[Data prossima scadenza]]), 1)</f>
        <v>42552</v>
      </c>
      <c r="AG547" s="33">
        <f>IFERROR(Table2[[#This Row],[Importo annuale]]*VLOOKUP(Table2[[#This Row],[Ramo]],RAMI_POLIZZA,2,FALSE),0)</f>
        <v>41.08</v>
      </c>
      <c r="AH547" s="65" t="s">
        <v>113</v>
      </c>
      <c r="AI547" s="63" t="str">
        <f>IFERROR(VLOOKUP(Table2[[#This Row],[Contraente]],Table1[[Nome/Ragione sociale]:[Checkbox selezionato]],2,FALSE),"-")</f>
        <v>TRENTO</v>
      </c>
      <c r="AJ547" s="63">
        <f>IFERROR(VLOOKUP(Table2[[#This Row],[Contraente]],Table1[[Nome/Ragione sociale]:[Checkbox selezionato]],3,FALSE),"-")</f>
        <v>3888157100</v>
      </c>
      <c r="AK547" s="63">
        <f>IFERROR(VLOOKUP(Table2[[#This Row],[Contraente]],Table1[[Nome/Ragione sociale]:[Checkbox selezionato]],4,FALSE),"-")</f>
        <v>0</v>
      </c>
      <c r="AL547" s="63" t="str">
        <f>IFERROR(VLOOKUP(Table2[[#This Row],[Contraente]],Table1[[Nome/Ragione sociale]:[Checkbox selezionato]],5,FALSE),"-")</f>
        <v>FRATELLO DANIEL</v>
      </c>
      <c r="AM547" s="62">
        <f>IFERROR(VLOOKUP(Table2[[#This Row],[Contraente]],Table1[[Nome/Ragione sociale]:[Checkbox selezionato]],6,FALSE),"-")</f>
        <v>33534</v>
      </c>
      <c r="AN547" s="63" t="str">
        <f>IFERROR(VLOOKUP(Table2[[#This Row],[Contraente]],Table1[[Nome/Ragione sociale]:[Checkbox selezionato]],7,FALSE),"-")</f>
        <v>papies@email.it</v>
      </c>
      <c r="AO547" s="63">
        <f>IFERROR(VLOOKUP(Table2[[#This Row],[Contraente]],Table1[[Nome/Ragione sociale]:[Checkbox selezionato]],8,FALSE),"-")</f>
        <v>0</v>
      </c>
      <c r="AP547" s="63">
        <f>IFERROR(VLOOKUP(Table2[[#This Row],[Contraente]],Table1[[Nome/Ragione sociale]:[Checkbox selezionato]],10,FALSE),"-")</f>
        <v>3888157100</v>
      </c>
      <c r="AQ547" s="63" t="str">
        <f>IFERROR(VLOOKUP(Table2[[#This Row],[Contraente]],Table1[[Nome/Ragione sociale]:[Checkbox selezionato]],11,FALSE),"-")</f>
        <v>SI</v>
      </c>
      <c r="AR547" s="63" t="str">
        <f>IFERROR(VLOOKUP(Table2[[#This Row],[Contraente]],Table1[[Nome/Ragione sociale]:[Checkbox selezionato]],12,FALSE),"-")</f>
        <v>SI</v>
      </c>
    </row>
    <row r="548" spans="1:44" ht="30" hidden="1" customHeight="1" x14ac:dyDescent="0.25">
      <c r="A548" s="60" t="str">
        <f>UPPER(LEFT(Table2[[#This Row],[Contraente]],1))</f>
        <v>H</v>
      </c>
      <c r="B548" s="60" t="s">
        <v>1634</v>
      </c>
      <c r="C548" s="81" t="s">
        <v>710</v>
      </c>
      <c r="D548" s="81" t="s">
        <v>37</v>
      </c>
      <c r="E548" s="86">
        <v>103742970</v>
      </c>
      <c r="F548" s="64">
        <v>42076</v>
      </c>
      <c r="G548" s="64">
        <f>IFERROR(CALCOLASCADENZA(Table2[[#This Row],[Data attivazione]],Table2[[#This Row],[Rateizzazione]],Table2[[#This Row],[Data ultimo pagamento]],Table2[[#This Row],[Data prossima scadenza manuale]]),"-")</f>
        <v>42076</v>
      </c>
      <c r="H548" s="67" t="s">
        <v>31</v>
      </c>
      <c r="I548" s="67"/>
      <c r="J548" s="33">
        <v>-214.63</v>
      </c>
      <c r="K548" s="88"/>
      <c r="L548" s="88">
        <v>0</v>
      </c>
      <c r="M548" s="67" t="s">
        <v>43</v>
      </c>
      <c r="N548" s="67" t="s">
        <v>51</v>
      </c>
      <c r="O548" s="27" t="s">
        <v>1631</v>
      </c>
      <c r="P548" s="33" t="s">
        <v>24</v>
      </c>
      <c r="Q54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8" s="67" t="s">
        <v>2</v>
      </c>
      <c r="V548" s="62"/>
      <c r="W548" s="64">
        <v>693597</v>
      </c>
      <c r="X548" s="29">
        <f>DATE(YEAR(Table2[[#This Row],[Data attivazione]])+VLOOKUP(Table2[[#This Row],[Durata]],VALORE_DURATA,2,FALSE),MONTH(Table2[[#This Row],[Data attivazione]]),DAY(Table2[[#This Row],[Data attivazione]]))</f>
        <v>693962</v>
      </c>
      <c r="Y548" s="65"/>
      <c r="Z548" s="61"/>
      <c r="AA548" s="64" t="s">
        <v>88</v>
      </c>
      <c r="AB548" s="29" t="str">
        <f>IF(Table2[[#This Row],[Data ultimo versamento temp]]=0/1/1900,"-",Table2[[#This Row],[Data ultimo versamento temp]])</f>
        <v>-</v>
      </c>
      <c r="AC548" s="29">
        <f t="array" ref="AC548">MAX(IF(TableVersamenti[Polizza]=Table2[[#This Row],[Polizza]],TableVersamenti[Data prevista versamento],"-"))</f>
        <v>0</v>
      </c>
      <c r="AD548" s="62"/>
      <c r="AE548" s="106">
        <f>DATE(YEAR(Table2[[#This Row],[Data ultimo pagamento]]),MONTH(Table2[[#This Row],[Data ultimo pagamento]]), 1)</f>
        <v>42064</v>
      </c>
      <c r="AF548" s="106">
        <f>DATE(YEAR(Table2[[#This Row],[Data prossima scadenza]]),MONTH(Table2[[#This Row],[Data prossima scadenza]]), 1)</f>
        <v>42064</v>
      </c>
      <c r="AG548" s="33">
        <f>IFERROR(Table2[[#This Row],[Importo annuale]]*VLOOKUP(Table2[[#This Row],[Ramo]],RAMI_POLIZZA,2,FALSE),0)</f>
        <v>0</v>
      </c>
      <c r="AH548" s="65" t="s">
        <v>113</v>
      </c>
      <c r="AI548" s="63" t="str">
        <f>IFERROR(VLOOKUP(Table2[[#This Row],[Contraente]],Table1[[Nome/Ragione sociale]:[Checkbox selezionato]],2,FALSE),"-")</f>
        <v xml:space="preserve">PAVIA </v>
      </c>
      <c r="AJ548" s="63">
        <f>IFERROR(VLOOKUP(Table2[[#This Row],[Contraente]],Table1[[Nome/Ragione sociale]:[Checkbox selezionato]],3,FALSE),"-")</f>
        <v>3889514722</v>
      </c>
      <c r="AK548" s="63">
        <f>IFERROR(VLOOKUP(Table2[[#This Row],[Contraente]],Table1[[Nome/Ragione sociale]:[Checkbox selezionato]],4,FALSE),"-")</f>
        <v>0</v>
      </c>
      <c r="AL548" s="63" t="str">
        <f>IFERROR(VLOOKUP(Table2[[#This Row],[Contraente]],Table1[[Nome/Ragione sociale]:[Checkbox selezionato]],5,FALSE),"-")</f>
        <v xml:space="preserve">ELISABETA </v>
      </c>
      <c r="AM548" s="62">
        <f>IFERROR(VLOOKUP(Table2[[#This Row],[Contraente]],Table1[[Nome/Ragione sociale]:[Checkbox selezionato]],6,FALSE),"-")</f>
        <v>22888</v>
      </c>
      <c r="AN548" s="63" t="str">
        <f>IFERROR(VLOOKUP(Table2[[#This Row],[Contraente]],Table1[[Nome/Ragione sociale]:[Checkbox selezionato]],7,FALSE),"-")</f>
        <v>papies@libero.it</v>
      </c>
      <c r="AO548" s="63">
        <f>IFERROR(VLOOKUP(Table2[[#This Row],[Contraente]],Table1[[Nome/Ragione sociale]:[Checkbox selezionato]],8,FALSE),"-")</f>
        <v>0</v>
      </c>
      <c r="AP548" s="63">
        <f>IFERROR(VLOOKUP(Table2[[#This Row],[Contraente]],Table1[[Nome/Ragione sociale]:[Checkbox selezionato]],10,FALSE),"-")</f>
        <v>3889514722</v>
      </c>
      <c r="AQ548" s="63" t="str">
        <f>IFERROR(VLOOKUP(Table2[[#This Row],[Contraente]],Table1[[Nome/Ragione sociale]:[Checkbox selezionato]],11,FALSE),"-")</f>
        <v>SI</v>
      </c>
      <c r="AR548" s="63" t="str">
        <f>IFERROR(VLOOKUP(Table2[[#This Row],[Contraente]],Table1[[Nome/Ragione sociale]:[Checkbox selezionato]],12,FALSE),"-")</f>
        <v>SI</v>
      </c>
    </row>
    <row r="549" spans="1:44" ht="30" hidden="1" customHeight="1" x14ac:dyDescent="0.25">
      <c r="A549" s="60" t="str">
        <f>UPPER(LEFT(Table2[[#This Row],[Contraente]],1))</f>
        <v>H</v>
      </c>
      <c r="B549" s="60" t="s">
        <v>1634</v>
      </c>
      <c r="C549" s="81" t="s">
        <v>715</v>
      </c>
      <c r="D549" s="81" t="s">
        <v>37</v>
      </c>
      <c r="E549" s="86">
        <v>102687680</v>
      </c>
      <c r="F549" s="64">
        <v>42060</v>
      </c>
      <c r="G549" s="64">
        <f>IFERROR(CALCOLASCADENZA(Table2[[#This Row],[Data attivazione]],Table2[[#This Row],[Rateizzazione]],Table2[[#This Row],[Data ultimo pagamento]],Table2[[#This Row],[Data prossima scadenza manuale]]),"-")</f>
        <v>693778</v>
      </c>
      <c r="H549" s="67" t="s">
        <v>31</v>
      </c>
      <c r="I549" s="67"/>
      <c r="J549" s="33">
        <f>IFERROR(Table2[[#This Row],[Importo annuale]]/(12/VLOOKUP(Table2[[#This Row],[Rateizzazione]],TIPI_RATEIZZAZIONI,2,FALSE)),"-")</f>
        <v>477</v>
      </c>
      <c r="K549" s="88"/>
      <c r="L549" s="88">
        <v>954</v>
      </c>
      <c r="M549" s="67" t="s">
        <v>44</v>
      </c>
      <c r="N549" s="67" t="s">
        <v>51</v>
      </c>
      <c r="O549" s="27" t="s">
        <v>1631</v>
      </c>
      <c r="P549" s="33" t="s">
        <v>22</v>
      </c>
      <c r="Q549" s="60">
        <f>IFERROR(IF(12 / VLOOKUP(Table2[[#This Row],[Rateizzazione]],TIPI_RATEIZZAZIONI,2,FALSE) &gt;=1,  IF(Table2[[#This Row],[Data attivazione]] = "","-",MONTH(Table2[[#This Row],[Data attivazione]])),"-"),"-")</f>
        <v>12</v>
      </c>
      <c r="R5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9" s="67" t="s">
        <v>133</v>
      </c>
      <c r="V549" s="62"/>
      <c r="W549" s="64">
        <v>693597</v>
      </c>
      <c r="X549" s="29">
        <f>DATE(YEAR(Table2[[#This Row],[Data attivazione]])+VLOOKUP(Table2[[#This Row],[Durata]],VALORE_DURATA,2,FALSE),MONTH(Table2[[#This Row],[Data attivazione]]),DAY(Table2[[#This Row],[Data attivazione]]))</f>
        <v>693962</v>
      </c>
      <c r="Y549" s="65"/>
      <c r="Z549" s="61"/>
      <c r="AA549" s="64" t="s">
        <v>88</v>
      </c>
      <c r="AB549" s="29" t="str">
        <f>IF(Table2[[#This Row],[Data ultimo versamento temp]]=0/1/1900,"-",Table2[[#This Row],[Data ultimo versamento temp]])</f>
        <v>-</v>
      </c>
      <c r="AC549" s="29">
        <f t="array" ref="AC549">MAX(IF(TableVersamenti[Polizza]=Table2[[#This Row],[Polizza]],TableVersamenti[Data prevista versamento],"-"))</f>
        <v>0</v>
      </c>
      <c r="AD549" s="62"/>
      <c r="AE549" s="106">
        <f>DATE(YEAR(Table2[[#This Row],[Data ultimo pagamento]]),MONTH(Table2[[#This Row],[Data ultimo pagamento]]), 1)</f>
        <v>42036</v>
      </c>
      <c r="AF549" s="106">
        <f>DATE(YEAR(Table2[[#This Row],[Data prossima scadenza]]),MONTH(Table2[[#This Row],[Data prossima scadenza]]), 1)</f>
        <v>693749</v>
      </c>
      <c r="AG549" s="33">
        <f>IFERROR(Table2[[#This Row],[Importo annuale]]*VLOOKUP(Table2[[#This Row],[Ramo]],RAMI_POLIZZA,2,FALSE),0)</f>
        <v>49.607999999999997</v>
      </c>
      <c r="AH549" s="65" t="s">
        <v>113</v>
      </c>
      <c r="AI549" s="63" t="str">
        <f>IFERROR(VLOOKUP(Table2[[#This Row],[Contraente]],Table1[[Nome/Ragione sociale]:[Checkbox selezionato]],2,FALSE),"-")</f>
        <v>SPINETTA MARENGO</v>
      </c>
      <c r="AJ549" s="63">
        <f>IFERROR(VLOOKUP(Table2[[#This Row],[Contraente]],Table1[[Nome/Ragione sociale]:[Checkbox selezionato]],3,FALSE),"-")</f>
        <v>0</v>
      </c>
      <c r="AK549" s="63">
        <f>IFERROR(VLOOKUP(Table2[[#This Row],[Contraente]],Table1[[Nome/Ragione sociale]:[Checkbox selezionato]],4,FALSE),"-")</f>
        <v>0</v>
      </c>
      <c r="AL549" s="63">
        <f>IFERROR(VLOOKUP(Table2[[#This Row],[Contraente]],Table1[[Nome/Ragione sociale]:[Checkbox selezionato]],5,FALSE),"-")</f>
        <v>0</v>
      </c>
      <c r="AM549" s="62">
        <f>IFERROR(VLOOKUP(Table2[[#This Row],[Contraente]],Table1[[Nome/Ragione sociale]:[Checkbox selezionato]],6,FALSE),"-")</f>
        <v>20606</v>
      </c>
      <c r="AN549" s="63" t="str">
        <f>IFERROR(VLOOKUP(Table2[[#This Row],[Contraente]],Table1[[Nome/Ragione sociale]:[Checkbox selezionato]],7,FALSE),"-")</f>
        <v>papies@libero.it</v>
      </c>
      <c r="AO549" s="63">
        <f>IFERROR(VLOOKUP(Table2[[#This Row],[Contraente]],Table1[[Nome/Ragione sociale]:[Checkbox selezionato]],8,FALSE),"-")</f>
        <v>0</v>
      </c>
      <c r="AP549" s="63">
        <f>IFERROR(VLOOKUP(Table2[[#This Row],[Contraente]],Table1[[Nome/Ragione sociale]:[Checkbox selezionato]],10,FALSE),"-")</f>
        <v>0</v>
      </c>
      <c r="AQ549" s="63" t="str">
        <f>IFERROR(VLOOKUP(Table2[[#This Row],[Contraente]],Table1[[Nome/Ragione sociale]:[Checkbox selezionato]],11,FALSE),"-")</f>
        <v>SI</v>
      </c>
      <c r="AR549" s="63" t="str">
        <f>IFERROR(VLOOKUP(Table2[[#This Row],[Contraente]],Table1[[Nome/Ragione sociale]:[Checkbox selezionato]],12,FALSE),"-")</f>
        <v>SI</v>
      </c>
    </row>
    <row r="550" spans="1:44" ht="30" hidden="1" customHeight="1" x14ac:dyDescent="0.25">
      <c r="A550" s="60" t="str">
        <f>UPPER(LEFT(Table2[[#This Row],[Contraente]],1))</f>
        <v>H</v>
      </c>
      <c r="B550" s="60" t="s">
        <v>1634</v>
      </c>
      <c r="C550" s="81" t="s">
        <v>712</v>
      </c>
      <c r="D550" s="81" t="s">
        <v>37</v>
      </c>
      <c r="E550" s="86">
        <v>106561526</v>
      </c>
      <c r="F550" s="64">
        <v>42790</v>
      </c>
      <c r="G550" s="64">
        <f>IFERROR(CALCOLASCADENZA(Table2[[#This Row],[Data attivazione]],Table2[[#This Row],[Rateizzazione]],Table2[[#This Row],[Data ultimo pagamento]],Table2[[#This Row],[Data prossima scadenza manuale]]),"-")</f>
        <v>42971</v>
      </c>
      <c r="H550" s="67" t="s">
        <v>31</v>
      </c>
      <c r="I550" s="67" t="s">
        <v>1345</v>
      </c>
      <c r="J550" s="33">
        <f>IFERROR(Table2[[#This Row],[Importo annuale]]/(12/VLOOKUP(Table2[[#This Row],[Rateizzazione]],TIPI_RATEIZZAZIONI,2,FALSE)),"-")</f>
        <v>650</v>
      </c>
      <c r="K550" s="88">
        <v>650</v>
      </c>
      <c r="L550" s="88">
        <v>1300</v>
      </c>
      <c r="M550" s="67" t="s">
        <v>43</v>
      </c>
      <c r="N550" s="67" t="s">
        <v>52</v>
      </c>
      <c r="O550" s="27" t="s">
        <v>1631</v>
      </c>
      <c r="P550" s="33" t="s">
        <v>22</v>
      </c>
      <c r="Q550" s="60">
        <f>IFERROR(IF(12 / VLOOKUP(Table2[[#This Row],[Rateizzazione]],TIPI_RATEIZZAZIONI,2,FALSE) &gt;=1,  IF(Table2[[#This Row],[Data attivazione]] = "","-",MONTH(Table2[[#This Row],[Data attivazione]])),"-"),"-")</f>
        <v>8</v>
      </c>
      <c r="R5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0" s="67" t="s">
        <v>2</v>
      </c>
      <c r="V550" s="62"/>
      <c r="W550" s="64">
        <v>42606</v>
      </c>
      <c r="X550" s="29">
        <f>DATE(YEAR(Table2[[#This Row],[Data attivazione]])+VLOOKUP(Table2[[#This Row],[Durata]],VALORE_DURATA,2,FALSE),MONTH(Table2[[#This Row],[Data attivazione]]),DAY(Table2[[#This Row],[Data attivazione]]))</f>
        <v>42971</v>
      </c>
      <c r="Y550" s="65"/>
      <c r="Z550" s="61"/>
      <c r="AA550" s="64" t="s">
        <v>85</v>
      </c>
      <c r="AB550" s="29" t="str">
        <f>IF(Table2[[#This Row],[Data ultimo versamento temp]]=0/1/1900,"-",Table2[[#This Row],[Data ultimo versamento temp]])</f>
        <v>-</v>
      </c>
      <c r="AC550" s="29">
        <f t="array" ref="AC550">MAX(IF(TableVersamenti[Polizza]=Table2[[#This Row],[Polizza]],TableVersamenti[Data prevista versamento],"-"))</f>
        <v>0</v>
      </c>
      <c r="AD550" s="62"/>
      <c r="AE550" s="106">
        <f>DATE(YEAR(Table2[[#This Row],[Data ultimo pagamento]]),MONTH(Table2[[#This Row],[Data ultimo pagamento]]), 1)</f>
        <v>42767</v>
      </c>
      <c r="AF550" s="106">
        <f>DATE(YEAR(Table2[[#This Row],[Data prossima scadenza]]),MONTH(Table2[[#This Row],[Data prossima scadenza]]), 1)</f>
        <v>42948</v>
      </c>
      <c r="AG550" s="33">
        <f>IFERROR(Table2[[#This Row],[Importo annuale]]*VLOOKUP(Table2[[#This Row],[Ramo]],RAMI_POLIZZA,2,FALSE),0)</f>
        <v>67.599999999999994</v>
      </c>
      <c r="AH550" s="65" t="s">
        <v>113</v>
      </c>
      <c r="AI550" s="63" t="str">
        <f>IFERROR(VLOOKUP(Table2[[#This Row],[Contraente]],Table1[[Nome/Ragione sociale]:[Checkbox selezionato]],2,FALSE),"-")</f>
        <v>SALERANO SUL LAMBRO</v>
      </c>
      <c r="AJ550" s="63">
        <f>IFERROR(VLOOKUP(Table2[[#This Row],[Contraente]],Table1[[Nome/Ragione sociale]:[Checkbox selezionato]],3,FALSE),"-")</f>
        <v>3898918696</v>
      </c>
      <c r="AK550" s="63">
        <f>IFERROR(VLOOKUP(Table2[[#This Row],[Contraente]],Table1[[Nome/Ragione sociale]:[Checkbox selezionato]],4,FALSE),"-")</f>
        <v>0</v>
      </c>
      <c r="AL550" s="63" t="str">
        <f>IFERROR(VLOOKUP(Table2[[#This Row],[Contraente]],Table1[[Nome/Ragione sociale]:[Checkbox selezionato]],5,FALSE),"-")</f>
        <v>CONSTATIN</v>
      </c>
      <c r="AM550" s="62">
        <f>IFERROR(VLOOKUP(Table2[[#This Row],[Contraente]],Table1[[Nome/Ragione sociale]:[Checkbox selezionato]],6,FALSE),"-")</f>
        <v>32556</v>
      </c>
      <c r="AN550" s="63" t="str">
        <f>IFERROR(VLOOKUP(Table2[[#This Row],[Contraente]],Table1[[Nome/Ragione sociale]:[Checkbox selezionato]],7,FALSE),"-")</f>
        <v>papies@email.it</v>
      </c>
      <c r="AO550" s="63">
        <f>IFERROR(VLOOKUP(Table2[[#This Row],[Contraente]],Table1[[Nome/Ragione sociale]:[Checkbox selezionato]],8,FALSE),"-")</f>
        <v>0</v>
      </c>
      <c r="AP550" s="63">
        <f>IFERROR(VLOOKUP(Table2[[#This Row],[Contraente]],Table1[[Nome/Ragione sociale]:[Checkbox selezionato]],10,FALSE),"-")</f>
        <v>3898918696</v>
      </c>
      <c r="AQ550" s="63" t="str">
        <f>IFERROR(VLOOKUP(Table2[[#This Row],[Contraente]],Table1[[Nome/Ragione sociale]:[Checkbox selezionato]],11,FALSE),"-")</f>
        <v>SI</v>
      </c>
      <c r="AR550" s="63" t="str">
        <f>IFERROR(VLOOKUP(Table2[[#This Row],[Contraente]],Table1[[Nome/Ragione sociale]:[Checkbox selezionato]],12,FALSE),"-")</f>
        <v>SI</v>
      </c>
    </row>
    <row r="551" spans="1:44" ht="30" hidden="1" customHeight="1" x14ac:dyDescent="0.25">
      <c r="A551" s="60" t="str">
        <f>UPPER(LEFT(Table2[[#This Row],[Contraente]],1))</f>
        <v>I</v>
      </c>
      <c r="B551" s="60" t="s">
        <v>1634</v>
      </c>
      <c r="C551" s="81" t="s">
        <v>717</v>
      </c>
      <c r="D551" s="81" t="s">
        <v>37</v>
      </c>
      <c r="E551" s="86">
        <v>106493482</v>
      </c>
      <c r="F551" s="64">
        <v>42769</v>
      </c>
      <c r="G551" s="64">
        <f>IFERROR(CALCOLASCADENZA(Table2[[#This Row],[Data attivazione]],Table2[[#This Row],[Rateizzazione]],Table2[[#This Row],[Data ultimo pagamento]],Table2[[#This Row],[Data prossima scadenza manuale]]),"-")</f>
        <v>43140</v>
      </c>
      <c r="H551" s="67" t="s">
        <v>31</v>
      </c>
      <c r="I551" s="67" t="s">
        <v>113</v>
      </c>
      <c r="J551" s="33">
        <f>IFERROR(Table2[[#This Row],[Importo annuale]]/(12/VLOOKUP(Table2[[#This Row],[Rateizzazione]],TIPI_RATEIZZAZIONI,2,FALSE)),"-")</f>
        <v>485</v>
      </c>
      <c r="K551" s="88">
        <v>485</v>
      </c>
      <c r="L551" s="88">
        <v>485</v>
      </c>
      <c r="M551" s="67" t="s">
        <v>44</v>
      </c>
      <c r="N551" s="67" t="s">
        <v>52</v>
      </c>
      <c r="O551" s="27" t="s">
        <v>1631</v>
      </c>
      <c r="P551" s="33" t="s">
        <v>23</v>
      </c>
      <c r="Q551" s="60">
        <f>IFERROR(IF(12 / VLOOKUP(Table2[[#This Row],[Rateizzazione]],TIPI_RATEIZZAZIONI,2,FALSE) &gt;=1,  IF(Table2[[#This Row],[Data attivazione]] = "","-",MONTH(Table2[[#This Row],[Data attivazione]])),"-"),"-")</f>
        <v>2</v>
      </c>
      <c r="R5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1" s="67" t="s">
        <v>2</v>
      </c>
      <c r="V551" s="62"/>
      <c r="W551" s="64">
        <v>42775</v>
      </c>
      <c r="X551" s="29">
        <f>DATE(YEAR(Table2[[#This Row],[Data attivazione]])+VLOOKUP(Table2[[#This Row],[Durata]],VALORE_DURATA,2,FALSE),MONTH(Table2[[#This Row],[Data attivazione]]),DAY(Table2[[#This Row],[Data attivazione]]))</f>
        <v>43140</v>
      </c>
      <c r="Y551" s="65"/>
      <c r="Z551" s="61"/>
      <c r="AA551" s="64" t="s">
        <v>85</v>
      </c>
      <c r="AB551" s="29" t="str">
        <f>IF(Table2[[#This Row],[Data ultimo versamento temp]]=0/1/1900,"-",Table2[[#This Row],[Data ultimo versamento temp]])</f>
        <v>-</v>
      </c>
      <c r="AC551" s="29">
        <f t="array" ref="AC551">MAX(IF(TableVersamenti[Polizza]=Table2[[#This Row],[Polizza]],TableVersamenti[Data prevista versamento],"-"))</f>
        <v>0</v>
      </c>
      <c r="AD551" s="62"/>
      <c r="AE551" s="106">
        <f>DATE(YEAR(Table2[[#This Row],[Data ultimo pagamento]]),MONTH(Table2[[#This Row],[Data ultimo pagamento]]), 1)</f>
        <v>42767</v>
      </c>
      <c r="AF551" s="106">
        <f>DATE(YEAR(Table2[[#This Row],[Data prossima scadenza]]),MONTH(Table2[[#This Row],[Data prossima scadenza]]), 1)</f>
        <v>43132</v>
      </c>
      <c r="AG551" s="33">
        <f>IFERROR(Table2[[#This Row],[Importo annuale]]*VLOOKUP(Table2[[#This Row],[Ramo]],RAMI_POLIZZA,2,FALSE),0)</f>
        <v>25.22</v>
      </c>
      <c r="AH551" s="65" t="s">
        <v>113</v>
      </c>
      <c r="AI551" s="63" t="str">
        <f>IFERROR(VLOOKUP(Table2[[#This Row],[Contraente]],Table1[[Nome/Ragione sociale]:[Checkbox selezionato]],2,FALSE),"-")</f>
        <v>BELGIOIOSO</v>
      </c>
      <c r="AJ551" s="63">
        <f>IFERROR(VLOOKUP(Table2[[#This Row],[Contraente]],Table1[[Nome/Ragione sociale]:[Checkbox selezionato]],3,FALSE),"-")</f>
        <v>3356617487</v>
      </c>
      <c r="AK551" s="63">
        <f>IFERROR(VLOOKUP(Table2[[#This Row],[Contraente]],Table1[[Nome/Ragione sociale]:[Checkbox selezionato]],4,FALSE),"-")</f>
        <v>0</v>
      </c>
      <c r="AL551" s="63">
        <f>IFERROR(VLOOKUP(Table2[[#This Row],[Contraente]],Table1[[Nome/Ragione sociale]:[Checkbox selezionato]],5,FALSE),"-")</f>
        <v>0</v>
      </c>
      <c r="AM551" s="62">
        <f>IFERROR(VLOOKUP(Table2[[#This Row],[Contraente]],Table1[[Nome/Ragione sociale]:[Checkbox selezionato]],6,FALSE),"-")</f>
        <v>23618</v>
      </c>
      <c r="AN551" s="63" t="str">
        <f>IFERROR(VLOOKUP(Table2[[#This Row],[Contraente]],Table1[[Nome/Ragione sociale]:[Checkbox selezionato]],7,FALSE),"-")</f>
        <v>papies@libero.it</v>
      </c>
      <c r="AO551" s="63">
        <f>IFERROR(VLOOKUP(Table2[[#This Row],[Contraente]],Table1[[Nome/Ragione sociale]:[Checkbox selezionato]],8,FALSE),"-")</f>
        <v>0</v>
      </c>
      <c r="AP551" s="63">
        <f>IFERROR(VLOOKUP(Table2[[#This Row],[Contraente]],Table1[[Nome/Ragione sociale]:[Checkbox selezionato]],10,FALSE),"-")</f>
        <v>3356617487</v>
      </c>
      <c r="AQ551" s="63" t="str">
        <f>IFERROR(VLOOKUP(Table2[[#This Row],[Contraente]],Table1[[Nome/Ragione sociale]:[Checkbox selezionato]],11,FALSE),"-")</f>
        <v>SI</v>
      </c>
      <c r="AR551" s="63" t="str">
        <f>IFERROR(VLOOKUP(Table2[[#This Row],[Contraente]],Table1[[Nome/Ragione sociale]:[Checkbox selezionato]],12,FALSE),"-")</f>
        <v>SI</v>
      </c>
    </row>
    <row r="552" spans="1:44" ht="30" hidden="1" customHeight="1" x14ac:dyDescent="0.25">
      <c r="A552" s="60" t="str">
        <f>UPPER(LEFT(Table2[[#This Row],[Contraente]],1))</f>
        <v>I</v>
      </c>
      <c r="B552" s="60" t="s">
        <v>1634</v>
      </c>
      <c r="C552" s="81" t="s">
        <v>1769</v>
      </c>
      <c r="D552" s="81" t="s">
        <v>37</v>
      </c>
      <c r="E552" s="86">
        <v>107027910</v>
      </c>
      <c r="F552" s="64">
        <v>42912</v>
      </c>
      <c r="G552" s="64">
        <f>IFERROR(CALCOLASCADENZA(Table2[[#This Row],[Data attivazione]],Table2[[#This Row],[Rateizzazione]],Table2[[#This Row],[Data ultimo pagamento]],Table2[[#This Row],[Data prossima scadenza manuale]]),"-")</f>
        <v>43095</v>
      </c>
      <c r="H552" s="67" t="s">
        <v>31</v>
      </c>
      <c r="I552" s="67" t="s">
        <v>1778</v>
      </c>
      <c r="J552" s="33">
        <f>IFERROR(Table2[[#This Row],[Importo annuale]]/(12/VLOOKUP(Table2[[#This Row],[Rateizzazione]],TIPI_RATEIZZAZIONI,2,FALSE)),"-")</f>
        <v>245.86</v>
      </c>
      <c r="K552" s="88">
        <v>245.86</v>
      </c>
      <c r="L552" s="88">
        <v>491.72</v>
      </c>
      <c r="M552" s="67" t="s">
        <v>43</v>
      </c>
      <c r="N552" s="67" t="s">
        <v>52</v>
      </c>
      <c r="O552" s="27" t="s">
        <v>1631</v>
      </c>
      <c r="P552" s="33" t="s">
        <v>22</v>
      </c>
      <c r="Q552" s="60">
        <f>IFERROR(IF(12 / VLOOKUP(Table2[[#This Row],[Rateizzazione]],TIPI_RATEIZZAZIONI,2,FALSE) &gt;=1,  IF(Table2[[#This Row],[Data attivazione]] = "","-",MONTH(Table2[[#This Row],[Data attivazione]])),"-"),"-")</f>
        <v>12</v>
      </c>
      <c r="R5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2" s="67" t="s">
        <v>133</v>
      </c>
      <c r="V552" s="62"/>
      <c r="W552" s="64">
        <v>42730</v>
      </c>
      <c r="X552" s="29">
        <f>DATE(YEAR(Table2[[#This Row],[Data attivazione]])+VLOOKUP(Table2[[#This Row],[Durata]],VALORE_DURATA,2,FALSE),MONTH(Table2[[#This Row],[Data attivazione]]),DAY(Table2[[#This Row],[Data attivazione]]))</f>
        <v>43095</v>
      </c>
      <c r="Y552" s="65"/>
      <c r="Z552" s="61"/>
      <c r="AA552" s="64" t="s">
        <v>85</v>
      </c>
      <c r="AB552" s="29" t="str">
        <f>IF(Table2[[#This Row],[Data ultimo versamento temp]]=0/1/1900,"-",Table2[[#This Row],[Data ultimo versamento temp]])</f>
        <v>-</v>
      </c>
      <c r="AC552" s="29">
        <f t="array" ref="AC552">MAX(IF(TableVersamenti[Polizza]=Table2[[#This Row],[Polizza]],TableVersamenti[Data prevista versamento],"-"))</f>
        <v>0</v>
      </c>
      <c r="AD552" s="62"/>
      <c r="AE552" s="106">
        <f>DATE(YEAR(Table2[[#This Row],[Data ultimo pagamento]]),MONTH(Table2[[#This Row],[Data ultimo pagamento]]), 1)</f>
        <v>42887</v>
      </c>
      <c r="AF552" s="106">
        <f>DATE(YEAR(Table2[[#This Row],[Data prossima scadenza]]),MONTH(Table2[[#This Row],[Data prossima scadenza]]), 1)</f>
        <v>43070</v>
      </c>
      <c r="AG552" s="33">
        <f>IFERROR(Table2[[#This Row],[Importo annuale]]*VLOOKUP(Table2[[#This Row],[Ramo]],RAMI_POLIZZA,2,FALSE),0)</f>
        <v>25.56944</v>
      </c>
      <c r="AH552" s="65" t="s">
        <v>113</v>
      </c>
      <c r="AI552" s="63" t="str">
        <f>IFERROR(VLOOKUP(Table2[[#This Row],[Contraente]],Table1[[Nome/Ragione sociale]:[Checkbox selezionato]],2,FALSE),"-")</f>
        <v>ARENA PO</v>
      </c>
      <c r="AJ552" s="63">
        <f>IFERROR(VLOOKUP(Table2[[#This Row],[Contraente]],Table1[[Nome/Ragione sociale]:[Checkbox selezionato]],3,FALSE),"-")</f>
        <v>0</v>
      </c>
      <c r="AK552" s="63">
        <f>IFERROR(VLOOKUP(Table2[[#This Row],[Contraente]],Table1[[Nome/Ragione sociale]:[Checkbox selezionato]],4,FALSE),"-")</f>
        <v>0</v>
      </c>
      <c r="AL552" s="63">
        <f>IFERROR(VLOOKUP(Table2[[#This Row],[Contraente]],Table1[[Nome/Ragione sociale]:[Checkbox selezionato]],5,FALSE),"-")</f>
        <v>0</v>
      </c>
      <c r="AM552" s="62">
        <f>IFERROR(VLOOKUP(Table2[[#This Row],[Contraente]],Table1[[Nome/Ragione sociale]:[Checkbox selezionato]],6,FALSE),"-")</f>
        <v>0</v>
      </c>
      <c r="AN552" s="63" t="str">
        <f>IFERROR(VLOOKUP(Table2[[#This Row],[Contraente]],Table1[[Nome/Ragione sociale]:[Checkbox selezionato]],7,FALSE),"-")</f>
        <v>papies@libero.it</v>
      </c>
      <c r="AO552" s="63">
        <f>IFERROR(VLOOKUP(Table2[[#This Row],[Contraente]],Table1[[Nome/Ragione sociale]:[Checkbox selezionato]],8,FALSE),"-")</f>
        <v>0</v>
      </c>
      <c r="AP552" s="63">
        <f>IFERROR(VLOOKUP(Table2[[#This Row],[Contraente]],Table1[[Nome/Ragione sociale]:[Checkbox selezionato]],10,FALSE),"-")</f>
        <v>0</v>
      </c>
      <c r="AQ552" s="63" t="str">
        <f>IFERROR(VLOOKUP(Table2[[#This Row],[Contraente]],Table1[[Nome/Ragione sociale]:[Checkbox selezionato]],11,FALSE),"-")</f>
        <v>SI</v>
      </c>
      <c r="AR552" s="63" t="str">
        <f>IFERROR(VLOOKUP(Table2[[#This Row],[Contraente]],Table1[[Nome/Ragione sociale]:[Checkbox selezionato]],12,FALSE),"-")</f>
        <v>SI</v>
      </c>
    </row>
    <row r="553" spans="1:44" ht="30" hidden="1" customHeight="1" x14ac:dyDescent="0.25">
      <c r="A553" s="60" t="str">
        <f>UPPER(LEFT(Table2[[#This Row],[Contraente]],1))</f>
        <v>I</v>
      </c>
      <c r="B553" s="60" t="s">
        <v>1634</v>
      </c>
      <c r="C553" s="81" t="s">
        <v>134</v>
      </c>
      <c r="D553" s="81" t="s">
        <v>37</v>
      </c>
      <c r="E553" s="86">
        <v>104699375</v>
      </c>
      <c r="F553" s="64">
        <v>42657</v>
      </c>
      <c r="G553" s="64">
        <f>IFERROR(CALCOLASCADENZA(Table2[[#This Row],[Data attivazione]],Table2[[#This Row],[Rateizzazione]],Table2[[#This Row],[Data ultimo pagamento]],Table2[[#This Row],[Data prossima scadenza manuale]]),"-")</f>
        <v>43014</v>
      </c>
      <c r="H553" s="67" t="s">
        <v>30</v>
      </c>
      <c r="I553" s="67" t="s">
        <v>113</v>
      </c>
      <c r="J553" s="33">
        <f>IFERROR(Table2[[#This Row],[Importo annuale]]/(12/VLOOKUP(Table2[[#This Row],[Rateizzazione]],TIPI_RATEIZZAZIONI,2,FALSE)),"-")</f>
        <v>276</v>
      </c>
      <c r="K553" s="88"/>
      <c r="L553" s="88">
        <v>276</v>
      </c>
      <c r="M553" s="67" t="s">
        <v>44</v>
      </c>
      <c r="N553" s="67" t="s">
        <v>51</v>
      </c>
      <c r="O553" s="27" t="s">
        <v>1631</v>
      </c>
      <c r="P553" s="33" t="s">
        <v>23</v>
      </c>
      <c r="Q553" s="60">
        <f>IFERROR(IF(12 / VLOOKUP(Table2[[#This Row],[Rateizzazione]],TIPI_RATEIZZAZIONI,2,FALSE) &gt;=1,  IF(Table2[[#This Row],[Data attivazione]] = "","-",MONTH(Table2[[#This Row],[Data attivazione]])),"-"),"-")</f>
        <v>10</v>
      </c>
      <c r="R5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3" s="67" t="s">
        <v>2</v>
      </c>
      <c r="V553" s="62"/>
      <c r="W553" s="64">
        <v>42649</v>
      </c>
      <c r="X553" s="29">
        <f>DATE(YEAR(Table2[[#This Row],[Data attivazione]])+VLOOKUP(Table2[[#This Row],[Durata]],VALORE_DURATA,2,FALSE),MONTH(Table2[[#This Row],[Data attivazione]]),DAY(Table2[[#This Row],[Data attivazione]]))</f>
        <v>43014</v>
      </c>
      <c r="Y553" s="65"/>
      <c r="Z553" s="61"/>
      <c r="AA553" s="64" t="s">
        <v>85</v>
      </c>
      <c r="AB553" s="29" t="str">
        <f>IF(Table2[[#This Row],[Data ultimo versamento temp]]=0/1/1900,"-",Table2[[#This Row],[Data ultimo versamento temp]])</f>
        <v>-</v>
      </c>
      <c r="AC553" s="29">
        <f t="array" ref="AC553">MAX(IF(TableVersamenti[Polizza]=Table2[[#This Row],[Polizza]],TableVersamenti[Data prevista versamento],"-"))</f>
        <v>0</v>
      </c>
      <c r="AD553" s="62"/>
      <c r="AE553" s="106">
        <f>DATE(YEAR(Table2[[#This Row],[Data ultimo pagamento]]),MONTH(Table2[[#This Row],[Data ultimo pagamento]]), 1)</f>
        <v>42644</v>
      </c>
      <c r="AF553" s="106">
        <f>DATE(YEAR(Table2[[#This Row],[Data prossima scadenza]]),MONTH(Table2[[#This Row],[Data prossima scadenza]]), 1)</f>
        <v>43009</v>
      </c>
      <c r="AG553" s="33">
        <f>IFERROR(Table2[[#This Row],[Importo annuale]]*VLOOKUP(Table2[[#This Row],[Ramo]],RAMI_POLIZZA,2,FALSE),0)</f>
        <v>31.740000000000002</v>
      </c>
      <c r="AH553" s="65" t="s">
        <v>113</v>
      </c>
      <c r="AI553" s="63" t="str">
        <f>IFERROR(VLOOKUP(Table2[[#This Row],[Contraente]],Table1[[Nome/Ragione sociale]:[Checkbox selezionato]],2,FALSE),"-")</f>
        <v>RONCARO</v>
      </c>
      <c r="AJ553" s="63">
        <f>IFERROR(VLOOKUP(Table2[[#This Row],[Contraente]],Table1[[Nome/Ragione sociale]:[Checkbox selezionato]],3,FALSE),"-")</f>
        <v>3394191530</v>
      </c>
      <c r="AK553" s="63" t="str">
        <f>IFERROR(VLOOKUP(Table2[[#This Row],[Contraente]],Table1[[Nome/Ragione sociale]:[Checkbox selezionato]],4,FALSE),"-")</f>
        <v>.0382968937</v>
      </c>
      <c r="AL553" s="63" t="str">
        <f>IFERROR(VLOOKUP(Table2[[#This Row],[Contraente]],Table1[[Nome/Ragione sociale]:[Checkbox selezionato]],5,FALSE),"-")</f>
        <v>LUIGI</v>
      </c>
      <c r="AM553" s="62">
        <f>IFERROR(VLOOKUP(Table2[[#This Row],[Contraente]],Table1[[Nome/Ragione sociale]:[Checkbox selezionato]],6,FALSE),"-")</f>
        <v>19488</v>
      </c>
      <c r="AN553" s="63" t="str">
        <f>IFERROR(VLOOKUP(Table2[[#This Row],[Contraente]],Table1[[Nome/Ragione sociale]:[Checkbox selezionato]],7,FALSE),"-")</f>
        <v>papies@email.it</v>
      </c>
      <c r="AO553" s="63">
        <f>IFERROR(VLOOKUP(Table2[[#This Row],[Contraente]],Table1[[Nome/Ragione sociale]:[Checkbox selezionato]],8,FALSE),"-")</f>
        <v>0</v>
      </c>
      <c r="AP553" s="63">
        <f>IFERROR(VLOOKUP(Table2[[#This Row],[Contraente]],Table1[[Nome/Ragione sociale]:[Checkbox selezionato]],10,FALSE),"-")</f>
        <v>3394191530</v>
      </c>
      <c r="AQ553" s="63" t="str">
        <f>IFERROR(VLOOKUP(Table2[[#This Row],[Contraente]],Table1[[Nome/Ragione sociale]:[Checkbox selezionato]],11,FALSE),"-")</f>
        <v>SI</v>
      </c>
      <c r="AR553" s="63" t="str">
        <f>IFERROR(VLOOKUP(Table2[[#This Row],[Contraente]],Table1[[Nome/Ragione sociale]:[Checkbox selezionato]],12,FALSE),"-")</f>
        <v>SI</v>
      </c>
    </row>
    <row r="554" spans="1:44" ht="30" hidden="1" customHeight="1" x14ac:dyDescent="0.25">
      <c r="A554" s="60" t="str">
        <f>UPPER(LEFT(Table2[[#This Row],[Contraente]],1))</f>
        <v>I</v>
      </c>
      <c r="B554" s="60" t="s">
        <v>1634</v>
      </c>
      <c r="C554" s="81" t="s">
        <v>134</v>
      </c>
      <c r="D554" s="81" t="s">
        <v>37</v>
      </c>
      <c r="E554" s="86">
        <v>106125058</v>
      </c>
      <c r="F554" s="64">
        <v>42852</v>
      </c>
      <c r="G554" s="64">
        <f>IFERROR(CALCOLASCADENZA(Table2[[#This Row],[Data attivazione]],Table2[[#This Row],[Rateizzazione]],Table2[[#This Row],[Data ultimo pagamento]],Table2[[#This Row],[Data prossima scadenza manuale]]),"-")</f>
        <v>43022</v>
      </c>
      <c r="H554" s="67" t="s">
        <v>31</v>
      </c>
      <c r="I554" s="67" t="s">
        <v>1346</v>
      </c>
      <c r="J554" s="33">
        <f>IFERROR(Table2[[#This Row],[Importo annuale]]/(12/VLOOKUP(Table2[[#This Row],[Rateizzazione]],TIPI_RATEIZZAZIONI,2,FALSE)),"-")</f>
        <v>125</v>
      </c>
      <c r="K554" s="88">
        <v>125</v>
      </c>
      <c r="L554" s="88">
        <v>250</v>
      </c>
      <c r="M554" s="67" t="s">
        <v>44</v>
      </c>
      <c r="N554" s="67" t="s">
        <v>51</v>
      </c>
      <c r="O554" s="27" t="s">
        <v>1631</v>
      </c>
      <c r="P554" s="33" t="s">
        <v>22</v>
      </c>
      <c r="Q554" s="60">
        <f>IFERROR(IF(12 / VLOOKUP(Table2[[#This Row],[Rateizzazione]],TIPI_RATEIZZAZIONI,2,FALSE) &gt;=1,  IF(Table2[[#This Row],[Data attivazione]] = "","-",MONTH(Table2[[#This Row],[Data attivazione]])),"-"),"-")</f>
        <v>10</v>
      </c>
      <c r="R5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4" s="67" t="s">
        <v>2</v>
      </c>
      <c r="V554" s="62"/>
      <c r="W554" s="64">
        <v>42657</v>
      </c>
      <c r="X554" s="29">
        <f>DATE(YEAR(Table2[[#This Row],[Data attivazione]])+VLOOKUP(Table2[[#This Row],[Durata]],VALORE_DURATA,2,FALSE),MONTH(Table2[[#This Row],[Data attivazione]]),DAY(Table2[[#This Row],[Data attivazione]]))</f>
        <v>43022</v>
      </c>
      <c r="Y554" s="65"/>
      <c r="Z554" s="61"/>
      <c r="AA554" s="64" t="s">
        <v>85</v>
      </c>
      <c r="AB554" s="29" t="str">
        <f>IF(Table2[[#This Row],[Data ultimo versamento temp]]=0/1/1900,"-",Table2[[#This Row],[Data ultimo versamento temp]])</f>
        <v>-</v>
      </c>
      <c r="AC554" s="29">
        <f t="array" ref="AC554">MAX(IF(TableVersamenti[Polizza]=Table2[[#This Row],[Polizza]],TableVersamenti[Data prevista versamento],"-"))</f>
        <v>0</v>
      </c>
      <c r="AD554" s="62"/>
      <c r="AE554" s="106">
        <f>DATE(YEAR(Table2[[#This Row],[Data ultimo pagamento]]),MONTH(Table2[[#This Row],[Data ultimo pagamento]]), 1)</f>
        <v>42826</v>
      </c>
      <c r="AF554" s="106">
        <f>DATE(YEAR(Table2[[#This Row],[Data prossima scadenza]]),MONTH(Table2[[#This Row],[Data prossima scadenza]]), 1)</f>
        <v>43009</v>
      </c>
      <c r="AG554" s="33">
        <f>IFERROR(Table2[[#This Row],[Importo annuale]]*VLOOKUP(Table2[[#This Row],[Ramo]],RAMI_POLIZZA,2,FALSE),0)</f>
        <v>13</v>
      </c>
      <c r="AH554" s="65" t="s">
        <v>113</v>
      </c>
      <c r="AI554" s="63" t="str">
        <f>IFERROR(VLOOKUP(Table2[[#This Row],[Contraente]],Table1[[Nome/Ragione sociale]:[Checkbox selezionato]],2,FALSE),"-")</f>
        <v>RONCARO</v>
      </c>
      <c r="AJ554" s="63">
        <f>IFERROR(VLOOKUP(Table2[[#This Row],[Contraente]],Table1[[Nome/Ragione sociale]:[Checkbox selezionato]],3,FALSE),"-")</f>
        <v>3394191530</v>
      </c>
      <c r="AK554" s="63" t="str">
        <f>IFERROR(VLOOKUP(Table2[[#This Row],[Contraente]],Table1[[Nome/Ragione sociale]:[Checkbox selezionato]],4,FALSE),"-")</f>
        <v>.0382968937</v>
      </c>
      <c r="AL554" s="63" t="str">
        <f>IFERROR(VLOOKUP(Table2[[#This Row],[Contraente]],Table1[[Nome/Ragione sociale]:[Checkbox selezionato]],5,FALSE),"-")</f>
        <v>LUIGI</v>
      </c>
      <c r="AM554" s="62">
        <f>IFERROR(VLOOKUP(Table2[[#This Row],[Contraente]],Table1[[Nome/Ragione sociale]:[Checkbox selezionato]],6,FALSE),"-")</f>
        <v>19488</v>
      </c>
      <c r="AN554" s="63" t="str">
        <f>IFERROR(VLOOKUP(Table2[[#This Row],[Contraente]],Table1[[Nome/Ragione sociale]:[Checkbox selezionato]],7,FALSE),"-")</f>
        <v>papies@email.it</v>
      </c>
      <c r="AO554" s="63">
        <f>IFERROR(VLOOKUP(Table2[[#This Row],[Contraente]],Table1[[Nome/Ragione sociale]:[Checkbox selezionato]],8,FALSE),"-")</f>
        <v>0</v>
      </c>
      <c r="AP554" s="63">
        <f>IFERROR(VLOOKUP(Table2[[#This Row],[Contraente]],Table1[[Nome/Ragione sociale]:[Checkbox selezionato]],10,FALSE),"-")</f>
        <v>3394191530</v>
      </c>
      <c r="AQ554" s="63" t="str">
        <f>IFERROR(VLOOKUP(Table2[[#This Row],[Contraente]],Table1[[Nome/Ragione sociale]:[Checkbox selezionato]],11,FALSE),"-")</f>
        <v>SI</v>
      </c>
      <c r="AR554" s="63" t="str">
        <f>IFERROR(VLOOKUP(Table2[[#This Row],[Contraente]],Table1[[Nome/Ragione sociale]:[Checkbox selezionato]],12,FALSE),"-")</f>
        <v>SI</v>
      </c>
    </row>
    <row r="555" spans="1:44" ht="30" hidden="1" customHeight="1" x14ac:dyDescent="0.25">
      <c r="A555" s="60" t="str">
        <f>UPPER(LEFT(Table2[[#This Row],[Contraente]],1))</f>
        <v>I</v>
      </c>
      <c r="B555" s="60" t="s">
        <v>1634</v>
      </c>
      <c r="C555" s="81" t="s">
        <v>134</v>
      </c>
      <c r="D555" s="81" t="s">
        <v>37</v>
      </c>
      <c r="E555" s="86">
        <v>107028465</v>
      </c>
      <c r="F555" s="64">
        <v>42909</v>
      </c>
      <c r="G555" s="64">
        <f>IFERROR(CALCOLASCADENZA(Table2[[#This Row],[Data attivazione]],Table2[[#This Row],[Rateizzazione]],Table2[[#This Row],[Data ultimo pagamento]],Table2[[#This Row],[Data prossima scadenza manuale]]),"-")</f>
        <v>43092</v>
      </c>
      <c r="H555" s="67" t="s">
        <v>31</v>
      </c>
      <c r="I555" s="67" t="s">
        <v>1347</v>
      </c>
      <c r="J555" s="33">
        <f>IFERROR(Table2[[#This Row],[Importo annuale]]/(12/VLOOKUP(Table2[[#This Row],[Rateizzazione]],TIPI_RATEIZZAZIONI,2,FALSE)),"-")</f>
        <v>340</v>
      </c>
      <c r="K555" s="88">
        <v>340</v>
      </c>
      <c r="L555" s="88">
        <v>680</v>
      </c>
      <c r="M555" s="67" t="s">
        <v>44</v>
      </c>
      <c r="N555" s="67" t="s">
        <v>52</v>
      </c>
      <c r="O555" s="27" t="s">
        <v>1631</v>
      </c>
      <c r="P555" s="33" t="s">
        <v>22</v>
      </c>
      <c r="Q555" s="60">
        <f>IFERROR(IF(12 / VLOOKUP(Table2[[#This Row],[Rateizzazione]],TIPI_RATEIZZAZIONI,2,FALSE) &gt;=1,  IF(Table2[[#This Row],[Data attivazione]] = "","-",MONTH(Table2[[#This Row],[Data attivazione]])),"-"),"-")</f>
        <v>12</v>
      </c>
      <c r="R5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5" s="67" t="s">
        <v>2</v>
      </c>
      <c r="V555" s="62"/>
      <c r="W555" s="64">
        <v>42727</v>
      </c>
      <c r="X555" s="29">
        <f>DATE(YEAR(Table2[[#This Row],[Data attivazione]])+VLOOKUP(Table2[[#This Row],[Durata]],VALORE_DURATA,2,FALSE),MONTH(Table2[[#This Row],[Data attivazione]]),DAY(Table2[[#This Row],[Data attivazione]]))</f>
        <v>43092</v>
      </c>
      <c r="Y555" s="65"/>
      <c r="Z555" s="61"/>
      <c r="AA555" s="64" t="s">
        <v>85</v>
      </c>
      <c r="AB555" s="29" t="str">
        <f>IF(Table2[[#This Row],[Data ultimo versamento temp]]=0/1/1900,"-",Table2[[#This Row],[Data ultimo versamento temp]])</f>
        <v>-</v>
      </c>
      <c r="AC555" s="29">
        <f t="array" ref="AC555">MAX(IF(TableVersamenti[Polizza]=Table2[[#This Row],[Polizza]],TableVersamenti[Data prevista versamento],"-"))</f>
        <v>0</v>
      </c>
      <c r="AD555" s="62"/>
      <c r="AE555" s="106">
        <f>DATE(YEAR(Table2[[#This Row],[Data ultimo pagamento]]),MONTH(Table2[[#This Row],[Data ultimo pagamento]]), 1)</f>
        <v>42887</v>
      </c>
      <c r="AF555" s="106">
        <f>DATE(YEAR(Table2[[#This Row],[Data prossima scadenza]]),MONTH(Table2[[#This Row],[Data prossima scadenza]]), 1)</f>
        <v>43070</v>
      </c>
      <c r="AG555" s="33">
        <f>IFERROR(Table2[[#This Row],[Importo annuale]]*VLOOKUP(Table2[[#This Row],[Ramo]],RAMI_POLIZZA,2,FALSE),0)</f>
        <v>35.36</v>
      </c>
      <c r="AH555" s="65" t="s">
        <v>113</v>
      </c>
      <c r="AI555" s="63" t="str">
        <f>IFERROR(VLOOKUP(Table2[[#This Row],[Contraente]],Table1[[Nome/Ragione sociale]:[Checkbox selezionato]],2,FALSE),"-")</f>
        <v>RONCARO</v>
      </c>
      <c r="AJ555" s="63">
        <f>IFERROR(VLOOKUP(Table2[[#This Row],[Contraente]],Table1[[Nome/Ragione sociale]:[Checkbox selezionato]],3,FALSE),"-")</f>
        <v>3394191530</v>
      </c>
      <c r="AK555" s="63" t="str">
        <f>IFERROR(VLOOKUP(Table2[[#This Row],[Contraente]],Table1[[Nome/Ragione sociale]:[Checkbox selezionato]],4,FALSE),"-")</f>
        <v>.0382968937</v>
      </c>
      <c r="AL555" s="63" t="str">
        <f>IFERROR(VLOOKUP(Table2[[#This Row],[Contraente]],Table1[[Nome/Ragione sociale]:[Checkbox selezionato]],5,FALSE),"-")</f>
        <v>LUIGI</v>
      </c>
      <c r="AM555" s="62">
        <f>IFERROR(VLOOKUP(Table2[[#This Row],[Contraente]],Table1[[Nome/Ragione sociale]:[Checkbox selezionato]],6,FALSE),"-")</f>
        <v>19488</v>
      </c>
      <c r="AN555" s="63" t="str">
        <f>IFERROR(VLOOKUP(Table2[[#This Row],[Contraente]],Table1[[Nome/Ragione sociale]:[Checkbox selezionato]],7,FALSE),"-")</f>
        <v>papies@email.it</v>
      </c>
      <c r="AO555" s="63">
        <f>IFERROR(VLOOKUP(Table2[[#This Row],[Contraente]],Table1[[Nome/Ragione sociale]:[Checkbox selezionato]],8,FALSE),"-")</f>
        <v>0</v>
      </c>
      <c r="AP555" s="63">
        <f>IFERROR(VLOOKUP(Table2[[#This Row],[Contraente]],Table1[[Nome/Ragione sociale]:[Checkbox selezionato]],10,FALSE),"-")</f>
        <v>3394191530</v>
      </c>
      <c r="AQ555" s="63" t="str">
        <f>IFERROR(VLOOKUP(Table2[[#This Row],[Contraente]],Table1[[Nome/Ragione sociale]:[Checkbox selezionato]],11,FALSE),"-")</f>
        <v>SI</v>
      </c>
      <c r="AR555" s="63" t="str">
        <f>IFERROR(VLOOKUP(Table2[[#This Row],[Contraente]],Table1[[Nome/Ragione sociale]:[Checkbox selezionato]],12,FALSE),"-")</f>
        <v>SI</v>
      </c>
    </row>
    <row r="556" spans="1:44" ht="30" hidden="1" customHeight="1" x14ac:dyDescent="0.25">
      <c r="A556" s="60" t="str">
        <f>UPPER(LEFT(Table2[[#This Row],[Contraente]],1))</f>
        <v>I</v>
      </c>
      <c r="B556" s="60" t="s">
        <v>1634</v>
      </c>
      <c r="C556" s="81" t="s">
        <v>134</v>
      </c>
      <c r="D556" s="81" t="s">
        <v>37</v>
      </c>
      <c r="E556" s="86">
        <v>106522212</v>
      </c>
      <c r="F556" s="64">
        <v>42780</v>
      </c>
      <c r="G556" s="64">
        <f>IFERROR(CALCOLASCADENZA(Table2[[#This Row],[Data attivazione]],Table2[[#This Row],[Rateizzazione]],Table2[[#This Row],[Data ultimo pagamento]],Table2[[#This Row],[Data prossima scadenza manuale]]),"-")</f>
        <v>42961</v>
      </c>
      <c r="H556" s="67" t="s">
        <v>31</v>
      </c>
      <c r="I556" s="67" t="s">
        <v>1347</v>
      </c>
      <c r="J556" s="33">
        <f>IFERROR(Table2[[#This Row],[Importo annuale]]/(12/VLOOKUP(Table2[[#This Row],[Rateizzazione]],TIPI_RATEIZZAZIONI,2,FALSE)),"-")</f>
        <v>310</v>
      </c>
      <c r="K556" s="88">
        <v>310</v>
      </c>
      <c r="L556" s="88">
        <v>620</v>
      </c>
      <c r="M556" s="67" t="s">
        <v>44</v>
      </c>
      <c r="N556" s="67" t="s">
        <v>52</v>
      </c>
      <c r="O556" s="27" t="s">
        <v>1631</v>
      </c>
      <c r="P556" s="33" t="s">
        <v>22</v>
      </c>
      <c r="Q556" s="60">
        <f>IFERROR(IF(12 / VLOOKUP(Table2[[#This Row],[Rateizzazione]],TIPI_RATEIZZAZIONI,2,FALSE) &gt;=1,  IF(Table2[[#This Row],[Data attivazione]] = "","-",MONTH(Table2[[#This Row],[Data attivazione]])),"-"),"-")</f>
        <v>8</v>
      </c>
      <c r="R5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6" s="67" t="s">
        <v>2</v>
      </c>
      <c r="V556" s="62"/>
      <c r="W556" s="64">
        <v>42596</v>
      </c>
      <c r="X556" s="29">
        <f>DATE(YEAR(Table2[[#This Row],[Data attivazione]])+VLOOKUP(Table2[[#This Row],[Durata]],VALORE_DURATA,2,FALSE),MONTH(Table2[[#This Row],[Data attivazione]]),DAY(Table2[[#This Row],[Data attivazione]]))</f>
        <v>42961</v>
      </c>
      <c r="Y556" s="65"/>
      <c r="Z556" s="61"/>
      <c r="AA556" s="64" t="s">
        <v>85</v>
      </c>
      <c r="AB556" s="29" t="str">
        <f>IF(Table2[[#This Row],[Data ultimo versamento temp]]=0/1/1900,"-",Table2[[#This Row],[Data ultimo versamento temp]])</f>
        <v>-</v>
      </c>
      <c r="AC556" s="29">
        <f t="array" ref="AC556">MAX(IF(TableVersamenti[Polizza]=Table2[[#This Row],[Polizza]],TableVersamenti[Data prevista versamento],"-"))</f>
        <v>0</v>
      </c>
      <c r="AD556" s="62"/>
      <c r="AE556" s="106">
        <f>DATE(YEAR(Table2[[#This Row],[Data ultimo pagamento]]),MONTH(Table2[[#This Row],[Data ultimo pagamento]]), 1)</f>
        <v>42767</v>
      </c>
      <c r="AF556" s="106">
        <f>DATE(YEAR(Table2[[#This Row],[Data prossima scadenza]]),MONTH(Table2[[#This Row],[Data prossima scadenza]]), 1)</f>
        <v>42948</v>
      </c>
      <c r="AG556" s="33">
        <f>IFERROR(Table2[[#This Row],[Importo annuale]]*VLOOKUP(Table2[[#This Row],[Ramo]],RAMI_POLIZZA,2,FALSE),0)</f>
        <v>32.24</v>
      </c>
      <c r="AH556" s="65" t="s">
        <v>113</v>
      </c>
      <c r="AI556" s="63" t="str">
        <f>IFERROR(VLOOKUP(Table2[[#This Row],[Contraente]],Table1[[Nome/Ragione sociale]:[Checkbox selezionato]],2,FALSE),"-")</f>
        <v>RONCARO</v>
      </c>
      <c r="AJ556" s="63">
        <f>IFERROR(VLOOKUP(Table2[[#This Row],[Contraente]],Table1[[Nome/Ragione sociale]:[Checkbox selezionato]],3,FALSE),"-")</f>
        <v>3394191530</v>
      </c>
      <c r="AK556" s="63" t="str">
        <f>IFERROR(VLOOKUP(Table2[[#This Row],[Contraente]],Table1[[Nome/Ragione sociale]:[Checkbox selezionato]],4,FALSE),"-")</f>
        <v>.0382968937</v>
      </c>
      <c r="AL556" s="63" t="str">
        <f>IFERROR(VLOOKUP(Table2[[#This Row],[Contraente]],Table1[[Nome/Ragione sociale]:[Checkbox selezionato]],5,FALSE),"-")</f>
        <v>LUIGI</v>
      </c>
      <c r="AM556" s="62">
        <f>IFERROR(VLOOKUP(Table2[[#This Row],[Contraente]],Table1[[Nome/Ragione sociale]:[Checkbox selezionato]],6,FALSE),"-")</f>
        <v>19488</v>
      </c>
      <c r="AN556" s="63" t="str">
        <f>IFERROR(VLOOKUP(Table2[[#This Row],[Contraente]],Table1[[Nome/Ragione sociale]:[Checkbox selezionato]],7,FALSE),"-")</f>
        <v>papies@email.it</v>
      </c>
      <c r="AO556" s="63">
        <f>IFERROR(VLOOKUP(Table2[[#This Row],[Contraente]],Table1[[Nome/Ragione sociale]:[Checkbox selezionato]],8,FALSE),"-")</f>
        <v>0</v>
      </c>
      <c r="AP556" s="63">
        <f>IFERROR(VLOOKUP(Table2[[#This Row],[Contraente]],Table1[[Nome/Ragione sociale]:[Checkbox selezionato]],10,FALSE),"-")</f>
        <v>3394191530</v>
      </c>
      <c r="AQ556" s="63" t="str">
        <f>IFERROR(VLOOKUP(Table2[[#This Row],[Contraente]],Table1[[Nome/Ragione sociale]:[Checkbox selezionato]],11,FALSE),"-")</f>
        <v>SI</v>
      </c>
      <c r="AR556" s="63" t="str">
        <f>IFERROR(VLOOKUP(Table2[[#This Row],[Contraente]],Table1[[Nome/Ragione sociale]:[Checkbox selezionato]],12,FALSE),"-")</f>
        <v>SI</v>
      </c>
    </row>
    <row r="557" spans="1:44" ht="30" hidden="1" customHeight="1" x14ac:dyDescent="0.25">
      <c r="A557" s="60" t="str">
        <f>UPPER(LEFT(Table2[[#This Row],[Contraente]],1))</f>
        <v>I</v>
      </c>
      <c r="B557" s="60" t="s">
        <v>1634</v>
      </c>
      <c r="C557" s="47" t="s">
        <v>1830</v>
      </c>
      <c r="D557" s="98" t="s">
        <v>37</v>
      </c>
      <c r="E557" s="99" t="s">
        <v>1832</v>
      </c>
      <c r="F557" s="109">
        <v>42930</v>
      </c>
      <c r="G557" s="64">
        <f>IFERROR(CALCOLASCADENZA(Table2[[#This Row],[Data attivazione]],Table2[[#This Row],[Rateizzazione]],Table2[[#This Row],[Data ultimo pagamento]],Table2[[#This Row],[Data prossima scadenza manuale]]),"-")</f>
        <v>43105</v>
      </c>
      <c r="H557" s="64" t="s">
        <v>31</v>
      </c>
      <c r="I557" s="64" t="s">
        <v>1833</v>
      </c>
      <c r="J557" s="92">
        <f>IFERROR(Table2[[#This Row],[Importo annuale]]/(12/VLOOKUP(Table2[[#This Row],[Rateizzazione]],TIPI_RATEIZZAZIONI,2,FALSE)),"-")</f>
        <v>382</v>
      </c>
      <c r="K557" s="69">
        <v>382</v>
      </c>
      <c r="L557" s="69">
        <v>764</v>
      </c>
      <c r="M557" s="92" t="s">
        <v>43</v>
      </c>
      <c r="N557" s="92" t="s">
        <v>52</v>
      </c>
      <c r="O557" s="67" t="s">
        <v>1631</v>
      </c>
      <c r="P557" s="92" t="s">
        <v>22</v>
      </c>
      <c r="Q557" s="60">
        <f>IFERROR(IF(12 / VLOOKUP(Table2[[#This Row],[Rateizzazione]],TIPI_RATEIZZAZIONI,2,FALSE) &gt;=1,  IF(Table2[[#This Row],[Data attivazione]] = "","-",MONTH(Table2[[#This Row],[Data attivazione]])),"-"),"-")</f>
        <v>7</v>
      </c>
      <c r="R5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7" s="60" t="s">
        <v>1774</v>
      </c>
      <c r="V557" s="62"/>
      <c r="W557" s="64">
        <v>42921</v>
      </c>
      <c r="X557" s="29">
        <f>DATE(YEAR(Table2[[#This Row],[Data attivazione]])+VLOOKUP(Table2[[#This Row],[Durata]],VALORE_DURATA,2,FALSE),MONTH(Table2[[#This Row],[Data attivazione]]),DAY(Table2[[#This Row],[Data attivazione]]))</f>
        <v>43286</v>
      </c>
      <c r="Y557" s="65"/>
      <c r="Z557" s="61"/>
      <c r="AA557" s="64" t="s">
        <v>85</v>
      </c>
      <c r="AB557" s="29" t="str">
        <f>IF(Table2[[#This Row],[Data ultimo versamento temp]]=0/1/1900,"-",Table2[[#This Row],[Data ultimo versamento temp]])</f>
        <v>-</v>
      </c>
      <c r="AC557" s="29">
        <f t="array" ref="AC557">MAX(IF(TableVersamenti[Polizza]=Table2[[#This Row],[Polizza]],TableVersamenti[Data prevista versamento],"-"))</f>
        <v>0</v>
      </c>
      <c r="AD557" s="62"/>
      <c r="AE557" s="105">
        <f>DATE(YEAR(Table2[[#This Row],[Data ultimo pagamento]]),MONTH(Table2[[#This Row],[Data ultimo pagamento]]), 1)</f>
        <v>42917</v>
      </c>
      <c r="AF557" s="106">
        <f>DATE(YEAR(Table2[[#This Row],[Data prossima scadenza]]),MONTH(Table2[[#This Row],[Data prossima scadenza]]), 1)</f>
        <v>43101</v>
      </c>
      <c r="AG557" s="92">
        <f>IFERROR(Table2[[#This Row],[Importo annuale]]*VLOOKUP(Table2[[#This Row],[Ramo]],RAMI_POLIZZA,2,FALSE),0)</f>
        <v>39.728000000000002</v>
      </c>
      <c r="AH557" s="65"/>
      <c r="AI557" s="63" t="str">
        <f>IFERROR(VLOOKUP(Table2[[#This Row],[Contraente]],Table1[[Nome/Ragione sociale]:[Checkbox selezionato]],2,FALSE),"-")</f>
        <v>PIEVE PORTO MORONE</v>
      </c>
      <c r="AJ557" s="63">
        <f>IFERROR(VLOOKUP(Table2[[#This Row],[Contraente]],Table1[[Nome/Ragione sociale]:[Checkbox selezionato]],3,FALSE),"-")</f>
        <v>0</v>
      </c>
      <c r="AK557" s="63">
        <f>IFERROR(VLOOKUP(Table2[[#This Row],[Contraente]],Table1[[Nome/Ragione sociale]:[Checkbox selezionato]],4,FALSE),"-")</f>
        <v>0</v>
      </c>
      <c r="AL557" s="63">
        <f>IFERROR(VLOOKUP(Table2[[#This Row],[Contraente]],Table1[[Nome/Ragione sociale]:[Checkbox selezionato]],5,FALSE),"-")</f>
        <v>0</v>
      </c>
      <c r="AM557" s="62">
        <f>IFERROR(VLOOKUP(Table2[[#This Row],[Contraente]],Table1[[Nome/Ragione sociale]:[Checkbox selezionato]],6,FALSE),"-")</f>
        <v>0</v>
      </c>
      <c r="AN557" s="63" t="str">
        <f>IFERROR(VLOOKUP(Table2[[#This Row],[Contraente]],Table1[[Nome/Ragione sociale]:[Checkbox selezionato]],7,FALSE),"-")</f>
        <v>papies@libero.it</v>
      </c>
      <c r="AO557" s="63">
        <f>IFERROR(VLOOKUP(Table2[[#This Row],[Contraente]],Table1[[Nome/Ragione sociale]:[Checkbox selezionato]],8,FALSE),"-")</f>
        <v>0</v>
      </c>
      <c r="AP557" s="63">
        <f>IFERROR(VLOOKUP(Table2[[#This Row],[Contraente]],Table1[[Nome/Ragione sociale]:[Checkbox selezionato]],10,FALSE),"-")</f>
        <v>0</v>
      </c>
      <c r="AQ557" s="63" t="str">
        <f>IFERROR(VLOOKUP(Table2[[#This Row],[Contraente]],Table1[[Nome/Ragione sociale]:[Checkbox selezionato]],11,FALSE),"-")</f>
        <v>SI</v>
      </c>
      <c r="AR557" s="63" t="str">
        <f>IFERROR(VLOOKUP(Table2[[#This Row],[Contraente]],Table1[[Nome/Ragione sociale]:[Checkbox selezionato]],12,FALSE),"-")</f>
        <v>SI</v>
      </c>
    </row>
    <row r="558" spans="1:44" ht="30" hidden="1" customHeight="1" x14ac:dyDescent="0.25">
      <c r="A558" s="60" t="str">
        <f>UPPER(LEFT(Table2[[#This Row],[Contraente]],1))</f>
        <v>J</v>
      </c>
      <c r="B558" s="60" t="s">
        <v>1634</v>
      </c>
      <c r="C558" s="81" t="s">
        <v>720</v>
      </c>
      <c r="D558" s="81" t="s">
        <v>37</v>
      </c>
      <c r="E558" s="86">
        <v>104645214</v>
      </c>
      <c r="F558" s="64">
        <v>42929</v>
      </c>
      <c r="G558" s="64">
        <f>IFERROR(CALCOLASCADENZA(Table2[[#This Row],[Data attivazione]],Table2[[#This Row],[Rateizzazione]],Table2[[#This Row],[Data ultimo pagamento]],Table2[[#This Row],[Data prossima scadenza manuale]]),"-")</f>
        <v>43296</v>
      </c>
      <c r="H558" s="67" t="s">
        <v>30</v>
      </c>
      <c r="I558" s="67" t="s">
        <v>113</v>
      </c>
      <c r="J558" s="33">
        <f>IFERROR(Table2[[#This Row],[Importo annuale]]/(12/VLOOKUP(Table2[[#This Row],[Rateizzazione]],TIPI_RATEIZZAZIONI,2,FALSE)),"-")</f>
        <v>206</v>
      </c>
      <c r="K558" s="88">
        <v>206</v>
      </c>
      <c r="L558" s="88">
        <v>206</v>
      </c>
      <c r="M558" s="67" t="s">
        <v>43</v>
      </c>
      <c r="N558" s="67" t="s">
        <v>51</v>
      </c>
      <c r="O558" s="27" t="s">
        <v>1631</v>
      </c>
      <c r="P558" s="33" t="s">
        <v>23</v>
      </c>
      <c r="Q558" s="60">
        <f>IFERROR(IF(12 / VLOOKUP(Table2[[#This Row],[Rateizzazione]],TIPI_RATEIZZAZIONI,2,FALSE) &gt;=1,  IF(Table2[[#This Row],[Data attivazione]] = "","-",MONTH(Table2[[#This Row],[Data attivazione]])),"-"),"-")</f>
        <v>7</v>
      </c>
      <c r="R5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8" s="67" t="s">
        <v>2</v>
      </c>
      <c r="V558" s="62"/>
      <c r="W558" s="64">
        <v>42931</v>
      </c>
      <c r="X558" s="29">
        <f>DATE(YEAR(Table2[[#This Row],[Data attivazione]])+VLOOKUP(Table2[[#This Row],[Durata]],VALORE_DURATA,2,FALSE),MONTH(Table2[[#This Row],[Data attivazione]]),DAY(Table2[[#This Row],[Data attivazione]]))</f>
        <v>43296</v>
      </c>
      <c r="Y558" s="65"/>
      <c r="Z558" s="61"/>
      <c r="AA558" s="64" t="s">
        <v>85</v>
      </c>
      <c r="AB558" s="29">
        <f>IF(Table2[[#This Row],[Data ultimo versamento temp]]=0/1/1900,"-",Table2[[#This Row],[Data ultimo versamento temp]])</f>
        <v>42932</v>
      </c>
      <c r="AC558" s="29">
        <f t="array" ref="AC558">MAX(IF(TableVersamenti[Polizza]=Table2[[#This Row],[Polizza]],TableVersamenti[Data prevista versamento],"-"))</f>
        <v>42932</v>
      </c>
      <c r="AD558" s="62"/>
      <c r="AE558" s="106">
        <f>DATE(YEAR(Table2[[#This Row],[Data ultimo pagamento]]),MONTH(Table2[[#This Row],[Data ultimo pagamento]]), 1)</f>
        <v>42917</v>
      </c>
      <c r="AF558" s="106">
        <f>DATE(YEAR(Table2[[#This Row],[Data prossima scadenza]]),MONTH(Table2[[#This Row],[Data prossima scadenza]]), 1)</f>
        <v>43282</v>
      </c>
      <c r="AG558" s="33">
        <f>IFERROR(Table2[[#This Row],[Importo annuale]]*VLOOKUP(Table2[[#This Row],[Ramo]],RAMI_POLIZZA,2,FALSE),0)</f>
        <v>23.69</v>
      </c>
      <c r="AH558" s="65" t="s">
        <v>113</v>
      </c>
      <c r="AI558" s="63" t="str">
        <f>IFERROR(VLOOKUP(Table2[[#This Row],[Contraente]],Table1[[Nome/Ragione sociale]:[Checkbox selezionato]],2,FALSE),"-")</f>
        <v>BELGIOIOSO</v>
      </c>
      <c r="AJ558" s="63">
        <f>IFERROR(VLOOKUP(Table2[[#This Row],[Contraente]],Table1[[Nome/Ragione sociale]:[Checkbox selezionato]],3,FALSE),"-")</f>
        <v>3208154499</v>
      </c>
      <c r="AK558" s="63">
        <f>IFERROR(VLOOKUP(Table2[[#This Row],[Contraente]],Table1[[Nome/Ragione sociale]:[Checkbox selezionato]],4,FALSE),"-")</f>
        <v>0</v>
      </c>
      <c r="AL558" s="63" t="str">
        <f>IFERROR(VLOOKUP(Table2[[#This Row],[Contraente]],Table1[[Nome/Ragione sociale]:[Checkbox selezionato]],5,FALSE),"-")</f>
        <v>DRISS</v>
      </c>
      <c r="AM558" s="62" t="str">
        <f>IFERROR(VLOOKUP(Table2[[#This Row],[Contraente]],Table1[[Nome/Ragione sociale]:[Checkbox selezionato]],6,FALSE),"-")</f>
        <v>-</v>
      </c>
      <c r="AN558" s="63" t="str">
        <f>IFERROR(VLOOKUP(Table2[[#This Row],[Contraente]],Table1[[Nome/Ragione sociale]:[Checkbox selezionato]],7,FALSE),"-")</f>
        <v>papies@libero.it</v>
      </c>
      <c r="AO558" s="63">
        <f>IFERROR(VLOOKUP(Table2[[#This Row],[Contraente]],Table1[[Nome/Ragione sociale]:[Checkbox selezionato]],8,FALSE),"-")</f>
        <v>0</v>
      </c>
      <c r="AP558" s="63">
        <f>IFERROR(VLOOKUP(Table2[[#This Row],[Contraente]],Table1[[Nome/Ragione sociale]:[Checkbox selezionato]],10,FALSE),"-")</f>
        <v>3208154499</v>
      </c>
      <c r="AQ558" s="63" t="str">
        <f>IFERROR(VLOOKUP(Table2[[#This Row],[Contraente]],Table1[[Nome/Ragione sociale]:[Checkbox selezionato]],11,FALSE),"-")</f>
        <v>SI</v>
      </c>
      <c r="AR558" s="63" t="str">
        <f>IFERROR(VLOOKUP(Table2[[#This Row],[Contraente]],Table1[[Nome/Ragione sociale]:[Checkbox selezionato]],12,FALSE),"-")</f>
        <v>SI</v>
      </c>
    </row>
    <row r="559" spans="1:44" ht="30" hidden="1" customHeight="1" x14ac:dyDescent="0.25">
      <c r="A559" s="60" t="str">
        <f>UPPER(LEFT(Table2[[#This Row],[Contraente]],1))</f>
        <v>J</v>
      </c>
      <c r="B559" s="60" t="s">
        <v>1634</v>
      </c>
      <c r="C559" s="80" t="s">
        <v>720</v>
      </c>
      <c r="D559" s="80" t="s">
        <v>37</v>
      </c>
      <c r="E559" s="85">
        <v>104689973</v>
      </c>
      <c r="F559" s="64">
        <v>42758</v>
      </c>
      <c r="G559" s="64">
        <f>IFERROR(CALCOLASCADENZA(Table2[[#This Row],[Data attivazione]],Table2[[#This Row],[Rateizzazione]],Table2[[#This Row],[Data ultimo pagamento]],Table2[[#This Row],[Data prossima scadenza manuale]]),"-")</f>
        <v>42940</v>
      </c>
      <c r="H559" s="67" t="s">
        <v>31</v>
      </c>
      <c r="I559" s="67" t="s">
        <v>1349</v>
      </c>
      <c r="J559" s="33">
        <f>IFERROR(Table2[[#This Row],[Importo annuale]]/(12/VLOOKUP(Table2[[#This Row],[Rateizzazione]],TIPI_RATEIZZAZIONI,2,FALSE)),"-")</f>
        <v>384</v>
      </c>
      <c r="K559" s="88">
        <v>384</v>
      </c>
      <c r="L559" s="88">
        <v>768</v>
      </c>
      <c r="M559" s="67" t="s">
        <v>43</v>
      </c>
      <c r="N559" s="67" t="s">
        <v>51</v>
      </c>
      <c r="O559" s="27" t="s">
        <v>1631</v>
      </c>
      <c r="P559" s="33" t="s">
        <v>22</v>
      </c>
      <c r="Q559" s="60">
        <f>IFERROR(IF(12 / VLOOKUP(Table2[[#This Row],[Rateizzazione]],TIPI_RATEIZZAZIONI,2,FALSE) &gt;=1,  IF(Table2[[#This Row],[Data attivazione]] = "","-",MONTH(Table2[[#This Row],[Data attivazione]])),"-"),"-")</f>
        <v>7</v>
      </c>
      <c r="R5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9" s="67" t="s">
        <v>2</v>
      </c>
      <c r="V559" s="62"/>
      <c r="W559" s="64">
        <v>42575</v>
      </c>
      <c r="X559" s="29">
        <f>DATE(YEAR(Table2[[#This Row],[Data attivazione]])+VLOOKUP(Table2[[#This Row],[Durata]],VALORE_DURATA,2,FALSE),MONTH(Table2[[#This Row],[Data attivazione]]),DAY(Table2[[#This Row],[Data attivazione]]))</f>
        <v>42940</v>
      </c>
      <c r="Y559" s="65"/>
      <c r="Z559" s="61"/>
      <c r="AA559" s="64" t="s">
        <v>85</v>
      </c>
      <c r="AB559" s="29" t="str">
        <f>IF(Table2[[#This Row],[Data ultimo versamento temp]]=0/1/1900,"-",Table2[[#This Row],[Data ultimo versamento temp]])</f>
        <v>-</v>
      </c>
      <c r="AC559" s="29">
        <f t="array" ref="AC559">MAX(IF(TableVersamenti[Polizza]=Table2[[#This Row],[Polizza]],TableVersamenti[Data prevista versamento],"-"))</f>
        <v>0</v>
      </c>
      <c r="AD559" s="62"/>
      <c r="AE559" s="106">
        <f>DATE(YEAR(Table2[[#This Row],[Data ultimo pagamento]]),MONTH(Table2[[#This Row],[Data ultimo pagamento]]), 1)</f>
        <v>42736</v>
      </c>
      <c r="AF559" s="106">
        <f>DATE(YEAR(Table2[[#This Row],[Data prossima scadenza]]),MONTH(Table2[[#This Row],[Data prossima scadenza]]), 1)</f>
        <v>42917</v>
      </c>
      <c r="AG559" s="33">
        <f>IFERROR(Table2[[#This Row],[Importo annuale]]*VLOOKUP(Table2[[#This Row],[Ramo]],RAMI_POLIZZA,2,FALSE),0)</f>
        <v>39.936</v>
      </c>
      <c r="AH559" s="65" t="s">
        <v>113</v>
      </c>
      <c r="AI559" s="63" t="str">
        <f>IFERROR(VLOOKUP(Table2[[#This Row],[Contraente]],Table1[[Nome/Ragione sociale]:[Checkbox selezionato]],2,FALSE),"-")</f>
        <v>BELGIOIOSO</v>
      </c>
      <c r="AJ559" s="63">
        <f>IFERROR(VLOOKUP(Table2[[#This Row],[Contraente]],Table1[[Nome/Ragione sociale]:[Checkbox selezionato]],3,FALSE),"-")</f>
        <v>3208154499</v>
      </c>
      <c r="AK559" s="63">
        <f>IFERROR(VLOOKUP(Table2[[#This Row],[Contraente]],Table1[[Nome/Ragione sociale]:[Checkbox selezionato]],4,FALSE),"-")</f>
        <v>0</v>
      </c>
      <c r="AL559" s="63" t="str">
        <f>IFERROR(VLOOKUP(Table2[[#This Row],[Contraente]],Table1[[Nome/Ragione sociale]:[Checkbox selezionato]],5,FALSE),"-")</f>
        <v>DRISS</v>
      </c>
      <c r="AM559" s="62" t="str">
        <f>IFERROR(VLOOKUP(Table2[[#This Row],[Contraente]],Table1[[Nome/Ragione sociale]:[Checkbox selezionato]],6,FALSE),"-")</f>
        <v>-</v>
      </c>
      <c r="AN559" s="63" t="str">
        <f>IFERROR(VLOOKUP(Table2[[#This Row],[Contraente]],Table1[[Nome/Ragione sociale]:[Checkbox selezionato]],7,FALSE),"-")</f>
        <v>papies@libero.it</v>
      </c>
      <c r="AO559" s="63">
        <f>IFERROR(VLOOKUP(Table2[[#This Row],[Contraente]],Table1[[Nome/Ragione sociale]:[Checkbox selezionato]],8,FALSE),"-")</f>
        <v>0</v>
      </c>
      <c r="AP559" s="63">
        <f>IFERROR(VLOOKUP(Table2[[#This Row],[Contraente]],Table1[[Nome/Ragione sociale]:[Checkbox selezionato]],10,FALSE),"-")</f>
        <v>3208154499</v>
      </c>
      <c r="AQ559" s="63" t="str">
        <f>IFERROR(VLOOKUP(Table2[[#This Row],[Contraente]],Table1[[Nome/Ragione sociale]:[Checkbox selezionato]],11,FALSE),"-")</f>
        <v>SI</v>
      </c>
      <c r="AR559" s="63" t="str">
        <f>IFERROR(VLOOKUP(Table2[[#This Row],[Contraente]],Table1[[Nome/Ragione sociale]:[Checkbox selezionato]],12,FALSE),"-")</f>
        <v>SI</v>
      </c>
    </row>
    <row r="560" spans="1:44" ht="30" hidden="1" customHeight="1" x14ac:dyDescent="0.25">
      <c r="A560" s="60" t="str">
        <f>UPPER(LEFT(Table2[[#This Row],[Contraente]],1))</f>
        <v>J</v>
      </c>
      <c r="B560" s="60" t="s">
        <v>1634</v>
      </c>
      <c r="C560" s="80" t="s">
        <v>720</v>
      </c>
      <c r="D560" s="80" t="s">
        <v>37</v>
      </c>
      <c r="E560" s="85">
        <v>107103786</v>
      </c>
      <c r="F560" s="64">
        <v>42929</v>
      </c>
      <c r="G560" s="64">
        <f>IFERROR(CALCOLASCADENZA(Table2[[#This Row],[Data attivazione]],Table2[[#This Row],[Rateizzazione]],Table2[[#This Row],[Data ultimo pagamento]],Table2[[#This Row],[Data prossima scadenza manuale]]),"-")</f>
        <v>43101</v>
      </c>
      <c r="H560" s="67" t="s">
        <v>31</v>
      </c>
      <c r="I560" s="67" t="s">
        <v>1350</v>
      </c>
      <c r="J560" s="33">
        <f>IFERROR(Table2[[#This Row],[Importo annuale]]/(12/VLOOKUP(Table2[[#This Row],[Rateizzazione]],TIPI_RATEIZZAZIONI,2,FALSE)),"-")</f>
        <v>398</v>
      </c>
      <c r="K560" s="88">
        <v>690</v>
      </c>
      <c r="L560" s="88">
        <v>796</v>
      </c>
      <c r="M560" s="67" t="s">
        <v>43</v>
      </c>
      <c r="N560" s="67" t="s">
        <v>51</v>
      </c>
      <c r="O560" s="27" t="s">
        <v>1631</v>
      </c>
      <c r="P560" s="33" t="s">
        <v>22</v>
      </c>
      <c r="Q560" s="60">
        <f>IFERROR(IF(12 / VLOOKUP(Table2[[#This Row],[Rateizzazione]],TIPI_RATEIZZAZIONI,2,FALSE) &gt;=1,  IF(Table2[[#This Row],[Data attivazione]] = "","-",MONTH(Table2[[#This Row],[Data attivazione]])),"-"),"-")</f>
        <v>7</v>
      </c>
      <c r="R5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0" s="67" t="s">
        <v>2</v>
      </c>
      <c r="V560" s="62"/>
      <c r="W560" s="64">
        <v>42917</v>
      </c>
      <c r="X560" s="29">
        <f>DATE(YEAR(Table2[[#This Row],[Data attivazione]])+VLOOKUP(Table2[[#This Row],[Durata]],VALORE_DURATA,2,FALSE),MONTH(Table2[[#This Row],[Data attivazione]]),DAY(Table2[[#This Row],[Data attivazione]]))</f>
        <v>43282</v>
      </c>
      <c r="Y560" s="65"/>
      <c r="Z560" s="61"/>
      <c r="AA560" s="64" t="s">
        <v>85</v>
      </c>
      <c r="AB560" s="29">
        <f>IF(Table2[[#This Row],[Data ultimo versamento temp]]=0/1/1900,"-",Table2[[#This Row],[Data ultimo versamento temp]])</f>
        <v>42932</v>
      </c>
      <c r="AC560" s="29">
        <f t="array" ref="AC560">MAX(IF(TableVersamenti[Polizza]=Table2[[#This Row],[Polizza]],TableVersamenti[Data prevista versamento],"-"))</f>
        <v>42932</v>
      </c>
      <c r="AD560" s="62"/>
      <c r="AE560" s="106">
        <f>DATE(YEAR(Table2[[#This Row],[Data ultimo pagamento]]),MONTH(Table2[[#This Row],[Data ultimo pagamento]]), 1)</f>
        <v>42917</v>
      </c>
      <c r="AF560" s="106">
        <f>DATE(YEAR(Table2[[#This Row],[Data prossima scadenza]]),MONTH(Table2[[#This Row],[Data prossima scadenza]]), 1)</f>
        <v>43101</v>
      </c>
      <c r="AG560" s="33">
        <f>IFERROR(Table2[[#This Row],[Importo annuale]]*VLOOKUP(Table2[[#This Row],[Ramo]],RAMI_POLIZZA,2,FALSE),0)</f>
        <v>41.391999999999996</v>
      </c>
      <c r="AH560" s="65" t="s">
        <v>113</v>
      </c>
      <c r="AI560" s="63" t="str">
        <f>IFERROR(VLOOKUP(Table2[[#This Row],[Contraente]],Table1[[Nome/Ragione sociale]:[Checkbox selezionato]],2,FALSE),"-")</f>
        <v>BELGIOIOSO</v>
      </c>
      <c r="AJ560" s="63">
        <f>IFERROR(VLOOKUP(Table2[[#This Row],[Contraente]],Table1[[Nome/Ragione sociale]:[Checkbox selezionato]],3,FALSE),"-")</f>
        <v>3208154499</v>
      </c>
      <c r="AK560" s="63">
        <f>IFERROR(VLOOKUP(Table2[[#This Row],[Contraente]],Table1[[Nome/Ragione sociale]:[Checkbox selezionato]],4,FALSE),"-")</f>
        <v>0</v>
      </c>
      <c r="AL560" s="63" t="str">
        <f>IFERROR(VLOOKUP(Table2[[#This Row],[Contraente]],Table1[[Nome/Ragione sociale]:[Checkbox selezionato]],5,FALSE),"-")</f>
        <v>DRISS</v>
      </c>
      <c r="AM560" s="62" t="str">
        <f>IFERROR(VLOOKUP(Table2[[#This Row],[Contraente]],Table1[[Nome/Ragione sociale]:[Checkbox selezionato]],6,FALSE),"-")</f>
        <v>-</v>
      </c>
      <c r="AN560" s="63" t="str">
        <f>IFERROR(VLOOKUP(Table2[[#This Row],[Contraente]],Table1[[Nome/Ragione sociale]:[Checkbox selezionato]],7,FALSE),"-")</f>
        <v>papies@libero.it</v>
      </c>
      <c r="AO560" s="63">
        <f>IFERROR(VLOOKUP(Table2[[#This Row],[Contraente]],Table1[[Nome/Ragione sociale]:[Checkbox selezionato]],8,FALSE),"-")</f>
        <v>0</v>
      </c>
      <c r="AP560" s="63">
        <f>IFERROR(VLOOKUP(Table2[[#This Row],[Contraente]],Table1[[Nome/Ragione sociale]:[Checkbox selezionato]],10,FALSE),"-")</f>
        <v>3208154499</v>
      </c>
      <c r="AQ560" s="63" t="str">
        <f>IFERROR(VLOOKUP(Table2[[#This Row],[Contraente]],Table1[[Nome/Ragione sociale]:[Checkbox selezionato]],11,FALSE),"-")</f>
        <v>SI</v>
      </c>
      <c r="AR560" s="63" t="str">
        <f>IFERROR(VLOOKUP(Table2[[#This Row],[Contraente]],Table1[[Nome/Ragione sociale]:[Checkbox selezionato]],12,FALSE),"-")</f>
        <v>SI</v>
      </c>
    </row>
    <row r="561" spans="1:44" ht="30" hidden="1" customHeight="1" x14ac:dyDescent="0.25">
      <c r="A561" s="60" t="str">
        <f>UPPER(LEFT(Table2[[#This Row],[Contraente]],1))</f>
        <v>J</v>
      </c>
      <c r="B561" s="60" t="s">
        <v>1634</v>
      </c>
      <c r="C561" s="81" t="s">
        <v>1677</v>
      </c>
      <c r="D561" s="81" t="s">
        <v>37</v>
      </c>
      <c r="E561" s="86">
        <v>106761815</v>
      </c>
      <c r="F561" s="64">
        <v>42844</v>
      </c>
      <c r="G561" s="64">
        <f>IFERROR(CALCOLASCADENZA(Table2[[#This Row],[Data attivazione]],Table2[[#This Row],[Rateizzazione]],Table2[[#This Row],[Data ultimo pagamento]],Table2[[#This Row],[Data prossima scadenza manuale]]),"-")</f>
        <v>43209</v>
      </c>
      <c r="H561" s="67" t="s">
        <v>31</v>
      </c>
      <c r="I561" s="67" t="s">
        <v>1691</v>
      </c>
      <c r="J561" s="33">
        <f>IFERROR(Table2[[#This Row],[Importo annuale]]/(12/VLOOKUP(Table2[[#This Row],[Rateizzazione]],TIPI_RATEIZZAZIONI,2,FALSE)),"-")</f>
        <v>1080.4000000000001</v>
      </c>
      <c r="K561" s="88">
        <v>1080.4000000000001</v>
      </c>
      <c r="L561" s="88">
        <v>1080.4000000000001</v>
      </c>
      <c r="M561" s="67" t="s">
        <v>44</v>
      </c>
      <c r="N561" s="67" t="s">
        <v>52</v>
      </c>
      <c r="O561" s="27" t="s">
        <v>1631</v>
      </c>
      <c r="P561" s="33" t="s">
        <v>23</v>
      </c>
      <c r="Q561" s="60">
        <f>IFERROR(IF(12 / VLOOKUP(Table2[[#This Row],[Rateizzazione]],TIPI_RATEIZZAZIONI,2,FALSE) &gt;=1,  IF(Table2[[#This Row],[Data attivazione]] = "","-",MONTH(Table2[[#This Row],[Data attivazione]])),"-"),"-")</f>
        <v>4</v>
      </c>
      <c r="R5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1" s="67" t="s">
        <v>2</v>
      </c>
      <c r="V561" s="62"/>
      <c r="W561" s="64">
        <v>42844</v>
      </c>
      <c r="X561" s="29">
        <f>DATE(YEAR(Table2[[#This Row],[Data attivazione]])+VLOOKUP(Table2[[#This Row],[Durata]],VALORE_DURATA,2,FALSE),MONTH(Table2[[#This Row],[Data attivazione]]),DAY(Table2[[#This Row],[Data attivazione]]))</f>
        <v>43209</v>
      </c>
      <c r="Y561" s="65"/>
      <c r="Z561" s="61"/>
      <c r="AA561" s="64" t="s">
        <v>85</v>
      </c>
      <c r="AB561" s="29" t="str">
        <f>IF(Table2[[#This Row],[Data ultimo versamento temp]]=0/1/1900,"-",Table2[[#This Row],[Data ultimo versamento temp]])</f>
        <v>-</v>
      </c>
      <c r="AC561" s="29">
        <f t="array" ref="AC561">MAX(IF(TableVersamenti[Polizza]=Table2[[#This Row],[Polizza]],TableVersamenti[Data prevista versamento],"-"))</f>
        <v>0</v>
      </c>
      <c r="AD561" s="62"/>
      <c r="AE561" s="106">
        <f>DATE(YEAR(Table2[[#This Row],[Data ultimo pagamento]]),MONTH(Table2[[#This Row],[Data ultimo pagamento]]), 1)</f>
        <v>42826</v>
      </c>
      <c r="AF561" s="106">
        <f>DATE(YEAR(Table2[[#This Row],[Data prossima scadenza]]),MONTH(Table2[[#This Row],[Data prossima scadenza]]), 1)</f>
        <v>43191</v>
      </c>
      <c r="AG561" s="33">
        <f>IFERROR(Table2[[#This Row],[Importo annuale]]*VLOOKUP(Table2[[#This Row],[Ramo]],RAMI_POLIZZA,2,FALSE),0)</f>
        <v>56.180800000000005</v>
      </c>
      <c r="AH561" s="65" t="s">
        <v>113</v>
      </c>
      <c r="AI561" s="63" t="str">
        <f>IFERROR(VLOOKUP(Table2[[#This Row],[Contraente]],Table1[[Nome/Ragione sociale]:[Checkbox selezionato]],2,FALSE),"-")</f>
        <v>BRONI</v>
      </c>
      <c r="AJ561" s="63">
        <f>IFERROR(VLOOKUP(Table2[[#This Row],[Contraente]],Table1[[Nome/Ragione sociale]:[Checkbox selezionato]],3,FALSE),"-")</f>
        <v>3396011052</v>
      </c>
      <c r="AK561" s="63">
        <f>IFERROR(VLOOKUP(Table2[[#This Row],[Contraente]],Table1[[Nome/Ragione sociale]:[Checkbox selezionato]],4,FALSE),"-")</f>
        <v>0</v>
      </c>
      <c r="AL561" s="63" t="str">
        <f>IFERROR(VLOOKUP(Table2[[#This Row],[Contraente]],Table1[[Nome/Ragione sociale]:[Checkbox selezionato]],5,FALSE),"-")</f>
        <v>JENTIAN</v>
      </c>
      <c r="AM561" s="62" t="str">
        <f>IFERROR(VLOOKUP(Table2[[#This Row],[Contraente]],Table1[[Nome/Ragione sociale]:[Checkbox selezionato]],6,FALSE),"-")</f>
        <v>-</v>
      </c>
      <c r="AN561" s="63" t="str">
        <f>IFERROR(VLOOKUP(Table2[[#This Row],[Contraente]],Table1[[Nome/Ragione sociale]:[Checkbox selezionato]],7,FALSE),"-")</f>
        <v>papies@email.it</v>
      </c>
      <c r="AO561" s="63">
        <f>IFERROR(VLOOKUP(Table2[[#This Row],[Contraente]],Table1[[Nome/Ragione sociale]:[Checkbox selezionato]],8,FALSE),"-")</f>
        <v>0</v>
      </c>
      <c r="AP561" s="63">
        <f>IFERROR(VLOOKUP(Table2[[#This Row],[Contraente]],Table1[[Nome/Ragione sociale]:[Checkbox selezionato]],10,FALSE),"-")</f>
        <v>3396011052</v>
      </c>
      <c r="AQ561" s="63" t="str">
        <f>IFERROR(VLOOKUP(Table2[[#This Row],[Contraente]],Table1[[Nome/Ragione sociale]:[Checkbox selezionato]],11,FALSE),"-")</f>
        <v>SI</v>
      </c>
      <c r="AR561" s="63" t="str">
        <f>IFERROR(VLOOKUP(Table2[[#This Row],[Contraente]],Table1[[Nome/Ragione sociale]:[Checkbox selezionato]],12,FALSE),"-")</f>
        <v>SI</v>
      </c>
    </row>
    <row r="562" spans="1:44" ht="30" hidden="1" customHeight="1" x14ac:dyDescent="0.25">
      <c r="A562" s="60" t="str">
        <f>UPPER(LEFT(Table2[[#This Row],[Contraente]],1))</f>
        <v>J</v>
      </c>
      <c r="B562" s="60" t="s">
        <v>1634</v>
      </c>
      <c r="C562" s="81" t="s">
        <v>718</v>
      </c>
      <c r="D562" s="81" t="s">
        <v>37</v>
      </c>
      <c r="E562" s="86">
        <v>106122102</v>
      </c>
      <c r="F562" s="64">
        <v>42656</v>
      </c>
      <c r="G562" s="64">
        <f>IFERROR(CALCOLASCADENZA(Table2[[#This Row],[Data attivazione]],Table2[[#This Row],[Rateizzazione]],Table2[[#This Row],[Data ultimo pagamento]],Table2[[#This Row],[Data prossima scadenza manuale]]),"-")</f>
        <v>43021</v>
      </c>
      <c r="H562" s="67" t="s">
        <v>31</v>
      </c>
      <c r="I562" s="67" t="s">
        <v>1348</v>
      </c>
      <c r="J562" s="33">
        <f>IFERROR(Table2[[#This Row],[Importo annuale]]/(12/VLOOKUP(Table2[[#This Row],[Rateizzazione]],TIPI_RATEIZZAZIONI,2,FALSE)),"-")</f>
        <v>1222.4000000000001</v>
      </c>
      <c r="K562" s="88"/>
      <c r="L562" s="88">
        <v>1222.4000000000001</v>
      </c>
      <c r="M562" s="67" t="s">
        <v>43</v>
      </c>
      <c r="N562" s="67" t="s">
        <v>52</v>
      </c>
      <c r="O562" s="27" t="s">
        <v>1631</v>
      </c>
      <c r="P562" s="33" t="s">
        <v>23</v>
      </c>
      <c r="Q562" s="60">
        <f>IFERROR(IF(12 / VLOOKUP(Table2[[#This Row],[Rateizzazione]],TIPI_RATEIZZAZIONI,2,FALSE) &gt;=1,  IF(Table2[[#This Row],[Data attivazione]] = "","-",MONTH(Table2[[#This Row],[Data attivazione]])),"-"),"-")</f>
        <v>10</v>
      </c>
      <c r="R5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2" s="67" t="s">
        <v>2</v>
      </c>
      <c r="V562" s="62"/>
      <c r="W562" s="64">
        <v>42656</v>
      </c>
      <c r="X562" s="29">
        <f>DATE(YEAR(Table2[[#This Row],[Data attivazione]])+VLOOKUP(Table2[[#This Row],[Durata]],VALORE_DURATA,2,FALSE),MONTH(Table2[[#This Row],[Data attivazione]]),DAY(Table2[[#This Row],[Data attivazione]]))</f>
        <v>43021</v>
      </c>
      <c r="Y562" s="65"/>
      <c r="Z562" s="61"/>
      <c r="AA562" s="64" t="s">
        <v>85</v>
      </c>
      <c r="AB562" s="29" t="str">
        <f>IF(Table2[[#This Row],[Data ultimo versamento temp]]=0/1/1900,"-",Table2[[#This Row],[Data ultimo versamento temp]])</f>
        <v>-</v>
      </c>
      <c r="AC562" s="29">
        <f t="array" ref="AC562">MAX(IF(TableVersamenti[Polizza]=Table2[[#This Row],[Polizza]],TableVersamenti[Data prevista versamento],"-"))</f>
        <v>0</v>
      </c>
      <c r="AD562" s="62"/>
      <c r="AE562" s="106">
        <f>DATE(YEAR(Table2[[#This Row],[Data ultimo pagamento]]),MONTH(Table2[[#This Row],[Data ultimo pagamento]]), 1)</f>
        <v>42644</v>
      </c>
      <c r="AF562" s="106">
        <f>DATE(YEAR(Table2[[#This Row],[Data prossima scadenza]]),MONTH(Table2[[#This Row],[Data prossima scadenza]]), 1)</f>
        <v>43009</v>
      </c>
      <c r="AG562" s="33">
        <f>IFERROR(Table2[[#This Row],[Importo annuale]]*VLOOKUP(Table2[[#This Row],[Ramo]],RAMI_POLIZZA,2,FALSE),0)</f>
        <v>63.564800000000005</v>
      </c>
      <c r="AH562" s="65" t="s">
        <v>113</v>
      </c>
      <c r="AI562" s="63" t="str">
        <f>IFERROR(VLOOKUP(Table2[[#This Row],[Contraente]],Table1[[Nome/Ragione sociale]:[Checkbox selezionato]],2,FALSE),"-")</f>
        <v>CASANOVA LONATI</v>
      </c>
      <c r="AJ562" s="63">
        <f>IFERROR(VLOOKUP(Table2[[#This Row],[Contraente]],Table1[[Nome/Ragione sociale]:[Checkbox selezionato]],3,FALSE),"-")</f>
        <v>3279052873</v>
      </c>
      <c r="AK562" s="63">
        <f>IFERROR(VLOOKUP(Table2[[#This Row],[Contraente]],Table1[[Nome/Ragione sociale]:[Checkbox selezionato]],4,FALSE),"-")</f>
        <v>0</v>
      </c>
      <c r="AL562" s="63" t="str">
        <f>IFERROR(VLOOKUP(Table2[[#This Row],[Contraente]],Table1[[Nome/Ragione sociale]:[Checkbox selezionato]],5,FALSE),"-")</f>
        <v>JAUPI ROLAND</v>
      </c>
      <c r="AM562" s="62">
        <f>IFERROR(VLOOKUP(Table2[[#This Row],[Contraente]],Table1[[Nome/Ragione sociale]:[Checkbox selezionato]],6,FALSE),"-")</f>
        <v>32983</v>
      </c>
      <c r="AN562" s="63" t="str">
        <f>IFERROR(VLOOKUP(Table2[[#This Row],[Contraente]],Table1[[Nome/Ragione sociale]:[Checkbox selezionato]],7,FALSE),"-")</f>
        <v>papies@libero.it</v>
      </c>
      <c r="AO562" s="63">
        <f>IFERROR(VLOOKUP(Table2[[#This Row],[Contraente]],Table1[[Nome/Ragione sociale]:[Checkbox selezionato]],8,FALSE),"-")</f>
        <v>0</v>
      </c>
      <c r="AP562" s="63">
        <f>IFERROR(VLOOKUP(Table2[[#This Row],[Contraente]],Table1[[Nome/Ragione sociale]:[Checkbox selezionato]],10,FALSE),"-")</f>
        <v>3279052873</v>
      </c>
      <c r="AQ562" s="63" t="str">
        <f>IFERROR(VLOOKUP(Table2[[#This Row],[Contraente]],Table1[[Nome/Ragione sociale]:[Checkbox selezionato]],11,FALSE),"-")</f>
        <v>SI</v>
      </c>
      <c r="AR562" s="63" t="str">
        <f>IFERROR(VLOOKUP(Table2[[#This Row],[Contraente]],Table1[[Nome/Ragione sociale]:[Checkbox selezionato]],12,FALSE),"-")</f>
        <v>SI</v>
      </c>
    </row>
    <row r="563" spans="1:44" ht="30" hidden="1" customHeight="1" x14ac:dyDescent="0.25">
      <c r="A563" s="60" t="str">
        <f>UPPER(LEFT(Table2[[#This Row],[Contraente]],1))</f>
        <v>K</v>
      </c>
      <c r="B563" s="60" t="s">
        <v>1634</v>
      </c>
      <c r="C563" s="81" t="s">
        <v>723</v>
      </c>
      <c r="D563" s="81" t="s">
        <v>37</v>
      </c>
      <c r="E563" s="86">
        <v>106359658</v>
      </c>
      <c r="F563" s="64">
        <v>42913</v>
      </c>
      <c r="G563" s="64">
        <f>IFERROR(CALCOLASCADENZA(Table2[[#This Row],[Data attivazione]],Table2[[#This Row],[Rateizzazione]],Table2[[#This Row],[Data ultimo pagamento]],Table2[[#This Row],[Data prossima scadenza manuale]]),"-")</f>
        <v>43091</v>
      </c>
      <c r="H563" s="67" t="s">
        <v>31</v>
      </c>
      <c r="I563" s="67" t="s">
        <v>1353</v>
      </c>
      <c r="J563" s="33">
        <f>IFERROR(Table2[[#This Row],[Importo annuale]]/(12/VLOOKUP(Table2[[#This Row],[Rateizzazione]],TIPI_RATEIZZAZIONI,2,FALSE)),"-")</f>
        <v>664</v>
      </c>
      <c r="K563" s="88">
        <v>664</v>
      </c>
      <c r="L563" s="88">
        <v>1328</v>
      </c>
      <c r="M563" s="67" t="s">
        <v>44</v>
      </c>
      <c r="N563" s="67" t="s">
        <v>51</v>
      </c>
      <c r="O563" s="27" t="s">
        <v>1631</v>
      </c>
      <c r="P563" s="33" t="s">
        <v>22</v>
      </c>
      <c r="Q563" s="60">
        <f>IFERROR(IF(12 / VLOOKUP(Table2[[#This Row],[Rateizzazione]],TIPI_RATEIZZAZIONI,2,FALSE) &gt;=1,  IF(Table2[[#This Row],[Data attivazione]] = "","-",MONTH(Table2[[#This Row],[Data attivazione]])),"-"),"-")</f>
        <v>12</v>
      </c>
      <c r="R5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3" s="67" t="s">
        <v>2</v>
      </c>
      <c r="V563" s="62"/>
      <c r="W563" s="64">
        <v>42726</v>
      </c>
      <c r="X563" s="29">
        <f>DATE(YEAR(Table2[[#This Row],[Data attivazione]])+VLOOKUP(Table2[[#This Row],[Durata]],VALORE_DURATA,2,FALSE),MONTH(Table2[[#This Row],[Data attivazione]]),DAY(Table2[[#This Row],[Data attivazione]]))</f>
        <v>43091</v>
      </c>
      <c r="Y563" s="65"/>
      <c r="Z563" s="61"/>
      <c r="AA563" s="64" t="s">
        <v>85</v>
      </c>
      <c r="AB563" s="29" t="str">
        <f>IF(Table2[[#This Row],[Data ultimo versamento temp]]=0/1/1900,"-",Table2[[#This Row],[Data ultimo versamento temp]])</f>
        <v>-</v>
      </c>
      <c r="AC563" s="29">
        <f t="array" ref="AC563">MAX(IF(TableVersamenti[Polizza]=Table2[[#This Row],[Polizza]],TableVersamenti[Data prevista versamento],"-"))</f>
        <v>0</v>
      </c>
      <c r="AD563" s="62"/>
      <c r="AE563" s="106">
        <f>DATE(YEAR(Table2[[#This Row],[Data ultimo pagamento]]),MONTH(Table2[[#This Row],[Data ultimo pagamento]]), 1)</f>
        <v>42887</v>
      </c>
      <c r="AF563" s="106">
        <f>DATE(YEAR(Table2[[#This Row],[Data prossima scadenza]]),MONTH(Table2[[#This Row],[Data prossima scadenza]]), 1)</f>
        <v>43070</v>
      </c>
      <c r="AG563" s="33">
        <f>IFERROR(Table2[[#This Row],[Importo annuale]]*VLOOKUP(Table2[[#This Row],[Ramo]],RAMI_POLIZZA,2,FALSE),0)</f>
        <v>69.055999999999997</v>
      </c>
      <c r="AH563" s="65" t="s">
        <v>113</v>
      </c>
      <c r="AI563" s="63" t="str">
        <f>IFERROR(VLOOKUP(Table2[[#This Row],[Contraente]],Table1[[Nome/Ragione sociale]:[Checkbox selezionato]],2,FALSE),"-")</f>
        <v>SAN GENESIO ED UNITI</v>
      </c>
      <c r="AJ563" s="63">
        <f>IFERROR(VLOOKUP(Table2[[#This Row],[Contraente]],Table1[[Nome/Ragione sociale]:[Checkbox selezionato]],3,FALSE),"-")</f>
        <v>3357022443</v>
      </c>
      <c r="AK563" s="63">
        <f>IFERROR(VLOOKUP(Table2[[#This Row],[Contraente]],Table1[[Nome/Ragione sociale]:[Checkbox selezionato]],4,FALSE),"-")</f>
        <v>0</v>
      </c>
      <c r="AL563" s="63" t="str">
        <f>IFERROR(VLOOKUP(Table2[[#This Row],[Contraente]],Table1[[Nome/Ragione sociale]:[Checkbox selezionato]],5,FALSE),"-")</f>
        <v>RASIM</v>
      </c>
      <c r="AM563" s="62" t="str">
        <f>IFERROR(VLOOKUP(Table2[[#This Row],[Contraente]],Table1[[Nome/Ragione sociale]:[Checkbox selezionato]],6,FALSE),"-")</f>
        <v>-</v>
      </c>
      <c r="AN563" s="63" t="str">
        <f>IFERROR(VLOOKUP(Table2[[#This Row],[Contraente]],Table1[[Nome/Ragione sociale]:[Checkbox selezionato]],7,FALSE),"-")</f>
        <v>papies@libero.it</v>
      </c>
      <c r="AO563" s="63">
        <f>IFERROR(VLOOKUP(Table2[[#This Row],[Contraente]],Table1[[Nome/Ragione sociale]:[Checkbox selezionato]],8,FALSE),"-")</f>
        <v>0</v>
      </c>
      <c r="AP563" s="63">
        <f>IFERROR(VLOOKUP(Table2[[#This Row],[Contraente]],Table1[[Nome/Ragione sociale]:[Checkbox selezionato]],10,FALSE),"-")</f>
        <v>3357022443</v>
      </c>
      <c r="AQ563" s="63" t="str">
        <f>IFERROR(VLOOKUP(Table2[[#This Row],[Contraente]],Table1[[Nome/Ragione sociale]:[Checkbox selezionato]],11,FALSE),"-")</f>
        <v>SI</v>
      </c>
      <c r="AR563" s="63" t="str">
        <f>IFERROR(VLOOKUP(Table2[[#This Row],[Contraente]],Table1[[Nome/Ragione sociale]:[Checkbox selezionato]],12,FALSE),"-")</f>
        <v>SI</v>
      </c>
    </row>
    <row r="564" spans="1:44" ht="30" hidden="1" customHeight="1" x14ac:dyDescent="0.25">
      <c r="A564" s="60" t="str">
        <f>UPPER(LEFT(Table2[[#This Row],[Contraente]],1))</f>
        <v>K</v>
      </c>
      <c r="B564" s="60" t="s">
        <v>1634</v>
      </c>
      <c r="C564" s="81" t="s">
        <v>725</v>
      </c>
      <c r="D564" s="81" t="s">
        <v>37</v>
      </c>
      <c r="E564" s="86">
        <v>105147077</v>
      </c>
      <c r="F564" s="64">
        <v>42726</v>
      </c>
      <c r="G564" s="64">
        <f>IFERROR(CALCOLASCADENZA(Table2[[#This Row],[Data attivazione]],Table2[[#This Row],[Rateizzazione]],Table2[[#This Row],[Data ultimo pagamento]],Table2[[#This Row],[Data prossima scadenza manuale]]),"-")</f>
        <v>43084</v>
      </c>
      <c r="H564" s="67" t="s">
        <v>31</v>
      </c>
      <c r="I564" s="67" t="s">
        <v>1354</v>
      </c>
      <c r="J564" s="33">
        <f>IFERROR(Table2[[#This Row],[Importo annuale]]/(12/VLOOKUP(Table2[[#This Row],[Rateizzazione]],TIPI_RATEIZZAZIONI,2,FALSE)),"-")</f>
        <v>943</v>
      </c>
      <c r="K564" s="88"/>
      <c r="L564" s="88">
        <v>943</v>
      </c>
      <c r="M564" s="67" t="s">
        <v>44</v>
      </c>
      <c r="N564" s="67" t="s">
        <v>51</v>
      </c>
      <c r="O564" s="27" t="s">
        <v>1631</v>
      </c>
      <c r="P564" s="33" t="s">
        <v>23</v>
      </c>
      <c r="Q564" s="60">
        <f>IFERROR(IF(12 / VLOOKUP(Table2[[#This Row],[Rateizzazione]],TIPI_RATEIZZAZIONI,2,FALSE) &gt;=1,  IF(Table2[[#This Row],[Data attivazione]] = "","-",MONTH(Table2[[#This Row],[Data attivazione]])),"-"),"-")</f>
        <v>12</v>
      </c>
      <c r="R5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4" s="67" t="s">
        <v>2</v>
      </c>
      <c r="V564" s="62"/>
      <c r="W564" s="64">
        <v>42719</v>
      </c>
      <c r="X564" s="29">
        <f>DATE(YEAR(Table2[[#This Row],[Data attivazione]])+VLOOKUP(Table2[[#This Row],[Durata]],VALORE_DURATA,2,FALSE),MONTH(Table2[[#This Row],[Data attivazione]]),DAY(Table2[[#This Row],[Data attivazione]]))</f>
        <v>43084</v>
      </c>
      <c r="Y564" s="65"/>
      <c r="Z564" s="61"/>
      <c r="AA564" s="64" t="s">
        <v>85</v>
      </c>
      <c r="AB564" s="29" t="str">
        <f>IF(Table2[[#This Row],[Data ultimo versamento temp]]=0/1/1900,"-",Table2[[#This Row],[Data ultimo versamento temp]])</f>
        <v>-</v>
      </c>
      <c r="AC564" s="29">
        <f t="array" ref="AC564">MAX(IF(TableVersamenti[Polizza]=Table2[[#This Row],[Polizza]],TableVersamenti[Data prevista versamento],"-"))</f>
        <v>0</v>
      </c>
      <c r="AD564" s="62"/>
      <c r="AE564" s="106">
        <f>DATE(YEAR(Table2[[#This Row],[Data ultimo pagamento]]),MONTH(Table2[[#This Row],[Data ultimo pagamento]]), 1)</f>
        <v>42705</v>
      </c>
      <c r="AF564" s="106">
        <f>DATE(YEAR(Table2[[#This Row],[Data prossima scadenza]]),MONTH(Table2[[#This Row],[Data prossima scadenza]]), 1)</f>
        <v>43070</v>
      </c>
      <c r="AG564" s="33">
        <f>IFERROR(Table2[[#This Row],[Importo annuale]]*VLOOKUP(Table2[[#This Row],[Ramo]],RAMI_POLIZZA,2,FALSE),0)</f>
        <v>49.035999999999994</v>
      </c>
      <c r="AH564" s="65" t="s">
        <v>113</v>
      </c>
      <c r="AI564" s="63" t="str">
        <f>IFERROR(VLOOKUP(Table2[[#This Row],[Contraente]],Table1[[Nome/Ragione sociale]:[Checkbox selezionato]],2,FALSE),"-")</f>
        <v>SAN GENESIO ED UNITI</v>
      </c>
      <c r="AJ564" s="63">
        <f>IFERROR(VLOOKUP(Table2[[#This Row],[Contraente]],Table1[[Nome/Ragione sociale]:[Checkbox selezionato]],3,FALSE),"-")</f>
        <v>3357022443</v>
      </c>
      <c r="AK564" s="63">
        <f>IFERROR(VLOOKUP(Table2[[#This Row],[Contraente]],Table1[[Nome/Ragione sociale]:[Checkbox selezionato]],4,FALSE),"-")</f>
        <v>0</v>
      </c>
      <c r="AL564" s="63" t="str">
        <f>IFERROR(VLOOKUP(Table2[[#This Row],[Contraente]],Table1[[Nome/Ragione sociale]:[Checkbox selezionato]],5,FALSE),"-")</f>
        <v>RASIM</v>
      </c>
      <c r="AM564" s="62" t="str">
        <f>IFERROR(VLOOKUP(Table2[[#This Row],[Contraente]],Table1[[Nome/Ragione sociale]:[Checkbox selezionato]],6,FALSE),"-")</f>
        <v>-</v>
      </c>
      <c r="AN564" s="63" t="str">
        <f>IFERROR(VLOOKUP(Table2[[#This Row],[Contraente]],Table1[[Nome/Ragione sociale]:[Checkbox selezionato]],7,FALSE),"-")</f>
        <v>papies@email.it</v>
      </c>
      <c r="AO564" s="63">
        <f>IFERROR(VLOOKUP(Table2[[#This Row],[Contraente]],Table1[[Nome/Ragione sociale]:[Checkbox selezionato]],8,FALSE),"-")</f>
        <v>0</v>
      </c>
      <c r="AP564" s="63">
        <f>IFERROR(VLOOKUP(Table2[[#This Row],[Contraente]],Table1[[Nome/Ragione sociale]:[Checkbox selezionato]],10,FALSE),"-")</f>
        <v>3357022443</v>
      </c>
      <c r="AQ564" s="63" t="str">
        <f>IFERROR(VLOOKUP(Table2[[#This Row],[Contraente]],Table1[[Nome/Ragione sociale]:[Checkbox selezionato]],11,FALSE),"-")</f>
        <v>SI</v>
      </c>
      <c r="AR564" s="63" t="str">
        <f>IFERROR(VLOOKUP(Table2[[#This Row],[Contraente]],Table1[[Nome/Ragione sociale]:[Checkbox selezionato]],12,FALSE),"-")</f>
        <v>SI</v>
      </c>
    </row>
    <row r="565" spans="1:44" ht="30" hidden="1" customHeight="1" x14ac:dyDescent="0.25">
      <c r="A565" s="60" t="str">
        <f>UPPER(LEFT(Table2[[#This Row],[Contraente]],1))</f>
        <v>K</v>
      </c>
      <c r="B565" s="60" t="s">
        <v>1634</v>
      </c>
      <c r="C565" s="81" t="s">
        <v>725</v>
      </c>
      <c r="D565" s="81" t="s">
        <v>37</v>
      </c>
      <c r="E565" s="86">
        <v>105147094</v>
      </c>
      <c r="F565" s="64">
        <v>42726</v>
      </c>
      <c r="G565" s="64">
        <f>IFERROR(CALCOLASCADENZA(Table2[[#This Row],[Data attivazione]],Table2[[#This Row],[Rateizzazione]],Table2[[#This Row],[Data ultimo pagamento]],Table2[[#This Row],[Data prossima scadenza manuale]]),"-")</f>
        <v>43085</v>
      </c>
      <c r="H565" s="67" t="s">
        <v>30</v>
      </c>
      <c r="I565" s="67" t="s">
        <v>113</v>
      </c>
      <c r="J565" s="33">
        <f>IFERROR(Table2[[#This Row],[Importo annuale]]/(12/VLOOKUP(Table2[[#This Row],[Rateizzazione]],TIPI_RATEIZZAZIONI,2,FALSE)),"-")</f>
        <v>129</v>
      </c>
      <c r="K565" s="88"/>
      <c r="L565" s="88">
        <v>129</v>
      </c>
      <c r="M565" s="67" t="s">
        <v>44</v>
      </c>
      <c r="N565" s="67" t="s">
        <v>51</v>
      </c>
      <c r="O565" s="27" t="s">
        <v>1631</v>
      </c>
      <c r="P565" s="33" t="s">
        <v>23</v>
      </c>
      <c r="Q565" s="60">
        <f>IFERROR(IF(12 / VLOOKUP(Table2[[#This Row],[Rateizzazione]],TIPI_RATEIZZAZIONI,2,FALSE) &gt;=1,  IF(Table2[[#This Row],[Data attivazione]] = "","-",MONTH(Table2[[#This Row],[Data attivazione]])),"-"),"-")</f>
        <v>12</v>
      </c>
      <c r="R5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5" s="67" t="s">
        <v>2</v>
      </c>
      <c r="V565" s="62"/>
      <c r="W565" s="64">
        <v>42720</v>
      </c>
      <c r="X565" s="29">
        <f>DATE(YEAR(Table2[[#This Row],[Data attivazione]])+VLOOKUP(Table2[[#This Row],[Durata]],VALORE_DURATA,2,FALSE),MONTH(Table2[[#This Row],[Data attivazione]]),DAY(Table2[[#This Row],[Data attivazione]]))</f>
        <v>43085</v>
      </c>
      <c r="Y565" s="65"/>
      <c r="Z565" s="61"/>
      <c r="AA565" s="64" t="s">
        <v>85</v>
      </c>
      <c r="AB565" s="29" t="str">
        <f>IF(Table2[[#This Row],[Data ultimo versamento temp]]=0/1/1900,"-",Table2[[#This Row],[Data ultimo versamento temp]])</f>
        <v>-</v>
      </c>
      <c r="AC565" s="29">
        <f t="array" ref="AC565">MAX(IF(TableVersamenti[Polizza]=Table2[[#This Row],[Polizza]],TableVersamenti[Data prevista versamento],"-"))</f>
        <v>0</v>
      </c>
      <c r="AD565" s="62"/>
      <c r="AE565" s="106">
        <f>DATE(YEAR(Table2[[#This Row],[Data ultimo pagamento]]),MONTH(Table2[[#This Row],[Data ultimo pagamento]]), 1)</f>
        <v>42705</v>
      </c>
      <c r="AF565" s="106">
        <f>DATE(YEAR(Table2[[#This Row],[Data prossima scadenza]]),MONTH(Table2[[#This Row],[Data prossima scadenza]]), 1)</f>
        <v>43070</v>
      </c>
      <c r="AG565" s="33">
        <f>IFERROR(Table2[[#This Row],[Importo annuale]]*VLOOKUP(Table2[[#This Row],[Ramo]],RAMI_POLIZZA,2,FALSE),0)</f>
        <v>14.835000000000001</v>
      </c>
      <c r="AH565" s="65" t="s">
        <v>113</v>
      </c>
      <c r="AI565" s="63" t="str">
        <f>IFERROR(VLOOKUP(Table2[[#This Row],[Contraente]],Table1[[Nome/Ragione sociale]:[Checkbox selezionato]],2,FALSE),"-")</f>
        <v>SAN GENESIO ED UNITI</v>
      </c>
      <c r="AJ565" s="63">
        <f>IFERROR(VLOOKUP(Table2[[#This Row],[Contraente]],Table1[[Nome/Ragione sociale]:[Checkbox selezionato]],3,FALSE),"-")</f>
        <v>3357022443</v>
      </c>
      <c r="AK565" s="63">
        <f>IFERROR(VLOOKUP(Table2[[#This Row],[Contraente]],Table1[[Nome/Ragione sociale]:[Checkbox selezionato]],4,FALSE),"-")</f>
        <v>0</v>
      </c>
      <c r="AL565" s="63" t="str">
        <f>IFERROR(VLOOKUP(Table2[[#This Row],[Contraente]],Table1[[Nome/Ragione sociale]:[Checkbox selezionato]],5,FALSE),"-")</f>
        <v>RASIM</v>
      </c>
      <c r="AM565" s="62" t="str">
        <f>IFERROR(VLOOKUP(Table2[[#This Row],[Contraente]],Table1[[Nome/Ragione sociale]:[Checkbox selezionato]],6,FALSE),"-")</f>
        <v>-</v>
      </c>
      <c r="AN565" s="63" t="str">
        <f>IFERROR(VLOOKUP(Table2[[#This Row],[Contraente]],Table1[[Nome/Ragione sociale]:[Checkbox selezionato]],7,FALSE),"-")</f>
        <v>papies@email.it</v>
      </c>
      <c r="AO565" s="63">
        <f>IFERROR(VLOOKUP(Table2[[#This Row],[Contraente]],Table1[[Nome/Ragione sociale]:[Checkbox selezionato]],8,FALSE),"-")</f>
        <v>0</v>
      </c>
      <c r="AP565" s="63">
        <f>IFERROR(VLOOKUP(Table2[[#This Row],[Contraente]],Table1[[Nome/Ragione sociale]:[Checkbox selezionato]],10,FALSE),"-")</f>
        <v>3357022443</v>
      </c>
      <c r="AQ565" s="63" t="str">
        <f>IFERROR(VLOOKUP(Table2[[#This Row],[Contraente]],Table1[[Nome/Ragione sociale]:[Checkbox selezionato]],11,FALSE),"-")</f>
        <v>SI</v>
      </c>
      <c r="AR565" s="63" t="str">
        <f>IFERROR(VLOOKUP(Table2[[#This Row],[Contraente]],Table1[[Nome/Ragione sociale]:[Checkbox selezionato]],12,FALSE),"-")</f>
        <v>SI</v>
      </c>
    </row>
    <row r="566" spans="1:44" ht="30" hidden="1" customHeight="1" x14ac:dyDescent="0.25">
      <c r="A566" s="60" t="str">
        <f>UPPER(LEFT(Table2[[#This Row],[Contraente]],1))</f>
        <v>K</v>
      </c>
      <c r="B566" s="60" t="s">
        <v>1634</v>
      </c>
      <c r="C566" s="81" t="s">
        <v>725</v>
      </c>
      <c r="D566" s="81" t="s">
        <v>37</v>
      </c>
      <c r="E566" s="86">
        <v>103328113</v>
      </c>
      <c r="F566" s="64">
        <v>42565</v>
      </c>
      <c r="G566" s="64">
        <f>IFERROR(CALCOLASCADENZA(Table2[[#This Row],[Data attivazione]],Table2[[#This Row],[Rateizzazione]],Table2[[#This Row],[Data ultimo pagamento]],Table2[[#This Row],[Data prossima scadenza manuale]]),"-")</f>
        <v>42927</v>
      </c>
      <c r="H566" s="67" t="s">
        <v>31</v>
      </c>
      <c r="I566" s="67" t="s">
        <v>1356</v>
      </c>
      <c r="J566" s="33">
        <f>IFERROR(Table2[[#This Row],[Importo annuale]]/(12/VLOOKUP(Table2[[#This Row],[Rateizzazione]],TIPI_RATEIZZAZIONI,2,FALSE)),"-")</f>
        <v>200</v>
      </c>
      <c r="K566" s="88"/>
      <c r="L566" s="88">
        <v>200</v>
      </c>
      <c r="M566" s="67" t="s">
        <v>44</v>
      </c>
      <c r="N566" s="67" t="s">
        <v>51</v>
      </c>
      <c r="O566" s="27" t="s">
        <v>1631</v>
      </c>
      <c r="P566" s="33" t="s">
        <v>23</v>
      </c>
      <c r="Q566" s="60">
        <f>IFERROR(IF(12 / VLOOKUP(Table2[[#This Row],[Rateizzazione]],TIPI_RATEIZZAZIONI,2,FALSE) &gt;=1,  IF(Table2[[#This Row],[Data attivazione]] = "","-",MONTH(Table2[[#This Row],[Data attivazione]])),"-"),"-")</f>
        <v>7</v>
      </c>
      <c r="R5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6" s="67" t="s">
        <v>2</v>
      </c>
      <c r="V566" s="62"/>
      <c r="W566" s="64">
        <v>42562</v>
      </c>
      <c r="X566" s="29">
        <f>DATE(YEAR(Table2[[#This Row],[Data attivazione]])+VLOOKUP(Table2[[#This Row],[Durata]],VALORE_DURATA,2,FALSE),MONTH(Table2[[#This Row],[Data attivazione]]),DAY(Table2[[#This Row],[Data attivazione]]))</f>
        <v>42927</v>
      </c>
      <c r="Y566" s="65"/>
      <c r="Z566" s="61"/>
      <c r="AA566" s="64" t="s">
        <v>85</v>
      </c>
      <c r="AB566" s="29" t="str">
        <f>IF(Table2[[#This Row],[Data ultimo versamento temp]]=0/1/1900,"-",Table2[[#This Row],[Data ultimo versamento temp]])</f>
        <v>-</v>
      </c>
      <c r="AC566" s="29">
        <f t="array" ref="AC566">MAX(IF(TableVersamenti[Polizza]=Table2[[#This Row],[Polizza]],TableVersamenti[Data prevista versamento],"-"))</f>
        <v>0</v>
      </c>
      <c r="AD566" s="62"/>
      <c r="AE566" s="106">
        <f>DATE(YEAR(Table2[[#This Row],[Data ultimo pagamento]]),MONTH(Table2[[#This Row],[Data ultimo pagamento]]), 1)</f>
        <v>42552</v>
      </c>
      <c r="AF566" s="106">
        <f>DATE(YEAR(Table2[[#This Row],[Data prossima scadenza]]),MONTH(Table2[[#This Row],[Data prossima scadenza]]), 1)</f>
        <v>42917</v>
      </c>
      <c r="AG566" s="33">
        <f>IFERROR(Table2[[#This Row],[Importo annuale]]*VLOOKUP(Table2[[#This Row],[Ramo]],RAMI_POLIZZA,2,FALSE),0)</f>
        <v>10.4</v>
      </c>
      <c r="AH566" s="65" t="s">
        <v>113</v>
      </c>
      <c r="AI566" s="63" t="str">
        <f>IFERROR(VLOOKUP(Table2[[#This Row],[Contraente]],Table1[[Nome/Ragione sociale]:[Checkbox selezionato]],2,FALSE),"-")</f>
        <v>SAN GENESIO ED UNITI</v>
      </c>
      <c r="AJ566" s="63">
        <f>IFERROR(VLOOKUP(Table2[[#This Row],[Contraente]],Table1[[Nome/Ragione sociale]:[Checkbox selezionato]],3,FALSE),"-")</f>
        <v>3357022443</v>
      </c>
      <c r="AK566" s="63">
        <f>IFERROR(VLOOKUP(Table2[[#This Row],[Contraente]],Table1[[Nome/Ragione sociale]:[Checkbox selezionato]],4,FALSE),"-")</f>
        <v>0</v>
      </c>
      <c r="AL566" s="63" t="str">
        <f>IFERROR(VLOOKUP(Table2[[#This Row],[Contraente]],Table1[[Nome/Ragione sociale]:[Checkbox selezionato]],5,FALSE),"-")</f>
        <v>RASIM</v>
      </c>
      <c r="AM566" s="62" t="str">
        <f>IFERROR(VLOOKUP(Table2[[#This Row],[Contraente]],Table1[[Nome/Ragione sociale]:[Checkbox selezionato]],6,FALSE),"-")</f>
        <v>-</v>
      </c>
      <c r="AN566" s="63" t="str">
        <f>IFERROR(VLOOKUP(Table2[[#This Row],[Contraente]],Table1[[Nome/Ragione sociale]:[Checkbox selezionato]],7,FALSE),"-")</f>
        <v>papies@email.it</v>
      </c>
      <c r="AO566" s="63">
        <f>IFERROR(VLOOKUP(Table2[[#This Row],[Contraente]],Table1[[Nome/Ragione sociale]:[Checkbox selezionato]],8,FALSE),"-")</f>
        <v>0</v>
      </c>
      <c r="AP566" s="63">
        <f>IFERROR(VLOOKUP(Table2[[#This Row],[Contraente]],Table1[[Nome/Ragione sociale]:[Checkbox selezionato]],10,FALSE),"-")</f>
        <v>3357022443</v>
      </c>
      <c r="AQ566" s="63" t="str">
        <f>IFERROR(VLOOKUP(Table2[[#This Row],[Contraente]],Table1[[Nome/Ragione sociale]:[Checkbox selezionato]],11,FALSE),"-")</f>
        <v>SI</v>
      </c>
      <c r="AR566" s="63" t="str">
        <f>IFERROR(VLOOKUP(Table2[[#This Row],[Contraente]],Table1[[Nome/Ragione sociale]:[Checkbox selezionato]],12,FALSE),"-")</f>
        <v>SI</v>
      </c>
    </row>
    <row r="567" spans="1:44" ht="30" hidden="1" customHeight="1" x14ac:dyDescent="0.25">
      <c r="A567" s="60" t="str">
        <f>UPPER(LEFT(Table2[[#This Row],[Contraente]],1))</f>
        <v>K</v>
      </c>
      <c r="B567" s="60" t="s">
        <v>1634</v>
      </c>
      <c r="C567" s="81" t="s">
        <v>725</v>
      </c>
      <c r="D567" s="81" t="s">
        <v>37</v>
      </c>
      <c r="E567" s="86">
        <v>1087888</v>
      </c>
      <c r="F567" s="64">
        <v>42839</v>
      </c>
      <c r="G567" s="64">
        <f>IFERROR(CALCOLASCADENZA(Table2[[#This Row],[Data attivazione]],Table2[[#This Row],[Rateizzazione]],Table2[[#This Row],[Data ultimo pagamento]],Table2[[#This Row],[Data prossima scadenza manuale]]),"-")</f>
        <v>43204</v>
      </c>
      <c r="H567" s="67" t="s">
        <v>32</v>
      </c>
      <c r="I567" s="67" t="s">
        <v>113</v>
      </c>
      <c r="J567" s="33">
        <f>IFERROR(Table2[[#This Row],[Importo annuale]]/(12/VLOOKUP(Table2[[#This Row],[Rateizzazione]],TIPI_RATEIZZAZIONI,2,FALSE)),"-")</f>
        <v>567</v>
      </c>
      <c r="K567" s="88">
        <v>567</v>
      </c>
      <c r="L567" s="88">
        <v>567</v>
      </c>
      <c r="M567" s="67" t="s">
        <v>44</v>
      </c>
      <c r="N567" s="67" t="s">
        <v>52</v>
      </c>
      <c r="O567" s="27" t="s">
        <v>1632</v>
      </c>
      <c r="P567" s="33" t="s">
        <v>23</v>
      </c>
      <c r="Q567" s="60">
        <f>IFERROR(IF(12 / VLOOKUP(Table2[[#This Row],[Rateizzazione]],TIPI_RATEIZZAZIONI,2,FALSE) &gt;=1,  IF(Table2[[#This Row],[Data attivazione]] = "","-",MONTH(Table2[[#This Row],[Data attivazione]])),"-"),"-")</f>
        <v>4</v>
      </c>
      <c r="R5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7" s="67" t="s">
        <v>2</v>
      </c>
      <c r="V567" s="62"/>
      <c r="W567" s="64">
        <v>39552</v>
      </c>
      <c r="X567" s="29">
        <f>DATE(YEAR(Table2[[#This Row],[Data attivazione]])+VLOOKUP(Table2[[#This Row],[Durata]],VALORE_DURATA,2,FALSE),MONTH(Table2[[#This Row],[Data attivazione]]),DAY(Table2[[#This Row],[Data attivazione]]))</f>
        <v>43204</v>
      </c>
      <c r="Y567" s="65"/>
      <c r="Z567" s="61"/>
      <c r="AA567" s="64" t="s">
        <v>85</v>
      </c>
      <c r="AB567" s="29" t="str">
        <f>IF(Table2[[#This Row],[Data ultimo versamento temp]]=0/1/1900,"-",Table2[[#This Row],[Data ultimo versamento temp]])</f>
        <v>-</v>
      </c>
      <c r="AC567" s="29">
        <f t="array" ref="AC567">MAX(IF(TableVersamenti[Polizza]=Table2[[#This Row],[Polizza]],TableVersamenti[Data prevista versamento],"-"))</f>
        <v>0</v>
      </c>
      <c r="AD567" s="62"/>
      <c r="AE567" s="106">
        <f>DATE(YEAR(Table2[[#This Row],[Data ultimo pagamento]]),MONTH(Table2[[#This Row],[Data ultimo pagamento]]), 1)</f>
        <v>42826</v>
      </c>
      <c r="AF567" s="106">
        <f>DATE(YEAR(Table2[[#This Row],[Data prossima scadenza]]),MONTH(Table2[[#This Row],[Data prossima scadenza]]), 1)</f>
        <v>43191</v>
      </c>
      <c r="AG567" s="33">
        <f>IFERROR(Table2[[#This Row],[Importo annuale]]*VLOOKUP(Table2[[#This Row],[Ramo]],RAMI_POLIZZA,2,FALSE),0)</f>
        <v>8.504999999999999</v>
      </c>
      <c r="AH567" s="65" t="s">
        <v>113</v>
      </c>
      <c r="AI567" s="63" t="str">
        <f>IFERROR(VLOOKUP(Table2[[#This Row],[Contraente]],Table1[[Nome/Ragione sociale]:[Checkbox selezionato]],2,FALSE),"-")</f>
        <v>SAN GENESIO ED UNITI</v>
      </c>
      <c r="AJ567" s="63">
        <f>IFERROR(VLOOKUP(Table2[[#This Row],[Contraente]],Table1[[Nome/Ragione sociale]:[Checkbox selezionato]],3,FALSE),"-")</f>
        <v>3357022443</v>
      </c>
      <c r="AK567" s="63">
        <f>IFERROR(VLOOKUP(Table2[[#This Row],[Contraente]],Table1[[Nome/Ragione sociale]:[Checkbox selezionato]],4,FALSE),"-")</f>
        <v>0</v>
      </c>
      <c r="AL567" s="63" t="str">
        <f>IFERROR(VLOOKUP(Table2[[#This Row],[Contraente]],Table1[[Nome/Ragione sociale]:[Checkbox selezionato]],5,FALSE),"-")</f>
        <v>RASIM</v>
      </c>
      <c r="AM567" s="62" t="str">
        <f>IFERROR(VLOOKUP(Table2[[#This Row],[Contraente]],Table1[[Nome/Ragione sociale]:[Checkbox selezionato]],6,FALSE),"-")</f>
        <v>-</v>
      </c>
      <c r="AN567" s="63" t="str">
        <f>IFERROR(VLOOKUP(Table2[[#This Row],[Contraente]],Table1[[Nome/Ragione sociale]:[Checkbox selezionato]],7,FALSE),"-")</f>
        <v>papies@email.it</v>
      </c>
      <c r="AO567" s="63">
        <f>IFERROR(VLOOKUP(Table2[[#This Row],[Contraente]],Table1[[Nome/Ragione sociale]:[Checkbox selezionato]],8,FALSE),"-")</f>
        <v>0</v>
      </c>
      <c r="AP567" s="63">
        <f>IFERROR(VLOOKUP(Table2[[#This Row],[Contraente]],Table1[[Nome/Ragione sociale]:[Checkbox selezionato]],10,FALSE),"-")</f>
        <v>3357022443</v>
      </c>
      <c r="AQ567" s="63" t="str">
        <f>IFERROR(VLOOKUP(Table2[[#This Row],[Contraente]],Table1[[Nome/Ragione sociale]:[Checkbox selezionato]],11,FALSE),"-")</f>
        <v>SI</v>
      </c>
      <c r="AR567" s="63" t="str">
        <f>IFERROR(VLOOKUP(Table2[[#This Row],[Contraente]],Table1[[Nome/Ragione sociale]:[Checkbox selezionato]],12,FALSE),"-")</f>
        <v>SI</v>
      </c>
    </row>
    <row r="568" spans="1:44" ht="30" hidden="1" customHeight="1" x14ac:dyDescent="0.25">
      <c r="A568" s="60" t="str">
        <f>UPPER(LEFT(Table2[[#This Row],[Contraente]],1))</f>
        <v>K</v>
      </c>
      <c r="B568" s="60" t="s">
        <v>1634</v>
      </c>
      <c r="C568" s="81" t="s">
        <v>725</v>
      </c>
      <c r="D568" s="81" t="s">
        <v>37</v>
      </c>
      <c r="E568" s="86">
        <v>105763213</v>
      </c>
      <c r="F568" s="64">
        <v>42913</v>
      </c>
      <c r="G568" s="64">
        <f>IFERROR(CALCOLASCADENZA(Table2[[#This Row],[Data attivazione]],Table2[[#This Row],[Rateizzazione]],Table2[[#This Row],[Data ultimo pagamento]],Table2[[#This Row],[Data prossima scadenza manuale]]),"-")</f>
        <v>43278</v>
      </c>
      <c r="H568" s="67" t="s">
        <v>30</v>
      </c>
      <c r="I568" s="67" t="s">
        <v>113</v>
      </c>
      <c r="J568" s="33">
        <f>IFERROR(Table2[[#This Row],[Importo annuale]]/(12/VLOOKUP(Table2[[#This Row],[Rateizzazione]],TIPI_RATEIZZAZIONI,2,FALSE)),"-")</f>
        <v>1100</v>
      </c>
      <c r="K568" s="88">
        <v>1100</v>
      </c>
      <c r="L568" s="88">
        <v>1100</v>
      </c>
      <c r="M568" s="67" t="s">
        <v>44</v>
      </c>
      <c r="N568" s="67" t="s">
        <v>52</v>
      </c>
      <c r="O568" s="27" t="s">
        <v>1631</v>
      </c>
      <c r="P568" s="33" t="s">
        <v>23</v>
      </c>
      <c r="Q568" s="60">
        <f>IFERROR(IF(12 / VLOOKUP(Table2[[#This Row],[Rateizzazione]],TIPI_RATEIZZAZIONI,2,FALSE) &gt;=1,  IF(Table2[[#This Row],[Data attivazione]] = "","-",MONTH(Table2[[#This Row],[Data attivazione]])),"-"),"-")</f>
        <v>6</v>
      </c>
      <c r="R5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8" s="67" t="s">
        <v>2</v>
      </c>
      <c r="V568" s="62"/>
      <c r="W568" s="64">
        <v>42913</v>
      </c>
      <c r="X568" s="29">
        <f>DATE(YEAR(Table2[[#This Row],[Data attivazione]])+VLOOKUP(Table2[[#This Row],[Durata]],VALORE_DURATA,2,FALSE),MONTH(Table2[[#This Row],[Data attivazione]]),DAY(Table2[[#This Row],[Data attivazione]]))</f>
        <v>43278</v>
      </c>
      <c r="Y568" s="65"/>
      <c r="Z568" s="61"/>
      <c r="AA568" s="64" t="s">
        <v>85</v>
      </c>
      <c r="AB568" s="29" t="str">
        <f>IF(Table2[[#This Row],[Data ultimo versamento temp]]=0/1/1900,"-",Table2[[#This Row],[Data ultimo versamento temp]])</f>
        <v>-</v>
      </c>
      <c r="AC568" s="29">
        <f t="array" ref="AC568">MAX(IF(TableVersamenti[Polizza]=Table2[[#This Row],[Polizza]],TableVersamenti[Data prevista versamento],"-"))</f>
        <v>0</v>
      </c>
      <c r="AD568" s="62"/>
      <c r="AE568" s="106">
        <f>DATE(YEAR(Table2[[#This Row],[Data ultimo pagamento]]),MONTH(Table2[[#This Row],[Data ultimo pagamento]]), 1)</f>
        <v>42887</v>
      </c>
      <c r="AF568" s="106">
        <f>DATE(YEAR(Table2[[#This Row],[Data prossima scadenza]]),MONTH(Table2[[#This Row],[Data prossima scadenza]]), 1)</f>
        <v>43252</v>
      </c>
      <c r="AG568" s="33">
        <f>IFERROR(Table2[[#This Row],[Importo annuale]]*VLOOKUP(Table2[[#This Row],[Ramo]],RAMI_POLIZZA,2,FALSE),0)</f>
        <v>126.5</v>
      </c>
      <c r="AH568" s="65" t="s">
        <v>113</v>
      </c>
      <c r="AI568" s="63" t="str">
        <f>IFERROR(VLOOKUP(Table2[[#This Row],[Contraente]],Table1[[Nome/Ragione sociale]:[Checkbox selezionato]],2,FALSE),"-")</f>
        <v>SAN GENESIO ED UNITI</v>
      </c>
      <c r="AJ568" s="63">
        <f>IFERROR(VLOOKUP(Table2[[#This Row],[Contraente]],Table1[[Nome/Ragione sociale]:[Checkbox selezionato]],3,FALSE),"-")</f>
        <v>3357022443</v>
      </c>
      <c r="AK568" s="63">
        <f>IFERROR(VLOOKUP(Table2[[#This Row],[Contraente]],Table1[[Nome/Ragione sociale]:[Checkbox selezionato]],4,FALSE),"-")</f>
        <v>0</v>
      </c>
      <c r="AL568" s="63" t="str">
        <f>IFERROR(VLOOKUP(Table2[[#This Row],[Contraente]],Table1[[Nome/Ragione sociale]:[Checkbox selezionato]],5,FALSE),"-")</f>
        <v>RASIM</v>
      </c>
      <c r="AM568" s="62" t="str">
        <f>IFERROR(VLOOKUP(Table2[[#This Row],[Contraente]],Table1[[Nome/Ragione sociale]:[Checkbox selezionato]],6,FALSE),"-")</f>
        <v>-</v>
      </c>
      <c r="AN568" s="63" t="str">
        <f>IFERROR(VLOOKUP(Table2[[#This Row],[Contraente]],Table1[[Nome/Ragione sociale]:[Checkbox selezionato]],7,FALSE),"-")</f>
        <v>papies@email.it</v>
      </c>
      <c r="AO568" s="63">
        <f>IFERROR(VLOOKUP(Table2[[#This Row],[Contraente]],Table1[[Nome/Ragione sociale]:[Checkbox selezionato]],8,FALSE),"-")</f>
        <v>0</v>
      </c>
      <c r="AP568" s="63">
        <f>IFERROR(VLOOKUP(Table2[[#This Row],[Contraente]],Table1[[Nome/Ragione sociale]:[Checkbox selezionato]],10,FALSE),"-")</f>
        <v>3357022443</v>
      </c>
      <c r="AQ568" s="63" t="str">
        <f>IFERROR(VLOOKUP(Table2[[#This Row],[Contraente]],Table1[[Nome/Ragione sociale]:[Checkbox selezionato]],11,FALSE),"-")</f>
        <v>SI</v>
      </c>
      <c r="AR568" s="63" t="str">
        <f>IFERROR(VLOOKUP(Table2[[#This Row],[Contraente]],Table1[[Nome/Ragione sociale]:[Checkbox selezionato]],12,FALSE),"-")</f>
        <v>SI</v>
      </c>
    </row>
    <row r="569" spans="1:44" ht="30" hidden="1" customHeight="1" x14ac:dyDescent="0.25">
      <c r="A569" s="60" t="str">
        <f>UPPER(LEFT(Table2[[#This Row],[Contraente]],1))</f>
        <v>K</v>
      </c>
      <c r="B569" s="60" t="s">
        <v>1634</v>
      </c>
      <c r="C569" s="81" t="s">
        <v>725</v>
      </c>
      <c r="D569" s="81" t="s">
        <v>37</v>
      </c>
      <c r="E569" s="86">
        <v>106876502</v>
      </c>
      <c r="F569" s="64">
        <v>42873</v>
      </c>
      <c r="G569" s="64">
        <f>IFERROR(CALCOLASCADENZA(Table2[[#This Row],[Data attivazione]],Table2[[#This Row],[Rateizzazione]],Table2[[#This Row],[Data ultimo pagamento]],Table2[[#This Row],[Data prossima scadenza manuale]]),"-")</f>
        <v>43232</v>
      </c>
      <c r="H569" s="67" t="s">
        <v>30</v>
      </c>
      <c r="I569" s="67" t="s">
        <v>113</v>
      </c>
      <c r="J569" s="33">
        <f>IFERROR(Table2[[#This Row],[Importo annuale]]/(12/VLOOKUP(Table2[[#This Row],[Rateizzazione]],TIPI_RATEIZZAZIONI,2,FALSE)),"-")</f>
        <v>121</v>
      </c>
      <c r="K569" s="88">
        <v>121</v>
      </c>
      <c r="L569" s="88">
        <v>121</v>
      </c>
      <c r="M569" s="67" t="s">
        <v>44</v>
      </c>
      <c r="N569" s="67" t="s">
        <v>51</v>
      </c>
      <c r="O569" s="27" t="s">
        <v>1631</v>
      </c>
      <c r="P569" s="33" t="s">
        <v>23</v>
      </c>
      <c r="Q569" s="60">
        <f>IFERROR(IF(12 / VLOOKUP(Table2[[#This Row],[Rateizzazione]],TIPI_RATEIZZAZIONI,2,FALSE) &gt;=1,  IF(Table2[[#This Row],[Data attivazione]] = "","-",MONTH(Table2[[#This Row],[Data attivazione]])),"-"),"-")</f>
        <v>5</v>
      </c>
      <c r="R5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9" s="67" t="s">
        <v>2</v>
      </c>
      <c r="V569" s="62"/>
      <c r="W569" s="64">
        <v>42867</v>
      </c>
      <c r="X569" s="29">
        <f>DATE(YEAR(Table2[[#This Row],[Data attivazione]])+VLOOKUP(Table2[[#This Row],[Durata]],VALORE_DURATA,2,FALSE),MONTH(Table2[[#This Row],[Data attivazione]]),DAY(Table2[[#This Row],[Data attivazione]]))</f>
        <v>43232</v>
      </c>
      <c r="Y569" s="65"/>
      <c r="Z569" s="61"/>
      <c r="AA569" s="64" t="s">
        <v>85</v>
      </c>
      <c r="AB569" s="29" t="str">
        <f>IF(Table2[[#This Row],[Data ultimo versamento temp]]=0/1/1900,"-",Table2[[#This Row],[Data ultimo versamento temp]])</f>
        <v>-</v>
      </c>
      <c r="AC569" s="29">
        <f t="array" ref="AC569">MAX(IF(TableVersamenti[Polizza]=Table2[[#This Row],[Polizza]],TableVersamenti[Data prevista versamento],"-"))</f>
        <v>0</v>
      </c>
      <c r="AD569" s="62"/>
      <c r="AE569" s="106">
        <f>DATE(YEAR(Table2[[#This Row],[Data ultimo pagamento]]),MONTH(Table2[[#This Row],[Data ultimo pagamento]]), 1)</f>
        <v>42856</v>
      </c>
      <c r="AF569" s="106">
        <f>DATE(YEAR(Table2[[#This Row],[Data prossima scadenza]]),MONTH(Table2[[#This Row],[Data prossima scadenza]]), 1)</f>
        <v>43221</v>
      </c>
      <c r="AG569" s="33">
        <f>IFERROR(Table2[[#This Row],[Importo annuale]]*VLOOKUP(Table2[[#This Row],[Ramo]],RAMI_POLIZZA,2,FALSE),0)</f>
        <v>13.915000000000001</v>
      </c>
      <c r="AH569" s="65" t="s">
        <v>113</v>
      </c>
      <c r="AI569" s="63" t="str">
        <f>IFERROR(VLOOKUP(Table2[[#This Row],[Contraente]],Table1[[Nome/Ragione sociale]:[Checkbox selezionato]],2,FALSE),"-")</f>
        <v>SAN GENESIO ED UNITI</v>
      </c>
      <c r="AJ569" s="63">
        <f>IFERROR(VLOOKUP(Table2[[#This Row],[Contraente]],Table1[[Nome/Ragione sociale]:[Checkbox selezionato]],3,FALSE),"-")</f>
        <v>3357022443</v>
      </c>
      <c r="AK569" s="63">
        <f>IFERROR(VLOOKUP(Table2[[#This Row],[Contraente]],Table1[[Nome/Ragione sociale]:[Checkbox selezionato]],4,FALSE),"-")</f>
        <v>0</v>
      </c>
      <c r="AL569" s="63" t="str">
        <f>IFERROR(VLOOKUP(Table2[[#This Row],[Contraente]],Table1[[Nome/Ragione sociale]:[Checkbox selezionato]],5,FALSE),"-")</f>
        <v>RASIM</v>
      </c>
      <c r="AM569" s="62" t="str">
        <f>IFERROR(VLOOKUP(Table2[[#This Row],[Contraente]],Table1[[Nome/Ragione sociale]:[Checkbox selezionato]],6,FALSE),"-")</f>
        <v>-</v>
      </c>
      <c r="AN569" s="63" t="str">
        <f>IFERROR(VLOOKUP(Table2[[#This Row],[Contraente]],Table1[[Nome/Ragione sociale]:[Checkbox selezionato]],7,FALSE),"-")</f>
        <v>papies@email.it</v>
      </c>
      <c r="AO569" s="63">
        <f>IFERROR(VLOOKUP(Table2[[#This Row],[Contraente]],Table1[[Nome/Ragione sociale]:[Checkbox selezionato]],8,FALSE),"-")</f>
        <v>0</v>
      </c>
      <c r="AP569" s="63">
        <f>IFERROR(VLOOKUP(Table2[[#This Row],[Contraente]],Table1[[Nome/Ragione sociale]:[Checkbox selezionato]],10,FALSE),"-")</f>
        <v>3357022443</v>
      </c>
      <c r="AQ569" s="63" t="str">
        <f>IFERROR(VLOOKUP(Table2[[#This Row],[Contraente]],Table1[[Nome/Ragione sociale]:[Checkbox selezionato]],11,FALSE),"-")</f>
        <v>SI</v>
      </c>
      <c r="AR569" s="63" t="str">
        <f>IFERROR(VLOOKUP(Table2[[#This Row],[Contraente]],Table1[[Nome/Ragione sociale]:[Checkbox selezionato]],12,FALSE),"-")</f>
        <v>SI</v>
      </c>
    </row>
    <row r="570" spans="1:44" ht="30" hidden="1" customHeight="1" x14ac:dyDescent="0.25">
      <c r="A570" s="60" t="str">
        <f>UPPER(LEFT(Table2[[#This Row],[Contraente]],1))</f>
        <v>K</v>
      </c>
      <c r="B570" s="60" t="s">
        <v>1634</v>
      </c>
      <c r="C570" s="81" t="s">
        <v>725</v>
      </c>
      <c r="D570" s="81" t="s">
        <v>37</v>
      </c>
      <c r="E570" s="86">
        <v>105607920</v>
      </c>
      <c r="F570" s="64">
        <v>42873</v>
      </c>
      <c r="G570" s="64">
        <f>IFERROR(CALCOLASCADENZA(Table2[[#This Row],[Data attivazione]],Table2[[#This Row],[Rateizzazione]],Table2[[#This Row],[Data ultimo pagamento]],Table2[[#This Row],[Data prossima scadenza manuale]]),"-")</f>
        <v>43232</v>
      </c>
      <c r="H570" s="67" t="s">
        <v>31</v>
      </c>
      <c r="I570" s="67" t="s">
        <v>1357</v>
      </c>
      <c r="J570" s="33">
        <f>IFERROR(Table2[[#This Row],[Importo annuale]]/(12/VLOOKUP(Table2[[#This Row],[Rateizzazione]],TIPI_RATEIZZAZIONI,2,FALSE)),"-")</f>
        <v>1342</v>
      </c>
      <c r="K570" s="88">
        <v>1342</v>
      </c>
      <c r="L570" s="88">
        <v>1342</v>
      </c>
      <c r="M570" s="67" t="s">
        <v>44</v>
      </c>
      <c r="N570" s="67" t="s">
        <v>51</v>
      </c>
      <c r="O570" s="27" t="s">
        <v>1631</v>
      </c>
      <c r="P570" s="33" t="s">
        <v>23</v>
      </c>
      <c r="Q570" s="60">
        <f>IFERROR(IF(12 / VLOOKUP(Table2[[#This Row],[Rateizzazione]],TIPI_RATEIZZAZIONI,2,FALSE) &gt;=1,  IF(Table2[[#This Row],[Data attivazione]] = "","-",MONTH(Table2[[#This Row],[Data attivazione]])),"-"),"-")</f>
        <v>5</v>
      </c>
      <c r="R5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0" s="67" t="s">
        <v>2</v>
      </c>
      <c r="V570" s="62"/>
      <c r="W570" s="64">
        <v>42867</v>
      </c>
      <c r="X570" s="29">
        <f>DATE(YEAR(Table2[[#This Row],[Data attivazione]])+VLOOKUP(Table2[[#This Row],[Durata]],VALORE_DURATA,2,FALSE),MONTH(Table2[[#This Row],[Data attivazione]]),DAY(Table2[[#This Row],[Data attivazione]]))</f>
        <v>43232</v>
      </c>
      <c r="Y570" s="65"/>
      <c r="Z570" s="61"/>
      <c r="AA570" s="64" t="s">
        <v>85</v>
      </c>
      <c r="AB570" s="29" t="str">
        <f>IF(Table2[[#This Row],[Data ultimo versamento temp]]=0/1/1900,"-",Table2[[#This Row],[Data ultimo versamento temp]])</f>
        <v>-</v>
      </c>
      <c r="AC570" s="29">
        <f t="array" ref="AC570">MAX(IF(TableVersamenti[Polizza]=Table2[[#This Row],[Polizza]],TableVersamenti[Data prevista versamento],"-"))</f>
        <v>0</v>
      </c>
      <c r="AD570" s="62"/>
      <c r="AE570" s="106">
        <f>DATE(YEAR(Table2[[#This Row],[Data ultimo pagamento]]),MONTH(Table2[[#This Row],[Data ultimo pagamento]]), 1)</f>
        <v>42856</v>
      </c>
      <c r="AF570" s="106">
        <f>DATE(YEAR(Table2[[#This Row],[Data prossima scadenza]]),MONTH(Table2[[#This Row],[Data prossima scadenza]]), 1)</f>
        <v>43221</v>
      </c>
      <c r="AG570" s="33">
        <f>IFERROR(Table2[[#This Row],[Importo annuale]]*VLOOKUP(Table2[[#This Row],[Ramo]],RAMI_POLIZZA,2,FALSE),0)</f>
        <v>69.783999999999992</v>
      </c>
      <c r="AH570" s="65" t="s">
        <v>113</v>
      </c>
      <c r="AI570" s="63" t="str">
        <f>IFERROR(VLOOKUP(Table2[[#This Row],[Contraente]],Table1[[Nome/Ragione sociale]:[Checkbox selezionato]],2,FALSE),"-")</f>
        <v>SAN GENESIO ED UNITI</v>
      </c>
      <c r="AJ570" s="63">
        <f>IFERROR(VLOOKUP(Table2[[#This Row],[Contraente]],Table1[[Nome/Ragione sociale]:[Checkbox selezionato]],3,FALSE),"-")</f>
        <v>3357022443</v>
      </c>
      <c r="AK570" s="63">
        <f>IFERROR(VLOOKUP(Table2[[#This Row],[Contraente]],Table1[[Nome/Ragione sociale]:[Checkbox selezionato]],4,FALSE),"-")</f>
        <v>0</v>
      </c>
      <c r="AL570" s="63" t="str">
        <f>IFERROR(VLOOKUP(Table2[[#This Row],[Contraente]],Table1[[Nome/Ragione sociale]:[Checkbox selezionato]],5,FALSE),"-")</f>
        <v>RASIM</v>
      </c>
      <c r="AM570" s="62" t="str">
        <f>IFERROR(VLOOKUP(Table2[[#This Row],[Contraente]],Table1[[Nome/Ragione sociale]:[Checkbox selezionato]],6,FALSE),"-")</f>
        <v>-</v>
      </c>
      <c r="AN570" s="63" t="str">
        <f>IFERROR(VLOOKUP(Table2[[#This Row],[Contraente]],Table1[[Nome/Ragione sociale]:[Checkbox selezionato]],7,FALSE),"-")</f>
        <v>papies@email.it</v>
      </c>
      <c r="AO570" s="63">
        <f>IFERROR(VLOOKUP(Table2[[#This Row],[Contraente]],Table1[[Nome/Ragione sociale]:[Checkbox selezionato]],8,FALSE),"-")</f>
        <v>0</v>
      </c>
      <c r="AP570" s="63">
        <f>IFERROR(VLOOKUP(Table2[[#This Row],[Contraente]],Table1[[Nome/Ragione sociale]:[Checkbox selezionato]],10,FALSE),"-")</f>
        <v>3357022443</v>
      </c>
      <c r="AQ570" s="63" t="str">
        <f>IFERROR(VLOOKUP(Table2[[#This Row],[Contraente]],Table1[[Nome/Ragione sociale]:[Checkbox selezionato]],11,FALSE),"-")</f>
        <v>SI</v>
      </c>
      <c r="AR570" s="63" t="str">
        <f>IFERROR(VLOOKUP(Table2[[#This Row],[Contraente]],Table1[[Nome/Ragione sociale]:[Checkbox selezionato]],12,FALSE),"-")</f>
        <v>SI</v>
      </c>
    </row>
    <row r="571" spans="1:44" ht="30" hidden="1" customHeight="1" x14ac:dyDescent="0.25">
      <c r="A571" s="60" t="str">
        <f>UPPER(LEFT(Table2[[#This Row],[Contraente]],1))</f>
        <v>K</v>
      </c>
      <c r="B571" s="60" t="s">
        <v>1634</v>
      </c>
      <c r="C571" s="81" t="s">
        <v>725</v>
      </c>
      <c r="D571" s="81" t="s">
        <v>37</v>
      </c>
      <c r="E571" s="86">
        <v>106539935</v>
      </c>
      <c r="F571" s="64">
        <v>42783</v>
      </c>
      <c r="G571" s="64">
        <f>IFERROR(CALCOLASCADENZA(Table2[[#This Row],[Data attivazione]],Table2[[#This Row],[Rateizzazione]],Table2[[#This Row],[Data ultimo pagamento]],Table2[[#This Row],[Data prossima scadenza manuale]]),"-")</f>
        <v>42783</v>
      </c>
      <c r="H571" s="67" t="s">
        <v>31</v>
      </c>
      <c r="I571" s="67" t="s">
        <v>1355</v>
      </c>
      <c r="J571" s="33">
        <v>391</v>
      </c>
      <c r="K571" s="88">
        <v>391</v>
      </c>
      <c r="L571" s="88">
        <v>2081</v>
      </c>
      <c r="M571" s="67" t="s">
        <v>44</v>
      </c>
      <c r="N571" s="67" t="s">
        <v>51</v>
      </c>
      <c r="O571" s="27" t="s">
        <v>1631</v>
      </c>
      <c r="P571" s="33" t="s">
        <v>24</v>
      </c>
      <c r="Q5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1" s="67" t="s">
        <v>2</v>
      </c>
      <c r="V571" s="62"/>
      <c r="W571" s="64">
        <v>42579</v>
      </c>
      <c r="X571" s="29">
        <f>DATE(YEAR(Table2[[#This Row],[Data attivazione]])+VLOOKUP(Table2[[#This Row],[Durata]],VALORE_DURATA,2,FALSE),MONTH(Table2[[#This Row],[Data attivazione]]),DAY(Table2[[#This Row],[Data attivazione]]))</f>
        <v>42944</v>
      </c>
      <c r="Y571" s="65"/>
      <c r="Z571" s="61"/>
      <c r="AA571" s="64" t="s">
        <v>85</v>
      </c>
      <c r="AB571" s="29" t="str">
        <f>IF(Table2[[#This Row],[Data ultimo versamento temp]]=0/1/1900,"-",Table2[[#This Row],[Data ultimo versamento temp]])</f>
        <v>-</v>
      </c>
      <c r="AC571" s="29">
        <f t="array" ref="AC571">MAX(IF(TableVersamenti[Polizza]=Table2[[#This Row],[Polizza]],TableVersamenti[Data prevista versamento],"-"))</f>
        <v>0</v>
      </c>
      <c r="AD571" s="62"/>
      <c r="AE571" s="106">
        <f>DATE(YEAR(Table2[[#This Row],[Data ultimo pagamento]]),MONTH(Table2[[#This Row],[Data ultimo pagamento]]), 1)</f>
        <v>42767</v>
      </c>
      <c r="AF571" s="106">
        <f>DATE(YEAR(Table2[[#This Row],[Data prossima scadenza]]),MONTH(Table2[[#This Row],[Data prossima scadenza]]), 1)</f>
        <v>42767</v>
      </c>
      <c r="AG571" s="33">
        <f>IFERROR(Table2[[#This Row],[Importo annuale]]*VLOOKUP(Table2[[#This Row],[Ramo]],RAMI_POLIZZA,2,FALSE),0)</f>
        <v>108.21199999999999</v>
      </c>
      <c r="AH571" s="65" t="s">
        <v>113</v>
      </c>
      <c r="AI571" s="63" t="str">
        <f>IFERROR(VLOOKUP(Table2[[#This Row],[Contraente]],Table1[[Nome/Ragione sociale]:[Checkbox selezionato]],2,FALSE),"-")</f>
        <v>SAN GENESIO ED UNITI</v>
      </c>
      <c r="AJ571" s="63">
        <f>IFERROR(VLOOKUP(Table2[[#This Row],[Contraente]],Table1[[Nome/Ragione sociale]:[Checkbox selezionato]],3,FALSE),"-")</f>
        <v>3357022443</v>
      </c>
      <c r="AK571" s="63">
        <f>IFERROR(VLOOKUP(Table2[[#This Row],[Contraente]],Table1[[Nome/Ragione sociale]:[Checkbox selezionato]],4,FALSE),"-")</f>
        <v>0</v>
      </c>
      <c r="AL571" s="63" t="str">
        <f>IFERROR(VLOOKUP(Table2[[#This Row],[Contraente]],Table1[[Nome/Ragione sociale]:[Checkbox selezionato]],5,FALSE),"-")</f>
        <v>RASIM</v>
      </c>
      <c r="AM571" s="62" t="str">
        <f>IFERROR(VLOOKUP(Table2[[#This Row],[Contraente]],Table1[[Nome/Ragione sociale]:[Checkbox selezionato]],6,FALSE),"-")</f>
        <v>-</v>
      </c>
      <c r="AN571" s="63" t="str">
        <f>IFERROR(VLOOKUP(Table2[[#This Row],[Contraente]],Table1[[Nome/Ragione sociale]:[Checkbox selezionato]],7,FALSE),"-")</f>
        <v>papies@email.it</v>
      </c>
      <c r="AO571" s="63">
        <f>IFERROR(VLOOKUP(Table2[[#This Row],[Contraente]],Table1[[Nome/Ragione sociale]:[Checkbox selezionato]],8,FALSE),"-")</f>
        <v>0</v>
      </c>
      <c r="AP571" s="63">
        <f>IFERROR(VLOOKUP(Table2[[#This Row],[Contraente]],Table1[[Nome/Ragione sociale]:[Checkbox selezionato]],10,FALSE),"-")</f>
        <v>3357022443</v>
      </c>
      <c r="AQ571" s="63" t="str">
        <f>IFERROR(VLOOKUP(Table2[[#This Row],[Contraente]],Table1[[Nome/Ragione sociale]:[Checkbox selezionato]],11,FALSE),"-")</f>
        <v>SI</v>
      </c>
      <c r="AR571" s="63" t="str">
        <f>IFERROR(VLOOKUP(Table2[[#This Row],[Contraente]],Table1[[Nome/Ragione sociale]:[Checkbox selezionato]],12,FALSE),"-")</f>
        <v>SI</v>
      </c>
    </row>
    <row r="572" spans="1:44" ht="30" hidden="1" customHeight="1" x14ac:dyDescent="0.25">
      <c r="A572" s="60" t="str">
        <f>UPPER(LEFT(Table2[[#This Row],[Contraente]],1))</f>
        <v>K</v>
      </c>
      <c r="B572" s="60" t="s">
        <v>1634</v>
      </c>
      <c r="C572" s="81" t="s">
        <v>725</v>
      </c>
      <c r="D572" s="81" t="s">
        <v>37</v>
      </c>
      <c r="E572" s="86">
        <v>106541906</v>
      </c>
      <c r="F572" s="64">
        <v>42786</v>
      </c>
      <c r="G572" s="64">
        <f>IFERROR(CALCOLASCADENZA(Table2[[#This Row],[Data attivazione]],Table2[[#This Row],[Rateizzazione]],Table2[[#This Row],[Data ultimo pagamento]],Table2[[#This Row],[Data prossima scadenza manuale]]),"-")</f>
        <v>42786</v>
      </c>
      <c r="H572" s="67" t="s">
        <v>30</v>
      </c>
      <c r="I572" s="67" t="s">
        <v>113</v>
      </c>
      <c r="J572" s="33">
        <v>0</v>
      </c>
      <c r="K572" s="88">
        <v>0</v>
      </c>
      <c r="L572" s="88">
        <v>121</v>
      </c>
      <c r="M572" s="67" t="s">
        <v>44</v>
      </c>
      <c r="N572" s="67" t="s">
        <v>51</v>
      </c>
      <c r="O572" s="27" t="s">
        <v>1631</v>
      </c>
      <c r="P572" s="33" t="s">
        <v>24</v>
      </c>
      <c r="Q5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2" s="67" t="s">
        <v>2</v>
      </c>
      <c r="V572" s="62"/>
      <c r="W572" s="64">
        <v>42579</v>
      </c>
      <c r="X572" s="29">
        <f>DATE(YEAR(Table2[[#This Row],[Data attivazione]])+VLOOKUP(Table2[[#This Row],[Durata]],VALORE_DURATA,2,FALSE),MONTH(Table2[[#This Row],[Data attivazione]]),DAY(Table2[[#This Row],[Data attivazione]]))</f>
        <v>42944</v>
      </c>
      <c r="Y572" s="65"/>
      <c r="Z572" s="61"/>
      <c r="AA572" s="64" t="s">
        <v>85</v>
      </c>
      <c r="AB572" s="29" t="str">
        <f>IF(Table2[[#This Row],[Data ultimo versamento temp]]=0/1/1900,"-",Table2[[#This Row],[Data ultimo versamento temp]])</f>
        <v>-</v>
      </c>
      <c r="AC572" s="29">
        <f t="array" ref="AC572">MAX(IF(TableVersamenti[Polizza]=Table2[[#This Row],[Polizza]],TableVersamenti[Data prevista versamento],"-"))</f>
        <v>0</v>
      </c>
      <c r="AD572" s="62"/>
      <c r="AE572" s="106">
        <f>DATE(YEAR(Table2[[#This Row],[Data ultimo pagamento]]),MONTH(Table2[[#This Row],[Data ultimo pagamento]]), 1)</f>
        <v>42767</v>
      </c>
      <c r="AF572" s="106">
        <f>DATE(YEAR(Table2[[#This Row],[Data prossima scadenza]]),MONTH(Table2[[#This Row],[Data prossima scadenza]]), 1)</f>
        <v>42767</v>
      </c>
      <c r="AG572" s="33">
        <f>IFERROR(Table2[[#This Row],[Importo annuale]]*VLOOKUP(Table2[[#This Row],[Ramo]],RAMI_POLIZZA,2,FALSE),0)</f>
        <v>13.915000000000001</v>
      </c>
      <c r="AH572" s="65" t="s">
        <v>113</v>
      </c>
      <c r="AI572" s="63" t="str">
        <f>IFERROR(VLOOKUP(Table2[[#This Row],[Contraente]],Table1[[Nome/Ragione sociale]:[Checkbox selezionato]],2,FALSE),"-")</f>
        <v>SAN GENESIO ED UNITI</v>
      </c>
      <c r="AJ572" s="63">
        <f>IFERROR(VLOOKUP(Table2[[#This Row],[Contraente]],Table1[[Nome/Ragione sociale]:[Checkbox selezionato]],3,FALSE),"-")</f>
        <v>3357022443</v>
      </c>
      <c r="AK572" s="63">
        <f>IFERROR(VLOOKUP(Table2[[#This Row],[Contraente]],Table1[[Nome/Ragione sociale]:[Checkbox selezionato]],4,FALSE),"-")</f>
        <v>0</v>
      </c>
      <c r="AL572" s="63" t="str">
        <f>IFERROR(VLOOKUP(Table2[[#This Row],[Contraente]],Table1[[Nome/Ragione sociale]:[Checkbox selezionato]],5,FALSE),"-")</f>
        <v>RASIM</v>
      </c>
      <c r="AM572" s="62" t="str">
        <f>IFERROR(VLOOKUP(Table2[[#This Row],[Contraente]],Table1[[Nome/Ragione sociale]:[Checkbox selezionato]],6,FALSE),"-")</f>
        <v>-</v>
      </c>
      <c r="AN572" s="63" t="str">
        <f>IFERROR(VLOOKUP(Table2[[#This Row],[Contraente]],Table1[[Nome/Ragione sociale]:[Checkbox selezionato]],7,FALSE),"-")</f>
        <v>papies@email.it</v>
      </c>
      <c r="AO572" s="63">
        <f>IFERROR(VLOOKUP(Table2[[#This Row],[Contraente]],Table1[[Nome/Ragione sociale]:[Checkbox selezionato]],8,FALSE),"-")</f>
        <v>0</v>
      </c>
      <c r="AP572" s="63">
        <f>IFERROR(VLOOKUP(Table2[[#This Row],[Contraente]],Table1[[Nome/Ragione sociale]:[Checkbox selezionato]],10,FALSE),"-")</f>
        <v>3357022443</v>
      </c>
      <c r="AQ572" s="63" t="str">
        <f>IFERROR(VLOOKUP(Table2[[#This Row],[Contraente]],Table1[[Nome/Ragione sociale]:[Checkbox selezionato]],11,FALSE),"-")</f>
        <v>SI</v>
      </c>
      <c r="AR572" s="63" t="str">
        <f>IFERROR(VLOOKUP(Table2[[#This Row],[Contraente]],Table1[[Nome/Ragione sociale]:[Checkbox selezionato]],12,FALSE),"-")</f>
        <v>SI</v>
      </c>
    </row>
    <row r="573" spans="1:44" ht="30" hidden="1" customHeight="1" x14ac:dyDescent="0.25">
      <c r="A573" s="60" t="str">
        <f>UPPER(LEFT(Table2[[#This Row],[Contraente]],1))</f>
        <v>K</v>
      </c>
      <c r="B573" s="60" t="s">
        <v>1634</v>
      </c>
      <c r="C573" s="81" t="s">
        <v>725</v>
      </c>
      <c r="D573" s="81" t="s">
        <v>37</v>
      </c>
      <c r="E573" s="86">
        <v>105948001</v>
      </c>
      <c r="F573" s="64">
        <v>42793</v>
      </c>
      <c r="G573" s="64">
        <f>IFERROR(CALCOLASCADENZA(Table2[[#This Row],[Data attivazione]],Table2[[#This Row],[Rateizzazione]],Table2[[#This Row],[Data ultimo pagamento]],Table2[[#This Row],[Data prossima scadenza manuale]]),"-")</f>
        <v>42958</v>
      </c>
      <c r="H573" s="67" t="s">
        <v>30</v>
      </c>
      <c r="I573" s="67" t="s">
        <v>113</v>
      </c>
      <c r="J573" s="33">
        <f>IFERROR(Table2[[#This Row],[Importo annuale]]/(12/VLOOKUP(Table2[[#This Row],[Rateizzazione]],TIPI_RATEIZZAZIONI,2,FALSE)),"-")</f>
        <v>451</v>
      </c>
      <c r="K573" s="88">
        <v>451</v>
      </c>
      <c r="L573" s="88">
        <v>902</v>
      </c>
      <c r="M573" s="67" t="s">
        <v>44</v>
      </c>
      <c r="N573" s="67" t="s">
        <v>51</v>
      </c>
      <c r="O573" s="27" t="s">
        <v>1631</v>
      </c>
      <c r="P573" s="33" t="s">
        <v>22</v>
      </c>
      <c r="Q573" s="60">
        <f>IFERROR(IF(12 / VLOOKUP(Table2[[#This Row],[Rateizzazione]],TIPI_RATEIZZAZIONI,2,FALSE) &gt;=1,  IF(Table2[[#This Row],[Data attivazione]] = "","-",MONTH(Table2[[#This Row],[Data attivazione]])),"-"),"-")</f>
        <v>8</v>
      </c>
      <c r="R5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3" s="67" t="s">
        <v>2</v>
      </c>
      <c r="V573" s="62"/>
      <c r="W573" s="64">
        <v>42593</v>
      </c>
      <c r="X573" s="29">
        <f>DATE(YEAR(Table2[[#This Row],[Data attivazione]])+VLOOKUP(Table2[[#This Row],[Durata]],VALORE_DURATA,2,FALSE),MONTH(Table2[[#This Row],[Data attivazione]]),DAY(Table2[[#This Row],[Data attivazione]]))</f>
        <v>42958</v>
      </c>
      <c r="Y573" s="65"/>
      <c r="Z573" s="61"/>
      <c r="AA573" s="64" t="s">
        <v>85</v>
      </c>
      <c r="AB573" s="29" t="str">
        <f>IF(Table2[[#This Row],[Data ultimo versamento temp]]=0/1/1900,"-",Table2[[#This Row],[Data ultimo versamento temp]])</f>
        <v>-</v>
      </c>
      <c r="AC573" s="29">
        <f t="array" ref="AC573">MAX(IF(TableVersamenti[Polizza]=Table2[[#This Row],[Polizza]],TableVersamenti[Data prevista versamento],"-"))</f>
        <v>0</v>
      </c>
      <c r="AD573" s="62"/>
      <c r="AE573" s="106">
        <f>DATE(YEAR(Table2[[#This Row],[Data ultimo pagamento]]),MONTH(Table2[[#This Row],[Data ultimo pagamento]]), 1)</f>
        <v>42767</v>
      </c>
      <c r="AF573" s="106">
        <f>DATE(YEAR(Table2[[#This Row],[Data prossima scadenza]]),MONTH(Table2[[#This Row],[Data prossima scadenza]]), 1)</f>
        <v>42948</v>
      </c>
      <c r="AG573" s="33">
        <f>IFERROR(Table2[[#This Row],[Importo annuale]]*VLOOKUP(Table2[[#This Row],[Ramo]],RAMI_POLIZZA,2,FALSE),0)</f>
        <v>103.73</v>
      </c>
      <c r="AH573" s="65" t="s">
        <v>113</v>
      </c>
      <c r="AI573" s="63" t="str">
        <f>IFERROR(VLOOKUP(Table2[[#This Row],[Contraente]],Table1[[Nome/Ragione sociale]:[Checkbox selezionato]],2,FALSE),"-")</f>
        <v>SAN GENESIO ED UNITI</v>
      </c>
      <c r="AJ573" s="63">
        <f>IFERROR(VLOOKUP(Table2[[#This Row],[Contraente]],Table1[[Nome/Ragione sociale]:[Checkbox selezionato]],3,FALSE),"-")</f>
        <v>3357022443</v>
      </c>
      <c r="AK573" s="63">
        <f>IFERROR(VLOOKUP(Table2[[#This Row],[Contraente]],Table1[[Nome/Ragione sociale]:[Checkbox selezionato]],4,FALSE),"-")</f>
        <v>0</v>
      </c>
      <c r="AL573" s="63" t="str">
        <f>IFERROR(VLOOKUP(Table2[[#This Row],[Contraente]],Table1[[Nome/Ragione sociale]:[Checkbox selezionato]],5,FALSE),"-")</f>
        <v>RASIM</v>
      </c>
      <c r="AM573" s="62" t="str">
        <f>IFERROR(VLOOKUP(Table2[[#This Row],[Contraente]],Table1[[Nome/Ragione sociale]:[Checkbox selezionato]],6,FALSE),"-")</f>
        <v>-</v>
      </c>
      <c r="AN573" s="63" t="str">
        <f>IFERROR(VLOOKUP(Table2[[#This Row],[Contraente]],Table1[[Nome/Ragione sociale]:[Checkbox selezionato]],7,FALSE),"-")</f>
        <v>papies@email.it</v>
      </c>
      <c r="AO573" s="63">
        <f>IFERROR(VLOOKUP(Table2[[#This Row],[Contraente]],Table1[[Nome/Ragione sociale]:[Checkbox selezionato]],8,FALSE),"-")</f>
        <v>0</v>
      </c>
      <c r="AP573" s="63">
        <f>IFERROR(VLOOKUP(Table2[[#This Row],[Contraente]],Table1[[Nome/Ragione sociale]:[Checkbox selezionato]],10,FALSE),"-")</f>
        <v>3357022443</v>
      </c>
      <c r="AQ573" s="63" t="str">
        <f>IFERROR(VLOOKUP(Table2[[#This Row],[Contraente]],Table1[[Nome/Ragione sociale]:[Checkbox selezionato]],11,FALSE),"-")</f>
        <v>SI</v>
      </c>
      <c r="AR573" s="63" t="str">
        <f>IFERROR(VLOOKUP(Table2[[#This Row],[Contraente]],Table1[[Nome/Ragione sociale]:[Checkbox selezionato]],12,FALSE),"-")</f>
        <v>SI</v>
      </c>
    </row>
    <row r="574" spans="1:44" ht="30" hidden="1" customHeight="1" x14ac:dyDescent="0.25">
      <c r="A574" s="60" t="str">
        <f>UPPER(LEFT(Table2[[#This Row],[Contraente]],1))</f>
        <v>K</v>
      </c>
      <c r="B574" s="60" t="s">
        <v>1634</v>
      </c>
      <c r="C574" s="81" t="s">
        <v>725</v>
      </c>
      <c r="D574" s="81" t="s">
        <v>37</v>
      </c>
      <c r="E574" s="86">
        <v>106566445</v>
      </c>
      <c r="F574" s="64">
        <v>42793</v>
      </c>
      <c r="G574" s="64">
        <f>IFERROR(CALCOLASCADENZA(Table2[[#This Row],[Data attivazione]],Table2[[#This Row],[Rateizzazione]],Table2[[#This Row],[Data ultimo pagamento]],Table2[[#This Row],[Data prossima scadenza manuale]]),"-")</f>
        <v>42974</v>
      </c>
      <c r="H574" s="67" t="s">
        <v>30</v>
      </c>
      <c r="I574" s="67" t="s">
        <v>113</v>
      </c>
      <c r="J574" s="33">
        <f>IFERROR(Table2[[#This Row],[Importo annuale]]/(12/VLOOKUP(Table2[[#This Row],[Rateizzazione]],TIPI_RATEIZZAZIONI,2,FALSE)),"-")</f>
        <v>2775</v>
      </c>
      <c r="K574" s="88">
        <v>2775</v>
      </c>
      <c r="L574" s="88">
        <v>5550</v>
      </c>
      <c r="M574" s="67" t="s">
        <v>44</v>
      </c>
      <c r="N574" s="67" t="s">
        <v>51</v>
      </c>
      <c r="O574" s="27" t="s">
        <v>1632</v>
      </c>
      <c r="P574" s="33" t="s">
        <v>22</v>
      </c>
      <c r="Q574" s="60">
        <f>IFERROR(IF(12 / VLOOKUP(Table2[[#This Row],[Rateizzazione]],TIPI_RATEIZZAZIONI,2,FALSE) &gt;=1,  IF(Table2[[#This Row],[Data attivazione]] = "","-",MONTH(Table2[[#This Row],[Data attivazione]])),"-"),"-")</f>
        <v>2</v>
      </c>
      <c r="R5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5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4" s="67" t="s">
        <v>2</v>
      </c>
      <c r="V574" s="62"/>
      <c r="W574" s="64">
        <v>42062</v>
      </c>
      <c r="X574" s="29">
        <f>DATE(YEAR(Table2[[#This Row],[Data attivazione]])+VLOOKUP(Table2[[#This Row],[Durata]],VALORE_DURATA,2,FALSE),MONTH(Table2[[#This Row],[Data attivazione]]),DAY(Table2[[#This Row],[Data attivazione]]))</f>
        <v>45715</v>
      </c>
      <c r="Y574" s="65"/>
      <c r="Z574" s="61"/>
      <c r="AA574" s="64" t="s">
        <v>85</v>
      </c>
      <c r="AB574" s="29" t="str">
        <f>IF(Table2[[#This Row],[Data ultimo versamento temp]]=0/1/1900,"-",Table2[[#This Row],[Data ultimo versamento temp]])</f>
        <v>-</v>
      </c>
      <c r="AC574" s="29">
        <f t="array" ref="AC574">MAX(IF(TableVersamenti[Polizza]=Table2[[#This Row],[Polizza]],TableVersamenti[Data prevista versamento],"-"))</f>
        <v>0</v>
      </c>
      <c r="AD574" s="62"/>
      <c r="AE574" s="106">
        <f>DATE(YEAR(Table2[[#This Row],[Data ultimo pagamento]]),MONTH(Table2[[#This Row],[Data ultimo pagamento]]), 1)</f>
        <v>42767</v>
      </c>
      <c r="AF574" s="106">
        <f>DATE(YEAR(Table2[[#This Row],[Data prossima scadenza]]),MONTH(Table2[[#This Row],[Data prossima scadenza]]), 1)</f>
        <v>42948</v>
      </c>
      <c r="AG574" s="33">
        <f>IFERROR(Table2[[#This Row],[Importo annuale]]*VLOOKUP(Table2[[#This Row],[Ramo]],RAMI_POLIZZA,2,FALSE),0)</f>
        <v>638.25</v>
      </c>
      <c r="AH574" s="65" t="s">
        <v>113</v>
      </c>
      <c r="AI574" s="63" t="str">
        <f>IFERROR(VLOOKUP(Table2[[#This Row],[Contraente]],Table1[[Nome/Ragione sociale]:[Checkbox selezionato]],2,FALSE),"-")</f>
        <v>SAN GENESIO ED UNITI</v>
      </c>
      <c r="AJ574" s="63">
        <f>IFERROR(VLOOKUP(Table2[[#This Row],[Contraente]],Table1[[Nome/Ragione sociale]:[Checkbox selezionato]],3,FALSE),"-")</f>
        <v>3357022443</v>
      </c>
      <c r="AK574" s="63">
        <f>IFERROR(VLOOKUP(Table2[[#This Row],[Contraente]],Table1[[Nome/Ragione sociale]:[Checkbox selezionato]],4,FALSE),"-")</f>
        <v>0</v>
      </c>
      <c r="AL574" s="63" t="str">
        <f>IFERROR(VLOOKUP(Table2[[#This Row],[Contraente]],Table1[[Nome/Ragione sociale]:[Checkbox selezionato]],5,FALSE),"-")</f>
        <v>RASIM</v>
      </c>
      <c r="AM574" s="62" t="str">
        <f>IFERROR(VLOOKUP(Table2[[#This Row],[Contraente]],Table1[[Nome/Ragione sociale]:[Checkbox selezionato]],6,FALSE),"-")</f>
        <v>-</v>
      </c>
      <c r="AN574" s="63" t="str">
        <f>IFERROR(VLOOKUP(Table2[[#This Row],[Contraente]],Table1[[Nome/Ragione sociale]:[Checkbox selezionato]],7,FALSE),"-")</f>
        <v>papies@email.it</v>
      </c>
      <c r="AO574" s="63">
        <f>IFERROR(VLOOKUP(Table2[[#This Row],[Contraente]],Table1[[Nome/Ragione sociale]:[Checkbox selezionato]],8,FALSE),"-")</f>
        <v>0</v>
      </c>
      <c r="AP574" s="63">
        <f>IFERROR(VLOOKUP(Table2[[#This Row],[Contraente]],Table1[[Nome/Ragione sociale]:[Checkbox selezionato]],10,FALSE),"-")</f>
        <v>3357022443</v>
      </c>
      <c r="AQ574" s="63" t="str">
        <f>IFERROR(VLOOKUP(Table2[[#This Row],[Contraente]],Table1[[Nome/Ragione sociale]:[Checkbox selezionato]],11,FALSE),"-")</f>
        <v>SI</v>
      </c>
      <c r="AR574" s="63" t="str">
        <f>IFERROR(VLOOKUP(Table2[[#This Row],[Contraente]],Table1[[Nome/Ragione sociale]:[Checkbox selezionato]],12,FALSE),"-")</f>
        <v>SI</v>
      </c>
    </row>
    <row r="575" spans="1:44" ht="30" hidden="1" customHeight="1" x14ac:dyDescent="0.25">
      <c r="A575" s="60" t="str">
        <f>UPPER(LEFT(Table2[[#This Row],[Contraente]],1))</f>
        <v>K</v>
      </c>
      <c r="B575" s="60" t="s">
        <v>1634</v>
      </c>
      <c r="C575" s="81" t="s">
        <v>725</v>
      </c>
      <c r="D575" s="81" t="s">
        <v>37</v>
      </c>
      <c r="E575" s="86">
        <v>104126776</v>
      </c>
      <c r="F575" s="64">
        <v>42793</v>
      </c>
      <c r="G575" s="64">
        <f>IFERROR(CALCOLASCADENZA(Table2[[#This Row],[Data attivazione]],Table2[[#This Row],[Rateizzazione]],Table2[[#This Row],[Data ultimo pagamento]],Table2[[#This Row],[Data prossima scadenza manuale]]),"-")</f>
        <v>42974</v>
      </c>
      <c r="H575" s="67" t="s">
        <v>30</v>
      </c>
      <c r="I575" s="67" t="s">
        <v>113</v>
      </c>
      <c r="J575" s="33">
        <f>IFERROR(Table2[[#This Row],[Importo annuale]]/(12/VLOOKUP(Table2[[#This Row],[Rateizzazione]],TIPI_RATEIZZAZIONI,2,FALSE)),"-")</f>
        <v>323</v>
      </c>
      <c r="K575" s="88">
        <v>323</v>
      </c>
      <c r="L575" s="88">
        <v>646</v>
      </c>
      <c r="M575" s="67" t="s">
        <v>44</v>
      </c>
      <c r="N575" s="67" t="s">
        <v>51</v>
      </c>
      <c r="O575" s="27" t="s">
        <v>1632</v>
      </c>
      <c r="P575" s="33" t="s">
        <v>22</v>
      </c>
      <c r="Q575" s="60">
        <f>IFERROR(IF(12 / VLOOKUP(Table2[[#This Row],[Rateizzazione]],TIPI_RATEIZZAZIONI,2,FALSE) &gt;=1,  IF(Table2[[#This Row],[Data attivazione]] = "","-",MONTH(Table2[[#This Row],[Data attivazione]])),"-"),"-")</f>
        <v>8</v>
      </c>
      <c r="R5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5" s="67" t="s">
        <v>2</v>
      </c>
      <c r="V575" s="62"/>
      <c r="W575" s="64">
        <v>39321</v>
      </c>
      <c r="X575" s="29">
        <f>DATE(YEAR(Table2[[#This Row],[Data attivazione]])+VLOOKUP(Table2[[#This Row],[Durata]],VALORE_DURATA,2,FALSE),MONTH(Table2[[#This Row],[Data attivazione]]),DAY(Table2[[#This Row],[Data attivazione]]))</f>
        <v>42974</v>
      </c>
      <c r="Y575" s="65"/>
      <c r="Z575" s="61"/>
      <c r="AA575" s="64" t="s">
        <v>85</v>
      </c>
      <c r="AB575" s="29" t="str">
        <f>IF(Table2[[#This Row],[Data ultimo versamento temp]]=0/1/1900,"-",Table2[[#This Row],[Data ultimo versamento temp]])</f>
        <v>-</v>
      </c>
      <c r="AC575" s="29">
        <f t="array" ref="AC575">MAX(IF(TableVersamenti[Polizza]=Table2[[#This Row],[Polizza]],TableVersamenti[Data prevista versamento],"-"))</f>
        <v>0</v>
      </c>
      <c r="AD575" s="62"/>
      <c r="AE575" s="106">
        <f>DATE(YEAR(Table2[[#This Row],[Data ultimo pagamento]]),MONTH(Table2[[#This Row],[Data ultimo pagamento]]), 1)</f>
        <v>42767</v>
      </c>
      <c r="AF575" s="106">
        <f>DATE(YEAR(Table2[[#This Row],[Data prossima scadenza]]),MONTH(Table2[[#This Row],[Data prossima scadenza]]), 1)</f>
        <v>42948</v>
      </c>
      <c r="AG575" s="33">
        <f>IFERROR(Table2[[#This Row],[Importo annuale]]*VLOOKUP(Table2[[#This Row],[Ramo]],RAMI_POLIZZA,2,FALSE),0)</f>
        <v>74.290000000000006</v>
      </c>
      <c r="AH575" s="65" t="s">
        <v>113</v>
      </c>
      <c r="AI575" s="63" t="str">
        <f>IFERROR(VLOOKUP(Table2[[#This Row],[Contraente]],Table1[[Nome/Ragione sociale]:[Checkbox selezionato]],2,FALSE),"-")</f>
        <v>SAN GENESIO ED UNITI</v>
      </c>
      <c r="AJ575" s="63">
        <f>IFERROR(VLOOKUP(Table2[[#This Row],[Contraente]],Table1[[Nome/Ragione sociale]:[Checkbox selezionato]],3,FALSE),"-")</f>
        <v>3357022443</v>
      </c>
      <c r="AK575" s="63">
        <f>IFERROR(VLOOKUP(Table2[[#This Row],[Contraente]],Table1[[Nome/Ragione sociale]:[Checkbox selezionato]],4,FALSE),"-")</f>
        <v>0</v>
      </c>
      <c r="AL575" s="63" t="str">
        <f>IFERROR(VLOOKUP(Table2[[#This Row],[Contraente]],Table1[[Nome/Ragione sociale]:[Checkbox selezionato]],5,FALSE),"-")</f>
        <v>RASIM</v>
      </c>
      <c r="AM575" s="62" t="str">
        <f>IFERROR(VLOOKUP(Table2[[#This Row],[Contraente]],Table1[[Nome/Ragione sociale]:[Checkbox selezionato]],6,FALSE),"-")</f>
        <v>-</v>
      </c>
      <c r="AN575" s="63" t="str">
        <f>IFERROR(VLOOKUP(Table2[[#This Row],[Contraente]],Table1[[Nome/Ragione sociale]:[Checkbox selezionato]],7,FALSE),"-")</f>
        <v>papies@email.it</v>
      </c>
      <c r="AO575" s="63">
        <f>IFERROR(VLOOKUP(Table2[[#This Row],[Contraente]],Table1[[Nome/Ragione sociale]:[Checkbox selezionato]],8,FALSE),"-")</f>
        <v>0</v>
      </c>
      <c r="AP575" s="63">
        <f>IFERROR(VLOOKUP(Table2[[#This Row],[Contraente]],Table1[[Nome/Ragione sociale]:[Checkbox selezionato]],10,FALSE),"-")</f>
        <v>3357022443</v>
      </c>
      <c r="AQ575" s="63" t="str">
        <f>IFERROR(VLOOKUP(Table2[[#This Row],[Contraente]],Table1[[Nome/Ragione sociale]:[Checkbox selezionato]],11,FALSE),"-")</f>
        <v>SI</v>
      </c>
      <c r="AR575" s="63" t="str">
        <f>IFERROR(VLOOKUP(Table2[[#This Row],[Contraente]],Table1[[Nome/Ragione sociale]:[Checkbox selezionato]],12,FALSE),"-")</f>
        <v>SI</v>
      </c>
    </row>
    <row r="576" spans="1:44" ht="30" hidden="1" customHeight="1" x14ac:dyDescent="0.25">
      <c r="A576" s="60" t="str">
        <f>UPPER(LEFT(Table2[[#This Row],[Contraente]],1))</f>
        <v>K</v>
      </c>
      <c r="B576" s="60" t="s">
        <v>1634</v>
      </c>
      <c r="C576" s="81" t="s">
        <v>722</v>
      </c>
      <c r="D576" s="81" t="s">
        <v>37</v>
      </c>
      <c r="E576" s="86">
        <v>106632689</v>
      </c>
      <c r="F576" s="64">
        <v>42810</v>
      </c>
      <c r="G576" s="64">
        <f>IFERROR(CALCOLASCADENZA(Table2[[#This Row],[Data attivazione]],Table2[[#This Row],[Rateizzazione]],Table2[[#This Row],[Data ultimo pagamento]],Table2[[#This Row],[Data prossima scadenza manuale]]),"-")</f>
        <v>43175</v>
      </c>
      <c r="H576" s="67" t="s">
        <v>31</v>
      </c>
      <c r="I576" s="67" t="s">
        <v>1351</v>
      </c>
      <c r="J576" s="33">
        <f>IFERROR(Table2[[#This Row],[Importo annuale]]/(12/VLOOKUP(Table2[[#This Row],[Rateizzazione]],TIPI_RATEIZZAZIONI,2,FALSE)),"-")</f>
        <v>630</v>
      </c>
      <c r="K576" s="88">
        <v>630</v>
      </c>
      <c r="L576" s="88">
        <v>630</v>
      </c>
      <c r="M576" s="67" t="s">
        <v>45</v>
      </c>
      <c r="N576" s="67" t="s">
        <v>52</v>
      </c>
      <c r="O576" s="27" t="s">
        <v>1631</v>
      </c>
      <c r="P576" s="33" t="s">
        <v>23</v>
      </c>
      <c r="Q576" s="60">
        <f>IFERROR(IF(12 / VLOOKUP(Table2[[#This Row],[Rateizzazione]],TIPI_RATEIZZAZIONI,2,FALSE) &gt;=1,  IF(Table2[[#This Row],[Data attivazione]] = "","-",MONTH(Table2[[#This Row],[Data attivazione]])),"-"),"-")</f>
        <v>3</v>
      </c>
      <c r="R5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6" s="67" t="s">
        <v>2</v>
      </c>
      <c r="V576" s="62"/>
      <c r="W576" s="64">
        <v>42810</v>
      </c>
      <c r="X576" s="29">
        <f>DATE(YEAR(Table2[[#This Row],[Data attivazione]])+VLOOKUP(Table2[[#This Row],[Durata]],VALORE_DURATA,2,FALSE),MONTH(Table2[[#This Row],[Data attivazione]]),DAY(Table2[[#This Row],[Data attivazione]]))</f>
        <v>43175</v>
      </c>
      <c r="Y576" s="65"/>
      <c r="Z576" s="61"/>
      <c r="AA576" s="64" t="s">
        <v>85</v>
      </c>
      <c r="AB576" s="29" t="str">
        <f>IF(Table2[[#This Row],[Data ultimo versamento temp]]=0/1/1900,"-",Table2[[#This Row],[Data ultimo versamento temp]])</f>
        <v>-</v>
      </c>
      <c r="AC576" s="29">
        <f t="array" ref="AC576">MAX(IF(TableVersamenti[Polizza]=Table2[[#This Row],[Polizza]],TableVersamenti[Data prevista versamento],"-"))</f>
        <v>0</v>
      </c>
      <c r="AD576" s="62"/>
      <c r="AE576" s="106">
        <f>DATE(YEAR(Table2[[#This Row],[Data ultimo pagamento]]),MONTH(Table2[[#This Row],[Data ultimo pagamento]]), 1)</f>
        <v>42795</v>
      </c>
      <c r="AF576" s="106">
        <f>DATE(YEAR(Table2[[#This Row],[Data prossima scadenza]]),MONTH(Table2[[#This Row],[Data prossima scadenza]]), 1)</f>
        <v>43160</v>
      </c>
      <c r="AG576" s="33">
        <f>IFERROR(Table2[[#This Row],[Importo annuale]]*VLOOKUP(Table2[[#This Row],[Ramo]],RAMI_POLIZZA,2,FALSE),0)</f>
        <v>32.76</v>
      </c>
      <c r="AH576" s="65" t="s">
        <v>113</v>
      </c>
      <c r="AI576" s="63" t="str">
        <f>IFERROR(VLOOKUP(Table2[[#This Row],[Contraente]],Table1[[Nome/Ragione sociale]:[Checkbox selezionato]],2,FALSE),"-")</f>
        <v>BRONI</v>
      </c>
      <c r="AJ576" s="63">
        <f>IFERROR(VLOOKUP(Table2[[#This Row],[Contraente]],Table1[[Nome/Ragione sociale]:[Checkbox selezionato]],3,FALSE),"-")</f>
        <v>3281266228</v>
      </c>
      <c r="AK576" s="63">
        <f>IFERROR(VLOOKUP(Table2[[#This Row],[Contraente]],Table1[[Nome/Ragione sociale]:[Checkbox selezionato]],4,FALSE),"-")</f>
        <v>0</v>
      </c>
      <c r="AL576" s="63" t="str">
        <f>IFERROR(VLOOKUP(Table2[[#This Row],[Contraente]],Table1[[Nome/Ragione sociale]:[Checkbox selezionato]],5,FALSE),"-")</f>
        <v>DORIS</v>
      </c>
      <c r="AM576" s="62" t="str">
        <f>IFERROR(VLOOKUP(Table2[[#This Row],[Contraente]],Table1[[Nome/Ragione sociale]:[Checkbox selezionato]],6,FALSE),"-")</f>
        <v>-</v>
      </c>
      <c r="AN576" s="63" t="str">
        <f>IFERROR(VLOOKUP(Table2[[#This Row],[Contraente]],Table1[[Nome/Ragione sociale]:[Checkbox selezionato]],7,FALSE),"-")</f>
        <v>papies@libero.it</v>
      </c>
      <c r="AO576" s="63">
        <f>IFERROR(VLOOKUP(Table2[[#This Row],[Contraente]],Table1[[Nome/Ragione sociale]:[Checkbox selezionato]],8,FALSE),"-")</f>
        <v>0</v>
      </c>
      <c r="AP576" s="63">
        <f>IFERROR(VLOOKUP(Table2[[#This Row],[Contraente]],Table1[[Nome/Ragione sociale]:[Checkbox selezionato]],10,FALSE),"-")</f>
        <v>3281266228</v>
      </c>
      <c r="AQ576" s="63" t="str">
        <f>IFERROR(VLOOKUP(Table2[[#This Row],[Contraente]],Table1[[Nome/Ragione sociale]:[Checkbox selezionato]],11,FALSE),"-")</f>
        <v>SI</v>
      </c>
      <c r="AR576" s="63" t="str">
        <f>IFERROR(VLOOKUP(Table2[[#This Row],[Contraente]],Table1[[Nome/Ragione sociale]:[Checkbox selezionato]],12,FALSE),"-")</f>
        <v>SI</v>
      </c>
    </row>
    <row r="577" spans="1:44" ht="30" hidden="1" customHeight="1" x14ac:dyDescent="0.25">
      <c r="A577" s="60" t="str">
        <f>UPPER(LEFT(Table2[[#This Row],[Contraente]],1))</f>
        <v>K</v>
      </c>
      <c r="B577" s="60" t="s">
        <v>1634</v>
      </c>
      <c r="C577" s="81" t="s">
        <v>722</v>
      </c>
      <c r="D577" s="81" t="s">
        <v>37</v>
      </c>
      <c r="E577" s="86">
        <v>106213474</v>
      </c>
      <c r="F577" s="64">
        <v>42684</v>
      </c>
      <c r="G577" s="64">
        <f>IFERROR(CALCOLASCADENZA(Table2[[#This Row],[Data attivazione]],Table2[[#This Row],[Rateizzazione]],Table2[[#This Row],[Data ultimo pagamento]],Table2[[#This Row],[Data prossima scadenza manuale]]),"-")</f>
        <v>43058</v>
      </c>
      <c r="H577" s="67" t="s">
        <v>31</v>
      </c>
      <c r="I577" s="67" t="s">
        <v>1352</v>
      </c>
      <c r="J577" s="33">
        <f>IFERROR(Table2[[#This Row],[Importo annuale]]/(12/VLOOKUP(Table2[[#This Row],[Rateizzazione]],TIPI_RATEIZZAZIONI,2,FALSE)),"-")</f>
        <v>490</v>
      </c>
      <c r="K577" s="88"/>
      <c r="L577" s="88">
        <v>490</v>
      </c>
      <c r="M577" s="67" t="s">
        <v>44</v>
      </c>
      <c r="N577" s="67" t="s">
        <v>51</v>
      </c>
      <c r="O577" s="27" t="s">
        <v>1631</v>
      </c>
      <c r="P577" s="33" t="s">
        <v>23</v>
      </c>
      <c r="Q577" s="60">
        <f>IFERROR(IF(12 / VLOOKUP(Table2[[#This Row],[Rateizzazione]],TIPI_RATEIZZAZIONI,2,FALSE) &gt;=1,  IF(Table2[[#This Row],[Data attivazione]] = "","-",MONTH(Table2[[#This Row],[Data attivazione]])),"-"),"-")</f>
        <v>11</v>
      </c>
      <c r="R5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7" s="67" t="s">
        <v>2</v>
      </c>
      <c r="V577" s="62"/>
      <c r="W577" s="64">
        <v>42693</v>
      </c>
      <c r="X577" s="29">
        <f>DATE(YEAR(Table2[[#This Row],[Data attivazione]])+VLOOKUP(Table2[[#This Row],[Durata]],VALORE_DURATA,2,FALSE),MONTH(Table2[[#This Row],[Data attivazione]]),DAY(Table2[[#This Row],[Data attivazione]]))</f>
        <v>43058</v>
      </c>
      <c r="Y577" s="65"/>
      <c r="Z577" s="61"/>
      <c r="AA577" s="64" t="s">
        <v>85</v>
      </c>
      <c r="AB577" s="29" t="str">
        <f>IF(Table2[[#This Row],[Data ultimo versamento temp]]=0/1/1900,"-",Table2[[#This Row],[Data ultimo versamento temp]])</f>
        <v>-</v>
      </c>
      <c r="AC577" s="29">
        <f t="array" ref="AC577">MAX(IF(TableVersamenti[Polizza]=Table2[[#This Row],[Polizza]],TableVersamenti[Data prevista versamento],"-"))</f>
        <v>0</v>
      </c>
      <c r="AD577" s="62"/>
      <c r="AE577" s="106">
        <f>DATE(YEAR(Table2[[#This Row],[Data ultimo pagamento]]),MONTH(Table2[[#This Row],[Data ultimo pagamento]]), 1)</f>
        <v>42675</v>
      </c>
      <c r="AF577" s="106">
        <f>DATE(YEAR(Table2[[#This Row],[Data prossima scadenza]]),MONTH(Table2[[#This Row],[Data prossima scadenza]]), 1)</f>
        <v>43040</v>
      </c>
      <c r="AG577" s="33">
        <f>IFERROR(Table2[[#This Row],[Importo annuale]]*VLOOKUP(Table2[[#This Row],[Ramo]],RAMI_POLIZZA,2,FALSE),0)</f>
        <v>25.48</v>
      </c>
      <c r="AH577" s="65" t="s">
        <v>113</v>
      </c>
      <c r="AI577" s="63" t="str">
        <f>IFERROR(VLOOKUP(Table2[[#This Row],[Contraente]],Table1[[Nome/Ragione sociale]:[Checkbox selezionato]],2,FALSE),"-")</f>
        <v>BRONI</v>
      </c>
      <c r="AJ577" s="63">
        <f>IFERROR(VLOOKUP(Table2[[#This Row],[Contraente]],Table1[[Nome/Ragione sociale]:[Checkbox selezionato]],3,FALSE),"-")</f>
        <v>3281266228</v>
      </c>
      <c r="AK577" s="63">
        <f>IFERROR(VLOOKUP(Table2[[#This Row],[Contraente]],Table1[[Nome/Ragione sociale]:[Checkbox selezionato]],4,FALSE),"-")</f>
        <v>0</v>
      </c>
      <c r="AL577" s="63" t="str">
        <f>IFERROR(VLOOKUP(Table2[[#This Row],[Contraente]],Table1[[Nome/Ragione sociale]:[Checkbox selezionato]],5,FALSE),"-")</f>
        <v>DORIS</v>
      </c>
      <c r="AM577" s="62" t="str">
        <f>IFERROR(VLOOKUP(Table2[[#This Row],[Contraente]],Table1[[Nome/Ragione sociale]:[Checkbox selezionato]],6,FALSE),"-")</f>
        <v>-</v>
      </c>
      <c r="AN577" s="63" t="str">
        <f>IFERROR(VLOOKUP(Table2[[#This Row],[Contraente]],Table1[[Nome/Ragione sociale]:[Checkbox selezionato]],7,FALSE),"-")</f>
        <v>papies@libero.it</v>
      </c>
      <c r="AO577" s="63">
        <f>IFERROR(VLOOKUP(Table2[[#This Row],[Contraente]],Table1[[Nome/Ragione sociale]:[Checkbox selezionato]],8,FALSE),"-")</f>
        <v>0</v>
      </c>
      <c r="AP577" s="63">
        <f>IFERROR(VLOOKUP(Table2[[#This Row],[Contraente]],Table1[[Nome/Ragione sociale]:[Checkbox selezionato]],10,FALSE),"-")</f>
        <v>3281266228</v>
      </c>
      <c r="AQ577" s="63" t="str">
        <f>IFERROR(VLOOKUP(Table2[[#This Row],[Contraente]],Table1[[Nome/Ragione sociale]:[Checkbox selezionato]],11,FALSE),"-")</f>
        <v>SI</v>
      </c>
      <c r="AR577" s="63" t="str">
        <f>IFERROR(VLOOKUP(Table2[[#This Row],[Contraente]],Table1[[Nome/Ragione sociale]:[Checkbox selezionato]],12,FALSE),"-")</f>
        <v>SI</v>
      </c>
    </row>
    <row r="578" spans="1:44" ht="30" hidden="1" customHeight="1" x14ac:dyDescent="0.25">
      <c r="A578" s="60" t="str">
        <f>UPPER(LEFT(Table2[[#This Row],[Contraente]],1))</f>
        <v>K</v>
      </c>
      <c r="B578" s="60" t="s">
        <v>1634</v>
      </c>
      <c r="C578" s="81" t="s">
        <v>722</v>
      </c>
      <c r="D578" s="81" t="s">
        <v>37</v>
      </c>
      <c r="E578" s="86">
        <v>103747020</v>
      </c>
      <c r="F578" s="64">
        <v>41956</v>
      </c>
      <c r="G578" s="64">
        <f>IFERROR(CALCOLASCADENZA(Table2[[#This Row],[Data attivazione]],Table2[[#This Row],[Rateizzazione]],Table2[[#This Row],[Data ultimo pagamento]],Table2[[#This Row],[Data prossima scadenza manuale]]),"-")</f>
        <v>693687</v>
      </c>
      <c r="H578" s="67" t="s">
        <v>31</v>
      </c>
      <c r="I578" s="67"/>
      <c r="J578" s="33">
        <f>IFERROR(Table2[[#This Row],[Importo annuale]]/(12/VLOOKUP(Table2[[#This Row],[Rateizzazione]],TIPI_RATEIZZAZIONI,2,FALSE)),"-")</f>
        <v>245</v>
      </c>
      <c r="K578" s="88"/>
      <c r="L578" s="88">
        <v>980</v>
      </c>
      <c r="M578" s="67" t="s">
        <v>43</v>
      </c>
      <c r="N578" s="67" t="s">
        <v>51</v>
      </c>
      <c r="O578" s="27" t="s">
        <v>1631</v>
      </c>
      <c r="P578" s="33" t="s">
        <v>20</v>
      </c>
      <c r="Q578" s="60">
        <f>IFERROR(IF(12 / VLOOKUP(Table2[[#This Row],[Rateizzazione]],TIPI_RATEIZZAZIONI,2,FALSE) &gt;=1,  IF(Table2[[#This Row],[Data attivazione]] = "","-",MONTH(Table2[[#This Row],[Data attivazione]])),"-"),"-")</f>
        <v>12</v>
      </c>
      <c r="R5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7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57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578" s="67" t="s">
        <v>2</v>
      </c>
      <c r="V578" s="62"/>
      <c r="W578" s="64">
        <v>693597</v>
      </c>
      <c r="X578" s="29">
        <f>DATE(YEAR(Table2[[#This Row],[Data attivazione]])+VLOOKUP(Table2[[#This Row],[Durata]],VALORE_DURATA,2,FALSE),MONTH(Table2[[#This Row],[Data attivazione]]),DAY(Table2[[#This Row],[Data attivazione]]))</f>
        <v>693962</v>
      </c>
      <c r="Y578" s="65"/>
      <c r="Z578" s="61"/>
      <c r="AA578" s="64" t="s">
        <v>88</v>
      </c>
      <c r="AB578" s="29" t="str">
        <f>IF(Table2[[#This Row],[Data ultimo versamento temp]]=0/1/1900,"-",Table2[[#This Row],[Data ultimo versamento temp]])</f>
        <v>-</v>
      </c>
      <c r="AC578" s="29">
        <f t="array" ref="AC578">MAX(IF(TableVersamenti[Polizza]=Table2[[#This Row],[Polizza]],TableVersamenti[Data prevista versamento],"-"))</f>
        <v>0</v>
      </c>
      <c r="AD578" s="62"/>
      <c r="AE578" s="106">
        <f>DATE(YEAR(Table2[[#This Row],[Data ultimo pagamento]]),MONTH(Table2[[#This Row],[Data ultimo pagamento]]), 1)</f>
        <v>41944</v>
      </c>
      <c r="AF578" s="106">
        <f>DATE(YEAR(Table2[[#This Row],[Data prossima scadenza]]),MONTH(Table2[[#This Row],[Data prossima scadenza]]), 1)</f>
        <v>693657</v>
      </c>
      <c r="AG578" s="33">
        <f>IFERROR(Table2[[#This Row],[Importo annuale]]*VLOOKUP(Table2[[#This Row],[Ramo]],RAMI_POLIZZA,2,FALSE),0)</f>
        <v>50.96</v>
      </c>
      <c r="AH578" s="65" t="s">
        <v>113</v>
      </c>
      <c r="AI578" s="63" t="str">
        <f>IFERROR(VLOOKUP(Table2[[#This Row],[Contraente]],Table1[[Nome/Ragione sociale]:[Checkbox selezionato]],2,FALSE),"-")</f>
        <v>BRONI</v>
      </c>
      <c r="AJ578" s="63">
        <f>IFERROR(VLOOKUP(Table2[[#This Row],[Contraente]],Table1[[Nome/Ragione sociale]:[Checkbox selezionato]],3,FALSE),"-")</f>
        <v>3281266228</v>
      </c>
      <c r="AK578" s="63">
        <f>IFERROR(VLOOKUP(Table2[[#This Row],[Contraente]],Table1[[Nome/Ragione sociale]:[Checkbox selezionato]],4,FALSE),"-")</f>
        <v>0</v>
      </c>
      <c r="AL578" s="63" t="str">
        <f>IFERROR(VLOOKUP(Table2[[#This Row],[Contraente]],Table1[[Nome/Ragione sociale]:[Checkbox selezionato]],5,FALSE),"-")</f>
        <v>DORIS</v>
      </c>
      <c r="AM578" s="62" t="str">
        <f>IFERROR(VLOOKUP(Table2[[#This Row],[Contraente]],Table1[[Nome/Ragione sociale]:[Checkbox selezionato]],6,FALSE),"-")</f>
        <v>-</v>
      </c>
      <c r="AN578" s="63" t="str">
        <f>IFERROR(VLOOKUP(Table2[[#This Row],[Contraente]],Table1[[Nome/Ragione sociale]:[Checkbox selezionato]],7,FALSE),"-")</f>
        <v>papies@libero.it</v>
      </c>
      <c r="AO578" s="63">
        <f>IFERROR(VLOOKUP(Table2[[#This Row],[Contraente]],Table1[[Nome/Ragione sociale]:[Checkbox selezionato]],8,FALSE),"-")</f>
        <v>0</v>
      </c>
      <c r="AP578" s="63">
        <f>IFERROR(VLOOKUP(Table2[[#This Row],[Contraente]],Table1[[Nome/Ragione sociale]:[Checkbox selezionato]],10,FALSE),"-")</f>
        <v>3281266228</v>
      </c>
      <c r="AQ578" s="63" t="str">
        <f>IFERROR(VLOOKUP(Table2[[#This Row],[Contraente]],Table1[[Nome/Ragione sociale]:[Checkbox selezionato]],11,FALSE),"-")</f>
        <v>SI</v>
      </c>
      <c r="AR578" s="63" t="str">
        <f>IFERROR(VLOOKUP(Table2[[#This Row],[Contraente]],Table1[[Nome/Ragione sociale]:[Checkbox selezionato]],12,FALSE),"-")</f>
        <v>SI</v>
      </c>
    </row>
    <row r="579" spans="1:44" ht="30" hidden="1" customHeight="1" x14ac:dyDescent="0.25">
      <c r="A579" s="60" t="str">
        <f>UPPER(LEFT(Table2[[#This Row],[Contraente]],1))</f>
        <v>L</v>
      </c>
      <c r="B579" s="60" t="s">
        <v>1634</v>
      </c>
      <c r="C579" s="81" t="s">
        <v>726</v>
      </c>
      <c r="D579" s="81" t="s">
        <v>37</v>
      </c>
      <c r="E579" s="86">
        <v>104960698</v>
      </c>
      <c r="F579" s="64">
        <v>42667</v>
      </c>
      <c r="G579" s="64">
        <f>IFERROR(CALCOLASCADENZA(Table2[[#This Row],[Data attivazione]],Table2[[#This Row],[Rateizzazione]],Table2[[#This Row],[Data ultimo pagamento]],Table2[[#This Row],[Data prossima scadenza manuale]]),"-")</f>
        <v>43022</v>
      </c>
      <c r="H579" s="67" t="s">
        <v>31</v>
      </c>
      <c r="I579" s="67" t="s">
        <v>1359</v>
      </c>
      <c r="J579" s="33">
        <f>IFERROR(Table2[[#This Row],[Importo annuale]]/(12/VLOOKUP(Table2[[#This Row],[Rateizzazione]],TIPI_RATEIZZAZIONI,2,FALSE)),"-")</f>
        <v>739</v>
      </c>
      <c r="K579" s="88"/>
      <c r="L579" s="88">
        <v>739</v>
      </c>
      <c r="M579" s="67" t="s">
        <v>45</v>
      </c>
      <c r="N579" s="67" t="s">
        <v>51</v>
      </c>
      <c r="O579" s="27" t="s">
        <v>1631</v>
      </c>
      <c r="P579" s="33" t="s">
        <v>23</v>
      </c>
      <c r="Q579" s="60">
        <f>IFERROR(IF(12 / VLOOKUP(Table2[[#This Row],[Rateizzazione]],TIPI_RATEIZZAZIONI,2,FALSE) &gt;=1,  IF(Table2[[#This Row],[Data attivazione]] = "","-",MONTH(Table2[[#This Row],[Data attivazione]])),"-"),"-")</f>
        <v>10</v>
      </c>
      <c r="R5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9" s="67" t="s">
        <v>2</v>
      </c>
      <c r="V579" s="62"/>
      <c r="W579" s="64">
        <v>42657</v>
      </c>
      <c r="X579" s="29">
        <f>DATE(YEAR(Table2[[#This Row],[Data attivazione]])+VLOOKUP(Table2[[#This Row],[Durata]],VALORE_DURATA,2,FALSE),MONTH(Table2[[#This Row],[Data attivazione]]),DAY(Table2[[#This Row],[Data attivazione]]))</f>
        <v>43022</v>
      </c>
      <c r="Y579" s="65"/>
      <c r="Z579" s="61"/>
      <c r="AA579" s="64" t="s">
        <v>85</v>
      </c>
      <c r="AB579" s="29" t="str">
        <f>IF(Table2[[#This Row],[Data ultimo versamento temp]]=0/1/1900,"-",Table2[[#This Row],[Data ultimo versamento temp]])</f>
        <v>-</v>
      </c>
      <c r="AC579" s="29">
        <f t="array" ref="AC579">MAX(IF(TableVersamenti[Polizza]=Table2[[#This Row],[Polizza]],TableVersamenti[Data prevista versamento],"-"))</f>
        <v>0</v>
      </c>
      <c r="AD579" s="62"/>
      <c r="AE579" s="106">
        <f>DATE(YEAR(Table2[[#This Row],[Data ultimo pagamento]]),MONTH(Table2[[#This Row],[Data ultimo pagamento]]), 1)</f>
        <v>42644</v>
      </c>
      <c r="AF579" s="106">
        <f>DATE(YEAR(Table2[[#This Row],[Data prossima scadenza]]),MONTH(Table2[[#This Row],[Data prossima scadenza]]), 1)</f>
        <v>43009</v>
      </c>
      <c r="AG579" s="33">
        <f>IFERROR(Table2[[#This Row],[Importo annuale]]*VLOOKUP(Table2[[#This Row],[Ramo]],RAMI_POLIZZA,2,FALSE),0)</f>
        <v>38.427999999999997</v>
      </c>
      <c r="AH579" s="65" t="s">
        <v>113</v>
      </c>
      <c r="AI579" s="63" t="str">
        <f>IFERROR(VLOOKUP(Table2[[#This Row],[Contraente]],Table1[[Nome/Ragione sociale]:[Checkbox selezionato]],2,FALSE),"-")</f>
        <v>PAVIA</v>
      </c>
      <c r="AJ579" s="63">
        <f>IFERROR(VLOOKUP(Table2[[#This Row],[Contraente]],Table1[[Nome/Ragione sociale]:[Checkbox selezionato]],3,FALSE),"-")</f>
        <v>3393403620</v>
      </c>
      <c r="AK579" s="63">
        <f>IFERROR(VLOOKUP(Table2[[#This Row],[Contraente]],Table1[[Nome/Ragione sociale]:[Checkbox selezionato]],4,FALSE),"-")</f>
        <v>0</v>
      </c>
      <c r="AL579" s="63" t="str">
        <f>IFERROR(VLOOKUP(Table2[[#This Row],[Contraente]],Table1[[Nome/Ragione sociale]:[Checkbox selezionato]],5,FALSE),"-")</f>
        <v>JACOPO</v>
      </c>
      <c r="AM579" s="62" t="str">
        <f>IFERROR(VLOOKUP(Table2[[#This Row],[Contraente]],Table1[[Nome/Ragione sociale]:[Checkbox selezionato]],6,FALSE),"-")</f>
        <v>-</v>
      </c>
      <c r="AN579" s="63" t="str">
        <f>IFERROR(VLOOKUP(Table2[[#This Row],[Contraente]],Table1[[Nome/Ragione sociale]:[Checkbox selezionato]],7,FALSE),"-")</f>
        <v>papies@libero.it</v>
      </c>
      <c r="AO579" s="63">
        <f>IFERROR(VLOOKUP(Table2[[#This Row],[Contraente]],Table1[[Nome/Ragione sociale]:[Checkbox selezionato]],8,FALSE),"-")</f>
        <v>0</v>
      </c>
      <c r="AP579" s="63">
        <f>IFERROR(VLOOKUP(Table2[[#This Row],[Contraente]],Table1[[Nome/Ragione sociale]:[Checkbox selezionato]],10,FALSE),"-")</f>
        <v>3393403620</v>
      </c>
      <c r="AQ579" s="63" t="str">
        <f>IFERROR(VLOOKUP(Table2[[#This Row],[Contraente]],Table1[[Nome/Ragione sociale]:[Checkbox selezionato]],11,FALSE),"-")</f>
        <v>SI</v>
      </c>
      <c r="AR579" s="63" t="str">
        <f>IFERROR(VLOOKUP(Table2[[#This Row],[Contraente]],Table1[[Nome/Ragione sociale]:[Checkbox selezionato]],12,FALSE),"-")</f>
        <v>SI</v>
      </c>
    </row>
    <row r="580" spans="1:44" ht="30" hidden="1" customHeight="1" x14ac:dyDescent="0.25">
      <c r="A580" s="60" t="str">
        <f>UPPER(LEFT(Table2[[#This Row],[Contraente]],1))</f>
        <v>L</v>
      </c>
      <c r="B580" s="60" t="s">
        <v>1634</v>
      </c>
      <c r="C580" s="81" t="s">
        <v>726</v>
      </c>
      <c r="D580" s="81" t="s">
        <v>37</v>
      </c>
      <c r="E580" s="86">
        <v>103571335</v>
      </c>
      <c r="F580" s="64">
        <v>41907</v>
      </c>
      <c r="G580" s="64">
        <f>IFERROR(CALCOLASCADENZA(Table2[[#This Row],[Data attivazione]],Table2[[#This Row],[Rateizzazione]],Table2[[#This Row],[Data ultimo pagamento]],Table2[[#This Row],[Data prossima scadenza manuale]]),"-")</f>
        <v>690675</v>
      </c>
      <c r="H580" s="67" t="s">
        <v>30</v>
      </c>
      <c r="I580" s="67"/>
      <c r="J580" s="33">
        <f>IFERROR(Table2[[#This Row],[Importo annuale]]/(12/VLOOKUP(Table2[[#This Row],[Rateizzazione]],TIPI_RATEIZZAZIONI,2,FALSE)),"-")</f>
        <v>95</v>
      </c>
      <c r="K580" s="88"/>
      <c r="L580" s="88">
        <v>95</v>
      </c>
      <c r="M580" s="67" t="s">
        <v>43</v>
      </c>
      <c r="N580" s="67" t="s">
        <v>51</v>
      </c>
      <c r="O580" s="27" t="s">
        <v>1632</v>
      </c>
      <c r="P580" s="33" t="s">
        <v>23</v>
      </c>
      <c r="Q580" s="60">
        <f>IFERROR(IF(12 / VLOOKUP(Table2[[#This Row],[Rateizzazione]],TIPI_RATEIZZAZIONI,2,FALSE) &gt;=1,  IF(Table2[[#This Row],[Data attivazione]] = "","-",MONTH(Table2[[#This Row],[Data attivazione]])),"-"),"-")</f>
        <v>12</v>
      </c>
      <c r="R5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0" s="67" t="s">
        <v>2</v>
      </c>
      <c r="V580" s="62"/>
      <c r="W580" s="64">
        <v>690310</v>
      </c>
      <c r="X580" s="29">
        <f>DATE(YEAR(Table2[[#This Row],[Data attivazione]])+VLOOKUP(Table2[[#This Row],[Durata]],VALORE_DURATA,2,FALSE),MONTH(Table2[[#This Row],[Data attivazione]]),DAY(Table2[[#This Row],[Data attivazione]]))</f>
        <v>693962</v>
      </c>
      <c r="Y580" s="65"/>
      <c r="Z580" s="61"/>
      <c r="AA580" s="64" t="s">
        <v>88</v>
      </c>
      <c r="AB580" s="29" t="str">
        <f>IF(Table2[[#This Row],[Data ultimo versamento temp]]=0/1/1900,"-",Table2[[#This Row],[Data ultimo versamento temp]])</f>
        <v>-</v>
      </c>
      <c r="AC580" s="29">
        <f t="array" ref="AC580">MAX(IF(TableVersamenti[Polizza]=Table2[[#This Row],[Polizza]],TableVersamenti[Data prevista versamento],"-"))</f>
        <v>0</v>
      </c>
      <c r="AD580" s="62"/>
      <c r="AE580" s="106">
        <f>DATE(YEAR(Table2[[#This Row],[Data ultimo pagamento]]),MONTH(Table2[[#This Row],[Data ultimo pagamento]]), 1)</f>
        <v>41883</v>
      </c>
      <c r="AF580" s="106">
        <f>DATE(YEAR(Table2[[#This Row],[Data prossima scadenza]]),MONTH(Table2[[#This Row],[Data prossima scadenza]]), 1)</f>
        <v>690645</v>
      </c>
      <c r="AG580" s="33">
        <f>IFERROR(Table2[[#This Row],[Importo annuale]]*VLOOKUP(Table2[[#This Row],[Ramo]],RAMI_POLIZZA,2,FALSE),0)</f>
        <v>10.925000000000001</v>
      </c>
      <c r="AH580" s="65" t="s">
        <v>113</v>
      </c>
      <c r="AI580" s="63" t="str">
        <f>IFERROR(VLOOKUP(Table2[[#This Row],[Contraente]],Table1[[Nome/Ragione sociale]:[Checkbox selezionato]],2,FALSE),"-")</f>
        <v>PAVIA</v>
      </c>
      <c r="AJ580" s="63">
        <f>IFERROR(VLOOKUP(Table2[[#This Row],[Contraente]],Table1[[Nome/Ragione sociale]:[Checkbox selezionato]],3,FALSE),"-")</f>
        <v>3393403620</v>
      </c>
      <c r="AK580" s="63">
        <f>IFERROR(VLOOKUP(Table2[[#This Row],[Contraente]],Table1[[Nome/Ragione sociale]:[Checkbox selezionato]],4,FALSE),"-")</f>
        <v>0</v>
      </c>
      <c r="AL580" s="63" t="str">
        <f>IFERROR(VLOOKUP(Table2[[#This Row],[Contraente]],Table1[[Nome/Ragione sociale]:[Checkbox selezionato]],5,FALSE),"-")</f>
        <v>JACOPO</v>
      </c>
      <c r="AM580" s="62" t="str">
        <f>IFERROR(VLOOKUP(Table2[[#This Row],[Contraente]],Table1[[Nome/Ragione sociale]:[Checkbox selezionato]],6,FALSE),"-")</f>
        <v>-</v>
      </c>
      <c r="AN580" s="63" t="str">
        <f>IFERROR(VLOOKUP(Table2[[#This Row],[Contraente]],Table1[[Nome/Ragione sociale]:[Checkbox selezionato]],7,FALSE),"-")</f>
        <v>papies@libero.it</v>
      </c>
      <c r="AO580" s="63">
        <f>IFERROR(VLOOKUP(Table2[[#This Row],[Contraente]],Table1[[Nome/Ragione sociale]:[Checkbox selezionato]],8,FALSE),"-")</f>
        <v>0</v>
      </c>
      <c r="AP580" s="63">
        <f>IFERROR(VLOOKUP(Table2[[#This Row],[Contraente]],Table1[[Nome/Ragione sociale]:[Checkbox selezionato]],10,FALSE),"-")</f>
        <v>3393403620</v>
      </c>
      <c r="AQ580" s="63" t="str">
        <f>IFERROR(VLOOKUP(Table2[[#This Row],[Contraente]],Table1[[Nome/Ragione sociale]:[Checkbox selezionato]],11,FALSE),"-")</f>
        <v>SI</v>
      </c>
      <c r="AR580" s="63" t="str">
        <f>IFERROR(VLOOKUP(Table2[[#This Row],[Contraente]],Table1[[Nome/Ragione sociale]:[Checkbox selezionato]],12,FALSE),"-")</f>
        <v>SI</v>
      </c>
    </row>
    <row r="581" spans="1:44" ht="30" hidden="1" customHeight="1" x14ac:dyDescent="0.25">
      <c r="A581" s="60" t="str">
        <f>UPPER(LEFT(Table2[[#This Row],[Contraente]],1))</f>
        <v>L</v>
      </c>
      <c r="B581" s="60" t="s">
        <v>1634</v>
      </c>
      <c r="C581" s="81" t="s">
        <v>726</v>
      </c>
      <c r="D581" s="81" t="s">
        <v>37</v>
      </c>
      <c r="E581" s="86">
        <v>105937400</v>
      </c>
      <c r="F581" s="64">
        <v>42590</v>
      </c>
      <c r="G581" s="64">
        <f>IFERROR(CALCOLASCADENZA(Table2[[#This Row],[Data attivazione]],Table2[[#This Row],[Rateizzazione]],Table2[[#This Row],[Data ultimo pagamento]],Table2[[#This Row],[Data prossima scadenza manuale]]),"-")</f>
        <v>42955</v>
      </c>
      <c r="H581" s="67" t="s">
        <v>31</v>
      </c>
      <c r="I581" s="67" t="s">
        <v>1360</v>
      </c>
      <c r="J581" s="33">
        <f>IFERROR(Table2[[#This Row],[Importo annuale]]/(12/VLOOKUP(Table2[[#This Row],[Rateizzazione]],TIPI_RATEIZZAZIONI,2,FALSE)),"-")</f>
        <v>830</v>
      </c>
      <c r="K581" s="88"/>
      <c r="L581" s="88">
        <v>830</v>
      </c>
      <c r="M581" s="67" t="s">
        <v>44</v>
      </c>
      <c r="N581" s="67" t="s">
        <v>52</v>
      </c>
      <c r="O581" s="27" t="s">
        <v>1631</v>
      </c>
      <c r="P581" s="33" t="s">
        <v>23</v>
      </c>
      <c r="Q581" s="60">
        <f>IFERROR(IF(12 / VLOOKUP(Table2[[#This Row],[Rateizzazione]],TIPI_RATEIZZAZIONI,2,FALSE) &gt;=1,  IF(Table2[[#This Row],[Data attivazione]] = "","-",MONTH(Table2[[#This Row],[Data attivazione]])),"-"),"-")</f>
        <v>8</v>
      </c>
      <c r="R5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1" s="67" t="s">
        <v>2</v>
      </c>
      <c r="V581" s="62"/>
      <c r="W581" s="64">
        <v>42590</v>
      </c>
      <c r="X581" s="29">
        <f>DATE(YEAR(Table2[[#This Row],[Data attivazione]])+VLOOKUP(Table2[[#This Row],[Durata]],VALORE_DURATA,2,FALSE),MONTH(Table2[[#This Row],[Data attivazione]]),DAY(Table2[[#This Row],[Data attivazione]]))</f>
        <v>42955</v>
      </c>
      <c r="Y581" s="65"/>
      <c r="Z581" s="61"/>
      <c r="AA581" s="64" t="s">
        <v>85</v>
      </c>
      <c r="AB581" s="29" t="str">
        <f>IF(Table2[[#This Row],[Data ultimo versamento temp]]=0/1/1900,"-",Table2[[#This Row],[Data ultimo versamento temp]])</f>
        <v>-</v>
      </c>
      <c r="AC581" s="29">
        <f t="array" ref="AC581">MAX(IF(TableVersamenti[Polizza]=Table2[[#This Row],[Polizza]],TableVersamenti[Data prevista versamento],"-"))</f>
        <v>0</v>
      </c>
      <c r="AD581" s="62"/>
      <c r="AE581" s="106">
        <f>DATE(YEAR(Table2[[#This Row],[Data ultimo pagamento]]),MONTH(Table2[[#This Row],[Data ultimo pagamento]]), 1)</f>
        <v>42583</v>
      </c>
      <c r="AF581" s="106">
        <f>DATE(YEAR(Table2[[#This Row],[Data prossima scadenza]]),MONTH(Table2[[#This Row],[Data prossima scadenza]]), 1)</f>
        <v>42948</v>
      </c>
      <c r="AG581" s="33">
        <f>IFERROR(Table2[[#This Row],[Importo annuale]]*VLOOKUP(Table2[[#This Row],[Ramo]],RAMI_POLIZZA,2,FALSE),0)</f>
        <v>43.16</v>
      </c>
      <c r="AH581" s="65" t="s">
        <v>113</v>
      </c>
      <c r="AI581" s="63" t="str">
        <f>IFERROR(VLOOKUP(Table2[[#This Row],[Contraente]],Table1[[Nome/Ragione sociale]:[Checkbox selezionato]],2,FALSE),"-")</f>
        <v>PAVIA</v>
      </c>
      <c r="AJ581" s="63">
        <f>IFERROR(VLOOKUP(Table2[[#This Row],[Contraente]],Table1[[Nome/Ragione sociale]:[Checkbox selezionato]],3,FALSE),"-")</f>
        <v>3393403620</v>
      </c>
      <c r="AK581" s="63">
        <f>IFERROR(VLOOKUP(Table2[[#This Row],[Contraente]],Table1[[Nome/Ragione sociale]:[Checkbox selezionato]],4,FALSE),"-")</f>
        <v>0</v>
      </c>
      <c r="AL581" s="63" t="str">
        <f>IFERROR(VLOOKUP(Table2[[#This Row],[Contraente]],Table1[[Nome/Ragione sociale]:[Checkbox selezionato]],5,FALSE),"-")</f>
        <v>JACOPO</v>
      </c>
      <c r="AM581" s="62" t="str">
        <f>IFERROR(VLOOKUP(Table2[[#This Row],[Contraente]],Table1[[Nome/Ragione sociale]:[Checkbox selezionato]],6,FALSE),"-")</f>
        <v>-</v>
      </c>
      <c r="AN581" s="63" t="str">
        <f>IFERROR(VLOOKUP(Table2[[#This Row],[Contraente]],Table1[[Nome/Ragione sociale]:[Checkbox selezionato]],7,FALSE),"-")</f>
        <v>papies@libero.it</v>
      </c>
      <c r="AO581" s="63">
        <f>IFERROR(VLOOKUP(Table2[[#This Row],[Contraente]],Table1[[Nome/Ragione sociale]:[Checkbox selezionato]],8,FALSE),"-")</f>
        <v>0</v>
      </c>
      <c r="AP581" s="63">
        <f>IFERROR(VLOOKUP(Table2[[#This Row],[Contraente]],Table1[[Nome/Ragione sociale]:[Checkbox selezionato]],10,FALSE),"-")</f>
        <v>3393403620</v>
      </c>
      <c r="AQ581" s="63" t="str">
        <f>IFERROR(VLOOKUP(Table2[[#This Row],[Contraente]],Table1[[Nome/Ragione sociale]:[Checkbox selezionato]],11,FALSE),"-")</f>
        <v>SI</v>
      </c>
      <c r="AR581" s="63" t="str">
        <f>IFERROR(VLOOKUP(Table2[[#This Row],[Contraente]],Table1[[Nome/Ragione sociale]:[Checkbox selezionato]],12,FALSE),"-")</f>
        <v>SI</v>
      </c>
    </row>
    <row r="582" spans="1:44" ht="30" hidden="1" customHeight="1" x14ac:dyDescent="0.25">
      <c r="A582" s="60" t="str">
        <f>UPPER(LEFT(Table2[[#This Row],[Contraente]],1))</f>
        <v>L</v>
      </c>
      <c r="B582" s="60" t="s">
        <v>1634</v>
      </c>
      <c r="C582" s="81" t="s">
        <v>726</v>
      </c>
      <c r="D582" s="81" t="s">
        <v>37</v>
      </c>
      <c r="E582" s="86">
        <v>106333227</v>
      </c>
      <c r="F582" s="64">
        <v>42719</v>
      </c>
      <c r="G582" s="64">
        <f>IFERROR(CALCOLASCADENZA(Table2[[#This Row],[Data attivazione]],Table2[[#This Row],[Rateizzazione]],Table2[[#This Row],[Data ultimo pagamento]],Table2[[#This Row],[Data prossima scadenza manuale]]),"-")</f>
        <v>43084</v>
      </c>
      <c r="H582" s="67" t="s">
        <v>31</v>
      </c>
      <c r="I582" s="67" t="s">
        <v>1361</v>
      </c>
      <c r="J582" s="33">
        <f>IFERROR(Table2[[#This Row],[Importo annuale]]/(12/VLOOKUP(Table2[[#This Row],[Rateizzazione]],TIPI_RATEIZZAZIONI,2,FALSE)),"-")</f>
        <v>631.70000000000005</v>
      </c>
      <c r="K582" s="88"/>
      <c r="L582" s="88">
        <v>631.70000000000005</v>
      </c>
      <c r="M582" s="67" t="s">
        <v>44</v>
      </c>
      <c r="N582" s="67" t="s">
        <v>52</v>
      </c>
      <c r="O582" s="27" t="s">
        <v>1631</v>
      </c>
      <c r="P582" s="33" t="s">
        <v>23</v>
      </c>
      <c r="Q582" s="60">
        <f>IFERROR(IF(12 / VLOOKUP(Table2[[#This Row],[Rateizzazione]],TIPI_RATEIZZAZIONI,2,FALSE) &gt;=1,  IF(Table2[[#This Row],[Data attivazione]] = "","-",MONTH(Table2[[#This Row],[Data attivazione]])),"-"),"-")</f>
        <v>12</v>
      </c>
      <c r="R5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2" s="67" t="s">
        <v>2</v>
      </c>
      <c r="V582" s="62"/>
      <c r="W582" s="64">
        <v>42719</v>
      </c>
      <c r="X582" s="29">
        <f>DATE(YEAR(Table2[[#This Row],[Data attivazione]])+VLOOKUP(Table2[[#This Row],[Durata]],VALORE_DURATA,2,FALSE),MONTH(Table2[[#This Row],[Data attivazione]]),DAY(Table2[[#This Row],[Data attivazione]]))</f>
        <v>43084</v>
      </c>
      <c r="Y582" s="65"/>
      <c r="Z582" s="61"/>
      <c r="AA582" s="64" t="s">
        <v>85</v>
      </c>
      <c r="AB582" s="29" t="str">
        <f>IF(Table2[[#This Row],[Data ultimo versamento temp]]=0/1/1900,"-",Table2[[#This Row],[Data ultimo versamento temp]])</f>
        <v>-</v>
      </c>
      <c r="AC582" s="29">
        <f t="array" ref="AC582">MAX(IF(TableVersamenti[Polizza]=Table2[[#This Row],[Polizza]],TableVersamenti[Data prevista versamento],"-"))</f>
        <v>0</v>
      </c>
      <c r="AD582" s="62"/>
      <c r="AE582" s="106">
        <f>DATE(YEAR(Table2[[#This Row],[Data ultimo pagamento]]),MONTH(Table2[[#This Row],[Data ultimo pagamento]]), 1)</f>
        <v>42705</v>
      </c>
      <c r="AF582" s="106">
        <f>DATE(YEAR(Table2[[#This Row],[Data prossima scadenza]]),MONTH(Table2[[#This Row],[Data prossima scadenza]]), 1)</f>
        <v>43070</v>
      </c>
      <c r="AG582" s="33">
        <f>IFERROR(Table2[[#This Row],[Importo annuale]]*VLOOKUP(Table2[[#This Row],[Ramo]],RAMI_POLIZZA,2,FALSE),0)</f>
        <v>32.848399999999998</v>
      </c>
      <c r="AH582" s="65" t="s">
        <v>113</v>
      </c>
      <c r="AI582" s="63" t="str">
        <f>IFERROR(VLOOKUP(Table2[[#This Row],[Contraente]],Table1[[Nome/Ragione sociale]:[Checkbox selezionato]],2,FALSE),"-")</f>
        <v>PAVIA</v>
      </c>
      <c r="AJ582" s="63">
        <f>IFERROR(VLOOKUP(Table2[[#This Row],[Contraente]],Table1[[Nome/Ragione sociale]:[Checkbox selezionato]],3,FALSE),"-")</f>
        <v>3393403620</v>
      </c>
      <c r="AK582" s="63">
        <f>IFERROR(VLOOKUP(Table2[[#This Row],[Contraente]],Table1[[Nome/Ragione sociale]:[Checkbox selezionato]],4,FALSE),"-")</f>
        <v>0</v>
      </c>
      <c r="AL582" s="63" t="str">
        <f>IFERROR(VLOOKUP(Table2[[#This Row],[Contraente]],Table1[[Nome/Ragione sociale]:[Checkbox selezionato]],5,FALSE),"-")</f>
        <v>JACOPO</v>
      </c>
      <c r="AM582" s="62" t="str">
        <f>IFERROR(VLOOKUP(Table2[[#This Row],[Contraente]],Table1[[Nome/Ragione sociale]:[Checkbox selezionato]],6,FALSE),"-")</f>
        <v>-</v>
      </c>
      <c r="AN582" s="63" t="str">
        <f>IFERROR(VLOOKUP(Table2[[#This Row],[Contraente]],Table1[[Nome/Ragione sociale]:[Checkbox selezionato]],7,FALSE),"-")</f>
        <v>papies@libero.it</v>
      </c>
      <c r="AO582" s="63">
        <f>IFERROR(VLOOKUP(Table2[[#This Row],[Contraente]],Table1[[Nome/Ragione sociale]:[Checkbox selezionato]],8,FALSE),"-")</f>
        <v>0</v>
      </c>
      <c r="AP582" s="63">
        <f>IFERROR(VLOOKUP(Table2[[#This Row],[Contraente]],Table1[[Nome/Ragione sociale]:[Checkbox selezionato]],10,FALSE),"-")</f>
        <v>3393403620</v>
      </c>
      <c r="AQ582" s="63" t="str">
        <f>IFERROR(VLOOKUP(Table2[[#This Row],[Contraente]],Table1[[Nome/Ragione sociale]:[Checkbox selezionato]],11,FALSE),"-")</f>
        <v>SI</v>
      </c>
      <c r="AR582" s="63" t="str">
        <f>IFERROR(VLOOKUP(Table2[[#This Row],[Contraente]],Table1[[Nome/Ragione sociale]:[Checkbox selezionato]],12,FALSE),"-")</f>
        <v>SI</v>
      </c>
    </row>
    <row r="583" spans="1:44" ht="30" hidden="1" customHeight="1" x14ac:dyDescent="0.25">
      <c r="A583" s="60" t="str">
        <f>UPPER(LEFT(Table2[[#This Row],[Contraente]],1))</f>
        <v>L</v>
      </c>
      <c r="B583" s="60" t="s">
        <v>1634</v>
      </c>
      <c r="C583" s="81" t="s">
        <v>726</v>
      </c>
      <c r="D583" s="81" t="s">
        <v>37</v>
      </c>
      <c r="E583" s="86">
        <v>1076151</v>
      </c>
      <c r="F583" s="64">
        <v>42580</v>
      </c>
      <c r="G583" s="64">
        <f>IFERROR(CALCOLASCADENZA(Table2[[#This Row],[Data attivazione]],Table2[[#This Row],[Rateizzazione]],Table2[[#This Row],[Data ultimo pagamento]],Table2[[#This Row],[Data prossima scadenza manuale]]),"-")</f>
        <v>42945</v>
      </c>
      <c r="H583" s="67" t="s">
        <v>32</v>
      </c>
      <c r="I583" s="67" t="s">
        <v>113</v>
      </c>
      <c r="J583" s="33">
        <f>IFERROR(Table2[[#This Row],[Importo annuale]]/(12/VLOOKUP(Table2[[#This Row],[Rateizzazione]],TIPI_RATEIZZAZIONI,2,FALSE)),"-")</f>
        <v>140</v>
      </c>
      <c r="K583" s="88"/>
      <c r="L583" s="88">
        <v>140</v>
      </c>
      <c r="M583" s="67" t="s">
        <v>44</v>
      </c>
      <c r="N583" s="67" t="s">
        <v>52</v>
      </c>
      <c r="O583" s="27" t="s">
        <v>1631</v>
      </c>
      <c r="P583" s="33" t="s">
        <v>23</v>
      </c>
      <c r="Q583" s="60">
        <f>IFERROR(IF(12 / VLOOKUP(Table2[[#This Row],[Rateizzazione]],TIPI_RATEIZZAZIONI,2,FALSE) &gt;=1,  IF(Table2[[#This Row],[Data attivazione]] = "","-",MONTH(Table2[[#This Row],[Data attivazione]])),"-"),"-")</f>
        <v>7</v>
      </c>
      <c r="R5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3" s="67" t="s">
        <v>2</v>
      </c>
      <c r="V583" s="62"/>
      <c r="W583" s="64">
        <v>42580</v>
      </c>
      <c r="X583" s="29">
        <f>DATE(YEAR(Table2[[#This Row],[Data attivazione]])+VLOOKUP(Table2[[#This Row],[Durata]],VALORE_DURATA,2,FALSE),MONTH(Table2[[#This Row],[Data attivazione]]),DAY(Table2[[#This Row],[Data attivazione]]))</f>
        <v>42945</v>
      </c>
      <c r="Y583" s="65"/>
      <c r="Z583" s="61"/>
      <c r="AA583" s="64" t="s">
        <v>85</v>
      </c>
      <c r="AB583" s="29" t="str">
        <f>IF(Table2[[#This Row],[Data ultimo versamento temp]]=0/1/1900,"-",Table2[[#This Row],[Data ultimo versamento temp]])</f>
        <v>-</v>
      </c>
      <c r="AC583" s="29">
        <f t="array" ref="AC583">MAX(IF(TableVersamenti[Polizza]=Table2[[#This Row],[Polizza]],TableVersamenti[Data prevista versamento],"-"))</f>
        <v>0</v>
      </c>
      <c r="AD583" s="62"/>
      <c r="AE583" s="106">
        <f>DATE(YEAR(Table2[[#This Row],[Data ultimo pagamento]]),MONTH(Table2[[#This Row],[Data ultimo pagamento]]), 1)</f>
        <v>42552</v>
      </c>
      <c r="AF583" s="106">
        <f>DATE(YEAR(Table2[[#This Row],[Data prossima scadenza]]),MONTH(Table2[[#This Row],[Data prossima scadenza]]), 1)</f>
        <v>42917</v>
      </c>
      <c r="AG583" s="33">
        <f>IFERROR(Table2[[#This Row],[Importo annuale]]*VLOOKUP(Table2[[#This Row],[Ramo]],RAMI_POLIZZA,2,FALSE),0)</f>
        <v>2.1</v>
      </c>
      <c r="AH583" s="65" t="s">
        <v>113</v>
      </c>
      <c r="AI583" s="63" t="str">
        <f>IFERROR(VLOOKUP(Table2[[#This Row],[Contraente]],Table1[[Nome/Ragione sociale]:[Checkbox selezionato]],2,FALSE),"-")</f>
        <v>PAVIA</v>
      </c>
      <c r="AJ583" s="63">
        <f>IFERROR(VLOOKUP(Table2[[#This Row],[Contraente]],Table1[[Nome/Ragione sociale]:[Checkbox selezionato]],3,FALSE),"-")</f>
        <v>3393403620</v>
      </c>
      <c r="AK583" s="63">
        <f>IFERROR(VLOOKUP(Table2[[#This Row],[Contraente]],Table1[[Nome/Ragione sociale]:[Checkbox selezionato]],4,FALSE),"-")</f>
        <v>0</v>
      </c>
      <c r="AL583" s="63" t="str">
        <f>IFERROR(VLOOKUP(Table2[[#This Row],[Contraente]],Table1[[Nome/Ragione sociale]:[Checkbox selezionato]],5,FALSE),"-")</f>
        <v>JACOPO</v>
      </c>
      <c r="AM583" s="62" t="str">
        <f>IFERROR(VLOOKUP(Table2[[#This Row],[Contraente]],Table1[[Nome/Ragione sociale]:[Checkbox selezionato]],6,FALSE),"-")</f>
        <v>-</v>
      </c>
      <c r="AN583" s="63" t="str">
        <f>IFERROR(VLOOKUP(Table2[[#This Row],[Contraente]],Table1[[Nome/Ragione sociale]:[Checkbox selezionato]],7,FALSE),"-")</f>
        <v>papies@libero.it</v>
      </c>
      <c r="AO583" s="63">
        <f>IFERROR(VLOOKUP(Table2[[#This Row],[Contraente]],Table1[[Nome/Ragione sociale]:[Checkbox selezionato]],8,FALSE),"-")</f>
        <v>0</v>
      </c>
      <c r="AP583" s="63">
        <f>IFERROR(VLOOKUP(Table2[[#This Row],[Contraente]],Table1[[Nome/Ragione sociale]:[Checkbox selezionato]],10,FALSE),"-")</f>
        <v>3393403620</v>
      </c>
      <c r="AQ583" s="63" t="str">
        <f>IFERROR(VLOOKUP(Table2[[#This Row],[Contraente]],Table1[[Nome/Ragione sociale]:[Checkbox selezionato]],11,FALSE),"-")</f>
        <v>SI</v>
      </c>
      <c r="AR583" s="63" t="str">
        <f>IFERROR(VLOOKUP(Table2[[#This Row],[Contraente]],Table1[[Nome/Ragione sociale]:[Checkbox selezionato]],12,FALSE),"-")</f>
        <v>SI</v>
      </c>
    </row>
    <row r="584" spans="1:44" ht="30" hidden="1" customHeight="1" x14ac:dyDescent="0.25">
      <c r="A584" s="60" t="str">
        <f>UPPER(LEFT(Table2[[#This Row],[Contraente]],1))</f>
        <v>L</v>
      </c>
      <c r="B584" s="60" t="s">
        <v>1634</v>
      </c>
      <c r="C584" s="81" t="s">
        <v>726</v>
      </c>
      <c r="D584" s="81" t="s">
        <v>37</v>
      </c>
      <c r="E584" s="86">
        <v>1076152</v>
      </c>
      <c r="F584" s="64">
        <v>42580</v>
      </c>
      <c r="G584" s="64">
        <f>IFERROR(CALCOLASCADENZA(Table2[[#This Row],[Data attivazione]],Table2[[#This Row],[Rateizzazione]],Table2[[#This Row],[Data ultimo pagamento]],Table2[[#This Row],[Data prossima scadenza manuale]]),"-")</f>
        <v>42945</v>
      </c>
      <c r="H584" s="67" t="s">
        <v>32</v>
      </c>
      <c r="I584" s="67" t="s">
        <v>113</v>
      </c>
      <c r="J584" s="33">
        <f>IFERROR(Table2[[#This Row],[Importo annuale]]/(12/VLOOKUP(Table2[[#This Row],[Rateizzazione]],TIPI_RATEIZZAZIONI,2,FALSE)),"-")</f>
        <v>140</v>
      </c>
      <c r="K584" s="88"/>
      <c r="L584" s="88">
        <v>140</v>
      </c>
      <c r="M584" s="67" t="s">
        <v>44</v>
      </c>
      <c r="N584" s="67" t="s">
        <v>52</v>
      </c>
      <c r="O584" s="27" t="s">
        <v>1631</v>
      </c>
      <c r="P584" s="33" t="s">
        <v>23</v>
      </c>
      <c r="Q584" s="60">
        <f>IFERROR(IF(12 / VLOOKUP(Table2[[#This Row],[Rateizzazione]],TIPI_RATEIZZAZIONI,2,FALSE) &gt;=1,  IF(Table2[[#This Row],[Data attivazione]] = "","-",MONTH(Table2[[#This Row],[Data attivazione]])),"-"),"-")</f>
        <v>7</v>
      </c>
      <c r="R5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4" s="67" t="s">
        <v>2</v>
      </c>
      <c r="V584" s="62"/>
      <c r="W584" s="64">
        <v>42580</v>
      </c>
      <c r="X584" s="29">
        <f>DATE(YEAR(Table2[[#This Row],[Data attivazione]])+VLOOKUP(Table2[[#This Row],[Durata]],VALORE_DURATA,2,FALSE),MONTH(Table2[[#This Row],[Data attivazione]]),DAY(Table2[[#This Row],[Data attivazione]]))</f>
        <v>42945</v>
      </c>
      <c r="Y584" s="65"/>
      <c r="Z584" s="61"/>
      <c r="AA584" s="64" t="s">
        <v>85</v>
      </c>
      <c r="AB584" s="29" t="str">
        <f>IF(Table2[[#This Row],[Data ultimo versamento temp]]=0/1/1900,"-",Table2[[#This Row],[Data ultimo versamento temp]])</f>
        <v>-</v>
      </c>
      <c r="AC584" s="29">
        <f t="array" ref="AC584">MAX(IF(TableVersamenti[Polizza]=Table2[[#This Row],[Polizza]],TableVersamenti[Data prevista versamento],"-"))</f>
        <v>0</v>
      </c>
      <c r="AD584" s="62"/>
      <c r="AE584" s="106">
        <f>DATE(YEAR(Table2[[#This Row],[Data ultimo pagamento]]),MONTH(Table2[[#This Row],[Data ultimo pagamento]]), 1)</f>
        <v>42552</v>
      </c>
      <c r="AF584" s="106">
        <f>DATE(YEAR(Table2[[#This Row],[Data prossima scadenza]]),MONTH(Table2[[#This Row],[Data prossima scadenza]]), 1)</f>
        <v>42917</v>
      </c>
      <c r="AG584" s="33">
        <f>IFERROR(Table2[[#This Row],[Importo annuale]]*VLOOKUP(Table2[[#This Row],[Ramo]],RAMI_POLIZZA,2,FALSE),0)</f>
        <v>2.1</v>
      </c>
      <c r="AH584" s="65" t="s">
        <v>113</v>
      </c>
      <c r="AI584" s="63" t="str">
        <f>IFERROR(VLOOKUP(Table2[[#This Row],[Contraente]],Table1[[Nome/Ragione sociale]:[Checkbox selezionato]],2,FALSE),"-")</f>
        <v>PAVIA</v>
      </c>
      <c r="AJ584" s="63">
        <f>IFERROR(VLOOKUP(Table2[[#This Row],[Contraente]],Table1[[Nome/Ragione sociale]:[Checkbox selezionato]],3,FALSE),"-")</f>
        <v>3393403620</v>
      </c>
      <c r="AK584" s="63">
        <f>IFERROR(VLOOKUP(Table2[[#This Row],[Contraente]],Table1[[Nome/Ragione sociale]:[Checkbox selezionato]],4,FALSE),"-")</f>
        <v>0</v>
      </c>
      <c r="AL584" s="63" t="str">
        <f>IFERROR(VLOOKUP(Table2[[#This Row],[Contraente]],Table1[[Nome/Ragione sociale]:[Checkbox selezionato]],5,FALSE),"-")</f>
        <v>JACOPO</v>
      </c>
      <c r="AM584" s="62" t="str">
        <f>IFERROR(VLOOKUP(Table2[[#This Row],[Contraente]],Table1[[Nome/Ragione sociale]:[Checkbox selezionato]],6,FALSE),"-")</f>
        <v>-</v>
      </c>
      <c r="AN584" s="63" t="str">
        <f>IFERROR(VLOOKUP(Table2[[#This Row],[Contraente]],Table1[[Nome/Ragione sociale]:[Checkbox selezionato]],7,FALSE),"-")</f>
        <v>papies@libero.it</v>
      </c>
      <c r="AO584" s="63">
        <f>IFERROR(VLOOKUP(Table2[[#This Row],[Contraente]],Table1[[Nome/Ragione sociale]:[Checkbox selezionato]],8,FALSE),"-")</f>
        <v>0</v>
      </c>
      <c r="AP584" s="63">
        <f>IFERROR(VLOOKUP(Table2[[#This Row],[Contraente]],Table1[[Nome/Ragione sociale]:[Checkbox selezionato]],10,FALSE),"-")</f>
        <v>3393403620</v>
      </c>
      <c r="AQ584" s="63" t="str">
        <f>IFERROR(VLOOKUP(Table2[[#This Row],[Contraente]],Table1[[Nome/Ragione sociale]:[Checkbox selezionato]],11,FALSE),"-")</f>
        <v>SI</v>
      </c>
      <c r="AR584" s="63" t="str">
        <f>IFERROR(VLOOKUP(Table2[[#This Row],[Contraente]],Table1[[Nome/Ragione sociale]:[Checkbox selezionato]],12,FALSE),"-")</f>
        <v>SI</v>
      </c>
    </row>
    <row r="585" spans="1:44" ht="30" hidden="1" customHeight="1" x14ac:dyDescent="0.25">
      <c r="A585" s="60" t="str">
        <f>UPPER(LEFT(Table2[[#This Row],[Contraente]],1))</f>
        <v>L</v>
      </c>
      <c r="B585" s="60" t="s">
        <v>1634</v>
      </c>
      <c r="C585" s="81" t="s">
        <v>726</v>
      </c>
      <c r="D585" s="81" t="s">
        <v>37</v>
      </c>
      <c r="E585" s="86">
        <v>1076150</v>
      </c>
      <c r="F585" s="64">
        <v>42580</v>
      </c>
      <c r="G585" s="64">
        <f>IFERROR(CALCOLASCADENZA(Table2[[#This Row],[Data attivazione]],Table2[[#This Row],[Rateizzazione]],Table2[[#This Row],[Data ultimo pagamento]],Table2[[#This Row],[Data prossima scadenza manuale]]),"-")</f>
        <v>42945</v>
      </c>
      <c r="H585" s="67" t="s">
        <v>32</v>
      </c>
      <c r="I585" s="67" t="s">
        <v>113</v>
      </c>
      <c r="J585" s="33">
        <f>IFERROR(Table2[[#This Row],[Importo annuale]]/(12/VLOOKUP(Table2[[#This Row],[Rateizzazione]],TIPI_RATEIZZAZIONI,2,FALSE)),"-")</f>
        <v>292.7</v>
      </c>
      <c r="K585" s="88"/>
      <c r="L585" s="88">
        <v>292.7</v>
      </c>
      <c r="M585" s="67" t="s">
        <v>44</v>
      </c>
      <c r="N585" s="67" t="s">
        <v>52</v>
      </c>
      <c r="O585" s="27" t="s">
        <v>1631</v>
      </c>
      <c r="P585" s="33" t="s">
        <v>23</v>
      </c>
      <c r="Q585" s="60">
        <f>IFERROR(IF(12 / VLOOKUP(Table2[[#This Row],[Rateizzazione]],TIPI_RATEIZZAZIONI,2,FALSE) &gt;=1,  IF(Table2[[#This Row],[Data attivazione]] = "","-",MONTH(Table2[[#This Row],[Data attivazione]])),"-"),"-")</f>
        <v>7</v>
      </c>
      <c r="R5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5" s="67" t="s">
        <v>2</v>
      </c>
      <c r="V585" s="62"/>
      <c r="W585" s="64">
        <v>42580</v>
      </c>
      <c r="X585" s="29">
        <f>DATE(YEAR(Table2[[#This Row],[Data attivazione]])+VLOOKUP(Table2[[#This Row],[Durata]],VALORE_DURATA,2,FALSE),MONTH(Table2[[#This Row],[Data attivazione]]),DAY(Table2[[#This Row],[Data attivazione]]))</f>
        <v>42945</v>
      </c>
      <c r="Y585" s="65"/>
      <c r="Z585" s="61"/>
      <c r="AA585" s="64" t="s">
        <v>85</v>
      </c>
      <c r="AB585" s="29" t="str">
        <f>IF(Table2[[#This Row],[Data ultimo versamento temp]]=0/1/1900,"-",Table2[[#This Row],[Data ultimo versamento temp]])</f>
        <v>-</v>
      </c>
      <c r="AC585" s="29">
        <f t="array" ref="AC585">MAX(IF(TableVersamenti[Polizza]=Table2[[#This Row],[Polizza]],TableVersamenti[Data prevista versamento],"-"))</f>
        <v>0</v>
      </c>
      <c r="AD585" s="62"/>
      <c r="AE585" s="106">
        <f>DATE(YEAR(Table2[[#This Row],[Data ultimo pagamento]]),MONTH(Table2[[#This Row],[Data ultimo pagamento]]), 1)</f>
        <v>42552</v>
      </c>
      <c r="AF585" s="106">
        <f>DATE(YEAR(Table2[[#This Row],[Data prossima scadenza]]),MONTH(Table2[[#This Row],[Data prossima scadenza]]), 1)</f>
        <v>42917</v>
      </c>
      <c r="AG585" s="33">
        <f>IFERROR(Table2[[#This Row],[Importo annuale]]*VLOOKUP(Table2[[#This Row],[Ramo]],RAMI_POLIZZA,2,FALSE),0)</f>
        <v>4.3904999999999994</v>
      </c>
      <c r="AH585" s="65" t="s">
        <v>113</v>
      </c>
      <c r="AI585" s="63" t="str">
        <f>IFERROR(VLOOKUP(Table2[[#This Row],[Contraente]],Table1[[Nome/Ragione sociale]:[Checkbox selezionato]],2,FALSE),"-")</f>
        <v>PAVIA</v>
      </c>
      <c r="AJ585" s="63">
        <f>IFERROR(VLOOKUP(Table2[[#This Row],[Contraente]],Table1[[Nome/Ragione sociale]:[Checkbox selezionato]],3,FALSE),"-")</f>
        <v>3393403620</v>
      </c>
      <c r="AK585" s="63">
        <f>IFERROR(VLOOKUP(Table2[[#This Row],[Contraente]],Table1[[Nome/Ragione sociale]:[Checkbox selezionato]],4,FALSE),"-")</f>
        <v>0</v>
      </c>
      <c r="AL585" s="63" t="str">
        <f>IFERROR(VLOOKUP(Table2[[#This Row],[Contraente]],Table1[[Nome/Ragione sociale]:[Checkbox selezionato]],5,FALSE),"-")</f>
        <v>JACOPO</v>
      </c>
      <c r="AM585" s="62" t="str">
        <f>IFERROR(VLOOKUP(Table2[[#This Row],[Contraente]],Table1[[Nome/Ragione sociale]:[Checkbox selezionato]],6,FALSE),"-")</f>
        <v>-</v>
      </c>
      <c r="AN585" s="63" t="str">
        <f>IFERROR(VLOOKUP(Table2[[#This Row],[Contraente]],Table1[[Nome/Ragione sociale]:[Checkbox selezionato]],7,FALSE),"-")</f>
        <v>papies@libero.it</v>
      </c>
      <c r="AO585" s="63">
        <f>IFERROR(VLOOKUP(Table2[[#This Row],[Contraente]],Table1[[Nome/Ragione sociale]:[Checkbox selezionato]],8,FALSE),"-")</f>
        <v>0</v>
      </c>
      <c r="AP585" s="63">
        <f>IFERROR(VLOOKUP(Table2[[#This Row],[Contraente]],Table1[[Nome/Ragione sociale]:[Checkbox selezionato]],10,FALSE),"-")</f>
        <v>3393403620</v>
      </c>
      <c r="AQ585" s="63" t="str">
        <f>IFERROR(VLOOKUP(Table2[[#This Row],[Contraente]],Table1[[Nome/Ragione sociale]:[Checkbox selezionato]],11,FALSE),"-")</f>
        <v>SI</v>
      </c>
      <c r="AR585" s="63" t="str">
        <f>IFERROR(VLOOKUP(Table2[[#This Row],[Contraente]],Table1[[Nome/Ragione sociale]:[Checkbox selezionato]],12,FALSE),"-")</f>
        <v>SI</v>
      </c>
    </row>
    <row r="586" spans="1:44" ht="30" hidden="1" customHeight="1" x14ac:dyDescent="0.25">
      <c r="A586" s="60" t="str">
        <f>UPPER(LEFT(Table2[[#This Row],[Contraente]],1))</f>
        <v>L</v>
      </c>
      <c r="B586" s="60" t="s">
        <v>1634</v>
      </c>
      <c r="C586" s="81" t="s">
        <v>726</v>
      </c>
      <c r="D586" s="81" t="s">
        <v>37</v>
      </c>
      <c r="E586" s="86">
        <v>104855706</v>
      </c>
      <c r="F586" s="64">
        <v>42872</v>
      </c>
      <c r="G586" s="64" t="str">
        <f>IFERROR(CALCOLASCADENZA(Table2[[#This Row],[Data attivazione]],Table2[[#This Row],[Rateizzazione]],Table2[[#This Row],[Data ultimo pagamento]],Table2[[#This Row],[Data prossima scadenza manuale]]),"-")</f>
        <v>-</v>
      </c>
      <c r="H586" s="67" t="s">
        <v>31</v>
      </c>
      <c r="I586" s="67" t="s">
        <v>1358</v>
      </c>
      <c r="J586" s="33">
        <v>-252.66</v>
      </c>
      <c r="K586" s="88">
        <v>-252.66</v>
      </c>
      <c r="L586" s="88">
        <v>0</v>
      </c>
      <c r="M586" s="67" t="s">
        <v>43</v>
      </c>
      <c r="N586" s="67" t="s">
        <v>51</v>
      </c>
      <c r="O586" s="27" t="s">
        <v>1631</v>
      </c>
      <c r="P586" s="33" t="s">
        <v>24</v>
      </c>
      <c r="Q58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6" s="67" t="s">
        <v>2</v>
      </c>
      <c r="V586" s="62"/>
      <c r="W586" s="64" t="e">
        <v>#VALUE!</v>
      </c>
      <c r="X586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86" s="65"/>
      <c r="Z586" s="61"/>
      <c r="AA586" s="64" t="s">
        <v>85</v>
      </c>
      <c r="AB586" s="29" t="str">
        <f>IF(Table2[[#This Row],[Data ultimo versamento temp]]=0/1/1900,"-",Table2[[#This Row],[Data ultimo versamento temp]])</f>
        <v>-</v>
      </c>
      <c r="AC586" s="29">
        <f t="array" ref="AC586">MAX(IF(TableVersamenti[Polizza]=Table2[[#This Row],[Polizza]],TableVersamenti[Data prevista versamento],"-"))</f>
        <v>0</v>
      </c>
      <c r="AD586" s="62"/>
      <c r="AE586" s="106">
        <f>DATE(YEAR(Table2[[#This Row],[Data ultimo pagamento]]),MONTH(Table2[[#This Row],[Data ultimo pagamento]]), 1)</f>
        <v>42856</v>
      </c>
      <c r="AF586" s="106" t="e">
        <f>DATE(YEAR(Table2[[#This Row],[Data prossima scadenza]]),MONTH(Table2[[#This Row],[Data prossima scadenza]]), 1)</f>
        <v>#VALUE!</v>
      </c>
      <c r="AG586" s="33">
        <f>IFERROR(Table2[[#This Row],[Importo annuale]]*VLOOKUP(Table2[[#This Row],[Ramo]],RAMI_POLIZZA,2,FALSE),0)</f>
        <v>0</v>
      </c>
      <c r="AH586" s="65" t="s">
        <v>113</v>
      </c>
      <c r="AI586" s="63" t="str">
        <f>IFERROR(VLOOKUP(Table2[[#This Row],[Contraente]],Table1[[Nome/Ragione sociale]:[Checkbox selezionato]],2,FALSE),"-")</f>
        <v>PAVIA</v>
      </c>
      <c r="AJ586" s="63">
        <f>IFERROR(VLOOKUP(Table2[[#This Row],[Contraente]],Table1[[Nome/Ragione sociale]:[Checkbox selezionato]],3,FALSE),"-")</f>
        <v>3393403620</v>
      </c>
      <c r="AK586" s="63">
        <f>IFERROR(VLOOKUP(Table2[[#This Row],[Contraente]],Table1[[Nome/Ragione sociale]:[Checkbox selezionato]],4,FALSE),"-")</f>
        <v>0</v>
      </c>
      <c r="AL586" s="63" t="str">
        <f>IFERROR(VLOOKUP(Table2[[#This Row],[Contraente]],Table1[[Nome/Ragione sociale]:[Checkbox selezionato]],5,FALSE),"-")</f>
        <v>JACOPO</v>
      </c>
      <c r="AM586" s="62" t="str">
        <f>IFERROR(VLOOKUP(Table2[[#This Row],[Contraente]],Table1[[Nome/Ragione sociale]:[Checkbox selezionato]],6,FALSE),"-")</f>
        <v>-</v>
      </c>
      <c r="AN586" s="63" t="str">
        <f>IFERROR(VLOOKUP(Table2[[#This Row],[Contraente]],Table1[[Nome/Ragione sociale]:[Checkbox selezionato]],7,FALSE),"-")</f>
        <v>papies@libero.it</v>
      </c>
      <c r="AO586" s="63">
        <f>IFERROR(VLOOKUP(Table2[[#This Row],[Contraente]],Table1[[Nome/Ragione sociale]:[Checkbox selezionato]],8,FALSE),"-")</f>
        <v>0</v>
      </c>
      <c r="AP586" s="63">
        <f>IFERROR(VLOOKUP(Table2[[#This Row],[Contraente]],Table1[[Nome/Ragione sociale]:[Checkbox selezionato]],10,FALSE),"-")</f>
        <v>3393403620</v>
      </c>
      <c r="AQ586" s="63" t="str">
        <f>IFERROR(VLOOKUP(Table2[[#This Row],[Contraente]],Table1[[Nome/Ragione sociale]:[Checkbox selezionato]],11,FALSE),"-")</f>
        <v>SI</v>
      </c>
      <c r="AR586" s="63" t="str">
        <f>IFERROR(VLOOKUP(Table2[[#This Row],[Contraente]],Table1[[Nome/Ragione sociale]:[Checkbox selezionato]],12,FALSE),"-")</f>
        <v>SI</v>
      </c>
    </row>
    <row r="587" spans="1:44" ht="30" hidden="1" customHeight="1" x14ac:dyDescent="0.25">
      <c r="A587" s="60" t="str">
        <f>UPPER(LEFT(Table2[[#This Row],[Contraente]],1))</f>
        <v>L</v>
      </c>
      <c r="B587" s="60" t="s">
        <v>1634</v>
      </c>
      <c r="C587" s="81" t="s">
        <v>726</v>
      </c>
      <c r="D587" s="81" t="s">
        <v>37</v>
      </c>
      <c r="E587" s="86">
        <v>104855673</v>
      </c>
      <c r="F587" s="64">
        <v>42878</v>
      </c>
      <c r="G587" s="64">
        <f>IFERROR(CALCOLASCADENZA(Table2[[#This Row],[Data attivazione]],Table2[[#This Row],[Rateizzazione]],Table2[[#This Row],[Data ultimo pagamento]],Table2[[#This Row],[Data prossima scadenza manuale]]),"-")</f>
        <v>43002</v>
      </c>
      <c r="H587" s="67" t="s">
        <v>30</v>
      </c>
      <c r="I587" s="67" t="s">
        <v>113</v>
      </c>
      <c r="J587" s="33">
        <f>IFERROR(Table2[[#This Row],[Importo annuale]]/(12/VLOOKUP(Table2[[#This Row],[Rateizzazione]],TIPI_RATEIZZAZIONI,2,FALSE)),"-")</f>
        <v>497</v>
      </c>
      <c r="K587" s="88">
        <v>994</v>
      </c>
      <c r="L587" s="88">
        <v>1491</v>
      </c>
      <c r="M587" s="67" t="s">
        <v>45</v>
      </c>
      <c r="N587" s="67" t="s">
        <v>51</v>
      </c>
      <c r="O587" s="27" t="s">
        <v>1631</v>
      </c>
      <c r="P587" s="33" t="s">
        <v>21</v>
      </c>
      <c r="Q587" s="60">
        <f>IFERROR(IF(12 / VLOOKUP(Table2[[#This Row],[Rateizzazione]],TIPI_RATEIZZAZIONI,2,FALSE) &gt;=1,  IF(Table2[[#This Row],[Data attivazione]] = "","-",MONTH(Table2[[#This Row],[Data attivazione]])),"-"),"-")</f>
        <v>9</v>
      </c>
      <c r="R5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5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7" s="67" t="s">
        <v>2</v>
      </c>
      <c r="V587" s="62"/>
      <c r="W587" s="64">
        <v>42637</v>
      </c>
      <c r="X587" s="29">
        <f>DATE(YEAR(Table2[[#This Row],[Data attivazione]])+VLOOKUP(Table2[[#This Row],[Durata]],VALORE_DURATA,2,FALSE),MONTH(Table2[[#This Row],[Data attivazione]]),DAY(Table2[[#This Row],[Data attivazione]]))</f>
        <v>43002</v>
      </c>
      <c r="Y587" s="65"/>
      <c r="Z587" s="61"/>
      <c r="AA587" s="64" t="s">
        <v>85</v>
      </c>
      <c r="AB587" s="29" t="str">
        <f>IF(Table2[[#This Row],[Data ultimo versamento temp]]=0/1/1900,"-",Table2[[#This Row],[Data ultimo versamento temp]])</f>
        <v>-</v>
      </c>
      <c r="AC587" s="29">
        <f t="array" ref="AC587">MAX(IF(TableVersamenti[Polizza]=Table2[[#This Row],[Polizza]],TableVersamenti[Data prevista versamento],"-"))</f>
        <v>0</v>
      </c>
      <c r="AD587" s="62"/>
      <c r="AE587" s="106">
        <f>DATE(YEAR(Table2[[#This Row],[Data ultimo pagamento]]),MONTH(Table2[[#This Row],[Data ultimo pagamento]]), 1)</f>
        <v>42856</v>
      </c>
      <c r="AF587" s="106">
        <f>DATE(YEAR(Table2[[#This Row],[Data prossima scadenza]]),MONTH(Table2[[#This Row],[Data prossima scadenza]]), 1)</f>
        <v>42979</v>
      </c>
      <c r="AG587" s="33">
        <f>IFERROR(Table2[[#This Row],[Importo annuale]]*VLOOKUP(Table2[[#This Row],[Ramo]],RAMI_POLIZZA,2,FALSE),0)</f>
        <v>171.465</v>
      </c>
      <c r="AH587" s="65" t="s">
        <v>113</v>
      </c>
      <c r="AI587" s="63" t="str">
        <f>IFERROR(VLOOKUP(Table2[[#This Row],[Contraente]],Table1[[Nome/Ragione sociale]:[Checkbox selezionato]],2,FALSE),"-")</f>
        <v>PAVIA</v>
      </c>
      <c r="AJ587" s="63">
        <f>IFERROR(VLOOKUP(Table2[[#This Row],[Contraente]],Table1[[Nome/Ragione sociale]:[Checkbox selezionato]],3,FALSE),"-")</f>
        <v>3393403620</v>
      </c>
      <c r="AK587" s="63">
        <f>IFERROR(VLOOKUP(Table2[[#This Row],[Contraente]],Table1[[Nome/Ragione sociale]:[Checkbox selezionato]],4,FALSE),"-")</f>
        <v>0</v>
      </c>
      <c r="AL587" s="63" t="str">
        <f>IFERROR(VLOOKUP(Table2[[#This Row],[Contraente]],Table1[[Nome/Ragione sociale]:[Checkbox selezionato]],5,FALSE),"-")</f>
        <v>JACOPO</v>
      </c>
      <c r="AM587" s="62" t="str">
        <f>IFERROR(VLOOKUP(Table2[[#This Row],[Contraente]],Table1[[Nome/Ragione sociale]:[Checkbox selezionato]],6,FALSE),"-")</f>
        <v>-</v>
      </c>
      <c r="AN587" s="63" t="str">
        <f>IFERROR(VLOOKUP(Table2[[#This Row],[Contraente]],Table1[[Nome/Ragione sociale]:[Checkbox selezionato]],7,FALSE),"-")</f>
        <v>papies@libero.it</v>
      </c>
      <c r="AO587" s="63">
        <f>IFERROR(VLOOKUP(Table2[[#This Row],[Contraente]],Table1[[Nome/Ragione sociale]:[Checkbox selezionato]],8,FALSE),"-")</f>
        <v>0</v>
      </c>
      <c r="AP587" s="63">
        <f>IFERROR(VLOOKUP(Table2[[#This Row],[Contraente]],Table1[[Nome/Ragione sociale]:[Checkbox selezionato]],10,FALSE),"-")</f>
        <v>3393403620</v>
      </c>
      <c r="AQ587" s="63" t="str">
        <f>IFERROR(VLOOKUP(Table2[[#This Row],[Contraente]],Table1[[Nome/Ragione sociale]:[Checkbox selezionato]],11,FALSE),"-")</f>
        <v>SI</v>
      </c>
      <c r="AR587" s="63" t="str">
        <f>IFERROR(VLOOKUP(Table2[[#This Row],[Contraente]],Table1[[Nome/Ragione sociale]:[Checkbox selezionato]],12,FALSE),"-")</f>
        <v>SI</v>
      </c>
    </row>
    <row r="588" spans="1:44" ht="30" hidden="1" customHeight="1" x14ac:dyDescent="0.25">
      <c r="A588" s="60" t="str">
        <f>UPPER(LEFT(Table2[[#This Row],[Contraente]],1))</f>
        <v>L</v>
      </c>
      <c r="B588" s="60" t="s">
        <v>1634</v>
      </c>
      <c r="C588" s="81" t="s">
        <v>726</v>
      </c>
      <c r="D588" s="81" t="s">
        <v>37</v>
      </c>
      <c r="E588" s="86">
        <v>106993675</v>
      </c>
      <c r="F588" s="64">
        <v>42902</v>
      </c>
      <c r="G588" s="64">
        <f>IFERROR(CALCOLASCADENZA(Table2[[#This Row],[Data attivazione]],Table2[[#This Row],[Rateizzazione]],Table2[[#This Row],[Data ultimo pagamento]],Table2[[#This Row],[Data prossima scadenza manuale]]),"-")</f>
        <v>43073</v>
      </c>
      <c r="H588" s="67" t="s">
        <v>30</v>
      </c>
      <c r="I588" s="67" t="s">
        <v>113</v>
      </c>
      <c r="J588" s="33">
        <f>IFERROR(Table2[[#This Row],[Importo annuale]]/(12/VLOOKUP(Table2[[#This Row],[Rateizzazione]],TIPI_RATEIZZAZIONI,2,FALSE)),"-")</f>
        <v>824</v>
      </c>
      <c r="K588" s="88">
        <v>824</v>
      </c>
      <c r="L588" s="88">
        <v>1648</v>
      </c>
      <c r="M588" s="67" t="s">
        <v>44</v>
      </c>
      <c r="N588" s="67" t="s">
        <v>51</v>
      </c>
      <c r="O588" s="27" t="s">
        <v>1631</v>
      </c>
      <c r="P588" s="33" t="s">
        <v>22</v>
      </c>
      <c r="Q588" s="60">
        <f>IFERROR(IF(12 / VLOOKUP(Table2[[#This Row],[Rateizzazione]],TIPI_RATEIZZAZIONI,2,FALSE) &gt;=1,  IF(Table2[[#This Row],[Data attivazione]] = "","-",MONTH(Table2[[#This Row],[Data attivazione]])),"-"),"-")</f>
        <v>12</v>
      </c>
      <c r="R5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8" s="67" t="s">
        <v>2</v>
      </c>
      <c r="V588" s="62"/>
      <c r="W588" s="64">
        <v>42708</v>
      </c>
      <c r="X588" s="29">
        <f>DATE(YEAR(Table2[[#This Row],[Data attivazione]])+VLOOKUP(Table2[[#This Row],[Durata]],VALORE_DURATA,2,FALSE),MONTH(Table2[[#This Row],[Data attivazione]]),DAY(Table2[[#This Row],[Data attivazione]]))</f>
        <v>43073</v>
      </c>
      <c r="Y588" s="65"/>
      <c r="Z588" s="61"/>
      <c r="AA588" s="64" t="s">
        <v>85</v>
      </c>
      <c r="AB588" s="29" t="str">
        <f>IF(Table2[[#This Row],[Data ultimo versamento temp]]=0/1/1900,"-",Table2[[#This Row],[Data ultimo versamento temp]])</f>
        <v>-</v>
      </c>
      <c r="AC588" s="29">
        <f t="array" ref="AC588">MAX(IF(TableVersamenti[Polizza]=Table2[[#This Row],[Polizza]],TableVersamenti[Data prevista versamento],"-"))</f>
        <v>0</v>
      </c>
      <c r="AD588" s="62"/>
      <c r="AE588" s="106">
        <f>DATE(YEAR(Table2[[#This Row],[Data ultimo pagamento]]),MONTH(Table2[[#This Row],[Data ultimo pagamento]]), 1)</f>
        <v>42887</v>
      </c>
      <c r="AF588" s="106">
        <f>DATE(YEAR(Table2[[#This Row],[Data prossima scadenza]]),MONTH(Table2[[#This Row],[Data prossima scadenza]]), 1)</f>
        <v>43070</v>
      </c>
      <c r="AG588" s="33">
        <f>IFERROR(Table2[[#This Row],[Importo annuale]]*VLOOKUP(Table2[[#This Row],[Ramo]],RAMI_POLIZZA,2,FALSE),0)</f>
        <v>189.52</v>
      </c>
      <c r="AH588" s="65" t="s">
        <v>113</v>
      </c>
      <c r="AI588" s="63" t="str">
        <f>IFERROR(VLOOKUP(Table2[[#This Row],[Contraente]],Table1[[Nome/Ragione sociale]:[Checkbox selezionato]],2,FALSE),"-")</f>
        <v>PAVIA</v>
      </c>
      <c r="AJ588" s="63">
        <f>IFERROR(VLOOKUP(Table2[[#This Row],[Contraente]],Table1[[Nome/Ragione sociale]:[Checkbox selezionato]],3,FALSE),"-")</f>
        <v>3393403620</v>
      </c>
      <c r="AK588" s="63">
        <f>IFERROR(VLOOKUP(Table2[[#This Row],[Contraente]],Table1[[Nome/Ragione sociale]:[Checkbox selezionato]],4,FALSE),"-")</f>
        <v>0</v>
      </c>
      <c r="AL588" s="63" t="str">
        <f>IFERROR(VLOOKUP(Table2[[#This Row],[Contraente]],Table1[[Nome/Ragione sociale]:[Checkbox selezionato]],5,FALSE),"-")</f>
        <v>JACOPO</v>
      </c>
      <c r="AM588" s="62" t="str">
        <f>IFERROR(VLOOKUP(Table2[[#This Row],[Contraente]],Table1[[Nome/Ragione sociale]:[Checkbox selezionato]],6,FALSE),"-")</f>
        <v>-</v>
      </c>
      <c r="AN588" s="63" t="str">
        <f>IFERROR(VLOOKUP(Table2[[#This Row],[Contraente]],Table1[[Nome/Ragione sociale]:[Checkbox selezionato]],7,FALSE),"-")</f>
        <v>papies@libero.it</v>
      </c>
      <c r="AO588" s="63">
        <f>IFERROR(VLOOKUP(Table2[[#This Row],[Contraente]],Table1[[Nome/Ragione sociale]:[Checkbox selezionato]],8,FALSE),"-")</f>
        <v>0</v>
      </c>
      <c r="AP588" s="63">
        <f>IFERROR(VLOOKUP(Table2[[#This Row],[Contraente]],Table1[[Nome/Ragione sociale]:[Checkbox selezionato]],10,FALSE),"-")</f>
        <v>3393403620</v>
      </c>
      <c r="AQ588" s="63" t="str">
        <f>IFERROR(VLOOKUP(Table2[[#This Row],[Contraente]],Table1[[Nome/Ragione sociale]:[Checkbox selezionato]],11,FALSE),"-")</f>
        <v>SI</v>
      </c>
      <c r="AR588" s="63" t="str">
        <f>IFERROR(VLOOKUP(Table2[[#This Row],[Contraente]],Table1[[Nome/Ragione sociale]:[Checkbox selezionato]],12,FALSE),"-")</f>
        <v>SI</v>
      </c>
    </row>
    <row r="589" spans="1:44" ht="30" hidden="1" customHeight="1" x14ac:dyDescent="0.25">
      <c r="A589" s="60" t="str">
        <f>UPPER(LEFT(Table2[[#This Row],[Contraente]],1))</f>
        <v>L</v>
      </c>
      <c r="B589" s="60" t="s">
        <v>1634</v>
      </c>
      <c r="C589" s="81" t="s">
        <v>726</v>
      </c>
      <c r="D589" s="81" t="s">
        <v>37</v>
      </c>
      <c r="E589" s="86">
        <v>106786839</v>
      </c>
      <c r="F589" s="64">
        <v>42852</v>
      </c>
      <c r="G589" s="64">
        <f>IFERROR(CALCOLASCADENZA(Table2[[#This Row],[Data attivazione]],Table2[[#This Row],[Rateizzazione]],Table2[[#This Row],[Data ultimo pagamento]],Table2[[#This Row],[Data prossima scadenza manuale]]),"-")</f>
        <v>43035</v>
      </c>
      <c r="H589" s="67" t="s">
        <v>31</v>
      </c>
      <c r="I589" s="67" t="s">
        <v>1692</v>
      </c>
      <c r="J589" s="33">
        <f>IFERROR(Table2[[#This Row],[Importo annuale]]/(12/VLOOKUP(Table2[[#This Row],[Rateizzazione]],TIPI_RATEIZZAZIONI,2,FALSE)),"-")</f>
        <v>490.35</v>
      </c>
      <c r="K589" s="88">
        <v>490.35</v>
      </c>
      <c r="L589" s="88">
        <v>980.7</v>
      </c>
      <c r="M589" s="67" t="s">
        <v>44</v>
      </c>
      <c r="N589" s="67" t="s">
        <v>52</v>
      </c>
      <c r="O589" s="27" t="s">
        <v>1631</v>
      </c>
      <c r="P589" s="33" t="s">
        <v>22</v>
      </c>
      <c r="Q589" s="60">
        <f>IFERROR(IF(12 / VLOOKUP(Table2[[#This Row],[Rateizzazione]],TIPI_RATEIZZAZIONI,2,FALSE) &gt;=1,  IF(Table2[[#This Row],[Data attivazione]] = "","-",MONTH(Table2[[#This Row],[Data attivazione]])),"-"),"-")</f>
        <v>10</v>
      </c>
      <c r="R5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9" s="67" t="s">
        <v>2</v>
      </c>
      <c r="V589" s="62"/>
      <c r="W589" s="64">
        <v>42670</v>
      </c>
      <c r="X589" s="29">
        <f>DATE(YEAR(Table2[[#This Row],[Data attivazione]])+VLOOKUP(Table2[[#This Row],[Durata]],VALORE_DURATA,2,FALSE),MONTH(Table2[[#This Row],[Data attivazione]]),DAY(Table2[[#This Row],[Data attivazione]]))</f>
        <v>43035</v>
      </c>
      <c r="Y589" s="65"/>
      <c r="Z589" s="61"/>
      <c r="AA589" s="64" t="s">
        <v>85</v>
      </c>
      <c r="AB589" s="29" t="str">
        <f>IF(Table2[[#This Row],[Data ultimo versamento temp]]=0/1/1900,"-",Table2[[#This Row],[Data ultimo versamento temp]])</f>
        <v>-</v>
      </c>
      <c r="AC589" s="29">
        <f t="array" ref="AC589">MAX(IF(TableVersamenti[Polizza]=Table2[[#This Row],[Polizza]],TableVersamenti[Data prevista versamento],"-"))</f>
        <v>0</v>
      </c>
      <c r="AD589" s="62"/>
      <c r="AE589" s="106">
        <f>DATE(YEAR(Table2[[#This Row],[Data ultimo pagamento]]),MONTH(Table2[[#This Row],[Data ultimo pagamento]]), 1)</f>
        <v>42826</v>
      </c>
      <c r="AF589" s="106">
        <f>DATE(YEAR(Table2[[#This Row],[Data prossima scadenza]]),MONTH(Table2[[#This Row],[Data prossima scadenza]]), 1)</f>
        <v>43009</v>
      </c>
      <c r="AG589" s="33">
        <f>IFERROR(Table2[[#This Row],[Importo annuale]]*VLOOKUP(Table2[[#This Row],[Ramo]],RAMI_POLIZZA,2,FALSE),0)</f>
        <v>50.996400000000001</v>
      </c>
      <c r="AH589" s="65" t="s">
        <v>113</v>
      </c>
      <c r="AI589" s="63" t="str">
        <f>IFERROR(VLOOKUP(Table2[[#This Row],[Contraente]],Table1[[Nome/Ragione sociale]:[Checkbox selezionato]],2,FALSE),"-")</f>
        <v>PAVIA</v>
      </c>
      <c r="AJ589" s="63">
        <f>IFERROR(VLOOKUP(Table2[[#This Row],[Contraente]],Table1[[Nome/Ragione sociale]:[Checkbox selezionato]],3,FALSE),"-")</f>
        <v>3393403620</v>
      </c>
      <c r="AK589" s="63">
        <f>IFERROR(VLOOKUP(Table2[[#This Row],[Contraente]],Table1[[Nome/Ragione sociale]:[Checkbox selezionato]],4,FALSE),"-")</f>
        <v>0</v>
      </c>
      <c r="AL589" s="63" t="str">
        <f>IFERROR(VLOOKUP(Table2[[#This Row],[Contraente]],Table1[[Nome/Ragione sociale]:[Checkbox selezionato]],5,FALSE),"-")</f>
        <v>JACOPO</v>
      </c>
      <c r="AM589" s="62" t="str">
        <f>IFERROR(VLOOKUP(Table2[[#This Row],[Contraente]],Table1[[Nome/Ragione sociale]:[Checkbox selezionato]],6,FALSE),"-")</f>
        <v>-</v>
      </c>
      <c r="AN589" s="63" t="str">
        <f>IFERROR(VLOOKUP(Table2[[#This Row],[Contraente]],Table1[[Nome/Ragione sociale]:[Checkbox selezionato]],7,FALSE),"-")</f>
        <v>papies@libero.it</v>
      </c>
      <c r="AO589" s="63">
        <f>IFERROR(VLOOKUP(Table2[[#This Row],[Contraente]],Table1[[Nome/Ragione sociale]:[Checkbox selezionato]],8,FALSE),"-")</f>
        <v>0</v>
      </c>
      <c r="AP589" s="63">
        <f>IFERROR(VLOOKUP(Table2[[#This Row],[Contraente]],Table1[[Nome/Ragione sociale]:[Checkbox selezionato]],10,FALSE),"-")</f>
        <v>3393403620</v>
      </c>
      <c r="AQ589" s="63" t="str">
        <f>IFERROR(VLOOKUP(Table2[[#This Row],[Contraente]],Table1[[Nome/Ragione sociale]:[Checkbox selezionato]],11,FALSE),"-")</f>
        <v>SI</v>
      </c>
      <c r="AR589" s="63" t="str">
        <f>IFERROR(VLOOKUP(Table2[[#This Row],[Contraente]],Table1[[Nome/Ragione sociale]:[Checkbox selezionato]],12,FALSE),"-")</f>
        <v>SI</v>
      </c>
    </row>
    <row r="590" spans="1:44" ht="30" hidden="1" customHeight="1" x14ac:dyDescent="0.25">
      <c r="A590" s="60" t="str">
        <f>UPPER(LEFT(Table2[[#This Row],[Contraente]],1))</f>
        <v>L</v>
      </c>
      <c r="B590" s="60" t="s">
        <v>1634</v>
      </c>
      <c r="C590" s="81" t="s">
        <v>743</v>
      </c>
      <c r="D590" s="81" t="s">
        <v>37</v>
      </c>
      <c r="E590" s="86">
        <v>106956815</v>
      </c>
      <c r="F590" s="64">
        <v>42895</v>
      </c>
      <c r="G590" s="64">
        <f>IFERROR(CALCOLASCADENZA(Table2[[#This Row],[Data attivazione]],Table2[[#This Row],[Rateizzazione]],Table2[[#This Row],[Data ultimo pagamento]],Table2[[#This Row],[Data prossima scadenza manuale]]),"-")</f>
        <v>43064</v>
      </c>
      <c r="H590" s="67" t="s">
        <v>31</v>
      </c>
      <c r="I590" s="67" t="s">
        <v>1369</v>
      </c>
      <c r="J590" s="33">
        <f>IFERROR(Table2[[#This Row],[Importo annuale]]/(12/VLOOKUP(Table2[[#This Row],[Rateizzazione]],TIPI_RATEIZZAZIONI,2,FALSE)),"-")</f>
        <v>195</v>
      </c>
      <c r="K590" s="88">
        <v>195</v>
      </c>
      <c r="L590" s="88">
        <v>390</v>
      </c>
      <c r="M590" s="67" t="s">
        <v>43</v>
      </c>
      <c r="N590" s="67" t="s">
        <v>51</v>
      </c>
      <c r="O590" s="27" t="s">
        <v>1631</v>
      </c>
      <c r="P590" s="33" t="s">
        <v>22</v>
      </c>
      <c r="Q590" s="60">
        <f>IFERROR(IF(12 / VLOOKUP(Table2[[#This Row],[Rateizzazione]],TIPI_RATEIZZAZIONI,2,FALSE) &gt;=1,  IF(Table2[[#This Row],[Data attivazione]] = "","-",MONTH(Table2[[#This Row],[Data attivazione]])),"-"),"-")</f>
        <v>11</v>
      </c>
      <c r="R5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0" s="67" t="s">
        <v>2</v>
      </c>
      <c r="V590" s="62"/>
      <c r="W590" s="64">
        <v>42699</v>
      </c>
      <c r="X590" s="29">
        <f>DATE(YEAR(Table2[[#This Row],[Data attivazione]])+VLOOKUP(Table2[[#This Row],[Durata]],VALORE_DURATA,2,FALSE),MONTH(Table2[[#This Row],[Data attivazione]]),DAY(Table2[[#This Row],[Data attivazione]]))</f>
        <v>43064</v>
      </c>
      <c r="Y590" s="65"/>
      <c r="Z590" s="61"/>
      <c r="AA590" s="64" t="s">
        <v>85</v>
      </c>
      <c r="AB590" s="29" t="str">
        <f>IF(Table2[[#This Row],[Data ultimo versamento temp]]=0/1/1900,"-",Table2[[#This Row],[Data ultimo versamento temp]])</f>
        <v>-</v>
      </c>
      <c r="AC590" s="29">
        <f t="array" ref="AC590">MAX(IF(TableVersamenti[Polizza]=Table2[[#This Row],[Polizza]],TableVersamenti[Data prevista versamento],"-"))</f>
        <v>0</v>
      </c>
      <c r="AD590" s="62"/>
      <c r="AE590" s="106">
        <f>DATE(YEAR(Table2[[#This Row],[Data ultimo pagamento]]),MONTH(Table2[[#This Row],[Data ultimo pagamento]]), 1)</f>
        <v>42887</v>
      </c>
      <c r="AF590" s="106">
        <f>DATE(YEAR(Table2[[#This Row],[Data prossima scadenza]]),MONTH(Table2[[#This Row],[Data prossima scadenza]]), 1)</f>
        <v>43040</v>
      </c>
      <c r="AG590" s="33">
        <f>IFERROR(Table2[[#This Row],[Importo annuale]]*VLOOKUP(Table2[[#This Row],[Ramo]],RAMI_POLIZZA,2,FALSE),0)</f>
        <v>20.279999999999998</v>
      </c>
      <c r="AH590" s="65" t="s">
        <v>113</v>
      </c>
      <c r="AI590" s="63" t="str">
        <f>IFERROR(VLOOKUP(Table2[[#This Row],[Contraente]],Table1[[Nome/Ragione sociale]:[Checkbox selezionato]],2,FALSE),"-")</f>
        <v>BELGIOIOSO</v>
      </c>
      <c r="AJ590" s="63">
        <f>IFERROR(VLOOKUP(Table2[[#This Row],[Contraente]],Table1[[Nome/Ragione sociale]:[Checkbox selezionato]],3,FALSE),"-")</f>
        <v>3454529775</v>
      </c>
      <c r="AK590" s="63">
        <f>IFERROR(VLOOKUP(Table2[[#This Row],[Contraente]],Table1[[Nome/Ragione sociale]:[Checkbox selezionato]],4,FALSE),"-")</f>
        <v>0</v>
      </c>
      <c r="AL590" s="63" t="str">
        <f>IFERROR(VLOOKUP(Table2[[#This Row],[Contraente]],Table1[[Nome/Ragione sociale]:[Checkbox selezionato]],5,FALSE),"-")</f>
        <v>MARITO</v>
      </c>
      <c r="AM590" s="62">
        <f>IFERROR(VLOOKUP(Table2[[#This Row],[Contraente]],Table1[[Nome/Ragione sociale]:[Checkbox selezionato]],6,FALSE),"-")</f>
        <v>25663</v>
      </c>
      <c r="AN590" s="63" t="str">
        <f>IFERROR(VLOOKUP(Table2[[#This Row],[Contraente]],Table1[[Nome/Ragione sociale]:[Checkbox selezionato]],7,FALSE),"-")</f>
        <v>papies@email.it</v>
      </c>
      <c r="AO590" s="63">
        <f>IFERROR(VLOOKUP(Table2[[#This Row],[Contraente]],Table1[[Nome/Ragione sociale]:[Checkbox selezionato]],8,FALSE),"-")</f>
        <v>0</v>
      </c>
      <c r="AP590" s="63">
        <f>IFERROR(VLOOKUP(Table2[[#This Row],[Contraente]],Table1[[Nome/Ragione sociale]:[Checkbox selezionato]],10,FALSE),"-")</f>
        <v>3454529775</v>
      </c>
      <c r="AQ590" s="63" t="str">
        <f>IFERROR(VLOOKUP(Table2[[#This Row],[Contraente]],Table1[[Nome/Ragione sociale]:[Checkbox selezionato]],11,FALSE),"-")</f>
        <v>SI</v>
      </c>
      <c r="AR590" s="63" t="str">
        <f>IFERROR(VLOOKUP(Table2[[#This Row],[Contraente]],Table1[[Nome/Ragione sociale]:[Checkbox selezionato]],12,FALSE),"-")</f>
        <v>SI</v>
      </c>
    </row>
    <row r="591" spans="1:44" ht="30" hidden="1" customHeight="1" x14ac:dyDescent="0.25">
      <c r="A591" s="60" t="str">
        <f>UPPER(LEFT(Table2[[#This Row],[Contraente]],1))</f>
        <v>L</v>
      </c>
      <c r="B591" s="60" t="s">
        <v>1634</v>
      </c>
      <c r="C591" s="81" t="s">
        <v>137</v>
      </c>
      <c r="D591" s="81" t="s">
        <v>37</v>
      </c>
      <c r="E591" s="86">
        <v>102687743</v>
      </c>
      <c r="F591" s="64">
        <v>41768</v>
      </c>
      <c r="G591" s="64">
        <f>IFERROR(CALCOLASCADENZA(Table2[[#This Row],[Data attivazione]],Table2[[#This Row],[Rateizzazione]],Table2[[#This Row],[Data ultimo pagamento]],Table2[[#This Row],[Data prossima scadenza manuale]]),"-")</f>
        <v>41768</v>
      </c>
      <c r="H591" s="67" t="s">
        <v>31</v>
      </c>
      <c r="I591" s="67"/>
      <c r="J591" s="33">
        <v>0</v>
      </c>
      <c r="K591" s="88"/>
      <c r="L591" s="88">
        <v>0</v>
      </c>
      <c r="M591" s="67" t="s">
        <v>44</v>
      </c>
      <c r="N591" s="67" t="s">
        <v>51</v>
      </c>
      <c r="O591" s="27" t="s">
        <v>1631</v>
      </c>
      <c r="P591" s="33" t="s">
        <v>24</v>
      </c>
      <c r="Q59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1" s="67" t="s">
        <v>2</v>
      </c>
      <c r="V591" s="62"/>
      <c r="W591" s="64">
        <v>693597</v>
      </c>
      <c r="X591" s="29">
        <f>DATE(YEAR(Table2[[#This Row],[Data attivazione]])+VLOOKUP(Table2[[#This Row],[Durata]],VALORE_DURATA,2,FALSE),MONTH(Table2[[#This Row],[Data attivazione]]),DAY(Table2[[#This Row],[Data attivazione]]))</f>
        <v>693962</v>
      </c>
      <c r="Y591" s="65"/>
      <c r="Z591" s="61"/>
      <c r="AA591" s="64" t="s">
        <v>88</v>
      </c>
      <c r="AB591" s="29" t="str">
        <f>IF(Table2[[#This Row],[Data ultimo versamento temp]]=0/1/1900,"-",Table2[[#This Row],[Data ultimo versamento temp]])</f>
        <v>-</v>
      </c>
      <c r="AC591" s="29">
        <f t="array" ref="AC591">MAX(IF(TableVersamenti[Polizza]=Table2[[#This Row],[Polizza]],TableVersamenti[Data prevista versamento],"-"))</f>
        <v>0</v>
      </c>
      <c r="AD591" s="62"/>
      <c r="AE591" s="106">
        <f>DATE(YEAR(Table2[[#This Row],[Data ultimo pagamento]]),MONTH(Table2[[#This Row],[Data ultimo pagamento]]), 1)</f>
        <v>41760</v>
      </c>
      <c r="AF591" s="106">
        <f>DATE(YEAR(Table2[[#This Row],[Data prossima scadenza]]),MONTH(Table2[[#This Row],[Data prossima scadenza]]), 1)</f>
        <v>41760</v>
      </c>
      <c r="AG591" s="33">
        <f>IFERROR(Table2[[#This Row],[Importo annuale]]*VLOOKUP(Table2[[#This Row],[Ramo]],RAMI_POLIZZA,2,FALSE),0)</f>
        <v>0</v>
      </c>
      <c r="AH591" s="65" t="s">
        <v>113</v>
      </c>
      <c r="AI591" s="63" t="str">
        <f>IFERROR(VLOOKUP(Table2[[#This Row],[Contraente]],Table1[[Nome/Ragione sociale]:[Checkbox selezionato]],2,FALSE),"-")</f>
        <v>COMO</v>
      </c>
      <c r="AJ591" s="63">
        <f>IFERROR(VLOOKUP(Table2[[#This Row],[Contraente]],Table1[[Nome/Ragione sociale]:[Checkbox selezionato]],3,FALSE),"-")</f>
        <v>3339485507</v>
      </c>
      <c r="AK591" s="63">
        <f>IFERROR(VLOOKUP(Table2[[#This Row],[Contraente]],Table1[[Nome/Ragione sociale]:[Checkbox selezionato]],4,FALSE),"-")</f>
        <v>0</v>
      </c>
      <c r="AL591" s="63" t="str">
        <f>IFERROR(VLOOKUP(Table2[[#This Row],[Contraente]],Table1[[Nome/Ragione sociale]:[Checkbox selezionato]],5,FALSE),"-")</f>
        <v>FRANCESCO</v>
      </c>
      <c r="AM591" s="62" t="str">
        <f>IFERROR(VLOOKUP(Table2[[#This Row],[Contraente]],Table1[[Nome/Ragione sociale]:[Checkbox selezionato]],6,FALSE),"-")</f>
        <v>-</v>
      </c>
      <c r="AN591" s="63" t="str">
        <f>IFERROR(VLOOKUP(Table2[[#This Row],[Contraente]],Table1[[Nome/Ragione sociale]:[Checkbox selezionato]],7,FALSE),"-")</f>
        <v>papies@libero.it</v>
      </c>
      <c r="AO591" s="63">
        <f>IFERROR(VLOOKUP(Table2[[#This Row],[Contraente]],Table1[[Nome/Ragione sociale]:[Checkbox selezionato]],8,FALSE),"-")</f>
        <v>0</v>
      </c>
      <c r="AP591" s="63">
        <f>IFERROR(VLOOKUP(Table2[[#This Row],[Contraente]],Table1[[Nome/Ragione sociale]:[Checkbox selezionato]],10,FALSE),"-")</f>
        <v>3339485507</v>
      </c>
      <c r="AQ591" s="63" t="str">
        <f>IFERROR(VLOOKUP(Table2[[#This Row],[Contraente]],Table1[[Nome/Ragione sociale]:[Checkbox selezionato]],11,FALSE),"-")</f>
        <v>SI</v>
      </c>
      <c r="AR591" s="63" t="str">
        <f>IFERROR(VLOOKUP(Table2[[#This Row],[Contraente]],Table1[[Nome/Ragione sociale]:[Checkbox selezionato]],12,FALSE),"-")</f>
        <v>SI</v>
      </c>
    </row>
    <row r="592" spans="1:44" ht="30" hidden="1" customHeight="1" x14ac:dyDescent="0.25">
      <c r="A592" s="60" t="str">
        <f>UPPER(LEFT(Table2[[#This Row],[Contraente]],1))</f>
        <v>L</v>
      </c>
      <c r="B592" s="60" t="s">
        <v>1634</v>
      </c>
      <c r="C592" s="81" t="s">
        <v>137</v>
      </c>
      <c r="D592" s="81" t="s">
        <v>37</v>
      </c>
      <c r="E592" s="86">
        <v>105159248</v>
      </c>
      <c r="F592" s="64">
        <v>42500</v>
      </c>
      <c r="G592" s="64">
        <f>IFERROR(CALCOLASCADENZA(Table2[[#This Row],[Data attivazione]],Table2[[#This Row],[Rateizzazione]],Table2[[#This Row],[Data ultimo pagamento]],Table2[[#This Row],[Data prossima scadenza manuale]]),"-")</f>
        <v>42604</v>
      </c>
      <c r="H592" s="67" t="s">
        <v>31</v>
      </c>
      <c r="I592" s="67" t="s">
        <v>1362</v>
      </c>
      <c r="J592" s="33">
        <f>IFERROR(Table2[[#This Row],[Importo annuale]]/(12/VLOOKUP(Table2[[#This Row],[Rateizzazione]],TIPI_RATEIZZAZIONI,2,FALSE)),"-")</f>
        <v>330</v>
      </c>
      <c r="K592" s="88"/>
      <c r="L592" s="88">
        <v>990</v>
      </c>
      <c r="M592" s="67" t="s">
        <v>43</v>
      </c>
      <c r="N592" s="67" t="s">
        <v>51</v>
      </c>
      <c r="O592" s="27" t="s">
        <v>1631</v>
      </c>
      <c r="P592" s="33" t="s">
        <v>21</v>
      </c>
      <c r="Q592" s="60">
        <f>IFERROR(IF(12 / VLOOKUP(Table2[[#This Row],[Rateizzazione]],TIPI_RATEIZZAZIONI,2,FALSE) &gt;=1,  IF(Table2[[#This Row],[Data attivazione]] = "","-",MONTH(Table2[[#This Row],[Data attivazione]])),"-"),"-")</f>
        <v>8</v>
      </c>
      <c r="R5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59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5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2" s="67" t="s">
        <v>2</v>
      </c>
      <c r="V592" s="62"/>
      <c r="W592" s="64">
        <v>42238</v>
      </c>
      <c r="X592" s="29">
        <f>DATE(YEAR(Table2[[#This Row],[Data attivazione]])+VLOOKUP(Table2[[#This Row],[Durata]],VALORE_DURATA,2,FALSE),MONTH(Table2[[#This Row],[Data attivazione]]),DAY(Table2[[#This Row],[Data attivazione]]))</f>
        <v>42604</v>
      </c>
      <c r="Y592" s="65"/>
      <c r="Z592" s="61"/>
      <c r="AA592" s="64" t="s">
        <v>88</v>
      </c>
      <c r="AB592" s="29" t="str">
        <f>IF(Table2[[#This Row],[Data ultimo versamento temp]]=0/1/1900,"-",Table2[[#This Row],[Data ultimo versamento temp]])</f>
        <v>-</v>
      </c>
      <c r="AC592" s="29">
        <f t="array" ref="AC592">MAX(IF(TableVersamenti[Polizza]=Table2[[#This Row],[Polizza]],TableVersamenti[Data prevista versamento],"-"))</f>
        <v>0</v>
      </c>
      <c r="AD592" s="62"/>
      <c r="AE592" s="106">
        <f>DATE(YEAR(Table2[[#This Row],[Data ultimo pagamento]]),MONTH(Table2[[#This Row],[Data ultimo pagamento]]), 1)</f>
        <v>42491</v>
      </c>
      <c r="AF592" s="106">
        <f>DATE(YEAR(Table2[[#This Row],[Data prossima scadenza]]),MONTH(Table2[[#This Row],[Data prossima scadenza]]), 1)</f>
        <v>42583</v>
      </c>
      <c r="AG592" s="33">
        <f>IFERROR(Table2[[#This Row],[Importo annuale]]*VLOOKUP(Table2[[#This Row],[Ramo]],RAMI_POLIZZA,2,FALSE),0)</f>
        <v>51.48</v>
      </c>
      <c r="AH592" s="65" t="s">
        <v>113</v>
      </c>
      <c r="AI592" s="63" t="str">
        <f>IFERROR(VLOOKUP(Table2[[#This Row],[Contraente]],Table1[[Nome/Ragione sociale]:[Checkbox selezionato]],2,FALSE),"-")</f>
        <v>COMO</v>
      </c>
      <c r="AJ592" s="63">
        <f>IFERROR(VLOOKUP(Table2[[#This Row],[Contraente]],Table1[[Nome/Ragione sociale]:[Checkbox selezionato]],3,FALSE),"-")</f>
        <v>3339485507</v>
      </c>
      <c r="AK592" s="63">
        <f>IFERROR(VLOOKUP(Table2[[#This Row],[Contraente]],Table1[[Nome/Ragione sociale]:[Checkbox selezionato]],4,FALSE),"-")</f>
        <v>0</v>
      </c>
      <c r="AL592" s="63" t="str">
        <f>IFERROR(VLOOKUP(Table2[[#This Row],[Contraente]],Table1[[Nome/Ragione sociale]:[Checkbox selezionato]],5,FALSE),"-")</f>
        <v>FRANCESCO</v>
      </c>
      <c r="AM592" s="62" t="str">
        <f>IFERROR(VLOOKUP(Table2[[#This Row],[Contraente]],Table1[[Nome/Ragione sociale]:[Checkbox selezionato]],6,FALSE),"-")</f>
        <v>-</v>
      </c>
      <c r="AN592" s="63" t="str">
        <f>IFERROR(VLOOKUP(Table2[[#This Row],[Contraente]],Table1[[Nome/Ragione sociale]:[Checkbox selezionato]],7,FALSE),"-")</f>
        <v>papies@libero.it</v>
      </c>
      <c r="AO592" s="63">
        <f>IFERROR(VLOOKUP(Table2[[#This Row],[Contraente]],Table1[[Nome/Ragione sociale]:[Checkbox selezionato]],8,FALSE),"-")</f>
        <v>0</v>
      </c>
      <c r="AP592" s="63">
        <f>IFERROR(VLOOKUP(Table2[[#This Row],[Contraente]],Table1[[Nome/Ragione sociale]:[Checkbox selezionato]],10,FALSE),"-")</f>
        <v>3339485507</v>
      </c>
      <c r="AQ592" s="63" t="str">
        <f>IFERROR(VLOOKUP(Table2[[#This Row],[Contraente]],Table1[[Nome/Ragione sociale]:[Checkbox selezionato]],11,FALSE),"-")</f>
        <v>SI</v>
      </c>
      <c r="AR592" s="63" t="str">
        <f>IFERROR(VLOOKUP(Table2[[#This Row],[Contraente]],Table1[[Nome/Ragione sociale]:[Checkbox selezionato]],12,FALSE),"-")</f>
        <v>SI</v>
      </c>
    </row>
    <row r="593" spans="1:44" ht="30" hidden="1" customHeight="1" x14ac:dyDescent="0.25">
      <c r="A593" s="60" t="str">
        <f>UPPER(LEFT(Table2[[#This Row],[Contraente]],1))</f>
        <v>L</v>
      </c>
      <c r="B593" s="60" t="s">
        <v>1634</v>
      </c>
      <c r="C593" s="81" t="s">
        <v>137</v>
      </c>
      <c r="D593" s="81" t="s">
        <v>37</v>
      </c>
      <c r="E593" s="86">
        <v>104812532</v>
      </c>
      <c r="F593" s="64">
        <v>42443</v>
      </c>
      <c r="G593" s="64">
        <f>IFERROR(CALCOLASCADENZA(Table2[[#This Row],[Data attivazione]],Table2[[#This Row],[Rateizzazione]],Table2[[#This Row],[Data ultimo pagamento]],Table2[[#This Row],[Data prossima scadenza manuale]]),"-")</f>
        <v>42504</v>
      </c>
      <c r="H593" s="67" t="s">
        <v>30</v>
      </c>
      <c r="I593" s="67" t="s">
        <v>113</v>
      </c>
      <c r="J593" s="33">
        <f>IFERROR(Table2[[#This Row],[Importo annuale]]/(12/VLOOKUP(Table2[[#This Row],[Rateizzazione]],TIPI_RATEIZZAZIONI,2,FALSE)),"-")</f>
        <v>95</v>
      </c>
      <c r="K593" s="88"/>
      <c r="L593" s="88">
        <v>285</v>
      </c>
      <c r="M593" s="67" t="s">
        <v>43</v>
      </c>
      <c r="N593" s="67" t="s">
        <v>52</v>
      </c>
      <c r="O593" s="27" t="s">
        <v>1631</v>
      </c>
      <c r="P593" s="33" t="s">
        <v>21</v>
      </c>
      <c r="Q593" s="60">
        <f>IFERROR(IF(12 / VLOOKUP(Table2[[#This Row],[Rateizzazione]],TIPI_RATEIZZAZIONI,2,FALSE) &gt;=1,  IF(Table2[[#This Row],[Data attivazione]] = "","-",MONTH(Table2[[#This Row],[Data attivazione]])),"-"),"-")</f>
        <v>5</v>
      </c>
      <c r="R5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59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5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3" s="67" t="s">
        <v>2</v>
      </c>
      <c r="V593" s="62"/>
      <c r="W593" s="64">
        <v>42138</v>
      </c>
      <c r="X593" s="29">
        <f>DATE(YEAR(Table2[[#This Row],[Data attivazione]])+VLOOKUP(Table2[[#This Row],[Durata]],VALORE_DURATA,2,FALSE),MONTH(Table2[[#This Row],[Data attivazione]]),DAY(Table2[[#This Row],[Data attivazione]]))</f>
        <v>42504</v>
      </c>
      <c r="Y593" s="65"/>
      <c r="Z593" s="61"/>
      <c r="AA593" s="64" t="s">
        <v>88</v>
      </c>
      <c r="AB593" s="29" t="str">
        <f>IF(Table2[[#This Row],[Data ultimo versamento temp]]=0/1/1900,"-",Table2[[#This Row],[Data ultimo versamento temp]])</f>
        <v>-</v>
      </c>
      <c r="AC593" s="29">
        <f t="array" ref="AC593">MAX(IF(TableVersamenti[Polizza]=Table2[[#This Row],[Polizza]],TableVersamenti[Data prevista versamento],"-"))</f>
        <v>0</v>
      </c>
      <c r="AD593" s="62"/>
      <c r="AE593" s="106">
        <f>DATE(YEAR(Table2[[#This Row],[Data ultimo pagamento]]),MONTH(Table2[[#This Row],[Data ultimo pagamento]]), 1)</f>
        <v>42430</v>
      </c>
      <c r="AF593" s="106">
        <f>DATE(YEAR(Table2[[#This Row],[Data prossima scadenza]]),MONTH(Table2[[#This Row],[Data prossima scadenza]]), 1)</f>
        <v>42491</v>
      </c>
      <c r="AG593" s="33">
        <f>IFERROR(Table2[[#This Row],[Importo annuale]]*VLOOKUP(Table2[[#This Row],[Ramo]],RAMI_POLIZZA,2,FALSE),0)</f>
        <v>32.774999999999999</v>
      </c>
      <c r="AH593" s="65" t="s">
        <v>113</v>
      </c>
      <c r="AI593" s="63" t="str">
        <f>IFERROR(VLOOKUP(Table2[[#This Row],[Contraente]],Table1[[Nome/Ragione sociale]:[Checkbox selezionato]],2,FALSE),"-")</f>
        <v>COMO</v>
      </c>
      <c r="AJ593" s="63">
        <f>IFERROR(VLOOKUP(Table2[[#This Row],[Contraente]],Table1[[Nome/Ragione sociale]:[Checkbox selezionato]],3,FALSE),"-")</f>
        <v>3339485507</v>
      </c>
      <c r="AK593" s="63">
        <f>IFERROR(VLOOKUP(Table2[[#This Row],[Contraente]],Table1[[Nome/Ragione sociale]:[Checkbox selezionato]],4,FALSE),"-")</f>
        <v>0</v>
      </c>
      <c r="AL593" s="63" t="str">
        <f>IFERROR(VLOOKUP(Table2[[#This Row],[Contraente]],Table1[[Nome/Ragione sociale]:[Checkbox selezionato]],5,FALSE),"-")</f>
        <v>FRANCESCO</v>
      </c>
      <c r="AM593" s="62" t="str">
        <f>IFERROR(VLOOKUP(Table2[[#This Row],[Contraente]],Table1[[Nome/Ragione sociale]:[Checkbox selezionato]],6,FALSE),"-")</f>
        <v>-</v>
      </c>
      <c r="AN593" s="63" t="str">
        <f>IFERROR(VLOOKUP(Table2[[#This Row],[Contraente]],Table1[[Nome/Ragione sociale]:[Checkbox selezionato]],7,FALSE),"-")</f>
        <v>papies@libero.it</v>
      </c>
      <c r="AO593" s="63">
        <f>IFERROR(VLOOKUP(Table2[[#This Row],[Contraente]],Table1[[Nome/Ragione sociale]:[Checkbox selezionato]],8,FALSE),"-")</f>
        <v>0</v>
      </c>
      <c r="AP593" s="63">
        <f>IFERROR(VLOOKUP(Table2[[#This Row],[Contraente]],Table1[[Nome/Ragione sociale]:[Checkbox selezionato]],10,FALSE),"-")</f>
        <v>3339485507</v>
      </c>
      <c r="AQ593" s="63" t="str">
        <f>IFERROR(VLOOKUP(Table2[[#This Row],[Contraente]],Table1[[Nome/Ragione sociale]:[Checkbox selezionato]],11,FALSE),"-")</f>
        <v>SI</v>
      </c>
      <c r="AR593" s="63" t="str">
        <f>IFERROR(VLOOKUP(Table2[[#This Row],[Contraente]],Table1[[Nome/Ragione sociale]:[Checkbox selezionato]],12,FALSE),"-")</f>
        <v>SI</v>
      </c>
    </row>
    <row r="594" spans="1:44" ht="30" hidden="1" customHeight="1" x14ac:dyDescent="0.25">
      <c r="A594" s="60" t="str">
        <f>UPPER(LEFT(Table2[[#This Row],[Contraente]],1))</f>
        <v>L</v>
      </c>
      <c r="B594" s="60" t="s">
        <v>1634</v>
      </c>
      <c r="C594" s="81" t="s">
        <v>729</v>
      </c>
      <c r="D594" s="81" t="s">
        <v>37</v>
      </c>
      <c r="E594" s="86">
        <v>106760526</v>
      </c>
      <c r="F594" s="64">
        <v>42877</v>
      </c>
      <c r="G594" s="64">
        <f>IFERROR(CALCOLASCADENZA(Table2[[#This Row],[Data attivazione]],Table2[[#This Row],[Rateizzazione]],Table2[[#This Row],[Data ultimo pagamento]],Table2[[#This Row],[Data prossima scadenza manuale]]),"-")</f>
        <v>43060</v>
      </c>
      <c r="H594" s="67" t="s">
        <v>31</v>
      </c>
      <c r="I594" s="67" t="s">
        <v>1693</v>
      </c>
      <c r="J594" s="33">
        <f>IFERROR(Table2[[#This Row],[Importo annuale]]/(12/VLOOKUP(Table2[[#This Row],[Rateizzazione]],TIPI_RATEIZZAZIONI,2,FALSE)),"-")</f>
        <v>372</v>
      </c>
      <c r="K594" s="88">
        <v>397</v>
      </c>
      <c r="L594" s="88">
        <v>744</v>
      </c>
      <c r="M594" s="67" t="s">
        <v>44</v>
      </c>
      <c r="N594" s="67" t="s">
        <v>51</v>
      </c>
      <c r="O594" s="27" t="s">
        <v>1631</v>
      </c>
      <c r="P594" s="33" t="s">
        <v>22</v>
      </c>
      <c r="Q594" s="60">
        <f>IFERROR(IF(12 / VLOOKUP(Table2[[#This Row],[Rateizzazione]],TIPI_RATEIZZAZIONI,2,FALSE) &gt;=1,  IF(Table2[[#This Row],[Data attivazione]] = "","-",MONTH(Table2[[#This Row],[Data attivazione]])),"-"),"-")</f>
        <v>11</v>
      </c>
      <c r="R5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4" s="67" t="s">
        <v>2</v>
      </c>
      <c r="V594" s="62"/>
      <c r="W594" s="64">
        <v>42695</v>
      </c>
      <c r="X594" s="29">
        <f>DATE(YEAR(Table2[[#This Row],[Data attivazione]])+VLOOKUP(Table2[[#This Row],[Durata]],VALORE_DURATA,2,FALSE),MONTH(Table2[[#This Row],[Data attivazione]]),DAY(Table2[[#This Row],[Data attivazione]]))</f>
        <v>43060</v>
      </c>
      <c r="Y594" s="65"/>
      <c r="Z594" s="61"/>
      <c r="AA594" s="64" t="s">
        <v>85</v>
      </c>
      <c r="AB594" s="29" t="str">
        <f>IF(Table2[[#This Row],[Data ultimo versamento temp]]=0/1/1900,"-",Table2[[#This Row],[Data ultimo versamento temp]])</f>
        <v>-</v>
      </c>
      <c r="AC594" s="29">
        <f t="array" ref="AC594">MAX(IF(TableVersamenti[Polizza]=Table2[[#This Row],[Polizza]],TableVersamenti[Data prevista versamento],"-"))</f>
        <v>0</v>
      </c>
      <c r="AD594" s="62"/>
      <c r="AE594" s="106">
        <f>DATE(YEAR(Table2[[#This Row],[Data ultimo pagamento]]),MONTH(Table2[[#This Row],[Data ultimo pagamento]]), 1)</f>
        <v>42856</v>
      </c>
      <c r="AF594" s="106">
        <f>DATE(YEAR(Table2[[#This Row],[Data prossima scadenza]]),MONTH(Table2[[#This Row],[Data prossima scadenza]]), 1)</f>
        <v>43040</v>
      </c>
      <c r="AG594" s="33">
        <f>IFERROR(Table2[[#This Row],[Importo annuale]]*VLOOKUP(Table2[[#This Row],[Ramo]],RAMI_POLIZZA,2,FALSE),0)</f>
        <v>38.687999999999995</v>
      </c>
      <c r="AH594" s="65" t="s">
        <v>113</v>
      </c>
      <c r="AI594" s="63" t="str">
        <f>IFERROR(VLOOKUP(Table2[[#This Row],[Contraente]],Table1[[Nome/Ragione sociale]:[Checkbox selezionato]],2,FALSE),"-")</f>
        <v>SAN ZENONE AL PO</v>
      </c>
      <c r="AJ594" s="63">
        <f>IFERROR(VLOOKUP(Table2[[#This Row],[Contraente]],Table1[[Nome/Ragione sociale]:[Checkbox selezionato]],3,FALSE),"-")</f>
        <v>3478730222</v>
      </c>
      <c r="AK594" s="63">
        <f>IFERROR(VLOOKUP(Table2[[#This Row],[Contraente]],Table1[[Nome/Ragione sociale]:[Checkbox selezionato]],4,FALSE),"-")</f>
        <v>0</v>
      </c>
      <c r="AL594" s="63" t="str">
        <f>IFERROR(VLOOKUP(Table2[[#This Row],[Contraente]],Table1[[Nome/Ragione sociale]:[Checkbox selezionato]],5,FALSE),"-")</f>
        <v>SILVANO</v>
      </c>
      <c r="AM594" s="62">
        <f>IFERROR(VLOOKUP(Table2[[#This Row],[Contraente]],Table1[[Nome/Ragione sociale]:[Checkbox selezionato]],6,FALSE),"-")</f>
        <v>24188</v>
      </c>
      <c r="AN594" s="63" t="str">
        <f>IFERROR(VLOOKUP(Table2[[#This Row],[Contraente]],Table1[[Nome/Ragione sociale]:[Checkbox selezionato]],7,FALSE),"-")</f>
        <v>papies@libero.it</v>
      </c>
      <c r="AO594" s="63">
        <f>IFERROR(VLOOKUP(Table2[[#This Row],[Contraente]],Table1[[Nome/Ragione sociale]:[Checkbox selezionato]],8,FALSE),"-")</f>
        <v>0</v>
      </c>
      <c r="AP594" s="63">
        <f>IFERROR(VLOOKUP(Table2[[#This Row],[Contraente]],Table1[[Nome/Ragione sociale]:[Checkbox selezionato]],10,FALSE),"-")</f>
        <v>3478730222</v>
      </c>
      <c r="AQ594" s="63" t="str">
        <f>IFERROR(VLOOKUP(Table2[[#This Row],[Contraente]],Table1[[Nome/Ragione sociale]:[Checkbox selezionato]],11,FALSE),"-")</f>
        <v>SI</v>
      </c>
      <c r="AR594" s="63" t="str">
        <f>IFERROR(VLOOKUP(Table2[[#This Row],[Contraente]],Table1[[Nome/Ragione sociale]:[Checkbox selezionato]],12,FALSE),"-")</f>
        <v>SI</v>
      </c>
    </row>
    <row r="595" spans="1:44" ht="30" hidden="1" customHeight="1" x14ac:dyDescent="0.25">
      <c r="A595" s="60" t="str">
        <f>UPPER(LEFT(Table2[[#This Row],[Contraente]],1))</f>
        <v>L</v>
      </c>
      <c r="B595" s="60" t="s">
        <v>1634</v>
      </c>
      <c r="C595" s="81" t="s">
        <v>729</v>
      </c>
      <c r="D595" s="81" t="s">
        <v>38</v>
      </c>
      <c r="E595" s="86">
        <v>7000093412</v>
      </c>
      <c r="F595" s="64">
        <v>42877</v>
      </c>
      <c r="G595" s="64">
        <f>IFERROR(CALCOLASCADENZA(Table2[[#This Row],[Data attivazione]],Table2[[#This Row],[Rateizzazione]],Table2[[#This Row],[Data ultimo pagamento]],Table2[[#This Row],[Data prossima scadenza manuale]]),"-")</f>
        <v>43060</v>
      </c>
      <c r="H595" s="67" t="s">
        <v>30</v>
      </c>
      <c r="I595" s="67" t="s">
        <v>1693</v>
      </c>
      <c r="J595" s="33">
        <f>IFERROR(Table2[[#This Row],[Importo annuale]]/(12/VLOOKUP(Table2[[#This Row],[Rateizzazione]],TIPI_RATEIZZAZIONI,2,FALSE)),"-")</f>
        <v>73</v>
      </c>
      <c r="K595" s="88">
        <v>73</v>
      </c>
      <c r="L595" s="88">
        <v>146</v>
      </c>
      <c r="M595" s="67" t="s">
        <v>44</v>
      </c>
      <c r="N595" s="67" t="s">
        <v>51</v>
      </c>
      <c r="O595" s="27" t="s">
        <v>1631</v>
      </c>
      <c r="P595" s="33" t="s">
        <v>22</v>
      </c>
      <c r="Q595" s="60">
        <f>IFERROR(IF(12 / VLOOKUP(Table2[[#This Row],[Rateizzazione]],TIPI_RATEIZZAZIONI,2,FALSE) &gt;=1,  IF(Table2[[#This Row],[Data attivazione]] = "","-",MONTH(Table2[[#This Row],[Data attivazione]])),"-"),"-")</f>
        <v>11</v>
      </c>
      <c r="R5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5" s="67" t="s">
        <v>2</v>
      </c>
      <c r="V595" s="62"/>
      <c r="W595" s="64">
        <v>42695</v>
      </c>
      <c r="X595" s="29">
        <f>DATE(YEAR(Table2[[#This Row],[Data attivazione]])+VLOOKUP(Table2[[#This Row],[Durata]],VALORE_DURATA,2,FALSE),MONTH(Table2[[#This Row],[Data attivazione]]),DAY(Table2[[#This Row],[Data attivazione]]))</f>
        <v>43060</v>
      </c>
      <c r="Y595" s="65"/>
      <c r="Z595" s="61"/>
      <c r="AA595" s="64" t="s">
        <v>85</v>
      </c>
      <c r="AB595" s="29" t="str">
        <f>IF(Table2[[#This Row],[Data ultimo versamento temp]]=0/1/1900,"-",Table2[[#This Row],[Data ultimo versamento temp]])</f>
        <v>-</v>
      </c>
      <c r="AC595" s="29">
        <f t="array" ref="AC595">MAX(IF(TableVersamenti[Polizza]=Table2[[#This Row],[Polizza]],TableVersamenti[Data prevista versamento],"-"))</f>
        <v>0</v>
      </c>
      <c r="AD595" s="62"/>
      <c r="AE595" s="106">
        <f>DATE(YEAR(Table2[[#This Row],[Data ultimo pagamento]]),MONTH(Table2[[#This Row],[Data ultimo pagamento]]), 1)</f>
        <v>42856</v>
      </c>
      <c r="AF595" s="106">
        <f>DATE(YEAR(Table2[[#This Row],[Data prossima scadenza]]),MONTH(Table2[[#This Row],[Data prossima scadenza]]), 1)</f>
        <v>43040</v>
      </c>
      <c r="AG595" s="33">
        <f>IFERROR(Table2[[#This Row],[Importo annuale]]*VLOOKUP(Table2[[#This Row],[Ramo]],RAMI_POLIZZA,2,FALSE),0)</f>
        <v>16.79</v>
      </c>
      <c r="AH595" s="65" t="s">
        <v>113</v>
      </c>
      <c r="AI595" s="63" t="str">
        <f>IFERROR(VLOOKUP(Table2[[#This Row],[Contraente]],Table1[[Nome/Ragione sociale]:[Checkbox selezionato]],2,FALSE),"-")</f>
        <v>SAN ZENONE AL PO</v>
      </c>
      <c r="AJ595" s="63">
        <f>IFERROR(VLOOKUP(Table2[[#This Row],[Contraente]],Table1[[Nome/Ragione sociale]:[Checkbox selezionato]],3,FALSE),"-")</f>
        <v>3478730222</v>
      </c>
      <c r="AK595" s="63">
        <f>IFERROR(VLOOKUP(Table2[[#This Row],[Contraente]],Table1[[Nome/Ragione sociale]:[Checkbox selezionato]],4,FALSE),"-")</f>
        <v>0</v>
      </c>
      <c r="AL595" s="63" t="str">
        <f>IFERROR(VLOOKUP(Table2[[#This Row],[Contraente]],Table1[[Nome/Ragione sociale]:[Checkbox selezionato]],5,FALSE),"-")</f>
        <v>SILVANO</v>
      </c>
      <c r="AM595" s="62">
        <f>IFERROR(VLOOKUP(Table2[[#This Row],[Contraente]],Table1[[Nome/Ragione sociale]:[Checkbox selezionato]],6,FALSE),"-")</f>
        <v>24188</v>
      </c>
      <c r="AN595" s="63" t="str">
        <f>IFERROR(VLOOKUP(Table2[[#This Row],[Contraente]],Table1[[Nome/Ragione sociale]:[Checkbox selezionato]],7,FALSE),"-")</f>
        <v>papies@libero.it</v>
      </c>
      <c r="AO595" s="63">
        <f>IFERROR(VLOOKUP(Table2[[#This Row],[Contraente]],Table1[[Nome/Ragione sociale]:[Checkbox selezionato]],8,FALSE),"-")</f>
        <v>0</v>
      </c>
      <c r="AP595" s="63">
        <f>IFERROR(VLOOKUP(Table2[[#This Row],[Contraente]],Table1[[Nome/Ragione sociale]:[Checkbox selezionato]],10,FALSE),"-")</f>
        <v>3478730222</v>
      </c>
      <c r="AQ595" s="63" t="str">
        <f>IFERROR(VLOOKUP(Table2[[#This Row],[Contraente]],Table1[[Nome/Ragione sociale]:[Checkbox selezionato]],11,FALSE),"-")</f>
        <v>SI</v>
      </c>
      <c r="AR595" s="63" t="str">
        <f>IFERROR(VLOOKUP(Table2[[#This Row],[Contraente]],Table1[[Nome/Ragione sociale]:[Checkbox selezionato]],12,FALSE),"-")</f>
        <v>SI</v>
      </c>
    </row>
    <row r="596" spans="1:44" ht="30" hidden="1" customHeight="1" x14ac:dyDescent="0.25">
      <c r="A596" s="60" t="str">
        <f>UPPER(LEFT(Table2[[#This Row],[Contraente]],1))</f>
        <v>L</v>
      </c>
      <c r="B596" s="60" t="s">
        <v>1634</v>
      </c>
      <c r="C596" s="81" t="s">
        <v>727</v>
      </c>
      <c r="D596" s="81" t="s">
        <v>37</v>
      </c>
      <c r="E596" s="86">
        <v>105248441</v>
      </c>
      <c r="F596" s="64">
        <v>42662</v>
      </c>
      <c r="G596" s="64">
        <f>IFERROR(CALCOLASCADENZA(Table2[[#This Row],[Data attivazione]],Table2[[#This Row],[Rateizzazione]],Table2[[#This Row],[Data ultimo pagamento]],Table2[[#This Row],[Data prossima scadenza manuale]]),"-")</f>
        <v>42763</v>
      </c>
      <c r="H596" s="67" t="s">
        <v>30</v>
      </c>
      <c r="I596" s="67" t="s">
        <v>113</v>
      </c>
      <c r="J596" s="33">
        <f>IFERROR(Table2[[#This Row],[Importo annuale]]/(12/VLOOKUP(Table2[[#This Row],[Rateizzazione]],TIPI_RATEIZZAZIONI,2,FALSE)),"-")</f>
        <v>190</v>
      </c>
      <c r="K596" s="88"/>
      <c r="L596" s="88">
        <v>380</v>
      </c>
      <c r="M596" s="67" t="s">
        <v>43</v>
      </c>
      <c r="N596" s="67" t="s">
        <v>52</v>
      </c>
      <c r="O596" s="27" t="s">
        <v>1631</v>
      </c>
      <c r="P596" s="33" t="s">
        <v>22</v>
      </c>
      <c r="Q596" s="60">
        <f>IFERROR(IF(12 / VLOOKUP(Table2[[#This Row],[Rateizzazione]],TIPI_RATEIZZAZIONI,2,FALSE) &gt;=1,  IF(Table2[[#This Row],[Data attivazione]] = "","-",MONTH(Table2[[#This Row],[Data attivazione]])),"-"),"-")</f>
        <v>1</v>
      </c>
      <c r="R5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5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6" s="67" t="s">
        <v>133</v>
      </c>
      <c r="V596" s="62"/>
      <c r="W596" s="64">
        <v>42397</v>
      </c>
      <c r="X596" s="29">
        <f>DATE(YEAR(Table2[[#This Row],[Data attivazione]])+VLOOKUP(Table2[[#This Row],[Durata]],VALORE_DURATA,2,FALSE),MONTH(Table2[[#This Row],[Data attivazione]]),DAY(Table2[[#This Row],[Data attivazione]]))</f>
        <v>42763</v>
      </c>
      <c r="Y596" s="65"/>
      <c r="Z596" s="61"/>
      <c r="AA596" s="64" t="s">
        <v>88</v>
      </c>
      <c r="AB596" s="29" t="str">
        <f>IF(Table2[[#This Row],[Data ultimo versamento temp]]=0/1/1900,"-",Table2[[#This Row],[Data ultimo versamento temp]])</f>
        <v>-</v>
      </c>
      <c r="AC596" s="29">
        <f t="array" ref="AC596">MAX(IF(TableVersamenti[Polizza]=Table2[[#This Row],[Polizza]],TableVersamenti[Data prevista versamento],"-"))</f>
        <v>0</v>
      </c>
      <c r="AD596" s="62"/>
      <c r="AE596" s="106">
        <f>DATE(YEAR(Table2[[#This Row],[Data ultimo pagamento]]),MONTH(Table2[[#This Row],[Data ultimo pagamento]]), 1)</f>
        <v>42644</v>
      </c>
      <c r="AF596" s="106">
        <f>DATE(YEAR(Table2[[#This Row],[Data prossima scadenza]]),MONTH(Table2[[#This Row],[Data prossima scadenza]]), 1)</f>
        <v>42736</v>
      </c>
      <c r="AG596" s="33">
        <f>IFERROR(Table2[[#This Row],[Importo annuale]]*VLOOKUP(Table2[[#This Row],[Ramo]],RAMI_POLIZZA,2,FALSE),0)</f>
        <v>43.7</v>
      </c>
      <c r="AH596" s="65" t="s">
        <v>113</v>
      </c>
      <c r="AI596" s="63" t="str">
        <f>IFERROR(VLOOKUP(Table2[[#This Row],[Contraente]],Table1[[Nome/Ragione sociale]:[Checkbox selezionato]],2,FALSE),"-")</f>
        <v>STRADELLA</v>
      </c>
      <c r="AJ596" s="63">
        <f>IFERROR(VLOOKUP(Table2[[#This Row],[Contraente]],Table1[[Nome/Ragione sociale]:[Checkbox selezionato]],3,FALSE),"-")</f>
        <v>3394706077</v>
      </c>
      <c r="AK596" s="63">
        <f>IFERROR(VLOOKUP(Table2[[#This Row],[Contraente]],Table1[[Nome/Ragione sociale]:[Checkbox selezionato]],4,FALSE),"-")</f>
        <v>0</v>
      </c>
      <c r="AL596" s="63" t="str">
        <f>IFERROR(VLOOKUP(Table2[[#This Row],[Contraente]],Table1[[Nome/Ragione sociale]:[Checkbox selezionato]],5,FALSE),"-")</f>
        <v>VALENTINA</v>
      </c>
      <c r="AM596" s="62">
        <f>IFERROR(VLOOKUP(Table2[[#This Row],[Contraente]],Table1[[Nome/Ragione sociale]:[Checkbox selezionato]],6,FALSE),"-")</f>
        <v>24827</v>
      </c>
      <c r="AN596" s="63" t="str">
        <f>IFERROR(VLOOKUP(Table2[[#This Row],[Contraente]],Table1[[Nome/Ragione sociale]:[Checkbox selezionato]],7,FALSE),"-")</f>
        <v>papies@email.it</v>
      </c>
      <c r="AO596" s="63">
        <f>IFERROR(VLOOKUP(Table2[[#This Row],[Contraente]],Table1[[Nome/Ragione sociale]:[Checkbox selezionato]],8,FALSE),"-")</f>
        <v>0</v>
      </c>
      <c r="AP596" s="63">
        <f>IFERROR(VLOOKUP(Table2[[#This Row],[Contraente]],Table1[[Nome/Ragione sociale]:[Checkbox selezionato]],10,FALSE),"-")</f>
        <v>3394706077</v>
      </c>
      <c r="AQ596" s="63" t="str">
        <f>IFERROR(VLOOKUP(Table2[[#This Row],[Contraente]],Table1[[Nome/Ragione sociale]:[Checkbox selezionato]],11,FALSE),"-")</f>
        <v>SI</v>
      </c>
      <c r="AR596" s="63" t="str">
        <f>IFERROR(VLOOKUP(Table2[[#This Row],[Contraente]],Table1[[Nome/Ragione sociale]:[Checkbox selezionato]],12,FALSE),"-")</f>
        <v>SI</v>
      </c>
    </row>
    <row r="597" spans="1:44" ht="30" hidden="1" customHeight="1" x14ac:dyDescent="0.25">
      <c r="A597" s="60" t="str">
        <f>UPPER(LEFT(Table2[[#This Row],[Contraente]],1))</f>
        <v>L</v>
      </c>
      <c r="B597" s="60" t="s">
        <v>1634</v>
      </c>
      <c r="C597" s="81" t="s">
        <v>731</v>
      </c>
      <c r="D597" s="81" t="s">
        <v>37</v>
      </c>
      <c r="E597" s="86">
        <v>104639879</v>
      </c>
      <c r="F597" s="64">
        <v>42388</v>
      </c>
      <c r="G597" s="64">
        <f>IFERROR(CALCOLASCADENZA(Table2[[#This Row],[Data attivazione]],Table2[[#This Row],[Rateizzazione]],Table2[[#This Row],[Data ultimo pagamento]],Table2[[#This Row],[Data prossima scadenza manuale]]),"-")</f>
        <v>42552</v>
      </c>
      <c r="H597" s="67" t="s">
        <v>31</v>
      </c>
      <c r="I597" s="67" t="s">
        <v>1363</v>
      </c>
      <c r="J597" s="33">
        <f>IFERROR(Table2[[#This Row],[Importo annuale]]/(12/VLOOKUP(Table2[[#This Row],[Rateizzazione]],TIPI_RATEIZZAZIONI,2,FALSE)),"-")</f>
        <v>490</v>
      </c>
      <c r="K597" s="88"/>
      <c r="L597" s="88">
        <v>980</v>
      </c>
      <c r="M597" s="67" t="s">
        <v>44</v>
      </c>
      <c r="N597" s="67" t="s">
        <v>51</v>
      </c>
      <c r="O597" s="27" t="s">
        <v>1631</v>
      </c>
      <c r="P597" s="33" t="s">
        <v>22</v>
      </c>
      <c r="Q597" s="60">
        <f>IFERROR(IF(12 / VLOOKUP(Table2[[#This Row],[Rateizzazione]],TIPI_RATEIZZAZIONI,2,FALSE) &gt;=1,  IF(Table2[[#This Row],[Data attivazione]] = "","-",MONTH(Table2[[#This Row],[Data attivazione]])),"-"),"-")</f>
        <v>7</v>
      </c>
      <c r="R5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7" s="67" t="s">
        <v>2</v>
      </c>
      <c r="V597" s="62"/>
      <c r="W597" s="64">
        <v>42186</v>
      </c>
      <c r="X597" s="29">
        <f>DATE(YEAR(Table2[[#This Row],[Data attivazione]])+VLOOKUP(Table2[[#This Row],[Durata]],VALORE_DURATA,2,FALSE),MONTH(Table2[[#This Row],[Data attivazione]]),DAY(Table2[[#This Row],[Data attivazione]]))</f>
        <v>42552</v>
      </c>
      <c r="Y597" s="65"/>
      <c r="Z597" s="61"/>
      <c r="AA597" s="64" t="s">
        <v>88</v>
      </c>
      <c r="AB597" s="29" t="str">
        <f>IF(Table2[[#This Row],[Data ultimo versamento temp]]=0/1/1900,"-",Table2[[#This Row],[Data ultimo versamento temp]])</f>
        <v>-</v>
      </c>
      <c r="AC597" s="29">
        <f t="array" ref="AC597">MAX(IF(TableVersamenti[Polizza]=Table2[[#This Row],[Polizza]],TableVersamenti[Data prevista versamento],"-"))</f>
        <v>0</v>
      </c>
      <c r="AD597" s="62"/>
      <c r="AE597" s="106">
        <f>DATE(YEAR(Table2[[#This Row],[Data ultimo pagamento]]),MONTH(Table2[[#This Row],[Data ultimo pagamento]]), 1)</f>
        <v>42370</v>
      </c>
      <c r="AF597" s="106">
        <f>DATE(YEAR(Table2[[#This Row],[Data prossima scadenza]]),MONTH(Table2[[#This Row],[Data prossima scadenza]]), 1)</f>
        <v>42552</v>
      </c>
      <c r="AG597" s="33">
        <f>IFERROR(Table2[[#This Row],[Importo annuale]]*VLOOKUP(Table2[[#This Row],[Ramo]],RAMI_POLIZZA,2,FALSE),0)</f>
        <v>50.96</v>
      </c>
      <c r="AH597" s="65" t="s">
        <v>113</v>
      </c>
      <c r="AI597" s="63" t="str">
        <f>IFERROR(VLOOKUP(Table2[[#This Row],[Contraente]],Table1[[Nome/Ragione sociale]:[Checkbox selezionato]],2,FALSE),"-")</f>
        <v>MILANO</v>
      </c>
      <c r="AJ597" s="63">
        <f>IFERROR(VLOOKUP(Table2[[#This Row],[Contraente]],Table1[[Nome/Ragione sociale]:[Checkbox selezionato]],3,FALSE),"-")</f>
        <v>3896780360</v>
      </c>
      <c r="AK597" s="63">
        <f>IFERROR(VLOOKUP(Table2[[#This Row],[Contraente]],Table1[[Nome/Ragione sociale]:[Checkbox selezionato]],4,FALSE),"-")</f>
        <v>0</v>
      </c>
      <c r="AL597" s="63">
        <f>IFERROR(VLOOKUP(Table2[[#This Row],[Contraente]],Table1[[Nome/Ragione sociale]:[Checkbox selezionato]],5,FALSE),"-")</f>
        <v>0</v>
      </c>
      <c r="AM597" s="62">
        <f>IFERROR(VLOOKUP(Table2[[#This Row],[Contraente]],Table1[[Nome/Ragione sociale]:[Checkbox selezionato]],6,FALSE),"-")</f>
        <v>0</v>
      </c>
      <c r="AN597" s="63" t="str">
        <f>IFERROR(VLOOKUP(Table2[[#This Row],[Contraente]],Table1[[Nome/Ragione sociale]:[Checkbox selezionato]],7,FALSE),"-")</f>
        <v>papies@libero.it</v>
      </c>
      <c r="AO597" s="63">
        <f>IFERROR(VLOOKUP(Table2[[#This Row],[Contraente]],Table1[[Nome/Ragione sociale]:[Checkbox selezionato]],8,FALSE),"-")</f>
        <v>0</v>
      </c>
      <c r="AP597" s="63">
        <f>IFERROR(VLOOKUP(Table2[[#This Row],[Contraente]],Table1[[Nome/Ragione sociale]:[Checkbox selezionato]],10,FALSE),"-")</f>
        <v>3896780360</v>
      </c>
      <c r="AQ597" s="63" t="str">
        <f>IFERROR(VLOOKUP(Table2[[#This Row],[Contraente]],Table1[[Nome/Ragione sociale]:[Checkbox selezionato]],11,FALSE),"-")</f>
        <v>SI</v>
      </c>
      <c r="AR597" s="63" t="str">
        <f>IFERROR(VLOOKUP(Table2[[#This Row],[Contraente]],Table1[[Nome/Ragione sociale]:[Checkbox selezionato]],12,FALSE),"-")</f>
        <v>SI</v>
      </c>
    </row>
    <row r="598" spans="1:44" ht="30" hidden="1" customHeight="1" x14ac:dyDescent="0.25">
      <c r="A598" s="60" t="str">
        <f>UPPER(LEFT(Table2[[#This Row],[Contraente]],1))</f>
        <v>L</v>
      </c>
      <c r="B598" s="60" t="s">
        <v>1634</v>
      </c>
      <c r="C598" s="81" t="s">
        <v>736</v>
      </c>
      <c r="D598" s="81" t="s">
        <v>37</v>
      </c>
      <c r="E598" s="86">
        <v>106236306</v>
      </c>
      <c r="F598" s="64">
        <v>42886</v>
      </c>
      <c r="G598" s="64">
        <f>IFERROR(CALCOLASCADENZA(Table2[[#This Row],[Data attivazione]],Table2[[#This Row],[Rateizzazione]],Table2[[#This Row],[Data ultimo pagamento]],Table2[[#This Row],[Data prossima scadenza manuale]]),"-")</f>
        <v>43056</v>
      </c>
      <c r="H598" s="67" t="s">
        <v>31</v>
      </c>
      <c r="I598" s="67" t="s">
        <v>1366</v>
      </c>
      <c r="J598" s="33">
        <f>IFERROR(Table2[[#This Row],[Importo annuale]]/(12/VLOOKUP(Table2[[#This Row],[Rateizzazione]],TIPI_RATEIZZAZIONI,2,FALSE)),"-")</f>
        <v>390.2</v>
      </c>
      <c r="K598" s="88">
        <v>390.2</v>
      </c>
      <c r="L598" s="88">
        <v>780.4</v>
      </c>
      <c r="M598" s="67" t="s">
        <v>43</v>
      </c>
      <c r="N598" s="67" t="s">
        <v>52</v>
      </c>
      <c r="O598" s="27" t="s">
        <v>1631</v>
      </c>
      <c r="P598" s="33" t="s">
        <v>22</v>
      </c>
      <c r="Q598" s="60">
        <f>IFERROR(IF(12 / VLOOKUP(Table2[[#This Row],[Rateizzazione]],TIPI_RATEIZZAZIONI,2,FALSE) &gt;=1,  IF(Table2[[#This Row],[Data attivazione]] = "","-",MONTH(Table2[[#This Row],[Data attivazione]])),"-"),"-")</f>
        <v>11</v>
      </c>
      <c r="R5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8" s="67" t="s">
        <v>133</v>
      </c>
      <c r="V598" s="62"/>
      <c r="W598" s="64">
        <v>42691</v>
      </c>
      <c r="X598" s="29">
        <f>DATE(YEAR(Table2[[#This Row],[Data attivazione]])+VLOOKUP(Table2[[#This Row],[Durata]],VALORE_DURATA,2,FALSE),MONTH(Table2[[#This Row],[Data attivazione]]),DAY(Table2[[#This Row],[Data attivazione]]))</f>
        <v>43056</v>
      </c>
      <c r="Y598" s="65"/>
      <c r="Z598" s="61"/>
      <c r="AA598" s="64" t="s">
        <v>85</v>
      </c>
      <c r="AB598" s="29" t="str">
        <f>IF(Table2[[#This Row],[Data ultimo versamento temp]]=0/1/1900,"-",Table2[[#This Row],[Data ultimo versamento temp]])</f>
        <v>-</v>
      </c>
      <c r="AC598" s="29">
        <f t="array" ref="AC598">MAX(IF(TableVersamenti[Polizza]=Table2[[#This Row],[Polizza]],TableVersamenti[Data prevista versamento],"-"))</f>
        <v>0</v>
      </c>
      <c r="AD598" s="62"/>
      <c r="AE598" s="106">
        <f>DATE(YEAR(Table2[[#This Row],[Data ultimo pagamento]]),MONTH(Table2[[#This Row],[Data ultimo pagamento]]), 1)</f>
        <v>42856</v>
      </c>
      <c r="AF598" s="106">
        <f>DATE(YEAR(Table2[[#This Row],[Data prossima scadenza]]),MONTH(Table2[[#This Row],[Data prossima scadenza]]), 1)</f>
        <v>43040</v>
      </c>
      <c r="AG598" s="33">
        <f>IFERROR(Table2[[#This Row],[Importo annuale]]*VLOOKUP(Table2[[#This Row],[Ramo]],RAMI_POLIZZA,2,FALSE),0)</f>
        <v>40.580799999999996</v>
      </c>
      <c r="AH598" s="65" t="s">
        <v>113</v>
      </c>
      <c r="AI598" s="63" t="str">
        <f>IFERROR(VLOOKUP(Table2[[#This Row],[Contraente]],Table1[[Nome/Ragione sociale]:[Checkbox selezionato]],2,FALSE),"-")</f>
        <v>BRONI</v>
      </c>
      <c r="AJ598" s="63">
        <f>IFERROR(VLOOKUP(Table2[[#This Row],[Contraente]],Table1[[Nome/Ragione sociale]:[Checkbox selezionato]],3,FALSE),"-")</f>
        <v>3389800492</v>
      </c>
      <c r="AK598" s="63">
        <f>IFERROR(VLOOKUP(Table2[[#This Row],[Contraente]],Table1[[Nome/Ragione sociale]:[Checkbox selezionato]],4,FALSE),"-")</f>
        <v>0</v>
      </c>
      <c r="AL598" s="63" t="str">
        <f>IFERROR(VLOOKUP(Table2[[#This Row],[Contraente]],Table1[[Nome/Ragione sociale]:[Checkbox selezionato]],5,FALSE),"-")</f>
        <v>MADDALENA</v>
      </c>
      <c r="AM598" s="62">
        <f>IFERROR(VLOOKUP(Table2[[#This Row],[Contraente]],Table1[[Nome/Ragione sociale]:[Checkbox selezionato]],6,FALSE),"-")</f>
        <v>22361</v>
      </c>
      <c r="AN598" s="63" t="str">
        <f>IFERROR(VLOOKUP(Table2[[#This Row],[Contraente]],Table1[[Nome/Ragione sociale]:[Checkbox selezionato]],7,FALSE),"-")</f>
        <v>papies@libero.it</v>
      </c>
      <c r="AO598" s="63">
        <f>IFERROR(VLOOKUP(Table2[[#This Row],[Contraente]],Table1[[Nome/Ragione sociale]:[Checkbox selezionato]],8,FALSE),"-")</f>
        <v>0</v>
      </c>
      <c r="AP598" s="63">
        <f>IFERROR(VLOOKUP(Table2[[#This Row],[Contraente]],Table1[[Nome/Ragione sociale]:[Checkbox selezionato]],10,FALSE),"-")</f>
        <v>3389800492</v>
      </c>
      <c r="AQ598" s="63" t="str">
        <f>IFERROR(VLOOKUP(Table2[[#This Row],[Contraente]],Table1[[Nome/Ragione sociale]:[Checkbox selezionato]],11,FALSE),"-")</f>
        <v>SI</v>
      </c>
      <c r="AR598" s="63" t="str">
        <f>IFERROR(VLOOKUP(Table2[[#This Row],[Contraente]],Table1[[Nome/Ragione sociale]:[Checkbox selezionato]],12,FALSE),"-")</f>
        <v>SI</v>
      </c>
    </row>
    <row r="599" spans="1:44" ht="30" hidden="1" customHeight="1" x14ac:dyDescent="0.25">
      <c r="A599" s="60" t="str">
        <f>UPPER(LEFT(Table2[[#This Row],[Contraente]],1))</f>
        <v>L</v>
      </c>
      <c r="B599" s="60" t="s">
        <v>1634</v>
      </c>
      <c r="C599" s="81" t="s">
        <v>738</v>
      </c>
      <c r="D599" s="81" t="s">
        <v>37</v>
      </c>
      <c r="E599" s="86">
        <v>105645568</v>
      </c>
      <c r="F599" s="64">
        <v>42923</v>
      </c>
      <c r="G599" s="64">
        <f>IFERROR(CALCOLASCADENZA(Table2[[#This Row],[Data attivazione]],Table2[[#This Row],[Rateizzazione]],Table2[[#This Row],[Data ultimo pagamento]],Table2[[#This Row],[Data prossima scadenza manuale]]),"-")</f>
        <v>43222</v>
      </c>
      <c r="H599" s="67" t="s">
        <v>30</v>
      </c>
      <c r="I599" s="67" t="s">
        <v>113</v>
      </c>
      <c r="J599" s="33">
        <f>IFERROR(Table2[[#This Row],[Importo annuale]]/(12/VLOOKUP(Table2[[#This Row],[Rateizzazione]],TIPI_RATEIZZAZIONI,2,FALSE)),"-")</f>
        <v>177</v>
      </c>
      <c r="K599" s="88">
        <v>177</v>
      </c>
      <c r="L599" s="88">
        <v>177</v>
      </c>
      <c r="M599" s="67" t="s">
        <v>43</v>
      </c>
      <c r="N599" s="67" t="s">
        <v>51</v>
      </c>
      <c r="O599" s="27" t="s">
        <v>1631</v>
      </c>
      <c r="P599" s="33" t="s">
        <v>23</v>
      </c>
      <c r="Q599" s="60">
        <f>IFERROR(IF(12 / VLOOKUP(Table2[[#This Row],[Rateizzazione]],TIPI_RATEIZZAZIONI,2,FALSE) &gt;=1,  IF(Table2[[#This Row],[Data attivazione]] = "","-",MONTH(Table2[[#This Row],[Data attivazione]])),"-"),"-")</f>
        <v>5</v>
      </c>
      <c r="R5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9" s="67" t="s">
        <v>133</v>
      </c>
      <c r="V599" s="62"/>
      <c r="W599" s="64">
        <v>42857</v>
      </c>
      <c r="X599" s="29">
        <f>DATE(YEAR(Table2[[#This Row],[Data attivazione]])+VLOOKUP(Table2[[#This Row],[Durata]],VALORE_DURATA,2,FALSE),MONTH(Table2[[#This Row],[Data attivazione]]),DAY(Table2[[#This Row],[Data attivazione]]))</f>
        <v>43222</v>
      </c>
      <c r="Y599" s="65"/>
      <c r="Z599" s="61"/>
      <c r="AA599" s="64" t="s">
        <v>85</v>
      </c>
      <c r="AB599" s="29">
        <f>IF(Table2[[#This Row],[Data ultimo versamento temp]]=0/1/1900,"-",Table2[[#This Row],[Data ultimo versamento temp]])</f>
        <v>42926</v>
      </c>
      <c r="AC599" s="29">
        <f t="array" ref="AC599">MAX(IF(TableVersamenti[Polizza]=Table2[[#This Row],[Polizza]],TableVersamenti[Data prevista versamento],"-"))</f>
        <v>42926</v>
      </c>
      <c r="AD599" s="62"/>
      <c r="AE599" s="106">
        <f>DATE(YEAR(Table2[[#This Row],[Data ultimo pagamento]]),MONTH(Table2[[#This Row],[Data ultimo pagamento]]), 1)</f>
        <v>42917</v>
      </c>
      <c r="AF599" s="106">
        <f>DATE(YEAR(Table2[[#This Row],[Data prossima scadenza]]),MONTH(Table2[[#This Row],[Data prossima scadenza]]), 1)</f>
        <v>43221</v>
      </c>
      <c r="AG599" s="33">
        <f>IFERROR(Table2[[#This Row],[Importo annuale]]*VLOOKUP(Table2[[#This Row],[Ramo]],RAMI_POLIZZA,2,FALSE),0)</f>
        <v>20.355</v>
      </c>
      <c r="AH599" s="65" t="s">
        <v>113</v>
      </c>
      <c r="AI599" s="63" t="str">
        <f>IFERROR(VLOOKUP(Table2[[#This Row],[Contraente]],Table1[[Nome/Ragione sociale]:[Checkbox selezionato]],2,FALSE),"-")</f>
        <v>MONTU' BECCARIA</v>
      </c>
      <c r="AJ599" s="63">
        <f>IFERROR(VLOOKUP(Table2[[#This Row],[Contraente]],Table1[[Nome/Ragione sociale]:[Checkbox selezionato]],3,FALSE),"-")</f>
        <v>3319736870</v>
      </c>
      <c r="AK599" s="63">
        <f>IFERROR(VLOOKUP(Table2[[#This Row],[Contraente]],Table1[[Nome/Ragione sociale]:[Checkbox selezionato]],4,FALSE),"-")</f>
        <v>0</v>
      </c>
      <c r="AL599" s="63" t="str">
        <f>IFERROR(VLOOKUP(Table2[[#This Row],[Contraente]],Table1[[Nome/Ragione sociale]:[Checkbox selezionato]],5,FALSE),"-")</f>
        <v>CRISTIANO</v>
      </c>
      <c r="AM599" s="62" t="str">
        <f>IFERROR(VLOOKUP(Table2[[#This Row],[Contraente]],Table1[[Nome/Ragione sociale]:[Checkbox selezionato]],6,FALSE),"-")</f>
        <v>-</v>
      </c>
      <c r="AN599" s="63" t="str">
        <f>IFERROR(VLOOKUP(Table2[[#This Row],[Contraente]],Table1[[Nome/Ragione sociale]:[Checkbox selezionato]],7,FALSE),"-")</f>
        <v>papies@email.it</v>
      </c>
      <c r="AO599" s="63">
        <f>IFERROR(VLOOKUP(Table2[[#This Row],[Contraente]],Table1[[Nome/Ragione sociale]:[Checkbox selezionato]],8,FALSE),"-")</f>
        <v>0</v>
      </c>
      <c r="AP599" s="63">
        <f>IFERROR(VLOOKUP(Table2[[#This Row],[Contraente]],Table1[[Nome/Ragione sociale]:[Checkbox selezionato]],10,FALSE),"-")</f>
        <v>3319736870</v>
      </c>
      <c r="AQ599" s="63" t="str">
        <f>IFERROR(VLOOKUP(Table2[[#This Row],[Contraente]],Table1[[Nome/Ragione sociale]:[Checkbox selezionato]],11,FALSE),"-")</f>
        <v>SI</v>
      </c>
      <c r="AR599" s="63" t="str">
        <f>IFERROR(VLOOKUP(Table2[[#This Row],[Contraente]],Table1[[Nome/Ragione sociale]:[Checkbox selezionato]],12,FALSE),"-")</f>
        <v>SI</v>
      </c>
    </row>
    <row r="600" spans="1:44" ht="30" hidden="1" customHeight="1" x14ac:dyDescent="0.25">
      <c r="A600" s="60" t="str">
        <f>UPPER(LEFT(Table2[[#This Row],[Contraente]],1))</f>
        <v>L</v>
      </c>
      <c r="B600" s="60" t="s">
        <v>1634</v>
      </c>
      <c r="C600" s="81" t="s">
        <v>749</v>
      </c>
      <c r="D600" s="81" t="s">
        <v>37</v>
      </c>
      <c r="E600" s="86">
        <v>106967551</v>
      </c>
      <c r="F600" s="64">
        <v>42895</v>
      </c>
      <c r="G600" s="64">
        <f>IFERROR(CALCOLASCADENZA(Table2[[#This Row],[Data attivazione]],Table2[[#This Row],[Rateizzazione]],Table2[[#This Row],[Data ultimo pagamento]],Table2[[#This Row],[Data prossima scadenza manuale]]),"-")</f>
        <v>42956</v>
      </c>
      <c r="H600" s="67" t="s">
        <v>31</v>
      </c>
      <c r="I600" s="67" t="s">
        <v>1376</v>
      </c>
      <c r="J600" s="33">
        <f>IFERROR(Table2[[#This Row],[Importo annuale]]/(12/VLOOKUP(Table2[[#This Row],[Rateizzazione]],TIPI_RATEIZZAZIONI,2,FALSE)),"-")</f>
        <v>60.4</v>
      </c>
      <c r="K600" s="88">
        <v>60.4</v>
      </c>
      <c r="L600" s="88">
        <v>60.4</v>
      </c>
      <c r="M600" s="67" t="s">
        <v>43</v>
      </c>
      <c r="N600" s="67" t="s">
        <v>52</v>
      </c>
      <c r="O600" s="27" t="s">
        <v>1631</v>
      </c>
      <c r="P600" s="33" t="s">
        <v>23</v>
      </c>
      <c r="Q600" s="60">
        <f>IFERROR(IF(12 / VLOOKUP(Table2[[#This Row],[Rateizzazione]],TIPI_RATEIZZAZIONI,2,FALSE) &gt;=1,  IF(Table2[[#This Row],[Data attivazione]] = "","-",MONTH(Table2[[#This Row],[Data attivazione]])),"-"),"-")</f>
        <v>8</v>
      </c>
      <c r="R6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0" s="67" t="s">
        <v>2</v>
      </c>
      <c r="V600" s="62"/>
      <c r="W600" s="64">
        <v>42591</v>
      </c>
      <c r="X600" s="29">
        <f>DATE(YEAR(Table2[[#This Row],[Data attivazione]])+VLOOKUP(Table2[[#This Row],[Durata]],VALORE_DURATA,2,FALSE),MONTH(Table2[[#This Row],[Data attivazione]]),DAY(Table2[[#This Row],[Data attivazione]]))</f>
        <v>42956</v>
      </c>
      <c r="Y600" s="65"/>
      <c r="Z600" s="61"/>
      <c r="AA600" s="64" t="s">
        <v>85</v>
      </c>
      <c r="AB600" s="29" t="str">
        <f>IF(Table2[[#This Row],[Data ultimo versamento temp]]=0/1/1900,"-",Table2[[#This Row],[Data ultimo versamento temp]])</f>
        <v>-</v>
      </c>
      <c r="AC600" s="29">
        <f t="array" ref="AC600">MAX(IF(TableVersamenti[Polizza]=Table2[[#This Row],[Polizza]],TableVersamenti[Data prevista versamento],"-"))</f>
        <v>0</v>
      </c>
      <c r="AD600" s="62"/>
      <c r="AE600" s="106">
        <f>DATE(YEAR(Table2[[#This Row],[Data ultimo pagamento]]),MONTH(Table2[[#This Row],[Data ultimo pagamento]]), 1)</f>
        <v>42887</v>
      </c>
      <c r="AF600" s="106">
        <f>DATE(YEAR(Table2[[#This Row],[Data prossima scadenza]]),MONTH(Table2[[#This Row],[Data prossima scadenza]]), 1)</f>
        <v>42948</v>
      </c>
      <c r="AG600" s="33">
        <f>IFERROR(Table2[[#This Row],[Importo annuale]]*VLOOKUP(Table2[[#This Row],[Ramo]],RAMI_POLIZZA,2,FALSE),0)</f>
        <v>3.1407999999999996</v>
      </c>
      <c r="AH600" s="65" t="s">
        <v>113</v>
      </c>
      <c r="AI600" s="63" t="str">
        <f>IFERROR(VLOOKUP(Table2[[#This Row],[Contraente]],Table1[[Nome/Ragione sociale]:[Checkbox selezionato]],2,FALSE),"-")</f>
        <v>TRAVACO' SICCOMARIO</v>
      </c>
      <c r="AJ600" s="63">
        <f>IFERROR(VLOOKUP(Table2[[#This Row],[Contraente]],Table1[[Nome/Ragione sociale]:[Checkbox selezionato]],3,FALSE),"-")</f>
        <v>3440613036</v>
      </c>
      <c r="AK600" s="63">
        <f>IFERROR(VLOOKUP(Table2[[#This Row],[Contraente]],Table1[[Nome/Ragione sociale]:[Checkbox selezionato]],4,FALSE),"-")</f>
        <v>0</v>
      </c>
      <c r="AL600" s="63" t="str">
        <f>IFERROR(VLOOKUP(Table2[[#This Row],[Contraente]],Table1[[Nome/Ragione sociale]:[Checkbox selezionato]],5,FALSE),"-")</f>
        <v>FABIO</v>
      </c>
      <c r="AM600" s="62">
        <f>IFERROR(VLOOKUP(Table2[[#This Row],[Contraente]],Table1[[Nome/Ragione sociale]:[Checkbox selezionato]],6,FALSE),"-")</f>
        <v>24724</v>
      </c>
      <c r="AN600" s="63" t="str">
        <f>IFERROR(VLOOKUP(Table2[[#This Row],[Contraente]],Table1[[Nome/Ragione sociale]:[Checkbox selezionato]],7,FALSE),"-")</f>
        <v>papies@libero.it</v>
      </c>
      <c r="AO600" s="63">
        <f>IFERROR(VLOOKUP(Table2[[#This Row],[Contraente]],Table1[[Nome/Ragione sociale]:[Checkbox selezionato]],8,FALSE),"-")</f>
        <v>0</v>
      </c>
      <c r="AP600" s="63">
        <f>IFERROR(VLOOKUP(Table2[[#This Row],[Contraente]],Table1[[Nome/Ragione sociale]:[Checkbox selezionato]],10,FALSE),"-")</f>
        <v>3440613036</v>
      </c>
      <c r="AQ600" s="63" t="str">
        <f>IFERROR(VLOOKUP(Table2[[#This Row],[Contraente]],Table1[[Nome/Ragione sociale]:[Checkbox selezionato]],11,FALSE),"-")</f>
        <v>SI</v>
      </c>
      <c r="AR600" s="63" t="str">
        <f>IFERROR(VLOOKUP(Table2[[#This Row],[Contraente]],Table1[[Nome/Ragione sociale]:[Checkbox selezionato]],12,FALSE),"-")</f>
        <v>SI</v>
      </c>
    </row>
    <row r="601" spans="1:44" ht="30" hidden="1" customHeight="1" x14ac:dyDescent="0.25">
      <c r="A601" s="60" t="str">
        <f>UPPER(LEFT(Table2[[#This Row],[Contraente]],1))</f>
        <v>L</v>
      </c>
      <c r="B601" s="60" t="s">
        <v>1634</v>
      </c>
      <c r="C601" s="81" t="s">
        <v>749</v>
      </c>
      <c r="D601" s="81" t="s">
        <v>37</v>
      </c>
      <c r="E601" s="86">
        <v>105762326</v>
      </c>
      <c r="F601" s="64">
        <v>42545</v>
      </c>
      <c r="G601" s="64">
        <f>IFERROR(CALCOLASCADENZA(Table2[[#This Row],[Data attivazione]],Table2[[#This Row],[Rateizzazione]],Table2[[#This Row],[Data ultimo pagamento]],Table2[[#This Row],[Data prossima scadenza manuale]]),"-")</f>
        <v>42910</v>
      </c>
      <c r="H601" s="67" t="s">
        <v>31</v>
      </c>
      <c r="I601" s="67">
        <v>199</v>
      </c>
      <c r="J601" s="33">
        <f>IFERROR(Table2[[#This Row],[Importo annuale]]/(12/VLOOKUP(Table2[[#This Row],[Rateizzazione]],TIPI_RATEIZZAZIONI,2,FALSE)),"-")</f>
        <v>40</v>
      </c>
      <c r="K601" s="88"/>
      <c r="L601" s="88">
        <v>40</v>
      </c>
      <c r="M601" s="67" t="s">
        <v>45</v>
      </c>
      <c r="N601" s="67" t="s">
        <v>52</v>
      </c>
      <c r="O601" s="27" t="s">
        <v>1631</v>
      </c>
      <c r="P601" s="33" t="s">
        <v>23</v>
      </c>
      <c r="Q601" s="60">
        <f>IFERROR(IF(12 / VLOOKUP(Table2[[#This Row],[Rateizzazione]],TIPI_RATEIZZAZIONI,2,FALSE) &gt;=1,  IF(Table2[[#This Row],[Data attivazione]] = "","-",MONTH(Table2[[#This Row],[Data attivazione]])),"-"),"-")</f>
        <v>6</v>
      </c>
      <c r="R6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1" s="67" t="s">
        <v>2</v>
      </c>
      <c r="V601" s="62"/>
      <c r="W601" s="64">
        <v>42545</v>
      </c>
      <c r="X601" s="29">
        <f>DATE(YEAR(Table2[[#This Row],[Data attivazione]])+VLOOKUP(Table2[[#This Row],[Durata]],VALORE_DURATA,2,FALSE),MONTH(Table2[[#This Row],[Data attivazione]]),DAY(Table2[[#This Row],[Data attivazione]]))</f>
        <v>42910</v>
      </c>
      <c r="Y601" s="65"/>
      <c r="Z601" s="61"/>
      <c r="AA601" s="64" t="s">
        <v>88</v>
      </c>
      <c r="AB601" s="29" t="str">
        <f>IF(Table2[[#This Row],[Data ultimo versamento temp]]=0/1/1900,"-",Table2[[#This Row],[Data ultimo versamento temp]])</f>
        <v>-</v>
      </c>
      <c r="AC601" s="29">
        <f t="array" ref="AC601">MAX(IF(TableVersamenti[Polizza]=Table2[[#This Row],[Polizza]],TableVersamenti[Data prevista versamento],"-"))</f>
        <v>0</v>
      </c>
      <c r="AD601" s="62"/>
      <c r="AE601" s="106">
        <f>DATE(YEAR(Table2[[#This Row],[Data ultimo pagamento]]),MONTH(Table2[[#This Row],[Data ultimo pagamento]]), 1)</f>
        <v>42522</v>
      </c>
      <c r="AF601" s="106">
        <f>DATE(YEAR(Table2[[#This Row],[Data prossima scadenza]]),MONTH(Table2[[#This Row],[Data prossima scadenza]]), 1)</f>
        <v>42887</v>
      </c>
      <c r="AG601" s="33">
        <f>IFERROR(Table2[[#This Row],[Importo annuale]]*VLOOKUP(Table2[[#This Row],[Ramo]],RAMI_POLIZZA,2,FALSE),0)</f>
        <v>2.08</v>
      </c>
      <c r="AH601" s="65" t="s">
        <v>113</v>
      </c>
      <c r="AI601" s="63" t="str">
        <f>IFERROR(VLOOKUP(Table2[[#This Row],[Contraente]],Table1[[Nome/Ragione sociale]:[Checkbox selezionato]],2,FALSE),"-")</f>
        <v>TRAVACO' SICCOMARIO</v>
      </c>
      <c r="AJ601" s="63">
        <f>IFERROR(VLOOKUP(Table2[[#This Row],[Contraente]],Table1[[Nome/Ragione sociale]:[Checkbox selezionato]],3,FALSE),"-")</f>
        <v>3440613036</v>
      </c>
      <c r="AK601" s="63">
        <f>IFERROR(VLOOKUP(Table2[[#This Row],[Contraente]],Table1[[Nome/Ragione sociale]:[Checkbox selezionato]],4,FALSE),"-")</f>
        <v>0</v>
      </c>
      <c r="AL601" s="63" t="str">
        <f>IFERROR(VLOOKUP(Table2[[#This Row],[Contraente]],Table1[[Nome/Ragione sociale]:[Checkbox selezionato]],5,FALSE),"-")</f>
        <v>FABIO</v>
      </c>
      <c r="AM601" s="62">
        <f>IFERROR(VLOOKUP(Table2[[#This Row],[Contraente]],Table1[[Nome/Ragione sociale]:[Checkbox selezionato]],6,FALSE),"-")</f>
        <v>24724</v>
      </c>
      <c r="AN601" s="63" t="str">
        <f>IFERROR(VLOOKUP(Table2[[#This Row],[Contraente]],Table1[[Nome/Ragione sociale]:[Checkbox selezionato]],7,FALSE),"-")</f>
        <v>papies@libero.it</v>
      </c>
      <c r="AO601" s="63">
        <f>IFERROR(VLOOKUP(Table2[[#This Row],[Contraente]],Table1[[Nome/Ragione sociale]:[Checkbox selezionato]],8,FALSE),"-")</f>
        <v>0</v>
      </c>
      <c r="AP601" s="63">
        <f>IFERROR(VLOOKUP(Table2[[#This Row],[Contraente]],Table1[[Nome/Ragione sociale]:[Checkbox selezionato]],10,FALSE),"-")</f>
        <v>3440613036</v>
      </c>
      <c r="AQ601" s="63" t="str">
        <f>IFERROR(VLOOKUP(Table2[[#This Row],[Contraente]],Table1[[Nome/Ragione sociale]:[Checkbox selezionato]],11,FALSE),"-")</f>
        <v>SI</v>
      </c>
      <c r="AR601" s="63" t="str">
        <f>IFERROR(VLOOKUP(Table2[[#This Row],[Contraente]],Table1[[Nome/Ragione sociale]:[Checkbox selezionato]],12,FALSE),"-")</f>
        <v>SI</v>
      </c>
    </row>
    <row r="602" spans="1:44" ht="30" hidden="1" customHeight="1" x14ac:dyDescent="0.25">
      <c r="A602" s="60" t="str">
        <f>UPPER(LEFT(Table2[[#This Row],[Contraente]],1))</f>
        <v>L</v>
      </c>
      <c r="B602" s="60" t="s">
        <v>1634</v>
      </c>
      <c r="C602" s="81" t="s">
        <v>749</v>
      </c>
      <c r="D602" s="81" t="s">
        <v>37</v>
      </c>
      <c r="E602" s="86">
        <v>104675672</v>
      </c>
      <c r="F602" s="64">
        <v>42207</v>
      </c>
      <c r="G602" s="64">
        <f>IFERROR(CALCOLASCADENZA(Table2[[#This Row],[Data attivazione]],Table2[[#This Row],[Rateizzazione]],Table2[[#This Row],[Data ultimo pagamento]],Table2[[#This Row],[Data prossima scadenza manuale]]),"-")</f>
        <v>693962</v>
      </c>
      <c r="H602" s="67" t="s">
        <v>31</v>
      </c>
      <c r="I602" s="67" t="s">
        <v>1376</v>
      </c>
      <c r="J602" s="33">
        <f>IFERROR(Table2[[#This Row],[Importo annuale]]/(12/VLOOKUP(Table2[[#This Row],[Rateizzazione]],TIPI_RATEIZZAZIONI,2,FALSE)),"-")</f>
        <v>230</v>
      </c>
      <c r="K602" s="88"/>
      <c r="L602" s="88">
        <v>230</v>
      </c>
      <c r="M602" s="67" t="s">
        <v>44</v>
      </c>
      <c r="N602" s="67" t="s">
        <v>52</v>
      </c>
      <c r="O602" s="27" t="s">
        <v>1631</v>
      </c>
      <c r="P602" s="33" t="s">
        <v>23</v>
      </c>
      <c r="Q602" s="60">
        <f>IFERROR(IF(12 / VLOOKUP(Table2[[#This Row],[Rateizzazione]],TIPI_RATEIZZAZIONI,2,FALSE) &gt;=1,  IF(Table2[[#This Row],[Data attivazione]] = "","-",MONTH(Table2[[#This Row],[Data attivazione]])),"-"),"-")</f>
        <v>12</v>
      </c>
      <c r="R6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2" s="67" t="s">
        <v>2</v>
      </c>
      <c r="V602" s="62"/>
      <c r="W602" s="64">
        <v>693597</v>
      </c>
      <c r="X602" s="29">
        <f>DATE(YEAR(Table2[[#This Row],[Data attivazione]])+VLOOKUP(Table2[[#This Row],[Durata]],VALORE_DURATA,2,FALSE),MONTH(Table2[[#This Row],[Data attivazione]]),DAY(Table2[[#This Row],[Data attivazione]]))</f>
        <v>693962</v>
      </c>
      <c r="Y602" s="65"/>
      <c r="Z602" s="61"/>
      <c r="AA602" s="64" t="s">
        <v>88</v>
      </c>
      <c r="AB602" s="29" t="str">
        <f>IF(Table2[[#This Row],[Data ultimo versamento temp]]=0/1/1900,"-",Table2[[#This Row],[Data ultimo versamento temp]])</f>
        <v>-</v>
      </c>
      <c r="AC602" s="29">
        <f t="array" ref="AC602">MAX(IF(TableVersamenti[Polizza]=Table2[[#This Row],[Polizza]],TableVersamenti[Data prevista versamento],"-"))</f>
        <v>0</v>
      </c>
      <c r="AD602" s="62"/>
      <c r="AE602" s="106">
        <f>DATE(YEAR(Table2[[#This Row],[Data ultimo pagamento]]),MONTH(Table2[[#This Row],[Data ultimo pagamento]]), 1)</f>
        <v>42186</v>
      </c>
      <c r="AF602" s="106">
        <f>DATE(YEAR(Table2[[#This Row],[Data prossima scadenza]]),MONTH(Table2[[#This Row],[Data prossima scadenza]]), 1)</f>
        <v>693932</v>
      </c>
      <c r="AG602" s="33">
        <f>IFERROR(Table2[[#This Row],[Importo annuale]]*VLOOKUP(Table2[[#This Row],[Ramo]],RAMI_POLIZZA,2,FALSE),0)</f>
        <v>11.959999999999999</v>
      </c>
      <c r="AH602" s="65" t="s">
        <v>113</v>
      </c>
      <c r="AI602" s="63" t="str">
        <f>IFERROR(VLOOKUP(Table2[[#This Row],[Contraente]],Table1[[Nome/Ragione sociale]:[Checkbox selezionato]],2,FALSE),"-")</f>
        <v>TRAVACO' SICCOMARIO</v>
      </c>
      <c r="AJ602" s="63">
        <f>IFERROR(VLOOKUP(Table2[[#This Row],[Contraente]],Table1[[Nome/Ragione sociale]:[Checkbox selezionato]],3,FALSE),"-")</f>
        <v>3440613036</v>
      </c>
      <c r="AK602" s="63">
        <f>IFERROR(VLOOKUP(Table2[[#This Row],[Contraente]],Table1[[Nome/Ragione sociale]:[Checkbox selezionato]],4,FALSE),"-")</f>
        <v>0</v>
      </c>
      <c r="AL602" s="63" t="str">
        <f>IFERROR(VLOOKUP(Table2[[#This Row],[Contraente]],Table1[[Nome/Ragione sociale]:[Checkbox selezionato]],5,FALSE),"-")</f>
        <v>FABIO</v>
      </c>
      <c r="AM602" s="62">
        <f>IFERROR(VLOOKUP(Table2[[#This Row],[Contraente]],Table1[[Nome/Ragione sociale]:[Checkbox selezionato]],6,FALSE),"-")</f>
        <v>24724</v>
      </c>
      <c r="AN602" s="63" t="str">
        <f>IFERROR(VLOOKUP(Table2[[#This Row],[Contraente]],Table1[[Nome/Ragione sociale]:[Checkbox selezionato]],7,FALSE),"-")</f>
        <v>papies@libero.it</v>
      </c>
      <c r="AO602" s="63">
        <f>IFERROR(VLOOKUP(Table2[[#This Row],[Contraente]],Table1[[Nome/Ragione sociale]:[Checkbox selezionato]],8,FALSE),"-")</f>
        <v>0</v>
      </c>
      <c r="AP602" s="63">
        <f>IFERROR(VLOOKUP(Table2[[#This Row],[Contraente]],Table1[[Nome/Ragione sociale]:[Checkbox selezionato]],10,FALSE),"-")</f>
        <v>3440613036</v>
      </c>
      <c r="AQ602" s="63" t="str">
        <f>IFERROR(VLOOKUP(Table2[[#This Row],[Contraente]],Table1[[Nome/Ragione sociale]:[Checkbox selezionato]],11,FALSE),"-")</f>
        <v>SI</v>
      </c>
      <c r="AR602" s="63" t="str">
        <f>IFERROR(VLOOKUP(Table2[[#This Row],[Contraente]],Table1[[Nome/Ragione sociale]:[Checkbox selezionato]],12,FALSE),"-")</f>
        <v>SI</v>
      </c>
    </row>
    <row r="603" spans="1:44" ht="30" hidden="1" customHeight="1" x14ac:dyDescent="0.25">
      <c r="A603" s="60" t="str">
        <f>UPPER(LEFT(Table2[[#This Row],[Contraente]],1))</f>
        <v>L</v>
      </c>
      <c r="B603" s="60" t="s">
        <v>1634</v>
      </c>
      <c r="C603" s="81" t="s">
        <v>749</v>
      </c>
      <c r="D603" s="81" t="s">
        <v>37</v>
      </c>
      <c r="E603" s="86">
        <v>105762030</v>
      </c>
      <c r="F603" s="64">
        <v>42621</v>
      </c>
      <c r="G603" s="64">
        <f>IFERROR(CALCOLASCADENZA(Table2[[#This Row],[Data attivazione]],Table2[[#This Row],[Rateizzazione]],Table2[[#This Row],[Data ultimo pagamento]],Table2[[#This Row],[Data prossima scadenza manuale]]),"-")</f>
        <v>42621</v>
      </c>
      <c r="H603" s="67" t="s">
        <v>31</v>
      </c>
      <c r="I603" s="67" t="s">
        <v>1373</v>
      </c>
      <c r="J603" s="33">
        <v>-114.38</v>
      </c>
      <c r="K603" s="88"/>
      <c r="L603" s="88">
        <v>0</v>
      </c>
      <c r="M603" s="67" t="s">
        <v>45</v>
      </c>
      <c r="N603" s="67" t="s">
        <v>52</v>
      </c>
      <c r="O603" s="27" t="s">
        <v>1631</v>
      </c>
      <c r="P603" s="33" t="s">
        <v>24</v>
      </c>
      <c r="Q60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3" s="67" t="s">
        <v>2</v>
      </c>
      <c r="V603" s="62"/>
      <c r="W603" s="64">
        <v>693597</v>
      </c>
      <c r="X603" s="29">
        <f>DATE(YEAR(Table2[[#This Row],[Data attivazione]])+VLOOKUP(Table2[[#This Row],[Durata]],VALORE_DURATA,2,FALSE),MONTH(Table2[[#This Row],[Data attivazione]]),DAY(Table2[[#This Row],[Data attivazione]]))</f>
        <v>693962</v>
      </c>
      <c r="Y603" s="65"/>
      <c r="Z603" s="61"/>
      <c r="AA603" s="64" t="s">
        <v>88</v>
      </c>
      <c r="AB603" s="29" t="str">
        <f>IF(Table2[[#This Row],[Data ultimo versamento temp]]=0/1/1900,"-",Table2[[#This Row],[Data ultimo versamento temp]])</f>
        <v>-</v>
      </c>
      <c r="AC603" s="29">
        <f t="array" ref="AC603">MAX(IF(TableVersamenti[Polizza]=Table2[[#This Row],[Polizza]],TableVersamenti[Data prevista versamento],"-"))</f>
        <v>0</v>
      </c>
      <c r="AD603" s="62"/>
      <c r="AE603" s="106">
        <f>DATE(YEAR(Table2[[#This Row],[Data ultimo pagamento]]),MONTH(Table2[[#This Row],[Data ultimo pagamento]]), 1)</f>
        <v>42614</v>
      </c>
      <c r="AF603" s="106">
        <f>DATE(YEAR(Table2[[#This Row],[Data prossima scadenza]]),MONTH(Table2[[#This Row],[Data prossima scadenza]]), 1)</f>
        <v>42614</v>
      </c>
      <c r="AG603" s="33">
        <f>IFERROR(Table2[[#This Row],[Importo annuale]]*VLOOKUP(Table2[[#This Row],[Ramo]],RAMI_POLIZZA,2,FALSE),0)</f>
        <v>0</v>
      </c>
      <c r="AH603" s="65" t="s">
        <v>113</v>
      </c>
      <c r="AI603" s="63" t="str">
        <f>IFERROR(VLOOKUP(Table2[[#This Row],[Contraente]],Table1[[Nome/Ragione sociale]:[Checkbox selezionato]],2,FALSE),"-")</f>
        <v>TRAVACO' SICCOMARIO</v>
      </c>
      <c r="AJ603" s="63">
        <f>IFERROR(VLOOKUP(Table2[[#This Row],[Contraente]],Table1[[Nome/Ragione sociale]:[Checkbox selezionato]],3,FALSE),"-")</f>
        <v>3440613036</v>
      </c>
      <c r="AK603" s="63">
        <f>IFERROR(VLOOKUP(Table2[[#This Row],[Contraente]],Table1[[Nome/Ragione sociale]:[Checkbox selezionato]],4,FALSE),"-")</f>
        <v>0</v>
      </c>
      <c r="AL603" s="63" t="str">
        <f>IFERROR(VLOOKUP(Table2[[#This Row],[Contraente]],Table1[[Nome/Ragione sociale]:[Checkbox selezionato]],5,FALSE),"-")</f>
        <v>FABIO</v>
      </c>
      <c r="AM603" s="62">
        <f>IFERROR(VLOOKUP(Table2[[#This Row],[Contraente]],Table1[[Nome/Ragione sociale]:[Checkbox selezionato]],6,FALSE),"-")</f>
        <v>24724</v>
      </c>
      <c r="AN603" s="63" t="str">
        <f>IFERROR(VLOOKUP(Table2[[#This Row],[Contraente]],Table1[[Nome/Ragione sociale]:[Checkbox selezionato]],7,FALSE),"-")</f>
        <v>papies@libero.it</v>
      </c>
      <c r="AO603" s="63">
        <f>IFERROR(VLOOKUP(Table2[[#This Row],[Contraente]],Table1[[Nome/Ragione sociale]:[Checkbox selezionato]],8,FALSE),"-")</f>
        <v>0</v>
      </c>
      <c r="AP603" s="63">
        <f>IFERROR(VLOOKUP(Table2[[#This Row],[Contraente]],Table1[[Nome/Ragione sociale]:[Checkbox selezionato]],10,FALSE),"-")</f>
        <v>3440613036</v>
      </c>
      <c r="AQ603" s="63" t="str">
        <f>IFERROR(VLOOKUP(Table2[[#This Row],[Contraente]],Table1[[Nome/Ragione sociale]:[Checkbox selezionato]],11,FALSE),"-")</f>
        <v>SI</v>
      </c>
      <c r="AR603" s="63" t="str">
        <f>IFERROR(VLOOKUP(Table2[[#This Row],[Contraente]],Table1[[Nome/Ragione sociale]:[Checkbox selezionato]],12,FALSE),"-")</f>
        <v>SI</v>
      </c>
    </row>
    <row r="604" spans="1:44" ht="30" hidden="1" customHeight="1" x14ac:dyDescent="0.25">
      <c r="A604" s="60" t="str">
        <f>UPPER(LEFT(Table2[[#This Row],[Contraente]],1))</f>
        <v>L</v>
      </c>
      <c r="B604" s="60" t="s">
        <v>1634</v>
      </c>
      <c r="C604" s="81" t="s">
        <v>749</v>
      </c>
      <c r="D604" s="81" t="s">
        <v>37</v>
      </c>
      <c r="E604" s="86">
        <v>103689314</v>
      </c>
      <c r="F604" s="64">
        <v>42699</v>
      </c>
      <c r="G604" s="64" t="str">
        <f>IFERROR(CALCOLASCADENZA(Table2[[#This Row],[Data attivazione]],Table2[[#This Row],[Rateizzazione]],Table2[[#This Row],[Data ultimo pagamento]],Table2[[#This Row],[Data prossima scadenza manuale]]),"-")</f>
        <v>-</v>
      </c>
      <c r="H604" s="67" t="s">
        <v>31</v>
      </c>
      <c r="I604" s="67" t="s">
        <v>1374</v>
      </c>
      <c r="J604" s="33">
        <v>-74.77</v>
      </c>
      <c r="K604" s="88"/>
      <c r="L604" s="88">
        <v>0</v>
      </c>
      <c r="M604" s="67" t="s">
        <v>44</v>
      </c>
      <c r="N604" s="67" t="s">
        <v>51</v>
      </c>
      <c r="O604" s="27" t="s">
        <v>1631</v>
      </c>
      <c r="P604" s="33" t="s">
        <v>24</v>
      </c>
      <c r="Q60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4" s="67" t="s">
        <v>2</v>
      </c>
      <c r="V604" s="62"/>
      <c r="W604" s="64" t="e">
        <v>#VALUE!</v>
      </c>
      <c r="X60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04" s="65"/>
      <c r="Z604" s="61"/>
      <c r="AA604" s="64" t="s">
        <v>85</v>
      </c>
      <c r="AB604" s="29" t="str">
        <f>IF(Table2[[#This Row],[Data ultimo versamento temp]]=0/1/1900,"-",Table2[[#This Row],[Data ultimo versamento temp]])</f>
        <v>-</v>
      </c>
      <c r="AC604" s="29">
        <f t="array" ref="AC604">MAX(IF(TableVersamenti[Polizza]=Table2[[#This Row],[Polizza]],TableVersamenti[Data prevista versamento],"-"))</f>
        <v>0</v>
      </c>
      <c r="AD604" s="62"/>
      <c r="AE604" s="106">
        <f>DATE(YEAR(Table2[[#This Row],[Data ultimo pagamento]]),MONTH(Table2[[#This Row],[Data ultimo pagamento]]), 1)</f>
        <v>42675</v>
      </c>
      <c r="AF604" s="106" t="e">
        <f>DATE(YEAR(Table2[[#This Row],[Data prossima scadenza]]),MONTH(Table2[[#This Row],[Data prossima scadenza]]), 1)</f>
        <v>#VALUE!</v>
      </c>
      <c r="AG604" s="33">
        <f>IFERROR(Table2[[#This Row],[Importo annuale]]*VLOOKUP(Table2[[#This Row],[Ramo]],RAMI_POLIZZA,2,FALSE),0)</f>
        <v>0</v>
      </c>
      <c r="AH604" s="65" t="s">
        <v>113</v>
      </c>
      <c r="AI604" s="63" t="str">
        <f>IFERROR(VLOOKUP(Table2[[#This Row],[Contraente]],Table1[[Nome/Ragione sociale]:[Checkbox selezionato]],2,FALSE),"-")</f>
        <v>TRAVACO' SICCOMARIO</v>
      </c>
      <c r="AJ604" s="63">
        <f>IFERROR(VLOOKUP(Table2[[#This Row],[Contraente]],Table1[[Nome/Ragione sociale]:[Checkbox selezionato]],3,FALSE),"-")</f>
        <v>3440613036</v>
      </c>
      <c r="AK604" s="63">
        <f>IFERROR(VLOOKUP(Table2[[#This Row],[Contraente]],Table1[[Nome/Ragione sociale]:[Checkbox selezionato]],4,FALSE),"-")</f>
        <v>0</v>
      </c>
      <c r="AL604" s="63" t="str">
        <f>IFERROR(VLOOKUP(Table2[[#This Row],[Contraente]],Table1[[Nome/Ragione sociale]:[Checkbox selezionato]],5,FALSE),"-")</f>
        <v>FABIO</v>
      </c>
      <c r="AM604" s="62">
        <f>IFERROR(VLOOKUP(Table2[[#This Row],[Contraente]],Table1[[Nome/Ragione sociale]:[Checkbox selezionato]],6,FALSE),"-")</f>
        <v>24724</v>
      </c>
      <c r="AN604" s="63" t="str">
        <f>IFERROR(VLOOKUP(Table2[[#This Row],[Contraente]],Table1[[Nome/Ragione sociale]:[Checkbox selezionato]],7,FALSE),"-")</f>
        <v>papies@libero.it</v>
      </c>
      <c r="AO604" s="63">
        <f>IFERROR(VLOOKUP(Table2[[#This Row],[Contraente]],Table1[[Nome/Ragione sociale]:[Checkbox selezionato]],8,FALSE),"-")</f>
        <v>0</v>
      </c>
      <c r="AP604" s="63">
        <f>IFERROR(VLOOKUP(Table2[[#This Row],[Contraente]],Table1[[Nome/Ragione sociale]:[Checkbox selezionato]],10,FALSE),"-")</f>
        <v>3440613036</v>
      </c>
      <c r="AQ604" s="63" t="str">
        <f>IFERROR(VLOOKUP(Table2[[#This Row],[Contraente]],Table1[[Nome/Ragione sociale]:[Checkbox selezionato]],11,FALSE),"-")</f>
        <v>SI</v>
      </c>
      <c r="AR604" s="63" t="str">
        <f>IFERROR(VLOOKUP(Table2[[#This Row],[Contraente]],Table1[[Nome/Ragione sociale]:[Checkbox selezionato]],12,FALSE),"-")</f>
        <v>SI</v>
      </c>
    </row>
    <row r="605" spans="1:44" ht="30" hidden="1" customHeight="1" x14ac:dyDescent="0.25">
      <c r="A605" s="60" t="str">
        <f>UPPER(LEFT(Table2[[#This Row],[Contraente]],1))</f>
        <v>L</v>
      </c>
      <c r="B605" s="60" t="s">
        <v>1634</v>
      </c>
      <c r="C605" s="81" t="s">
        <v>749</v>
      </c>
      <c r="D605" s="81" t="s">
        <v>37</v>
      </c>
      <c r="E605" s="86">
        <v>104408606</v>
      </c>
      <c r="F605" s="64">
        <v>42502</v>
      </c>
      <c r="G605" s="64" t="str">
        <f>IFERROR(CALCOLASCADENZA(Table2[[#This Row],[Data attivazione]],Table2[[#This Row],[Rateizzazione]],Table2[[#This Row],[Data ultimo pagamento]],Table2[[#This Row],[Data prossima scadenza manuale]]),"-")</f>
        <v>-</v>
      </c>
      <c r="H605" s="67" t="s">
        <v>31</v>
      </c>
      <c r="I605" s="67" t="s">
        <v>1375</v>
      </c>
      <c r="J605" s="33">
        <v>-16.62</v>
      </c>
      <c r="K605" s="88"/>
      <c r="L605" s="88"/>
      <c r="M605" s="67" t="s">
        <v>44</v>
      </c>
      <c r="N605" s="67" t="s">
        <v>52</v>
      </c>
      <c r="O605" s="27" t="s">
        <v>1631</v>
      </c>
      <c r="P605" s="33" t="s">
        <v>24</v>
      </c>
      <c r="Q60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5" s="67" t="s">
        <v>2</v>
      </c>
      <c r="V605" s="62"/>
      <c r="W605" s="64" t="e">
        <v>#VALUE!</v>
      </c>
      <c r="X605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05" s="65"/>
      <c r="Z605" s="61"/>
      <c r="AA605" s="64" t="s">
        <v>85</v>
      </c>
      <c r="AB605" s="29" t="str">
        <f>IF(Table2[[#This Row],[Data ultimo versamento temp]]=0/1/1900,"-",Table2[[#This Row],[Data ultimo versamento temp]])</f>
        <v>-</v>
      </c>
      <c r="AC605" s="29">
        <f t="array" ref="AC605">MAX(IF(TableVersamenti[Polizza]=Table2[[#This Row],[Polizza]],TableVersamenti[Data prevista versamento],"-"))</f>
        <v>0</v>
      </c>
      <c r="AD605" s="62"/>
      <c r="AE605" s="106">
        <f>DATE(YEAR(Table2[[#This Row],[Data ultimo pagamento]]),MONTH(Table2[[#This Row],[Data ultimo pagamento]]), 1)</f>
        <v>42491</v>
      </c>
      <c r="AF605" s="106" t="e">
        <f>DATE(YEAR(Table2[[#This Row],[Data prossima scadenza]]),MONTH(Table2[[#This Row],[Data prossima scadenza]]), 1)</f>
        <v>#VALUE!</v>
      </c>
      <c r="AG605" s="33">
        <f>IFERROR(Table2[[#This Row],[Importo annuale]]*VLOOKUP(Table2[[#This Row],[Ramo]],RAMI_POLIZZA,2,FALSE),0)</f>
        <v>0</v>
      </c>
      <c r="AH605" s="65" t="s">
        <v>113</v>
      </c>
      <c r="AI605" s="63" t="str">
        <f>IFERROR(VLOOKUP(Table2[[#This Row],[Contraente]],Table1[[Nome/Ragione sociale]:[Checkbox selezionato]],2,FALSE),"-")</f>
        <v>TRAVACO' SICCOMARIO</v>
      </c>
      <c r="AJ605" s="63">
        <f>IFERROR(VLOOKUP(Table2[[#This Row],[Contraente]],Table1[[Nome/Ragione sociale]:[Checkbox selezionato]],3,FALSE),"-")</f>
        <v>3440613036</v>
      </c>
      <c r="AK605" s="63">
        <f>IFERROR(VLOOKUP(Table2[[#This Row],[Contraente]],Table1[[Nome/Ragione sociale]:[Checkbox selezionato]],4,FALSE),"-")</f>
        <v>0</v>
      </c>
      <c r="AL605" s="63" t="str">
        <f>IFERROR(VLOOKUP(Table2[[#This Row],[Contraente]],Table1[[Nome/Ragione sociale]:[Checkbox selezionato]],5,FALSE),"-")</f>
        <v>FABIO</v>
      </c>
      <c r="AM605" s="62">
        <f>IFERROR(VLOOKUP(Table2[[#This Row],[Contraente]],Table1[[Nome/Ragione sociale]:[Checkbox selezionato]],6,FALSE),"-")</f>
        <v>24724</v>
      </c>
      <c r="AN605" s="63" t="str">
        <f>IFERROR(VLOOKUP(Table2[[#This Row],[Contraente]],Table1[[Nome/Ragione sociale]:[Checkbox selezionato]],7,FALSE),"-")</f>
        <v>papies@libero.it</v>
      </c>
      <c r="AO605" s="63">
        <f>IFERROR(VLOOKUP(Table2[[#This Row],[Contraente]],Table1[[Nome/Ragione sociale]:[Checkbox selezionato]],8,FALSE),"-")</f>
        <v>0</v>
      </c>
      <c r="AP605" s="63">
        <f>IFERROR(VLOOKUP(Table2[[#This Row],[Contraente]],Table1[[Nome/Ragione sociale]:[Checkbox selezionato]],10,FALSE),"-")</f>
        <v>3440613036</v>
      </c>
      <c r="AQ605" s="63" t="str">
        <f>IFERROR(VLOOKUP(Table2[[#This Row],[Contraente]],Table1[[Nome/Ragione sociale]:[Checkbox selezionato]],11,FALSE),"-")</f>
        <v>SI</v>
      </c>
      <c r="AR605" s="63" t="str">
        <f>IFERROR(VLOOKUP(Table2[[#This Row],[Contraente]],Table1[[Nome/Ragione sociale]:[Checkbox selezionato]],12,FALSE),"-")</f>
        <v>SI</v>
      </c>
    </row>
    <row r="606" spans="1:44" ht="30" hidden="1" customHeight="1" x14ac:dyDescent="0.25">
      <c r="A606" s="60" t="str">
        <f>UPPER(LEFT(Table2[[#This Row],[Contraente]],1))</f>
        <v>L</v>
      </c>
      <c r="B606" s="60" t="s">
        <v>1634</v>
      </c>
      <c r="C606" s="81" t="s">
        <v>739</v>
      </c>
      <c r="D606" s="81" t="s">
        <v>37</v>
      </c>
      <c r="E606" s="86">
        <v>106657467</v>
      </c>
      <c r="F606" s="64">
        <v>42817</v>
      </c>
      <c r="G606" s="64">
        <f>IFERROR(CALCOLASCADENZA(Table2[[#This Row],[Data attivazione]],Table2[[#This Row],[Rateizzazione]],Table2[[#This Row],[Data ultimo pagamento]],Table2[[#This Row],[Data prossima scadenza manuale]]),"-")</f>
        <v>43182</v>
      </c>
      <c r="H606" s="67" t="s">
        <v>30</v>
      </c>
      <c r="I606" s="67" t="s">
        <v>113</v>
      </c>
      <c r="J606" s="33">
        <f>IFERROR(Table2[[#This Row],[Importo annuale]]/(12/VLOOKUP(Table2[[#This Row],[Rateizzazione]],TIPI_RATEIZZAZIONI,2,FALSE)),"-")</f>
        <v>240</v>
      </c>
      <c r="K606" s="88">
        <v>240</v>
      </c>
      <c r="L606" s="88">
        <v>240</v>
      </c>
      <c r="M606" s="67" t="s">
        <v>46</v>
      </c>
      <c r="N606" s="67" t="s">
        <v>52</v>
      </c>
      <c r="O606" s="27" t="s">
        <v>1631</v>
      </c>
      <c r="P606" s="33" t="s">
        <v>23</v>
      </c>
      <c r="Q606" s="60">
        <f>IFERROR(IF(12 / VLOOKUP(Table2[[#This Row],[Rateizzazione]],TIPI_RATEIZZAZIONI,2,FALSE) &gt;=1,  IF(Table2[[#This Row],[Data attivazione]] = "","-",MONTH(Table2[[#This Row],[Data attivazione]])),"-"),"-")</f>
        <v>3</v>
      </c>
      <c r="R6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6" s="67" t="s">
        <v>2</v>
      </c>
      <c r="V606" s="62"/>
      <c r="W606" s="64">
        <v>42817</v>
      </c>
      <c r="X606" s="29">
        <f>DATE(YEAR(Table2[[#This Row],[Data attivazione]])+VLOOKUP(Table2[[#This Row],[Durata]],VALORE_DURATA,2,FALSE),MONTH(Table2[[#This Row],[Data attivazione]]),DAY(Table2[[#This Row],[Data attivazione]]))</f>
        <v>43182</v>
      </c>
      <c r="Y606" s="65"/>
      <c r="Z606" s="61"/>
      <c r="AA606" s="64" t="s">
        <v>85</v>
      </c>
      <c r="AB606" s="29" t="str">
        <f>IF(Table2[[#This Row],[Data ultimo versamento temp]]=0/1/1900,"-",Table2[[#This Row],[Data ultimo versamento temp]])</f>
        <v>-</v>
      </c>
      <c r="AC606" s="29">
        <f t="array" ref="AC606">MAX(IF(TableVersamenti[Polizza]=Table2[[#This Row],[Polizza]],TableVersamenti[Data prevista versamento],"-"))</f>
        <v>0</v>
      </c>
      <c r="AD606" s="62"/>
      <c r="AE606" s="106">
        <f>DATE(YEAR(Table2[[#This Row],[Data ultimo pagamento]]),MONTH(Table2[[#This Row],[Data ultimo pagamento]]), 1)</f>
        <v>42795</v>
      </c>
      <c r="AF606" s="106">
        <f>DATE(YEAR(Table2[[#This Row],[Data prossima scadenza]]),MONTH(Table2[[#This Row],[Data prossima scadenza]]), 1)</f>
        <v>43160</v>
      </c>
      <c r="AG606" s="33">
        <f>IFERROR(Table2[[#This Row],[Importo annuale]]*VLOOKUP(Table2[[#This Row],[Ramo]],RAMI_POLIZZA,2,FALSE),0)</f>
        <v>27.6</v>
      </c>
      <c r="AH606" s="65" t="s">
        <v>113</v>
      </c>
      <c r="AI606" s="63" t="str">
        <f>IFERROR(VLOOKUP(Table2[[#This Row],[Contraente]],Table1[[Nome/Ragione sociale]:[Checkbox selezionato]],2,FALSE),"-")</f>
        <v>BELGIOIOSO</v>
      </c>
      <c r="AJ606" s="63">
        <f>IFERROR(VLOOKUP(Table2[[#This Row],[Contraente]],Table1[[Nome/Ragione sociale]:[Checkbox selezionato]],3,FALSE),"-")</f>
        <v>3347881724</v>
      </c>
      <c r="AK606" s="63">
        <f>IFERROR(VLOOKUP(Table2[[#This Row],[Contraente]],Table1[[Nome/Ragione sociale]:[Checkbox selezionato]],4,FALSE),"-")</f>
        <v>0</v>
      </c>
      <c r="AL606" s="63" t="str">
        <f>IFERROR(VLOOKUP(Table2[[#This Row],[Contraente]],Table1[[Nome/Ragione sociale]:[Checkbox selezionato]],5,FALSE),"-")</f>
        <v xml:space="preserve">MANUELA </v>
      </c>
      <c r="AM606" s="62">
        <f>IFERROR(VLOOKUP(Table2[[#This Row],[Contraente]],Table1[[Nome/Ragione sociale]:[Checkbox selezionato]],6,FALSE),"-")</f>
        <v>32184</v>
      </c>
      <c r="AN606" s="63" t="str">
        <f>IFERROR(VLOOKUP(Table2[[#This Row],[Contraente]],Table1[[Nome/Ragione sociale]:[Checkbox selezionato]],7,FALSE),"-")</f>
        <v>papies@libero.it</v>
      </c>
      <c r="AO606" s="63">
        <f>IFERROR(VLOOKUP(Table2[[#This Row],[Contraente]],Table1[[Nome/Ragione sociale]:[Checkbox selezionato]],8,FALSE),"-")</f>
        <v>0</v>
      </c>
      <c r="AP606" s="63">
        <f>IFERROR(VLOOKUP(Table2[[#This Row],[Contraente]],Table1[[Nome/Ragione sociale]:[Checkbox selezionato]],10,FALSE),"-")</f>
        <v>3347881724</v>
      </c>
      <c r="AQ606" s="63" t="str">
        <f>IFERROR(VLOOKUP(Table2[[#This Row],[Contraente]],Table1[[Nome/Ragione sociale]:[Checkbox selezionato]],11,FALSE),"-")</f>
        <v>SI</v>
      </c>
      <c r="AR606" s="63" t="str">
        <f>IFERROR(VLOOKUP(Table2[[#This Row],[Contraente]],Table1[[Nome/Ragione sociale]:[Checkbox selezionato]],12,FALSE),"-")</f>
        <v>SI</v>
      </c>
    </row>
    <row r="607" spans="1:44" ht="30" hidden="1" customHeight="1" x14ac:dyDescent="0.25">
      <c r="A607" s="60" t="str">
        <f>UPPER(LEFT(Table2[[#This Row],[Contraente]],1))</f>
        <v>L</v>
      </c>
      <c r="B607" s="60" t="s">
        <v>1634</v>
      </c>
      <c r="C607" s="81" t="s">
        <v>739</v>
      </c>
      <c r="D607" s="81" t="s">
        <v>37</v>
      </c>
      <c r="E607" s="86">
        <v>1086533</v>
      </c>
      <c r="F607" s="64">
        <v>42817</v>
      </c>
      <c r="G607" s="64">
        <f>IFERROR(CALCOLASCADENZA(Table2[[#This Row],[Data attivazione]],Table2[[#This Row],[Rateizzazione]],Table2[[#This Row],[Data ultimo pagamento]],Table2[[#This Row],[Data prossima scadenza manuale]]),"-")</f>
        <v>43182</v>
      </c>
      <c r="H607" s="67" t="s">
        <v>32</v>
      </c>
      <c r="I607" s="67" t="s">
        <v>113</v>
      </c>
      <c r="J607" s="33">
        <f>IFERROR(Table2[[#This Row],[Importo annuale]]/(12/VLOOKUP(Table2[[#This Row],[Rateizzazione]],TIPI_RATEIZZAZIONI,2,FALSE)),"-")</f>
        <v>80</v>
      </c>
      <c r="K607" s="88">
        <v>80</v>
      </c>
      <c r="L607" s="88">
        <v>80</v>
      </c>
      <c r="M607" s="67" t="s">
        <v>46</v>
      </c>
      <c r="N607" s="67" t="s">
        <v>52</v>
      </c>
      <c r="O607" s="27" t="s">
        <v>1631</v>
      </c>
      <c r="P607" s="33" t="s">
        <v>23</v>
      </c>
      <c r="Q607" s="60">
        <f>IFERROR(IF(12 / VLOOKUP(Table2[[#This Row],[Rateizzazione]],TIPI_RATEIZZAZIONI,2,FALSE) &gt;=1,  IF(Table2[[#This Row],[Data attivazione]] = "","-",MONTH(Table2[[#This Row],[Data attivazione]])),"-"),"-")</f>
        <v>3</v>
      </c>
      <c r="R6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7" s="67" t="s">
        <v>2</v>
      </c>
      <c r="V607" s="62"/>
      <c r="W607" s="64">
        <v>42817</v>
      </c>
      <c r="X607" s="29">
        <f>DATE(YEAR(Table2[[#This Row],[Data attivazione]])+VLOOKUP(Table2[[#This Row],[Durata]],VALORE_DURATA,2,FALSE),MONTH(Table2[[#This Row],[Data attivazione]]),DAY(Table2[[#This Row],[Data attivazione]]))</f>
        <v>43182</v>
      </c>
      <c r="Y607" s="65"/>
      <c r="Z607" s="61"/>
      <c r="AA607" s="64" t="s">
        <v>85</v>
      </c>
      <c r="AB607" s="29" t="str">
        <f>IF(Table2[[#This Row],[Data ultimo versamento temp]]=0/1/1900,"-",Table2[[#This Row],[Data ultimo versamento temp]])</f>
        <v>-</v>
      </c>
      <c r="AC607" s="29">
        <f t="array" ref="AC607">MAX(IF(TableVersamenti[Polizza]=Table2[[#This Row],[Polizza]],TableVersamenti[Data prevista versamento],"-"))</f>
        <v>0</v>
      </c>
      <c r="AD607" s="62"/>
      <c r="AE607" s="106">
        <f>DATE(YEAR(Table2[[#This Row],[Data ultimo pagamento]]),MONTH(Table2[[#This Row],[Data ultimo pagamento]]), 1)</f>
        <v>42795</v>
      </c>
      <c r="AF607" s="106">
        <f>DATE(YEAR(Table2[[#This Row],[Data prossima scadenza]]),MONTH(Table2[[#This Row],[Data prossima scadenza]]), 1)</f>
        <v>43160</v>
      </c>
      <c r="AG607" s="33">
        <f>IFERROR(Table2[[#This Row],[Importo annuale]]*VLOOKUP(Table2[[#This Row],[Ramo]],RAMI_POLIZZA,2,FALSE),0)</f>
        <v>1.2</v>
      </c>
      <c r="AH607" s="65" t="s">
        <v>113</v>
      </c>
      <c r="AI607" s="63" t="str">
        <f>IFERROR(VLOOKUP(Table2[[#This Row],[Contraente]],Table1[[Nome/Ragione sociale]:[Checkbox selezionato]],2,FALSE),"-")</f>
        <v>BELGIOIOSO</v>
      </c>
      <c r="AJ607" s="63">
        <f>IFERROR(VLOOKUP(Table2[[#This Row],[Contraente]],Table1[[Nome/Ragione sociale]:[Checkbox selezionato]],3,FALSE),"-")</f>
        <v>3347881724</v>
      </c>
      <c r="AK607" s="63">
        <f>IFERROR(VLOOKUP(Table2[[#This Row],[Contraente]],Table1[[Nome/Ragione sociale]:[Checkbox selezionato]],4,FALSE),"-")</f>
        <v>0</v>
      </c>
      <c r="AL607" s="63" t="str">
        <f>IFERROR(VLOOKUP(Table2[[#This Row],[Contraente]],Table1[[Nome/Ragione sociale]:[Checkbox selezionato]],5,FALSE),"-")</f>
        <v xml:space="preserve">MANUELA </v>
      </c>
      <c r="AM607" s="62">
        <f>IFERROR(VLOOKUP(Table2[[#This Row],[Contraente]],Table1[[Nome/Ragione sociale]:[Checkbox selezionato]],6,FALSE),"-")</f>
        <v>32184</v>
      </c>
      <c r="AN607" s="63" t="str">
        <f>IFERROR(VLOOKUP(Table2[[#This Row],[Contraente]],Table1[[Nome/Ragione sociale]:[Checkbox selezionato]],7,FALSE),"-")</f>
        <v>papies@libero.it</v>
      </c>
      <c r="AO607" s="63">
        <f>IFERROR(VLOOKUP(Table2[[#This Row],[Contraente]],Table1[[Nome/Ragione sociale]:[Checkbox selezionato]],8,FALSE),"-")</f>
        <v>0</v>
      </c>
      <c r="AP607" s="63">
        <f>IFERROR(VLOOKUP(Table2[[#This Row],[Contraente]],Table1[[Nome/Ragione sociale]:[Checkbox selezionato]],10,FALSE),"-")</f>
        <v>3347881724</v>
      </c>
      <c r="AQ607" s="63" t="str">
        <f>IFERROR(VLOOKUP(Table2[[#This Row],[Contraente]],Table1[[Nome/Ragione sociale]:[Checkbox selezionato]],11,FALSE),"-")</f>
        <v>SI</v>
      </c>
      <c r="AR607" s="63" t="str">
        <f>IFERROR(VLOOKUP(Table2[[#This Row],[Contraente]],Table1[[Nome/Ragione sociale]:[Checkbox selezionato]],12,FALSE),"-")</f>
        <v>SI</v>
      </c>
    </row>
    <row r="608" spans="1:44" ht="30" hidden="1" customHeight="1" x14ac:dyDescent="0.25">
      <c r="A608" s="60" t="str">
        <f>UPPER(LEFT(Table2[[#This Row],[Contraente]],1))</f>
        <v>L</v>
      </c>
      <c r="B608" s="60" t="s">
        <v>1634</v>
      </c>
      <c r="C608" s="81" t="s">
        <v>739</v>
      </c>
      <c r="D608" s="81" t="s">
        <v>1122</v>
      </c>
      <c r="E608" s="86">
        <v>106504839</v>
      </c>
      <c r="F608" s="64">
        <v>42774</v>
      </c>
      <c r="G608" s="64">
        <f>IFERROR(CALCOLASCADENZA(Table2[[#This Row],[Data attivazione]],Table2[[#This Row],[Rateizzazione]],Table2[[#This Row],[Data ultimo pagamento]],Table2[[#This Row],[Data prossima scadenza manuale]]),"-")</f>
        <v>42957</v>
      </c>
      <c r="H608" s="67" t="s">
        <v>31</v>
      </c>
      <c r="I608" s="67" t="s">
        <v>1367</v>
      </c>
      <c r="J608" s="33">
        <f>IFERROR(Table2[[#This Row],[Importo annuale]]/(12/VLOOKUP(Table2[[#This Row],[Rateizzazione]],TIPI_RATEIZZAZIONI,2,FALSE)),"-")</f>
        <v>249.35</v>
      </c>
      <c r="K608" s="88">
        <v>249.35</v>
      </c>
      <c r="L608" s="88">
        <v>498.7</v>
      </c>
      <c r="M608" s="67" t="s">
        <v>1630</v>
      </c>
      <c r="N608" s="67" t="s">
        <v>52</v>
      </c>
      <c r="O608" s="27" t="s">
        <v>1631</v>
      </c>
      <c r="P608" s="33" t="s">
        <v>22</v>
      </c>
      <c r="Q608" s="60">
        <f>IFERROR(IF(12 / VLOOKUP(Table2[[#This Row],[Rateizzazione]],TIPI_RATEIZZAZIONI,2,FALSE) &gt;=1,  IF(Table2[[#This Row],[Data attivazione]] = "","-",MONTH(Table2[[#This Row],[Data attivazione]])),"-"),"-")</f>
        <v>2</v>
      </c>
      <c r="R6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6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8" s="67" t="s">
        <v>2</v>
      </c>
      <c r="V608" s="62"/>
      <c r="W608" s="64">
        <v>42776</v>
      </c>
      <c r="X608" s="29">
        <f>DATE(YEAR(Table2[[#This Row],[Data attivazione]])+VLOOKUP(Table2[[#This Row],[Durata]],VALORE_DURATA,2,FALSE),MONTH(Table2[[#This Row],[Data attivazione]]),DAY(Table2[[#This Row],[Data attivazione]]))</f>
        <v>43141</v>
      </c>
      <c r="Y608" s="65"/>
      <c r="Z608" s="61"/>
      <c r="AA608" s="64" t="s">
        <v>85</v>
      </c>
      <c r="AB608" s="29" t="str">
        <f>IF(Table2[[#This Row],[Data ultimo versamento temp]]=0/1/1900,"-",Table2[[#This Row],[Data ultimo versamento temp]])</f>
        <v>-</v>
      </c>
      <c r="AC608" s="29">
        <f t="array" ref="AC608">MAX(IF(TableVersamenti[Polizza]=Table2[[#This Row],[Polizza]],TableVersamenti[Data prevista versamento],"-"))</f>
        <v>0</v>
      </c>
      <c r="AD608" s="62"/>
      <c r="AE608" s="106">
        <f>DATE(YEAR(Table2[[#This Row],[Data ultimo pagamento]]),MONTH(Table2[[#This Row],[Data ultimo pagamento]]), 1)</f>
        <v>42767</v>
      </c>
      <c r="AF608" s="106">
        <f>DATE(YEAR(Table2[[#This Row],[Data prossima scadenza]]),MONTH(Table2[[#This Row],[Data prossima scadenza]]), 1)</f>
        <v>42948</v>
      </c>
      <c r="AG608" s="33">
        <f>IFERROR(Table2[[#This Row],[Importo annuale]]*VLOOKUP(Table2[[#This Row],[Ramo]],RAMI_POLIZZA,2,FALSE),0)</f>
        <v>25.932399999999998</v>
      </c>
      <c r="AH608" s="65" t="s">
        <v>113</v>
      </c>
      <c r="AI608" s="63" t="str">
        <f>IFERROR(VLOOKUP(Table2[[#This Row],[Contraente]],Table1[[Nome/Ragione sociale]:[Checkbox selezionato]],2,FALSE),"-")</f>
        <v>BELGIOIOSO</v>
      </c>
      <c r="AJ608" s="63">
        <f>IFERROR(VLOOKUP(Table2[[#This Row],[Contraente]],Table1[[Nome/Ragione sociale]:[Checkbox selezionato]],3,FALSE),"-")</f>
        <v>3347881724</v>
      </c>
      <c r="AK608" s="63">
        <f>IFERROR(VLOOKUP(Table2[[#This Row],[Contraente]],Table1[[Nome/Ragione sociale]:[Checkbox selezionato]],4,FALSE),"-")</f>
        <v>0</v>
      </c>
      <c r="AL608" s="63" t="str">
        <f>IFERROR(VLOOKUP(Table2[[#This Row],[Contraente]],Table1[[Nome/Ragione sociale]:[Checkbox selezionato]],5,FALSE),"-")</f>
        <v xml:space="preserve">MANUELA </v>
      </c>
      <c r="AM608" s="62">
        <f>IFERROR(VLOOKUP(Table2[[#This Row],[Contraente]],Table1[[Nome/Ragione sociale]:[Checkbox selezionato]],6,FALSE),"-")</f>
        <v>32184</v>
      </c>
      <c r="AN608" s="63" t="str">
        <f>IFERROR(VLOOKUP(Table2[[#This Row],[Contraente]],Table1[[Nome/Ragione sociale]:[Checkbox selezionato]],7,FALSE),"-")</f>
        <v>papies@libero.it</v>
      </c>
      <c r="AO608" s="63">
        <f>IFERROR(VLOOKUP(Table2[[#This Row],[Contraente]],Table1[[Nome/Ragione sociale]:[Checkbox selezionato]],8,FALSE),"-")</f>
        <v>0</v>
      </c>
      <c r="AP608" s="63">
        <f>IFERROR(VLOOKUP(Table2[[#This Row],[Contraente]],Table1[[Nome/Ragione sociale]:[Checkbox selezionato]],10,FALSE),"-")</f>
        <v>3347881724</v>
      </c>
      <c r="AQ608" s="63" t="str">
        <f>IFERROR(VLOOKUP(Table2[[#This Row],[Contraente]],Table1[[Nome/Ragione sociale]:[Checkbox selezionato]],11,FALSE),"-")</f>
        <v>SI</v>
      </c>
      <c r="AR608" s="63" t="str">
        <f>IFERROR(VLOOKUP(Table2[[#This Row],[Contraente]],Table1[[Nome/Ragione sociale]:[Checkbox selezionato]],12,FALSE),"-")</f>
        <v>SI</v>
      </c>
    </row>
    <row r="609" spans="1:44" ht="30" hidden="1" customHeight="1" x14ac:dyDescent="0.25">
      <c r="A609" s="60" t="str">
        <f>UPPER(LEFT(Table2[[#This Row],[Contraente]],1))</f>
        <v>L</v>
      </c>
      <c r="B609" s="60" t="s">
        <v>1634</v>
      </c>
      <c r="C609" s="81" t="s">
        <v>1721</v>
      </c>
      <c r="D609" s="81" t="s">
        <v>37</v>
      </c>
      <c r="E609" s="86">
        <v>106982824</v>
      </c>
      <c r="F609" s="64">
        <v>42900</v>
      </c>
      <c r="G609" s="64">
        <f>IFERROR(CALCOLASCADENZA(Table2[[#This Row],[Data attivazione]],Table2[[#This Row],[Rateizzazione]],Table2[[#This Row],[Data ultimo pagamento]],Table2[[#This Row],[Data prossima scadenza manuale]]),"-")</f>
        <v>43265</v>
      </c>
      <c r="H609" s="67" t="s">
        <v>30</v>
      </c>
      <c r="I609" s="67" t="s">
        <v>113</v>
      </c>
      <c r="J609" s="33">
        <f>IFERROR(Table2[[#This Row],[Importo annuale]]/(12/VLOOKUP(Table2[[#This Row],[Rateizzazione]],TIPI_RATEIZZAZIONI,2,FALSE)),"-")</f>
        <v>168</v>
      </c>
      <c r="K609" s="88">
        <v>168</v>
      </c>
      <c r="L609" s="88">
        <v>168</v>
      </c>
      <c r="M609" s="67" t="s">
        <v>45</v>
      </c>
      <c r="N609" s="67" t="s">
        <v>52</v>
      </c>
      <c r="O609" s="27" t="s">
        <v>1631</v>
      </c>
      <c r="P609" s="33" t="s">
        <v>23</v>
      </c>
      <c r="Q609" s="60">
        <f>IFERROR(IF(12 / VLOOKUP(Table2[[#This Row],[Rateizzazione]],TIPI_RATEIZZAZIONI,2,FALSE) &gt;=1,  IF(Table2[[#This Row],[Data attivazione]] = "","-",MONTH(Table2[[#This Row],[Data attivazione]])),"-"),"-")</f>
        <v>6</v>
      </c>
      <c r="R6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9" s="67" t="s">
        <v>2</v>
      </c>
      <c r="V609" s="62"/>
      <c r="W609" s="64">
        <v>42900</v>
      </c>
      <c r="X609" s="29">
        <f>DATE(YEAR(Table2[[#This Row],[Data attivazione]])+VLOOKUP(Table2[[#This Row],[Durata]],VALORE_DURATA,2,FALSE),MONTH(Table2[[#This Row],[Data attivazione]]),DAY(Table2[[#This Row],[Data attivazione]]))</f>
        <v>43265</v>
      </c>
      <c r="Y609" s="65"/>
      <c r="Z609" s="61"/>
      <c r="AA609" s="64" t="s">
        <v>85</v>
      </c>
      <c r="AB609" s="29" t="str">
        <f>IF(Table2[[#This Row],[Data ultimo versamento temp]]=0/1/1900,"-",Table2[[#This Row],[Data ultimo versamento temp]])</f>
        <v>-</v>
      </c>
      <c r="AC609" s="29">
        <f t="array" ref="AC609">MAX(IF(TableVersamenti[Polizza]=Table2[[#This Row],[Polizza]],TableVersamenti[Data prevista versamento],"-"))</f>
        <v>0</v>
      </c>
      <c r="AD609" s="62"/>
      <c r="AE609" s="106">
        <f>DATE(YEAR(Table2[[#This Row],[Data ultimo pagamento]]),MONTH(Table2[[#This Row],[Data ultimo pagamento]]), 1)</f>
        <v>42887</v>
      </c>
      <c r="AF609" s="106">
        <f>DATE(YEAR(Table2[[#This Row],[Data prossima scadenza]]),MONTH(Table2[[#This Row],[Data prossima scadenza]]), 1)</f>
        <v>43252</v>
      </c>
      <c r="AG609" s="33">
        <f>IFERROR(Table2[[#This Row],[Importo annuale]]*VLOOKUP(Table2[[#This Row],[Ramo]],RAMI_POLIZZA,2,FALSE),0)</f>
        <v>19.32</v>
      </c>
      <c r="AH609" s="65" t="s">
        <v>113</v>
      </c>
      <c r="AI609" s="63" t="str">
        <f>IFERROR(VLOOKUP(Table2[[#This Row],[Contraente]],Table1[[Nome/Ragione sociale]:[Checkbox selezionato]],2,FALSE),"-")</f>
        <v>BELGIOIOSO</v>
      </c>
      <c r="AJ609" s="63">
        <f>IFERROR(VLOOKUP(Table2[[#This Row],[Contraente]],Table1[[Nome/Ragione sociale]:[Checkbox selezionato]],3,FALSE),"-")</f>
        <v>3318189824</v>
      </c>
      <c r="AK609" s="63">
        <f>IFERROR(VLOOKUP(Table2[[#This Row],[Contraente]],Table1[[Nome/Ragione sociale]:[Checkbox selezionato]],4,FALSE),"-")</f>
        <v>0</v>
      </c>
      <c r="AL609" s="63" t="str">
        <f>IFERROR(VLOOKUP(Table2[[#This Row],[Contraente]],Table1[[Nome/Ragione sociale]:[Checkbox selezionato]],5,FALSE),"-")</f>
        <v>MANTOVANI</v>
      </c>
      <c r="AM609" s="62" t="str">
        <f>IFERROR(VLOOKUP(Table2[[#This Row],[Contraente]],Table1[[Nome/Ragione sociale]:[Checkbox selezionato]],6,FALSE),"-")</f>
        <v>-</v>
      </c>
      <c r="AN609" s="63" t="str">
        <f>IFERROR(VLOOKUP(Table2[[#This Row],[Contraente]],Table1[[Nome/Ragione sociale]:[Checkbox selezionato]],7,FALSE),"-")</f>
        <v>papies@email.it</v>
      </c>
      <c r="AO609" s="63">
        <f>IFERROR(VLOOKUP(Table2[[#This Row],[Contraente]],Table1[[Nome/Ragione sociale]:[Checkbox selezionato]],8,FALSE),"-")</f>
        <v>0</v>
      </c>
      <c r="AP609" s="63">
        <f>IFERROR(VLOOKUP(Table2[[#This Row],[Contraente]],Table1[[Nome/Ragione sociale]:[Checkbox selezionato]],10,FALSE),"-")</f>
        <v>3318189824</v>
      </c>
      <c r="AQ609" s="63" t="str">
        <f>IFERROR(VLOOKUP(Table2[[#This Row],[Contraente]],Table1[[Nome/Ragione sociale]:[Checkbox selezionato]],11,FALSE),"-")</f>
        <v>SI</v>
      </c>
      <c r="AR609" s="63" t="str">
        <f>IFERROR(VLOOKUP(Table2[[#This Row],[Contraente]],Table1[[Nome/Ragione sociale]:[Checkbox selezionato]],12,FALSE),"-")</f>
        <v>SI</v>
      </c>
    </row>
    <row r="610" spans="1:44" ht="30" hidden="1" customHeight="1" x14ac:dyDescent="0.25">
      <c r="A610" s="60" t="str">
        <f>UPPER(LEFT(Table2[[#This Row],[Contraente]],1))</f>
        <v>L</v>
      </c>
      <c r="B610" s="60" t="s">
        <v>1634</v>
      </c>
      <c r="C610" s="81" t="s">
        <v>1721</v>
      </c>
      <c r="D610" s="81" t="s">
        <v>37</v>
      </c>
      <c r="E610" s="86">
        <v>106982805</v>
      </c>
      <c r="F610" s="64">
        <v>42900</v>
      </c>
      <c r="G610" s="64">
        <f>IFERROR(CALCOLASCADENZA(Table2[[#This Row],[Data attivazione]],Table2[[#This Row],[Rateizzazione]],Table2[[#This Row],[Data ultimo pagamento]],Table2[[#This Row],[Data prossima scadenza manuale]]),"-")</f>
        <v>43083</v>
      </c>
      <c r="H610" s="67" t="s">
        <v>30</v>
      </c>
      <c r="I610" s="67" t="s">
        <v>113</v>
      </c>
      <c r="J610" s="33">
        <f>IFERROR(Table2[[#This Row],[Importo annuale]]/(12/VLOOKUP(Table2[[#This Row],[Rateizzazione]],TIPI_RATEIZZAZIONI,2,FALSE)),"-")</f>
        <v>283</v>
      </c>
      <c r="K610" s="88">
        <v>283</v>
      </c>
      <c r="L610" s="88">
        <v>566</v>
      </c>
      <c r="M610" s="67" t="s">
        <v>45</v>
      </c>
      <c r="N610" s="67" t="s">
        <v>52</v>
      </c>
      <c r="O610" s="27" t="s">
        <v>1631</v>
      </c>
      <c r="P610" s="33" t="s">
        <v>22</v>
      </c>
      <c r="Q610" s="60">
        <f>IFERROR(IF(12 / VLOOKUP(Table2[[#This Row],[Rateizzazione]],TIPI_RATEIZZAZIONI,2,FALSE) &gt;=1,  IF(Table2[[#This Row],[Data attivazione]] = "","-",MONTH(Table2[[#This Row],[Data attivazione]])),"-"),"-")</f>
        <v>12</v>
      </c>
      <c r="R6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0" s="67" t="s">
        <v>2</v>
      </c>
      <c r="V610" s="62"/>
      <c r="W610" s="64">
        <v>42718</v>
      </c>
      <c r="X610" s="29">
        <f>DATE(YEAR(Table2[[#This Row],[Data attivazione]])+VLOOKUP(Table2[[#This Row],[Durata]],VALORE_DURATA,2,FALSE),MONTH(Table2[[#This Row],[Data attivazione]]),DAY(Table2[[#This Row],[Data attivazione]]))</f>
        <v>43083</v>
      </c>
      <c r="Y610" s="65"/>
      <c r="Z610" s="61"/>
      <c r="AA610" s="64" t="s">
        <v>85</v>
      </c>
      <c r="AB610" s="29" t="str">
        <f>IF(Table2[[#This Row],[Data ultimo versamento temp]]=0/1/1900,"-",Table2[[#This Row],[Data ultimo versamento temp]])</f>
        <v>-</v>
      </c>
      <c r="AC610" s="29">
        <f t="array" ref="AC610">MAX(IF(TableVersamenti[Polizza]=Table2[[#This Row],[Polizza]],TableVersamenti[Data prevista versamento],"-"))</f>
        <v>0</v>
      </c>
      <c r="AD610" s="62"/>
      <c r="AE610" s="106">
        <f>DATE(YEAR(Table2[[#This Row],[Data ultimo pagamento]]),MONTH(Table2[[#This Row],[Data ultimo pagamento]]), 1)</f>
        <v>42887</v>
      </c>
      <c r="AF610" s="106">
        <f>DATE(YEAR(Table2[[#This Row],[Data prossima scadenza]]),MONTH(Table2[[#This Row],[Data prossima scadenza]]), 1)</f>
        <v>43070</v>
      </c>
      <c r="AG610" s="33">
        <f>IFERROR(Table2[[#This Row],[Importo annuale]]*VLOOKUP(Table2[[#This Row],[Ramo]],RAMI_POLIZZA,2,FALSE),0)</f>
        <v>65.09</v>
      </c>
      <c r="AH610" s="65" t="s">
        <v>113</v>
      </c>
      <c r="AI610" s="63" t="str">
        <f>IFERROR(VLOOKUP(Table2[[#This Row],[Contraente]],Table1[[Nome/Ragione sociale]:[Checkbox selezionato]],2,FALSE),"-")</f>
        <v>BELGIOIOSO</v>
      </c>
      <c r="AJ610" s="63">
        <f>IFERROR(VLOOKUP(Table2[[#This Row],[Contraente]],Table1[[Nome/Ragione sociale]:[Checkbox selezionato]],3,FALSE),"-")</f>
        <v>3318189824</v>
      </c>
      <c r="AK610" s="63">
        <f>IFERROR(VLOOKUP(Table2[[#This Row],[Contraente]],Table1[[Nome/Ragione sociale]:[Checkbox selezionato]],4,FALSE),"-")</f>
        <v>0</v>
      </c>
      <c r="AL610" s="63" t="str">
        <f>IFERROR(VLOOKUP(Table2[[#This Row],[Contraente]],Table1[[Nome/Ragione sociale]:[Checkbox selezionato]],5,FALSE),"-")</f>
        <v>MANTOVANI</v>
      </c>
      <c r="AM610" s="62" t="str">
        <f>IFERROR(VLOOKUP(Table2[[#This Row],[Contraente]],Table1[[Nome/Ragione sociale]:[Checkbox selezionato]],6,FALSE),"-")</f>
        <v>-</v>
      </c>
      <c r="AN610" s="63" t="str">
        <f>IFERROR(VLOOKUP(Table2[[#This Row],[Contraente]],Table1[[Nome/Ragione sociale]:[Checkbox selezionato]],7,FALSE),"-")</f>
        <v>papies@email.it</v>
      </c>
      <c r="AO610" s="63">
        <f>IFERROR(VLOOKUP(Table2[[#This Row],[Contraente]],Table1[[Nome/Ragione sociale]:[Checkbox selezionato]],8,FALSE),"-")</f>
        <v>0</v>
      </c>
      <c r="AP610" s="63">
        <f>IFERROR(VLOOKUP(Table2[[#This Row],[Contraente]],Table1[[Nome/Ragione sociale]:[Checkbox selezionato]],10,FALSE),"-")</f>
        <v>3318189824</v>
      </c>
      <c r="AQ610" s="63" t="str">
        <f>IFERROR(VLOOKUP(Table2[[#This Row],[Contraente]],Table1[[Nome/Ragione sociale]:[Checkbox selezionato]],11,FALSE),"-")</f>
        <v>SI</v>
      </c>
      <c r="AR610" s="63" t="str">
        <f>IFERROR(VLOOKUP(Table2[[#This Row],[Contraente]],Table1[[Nome/Ragione sociale]:[Checkbox selezionato]],12,FALSE),"-")</f>
        <v>SI</v>
      </c>
    </row>
    <row r="611" spans="1:44" ht="30" hidden="1" customHeight="1" x14ac:dyDescent="0.25">
      <c r="A611" s="60" t="str">
        <f>UPPER(LEFT(Table2[[#This Row],[Contraente]],1))</f>
        <v>L</v>
      </c>
      <c r="B611" s="60" t="s">
        <v>1634</v>
      </c>
      <c r="C611" s="81" t="s">
        <v>1721</v>
      </c>
      <c r="D611" s="81" t="s">
        <v>37</v>
      </c>
      <c r="E611" s="86">
        <v>106982814</v>
      </c>
      <c r="F611" s="64">
        <v>42900</v>
      </c>
      <c r="G611" s="64">
        <f>IFERROR(CALCOLASCADENZA(Table2[[#This Row],[Data attivazione]],Table2[[#This Row],[Rateizzazione]],Table2[[#This Row],[Data ultimo pagamento]],Table2[[#This Row],[Data prossima scadenza manuale]]),"-")</f>
        <v>43086</v>
      </c>
      <c r="H611" s="67" t="s">
        <v>31</v>
      </c>
      <c r="I611" s="67" t="s">
        <v>1752</v>
      </c>
      <c r="J611" s="33">
        <f>IFERROR(Table2[[#This Row],[Importo annuale]]/(12/VLOOKUP(Table2[[#This Row],[Rateizzazione]],TIPI_RATEIZZAZIONI,2,FALSE)),"-")</f>
        <v>485.01</v>
      </c>
      <c r="K611" s="88">
        <v>485.01</v>
      </c>
      <c r="L611" s="88">
        <v>970.02</v>
      </c>
      <c r="M611" s="67" t="s">
        <v>45</v>
      </c>
      <c r="N611" s="67" t="s">
        <v>52</v>
      </c>
      <c r="O611" s="27" t="s">
        <v>1631</v>
      </c>
      <c r="P611" s="33" t="s">
        <v>22</v>
      </c>
      <c r="Q611" s="60">
        <f>IFERROR(IF(12 / VLOOKUP(Table2[[#This Row],[Rateizzazione]],TIPI_RATEIZZAZIONI,2,FALSE) &gt;=1,  IF(Table2[[#This Row],[Data attivazione]] = "","-",MONTH(Table2[[#This Row],[Data attivazione]])),"-"),"-")</f>
        <v>12</v>
      </c>
      <c r="R6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1" s="67" t="s">
        <v>2</v>
      </c>
      <c r="V611" s="62"/>
      <c r="W611" s="64">
        <v>42721</v>
      </c>
      <c r="X611" s="29">
        <f>DATE(YEAR(Table2[[#This Row],[Data attivazione]])+VLOOKUP(Table2[[#This Row],[Durata]],VALORE_DURATA,2,FALSE),MONTH(Table2[[#This Row],[Data attivazione]]),DAY(Table2[[#This Row],[Data attivazione]]))</f>
        <v>43086</v>
      </c>
      <c r="Y611" s="65"/>
      <c r="Z611" s="61"/>
      <c r="AA611" s="64" t="s">
        <v>85</v>
      </c>
      <c r="AB611" s="29" t="str">
        <f>IF(Table2[[#This Row],[Data ultimo versamento temp]]=0/1/1900,"-",Table2[[#This Row],[Data ultimo versamento temp]])</f>
        <v>-</v>
      </c>
      <c r="AC611" s="29">
        <f t="array" ref="AC611">MAX(IF(TableVersamenti[Polizza]=Table2[[#This Row],[Polizza]],TableVersamenti[Data prevista versamento],"-"))</f>
        <v>0</v>
      </c>
      <c r="AD611" s="62"/>
      <c r="AE611" s="106">
        <f>DATE(YEAR(Table2[[#This Row],[Data ultimo pagamento]]),MONTH(Table2[[#This Row],[Data ultimo pagamento]]), 1)</f>
        <v>42887</v>
      </c>
      <c r="AF611" s="106">
        <f>DATE(YEAR(Table2[[#This Row],[Data prossima scadenza]]),MONTH(Table2[[#This Row],[Data prossima scadenza]]), 1)</f>
        <v>43070</v>
      </c>
      <c r="AG611" s="33">
        <f>IFERROR(Table2[[#This Row],[Importo annuale]]*VLOOKUP(Table2[[#This Row],[Ramo]],RAMI_POLIZZA,2,FALSE),0)</f>
        <v>50.441039999999994</v>
      </c>
      <c r="AH611" s="65" t="s">
        <v>113</v>
      </c>
      <c r="AI611" s="63" t="str">
        <f>IFERROR(VLOOKUP(Table2[[#This Row],[Contraente]],Table1[[Nome/Ragione sociale]:[Checkbox selezionato]],2,FALSE),"-")</f>
        <v>BELGIOIOSO</v>
      </c>
      <c r="AJ611" s="63">
        <f>IFERROR(VLOOKUP(Table2[[#This Row],[Contraente]],Table1[[Nome/Ragione sociale]:[Checkbox selezionato]],3,FALSE),"-")</f>
        <v>3318189824</v>
      </c>
      <c r="AK611" s="63">
        <f>IFERROR(VLOOKUP(Table2[[#This Row],[Contraente]],Table1[[Nome/Ragione sociale]:[Checkbox selezionato]],4,FALSE),"-")</f>
        <v>0</v>
      </c>
      <c r="AL611" s="63" t="str">
        <f>IFERROR(VLOOKUP(Table2[[#This Row],[Contraente]],Table1[[Nome/Ragione sociale]:[Checkbox selezionato]],5,FALSE),"-")</f>
        <v>MANTOVANI</v>
      </c>
      <c r="AM611" s="62" t="str">
        <f>IFERROR(VLOOKUP(Table2[[#This Row],[Contraente]],Table1[[Nome/Ragione sociale]:[Checkbox selezionato]],6,FALSE),"-")</f>
        <v>-</v>
      </c>
      <c r="AN611" s="63" t="str">
        <f>IFERROR(VLOOKUP(Table2[[#This Row],[Contraente]],Table1[[Nome/Ragione sociale]:[Checkbox selezionato]],7,FALSE),"-")</f>
        <v>papies@email.it</v>
      </c>
      <c r="AO611" s="63">
        <f>IFERROR(VLOOKUP(Table2[[#This Row],[Contraente]],Table1[[Nome/Ragione sociale]:[Checkbox selezionato]],8,FALSE),"-")</f>
        <v>0</v>
      </c>
      <c r="AP611" s="63">
        <f>IFERROR(VLOOKUP(Table2[[#This Row],[Contraente]],Table1[[Nome/Ragione sociale]:[Checkbox selezionato]],10,FALSE),"-")</f>
        <v>3318189824</v>
      </c>
      <c r="AQ611" s="63" t="str">
        <f>IFERROR(VLOOKUP(Table2[[#This Row],[Contraente]],Table1[[Nome/Ragione sociale]:[Checkbox selezionato]],11,FALSE),"-")</f>
        <v>SI</v>
      </c>
      <c r="AR611" s="63" t="str">
        <f>IFERROR(VLOOKUP(Table2[[#This Row],[Contraente]],Table1[[Nome/Ragione sociale]:[Checkbox selezionato]],12,FALSE),"-")</f>
        <v>SI</v>
      </c>
    </row>
    <row r="612" spans="1:44" ht="30" hidden="1" customHeight="1" x14ac:dyDescent="0.25">
      <c r="A612" s="60" t="str">
        <f>UPPER(LEFT(Table2[[#This Row],[Contraente]],1))</f>
        <v>L</v>
      </c>
      <c r="B612" s="60" t="s">
        <v>1634</v>
      </c>
      <c r="C612" s="81" t="s">
        <v>741</v>
      </c>
      <c r="D612" s="81" t="s">
        <v>37</v>
      </c>
      <c r="E612" s="86">
        <v>106626066</v>
      </c>
      <c r="F612" s="64">
        <v>42809</v>
      </c>
      <c r="G612" s="64">
        <f>IFERROR(CALCOLASCADENZA(Table2[[#This Row],[Data attivazione]],Table2[[#This Row],[Rateizzazione]],Table2[[#This Row],[Data ultimo pagamento]],Table2[[#This Row],[Data prossima scadenza manuale]]),"-")</f>
        <v>43174</v>
      </c>
      <c r="H612" s="67" t="s">
        <v>30</v>
      </c>
      <c r="I612" s="67" t="s">
        <v>113</v>
      </c>
      <c r="J612" s="33">
        <f>IFERROR(Table2[[#This Row],[Importo annuale]]/(12/VLOOKUP(Table2[[#This Row],[Rateizzazione]],TIPI_RATEIZZAZIONI,2,FALSE)),"-")</f>
        <v>80</v>
      </c>
      <c r="K612" s="88">
        <v>80</v>
      </c>
      <c r="L612" s="88">
        <v>80</v>
      </c>
      <c r="M612" s="67" t="s">
        <v>44</v>
      </c>
      <c r="N612" s="67" t="s">
        <v>52</v>
      </c>
      <c r="O612" s="27" t="s">
        <v>1631</v>
      </c>
      <c r="P612" s="33" t="s">
        <v>23</v>
      </c>
      <c r="Q612" s="60">
        <f>IFERROR(IF(12 / VLOOKUP(Table2[[#This Row],[Rateizzazione]],TIPI_RATEIZZAZIONI,2,FALSE) &gt;=1,  IF(Table2[[#This Row],[Data attivazione]] = "","-",MONTH(Table2[[#This Row],[Data attivazione]])),"-"),"-")</f>
        <v>3</v>
      </c>
      <c r="R6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2" s="67" t="s">
        <v>2</v>
      </c>
      <c r="V612" s="62"/>
      <c r="W612" s="64">
        <v>42809</v>
      </c>
      <c r="X612" s="29">
        <f>DATE(YEAR(Table2[[#This Row],[Data attivazione]])+VLOOKUP(Table2[[#This Row],[Durata]],VALORE_DURATA,2,FALSE),MONTH(Table2[[#This Row],[Data attivazione]]),DAY(Table2[[#This Row],[Data attivazione]]))</f>
        <v>43174</v>
      </c>
      <c r="Y612" s="65"/>
      <c r="Z612" s="61"/>
      <c r="AA612" s="64" t="s">
        <v>85</v>
      </c>
      <c r="AB612" s="29" t="str">
        <f>IF(Table2[[#This Row],[Data ultimo versamento temp]]=0/1/1900,"-",Table2[[#This Row],[Data ultimo versamento temp]])</f>
        <v>-</v>
      </c>
      <c r="AC612" s="29">
        <f t="array" ref="AC612">MAX(IF(TableVersamenti[Polizza]=Table2[[#This Row],[Polizza]],TableVersamenti[Data prevista versamento],"-"))</f>
        <v>0</v>
      </c>
      <c r="AD612" s="62"/>
      <c r="AE612" s="106">
        <f>DATE(YEAR(Table2[[#This Row],[Data ultimo pagamento]]),MONTH(Table2[[#This Row],[Data ultimo pagamento]]), 1)</f>
        <v>42795</v>
      </c>
      <c r="AF612" s="106">
        <f>DATE(YEAR(Table2[[#This Row],[Data prossima scadenza]]),MONTH(Table2[[#This Row],[Data prossima scadenza]]), 1)</f>
        <v>43160</v>
      </c>
      <c r="AG612" s="33">
        <f>IFERROR(Table2[[#This Row],[Importo annuale]]*VLOOKUP(Table2[[#This Row],[Ramo]],RAMI_POLIZZA,2,FALSE),0)</f>
        <v>9.2000000000000011</v>
      </c>
      <c r="AH612" s="65" t="s">
        <v>113</v>
      </c>
      <c r="AI612" s="63" t="str">
        <f>IFERROR(VLOOKUP(Table2[[#This Row],[Contraente]],Table1[[Nome/Ragione sociale]:[Checkbox selezionato]],2,FALSE),"-")</f>
        <v>BELGIOIOSO</v>
      </c>
      <c r="AJ612" s="63">
        <f>IFERROR(VLOOKUP(Table2[[#This Row],[Contraente]],Table1[[Nome/Ragione sociale]:[Checkbox selezionato]],3,FALSE),"-")</f>
        <v>3493334450</v>
      </c>
      <c r="AK612" s="63">
        <f>IFERROR(VLOOKUP(Table2[[#This Row],[Contraente]],Table1[[Nome/Ragione sociale]:[Checkbox selezionato]],4,FALSE),"-")</f>
        <v>0</v>
      </c>
      <c r="AL612" s="63" t="str">
        <f>IFERROR(VLOOKUP(Table2[[#This Row],[Contraente]],Table1[[Nome/Ragione sociale]:[Checkbox selezionato]],5,FALSE),"-")</f>
        <v>MAURA</v>
      </c>
      <c r="AM612" s="62">
        <f>IFERROR(VLOOKUP(Table2[[#This Row],[Contraente]],Table1[[Nome/Ragione sociale]:[Checkbox selezionato]],6,FALSE),"-")</f>
        <v>29606</v>
      </c>
      <c r="AN612" s="63" t="str">
        <f>IFERROR(VLOOKUP(Table2[[#This Row],[Contraente]],Table1[[Nome/Ragione sociale]:[Checkbox selezionato]],7,FALSE),"-")</f>
        <v>papies@libero.it</v>
      </c>
      <c r="AO612" s="63">
        <f>IFERROR(VLOOKUP(Table2[[#This Row],[Contraente]],Table1[[Nome/Ragione sociale]:[Checkbox selezionato]],8,FALSE),"-")</f>
        <v>0</v>
      </c>
      <c r="AP612" s="63">
        <f>IFERROR(VLOOKUP(Table2[[#This Row],[Contraente]],Table1[[Nome/Ragione sociale]:[Checkbox selezionato]],10,FALSE),"-")</f>
        <v>3493334450</v>
      </c>
      <c r="AQ612" s="63" t="str">
        <f>IFERROR(VLOOKUP(Table2[[#This Row],[Contraente]],Table1[[Nome/Ragione sociale]:[Checkbox selezionato]],11,FALSE),"-")</f>
        <v>SI</v>
      </c>
      <c r="AR612" s="63" t="str">
        <f>IFERROR(VLOOKUP(Table2[[#This Row],[Contraente]],Table1[[Nome/Ragione sociale]:[Checkbox selezionato]],12,FALSE),"-")</f>
        <v>SI</v>
      </c>
    </row>
    <row r="613" spans="1:44" ht="30" hidden="1" customHeight="1" x14ac:dyDescent="0.25">
      <c r="A613" s="60" t="str">
        <f>UPPER(LEFT(Table2[[#This Row],[Contraente]],1))</f>
        <v>L</v>
      </c>
      <c r="B613" s="60" t="s">
        <v>1634</v>
      </c>
      <c r="C613" s="81" t="s">
        <v>741</v>
      </c>
      <c r="D613" s="81" t="s">
        <v>37</v>
      </c>
      <c r="E613" s="86">
        <v>106626057</v>
      </c>
      <c r="F613" s="64">
        <v>42809</v>
      </c>
      <c r="G613" s="64">
        <f>IFERROR(CALCOLASCADENZA(Table2[[#This Row],[Data attivazione]],Table2[[#This Row],[Rateizzazione]],Table2[[#This Row],[Data ultimo pagamento]],Table2[[#This Row],[Data prossima scadenza manuale]]),"-")</f>
        <v>43174</v>
      </c>
      <c r="H613" s="67" t="s">
        <v>31</v>
      </c>
      <c r="I613" s="67" t="s">
        <v>1368</v>
      </c>
      <c r="J613" s="33">
        <f>IFERROR(Table2[[#This Row],[Importo annuale]]/(12/VLOOKUP(Table2[[#This Row],[Rateizzazione]],TIPI_RATEIZZAZIONI,2,FALSE)),"-")</f>
        <v>500.7</v>
      </c>
      <c r="K613" s="88">
        <v>500.7</v>
      </c>
      <c r="L613" s="88">
        <v>500.7</v>
      </c>
      <c r="M613" s="67" t="s">
        <v>44</v>
      </c>
      <c r="N613" s="67" t="s">
        <v>52</v>
      </c>
      <c r="O613" s="27" t="s">
        <v>1631</v>
      </c>
      <c r="P613" s="33" t="s">
        <v>23</v>
      </c>
      <c r="Q613" s="60">
        <f>IFERROR(IF(12 / VLOOKUP(Table2[[#This Row],[Rateizzazione]],TIPI_RATEIZZAZIONI,2,FALSE) &gt;=1,  IF(Table2[[#This Row],[Data attivazione]] = "","-",MONTH(Table2[[#This Row],[Data attivazione]])),"-"),"-")</f>
        <v>3</v>
      </c>
      <c r="R6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3" s="67" t="s">
        <v>2</v>
      </c>
      <c r="V613" s="62"/>
      <c r="W613" s="64">
        <v>42809</v>
      </c>
      <c r="X613" s="29">
        <f>DATE(YEAR(Table2[[#This Row],[Data attivazione]])+VLOOKUP(Table2[[#This Row],[Durata]],VALORE_DURATA,2,FALSE),MONTH(Table2[[#This Row],[Data attivazione]]),DAY(Table2[[#This Row],[Data attivazione]]))</f>
        <v>43174</v>
      </c>
      <c r="Y613" s="65"/>
      <c r="Z613" s="61"/>
      <c r="AA613" s="64" t="s">
        <v>85</v>
      </c>
      <c r="AB613" s="29" t="str">
        <f>IF(Table2[[#This Row],[Data ultimo versamento temp]]=0/1/1900,"-",Table2[[#This Row],[Data ultimo versamento temp]])</f>
        <v>-</v>
      </c>
      <c r="AC613" s="29">
        <f t="array" ref="AC613">MAX(IF(TableVersamenti[Polizza]=Table2[[#This Row],[Polizza]],TableVersamenti[Data prevista versamento],"-"))</f>
        <v>0</v>
      </c>
      <c r="AD613" s="62"/>
      <c r="AE613" s="106">
        <f>DATE(YEAR(Table2[[#This Row],[Data ultimo pagamento]]),MONTH(Table2[[#This Row],[Data ultimo pagamento]]), 1)</f>
        <v>42795</v>
      </c>
      <c r="AF613" s="106">
        <f>DATE(YEAR(Table2[[#This Row],[Data prossima scadenza]]),MONTH(Table2[[#This Row],[Data prossima scadenza]]), 1)</f>
        <v>43160</v>
      </c>
      <c r="AG613" s="33">
        <f>IFERROR(Table2[[#This Row],[Importo annuale]]*VLOOKUP(Table2[[#This Row],[Ramo]],RAMI_POLIZZA,2,FALSE),0)</f>
        <v>26.036399999999997</v>
      </c>
      <c r="AH613" s="65" t="s">
        <v>113</v>
      </c>
      <c r="AI613" s="63" t="str">
        <f>IFERROR(VLOOKUP(Table2[[#This Row],[Contraente]],Table1[[Nome/Ragione sociale]:[Checkbox selezionato]],2,FALSE),"-")</f>
        <v>BELGIOIOSO</v>
      </c>
      <c r="AJ613" s="63">
        <f>IFERROR(VLOOKUP(Table2[[#This Row],[Contraente]],Table1[[Nome/Ragione sociale]:[Checkbox selezionato]],3,FALSE),"-")</f>
        <v>3493334450</v>
      </c>
      <c r="AK613" s="63">
        <f>IFERROR(VLOOKUP(Table2[[#This Row],[Contraente]],Table1[[Nome/Ragione sociale]:[Checkbox selezionato]],4,FALSE),"-")</f>
        <v>0</v>
      </c>
      <c r="AL613" s="63" t="str">
        <f>IFERROR(VLOOKUP(Table2[[#This Row],[Contraente]],Table1[[Nome/Ragione sociale]:[Checkbox selezionato]],5,FALSE),"-")</f>
        <v>MAURA</v>
      </c>
      <c r="AM613" s="62">
        <f>IFERROR(VLOOKUP(Table2[[#This Row],[Contraente]],Table1[[Nome/Ragione sociale]:[Checkbox selezionato]],6,FALSE),"-")</f>
        <v>29606</v>
      </c>
      <c r="AN613" s="63" t="str">
        <f>IFERROR(VLOOKUP(Table2[[#This Row],[Contraente]],Table1[[Nome/Ragione sociale]:[Checkbox selezionato]],7,FALSE),"-")</f>
        <v>papies@libero.it</v>
      </c>
      <c r="AO613" s="63">
        <f>IFERROR(VLOOKUP(Table2[[#This Row],[Contraente]],Table1[[Nome/Ragione sociale]:[Checkbox selezionato]],8,FALSE),"-")</f>
        <v>0</v>
      </c>
      <c r="AP613" s="63">
        <f>IFERROR(VLOOKUP(Table2[[#This Row],[Contraente]],Table1[[Nome/Ragione sociale]:[Checkbox selezionato]],10,FALSE),"-")</f>
        <v>3493334450</v>
      </c>
      <c r="AQ613" s="63" t="str">
        <f>IFERROR(VLOOKUP(Table2[[#This Row],[Contraente]],Table1[[Nome/Ragione sociale]:[Checkbox selezionato]],11,FALSE),"-")</f>
        <v>SI</v>
      </c>
      <c r="AR613" s="63" t="str">
        <f>IFERROR(VLOOKUP(Table2[[#This Row],[Contraente]],Table1[[Nome/Ragione sociale]:[Checkbox selezionato]],12,FALSE),"-")</f>
        <v>SI</v>
      </c>
    </row>
    <row r="614" spans="1:44" ht="30" hidden="1" customHeight="1" x14ac:dyDescent="0.25">
      <c r="A614" s="60" t="str">
        <f>UPPER(LEFT(Table2[[#This Row],[Contraente]],1))</f>
        <v>L</v>
      </c>
      <c r="B614" s="60" t="s">
        <v>1634</v>
      </c>
      <c r="C614" s="81" t="s">
        <v>1723</v>
      </c>
      <c r="D614" s="81" t="s">
        <v>37</v>
      </c>
      <c r="E614" s="86">
        <v>106975182</v>
      </c>
      <c r="F614" s="64">
        <v>42899</v>
      </c>
      <c r="G614" s="64">
        <f>IFERROR(CALCOLASCADENZA(Table2[[#This Row],[Data attivazione]],Table2[[#This Row],[Rateizzazione]],Table2[[#This Row],[Data ultimo pagamento]],Table2[[#This Row],[Data prossima scadenza manuale]]),"-")</f>
        <v>43082</v>
      </c>
      <c r="H614" s="67" t="s">
        <v>31</v>
      </c>
      <c r="I614" s="67" t="s">
        <v>1753</v>
      </c>
      <c r="J614" s="33">
        <f>IFERROR(Table2[[#This Row],[Importo annuale]]/(12/VLOOKUP(Table2[[#This Row],[Rateizzazione]],TIPI_RATEIZZAZIONI,2,FALSE)),"-")</f>
        <v>149.81</v>
      </c>
      <c r="K614" s="88">
        <v>149.81</v>
      </c>
      <c r="L614" s="88">
        <v>299.62</v>
      </c>
      <c r="M614" s="67" t="s">
        <v>43</v>
      </c>
      <c r="N614" s="67" t="s">
        <v>52</v>
      </c>
      <c r="O614" s="27" t="s">
        <v>1631</v>
      </c>
      <c r="P614" s="33" t="s">
        <v>22</v>
      </c>
      <c r="Q614" s="60">
        <f>IFERROR(IF(12 / VLOOKUP(Table2[[#This Row],[Rateizzazione]],TIPI_RATEIZZAZIONI,2,FALSE) &gt;=1,  IF(Table2[[#This Row],[Data attivazione]] = "","-",MONTH(Table2[[#This Row],[Data attivazione]])),"-"),"-")</f>
        <v>12</v>
      </c>
      <c r="R6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4" s="67" t="s">
        <v>2</v>
      </c>
      <c r="V614" s="62"/>
      <c r="W614" s="64">
        <v>42717</v>
      </c>
      <c r="X614" s="29">
        <f>DATE(YEAR(Table2[[#This Row],[Data attivazione]])+VLOOKUP(Table2[[#This Row],[Durata]],VALORE_DURATA,2,FALSE),MONTH(Table2[[#This Row],[Data attivazione]]),DAY(Table2[[#This Row],[Data attivazione]]))</f>
        <v>43082</v>
      </c>
      <c r="Y614" s="65"/>
      <c r="Z614" s="61"/>
      <c r="AA614" s="64" t="s">
        <v>85</v>
      </c>
      <c r="AB614" s="29" t="str">
        <f>IF(Table2[[#This Row],[Data ultimo versamento temp]]=0/1/1900,"-",Table2[[#This Row],[Data ultimo versamento temp]])</f>
        <v>-</v>
      </c>
      <c r="AC614" s="29">
        <f t="array" ref="AC614">MAX(IF(TableVersamenti[Polizza]=Table2[[#This Row],[Polizza]],TableVersamenti[Data prevista versamento],"-"))</f>
        <v>0</v>
      </c>
      <c r="AD614" s="62"/>
      <c r="AE614" s="106">
        <f>DATE(YEAR(Table2[[#This Row],[Data ultimo pagamento]]),MONTH(Table2[[#This Row],[Data ultimo pagamento]]), 1)</f>
        <v>42887</v>
      </c>
      <c r="AF614" s="106">
        <f>DATE(YEAR(Table2[[#This Row],[Data prossima scadenza]]),MONTH(Table2[[#This Row],[Data prossima scadenza]]), 1)</f>
        <v>43070</v>
      </c>
      <c r="AG614" s="33">
        <f>IFERROR(Table2[[#This Row],[Importo annuale]]*VLOOKUP(Table2[[#This Row],[Ramo]],RAMI_POLIZZA,2,FALSE),0)</f>
        <v>15.58024</v>
      </c>
      <c r="AH614" s="65" t="s">
        <v>113</v>
      </c>
      <c r="AI614" s="63">
        <f>IFERROR(VLOOKUP(Table2[[#This Row],[Contraente]],Table1[[Nome/Ragione sociale]:[Checkbox selezionato]],2,FALSE),"-")</f>
        <v>0</v>
      </c>
      <c r="AJ614" s="63">
        <f>IFERROR(VLOOKUP(Table2[[#This Row],[Contraente]],Table1[[Nome/Ragione sociale]:[Checkbox selezionato]],3,FALSE),"-")</f>
        <v>0</v>
      </c>
      <c r="AK614" s="63">
        <f>IFERROR(VLOOKUP(Table2[[#This Row],[Contraente]],Table1[[Nome/Ragione sociale]:[Checkbox selezionato]],4,FALSE),"-")</f>
        <v>0</v>
      </c>
      <c r="AL614" s="63" t="str">
        <f>IFERROR(VLOOKUP(Table2[[#This Row],[Contraente]],Table1[[Nome/Ragione sociale]:[Checkbox selezionato]],5,FALSE),"-")</f>
        <v>JACOPO LA PRIMULA</v>
      </c>
      <c r="AM614" s="62" t="str">
        <f>IFERROR(VLOOKUP(Table2[[#This Row],[Contraente]],Table1[[Nome/Ragione sociale]:[Checkbox selezionato]],6,FALSE),"-")</f>
        <v>-</v>
      </c>
      <c r="AN614" s="63" t="str">
        <f>IFERROR(VLOOKUP(Table2[[#This Row],[Contraente]],Table1[[Nome/Ragione sociale]:[Checkbox selezionato]],7,FALSE),"-")</f>
        <v>papies@libero.it</v>
      </c>
      <c r="AO614" s="63">
        <f>IFERROR(VLOOKUP(Table2[[#This Row],[Contraente]],Table1[[Nome/Ragione sociale]:[Checkbox selezionato]],8,FALSE),"-")</f>
        <v>0</v>
      </c>
      <c r="AP614" s="63">
        <f>IFERROR(VLOOKUP(Table2[[#This Row],[Contraente]],Table1[[Nome/Ragione sociale]:[Checkbox selezionato]],10,FALSE),"-")</f>
        <v>0</v>
      </c>
      <c r="AQ614" s="63" t="str">
        <f>IFERROR(VLOOKUP(Table2[[#This Row],[Contraente]],Table1[[Nome/Ragione sociale]:[Checkbox selezionato]],11,FALSE),"-")</f>
        <v>SI</v>
      </c>
      <c r="AR614" s="63" t="str">
        <f>IFERROR(VLOOKUP(Table2[[#This Row],[Contraente]],Table1[[Nome/Ragione sociale]:[Checkbox selezionato]],12,FALSE),"-")</f>
        <v>SI</v>
      </c>
    </row>
    <row r="615" spans="1:44" ht="30" hidden="1" customHeight="1" x14ac:dyDescent="0.25">
      <c r="A615" s="60" t="str">
        <f>UPPER(LEFT(Table2[[#This Row],[Contraente]],1))</f>
        <v>L</v>
      </c>
      <c r="B615" s="60" t="s">
        <v>1634</v>
      </c>
      <c r="C615" s="81" t="s">
        <v>745</v>
      </c>
      <c r="D615" s="81" t="s">
        <v>37</v>
      </c>
      <c r="E615" s="86">
        <v>105345940</v>
      </c>
      <c r="F615" s="64">
        <v>42790</v>
      </c>
      <c r="G615" s="64">
        <f>IFERROR(CALCOLASCADENZA(Table2[[#This Row],[Data attivazione]],Table2[[#This Row],[Rateizzazione]],Table2[[#This Row],[Data ultimo pagamento]],Table2[[#This Row],[Data prossima scadenza manuale]]),"-")</f>
        <v>43159</v>
      </c>
      <c r="H615" s="67" t="s">
        <v>30</v>
      </c>
      <c r="I615" s="67" t="s">
        <v>113</v>
      </c>
      <c r="J615" s="33">
        <f>IFERROR(Table2[[#This Row],[Importo annuale]]/(12/VLOOKUP(Table2[[#This Row],[Rateizzazione]],TIPI_RATEIZZAZIONI,2,FALSE)),"-")</f>
        <v>180</v>
      </c>
      <c r="K615" s="88">
        <v>180</v>
      </c>
      <c r="L615" s="88">
        <v>180</v>
      </c>
      <c r="M615" s="67" t="s">
        <v>45</v>
      </c>
      <c r="N615" s="67" t="s">
        <v>51</v>
      </c>
      <c r="O615" s="27" t="s">
        <v>1631</v>
      </c>
      <c r="P615" s="33" t="s">
        <v>23</v>
      </c>
      <c r="Q615" s="60">
        <f>IFERROR(IF(12 / VLOOKUP(Table2[[#This Row],[Rateizzazione]],TIPI_RATEIZZAZIONI,2,FALSE) &gt;=1,  IF(Table2[[#This Row],[Data attivazione]] = "","-",MONTH(Table2[[#This Row],[Data attivazione]])),"-"),"-")</f>
        <v>2</v>
      </c>
      <c r="R6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5" s="67" t="s">
        <v>2</v>
      </c>
      <c r="V615" s="62"/>
      <c r="W615" s="64">
        <v>42794</v>
      </c>
      <c r="X615" s="29">
        <f>DATE(YEAR(Table2[[#This Row],[Data attivazione]])+VLOOKUP(Table2[[#This Row],[Durata]],VALORE_DURATA,2,FALSE),MONTH(Table2[[#This Row],[Data attivazione]]),DAY(Table2[[#This Row],[Data attivazione]]))</f>
        <v>43159</v>
      </c>
      <c r="Y615" s="65"/>
      <c r="Z615" s="61"/>
      <c r="AA615" s="64" t="s">
        <v>85</v>
      </c>
      <c r="AB615" s="29" t="str">
        <f>IF(Table2[[#This Row],[Data ultimo versamento temp]]=0/1/1900,"-",Table2[[#This Row],[Data ultimo versamento temp]])</f>
        <v>-</v>
      </c>
      <c r="AC615" s="29">
        <f t="array" ref="AC615">MAX(IF(TableVersamenti[Polizza]=Table2[[#This Row],[Polizza]],TableVersamenti[Data prevista versamento],"-"))</f>
        <v>0</v>
      </c>
      <c r="AD615" s="62"/>
      <c r="AE615" s="106">
        <f>DATE(YEAR(Table2[[#This Row],[Data ultimo pagamento]]),MONTH(Table2[[#This Row],[Data ultimo pagamento]]), 1)</f>
        <v>42767</v>
      </c>
      <c r="AF615" s="106">
        <f>DATE(YEAR(Table2[[#This Row],[Data prossima scadenza]]),MONTH(Table2[[#This Row],[Data prossima scadenza]]), 1)</f>
        <v>43132</v>
      </c>
      <c r="AG615" s="33">
        <f>IFERROR(Table2[[#This Row],[Importo annuale]]*VLOOKUP(Table2[[#This Row],[Ramo]],RAMI_POLIZZA,2,FALSE),0)</f>
        <v>20.7</v>
      </c>
      <c r="AH615" s="65" t="s">
        <v>113</v>
      </c>
      <c r="AI615" s="63" t="str">
        <f>IFERROR(VLOOKUP(Table2[[#This Row],[Contraente]],Table1[[Nome/Ragione sociale]:[Checkbox selezionato]],2,FALSE),"-")</f>
        <v>SAN MARTINO SICCOMARIO</v>
      </c>
      <c r="AJ615" s="63">
        <f>IFERROR(VLOOKUP(Table2[[#This Row],[Contraente]],Table1[[Nome/Ragione sociale]:[Checkbox selezionato]],3,FALSE),"-")</f>
        <v>3479385841</v>
      </c>
      <c r="AK615" s="63">
        <f>IFERROR(VLOOKUP(Table2[[#This Row],[Contraente]],Table1[[Nome/Ragione sociale]:[Checkbox selezionato]],4,FALSE),"-")</f>
        <v>0</v>
      </c>
      <c r="AL615" s="63" t="str">
        <f>IFERROR(VLOOKUP(Table2[[#This Row],[Contraente]],Table1[[Nome/Ragione sociale]:[Checkbox selezionato]],5,FALSE),"-")</f>
        <v>LAURA</v>
      </c>
      <c r="AM615" s="62">
        <f>IFERROR(VLOOKUP(Table2[[#This Row],[Contraente]],Table1[[Nome/Ragione sociale]:[Checkbox selezionato]],6,FALSE),"-")</f>
        <v>26527</v>
      </c>
      <c r="AN615" s="63" t="str">
        <f>IFERROR(VLOOKUP(Table2[[#This Row],[Contraente]],Table1[[Nome/Ragione sociale]:[Checkbox selezionato]],7,FALSE),"-")</f>
        <v>papies@email.it</v>
      </c>
      <c r="AO615" s="63">
        <f>IFERROR(VLOOKUP(Table2[[#This Row],[Contraente]],Table1[[Nome/Ragione sociale]:[Checkbox selezionato]],8,FALSE),"-")</f>
        <v>0</v>
      </c>
      <c r="AP615" s="63">
        <f>IFERROR(VLOOKUP(Table2[[#This Row],[Contraente]],Table1[[Nome/Ragione sociale]:[Checkbox selezionato]],10,FALSE),"-")</f>
        <v>3479385841</v>
      </c>
      <c r="AQ615" s="63" t="str">
        <f>IFERROR(VLOOKUP(Table2[[#This Row],[Contraente]],Table1[[Nome/Ragione sociale]:[Checkbox selezionato]],11,FALSE),"-")</f>
        <v>SI</v>
      </c>
      <c r="AR615" s="63" t="str">
        <f>IFERROR(VLOOKUP(Table2[[#This Row],[Contraente]],Table1[[Nome/Ragione sociale]:[Checkbox selezionato]],12,FALSE),"-")</f>
        <v>SI</v>
      </c>
    </row>
    <row r="616" spans="1:44" ht="30" hidden="1" customHeight="1" x14ac:dyDescent="0.25">
      <c r="A616" s="60" t="str">
        <f>UPPER(LEFT(Table2[[#This Row],[Contraente]],1))</f>
        <v>L</v>
      </c>
      <c r="B616" s="60" t="s">
        <v>1634</v>
      </c>
      <c r="C616" s="81" t="s">
        <v>745</v>
      </c>
      <c r="D616" s="81" t="s">
        <v>37</v>
      </c>
      <c r="E616" s="86">
        <v>105345979</v>
      </c>
      <c r="F616" s="64">
        <v>42790</v>
      </c>
      <c r="G616" s="64">
        <f>IFERROR(CALCOLASCADENZA(Table2[[#This Row],[Data attivazione]],Table2[[#This Row],[Rateizzazione]],Table2[[#This Row],[Data ultimo pagamento]],Table2[[#This Row],[Data prossima scadenza manuale]]),"-")</f>
        <v>43160</v>
      </c>
      <c r="H616" s="67" t="s">
        <v>30</v>
      </c>
      <c r="I616" s="67" t="s">
        <v>113</v>
      </c>
      <c r="J616" s="33">
        <f>IFERROR(Table2[[#This Row],[Importo annuale]]/(12/VLOOKUP(Table2[[#This Row],[Rateizzazione]],TIPI_RATEIZZAZIONI,2,FALSE)),"-")</f>
        <v>300</v>
      </c>
      <c r="K616" s="88">
        <v>300</v>
      </c>
      <c r="L616" s="88">
        <v>300</v>
      </c>
      <c r="M616" s="67" t="s">
        <v>45</v>
      </c>
      <c r="N616" s="67" t="s">
        <v>51</v>
      </c>
      <c r="O616" s="27" t="s">
        <v>1631</v>
      </c>
      <c r="P616" s="33" t="s">
        <v>23</v>
      </c>
      <c r="Q616" s="60">
        <f>IFERROR(IF(12 / VLOOKUP(Table2[[#This Row],[Rateizzazione]],TIPI_RATEIZZAZIONI,2,FALSE) &gt;=1,  IF(Table2[[#This Row],[Data attivazione]] = "","-",MONTH(Table2[[#This Row],[Data attivazione]])),"-"),"-")</f>
        <v>3</v>
      </c>
      <c r="R6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6" s="67" t="s">
        <v>2</v>
      </c>
      <c r="V616" s="62"/>
      <c r="W616" s="64">
        <v>42795</v>
      </c>
      <c r="X616" s="29">
        <f>DATE(YEAR(Table2[[#This Row],[Data attivazione]])+VLOOKUP(Table2[[#This Row],[Durata]],VALORE_DURATA,2,FALSE),MONTH(Table2[[#This Row],[Data attivazione]]),DAY(Table2[[#This Row],[Data attivazione]]))</f>
        <v>43160</v>
      </c>
      <c r="Y616" s="65"/>
      <c r="Z616" s="61"/>
      <c r="AA616" s="64" t="s">
        <v>85</v>
      </c>
      <c r="AB616" s="29" t="str">
        <f>IF(Table2[[#This Row],[Data ultimo versamento temp]]=0/1/1900,"-",Table2[[#This Row],[Data ultimo versamento temp]])</f>
        <v>-</v>
      </c>
      <c r="AC616" s="29">
        <f t="array" ref="AC616">MAX(IF(TableVersamenti[Polizza]=Table2[[#This Row],[Polizza]],TableVersamenti[Data prevista versamento],"-"))</f>
        <v>0</v>
      </c>
      <c r="AD616" s="62"/>
      <c r="AE616" s="106">
        <f>DATE(YEAR(Table2[[#This Row],[Data ultimo pagamento]]),MONTH(Table2[[#This Row],[Data ultimo pagamento]]), 1)</f>
        <v>42767</v>
      </c>
      <c r="AF616" s="106">
        <f>DATE(YEAR(Table2[[#This Row],[Data prossima scadenza]]),MONTH(Table2[[#This Row],[Data prossima scadenza]]), 1)</f>
        <v>43160</v>
      </c>
      <c r="AG616" s="33">
        <f>IFERROR(Table2[[#This Row],[Importo annuale]]*VLOOKUP(Table2[[#This Row],[Ramo]],RAMI_POLIZZA,2,FALSE),0)</f>
        <v>34.5</v>
      </c>
      <c r="AH616" s="65" t="s">
        <v>113</v>
      </c>
      <c r="AI616" s="63" t="str">
        <f>IFERROR(VLOOKUP(Table2[[#This Row],[Contraente]],Table1[[Nome/Ragione sociale]:[Checkbox selezionato]],2,FALSE),"-")</f>
        <v>SAN MARTINO SICCOMARIO</v>
      </c>
      <c r="AJ616" s="63">
        <f>IFERROR(VLOOKUP(Table2[[#This Row],[Contraente]],Table1[[Nome/Ragione sociale]:[Checkbox selezionato]],3,FALSE),"-")</f>
        <v>3479385841</v>
      </c>
      <c r="AK616" s="63">
        <f>IFERROR(VLOOKUP(Table2[[#This Row],[Contraente]],Table1[[Nome/Ragione sociale]:[Checkbox selezionato]],4,FALSE),"-")</f>
        <v>0</v>
      </c>
      <c r="AL616" s="63" t="str">
        <f>IFERROR(VLOOKUP(Table2[[#This Row],[Contraente]],Table1[[Nome/Ragione sociale]:[Checkbox selezionato]],5,FALSE),"-")</f>
        <v>LAURA</v>
      </c>
      <c r="AM616" s="62">
        <f>IFERROR(VLOOKUP(Table2[[#This Row],[Contraente]],Table1[[Nome/Ragione sociale]:[Checkbox selezionato]],6,FALSE),"-")</f>
        <v>26527</v>
      </c>
      <c r="AN616" s="63" t="str">
        <f>IFERROR(VLOOKUP(Table2[[#This Row],[Contraente]],Table1[[Nome/Ragione sociale]:[Checkbox selezionato]],7,FALSE),"-")</f>
        <v>papies@email.it</v>
      </c>
      <c r="AO616" s="63">
        <f>IFERROR(VLOOKUP(Table2[[#This Row],[Contraente]],Table1[[Nome/Ragione sociale]:[Checkbox selezionato]],8,FALSE),"-")</f>
        <v>0</v>
      </c>
      <c r="AP616" s="63">
        <f>IFERROR(VLOOKUP(Table2[[#This Row],[Contraente]],Table1[[Nome/Ragione sociale]:[Checkbox selezionato]],10,FALSE),"-")</f>
        <v>3479385841</v>
      </c>
      <c r="AQ616" s="63" t="str">
        <f>IFERROR(VLOOKUP(Table2[[#This Row],[Contraente]],Table1[[Nome/Ragione sociale]:[Checkbox selezionato]],11,FALSE),"-")</f>
        <v>SI</v>
      </c>
      <c r="AR616" s="63" t="str">
        <f>IFERROR(VLOOKUP(Table2[[#This Row],[Contraente]],Table1[[Nome/Ragione sociale]:[Checkbox selezionato]],12,FALSE),"-")</f>
        <v>SI</v>
      </c>
    </row>
    <row r="617" spans="1:44" ht="30" hidden="1" customHeight="1" x14ac:dyDescent="0.25">
      <c r="A617" s="60" t="str">
        <f>UPPER(LEFT(Table2[[#This Row],[Contraente]],1))</f>
        <v>L</v>
      </c>
      <c r="B617" s="60" t="s">
        <v>1634</v>
      </c>
      <c r="C617" s="81" t="s">
        <v>745</v>
      </c>
      <c r="D617" s="81" t="s">
        <v>37</v>
      </c>
      <c r="E617" s="86">
        <v>103728943</v>
      </c>
      <c r="F617" s="64">
        <v>42683</v>
      </c>
      <c r="G617" s="64">
        <f>IFERROR(CALCOLASCADENZA(Table2[[#This Row],[Data attivazione]],Table2[[#This Row],[Rateizzazione]],Table2[[#This Row],[Data ultimo pagamento]],Table2[[#This Row],[Data prossima scadenza manuale]]),"-")</f>
        <v>43042</v>
      </c>
      <c r="H617" s="67" t="s">
        <v>30</v>
      </c>
      <c r="I617" s="67" t="s">
        <v>113</v>
      </c>
      <c r="J617" s="33">
        <f>IFERROR(Table2[[#This Row],[Importo annuale]]/(12/VLOOKUP(Table2[[#This Row],[Rateizzazione]],TIPI_RATEIZZAZIONI,2,FALSE)),"-")</f>
        <v>80</v>
      </c>
      <c r="K617" s="88"/>
      <c r="L617" s="88">
        <v>80</v>
      </c>
      <c r="M617" s="67" t="s">
        <v>44</v>
      </c>
      <c r="N617" s="67" t="s">
        <v>51</v>
      </c>
      <c r="O617" s="27" t="s">
        <v>1631</v>
      </c>
      <c r="P617" s="33" t="s">
        <v>23</v>
      </c>
      <c r="Q617" s="60">
        <f>IFERROR(IF(12 / VLOOKUP(Table2[[#This Row],[Rateizzazione]],TIPI_RATEIZZAZIONI,2,FALSE) &gt;=1,  IF(Table2[[#This Row],[Data attivazione]] = "","-",MONTH(Table2[[#This Row],[Data attivazione]])),"-"),"-")</f>
        <v>11</v>
      </c>
      <c r="R6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7" s="67" t="s">
        <v>2</v>
      </c>
      <c r="V617" s="62"/>
      <c r="W617" s="64">
        <v>42677</v>
      </c>
      <c r="X617" s="29">
        <f>DATE(YEAR(Table2[[#This Row],[Data attivazione]])+VLOOKUP(Table2[[#This Row],[Durata]],VALORE_DURATA,2,FALSE),MONTH(Table2[[#This Row],[Data attivazione]]),DAY(Table2[[#This Row],[Data attivazione]]))</f>
        <v>43042</v>
      </c>
      <c r="Y617" s="65"/>
      <c r="Z617" s="61"/>
      <c r="AA617" s="64" t="s">
        <v>85</v>
      </c>
      <c r="AB617" s="29" t="str">
        <f>IF(Table2[[#This Row],[Data ultimo versamento temp]]=0/1/1900,"-",Table2[[#This Row],[Data ultimo versamento temp]])</f>
        <v>-</v>
      </c>
      <c r="AC617" s="29">
        <f t="array" ref="AC617">MAX(IF(TableVersamenti[Polizza]=Table2[[#This Row],[Polizza]],TableVersamenti[Data prevista versamento],"-"))</f>
        <v>0</v>
      </c>
      <c r="AD617" s="62"/>
      <c r="AE617" s="106">
        <f>DATE(YEAR(Table2[[#This Row],[Data ultimo pagamento]]),MONTH(Table2[[#This Row],[Data ultimo pagamento]]), 1)</f>
        <v>42675</v>
      </c>
      <c r="AF617" s="106">
        <f>DATE(YEAR(Table2[[#This Row],[Data prossima scadenza]]),MONTH(Table2[[#This Row],[Data prossima scadenza]]), 1)</f>
        <v>43040</v>
      </c>
      <c r="AG617" s="33">
        <f>IFERROR(Table2[[#This Row],[Importo annuale]]*VLOOKUP(Table2[[#This Row],[Ramo]],RAMI_POLIZZA,2,FALSE),0)</f>
        <v>9.2000000000000011</v>
      </c>
      <c r="AH617" s="65" t="s">
        <v>113</v>
      </c>
      <c r="AI617" s="63" t="str">
        <f>IFERROR(VLOOKUP(Table2[[#This Row],[Contraente]],Table1[[Nome/Ragione sociale]:[Checkbox selezionato]],2,FALSE),"-")</f>
        <v>SAN MARTINO SICCOMARIO</v>
      </c>
      <c r="AJ617" s="63">
        <f>IFERROR(VLOOKUP(Table2[[#This Row],[Contraente]],Table1[[Nome/Ragione sociale]:[Checkbox selezionato]],3,FALSE),"-")</f>
        <v>3479385841</v>
      </c>
      <c r="AK617" s="63">
        <f>IFERROR(VLOOKUP(Table2[[#This Row],[Contraente]],Table1[[Nome/Ragione sociale]:[Checkbox selezionato]],4,FALSE),"-")</f>
        <v>0</v>
      </c>
      <c r="AL617" s="63" t="str">
        <f>IFERROR(VLOOKUP(Table2[[#This Row],[Contraente]],Table1[[Nome/Ragione sociale]:[Checkbox selezionato]],5,FALSE),"-")</f>
        <v>LAURA</v>
      </c>
      <c r="AM617" s="62">
        <f>IFERROR(VLOOKUP(Table2[[#This Row],[Contraente]],Table1[[Nome/Ragione sociale]:[Checkbox selezionato]],6,FALSE),"-")</f>
        <v>26527</v>
      </c>
      <c r="AN617" s="63" t="str">
        <f>IFERROR(VLOOKUP(Table2[[#This Row],[Contraente]],Table1[[Nome/Ragione sociale]:[Checkbox selezionato]],7,FALSE),"-")</f>
        <v>papies@email.it</v>
      </c>
      <c r="AO617" s="63">
        <f>IFERROR(VLOOKUP(Table2[[#This Row],[Contraente]],Table1[[Nome/Ragione sociale]:[Checkbox selezionato]],8,FALSE),"-")</f>
        <v>0</v>
      </c>
      <c r="AP617" s="63">
        <f>IFERROR(VLOOKUP(Table2[[#This Row],[Contraente]],Table1[[Nome/Ragione sociale]:[Checkbox selezionato]],10,FALSE),"-")</f>
        <v>3479385841</v>
      </c>
      <c r="AQ617" s="63" t="str">
        <f>IFERROR(VLOOKUP(Table2[[#This Row],[Contraente]],Table1[[Nome/Ragione sociale]:[Checkbox selezionato]],11,FALSE),"-")</f>
        <v>SI</v>
      </c>
      <c r="AR617" s="63" t="str">
        <f>IFERROR(VLOOKUP(Table2[[#This Row],[Contraente]],Table1[[Nome/Ragione sociale]:[Checkbox selezionato]],12,FALSE),"-")</f>
        <v>SI</v>
      </c>
    </row>
    <row r="618" spans="1:44" ht="30" hidden="1" customHeight="1" x14ac:dyDescent="0.25">
      <c r="A618" s="60" t="str">
        <f>UPPER(LEFT(Table2[[#This Row],[Contraente]],1))</f>
        <v>L</v>
      </c>
      <c r="B618" s="60" t="s">
        <v>1634</v>
      </c>
      <c r="C618" s="81" t="s">
        <v>745</v>
      </c>
      <c r="D618" s="81" t="s">
        <v>37</v>
      </c>
      <c r="E618" s="86">
        <v>104984862</v>
      </c>
      <c r="F618" s="64">
        <v>42683</v>
      </c>
      <c r="G618" s="64">
        <f>IFERROR(CALCOLASCADENZA(Table2[[#This Row],[Data attivazione]],Table2[[#This Row],[Rateizzazione]],Table2[[#This Row],[Data ultimo pagamento]],Table2[[#This Row],[Data prossima scadenza manuale]]),"-")</f>
        <v>43042</v>
      </c>
      <c r="H618" s="67" t="s">
        <v>30</v>
      </c>
      <c r="I618" s="67" t="s">
        <v>113</v>
      </c>
      <c r="J618" s="33">
        <f>IFERROR(Table2[[#This Row],[Importo annuale]]/(12/VLOOKUP(Table2[[#This Row],[Rateizzazione]],TIPI_RATEIZZAZIONI,2,FALSE)),"-")</f>
        <v>102</v>
      </c>
      <c r="K618" s="88"/>
      <c r="L618" s="88">
        <v>102</v>
      </c>
      <c r="M618" s="67" t="s">
        <v>44</v>
      </c>
      <c r="N618" s="67" t="s">
        <v>51</v>
      </c>
      <c r="O618" s="27" t="s">
        <v>1631</v>
      </c>
      <c r="P618" s="33" t="s">
        <v>23</v>
      </c>
      <c r="Q618" s="60">
        <f>IFERROR(IF(12 / VLOOKUP(Table2[[#This Row],[Rateizzazione]],TIPI_RATEIZZAZIONI,2,FALSE) &gt;=1,  IF(Table2[[#This Row],[Data attivazione]] = "","-",MONTH(Table2[[#This Row],[Data attivazione]])),"-"),"-")</f>
        <v>11</v>
      </c>
      <c r="R6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8" s="67" t="s">
        <v>2</v>
      </c>
      <c r="V618" s="62"/>
      <c r="W618" s="64">
        <v>42677</v>
      </c>
      <c r="X618" s="29">
        <f>DATE(YEAR(Table2[[#This Row],[Data attivazione]])+VLOOKUP(Table2[[#This Row],[Durata]],VALORE_DURATA,2,FALSE),MONTH(Table2[[#This Row],[Data attivazione]]),DAY(Table2[[#This Row],[Data attivazione]]))</f>
        <v>43042</v>
      </c>
      <c r="Y618" s="65"/>
      <c r="Z618" s="61"/>
      <c r="AA618" s="64" t="s">
        <v>85</v>
      </c>
      <c r="AB618" s="29" t="str">
        <f>IF(Table2[[#This Row],[Data ultimo versamento temp]]=0/1/1900,"-",Table2[[#This Row],[Data ultimo versamento temp]])</f>
        <v>-</v>
      </c>
      <c r="AC618" s="29">
        <f t="array" ref="AC618">MAX(IF(TableVersamenti[Polizza]=Table2[[#This Row],[Polizza]],TableVersamenti[Data prevista versamento],"-"))</f>
        <v>0</v>
      </c>
      <c r="AD618" s="62"/>
      <c r="AE618" s="106">
        <f>DATE(YEAR(Table2[[#This Row],[Data ultimo pagamento]]),MONTH(Table2[[#This Row],[Data ultimo pagamento]]), 1)</f>
        <v>42675</v>
      </c>
      <c r="AF618" s="106">
        <f>DATE(YEAR(Table2[[#This Row],[Data prossima scadenza]]),MONTH(Table2[[#This Row],[Data prossima scadenza]]), 1)</f>
        <v>43040</v>
      </c>
      <c r="AG618" s="33">
        <f>IFERROR(Table2[[#This Row],[Importo annuale]]*VLOOKUP(Table2[[#This Row],[Ramo]],RAMI_POLIZZA,2,FALSE),0)</f>
        <v>11.73</v>
      </c>
      <c r="AH618" s="65" t="s">
        <v>113</v>
      </c>
      <c r="AI618" s="63" t="str">
        <f>IFERROR(VLOOKUP(Table2[[#This Row],[Contraente]],Table1[[Nome/Ragione sociale]:[Checkbox selezionato]],2,FALSE),"-")</f>
        <v>SAN MARTINO SICCOMARIO</v>
      </c>
      <c r="AJ618" s="63">
        <f>IFERROR(VLOOKUP(Table2[[#This Row],[Contraente]],Table1[[Nome/Ragione sociale]:[Checkbox selezionato]],3,FALSE),"-")</f>
        <v>3479385841</v>
      </c>
      <c r="AK618" s="63">
        <f>IFERROR(VLOOKUP(Table2[[#This Row],[Contraente]],Table1[[Nome/Ragione sociale]:[Checkbox selezionato]],4,FALSE),"-")</f>
        <v>0</v>
      </c>
      <c r="AL618" s="63" t="str">
        <f>IFERROR(VLOOKUP(Table2[[#This Row],[Contraente]],Table1[[Nome/Ragione sociale]:[Checkbox selezionato]],5,FALSE),"-")</f>
        <v>LAURA</v>
      </c>
      <c r="AM618" s="62">
        <f>IFERROR(VLOOKUP(Table2[[#This Row],[Contraente]],Table1[[Nome/Ragione sociale]:[Checkbox selezionato]],6,FALSE),"-")</f>
        <v>26527</v>
      </c>
      <c r="AN618" s="63" t="str">
        <f>IFERROR(VLOOKUP(Table2[[#This Row],[Contraente]],Table1[[Nome/Ragione sociale]:[Checkbox selezionato]],7,FALSE),"-")</f>
        <v>papies@email.it</v>
      </c>
      <c r="AO618" s="63">
        <f>IFERROR(VLOOKUP(Table2[[#This Row],[Contraente]],Table1[[Nome/Ragione sociale]:[Checkbox selezionato]],8,FALSE),"-")</f>
        <v>0</v>
      </c>
      <c r="AP618" s="63">
        <f>IFERROR(VLOOKUP(Table2[[#This Row],[Contraente]],Table1[[Nome/Ragione sociale]:[Checkbox selezionato]],10,FALSE),"-")</f>
        <v>3479385841</v>
      </c>
      <c r="AQ618" s="63" t="str">
        <f>IFERROR(VLOOKUP(Table2[[#This Row],[Contraente]],Table1[[Nome/Ragione sociale]:[Checkbox selezionato]],11,FALSE),"-")</f>
        <v>SI</v>
      </c>
      <c r="AR618" s="63" t="str">
        <f>IFERROR(VLOOKUP(Table2[[#This Row],[Contraente]],Table1[[Nome/Ragione sociale]:[Checkbox selezionato]],12,FALSE),"-")</f>
        <v>SI</v>
      </c>
    </row>
    <row r="619" spans="1:44" ht="30" hidden="1" customHeight="1" x14ac:dyDescent="0.25">
      <c r="A619" s="60" t="str">
        <f>UPPER(LEFT(Table2[[#This Row],[Contraente]],1))</f>
        <v>L</v>
      </c>
      <c r="B619" s="60" t="s">
        <v>1634</v>
      </c>
      <c r="C619" s="81" t="s">
        <v>745</v>
      </c>
      <c r="D619" s="81" t="s">
        <v>37</v>
      </c>
      <c r="E619" s="86">
        <v>104984878</v>
      </c>
      <c r="F619" s="64">
        <v>42683</v>
      </c>
      <c r="G619" s="64">
        <f>IFERROR(CALCOLASCADENZA(Table2[[#This Row],[Data attivazione]],Table2[[#This Row],[Rateizzazione]],Table2[[#This Row],[Data ultimo pagamento]],Table2[[#This Row],[Data prossima scadenza manuale]]),"-")</f>
        <v>43047</v>
      </c>
      <c r="H619" s="67" t="s">
        <v>31</v>
      </c>
      <c r="I619" s="67" t="s">
        <v>1371</v>
      </c>
      <c r="J619" s="33">
        <f>IFERROR(Table2[[#This Row],[Importo annuale]]/(12/VLOOKUP(Table2[[#This Row],[Rateizzazione]],TIPI_RATEIZZAZIONI,2,FALSE)),"-")</f>
        <v>489</v>
      </c>
      <c r="K619" s="88"/>
      <c r="L619" s="88">
        <v>489</v>
      </c>
      <c r="M619" s="67" t="s">
        <v>44</v>
      </c>
      <c r="N619" s="67" t="s">
        <v>51</v>
      </c>
      <c r="O619" s="27" t="s">
        <v>1631</v>
      </c>
      <c r="P619" s="33" t="s">
        <v>23</v>
      </c>
      <c r="Q619" s="60">
        <f>IFERROR(IF(12 / VLOOKUP(Table2[[#This Row],[Rateizzazione]],TIPI_RATEIZZAZIONI,2,FALSE) &gt;=1,  IF(Table2[[#This Row],[Data attivazione]] = "","-",MONTH(Table2[[#This Row],[Data attivazione]])),"-"),"-")</f>
        <v>11</v>
      </c>
      <c r="R6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9" s="67" t="s">
        <v>2</v>
      </c>
      <c r="V619" s="62"/>
      <c r="W619" s="64">
        <v>42682</v>
      </c>
      <c r="X619" s="29">
        <f>DATE(YEAR(Table2[[#This Row],[Data attivazione]])+VLOOKUP(Table2[[#This Row],[Durata]],VALORE_DURATA,2,FALSE),MONTH(Table2[[#This Row],[Data attivazione]]),DAY(Table2[[#This Row],[Data attivazione]]))</f>
        <v>43047</v>
      </c>
      <c r="Y619" s="65"/>
      <c r="Z619" s="61"/>
      <c r="AA619" s="64" t="s">
        <v>85</v>
      </c>
      <c r="AB619" s="29" t="str">
        <f>IF(Table2[[#This Row],[Data ultimo versamento temp]]=0/1/1900,"-",Table2[[#This Row],[Data ultimo versamento temp]])</f>
        <v>-</v>
      </c>
      <c r="AC619" s="29">
        <f t="array" ref="AC619">MAX(IF(TableVersamenti[Polizza]=Table2[[#This Row],[Polizza]],TableVersamenti[Data prevista versamento],"-"))</f>
        <v>0</v>
      </c>
      <c r="AD619" s="62"/>
      <c r="AE619" s="106">
        <f>DATE(YEAR(Table2[[#This Row],[Data ultimo pagamento]]),MONTH(Table2[[#This Row],[Data ultimo pagamento]]), 1)</f>
        <v>42675</v>
      </c>
      <c r="AF619" s="106">
        <f>DATE(YEAR(Table2[[#This Row],[Data prossima scadenza]]),MONTH(Table2[[#This Row],[Data prossima scadenza]]), 1)</f>
        <v>43040</v>
      </c>
      <c r="AG619" s="33">
        <f>IFERROR(Table2[[#This Row],[Importo annuale]]*VLOOKUP(Table2[[#This Row],[Ramo]],RAMI_POLIZZA,2,FALSE),0)</f>
        <v>25.427999999999997</v>
      </c>
      <c r="AH619" s="65" t="s">
        <v>113</v>
      </c>
      <c r="AI619" s="63" t="str">
        <f>IFERROR(VLOOKUP(Table2[[#This Row],[Contraente]],Table1[[Nome/Ragione sociale]:[Checkbox selezionato]],2,FALSE),"-")</f>
        <v>SAN MARTINO SICCOMARIO</v>
      </c>
      <c r="AJ619" s="63">
        <f>IFERROR(VLOOKUP(Table2[[#This Row],[Contraente]],Table1[[Nome/Ragione sociale]:[Checkbox selezionato]],3,FALSE),"-")</f>
        <v>3479385841</v>
      </c>
      <c r="AK619" s="63">
        <f>IFERROR(VLOOKUP(Table2[[#This Row],[Contraente]],Table1[[Nome/Ragione sociale]:[Checkbox selezionato]],4,FALSE),"-")</f>
        <v>0</v>
      </c>
      <c r="AL619" s="63" t="str">
        <f>IFERROR(VLOOKUP(Table2[[#This Row],[Contraente]],Table1[[Nome/Ragione sociale]:[Checkbox selezionato]],5,FALSE),"-")</f>
        <v>LAURA</v>
      </c>
      <c r="AM619" s="62">
        <f>IFERROR(VLOOKUP(Table2[[#This Row],[Contraente]],Table1[[Nome/Ragione sociale]:[Checkbox selezionato]],6,FALSE),"-")</f>
        <v>26527</v>
      </c>
      <c r="AN619" s="63" t="str">
        <f>IFERROR(VLOOKUP(Table2[[#This Row],[Contraente]],Table1[[Nome/Ragione sociale]:[Checkbox selezionato]],7,FALSE),"-")</f>
        <v>papies@email.it</v>
      </c>
      <c r="AO619" s="63">
        <f>IFERROR(VLOOKUP(Table2[[#This Row],[Contraente]],Table1[[Nome/Ragione sociale]:[Checkbox selezionato]],8,FALSE),"-")</f>
        <v>0</v>
      </c>
      <c r="AP619" s="63">
        <f>IFERROR(VLOOKUP(Table2[[#This Row],[Contraente]],Table1[[Nome/Ragione sociale]:[Checkbox selezionato]],10,FALSE),"-")</f>
        <v>3479385841</v>
      </c>
      <c r="AQ619" s="63" t="str">
        <f>IFERROR(VLOOKUP(Table2[[#This Row],[Contraente]],Table1[[Nome/Ragione sociale]:[Checkbox selezionato]],11,FALSE),"-")</f>
        <v>SI</v>
      </c>
      <c r="AR619" s="63" t="str">
        <f>IFERROR(VLOOKUP(Table2[[#This Row],[Contraente]],Table1[[Nome/Ragione sociale]:[Checkbox selezionato]],12,FALSE),"-")</f>
        <v>SI</v>
      </c>
    </row>
    <row r="620" spans="1:44" ht="30" hidden="1" customHeight="1" x14ac:dyDescent="0.25">
      <c r="A620" s="60" t="str">
        <f>UPPER(LEFT(Table2[[#This Row],[Contraente]],1))</f>
        <v>L</v>
      </c>
      <c r="B620" s="60" t="s">
        <v>1634</v>
      </c>
      <c r="C620" s="81" t="s">
        <v>744</v>
      </c>
      <c r="D620" s="81" t="s">
        <v>37</v>
      </c>
      <c r="E620" s="86">
        <v>106068704</v>
      </c>
      <c r="F620" s="64">
        <v>42765</v>
      </c>
      <c r="G620" s="64" t="str">
        <f>IFERROR(CALCOLASCADENZA(Table2[[#This Row],[Data attivazione]],Table2[[#This Row],[Rateizzazione]],Table2[[#This Row],[Data ultimo pagamento]],Table2[[#This Row],[Data prossima scadenza manuale]]),"-")</f>
        <v>-</v>
      </c>
      <c r="H620" s="67" t="s">
        <v>31</v>
      </c>
      <c r="I620" s="67" t="s">
        <v>1370</v>
      </c>
      <c r="J620" s="33">
        <v>-94.15</v>
      </c>
      <c r="K620" s="88">
        <v>-94.15</v>
      </c>
      <c r="L620" s="88">
        <v>0</v>
      </c>
      <c r="M620" s="67" t="s">
        <v>43</v>
      </c>
      <c r="N620" s="67" t="s">
        <v>52</v>
      </c>
      <c r="O620" s="27" t="s">
        <v>1631</v>
      </c>
      <c r="P620" s="33" t="s">
        <v>24</v>
      </c>
      <c r="Q62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0" s="67" t="s">
        <v>2</v>
      </c>
      <c r="V620" s="62"/>
      <c r="W620" s="64" t="e">
        <v>#VALUE!</v>
      </c>
      <c r="X62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20" s="65"/>
      <c r="Z620" s="61"/>
      <c r="AA620" s="64" t="s">
        <v>85</v>
      </c>
      <c r="AB620" s="29" t="str">
        <f>IF(Table2[[#This Row],[Data ultimo versamento temp]]=0/1/1900,"-",Table2[[#This Row],[Data ultimo versamento temp]])</f>
        <v>-</v>
      </c>
      <c r="AC620" s="29">
        <f t="array" ref="AC620">MAX(IF(TableVersamenti[Polizza]=Table2[[#This Row],[Polizza]],TableVersamenti[Data prevista versamento],"-"))</f>
        <v>0</v>
      </c>
      <c r="AD620" s="62"/>
      <c r="AE620" s="106">
        <f>DATE(YEAR(Table2[[#This Row],[Data ultimo pagamento]]),MONTH(Table2[[#This Row],[Data ultimo pagamento]]), 1)</f>
        <v>42736</v>
      </c>
      <c r="AF620" s="106" t="e">
        <f>DATE(YEAR(Table2[[#This Row],[Data prossima scadenza]]),MONTH(Table2[[#This Row],[Data prossima scadenza]]), 1)</f>
        <v>#VALUE!</v>
      </c>
      <c r="AG620" s="33">
        <f>IFERROR(Table2[[#This Row],[Importo annuale]]*VLOOKUP(Table2[[#This Row],[Ramo]],RAMI_POLIZZA,2,FALSE),0)</f>
        <v>0</v>
      </c>
      <c r="AH620" s="65" t="s">
        <v>113</v>
      </c>
      <c r="AI620" s="63" t="str">
        <f>IFERROR(VLOOKUP(Table2[[#This Row],[Contraente]],Table1[[Nome/Ragione sociale]:[Checkbox selezionato]],2,FALSE),"-")</f>
        <v>CURA CARPIGNANO</v>
      </c>
      <c r="AJ620" s="63">
        <f>IFERROR(VLOOKUP(Table2[[#This Row],[Contraente]],Table1[[Nome/Ragione sociale]:[Checkbox selezionato]],3,FALSE),"-")</f>
        <v>3341218316</v>
      </c>
      <c r="AK620" s="63">
        <f>IFERROR(VLOOKUP(Table2[[#This Row],[Contraente]],Table1[[Nome/Ragione sociale]:[Checkbox selezionato]],4,FALSE),"-")</f>
        <v>0</v>
      </c>
      <c r="AL620" s="63" t="str">
        <f>IFERROR(VLOOKUP(Table2[[#This Row],[Contraente]],Table1[[Nome/Ragione sociale]:[Checkbox selezionato]],5,FALSE),"-")</f>
        <v>VINCENZO</v>
      </c>
      <c r="AM620" s="62">
        <f>IFERROR(VLOOKUP(Table2[[#This Row],[Contraente]],Table1[[Nome/Ragione sociale]:[Checkbox selezionato]],6,FALSE),"-")</f>
        <v>24985</v>
      </c>
      <c r="AN620" s="63" t="str">
        <f>IFERROR(VLOOKUP(Table2[[#This Row],[Contraente]],Table1[[Nome/Ragione sociale]:[Checkbox selezionato]],7,FALSE),"-")</f>
        <v>papies@libero.it</v>
      </c>
      <c r="AO620" s="63">
        <f>IFERROR(VLOOKUP(Table2[[#This Row],[Contraente]],Table1[[Nome/Ragione sociale]:[Checkbox selezionato]],8,FALSE),"-")</f>
        <v>0</v>
      </c>
      <c r="AP620" s="63">
        <f>IFERROR(VLOOKUP(Table2[[#This Row],[Contraente]],Table1[[Nome/Ragione sociale]:[Checkbox selezionato]],10,FALSE),"-")</f>
        <v>3341218316</v>
      </c>
      <c r="AQ620" s="63" t="str">
        <f>IFERROR(VLOOKUP(Table2[[#This Row],[Contraente]],Table1[[Nome/Ragione sociale]:[Checkbox selezionato]],11,FALSE),"-")</f>
        <v>SI</v>
      </c>
      <c r="AR620" s="63" t="str">
        <f>IFERROR(VLOOKUP(Table2[[#This Row],[Contraente]],Table1[[Nome/Ragione sociale]:[Checkbox selezionato]],12,FALSE),"-")</f>
        <v>SI</v>
      </c>
    </row>
    <row r="621" spans="1:44" ht="30" hidden="1" customHeight="1" x14ac:dyDescent="0.25">
      <c r="A621" s="60" t="str">
        <f>UPPER(LEFT(Table2[[#This Row],[Contraente]],1))</f>
        <v>L</v>
      </c>
      <c r="B621" s="60" t="s">
        <v>1634</v>
      </c>
      <c r="C621" s="81" t="s">
        <v>747</v>
      </c>
      <c r="D621" s="81" t="s">
        <v>37</v>
      </c>
      <c r="E621" s="86">
        <v>106825762</v>
      </c>
      <c r="F621" s="64">
        <v>42860</v>
      </c>
      <c r="G621" s="64">
        <f>IFERROR(CALCOLASCADENZA(Table2[[#This Row],[Data attivazione]],Table2[[#This Row],[Rateizzazione]],Table2[[#This Row],[Data ultimo pagamento]],Table2[[#This Row],[Data prossima scadenza manuale]]),"-")</f>
        <v>43044</v>
      </c>
      <c r="H621" s="67" t="s">
        <v>31</v>
      </c>
      <c r="I621" s="67" t="s">
        <v>1372</v>
      </c>
      <c r="J621" s="33">
        <f>IFERROR(Table2[[#This Row],[Importo annuale]]/(12/VLOOKUP(Table2[[#This Row],[Rateizzazione]],TIPI_RATEIZZAZIONI,2,FALSE)),"-")</f>
        <v>205</v>
      </c>
      <c r="K621" s="88">
        <v>205</v>
      </c>
      <c r="L621" s="88">
        <v>205</v>
      </c>
      <c r="M621" s="67" t="s">
        <v>43</v>
      </c>
      <c r="N621" s="67" t="s">
        <v>52</v>
      </c>
      <c r="O621" s="27" t="s">
        <v>1631</v>
      </c>
      <c r="P621" s="33" t="s">
        <v>23</v>
      </c>
      <c r="Q621" s="60">
        <f>IFERROR(IF(12 / VLOOKUP(Table2[[#This Row],[Rateizzazione]],TIPI_RATEIZZAZIONI,2,FALSE) &gt;=1,  IF(Table2[[#This Row],[Data attivazione]] = "","-",MONTH(Table2[[#This Row],[Data attivazione]])),"-"),"-")</f>
        <v>11</v>
      </c>
      <c r="R6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1" s="67" t="s">
        <v>2</v>
      </c>
      <c r="V621" s="62"/>
      <c r="W621" s="64">
        <v>42679</v>
      </c>
      <c r="X621" s="29">
        <f>DATE(YEAR(Table2[[#This Row],[Data attivazione]])+VLOOKUP(Table2[[#This Row],[Durata]],VALORE_DURATA,2,FALSE),MONTH(Table2[[#This Row],[Data attivazione]]),DAY(Table2[[#This Row],[Data attivazione]]))</f>
        <v>43044</v>
      </c>
      <c r="Y621" s="65"/>
      <c r="Z621" s="61"/>
      <c r="AA621" s="64" t="s">
        <v>85</v>
      </c>
      <c r="AB621" s="29" t="str">
        <f>IF(Table2[[#This Row],[Data ultimo versamento temp]]=0/1/1900,"-",Table2[[#This Row],[Data ultimo versamento temp]])</f>
        <v>-</v>
      </c>
      <c r="AC621" s="29">
        <f t="array" ref="AC621">MAX(IF(TableVersamenti[Polizza]=Table2[[#This Row],[Polizza]],TableVersamenti[Data prevista versamento],"-"))</f>
        <v>0</v>
      </c>
      <c r="AD621" s="62"/>
      <c r="AE621" s="106">
        <f>DATE(YEAR(Table2[[#This Row],[Data ultimo pagamento]]),MONTH(Table2[[#This Row],[Data ultimo pagamento]]), 1)</f>
        <v>42856</v>
      </c>
      <c r="AF621" s="106">
        <f>DATE(YEAR(Table2[[#This Row],[Data prossima scadenza]]),MONTH(Table2[[#This Row],[Data prossima scadenza]]), 1)</f>
        <v>43040</v>
      </c>
      <c r="AG621" s="33">
        <f>IFERROR(Table2[[#This Row],[Importo annuale]]*VLOOKUP(Table2[[#This Row],[Ramo]],RAMI_POLIZZA,2,FALSE),0)</f>
        <v>10.66</v>
      </c>
      <c r="AH621" s="65" t="s">
        <v>113</v>
      </c>
      <c r="AI621" s="63" t="str">
        <f>IFERROR(VLOOKUP(Table2[[#This Row],[Contraente]],Table1[[Nome/Ragione sociale]:[Checkbox selezionato]],2,FALSE),"-")</f>
        <v>CHIGNOLO PO</v>
      </c>
      <c r="AJ621" s="63" t="str">
        <f>IFERROR(VLOOKUP(Table2[[#This Row],[Contraente]],Table1[[Nome/Ragione sociale]:[Checkbox selezionato]],3,FALSE),"-")</f>
        <v>-</v>
      </c>
      <c r="AK621" s="63">
        <f>IFERROR(VLOOKUP(Table2[[#This Row],[Contraente]],Table1[[Nome/Ragione sociale]:[Checkbox selezionato]],4,FALSE),"-")</f>
        <v>0</v>
      </c>
      <c r="AL621" s="63" t="str">
        <f>IFERROR(VLOOKUP(Table2[[#This Row],[Contraente]],Table1[[Nome/Ragione sociale]:[Checkbox selezionato]],5,FALSE),"-")</f>
        <v>GIOVANNI</v>
      </c>
      <c r="AM621" s="62">
        <f>IFERROR(VLOOKUP(Table2[[#This Row],[Contraente]],Table1[[Nome/Ragione sociale]:[Checkbox selezionato]],6,FALSE),"-")</f>
        <v>28962</v>
      </c>
      <c r="AN621" s="63" t="str">
        <f>IFERROR(VLOOKUP(Table2[[#This Row],[Contraente]],Table1[[Nome/Ragione sociale]:[Checkbox selezionato]],7,FALSE),"-")</f>
        <v>papies@libero.it</v>
      </c>
      <c r="AO621" s="63">
        <f>IFERROR(VLOOKUP(Table2[[#This Row],[Contraente]],Table1[[Nome/Ragione sociale]:[Checkbox selezionato]],8,FALSE),"-")</f>
        <v>0</v>
      </c>
      <c r="AP621" s="63" t="str">
        <f>IFERROR(VLOOKUP(Table2[[#This Row],[Contraente]],Table1[[Nome/Ragione sociale]:[Checkbox selezionato]],10,FALSE),"-")</f>
        <v>-</v>
      </c>
      <c r="AQ621" s="63" t="str">
        <f>IFERROR(VLOOKUP(Table2[[#This Row],[Contraente]],Table1[[Nome/Ragione sociale]:[Checkbox selezionato]],11,FALSE),"-")</f>
        <v>SI</v>
      </c>
      <c r="AR621" s="63" t="str">
        <f>IFERROR(VLOOKUP(Table2[[#This Row],[Contraente]],Table1[[Nome/Ragione sociale]:[Checkbox selezionato]],12,FALSE),"-")</f>
        <v>SI</v>
      </c>
    </row>
    <row r="622" spans="1:44" ht="30" hidden="1" customHeight="1" x14ac:dyDescent="0.25">
      <c r="A622" s="60" t="str">
        <f>UPPER(LEFT(Table2[[#This Row],[Contraente]],1))</f>
        <v>L</v>
      </c>
      <c r="B622" s="60" t="s">
        <v>1634</v>
      </c>
      <c r="C622" s="81" t="s">
        <v>750</v>
      </c>
      <c r="D622" s="81" t="s">
        <v>37</v>
      </c>
      <c r="E622" s="86">
        <v>101427959</v>
      </c>
      <c r="F622" s="64">
        <v>42830</v>
      </c>
      <c r="G622" s="64">
        <f>IFERROR(CALCOLASCADENZA(Table2[[#This Row],[Data attivazione]],Table2[[#This Row],[Rateizzazione]],Table2[[#This Row],[Data ultimo pagamento]],Table2[[#This Row],[Data prossima scadenza manuale]]),"-")</f>
        <v>43175</v>
      </c>
      <c r="H622" s="67" t="s">
        <v>31</v>
      </c>
      <c r="I622" s="67" t="s">
        <v>113</v>
      </c>
      <c r="J622" s="33">
        <f>IFERROR(Table2[[#This Row],[Importo annuale]]/(12/VLOOKUP(Table2[[#This Row],[Rateizzazione]],TIPI_RATEIZZAZIONI,2,FALSE)),"-")</f>
        <v>100</v>
      </c>
      <c r="K622" s="88">
        <v>100</v>
      </c>
      <c r="L622" s="88">
        <v>100</v>
      </c>
      <c r="M622" s="67" t="s">
        <v>44</v>
      </c>
      <c r="N622" s="67" t="s">
        <v>51</v>
      </c>
      <c r="O622" s="27" t="s">
        <v>1632</v>
      </c>
      <c r="P622" s="33" t="s">
        <v>23</v>
      </c>
      <c r="Q622" s="60">
        <f>IFERROR(IF(12 / VLOOKUP(Table2[[#This Row],[Rateizzazione]],TIPI_RATEIZZAZIONI,2,FALSE) &gt;=1,  IF(Table2[[#This Row],[Data attivazione]] = "","-",MONTH(Table2[[#This Row],[Data attivazione]])),"-"),"-")</f>
        <v>3</v>
      </c>
      <c r="R6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2" s="67" t="s">
        <v>2</v>
      </c>
      <c r="V622" s="62"/>
      <c r="W622" s="64">
        <v>39523</v>
      </c>
      <c r="X622" s="29">
        <f>DATE(YEAR(Table2[[#This Row],[Data attivazione]])+VLOOKUP(Table2[[#This Row],[Durata]],VALORE_DURATA,2,FALSE),MONTH(Table2[[#This Row],[Data attivazione]]),DAY(Table2[[#This Row],[Data attivazione]]))</f>
        <v>43175</v>
      </c>
      <c r="Y622" s="65"/>
      <c r="Z622" s="61"/>
      <c r="AA622" s="64" t="s">
        <v>85</v>
      </c>
      <c r="AB622" s="29" t="str">
        <f>IF(Table2[[#This Row],[Data ultimo versamento temp]]=0/1/1900,"-",Table2[[#This Row],[Data ultimo versamento temp]])</f>
        <v>-</v>
      </c>
      <c r="AC622" s="29">
        <f t="array" ref="AC622">MAX(IF(TableVersamenti[Polizza]=Table2[[#This Row],[Polizza]],TableVersamenti[Data prevista versamento],"-"))</f>
        <v>0</v>
      </c>
      <c r="AD622" s="62"/>
      <c r="AE622" s="106">
        <f>DATE(YEAR(Table2[[#This Row],[Data ultimo pagamento]]),MONTH(Table2[[#This Row],[Data ultimo pagamento]]), 1)</f>
        <v>42826</v>
      </c>
      <c r="AF622" s="106">
        <f>DATE(YEAR(Table2[[#This Row],[Data prossima scadenza]]),MONTH(Table2[[#This Row],[Data prossima scadenza]]), 1)</f>
        <v>43160</v>
      </c>
      <c r="AG622" s="33">
        <f>IFERROR(Table2[[#This Row],[Importo annuale]]*VLOOKUP(Table2[[#This Row],[Ramo]],RAMI_POLIZZA,2,FALSE),0)</f>
        <v>5.2</v>
      </c>
      <c r="AH622" s="65" t="s">
        <v>113</v>
      </c>
      <c r="AI622" s="63" t="str">
        <f>IFERROR(VLOOKUP(Table2[[#This Row],[Contraente]],Table1[[Nome/Ragione sociale]:[Checkbox selezionato]],2,FALSE),"-")</f>
        <v>SANTA CRISTINA E BISSONE</v>
      </c>
      <c r="AJ622" s="63">
        <f>IFERROR(VLOOKUP(Table2[[#This Row],[Contraente]],Table1[[Nome/Ragione sociale]:[Checkbox selezionato]],3,FALSE),"-")</f>
        <v>3393577545</v>
      </c>
      <c r="AK622" s="63">
        <f>IFERROR(VLOOKUP(Table2[[#This Row],[Contraente]],Table1[[Nome/Ragione sociale]:[Checkbox selezionato]],4,FALSE),"-")</f>
        <v>0</v>
      </c>
      <c r="AL622" s="63" t="str">
        <f>IFERROR(VLOOKUP(Table2[[#This Row],[Contraente]],Table1[[Nome/Ragione sociale]:[Checkbox selezionato]],5,FALSE),"-")</f>
        <v>FEDERICA</v>
      </c>
      <c r="AM622" s="62">
        <f>IFERROR(VLOOKUP(Table2[[#This Row],[Contraente]],Table1[[Nome/Ragione sociale]:[Checkbox selezionato]],6,FALSE),"-")</f>
        <v>18556</v>
      </c>
      <c r="AN622" s="63" t="str">
        <f>IFERROR(VLOOKUP(Table2[[#This Row],[Contraente]],Table1[[Nome/Ragione sociale]:[Checkbox selezionato]],7,FALSE),"-")</f>
        <v>papies@email.it</v>
      </c>
      <c r="AO622" s="63">
        <f>IFERROR(VLOOKUP(Table2[[#This Row],[Contraente]],Table1[[Nome/Ragione sociale]:[Checkbox selezionato]],8,FALSE),"-")</f>
        <v>0</v>
      </c>
      <c r="AP622" s="63">
        <f>IFERROR(VLOOKUP(Table2[[#This Row],[Contraente]],Table1[[Nome/Ragione sociale]:[Checkbox selezionato]],10,FALSE),"-")</f>
        <v>3393577545</v>
      </c>
      <c r="AQ622" s="63" t="str">
        <f>IFERROR(VLOOKUP(Table2[[#This Row],[Contraente]],Table1[[Nome/Ragione sociale]:[Checkbox selezionato]],11,FALSE),"-")</f>
        <v>SI</v>
      </c>
      <c r="AR622" s="63" t="str">
        <f>IFERROR(VLOOKUP(Table2[[#This Row],[Contraente]],Table1[[Nome/Ragione sociale]:[Checkbox selezionato]],12,FALSE),"-")</f>
        <v>SI</v>
      </c>
    </row>
    <row r="623" spans="1:44" ht="30" hidden="1" customHeight="1" x14ac:dyDescent="0.25">
      <c r="A623" s="60" t="str">
        <f>UPPER(LEFT(Table2[[#This Row],[Contraente]],1))</f>
        <v>L</v>
      </c>
      <c r="B623" s="60" t="s">
        <v>1634</v>
      </c>
      <c r="C623" s="81" t="s">
        <v>750</v>
      </c>
      <c r="D623" s="81" t="s">
        <v>37</v>
      </c>
      <c r="E623" s="86">
        <v>106774035</v>
      </c>
      <c r="F623" s="64">
        <v>42846</v>
      </c>
      <c r="G623" s="64">
        <f>IFERROR(CALCOLASCADENZA(Table2[[#This Row],[Data attivazione]],Table2[[#This Row],[Rateizzazione]],Table2[[#This Row],[Data ultimo pagamento]],Table2[[#This Row],[Data prossima scadenza manuale]]),"-")</f>
        <v>43013</v>
      </c>
      <c r="H623" s="67" t="s">
        <v>31</v>
      </c>
      <c r="I623" s="67" t="s">
        <v>1377</v>
      </c>
      <c r="J623" s="33">
        <f>IFERROR(Table2[[#This Row],[Importo annuale]]/(12/VLOOKUP(Table2[[#This Row],[Rateizzazione]],TIPI_RATEIZZAZIONI,2,FALSE)),"-")</f>
        <v>530</v>
      </c>
      <c r="K623" s="88">
        <v>530</v>
      </c>
      <c r="L623" s="88">
        <v>1060</v>
      </c>
      <c r="M623" s="67" t="s">
        <v>44</v>
      </c>
      <c r="N623" s="67" t="s">
        <v>51</v>
      </c>
      <c r="O623" s="27" t="s">
        <v>1631</v>
      </c>
      <c r="P623" s="33" t="s">
        <v>22</v>
      </c>
      <c r="Q623" s="60">
        <f>IFERROR(IF(12 / VLOOKUP(Table2[[#This Row],[Rateizzazione]],TIPI_RATEIZZAZIONI,2,FALSE) &gt;=1,  IF(Table2[[#This Row],[Data attivazione]] = "","-",MONTH(Table2[[#This Row],[Data attivazione]])),"-"),"-")</f>
        <v>10</v>
      </c>
      <c r="R6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3" s="67" t="s">
        <v>2</v>
      </c>
      <c r="V623" s="62"/>
      <c r="W623" s="64">
        <v>42648</v>
      </c>
      <c r="X623" s="29">
        <f>DATE(YEAR(Table2[[#This Row],[Data attivazione]])+VLOOKUP(Table2[[#This Row],[Durata]],VALORE_DURATA,2,FALSE),MONTH(Table2[[#This Row],[Data attivazione]]),DAY(Table2[[#This Row],[Data attivazione]]))</f>
        <v>43013</v>
      </c>
      <c r="Y623" s="65"/>
      <c r="Z623" s="61"/>
      <c r="AA623" s="64" t="s">
        <v>85</v>
      </c>
      <c r="AB623" s="29" t="str">
        <f>IF(Table2[[#This Row],[Data ultimo versamento temp]]=0/1/1900,"-",Table2[[#This Row],[Data ultimo versamento temp]])</f>
        <v>-</v>
      </c>
      <c r="AC623" s="29">
        <f t="array" ref="AC623">MAX(IF(TableVersamenti[Polizza]=Table2[[#This Row],[Polizza]],TableVersamenti[Data prevista versamento],"-"))</f>
        <v>0</v>
      </c>
      <c r="AD623" s="62"/>
      <c r="AE623" s="106">
        <f>DATE(YEAR(Table2[[#This Row],[Data ultimo pagamento]]),MONTH(Table2[[#This Row],[Data ultimo pagamento]]), 1)</f>
        <v>42826</v>
      </c>
      <c r="AF623" s="106">
        <f>DATE(YEAR(Table2[[#This Row],[Data prossima scadenza]]),MONTH(Table2[[#This Row],[Data prossima scadenza]]), 1)</f>
        <v>43009</v>
      </c>
      <c r="AG623" s="33">
        <f>IFERROR(Table2[[#This Row],[Importo annuale]]*VLOOKUP(Table2[[#This Row],[Ramo]],RAMI_POLIZZA,2,FALSE),0)</f>
        <v>55.12</v>
      </c>
      <c r="AH623" s="65" t="s">
        <v>113</v>
      </c>
      <c r="AI623" s="63" t="str">
        <f>IFERROR(VLOOKUP(Table2[[#This Row],[Contraente]],Table1[[Nome/Ragione sociale]:[Checkbox selezionato]],2,FALSE),"-")</f>
        <v>SANTA CRISTINA E BISSONE</v>
      </c>
      <c r="AJ623" s="63">
        <f>IFERROR(VLOOKUP(Table2[[#This Row],[Contraente]],Table1[[Nome/Ragione sociale]:[Checkbox selezionato]],3,FALSE),"-")</f>
        <v>3393577545</v>
      </c>
      <c r="AK623" s="63">
        <f>IFERROR(VLOOKUP(Table2[[#This Row],[Contraente]],Table1[[Nome/Ragione sociale]:[Checkbox selezionato]],4,FALSE),"-")</f>
        <v>0</v>
      </c>
      <c r="AL623" s="63" t="str">
        <f>IFERROR(VLOOKUP(Table2[[#This Row],[Contraente]],Table1[[Nome/Ragione sociale]:[Checkbox selezionato]],5,FALSE),"-")</f>
        <v>FEDERICA</v>
      </c>
      <c r="AM623" s="62">
        <f>IFERROR(VLOOKUP(Table2[[#This Row],[Contraente]],Table1[[Nome/Ragione sociale]:[Checkbox selezionato]],6,FALSE),"-")</f>
        <v>18556</v>
      </c>
      <c r="AN623" s="63" t="str">
        <f>IFERROR(VLOOKUP(Table2[[#This Row],[Contraente]],Table1[[Nome/Ragione sociale]:[Checkbox selezionato]],7,FALSE),"-")</f>
        <v>papies@email.it</v>
      </c>
      <c r="AO623" s="63">
        <f>IFERROR(VLOOKUP(Table2[[#This Row],[Contraente]],Table1[[Nome/Ragione sociale]:[Checkbox selezionato]],8,FALSE),"-")</f>
        <v>0</v>
      </c>
      <c r="AP623" s="63">
        <f>IFERROR(VLOOKUP(Table2[[#This Row],[Contraente]],Table1[[Nome/Ragione sociale]:[Checkbox selezionato]],10,FALSE),"-")</f>
        <v>3393577545</v>
      </c>
      <c r="AQ623" s="63" t="str">
        <f>IFERROR(VLOOKUP(Table2[[#This Row],[Contraente]],Table1[[Nome/Ragione sociale]:[Checkbox selezionato]],11,FALSE),"-")</f>
        <v>SI</v>
      </c>
      <c r="AR623" s="63" t="str">
        <f>IFERROR(VLOOKUP(Table2[[#This Row],[Contraente]],Table1[[Nome/Ragione sociale]:[Checkbox selezionato]],12,FALSE),"-")</f>
        <v>SI</v>
      </c>
    </row>
    <row r="624" spans="1:44" ht="30" hidden="1" customHeight="1" x14ac:dyDescent="0.25">
      <c r="A624" s="60" t="str">
        <f>UPPER(LEFT(Table2[[#This Row],[Contraente]],1))</f>
        <v>L</v>
      </c>
      <c r="B624" s="60" t="s">
        <v>1634</v>
      </c>
      <c r="C624" s="81" t="s">
        <v>750</v>
      </c>
      <c r="D624" s="81" t="s">
        <v>37</v>
      </c>
      <c r="E624" s="86">
        <v>105445298</v>
      </c>
      <c r="F624" s="64">
        <v>42830</v>
      </c>
      <c r="G624" s="64">
        <f>IFERROR(CALCOLASCADENZA(Table2[[#This Row],[Data attivazione]],Table2[[#This Row],[Rateizzazione]],Table2[[#This Row],[Data ultimo pagamento]],Table2[[#This Row],[Data prossima scadenza manuale]]),"-")</f>
        <v>43004</v>
      </c>
      <c r="H624" s="67" t="s">
        <v>31</v>
      </c>
      <c r="I624" s="67" t="s">
        <v>1378</v>
      </c>
      <c r="J624" s="33">
        <f>IFERROR(Table2[[#This Row],[Importo annuale]]/(12/VLOOKUP(Table2[[#This Row],[Rateizzazione]],TIPI_RATEIZZAZIONI,2,FALSE)),"-")</f>
        <v>494</v>
      </c>
      <c r="K624" s="88">
        <v>494</v>
      </c>
      <c r="L624" s="88">
        <v>988</v>
      </c>
      <c r="M624" s="67" t="s">
        <v>44</v>
      </c>
      <c r="N624" s="67" t="s">
        <v>51</v>
      </c>
      <c r="O624" s="27" t="s">
        <v>1631</v>
      </c>
      <c r="P624" s="33" t="s">
        <v>22</v>
      </c>
      <c r="Q624" s="60">
        <f>IFERROR(IF(12 / VLOOKUP(Table2[[#This Row],[Rateizzazione]],TIPI_RATEIZZAZIONI,2,FALSE) &gt;=1,  IF(Table2[[#This Row],[Data attivazione]] = "","-",MONTH(Table2[[#This Row],[Data attivazione]])),"-"),"-")</f>
        <v>9</v>
      </c>
      <c r="R6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4" s="67" t="s">
        <v>2</v>
      </c>
      <c r="V624" s="62"/>
      <c r="W624" s="64">
        <v>42639</v>
      </c>
      <c r="X624" s="29">
        <f>DATE(YEAR(Table2[[#This Row],[Data attivazione]])+VLOOKUP(Table2[[#This Row],[Durata]],VALORE_DURATA,2,FALSE),MONTH(Table2[[#This Row],[Data attivazione]]),DAY(Table2[[#This Row],[Data attivazione]]))</f>
        <v>43004</v>
      </c>
      <c r="Y624" s="65"/>
      <c r="Z624" s="61"/>
      <c r="AA624" s="64" t="s">
        <v>85</v>
      </c>
      <c r="AB624" s="29" t="str">
        <f>IF(Table2[[#This Row],[Data ultimo versamento temp]]=0/1/1900,"-",Table2[[#This Row],[Data ultimo versamento temp]])</f>
        <v>-</v>
      </c>
      <c r="AC624" s="29">
        <f t="array" ref="AC624">MAX(IF(TableVersamenti[Polizza]=Table2[[#This Row],[Polizza]],TableVersamenti[Data prevista versamento],"-"))</f>
        <v>0</v>
      </c>
      <c r="AD624" s="62"/>
      <c r="AE624" s="106">
        <f>DATE(YEAR(Table2[[#This Row],[Data ultimo pagamento]]),MONTH(Table2[[#This Row],[Data ultimo pagamento]]), 1)</f>
        <v>42826</v>
      </c>
      <c r="AF624" s="106">
        <f>DATE(YEAR(Table2[[#This Row],[Data prossima scadenza]]),MONTH(Table2[[#This Row],[Data prossima scadenza]]), 1)</f>
        <v>42979</v>
      </c>
      <c r="AG624" s="33">
        <f>IFERROR(Table2[[#This Row],[Importo annuale]]*VLOOKUP(Table2[[#This Row],[Ramo]],RAMI_POLIZZA,2,FALSE),0)</f>
        <v>51.375999999999998</v>
      </c>
      <c r="AH624" s="65" t="s">
        <v>113</v>
      </c>
      <c r="AI624" s="63" t="str">
        <f>IFERROR(VLOOKUP(Table2[[#This Row],[Contraente]],Table1[[Nome/Ragione sociale]:[Checkbox selezionato]],2,FALSE),"-")</f>
        <v>SANTA CRISTINA E BISSONE</v>
      </c>
      <c r="AJ624" s="63">
        <f>IFERROR(VLOOKUP(Table2[[#This Row],[Contraente]],Table1[[Nome/Ragione sociale]:[Checkbox selezionato]],3,FALSE),"-")</f>
        <v>3393577545</v>
      </c>
      <c r="AK624" s="63">
        <f>IFERROR(VLOOKUP(Table2[[#This Row],[Contraente]],Table1[[Nome/Ragione sociale]:[Checkbox selezionato]],4,FALSE),"-")</f>
        <v>0</v>
      </c>
      <c r="AL624" s="63" t="str">
        <f>IFERROR(VLOOKUP(Table2[[#This Row],[Contraente]],Table1[[Nome/Ragione sociale]:[Checkbox selezionato]],5,FALSE),"-")</f>
        <v>FEDERICA</v>
      </c>
      <c r="AM624" s="62">
        <f>IFERROR(VLOOKUP(Table2[[#This Row],[Contraente]],Table1[[Nome/Ragione sociale]:[Checkbox selezionato]],6,FALSE),"-")</f>
        <v>18556</v>
      </c>
      <c r="AN624" s="63" t="str">
        <f>IFERROR(VLOOKUP(Table2[[#This Row],[Contraente]],Table1[[Nome/Ragione sociale]:[Checkbox selezionato]],7,FALSE),"-")</f>
        <v>papies@email.it</v>
      </c>
      <c r="AO624" s="63">
        <f>IFERROR(VLOOKUP(Table2[[#This Row],[Contraente]],Table1[[Nome/Ragione sociale]:[Checkbox selezionato]],8,FALSE),"-")</f>
        <v>0</v>
      </c>
      <c r="AP624" s="63">
        <f>IFERROR(VLOOKUP(Table2[[#This Row],[Contraente]],Table1[[Nome/Ragione sociale]:[Checkbox selezionato]],10,FALSE),"-")</f>
        <v>3393577545</v>
      </c>
      <c r="AQ624" s="63" t="str">
        <f>IFERROR(VLOOKUP(Table2[[#This Row],[Contraente]],Table1[[Nome/Ragione sociale]:[Checkbox selezionato]],11,FALSE),"-")</f>
        <v>SI</v>
      </c>
      <c r="AR624" s="63" t="str">
        <f>IFERROR(VLOOKUP(Table2[[#This Row],[Contraente]],Table1[[Nome/Ragione sociale]:[Checkbox selezionato]],12,FALSE),"-")</f>
        <v>SI</v>
      </c>
    </row>
    <row r="625" spans="1:44" ht="30" hidden="1" customHeight="1" x14ac:dyDescent="0.25">
      <c r="A625" s="60" t="str">
        <f>UPPER(LEFT(Table2[[#This Row],[Contraente]],1))</f>
        <v>L</v>
      </c>
      <c r="B625" s="60" t="s">
        <v>1634</v>
      </c>
      <c r="C625" s="81" t="s">
        <v>735</v>
      </c>
      <c r="D625" s="81" t="s">
        <v>37</v>
      </c>
      <c r="E625" s="86">
        <v>102022187</v>
      </c>
      <c r="F625" s="64">
        <v>42577</v>
      </c>
      <c r="G625" s="64">
        <f>IFERROR(CALCOLASCADENZA(Table2[[#This Row],[Data attivazione]],Table2[[#This Row],[Rateizzazione]],Table2[[#This Row],[Data ultimo pagamento]],Table2[[#This Row],[Data prossima scadenza manuale]]),"-")</f>
        <v>42944</v>
      </c>
      <c r="H625" s="67" t="s">
        <v>30</v>
      </c>
      <c r="I625" s="67" t="s">
        <v>113</v>
      </c>
      <c r="J625" s="33">
        <f>IFERROR(Table2[[#This Row],[Importo annuale]]/(12/VLOOKUP(Table2[[#This Row],[Rateizzazione]],TIPI_RATEIZZAZIONI,2,FALSE)),"-")</f>
        <v>114</v>
      </c>
      <c r="K625" s="88"/>
      <c r="L625" s="88">
        <v>114</v>
      </c>
      <c r="M625" s="67" t="s">
        <v>44</v>
      </c>
      <c r="N625" s="67" t="s">
        <v>51</v>
      </c>
      <c r="O625" s="27" t="s">
        <v>1631</v>
      </c>
      <c r="P625" s="33" t="s">
        <v>23</v>
      </c>
      <c r="Q625" s="60">
        <f>IFERROR(IF(12 / VLOOKUP(Table2[[#This Row],[Rateizzazione]],TIPI_RATEIZZAZIONI,2,FALSE) &gt;=1,  IF(Table2[[#This Row],[Data attivazione]] = "","-",MONTH(Table2[[#This Row],[Data attivazione]])),"-"),"-")</f>
        <v>7</v>
      </c>
      <c r="R6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5" s="67" t="s">
        <v>2</v>
      </c>
      <c r="V625" s="62"/>
      <c r="W625" s="64">
        <v>42579</v>
      </c>
      <c r="X625" s="29">
        <f>DATE(YEAR(Table2[[#This Row],[Data attivazione]])+VLOOKUP(Table2[[#This Row],[Durata]],VALORE_DURATA,2,FALSE),MONTH(Table2[[#This Row],[Data attivazione]]),DAY(Table2[[#This Row],[Data attivazione]]))</f>
        <v>42944</v>
      </c>
      <c r="Y625" s="65"/>
      <c r="Z625" s="61"/>
      <c r="AA625" s="64" t="s">
        <v>85</v>
      </c>
      <c r="AB625" s="29" t="str">
        <f>IF(Table2[[#This Row],[Data ultimo versamento temp]]=0/1/1900,"-",Table2[[#This Row],[Data ultimo versamento temp]])</f>
        <v>-</v>
      </c>
      <c r="AC625" s="29">
        <f t="array" ref="AC625">MAX(IF(TableVersamenti[Polizza]=Table2[[#This Row],[Polizza]],TableVersamenti[Data prevista versamento],"-"))</f>
        <v>0</v>
      </c>
      <c r="AD625" s="62"/>
      <c r="AE625" s="106">
        <f>DATE(YEAR(Table2[[#This Row],[Data ultimo pagamento]]),MONTH(Table2[[#This Row],[Data ultimo pagamento]]), 1)</f>
        <v>42552</v>
      </c>
      <c r="AF625" s="106">
        <f>DATE(YEAR(Table2[[#This Row],[Data prossima scadenza]]),MONTH(Table2[[#This Row],[Data prossima scadenza]]), 1)</f>
        <v>42917</v>
      </c>
      <c r="AG625" s="33">
        <f>IFERROR(Table2[[#This Row],[Importo annuale]]*VLOOKUP(Table2[[#This Row],[Ramo]],RAMI_POLIZZA,2,FALSE),0)</f>
        <v>13.110000000000001</v>
      </c>
      <c r="AH625" s="65" t="s">
        <v>113</v>
      </c>
      <c r="AI625" s="63" t="str">
        <f>IFERROR(VLOOKUP(Table2[[#This Row],[Contraente]],Table1[[Nome/Ragione sociale]:[Checkbox selezionato]],2,FALSE),"-")</f>
        <v>ARENA PO</v>
      </c>
      <c r="AJ625" s="63">
        <f>IFERROR(VLOOKUP(Table2[[#This Row],[Contraente]],Table1[[Nome/Ragione sociale]:[Checkbox selezionato]],3,FALSE),"-")</f>
        <v>3347167238</v>
      </c>
      <c r="AK625" s="63">
        <f>IFERROR(VLOOKUP(Table2[[#This Row],[Contraente]],Table1[[Nome/Ragione sociale]:[Checkbox selezionato]],4,FALSE),"-")</f>
        <v>0</v>
      </c>
      <c r="AL625" s="63" t="str">
        <f>IFERROR(VLOOKUP(Table2[[#This Row],[Contraente]],Table1[[Nome/Ragione sociale]:[Checkbox selezionato]],5,FALSE),"-")</f>
        <v>ALESSANDRO</v>
      </c>
      <c r="AM625" s="62">
        <f>IFERROR(VLOOKUP(Table2[[#This Row],[Contraente]],Table1[[Nome/Ragione sociale]:[Checkbox selezionato]],6,FALSE),"-")</f>
        <v>30750</v>
      </c>
      <c r="AN625" s="63" t="str">
        <f>IFERROR(VLOOKUP(Table2[[#This Row],[Contraente]],Table1[[Nome/Ragione sociale]:[Checkbox selezionato]],7,FALSE),"-")</f>
        <v>papies@libero.it</v>
      </c>
      <c r="AO625" s="63">
        <f>IFERROR(VLOOKUP(Table2[[#This Row],[Contraente]],Table1[[Nome/Ragione sociale]:[Checkbox selezionato]],8,FALSE),"-")</f>
        <v>0</v>
      </c>
      <c r="AP625" s="63">
        <f>IFERROR(VLOOKUP(Table2[[#This Row],[Contraente]],Table1[[Nome/Ragione sociale]:[Checkbox selezionato]],10,FALSE),"-")</f>
        <v>3347167238</v>
      </c>
      <c r="AQ625" s="63" t="str">
        <f>IFERROR(VLOOKUP(Table2[[#This Row],[Contraente]],Table1[[Nome/Ragione sociale]:[Checkbox selezionato]],11,FALSE),"-")</f>
        <v>SI</v>
      </c>
      <c r="AR625" s="63" t="str">
        <f>IFERROR(VLOOKUP(Table2[[#This Row],[Contraente]],Table1[[Nome/Ragione sociale]:[Checkbox selezionato]],12,FALSE),"-")</f>
        <v>SI</v>
      </c>
    </row>
    <row r="626" spans="1:44" ht="30" hidden="1" customHeight="1" x14ac:dyDescent="0.25">
      <c r="A626" s="60" t="str">
        <f>UPPER(LEFT(Table2[[#This Row],[Contraente]],1))</f>
        <v>L</v>
      </c>
      <c r="B626" s="60" t="s">
        <v>1634</v>
      </c>
      <c r="C626" s="81" t="s">
        <v>735</v>
      </c>
      <c r="D626" s="81" t="s">
        <v>37</v>
      </c>
      <c r="E626" s="86">
        <v>104696280</v>
      </c>
      <c r="F626" s="64">
        <v>42577</v>
      </c>
      <c r="G626" s="64">
        <f>IFERROR(CALCOLASCADENZA(Table2[[#This Row],[Data attivazione]],Table2[[#This Row],[Rateizzazione]],Table2[[#This Row],[Data ultimo pagamento]],Table2[[#This Row],[Data prossima scadenza manuale]]),"-")</f>
        <v>42944</v>
      </c>
      <c r="H626" s="67" t="s">
        <v>31</v>
      </c>
      <c r="I626" s="67" t="s">
        <v>1365</v>
      </c>
      <c r="J626" s="33">
        <f>IFERROR(Table2[[#This Row],[Importo annuale]]/(12/VLOOKUP(Table2[[#This Row],[Rateizzazione]],TIPI_RATEIZZAZIONI,2,FALSE)),"-")</f>
        <v>503</v>
      </c>
      <c r="K626" s="88"/>
      <c r="L626" s="88">
        <v>503</v>
      </c>
      <c r="M626" s="67" t="s">
        <v>44</v>
      </c>
      <c r="N626" s="67" t="s">
        <v>51</v>
      </c>
      <c r="O626" s="27" t="s">
        <v>1631</v>
      </c>
      <c r="P626" s="33" t="s">
        <v>23</v>
      </c>
      <c r="Q626" s="60">
        <f>IFERROR(IF(12 / VLOOKUP(Table2[[#This Row],[Rateizzazione]],TIPI_RATEIZZAZIONI,2,FALSE) &gt;=1,  IF(Table2[[#This Row],[Data attivazione]] = "","-",MONTH(Table2[[#This Row],[Data attivazione]])),"-"),"-")</f>
        <v>7</v>
      </c>
      <c r="R6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6" s="67" t="s">
        <v>2</v>
      </c>
      <c r="V626" s="62"/>
      <c r="W626" s="64">
        <v>42579</v>
      </c>
      <c r="X626" s="29">
        <f>DATE(YEAR(Table2[[#This Row],[Data attivazione]])+VLOOKUP(Table2[[#This Row],[Durata]],VALORE_DURATA,2,FALSE),MONTH(Table2[[#This Row],[Data attivazione]]),DAY(Table2[[#This Row],[Data attivazione]]))</f>
        <v>42944</v>
      </c>
      <c r="Y626" s="65"/>
      <c r="Z626" s="61"/>
      <c r="AA626" s="64" t="s">
        <v>85</v>
      </c>
      <c r="AB626" s="29" t="str">
        <f>IF(Table2[[#This Row],[Data ultimo versamento temp]]=0/1/1900,"-",Table2[[#This Row],[Data ultimo versamento temp]])</f>
        <v>-</v>
      </c>
      <c r="AC626" s="29">
        <f t="array" ref="AC626">MAX(IF(TableVersamenti[Polizza]=Table2[[#This Row],[Polizza]],TableVersamenti[Data prevista versamento],"-"))</f>
        <v>0</v>
      </c>
      <c r="AD626" s="62"/>
      <c r="AE626" s="106">
        <f>DATE(YEAR(Table2[[#This Row],[Data ultimo pagamento]]),MONTH(Table2[[#This Row],[Data ultimo pagamento]]), 1)</f>
        <v>42552</v>
      </c>
      <c r="AF626" s="106">
        <f>DATE(YEAR(Table2[[#This Row],[Data prossima scadenza]]),MONTH(Table2[[#This Row],[Data prossima scadenza]]), 1)</f>
        <v>42917</v>
      </c>
      <c r="AG626" s="33">
        <f>IFERROR(Table2[[#This Row],[Importo annuale]]*VLOOKUP(Table2[[#This Row],[Ramo]],RAMI_POLIZZA,2,FALSE),0)</f>
        <v>26.155999999999999</v>
      </c>
      <c r="AH626" s="65" t="s">
        <v>113</v>
      </c>
      <c r="AI626" s="63" t="str">
        <f>IFERROR(VLOOKUP(Table2[[#This Row],[Contraente]],Table1[[Nome/Ragione sociale]:[Checkbox selezionato]],2,FALSE),"-")</f>
        <v>ARENA PO</v>
      </c>
      <c r="AJ626" s="63">
        <f>IFERROR(VLOOKUP(Table2[[#This Row],[Contraente]],Table1[[Nome/Ragione sociale]:[Checkbox selezionato]],3,FALSE),"-")</f>
        <v>3347167238</v>
      </c>
      <c r="AK626" s="63">
        <f>IFERROR(VLOOKUP(Table2[[#This Row],[Contraente]],Table1[[Nome/Ragione sociale]:[Checkbox selezionato]],4,FALSE),"-")</f>
        <v>0</v>
      </c>
      <c r="AL626" s="63" t="str">
        <f>IFERROR(VLOOKUP(Table2[[#This Row],[Contraente]],Table1[[Nome/Ragione sociale]:[Checkbox selezionato]],5,FALSE),"-")</f>
        <v>ALESSANDRO</v>
      </c>
      <c r="AM626" s="62">
        <f>IFERROR(VLOOKUP(Table2[[#This Row],[Contraente]],Table1[[Nome/Ragione sociale]:[Checkbox selezionato]],6,FALSE),"-")</f>
        <v>30750</v>
      </c>
      <c r="AN626" s="63" t="str">
        <f>IFERROR(VLOOKUP(Table2[[#This Row],[Contraente]],Table1[[Nome/Ragione sociale]:[Checkbox selezionato]],7,FALSE),"-")</f>
        <v>papies@libero.it</v>
      </c>
      <c r="AO626" s="63">
        <f>IFERROR(VLOOKUP(Table2[[#This Row],[Contraente]],Table1[[Nome/Ragione sociale]:[Checkbox selezionato]],8,FALSE),"-")</f>
        <v>0</v>
      </c>
      <c r="AP626" s="63">
        <f>IFERROR(VLOOKUP(Table2[[#This Row],[Contraente]],Table1[[Nome/Ragione sociale]:[Checkbox selezionato]],10,FALSE),"-")</f>
        <v>3347167238</v>
      </c>
      <c r="AQ626" s="63" t="str">
        <f>IFERROR(VLOOKUP(Table2[[#This Row],[Contraente]],Table1[[Nome/Ragione sociale]:[Checkbox selezionato]],11,FALSE),"-")</f>
        <v>SI</v>
      </c>
      <c r="AR626" s="63" t="str">
        <f>IFERROR(VLOOKUP(Table2[[#This Row],[Contraente]],Table1[[Nome/Ragione sociale]:[Checkbox selezionato]],12,FALSE),"-")</f>
        <v>SI</v>
      </c>
    </row>
    <row r="627" spans="1:44" ht="30" hidden="1" customHeight="1" x14ac:dyDescent="0.25">
      <c r="A627" s="60" t="str">
        <f>UPPER(LEFT(Table2[[#This Row],[Contraente]],1))</f>
        <v>L</v>
      </c>
      <c r="B627" s="60" t="s">
        <v>1634</v>
      </c>
      <c r="C627" s="81" t="s">
        <v>732</v>
      </c>
      <c r="D627" s="81" t="s">
        <v>37</v>
      </c>
      <c r="E627" s="86">
        <v>105038439</v>
      </c>
      <c r="F627" s="64">
        <v>42698</v>
      </c>
      <c r="G627" s="64">
        <f>IFERROR(CALCOLASCADENZA(Table2[[#This Row],[Data attivazione]],Table2[[#This Row],[Rateizzazione]],Table2[[#This Row],[Data ultimo pagamento]],Table2[[#This Row],[Data prossima scadenza manuale]]),"-")</f>
        <v>42698</v>
      </c>
      <c r="H627" s="67" t="s">
        <v>31</v>
      </c>
      <c r="I627" s="67" t="s">
        <v>1364</v>
      </c>
      <c r="J627" s="33">
        <v>-0.36</v>
      </c>
      <c r="K627" s="88"/>
      <c r="L627" s="88">
        <v>886</v>
      </c>
      <c r="M627" s="67" t="s">
        <v>43</v>
      </c>
      <c r="N627" s="67" t="s">
        <v>51</v>
      </c>
      <c r="O627" s="27" t="s">
        <v>1631</v>
      </c>
      <c r="P627" s="33" t="s">
        <v>24</v>
      </c>
      <c r="Q6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7" s="67" t="s">
        <v>2</v>
      </c>
      <c r="V627" s="62"/>
      <c r="W627" s="64">
        <v>42442</v>
      </c>
      <c r="X627" s="29">
        <f>DATE(YEAR(Table2[[#This Row],[Data attivazione]])+VLOOKUP(Table2[[#This Row],[Durata]],VALORE_DURATA,2,FALSE),MONTH(Table2[[#This Row],[Data attivazione]]),DAY(Table2[[#This Row],[Data attivazione]]))</f>
        <v>42807</v>
      </c>
      <c r="Y627" s="65"/>
      <c r="Z627" s="61"/>
      <c r="AA627" s="64" t="s">
        <v>88</v>
      </c>
      <c r="AB627" s="29" t="str">
        <f>IF(Table2[[#This Row],[Data ultimo versamento temp]]=0/1/1900,"-",Table2[[#This Row],[Data ultimo versamento temp]])</f>
        <v>-</v>
      </c>
      <c r="AC627" s="29">
        <f t="array" ref="AC627">MAX(IF(TableVersamenti[Polizza]=Table2[[#This Row],[Polizza]],TableVersamenti[Data prevista versamento],"-"))</f>
        <v>0</v>
      </c>
      <c r="AD627" s="62"/>
      <c r="AE627" s="106">
        <f>DATE(YEAR(Table2[[#This Row],[Data ultimo pagamento]]),MONTH(Table2[[#This Row],[Data ultimo pagamento]]), 1)</f>
        <v>42675</v>
      </c>
      <c r="AF627" s="106">
        <f>DATE(YEAR(Table2[[#This Row],[Data prossima scadenza]]),MONTH(Table2[[#This Row],[Data prossima scadenza]]), 1)</f>
        <v>42675</v>
      </c>
      <c r="AG627" s="33">
        <f>IFERROR(Table2[[#This Row],[Importo annuale]]*VLOOKUP(Table2[[#This Row],[Ramo]],RAMI_POLIZZA,2,FALSE),0)</f>
        <v>46.071999999999996</v>
      </c>
      <c r="AH627" s="65" t="s">
        <v>113</v>
      </c>
      <c r="AI627" s="63" t="str">
        <f>IFERROR(VLOOKUP(Table2[[#This Row],[Contraente]],Table1[[Nome/Ragione sociale]:[Checkbox selezionato]],2,FALSE),"-")</f>
        <v>PAV IA</v>
      </c>
      <c r="AJ627" s="63">
        <f>IFERROR(VLOOKUP(Table2[[#This Row],[Contraente]],Table1[[Nome/Ragione sociale]:[Checkbox selezionato]],3,FALSE),"-")</f>
        <v>3889514722</v>
      </c>
      <c r="AK627" s="63">
        <f>IFERROR(VLOOKUP(Table2[[#This Row],[Contraente]],Table1[[Nome/Ragione sociale]:[Checkbox selezionato]],4,FALSE),"-")</f>
        <v>0</v>
      </c>
      <c r="AL627" s="63" t="str">
        <f>IFERROR(VLOOKUP(Table2[[#This Row],[Contraente]],Table1[[Nome/Ragione sociale]:[Checkbox selezionato]],5,FALSE),"-")</f>
        <v>SILVIA IZABELA</v>
      </c>
      <c r="AM627" s="62">
        <f>IFERROR(VLOOKUP(Table2[[#This Row],[Contraente]],Table1[[Nome/Ragione sociale]:[Checkbox selezionato]],6,FALSE),"-")</f>
        <v>31969</v>
      </c>
      <c r="AN627" s="63" t="str">
        <f>IFERROR(VLOOKUP(Table2[[#This Row],[Contraente]],Table1[[Nome/Ragione sociale]:[Checkbox selezionato]],7,FALSE),"-")</f>
        <v>papies@libero.it</v>
      </c>
      <c r="AO627" s="63">
        <f>IFERROR(VLOOKUP(Table2[[#This Row],[Contraente]],Table1[[Nome/Ragione sociale]:[Checkbox selezionato]],8,FALSE),"-")</f>
        <v>0</v>
      </c>
      <c r="AP627" s="63">
        <f>IFERROR(VLOOKUP(Table2[[#This Row],[Contraente]],Table1[[Nome/Ragione sociale]:[Checkbox selezionato]],10,FALSE),"-")</f>
        <v>3889514722</v>
      </c>
      <c r="AQ627" s="63" t="str">
        <f>IFERROR(VLOOKUP(Table2[[#This Row],[Contraente]],Table1[[Nome/Ragione sociale]:[Checkbox selezionato]],11,FALSE),"-")</f>
        <v>SI</v>
      </c>
      <c r="AR627" s="63" t="str">
        <f>IFERROR(VLOOKUP(Table2[[#This Row],[Contraente]],Table1[[Nome/Ragione sociale]:[Checkbox selezionato]],12,FALSE),"-")</f>
        <v>SI</v>
      </c>
    </row>
    <row r="628" spans="1:44" ht="30" hidden="1" customHeight="1" x14ac:dyDescent="0.25">
      <c r="A628" s="60" t="str">
        <f>UPPER(LEFT(Table2[[#This Row],[Contraente]],1))</f>
        <v>L</v>
      </c>
      <c r="B628" s="60" t="s">
        <v>1634</v>
      </c>
      <c r="C628" s="47" t="s">
        <v>1839</v>
      </c>
      <c r="D628" s="98" t="s">
        <v>37</v>
      </c>
      <c r="E628" s="99" t="s">
        <v>1841</v>
      </c>
      <c r="F628" s="109">
        <v>42933</v>
      </c>
      <c r="G628" s="64">
        <f>IFERROR(CALCOLASCADENZA(Table2[[#This Row],[Data attivazione]],Table2[[#This Row],[Rateizzazione]],Table2[[#This Row],[Data ultimo pagamento]],Table2[[#This Row],[Data prossima scadenza manuale]]),"-")</f>
        <v>43115</v>
      </c>
      <c r="H628" s="64" t="s">
        <v>31</v>
      </c>
      <c r="I628" s="64" t="s">
        <v>1842</v>
      </c>
      <c r="J628" s="92">
        <f>IFERROR(Table2[[#This Row],[Importo annuale]]/(12/VLOOKUP(Table2[[#This Row],[Rateizzazione]],TIPI_RATEIZZAZIONI,2,FALSE)),"-")</f>
        <v>454.84</v>
      </c>
      <c r="K628" s="69">
        <v>454.84</v>
      </c>
      <c r="L628" s="69">
        <v>909.68</v>
      </c>
      <c r="M628" s="92" t="s">
        <v>43</v>
      </c>
      <c r="N628" s="92" t="s">
        <v>52</v>
      </c>
      <c r="O628" s="67" t="s">
        <v>1631</v>
      </c>
      <c r="P628" s="92" t="s">
        <v>22</v>
      </c>
      <c r="Q628" s="60">
        <f>IFERROR(IF(12 / VLOOKUP(Table2[[#This Row],[Rateizzazione]],TIPI_RATEIZZAZIONI,2,FALSE) &gt;=1,  IF(Table2[[#This Row],[Data attivazione]] = "","-",MONTH(Table2[[#This Row],[Data attivazione]])),"-"),"-")</f>
        <v>1</v>
      </c>
      <c r="R6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8" s="60" t="s">
        <v>1774</v>
      </c>
      <c r="V628" s="62"/>
      <c r="W628" s="64">
        <v>42750</v>
      </c>
      <c r="X628" s="29">
        <f>DATE(YEAR(Table2[[#This Row],[Data attivazione]])+VLOOKUP(Table2[[#This Row],[Durata]],VALORE_DURATA,2,FALSE),MONTH(Table2[[#This Row],[Data attivazione]]),DAY(Table2[[#This Row],[Data attivazione]]))</f>
        <v>43115</v>
      </c>
      <c r="Y628" s="65"/>
      <c r="Z628" s="61"/>
      <c r="AA628" s="64"/>
      <c r="AB628" s="29" t="str">
        <f>IF(Table2[[#This Row],[Data ultimo versamento temp]]=0/1/1900,"-",Table2[[#This Row],[Data ultimo versamento temp]])</f>
        <v>-</v>
      </c>
      <c r="AC628" s="29">
        <f t="array" ref="AC628">MAX(IF(TableVersamenti[Polizza]=Table2[[#This Row],[Polizza]],TableVersamenti[Data prevista versamento],"-"))</f>
        <v>0</v>
      </c>
      <c r="AD628" s="62"/>
      <c r="AE628" s="105">
        <f>DATE(YEAR(Table2[[#This Row],[Data ultimo pagamento]]),MONTH(Table2[[#This Row],[Data ultimo pagamento]]), 1)</f>
        <v>42917</v>
      </c>
      <c r="AF628" s="106">
        <f>DATE(YEAR(Table2[[#This Row],[Data prossima scadenza]]),MONTH(Table2[[#This Row],[Data prossima scadenza]]), 1)</f>
        <v>43101</v>
      </c>
      <c r="AG628" s="92">
        <f>IFERROR(Table2[[#This Row],[Importo annuale]]*VLOOKUP(Table2[[#This Row],[Ramo]],RAMI_POLIZZA,2,FALSE),0)</f>
        <v>47.303359999999998</v>
      </c>
      <c r="AH628" s="65"/>
      <c r="AI628" s="63" t="str">
        <f>IFERROR(VLOOKUP(Table2[[#This Row],[Contraente]],Table1[[Nome/Ragione sociale]:[Checkbox selezionato]],2,FALSE),"-")</f>
        <v>MONTICELLI PAVESE</v>
      </c>
      <c r="AJ628" s="63">
        <f>IFERROR(VLOOKUP(Table2[[#This Row],[Contraente]],Table1[[Nome/Ragione sociale]:[Checkbox selezionato]],3,FALSE),"-")</f>
        <v>0</v>
      </c>
      <c r="AK628" s="63">
        <f>IFERROR(VLOOKUP(Table2[[#This Row],[Contraente]],Table1[[Nome/Ragione sociale]:[Checkbox selezionato]],4,FALSE),"-")</f>
        <v>0</v>
      </c>
      <c r="AL628" s="63">
        <f>IFERROR(VLOOKUP(Table2[[#This Row],[Contraente]],Table1[[Nome/Ragione sociale]:[Checkbox selezionato]],5,FALSE),"-")</f>
        <v>0</v>
      </c>
      <c r="AM628" s="62">
        <f>IFERROR(VLOOKUP(Table2[[#This Row],[Contraente]],Table1[[Nome/Ragione sociale]:[Checkbox selezionato]],6,FALSE),"-")</f>
        <v>0</v>
      </c>
      <c r="AN628" s="63" t="str">
        <f>IFERROR(VLOOKUP(Table2[[#This Row],[Contraente]],Table1[[Nome/Ragione sociale]:[Checkbox selezionato]],7,FALSE),"-")</f>
        <v>papies@email.it</v>
      </c>
      <c r="AO628" s="63">
        <f>IFERROR(VLOOKUP(Table2[[#This Row],[Contraente]],Table1[[Nome/Ragione sociale]:[Checkbox selezionato]],8,FALSE),"-")</f>
        <v>0</v>
      </c>
      <c r="AP628" s="63">
        <f>IFERROR(VLOOKUP(Table2[[#This Row],[Contraente]],Table1[[Nome/Ragione sociale]:[Checkbox selezionato]],10,FALSE),"-")</f>
        <v>0</v>
      </c>
      <c r="AQ628" s="63" t="str">
        <f>IFERROR(VLOOKUP(Table2[[#This Row],[Contraente]],Table1[[Nome/Ragione sociale]:[Checkbox selezionato]],11,FALSE),"-")</f>
        <v>SI</v>
      </c>
      <c r="AR628" s="63" t="str">
        <f>IFERROR(VLOOKUP(Table2[[#This Row],[Contraente]],Table1[[Nome/Ragione sociale]:[Checkbox selezionato]],12,FALSE),"-")</f>
        <v>SI</v>
      </c>
    </row>
    <row r="629" spans="1:44" ht="30" hidden="1" customHeight="1" x14ac:dyDescent="0.25">
      <c r="A629" s="60" t="str">
        <f>UPPER(LEFT(Table2[[#This Row],[Contraente]],1))</f>
        <v>M</v>
      </c>
      <c r="B629" s="60" t="s">
        <v>1634</v>
      </c>
      <c r="C629" s="47" t="s">
        <v>1821</v>
      </c>
      <c r="D629" s="98" t="s">
        <v>38</v>
      </c>
      <c r="E629" s="99" t="s">
        <v>1825</v>
      </c>
      <c r="F629" s="109">
        <v>42928</v>
      </c>
      <c r="G629" s="64">
        <f>IFERROR(CALCOLASCADENZA(Table2[[#This Row],[Data attivazione]],Table2[[#This Row],[Rateizzazione]],Table2[[#This Row],[Data ultimo pagamento]],Table2[[#This Row],[Data prossima scadenza manuale]]),"-")</f>
        <v>43288</v>
      </c>
      <c r="H629" s="64" t="s">
        <v>30</v>
      </c>
      <c r="I629" s="64" t="s">
        <v>1824</v>
      </c>
      <c r="J629" s="92">
        <f>IFERROR(Table2[[#This Row],[Importo annuale]]/(12/VLOOKUP(Table2[[#This Row],[Rateizzazione]],TIPI_RATEIZZAZIONI,2,FALSE)),"-")</f>
        <v>82</v>
      </c>
      <c r="K629" s="69">
        <v>82</v>
      </c>
      <c r="L629" s="69">
        <v>82</v>
      </c>
      <c r="M629" s="92" t="s">
        <v>44</v>
      </c>
      <c r="N629" s="92" t="s">
        <v>52</v>
      </c>
      <c r="O629" s="67" t="s">
        <v>1631</v>
      </c>
      <c r="P629" s="92" t="s">
        <v>23</v>
      </c>
      <c r="Q629" s="60">
        <f>IFERROR(IF(12 / VLOOKUP(Table2[[#This Row],[Rateizzazione]],TIPI_RATEIZZAZIONI,2,FALSE) &gt;=1,  IF(Table2[[#This Row],[Data attivazione]] = "","-",MONTH(Table2[[#This Row],[Data attivazione]])),"-"),"-")</f>
        <v>7</v>
      </c>
      <c r="R6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9" s="60" t="s">
        <v>2</v>
      </c>
      <c r="V629" s="62"/>
      <c r="W629" s="64">
        <v>42923</v>
      </c>
      <c r="X629" s="29">
        <f>DATE(YEAR(Table2[[#This Row],[Data attivazione]])+VLOOKUP(Table2[[#This Row],[Durata]],VALORE_DURATA,2,FALSE),MONTH(Table2[[#This Row],[Data attivazione]]),DAY(Table2[[#This Row],[Data attivazione]]))</f>
        <v>43288</v>
      </c>
      <c r="Y629" s="65"/>
      <c r="Z629" s="61"/>
      <c r="AA629" s="64" t="s">
        <v>85</v>
      </c>
      <c r="AB629" s="29" t="str">
        <f>IF(Table2[[#This Row],[Data ultimo versamento temp]]=0/1/1900,"-",Table2[[#This Row],[Data ultimo versamento temp]])</f>
        <v>-</v>
      </c>
      <c r="AC629" s="29">
        <f t="array" ref="AC629">MAX(IF(TableVersamenti[Polizza]=Table2[[#This Row],[Polizza]],TableVersamenti[Data prevista versamento],"-"))</f>
        <v>0</v>
      </c>
      <c r="AD629" s="62"/>
      <c r="AE629" s="105">
        <f>DATE(YEAR(Table2[[#This Row],[Data ultimo pagamento]]),MONTH(Table2[[#This Row],[Data ultimo pagamento]]), 1)</f>
        <v>42917</v>
      </c>
      <c r="AF629" s="106">
        <f>DATE(YEAR(Table2[[#This Row],[Data prossima scadenza]]),MONTH(Table2[[#This Row],[Data prossima scadenza]]), 1)</f>
        <v>43282</v>
      </c>
      <c r="AG629" s="92">
        <f>IFERROR(Table2[[#This Row],[Importo annuale]]*VLOOKUP(Table2[[#This Row],[Ramo]],RAMI_POLIZZA,2,FALSE),0)</f>
        <v>9.43</v>
      </c>
      <c r="AH629" s="65"/>
      <c r="AI629" s="63" t="str">
        <f>IFERROR(VLOOKUP(Table2[[#This Row],[Contraente]],Table1[[Nome/Ragione sociale]:[Checkbox selezionato]],2,FALSE),"-")</f>
        <v>PEIVE PORTO MORONE</v>
      </c>
      <c r="AJ629" s="63">
        <f>IFERROR(VLOOKUP(Table2[[#This Row],[Contraente]],Table1[[Nome/Ragione sociale]:[Checkbox selezionato]],3,FALSE),"-")</f>
        <v>0</v>
      </c>
      <c r="AK629" s="63">
        <f>IFERROR(VLOOKUP(Table2[[#This Row],[Contraente]],Table1[[Nome/Ragione sociale]:[Checkbox selezionato]],4,FALSE),"-")</f>
        <v>0</v>
      </c>
      <c r="AL629" s="63">
        <f>IFERROR(VLOOKUP(Table2[[#This Row],[Contraente]],Table1[[Nome/Ragione sociale]:[Checkbox selezionato]],5,FALSE),"-")</f>
        <v>0</v>
      </c>
      <c r="AM629" s="62">
        <f>IFERROR(VLOOKUP(Table2[[#This Row],[Contraente]],Table1[[Nome/Ragione sociale]:[Checkbox selezionato]],6,FALSE),"-")</f>
        <v>0</v>
      </c>
      <c r="AN629" s="63" t="str">
        <f>IFERROR(VLOOKUP(Table2[[#This Row],[Contraente]],Table1[[Nome/Ragione sociale]:[Checkbox selezionato]],7,FALSE),"-")</f>
        <v>papies@libero.it</v>
      </c>
      <c r="AO629" s="63">
        <f>IFERROR(VLOOKUP(Table2[[#This Row],[Contraente]],Table1[[Nome/Ragione sociale]:[Checkbox selezionato]],8,FALSE),"-")</f>
        <v>0</v>
      </c>
      <c r="AP629" s="63">
        <f>IFERROR(VLOOKUP(Table2[[#This Row],[Contraente]],Table1[[Nome/Ragione sociale]:[Checkbox selezionato]],10,FALSE),"-")</f>
        <v>0</v>
      </c>
      <c r="AQ629" s="63" t="str">
        <f>IFERROR(VLOOKUP(Table2[[#This Row],[Contraente]],Table1[[Nome/Ragione sociale]:[Checkbox selezionato]],11,FALSE),"-")</f>
        <v>SI</v>
      </c>
      <c r="AR629" s="63" t="str">
        <f>IFERROR(VLOOKUP(Table2[[#This Row],[Contraente]],Table1[[Nome/Ragione sociale]:[Checkbox selezionato]],12,FALSE),"-")</f>
        <v>SI</v>
      </c>
    </row>
    <row r="630" spans="1:44" ht="30" hidden="1" customHeight="1" x14ac:dyDescent="0.25">
      <c r="A630" s="60" t="str">
        <f>UPPER(LEFT(Table2[[#This Row],[Contraente]],1))</f>
        <v>M</v>
      </c>
      <c r="B630" s="60" t="s">
        <v>1634</v>
      </c>
      <c r="C630" s="47" t="s">
        <v>1821</v>
      </c>
      <c r="D630" s="98" t="s">
        <v>37</v>
      </c>
      <c r="E630" s="99" t="s">
        <v>1823</v>
      </c>
      <c r="F630" s="109">
        <v>42928</v>
      </c>
      <c r="G630" s="64">
        <f>IFERROR(CALCOLASCADENZA(Table2[[#This Row],[Data attivazione]],Table2[[#This Row],[Rateizzazione]],Table2[[#This Row],[Data ultimo pagamento]],Table2[[#This Row],[Data prossima scadenza manuale]]),"-")</f>
        <v>43288</v>
      </c>
      <c r="H630" s="64" t="s">
        <v>31</v>
      </c>
      <c r="I630" s="64" t="s">
        <v>1824</v>
      </c>
      <c r="J630" s="92">
        <f>IFERROR(Table2[[#This Row],[Importo annuale]]/(12/VLOOKUP(Table2[[#This Row],[Rateizzazione]],TIPI_RATEIZZAZIONI,2,FALSE)),"-")</f>
        <v>378.08</v>
      </c>
      <c r="K630" s="69">
        <v>378.08</v>
      </c>
      <c r="L630" s="69">
        <v>378.08</v>
      </c>
      <c r="M630" s="92" t="s">
        <v>44</v>
      </c>
      <c r="N630" s="92" t="s">
        <v>52</v>
      </c>
      <c r="O630" s="67" t="s">
        <v>1631</v>
      </c>
      <c r="P630" s="92" t="s">
        <v>23</v>
      </c>
      <c r="Q630" s="60">
        <f>IFERROR(IF(12 / VLOOKUP(Table2[[#This Row],[Rateizzazione]],TIPI_RATEIZZAZIONI,2,FALSE) &gt;=1,  IF(Table2[[#This Row],[Data attivazione]] = "","-",MONTH(Table2[[#This Row],[Data attivazione]])),"-"),"-")</f>
        <v>7</v>
      </c>
      <c r="R6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0" s="60" t="s">
        <v>2</v>
      </c>
      <c r="V630" s="62"/>
      <c r="W630" s="64">
        <v>42923</v>
      </c>
      <c r="X630" s="29">
        <f>DATE(YEAR(Table2[[#This Row],[Data attivazione]])+VLOOKUP(Table2[[#This Row],[Durata]],VALORE_DURATA,2,FALSE),MONTH(Table2[[#This Row],[Data attivazione]]),DAY(Table2[[#This Row],[Data attivazione]]))</f>
        <v>43288</v>
      </c>
      <c r="Y630" s="65"/>
      <c r="Z630" s="61"/>
      <c r="AA630" s="64" t="s">
        <v>85</v>
      </c>
      <c r="AB630" s="29" t="str">
        <f>IF(Table2[[#This Row],[Data ultimo versamento temp]]=0/1/1900,"-",Table2[[#This Row],[Data ultimo versamento temp]])</f>
        <v>-</v>
      </c>
      <c r="AC630" s="29">
        <f t="array" ref="AC630">MAX(IF(TableVersamenti[Polizza]=Table2[[#This Row],[Polizza]],TableVersamenti[Data prevista versamento],"-"))</f>
        <v>0</v>
      </c>
      <c r="AD630" s="62"/>
      <c r="AE630" s="105">
        <f>DATE(YEAR(Table2[[#This Row],[Data ultimo pagamento]]),MONTH(Table2[[#This Row],[Data ultimo pagamento]]), 1)</f>
        <v>42917</v>
      </c>
      <c r="AF630" s="106">
        <f>DATE(YEAR(Table2[[#This Row],[Data prossima scadenza]]),MONTH(Table2[[#This Row],[Data prossima scadenza]]), 1)</f>
        <v>43282</v>
      </c>
      <c r="AG630" s="92">
        <f>IFERROR(Table2[[#This Row],[Importo annuale]]*VLOOKUP(Table2[[#This Row],[Ramo]],RAMI_POLIZZA,2,FALSE),0)</f>
        <v>19.660159999999998</v>
      </c>
      <c r="AH630" s="65"/>
      <c r="AI630" s="63" t="str">
        <f>IFERROR(VLOOKUP(Table2[[#This Row],[Contraente]],Table1[[Nome/Ragione sociale]:[Checkbox selezionato]],2,FALSE),"-")</f>
        <v>PEIVE PORTO MORONE</v>
      </c>
      <c r="AJ630" s="63">
        <f>IFERROR(VLOOKUP(Table2[[#This Row],[Contraente]],Table1[[Nome/Ragione sociale]:[Checkbox selezionato]],3,FALSE),"-")</f>
        <v>0</v>
      </c>
      <c r="AK630" s="63">
        <f>IFERROR(VLOOKUP(Table2[[#This Row],[Contraente]],Table1[[Nome/Ragione sociale]:[Checkbox selezionato]],4,FALSE),"-")</f>
        <v>0</v>
      </c>
      <c r="AL630" s="63">
        <f>IFERROR(VLOOKUP(Table2[[#This Row],[Contraente]],Table1[[Nome/Ragione sociale]:[Checkbox selezionato]],5,FALSE),"-")</f>
        <v>0</v>
      </c>
      <c r="AM630" s="62">
        <f>IFERROR(VLOOKUP(Table2[[#This Row],[Contraente]],Table1[[Nome/Ragione sociale]:[Checkbox selezionato]],6,FALSE),"-")</f>
        <v>0</v>
      </c>
      <c r="AN630" s="63" t="str">
        <f>IFERROR(VLOOKUP(Table2[[#This Row],[Contraente]],Table1[[Nome/Ragione sociale]:[Checkbox selezionato]],7,FALSE),"-")</f>
        <v>papies@libero.it</v>
      </c>
      <c r="AO630" s="63">
        <f>IFERROR(VLOOKUP(Table2[[#This Row],[Contraente]],Table1[[Nome/Ragione sociale]:[Checkbox selezionato]],8,FALSE),"-")</f>
        <v>0</v>
      </c>
      <c r="AP630" s="63">
        <f>IFERROR(VLOOKUP(Table2[[#This Row],[Contraente]],Table1[[Nome/Ragione sociale]:[Checkbox selezionato]],10,FALSE),"-")</f>
        <v>0</v>
      </c>
      <c r="AQ630" s="63" t="str">
        <f>IFERROR(VLOOKUP(Table2[[#This Row],[Contraente]],Table1[[Nome/Ragione sociale]:[Checkbox selezionato]],11,FALSE),"-")</f>
        <v>SI</v>
      </c>
      <c r="AR630" s="63" t="str">
        <f>IFERROR(VLOOKUP(Table2[[#This Row],[Contraente]],Table1[[Nome/Ragione sociale]:[Checkbox selezionato]],12,FALSE),"-")</f>
        <v>SI</v>
      </c>
    </row>
    <row r="631" spans="1:44" ht="30" hidden="1" customHeight="1" x14ac:dyDescent="0.25">
      <c r="A631" s="60" t="str">
        <f>UPPER(LEFT(Table2[[#This Row],[Contraente]],1))</f>
        <v>M</v>
      </c>
      <c r="B631" s="60" t="s">
        <v>1634</v>
      </c>
      <c r="C631" s="81" t="s">
        <v>1725</v>
      </c>
      <c r="D631" s="81" t="s">
        <v>37</v>
      </c>
      <c r="E631" s="86">
        <v>103081195</v>
      </c>
      <c r="F631" s="64">
        <v>42877</v>
      </c>
      <c r="G631" s="64">
        <f>IFERROR(CALCOLASCADENZA(Table2[[#This Row],[Data attivazione]],Table2[[#This Row],[Rateizzazione]],Table2[[#This Row],[Data ultimo pagamento]],Table2[[#This Row],[Data prossima scadenza manuale]]),"-")</f>
        <v>43243</v>
      </c>
      <c r="H631" s="67" t="s">
        <v>30</v>
      </c>
      <c r="I631" s="67" t="s">
        <v>113</v>
      </c>
      <c r="J631" s="33">
        <f>IFERROR(Table2[[#This Row],[Importo annuale]]/(12/VLOOKUP(Table2[[#This Row],[Rateizzazione]],TIPI_RATEIZZAZIONI,2,FALSE)),"-")</f>
        <v>500</v>
      </c>
      <c r="K631" s="88">
        <v>500</v>
      </c>
      <c r="L631" s="88">
        <v>500</v>
      </c>
      <c r="M631" s="67" t="s">
        <v>45</v>
      </c>
      <c r="N631" s="67" t="s">
        <v>51</v>
      </c>
      <c r="O631" s="27" t="s">
        <v>1631</v>
      </c>
      <c r="P631" s="33" t="s">
        <v>23</v>
      </c>
      <c r="Q631" s="60">
        <f>IFERROR(IF(12 / VLOOKUP(Table2[[#This Row],[Rateizzazione]],TIPI_RATEIZZAZIONI,2,FALSE) &gt;=1,  IF(Table2[[#This Row],[Data attivazione]] = "","-",MONTH(Table2[[#This Row],[Data attivazione]])),"-"),"-")</f>
        <v>5</v>
      </c>
      <c r="R6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1" s="67" t="s">
        <v>2</v>
      </c>
      <c r="V631" s="62"/>
      <c r="W631" s="64">
        <v>42878</v>
      </c>
      <c r="X631" s="29">
        <f>DATE(YEAR(Table2[[#This Row],[Data attivazione]])+VLOOKUP(Table2[[#This Row],[Durata]],VALORE_DURATA,2,FALSE),MONTH(Table2[[#This Row],[Data attivazione]]),DAY(Table2[[#This Row],[Data attivazione]]))</f>
        <v>43243</v>
      </c>
      <c r="Y631" s="65"/>
      <c r="Z631" s="61"/>
      <c r="AA631" s="64" t="s">
        <v>85</v>
      </c>
      <c r="AB631" s="29" t="str">
        <f>IF(Table2[[#This Row],[Data ultimo versamento temp]]=0/1/1900,"-",Table2[[#This Row],[Data ultimo versamento temp]])</f>
        <v>-</v>
      </c>
      <c r="AC631" s="29">
        <f t="array" ref="AC631">MAX(IF(TableVersamenti[Polizza]=Table2[[#This Row],[Polizza]],TableVersamenti[Data prevista versamento],"-"))</f>
        <v>0</v>
      </c>
      <c r="AD631" s="62"/>
      <c r="AE631" s="106">
        <f>DATE(YEAR(Table2[[#This Row],[Data ultimo pagamento]]),MONTH(Table2[[#This Row],[Data ultimo pagamento]]), 1)</f>
        <v>42856</v>
      </c>
      <c r="AF631" s="106">
        <f>DATE(YEAR(Table2[[#This Row],[Data prossima scadenza]]),MONTH(Table2[[#This Row],[Data prossima scadenza]]), 1)</f>
        <v>43221</v>
      </c>
      <c r="AG631" s="33">
        <f>IFERROR(Table2[[#This Row],[Importo annuale]]*VLOOKUP(Table2[[#This Row],[Ramo]],RAMI_POLIZZA,2,FALSE),0)</f>
        <v>57.5</v>
      </c>
      <c r="AH631" s="65" t="s">
        <v>113</v>
      </c>
      <c r="AI631" s="63" t="str">
        <f>IFERROR(VLOOKUP(Table2[[#This Row],[Contraente]],Table1[[Nome/Ragione sociale]:[Checkbox selezionato]],2,FALSE),"-")</f>
        <v>BELGIOIOSO</v>
      </c>
      <c r="AJ631" s="63">
        <f>IFERROR(VLOOKUP(Table2[[#This Row],[Contraente]],Table1[[Nome/Ragione sociale]:[Checkbox selezionato]],3,FALSE),"-")</f>
        <v>0</v>
      </c>
      <c r="AK631" s="63">
        <f>IFERROR(VLOOKUP(Table2[[#This Row],[Contraente]],Table1[[Nome/Ragione sociale]:[Checkbox selezionato]],4,FALSE),"-")</f>
        <v>0</v>
      </c>
      <c r="AL631" s="63" t="str">
        <f>IFERROR(VLOOKUP(Table2[[#This Row],[Contraente]],Table1[[Nome/Ragione sociale]:[Checkbox selezionato]],5,FALSE),"-")</f>
        <v>NANI</v>
      </c>
      <c r="AM631" s="62" t="str">
        <f>IFERROR(VLOOKUP(Table2[[#This Row],[Contraente]],Table1[[Nome/Ragione sociale]:[Checkbox selezionato]],6,FALSE),"-")</f>
        <v>-</v>
      </c>
      <c r="AN631" s="63" t="str">
        <f>IFERROR(VLOOKUP(Table2[[#This Row],[Contraente]],Table1[[Nome/Ragione sociale]:[Checkbox selezionato]],7,FALSE),"-")</f>
        <v>papies@libero.it</v>
      </c>
      <c r="AO631" s="63">
        <f>IFERROR(VLOOKUP(Table2[[#This Row],[Contraente]],Table1[[Nome/Ragione sociale]:[Checkbox selezionato]],8,FALSE),"-")</f>
        <v>0</v>
      </c>
      <c r="AP631" s="63">
        <f>IFERROR(VLOOKUP(Table2[[#This Row],[Contraente]],Table1[[Nome/Ragione sociale]:[Checkbox selezionato]],10,FALSE),"-")</f>
        <v>0</v>
      </c>
      <c r="AQ631" s="63" t="str">
        <f>IFERROR(VLOOKUP(Table2[[#This Row],[Contraente]],Table1[[Nome/Ragione sociale]:[Checkbox selezionato]],11,FALSE),"-")</f>
        <v>SI</v>
      </c>
      <c r="AR631" s="63" t="str">
        <f>IFERROR(VLOOKUP(Table2[[#This Row],[Contraente]],Table1[[Nome/Ragione sociale]:[Checkbox selezionato]],12,FALSE),"-")</f>
        <v>SI</v>
      </c>
    </row>
    <row r="632" spans="1:44" ht="30" hidden="1" customHeight="1" x14ac:dyDescent="0.25">
      <c r="A632" s="60" t="str">
        <f>UPPER(LEFT(Table2[[#This Row],[Contraente]],1))</f>
        <v>M</v>
      </c>
      <c r="B632" s="60" t="s">
        <v>1634</v>
      </c>
      <c r="C632" s="81" t="s">
        <v>752</v>
      </c>
      <c r="D632" s="81" t="s">
        <v>37</v>
      </c>
      <c r="E632" s="86">
        <v>104116524</v>
      </c>
      <c r="F632" s="64">
        <v>42060</v>
      </c>
      <c r="G632" s="64">
        <f>IFERROR(CALCOLASCADENZA(Table2[[#This Row],[Data attivazione]],Table2[[#This Row],[Rateizzazione]],Table2[[#This Row],[Data ultimo pagamento]],Table2[[#This Row],[Data prossima scadenza manuale]]),"-")</f>
        <v>42060</v>
      </c>
      <c r="H632" s="67" t="s">
        <v>31</v>
      </c>
      <c r="I632" s="67"/>
      <c r="J632" s="33">
        <v>680</v>
      </c>
      <c r="K632" s="88"/>
      <c r="L632" s="88">
        <v>1352</v>
      </c>
      <c r="M632" s="67" t="s">
        <v>44</v>
      </c>
      <c r="N632" s="67" t="s">
        <v>52</v>
      </c>
      <c r="O632" s="27" t="s">
        <v>1631</v>
      </c>
      <c r="P632" s="33" t="s">
        <v>24</v>
      </c>
      <c r="Q63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2" s="67" t="s">
        <v>2</v>
      </c>
      <c r="V632" s="62"/>
      <c r="W632" s="64">
        <v>693597</v>
      </c>
      <c r="X632" s="29">
        <f>DATE(YEAR(Table2[[#This Row],[Data attivazione]])+VLOOKUP(Table2[[#This Row],[Durata]],VALORE_DURATA,2,FALSE),MONTH(Table2[[#This Row],[Data attivazione]]),DAY(Table2[[#This Row],[Data attivazione]]))</f>
        <v>693962</v>
      </c>
      <c r="Y632" s="65"/>
      <c r="Z632" s="61"/>
      <c r="AA632" s="64" t="s">
        <v>88</v>
      </c>
      <c r="AB632" s="29" t="str">
        <f>IF(Table2[[#This Row],[Data ultimo versamento temp]]=0/1/1900,"-",Table2[[#This Row],[Data ultimo versamento temp]])</f>
        <v>-</v>
      </c>
      <c r="AC632" s="29">
        <f t="array" ref="AC632">MAX(IF(TableVersamenti[Polizza]=Table2[[#This Row],[Polizza]],TableVersamenti[Data prevista versamento],"-"))</f>
        <v>0</v>
      </c>
      <c r="AD632" s="62"/>
      <c r="AE632" s="106">
        <f>DATE(YEAR(Table2[[#This Row],[Data ultimo pagamento]]),MONTH(Table2[[#This Row],[Data ultimo pagamento]]), 1)</f>
        <v>42036</v>
      </c>
      <c r="AF632" s="106">
        <f>DATE(YEAR(Table2[[#This Row],[Data prossima scadenza]]),MONTH(Table2[[#This Row],[Data prossima scadenza]]), 1)</f>
        <v>42036</v>
      </c>
      <c r="AG632" s="33">
        <f>IFERROR(Table2[[#This Row],[Importo annuale]]*VLOOKUP(Table2[[#This Row],[Ramo]],RAMI_POLIZZA,2,FALSE),0)</f>
        <v>70.304000000000002</v>
      </c>
      <c r="AH632" s="65" t="s">
        <v>113</v>
      </c>
      <c r="AI632" s="63" t="str">
        <f>IFERROR(VLOOKUP(Table2[[#This Row],[Contraente]],Table1[[Nome/Ragione sociale]:[Checkbox selezionato]],2,FALSE),"-")</f>
        <v>CORTEOLONA</v>
      </c>
      <c r="AJ632" s="63">
        <f>IFERROR(VLOOKUP(Table2[[#This Row],[Contraente]],Table1[[Nome/Ragione sociale]:[Checkbox selezionato]],3,FALSE),"-")</f>
        <v>3897853320</v>
      </c>
      <c r="AK632" s="63">
        <f>IFERROR(VLOOKUP(Table2[[#This Row],[Contraente]],Table1[[Nome/Ragione sociale]:[Checkbox selezionato]],4,FALSE),"-")</f>
        <v>0</v>
      </c>
      <c r="AL632" s="63" t="str">
        <f>IFERROR(VLOOKUP(Table2[[#This Row],[Contraente]],Table1[[Nome/Ragione sociale]:[Checkbox selezionato]],5,FALSE),"-")</f>
        <v>CARLOS</v>
      </c>
      <c r="AM632" s="62">
        <f>IFERROR(VLOOKUP(Table2[[#This Row],[Contraente]],Table1[[Nome/Ragione sociale]:[Checkbox selezionato]],6,FALSE),"-")</f>
        <v>29482</v>
      </c>
      <c r="AN632" s="63" t="str">
        <f>IFERROR(VLOOKUP(Table2[[#This Row],[Contraente]],Table1[[Nome/Ragione sociale]:[Checkbox selezionato]],7,FALSE),"-")</f>
        <v>papies@email.it</v>
      </c>
      <c r="AO632" s="63">
        <f>IFERROR(VLOOKUP(Table2[[#This Row],[Contraente]],Table1[[Nome/Ragione sociale]:[Checkbox selezionato]],8,FALSE),"-")</f>
        <v>0</v>
      </c>
      <c r="AP632" s="63">
        <f>IFERROR(VLOOKUP(Table2[[#This Row],[Contraente]],Table1[[Nome/Ragione sociale]:[Checkbox selezionato]],10,FALSE),"-")</f>
        <v>3897853320</v>
      </c>
      <c r="AQ632" s="63" t="str">
        <f>IFERROR(VLOOKUP(Table2[[#This Row],[Contraente]],Table1[[Nome/Ragione sociale]:[Checkbox selezionato]],11,FALSE),"-")</f>
        <v>SI</v>
      </c>
      <c r="AR632" s="63" t="str">
        <f>IFERROR(VLOOKUP(Table2[[#This Row],[Contraente]],Table1[[Nome/Ragione sociale]:[Checkbox selezionato]],12,FALSE),"-")</f>
        <v>SI</v>
      </c>
    </row>
    <row r="633" spans="1:44" ht="30" hidden="1" customHeight="1" x14ac:dyDescent="0.25">
      <c r="A633" s="60" t="str">
        <f>UPPER(LEFT(Table2[[#This Row],[Contraente]],1))</f>
        <v>M</v>
      </c>
      <c r="B633" s="60" t="s">
        <v>1634</v>
      </c>
      <c r="C633" s="81" t="s">
        <v>754</v>
      </c>
      <c r="D633" s="81" t="s">
        <v>37</v>
      </c>
      <c r="E633" s="86">
        <v>106355817</v>
      </c>
      <c r="F633" s="64">
        <v>42846</v>
      </c>
      <c r="G633" s="64">
        <f>IFERROR(CALCOLASCADENZA(Table2[[#This Row],[Data attivazione]],Table2[[#This Row],[Rateizzazione]],Table2[[#This Row],[Data ultimo pagamento]],Table2[[#This Row],[Data prossima scadenza manuale]]),"-")</f>
        <v>42846</v>
      </c>
      <c r="H633" s="67" t="s">
        <v>31</v>
      </c>
      <c r="I633" s="67" t="s">
        <v>1379</v>
      </c>
      <c r="J633" s="33">
        <v>229.56</v>
      </c>
      <c r="K633" s="88">
        <v>229.56</v>
      </c>
      <c r="L633" s="88">
        <v>679.68</v>
      </c>
      <c r="M633" s="67" t="s">
        <v>43</v>
      </c>
      <c r="N633" s="67" t="s">
        <v>51</v>
      </c>
      <c r="O633" s="27" t="s">
        <v>1631</v>
      </c>
      <c r="P633" s="33" t="s">
        <v>24</v>
      </c>
      <c r="Q63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3" s="67" t="s">
        <v>2</v>
      </c>
      <c r="V633" s="62"/>
      <c r="W633" s="64">
        <v>42598</v>
      </c>
      <c r="X633" s="29">
        <f>DATE(YEAR(Table2[[#This Row],[Data attivazione]])+VLOOKUP(Table2[[#This Row],[Durata]],VALORE_DURATA,2,FALSE),MONTH(Table2[[#This Row],[Data attivazione]]),DAY(Table2[[#This Row],[Data attivazione]]))</f>
        <v>42963</v>
      </c>
      <c r="Y633" s="65"/>
      <c r="Z633" s="61"/>
      <c r="AA633" s="64" t="s">
        <v>85</v>
      </c>
      <c r="AB633" s="29" t="str">
        <f>IF(Table2[[#This Row],[Data ultimo versamento temp]]=0/1/1900,"-",Table2[[#This Row],[Data ultimo versamento temp]])</f>
        <v>-</v>
      </c>
      <c r="AC633" s="29">
        <f t="array" ref="AC633">MAX(IF(TableVersamenti[Polizza]=Table2[[#This Row],[Polizza]],TableVersamenti[Data prevista versamento],"-"))</f>
        <v>0</v>
      </c>
      <c r="AD633" s="62"/>
      <c r="AE633" s="106">
        <f>DATE(YEAR(Table2[[#This Row],[Data ultimo pagamento]]),MONTH(Table2[[#This Row],[Data ultimo pagamento]]), 1)</f>
        <v>42826</v>
      </c>
      <c r="AF633" s="106">
        <f>DATE(YEAR(Table2[[#This Row],[Data prossima scadenza]]),MONTH(Table2[[#This Row],[Data prossima scadenza]]), 1)</f>
        <v>42826</v>
      </c>
      <c r="AG633" s="33">
        <f>IFERROR(Table2[[#This Row],[Importo annuale]]*VLOOKUP(Table2[[#This Row],[Ramo]],RAMI_POLIZZA,2,FALSE),0)</f>
        <v>35.343359999999997</v>
      </c>
      <c r="AH633" s="65" t="s">
        <v>113</v>
      </c>
      <c r="AI633" s="63" t="str">
        <f>IFERROR(VLOOKUP(Table2[[#This Row],[Contraente]],Table1[[Nome/Ragione sociale]:[Checkbox selezionato]],2,FALSE),"-")</f>
        <v>STRADELLA</v>
      </c>
      <c r="AJ633" s="63">
        <f>IFERROR(VLOOKUP(Table2[[#This Row],[Contraente]],Table1[[Nome/Ragione sociale]:[Checkbox selezionato]],3,FALSE),"-")</f>
        <v>3349497146</v>
      </c>
      <c r="AK633" s="63">
        <f>IFERROR(VLOOKUP(Table2[[#This Row],[Contraente]],Table1[[Nome/Ragione sociale]:[Checkbox selezionato]],4,FALSE),"-")</f>
        <v>0</v>
      </c>
      <c r="AL633" s="63" t="str">
        <f>IFERROR(VLOOKUP(Table2[[#This Row],[Contraente]],Table1[[Nome/Ragione sociale]:[Checkbox selezionato]],5,FALSE),"-")</f>
        <v>RUDY</v>
      </c>
      <c r="AM633" s="62">
        <f>IFERROR(VLOOKUP(Table2[[#This Row],[Contraente]],Table1[[Nome/Ragione sociale]:[Checkbox selezionato]],6,FALSE),"-")</f>
        <v>30808</v>
      </c>
      <c r="AN633" s="63" t="str">
        <f>IFERROR(VLOOKUP(Table2[[#This Row],[Contraente]],Table1[[Nome/Ragione sociale]:[Checkbox selezionato]],7,FALSE),"-")</f>
        <v>papies@libero.it</v>
      </c>
      <c r="AO633" s="63">
        <f>IFERROR(VLOOKUP(Table2[[#This Row],[Contraente]],Table1[[Nome/Ragione sociale]:[Checkbox selezionato]],8,FALSE),"-")</f>
        <v>0</v>
      </c>
      <c r="AP633" s="63">
        <f>IFERROR(VLOOKUP(Table2[[#This Row],[Contraente]],Table1[[Nome/Ragione sociale]:[Checkbox selezionato]],10,FALSE),"-")</f>
        <v>3349497146</v>
      </c>
      <c r="AQ633" s="63" t="str">
        <f>IFERROR(VLOOKUP(Table2[[#This Row],[Contraente]],Table1[[Nome/Ragione sociale]:[Checkbox selezionato]],11,FALSE),"-")</f>
        <v>SI</v>
      </c>
      <c r="AR633" s="63" t="str">
        <f>IFERROR(VLOOKUP(Table2[[#This Row],[Contraente]],Table1[[Nome/Ragione sociale]:[Checkbox selezionato]],12,FALSE),"-")</f>
        <v>SI</v>
      </c>
    </row>
    <row r="634" spans="1:44" ht="30" hidden="1" customHeight="1" x14ac:dyDescent="0.25">
      <c r="A634" s="60" t="str">
        <f>UPPER(LEFT(Table2[[#This Row],[Contraente]],1))</f>
        <v>M</v>
      </c>
      <c r="B634" s="60" t="s">
        <v>1634</v>
      </c>
      <c r="C634" s="81" t="s">
        <v>754</v>
      </c>
      <c r="D634" s="81" t="s">
        <v>37</v>
      </c>
      <c r="E634" s="86">
        <v>105674296</v>
      </c>
      <c r="F634" s="64">
        <v>42902</v>
      </c>
      <c r="G634" s="64">
        <f>IFERROR(CALCOLASCADENZA(Table2[[#This Row],[Data attivazione]],Table2[[#This Row],[Rateizzazione]],Table2[[#This Row],[Data ultimo pagamento]],Table2[[#This Row],[Data prossima scadenza manuale]]),"-")</f>
        <v>43011</v>
      </c>
      <c r="H634" s="67" t="s">
        <v>31</v>
      </c>
      <c r="I634" s="67" t="s">
        <v>1380</v>
      </c>
      <c r="J634" s="33">
        <f>IFERROR(Table2[[#This Row],[Importo annuale]]/(12/VLOOKUP(Table2[[#This Row],[Rateizzazione]],TIPI_RATEIZZAZIONI,2,FALSE)),"-")</f>
        <v>151</v>
      </c>
      <c r="K634" s="88">
        <v>301</v>
      </c>
      <c r="L634" s="88">
        <v>453</v>
      </c>
      <c r="M634" s="67" t="s">
        <v>43</v>
      </c>
      <c r="N634" s="67" t="s">
        <v>51</v>
      </c>
      <c r="O634" s="27" t="s">
        <v>1631</v>
      </c>
      <c r="P634" s="33" t="s">
        <v>21</v>
      </c>
      <c r="Q634" s="60">
        <f>IFERROR(IF(12 / VLOOKUP(Table2[[#This Row],[Rateizzazione]],TIPI_RATEIZZAZIONI,2,FALSE) &gt;=1,  IF(Table2[[#This Row],[Data attivazione]] = "","-",MONTH(Table2[[#This Row],[Data attivazione]])),"-"),"-")</f>
        <v>10</v>
      </c>
      <c r="R6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3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6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4" s="67" t="s">
        <v>2</v>
      </c>
      <c r="V634" s="62"/>
      <c r="W634" s="64">
        <v>42646</v>
      </c>
      <c r="X634" s="29">
        <f>DATE(YEAR(Table2[[#This Row],[Data attivazione]])+VLOOKUP(Table2[[#This Row],[Durata]],VALORE_DURATA,2,FALSE),MONTH(Table2[[#This Row],[Data attivazione]]),DAY(Table2[[#This Row],[Data attivazione]]))</f>
        <v>43011</v>
      </c>
      <c r="Y634" s="65"/>
      <c r="Z634" s="61"/>
      <c r="AA634" s="64" t="s">
        <v>85</v>
      </c>
      <c r="AB634" s="29" t="str">
        <f>IF(Table2[[#This Row],[Data ultimo versamento temp]]=0/1/1900,"-",Table2[[#This Row],[Data ultimo versamento temp]])</f>
        <v>-</v>
      </c>
      <c r="AC634" s="29">
        <f t="array" ref="AC634">MAX(IF(TableVersamenti[Polizza]=Table2[[#This Row],[Polizza]],TableVersamenti[Data prevista versamento],"-"))</f>
        <v>0</v>
      </c>
      <c r="AD634" s="62"/>
      <c r="AE634" s="106">
        <f>DATE(YEAR(Table2[[#This Row],[Data ultimo pagamento]]),MONTH(Table2[[#This Row],[Data ultimo pagamento]]), 1)</f>
        <v>42887</v>
      </c>
      <c r="AF634" s="106">
        <f>DATE(YEAR(Table2[[#This Row],[Data prossima scadenza]]),MONTH(Table2[[#This Row],[Data prossima scadenza]]), 1)</f>
        <v>43009</v>
      </c>
      <c r="AG634" s="33">
        <f>IFERROR(Table2[[#This Row],[Importo annuale]]*VLOOKUP(Table2[[#This Row],[Ramo]],RAMI_POLIZZA,2,FALSE),0)</f>
        <v>23.555999999999997</v>
      </c>
      <c r="AH634" s="65" t="s">
        <v>113</v>
      </c>
      <c r="AI634" s="63" t="str">
        <f>IFERROR(VLOOKUP(Table2[[#This Row],[Contraente]],Table1[[Nome/Ragione sociale]:[Checkbox selezionato]],2,FALSE),"-")</f>
        <v>STRADELLA</v>
      </c>
      <c r="AJ634" s="63">
        <f>IFERROR(VLOOKUP(Table2[[#This Row],[Contraente]],Table1[[Nome/Ragione sociale]:[Checkbox selezionato]],3,FALSE),"-")</f>
        <v>3349497146</v>
      </c>
      <c r="AK634" s="63">
        <f>IFERROR(VLOOKUP(Table2[[#This Row],[Contraente]],Table1[[Nome/Ragione sociale]:[Checkbox selezionato]],4,FALSE),"-")</f>
        <v>0</v>
      </c>
      <c r="AL634" s="63" t="str">
        <f>IFERROR(VLOOKUP(Table2[[#This Row],[Contraente]],Table1[[Nome/Ragione sociale]:[Checkbox selezionato]],5,FALSE),"-")</f>
        <v>RUDY</v>
      </c>
      <c r="AM634" s="62">
        <f>IFERROR(VLOOKUP(Table2[[#This Row],[Contraente]],Table1[[Nome/Ragione sociale]:[Checkbox selezionato]],6,FALSE),"-")</f>
        <v>30808</v>
      </c>
      <c r="AN634" s="63" t="str">
        <f>IFERROR(VLOOKUP(Table2[[#This Row],[Contraente]],Table1[[Nome/Ragione sociale]:[Checkbox selezionato]],7,FALSE),"-")</f>
        <v>papies@libero.it</v>
      </c>
      <c r="AO634" s="63">
        <f>IFERROR(VLOOKUP(Table2[[#This Row],[Contraente]],Table1[[Nome/Ragione sociale]:[Checkbox selezionato]],8,FALSE),"-")</f>
        <v>0</v>
      </c>
      <c r="AP634" s="63">
        <f>IFERROR(VLOOKUP(Table2[[#This Row],[Contraente]],Table1[[Nome/Ragione sociale]:[Checkbox selezionato]],10,FALSE),"-")</f>
        <v>3349497146</v>
      </c>
      <c r="AQ634" s="63" t="str">
        <f>IFERROR(VLOOKUP(Table2[[#This Row],[Contraente]],Table1[[Nome/Ragione sociale]:[Checkbox selezionato]],11,FALSE),"-")</f>
        <v>SI</v>
      </c>
      <c r="AR634" s="63" t="str">
        <f>IFERROR(VLOOKUP(Table2[[#This Row],[Contraente]],Table1[[Nome/Ragione sociale]:[Checkbox selezionato]],12,FALSE),"-")</f>
        <v>SI</v>
      </c>
    </row>
    <row r="635" spans="1:44" ht="30" hidden="1" customHeight="1" x14ac:dyDescent="0.25">
      <c r="A635" s="60" t="str">
        <f>UPPER(LEFT(Table2[[#This Row],[Contraente]],1))</f>
        <v>M</v>
      </c>
      <c r="B635" s="60" t="s">
        <v>1634</v>
      </c>
      <c r="C635" s="81" t="s">
        <v>756</v>
      </c>
      <c r="D635" s="81" t="s">
        <v>37</v>
      </c>
      <c r="E635" s="86">
        <v>105881363</v>
      </c>
      <c r="F635" s="64">
        <v>42577</v>
      </c>
      <c r="G635" s="64">
        <f>IFERROR(CALCOLASCADENZA(Table2[[#This Row],[Data attivazione]],Table2[[#This Row],[Rateizzazione]],Table2[[#This Row],[Data ultimo pagamento]],Table2[[#This Row],[Data prossima scadenza manuale]]),"-")</f>
        <v>42937</v>
      </c>
      <c r="H635" s="67" t="s">
        <v>31</v>
      </c>
      <c r="I635" s="67" t="s">
        <v>1381</v>
      </c>
      <c r="J635" s="33">
        <f>IFERROR(Table2[[#This Row],[Importo annuale]]/(12/VLOOKUP(Table2[[#This Row],[Rateizzazione]],TIPI_RATEIZZAZIONI,2,FALSE)),"-")</f>
        <v>450</v>
      </c>
      <c r="K635" s="88"/>
      <c r="L635" s="88">
        <v>450</v>
      </c>
      <c r="M635" s="67" t="s">
        <v>43</v>
      </c>
      <c r="N635" s="67" t="s">
        <v>51</v>
      </c>
      <c r="O635" s="27" t="s">
        <v>1631</v>
      </c>
      <c r="P635" s="33" t="s">
        <v>23</v>
      </c>
      <c r="Q635" s="60">
        <f>IFERROR(IF(12 / VLOOKUP(Table2[[#This Row],[Rateizzazione]],TIPI_RATEIZZAZIONI,2,FALSE) &gt;=1,  IF(Table2[[#This Row],[Data attivazione]] = "","-",MONTH(Table2[[#This Row],[Data attivazione]])),"-"),"-")</f>
        <v>7</v>
      </c>
      <c r="R6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5" s="67" t="s">
        <v>2</v>
      </c>
      <c r="V635" s="62"/>
      <c r="W635" s="64">
        <v>42572</v>
      </c>
      <c r="X635" s="29">
        <f>DATE(YEAR(Table2[[#This Row],[Data attivazione]])+VLOOKUP(Table2[[#This Row],[Durata]],VALORE_DURATA,2,FALSE),MONTH(Table2[[#This Row],[Data attivazione]]),DAY(Table2[[#This Row],[Data attivazione]]))</f>
        <v>42937</v>
      </c>
      <c r="Y635" s="65"/>
      <c r="Z635" s="61"/>
      <c r="AA635" s="64" t="s">
        <v>85</v>
      </c>
      <c r="AB635" s="29" t="str">
        <f>IF(Table2[[#This Row],[Data ultimo versamento temp]]=0/1/1900,"-",Table2[[#This Row],[Data ultimo versamento temp]])</f>
        <v>-</v>
      </c>
      <c r="AC635" s="29">
        <f t="array" ref="AC635">MAX(IF(TableVersamenti[Polizza]=Table2[[#This Row],[Polizza]],TableVersamenti[Data prevista versamento],"-"))</f>
        <v>0</v>
      </c>
      <c r="AD635" s="62"/>
      <c r="AE635" s="106">
        <f>DATE(YEAR(Table2[[#This Row],[Data ultimo pagamento]]),MONTH(Table2[[#This Row],[Data ultimo pagamento]]), 1)</f>
        <v>42552</v>
      </c>
      <c r="AF635" s="106">
        <f>DATE(YEAR(Table2[[#This Row],[Data prossima scadenza]]),MONTH(Table2[[#This Row],[Data prossima scadenza]]), 1)</f>
        <v>42917</v>
      </c>
      <c r="AG635" s="33">
        <f>IFERROR(Table2[[#This Row],[Importo annuale]]*VLOOKUP(Table2[[#This Row],[Ramo]],RAMI_POLIZZA,2,FALSE),0)</f>
        <v>23.4</v>
      </c>
      <c r="AH635" s="65" t="s">
        <v>113</v>
      </c>
      <c r="AI635" s="63" t="str">
        <f>IFERROR(VLOOKUP(Table2[[#This Row],[Contraente]],Table1[[Nome/Ragione sociale]:[Checkbox selezionato]],2,FALSE),"-")</f>
        <v>CORTEOLONA</v>
      </c>
      <c r="AJ635" s="63">
        <f>IFERROR(VLOOKUP(Table2[[#This Row],[Contraente]],Table1[[Nome/Ragione sociale]:[Checkbox selezionato]],3,FALSE),"-")</f>
        <v>3341956166</v>
      </c>
      <c r="AK635" s="63">
        <f>IFERROR(VLOOKUP(Table2[[#This Row],[Contraente]],Table1[[Nome/Ragione sociale]:[Checkbox selezionato]],4,FALSE),"-")</f>
        <v>0</v>
      </c>
      <c r="AL635" s="63" t="str">
        <f>IFERROR(VLOOKUP(Table2[[#This Row],[Contraente]],Table1[[Nome/Ragione sociale]:[Checkbox selezionato]],5,FALSE),"-")</f>
        <v>PASQUALE (AUTORI)</v>
      </c>
      <c r="AM635" s="62" t="str">
        <f>IFERROR(VLOOKUP(Table2[[#This Row],[Contraente]],Table1[[Nome/Ragione sociale]:[Checkbox selezionato]],6,FALSE),"-")</f>
        <v>-</v>
      </c>
      <c r="AN635" s="63" t="str">
        <f>IFERROR(VLOOKUP(Table2[[#This Row],[Contraente]],Table1[[Nome/Ragione sociale]:[Checkbox selezionato]],7,FALSE),"-")</f>
        <v>papies@libero.it</v>
      </c>
      <c r="AO635" s="63">
        <f>IFERROR(VLOOKUP(Table2[[#This Row],[Contraente]],Table1[[Nome/Ragione sociale]:[Checkbox selezionato]],8,FALSE),"-")</f>
        <v>0</v>
      </c>
      <c r="AP635" s="63">
        <f>IFERROR(VLOOKUP(Table2[[#This Row],[Contraente]],Table1[[Nome/Ragione sociale]:[Checkbox selezionato]],10,FALSE),"-")</f>
        <v>3341956166</v>
      </c>
      <c r="AQ635" s="63" t="str">
        <f>IFERROR(VLOOKUP(Table2[[#This Row],[Contraente]],Table1[[Nome/Ragione sociale]:[Checkbox selezionato]],11,FALSE),"-")</f>
        <v>SI</v>
      </c>
      <c r="AR635" s="63" t="str">
        <f>IFERROR(VLOOKUP(Table2[[#This Row],[Contraente]],Table1[[Nome/Ragione sociale]:[Checkbox selezionato]],12,FALSE),"-")</f>
        <v>SI</v>
      </c>
    </row>
    <row r="636" spans="1:44" ht="30" hidden="1" customHeight="1" x14ac:dyDescent="0.25">
      <c r="A636" s="60" t="str">
        <f>UPPER(LEFT(Table2[[#This Row],[Contraente]],1))</f>
        <v>M</v>
      </c>
      <c r="B636" s="60" t="s">
        <v>1634</v>
      </c>
      <c r="C636" s="81" t="s">
        <v>397</v>
      </c>
      <c r="D636" s="81" t="s">
        <v>37</v>
      </c>
      <c r="E636" s="86">
        <v>106984674</v>
      </c>
      <c r="F636" s="64">
        <v>42901</v>
      </c>
      <c r="G636" s="64">
        <f>IFERROR(CALCOLASCADENZA(Table2[[#This Row],[Data attivazione]],Table2[[#This Row],[Rateizzazione]],Table2[[#This Row],[Data ultimo pagamento]],Table2[[#This Row],[Data prossima scadenza manuale]]),"-")</f>
        <v>43084</v>
      </c>
      <c r="H636" s="67" t="s">
        <v>31</v>
      </c>
      <c r="I636" s="67" t="s">
        <v>1384</v>
      </c>
      <c r="J636" s="33">
        <f>IFERROR(Table2[[#This Row],[Importo annuale]]/(12/VLOOKUP(Table2[[#This Row],[Rateizzazione]],TIPI_RATEIZZAZIONI,2,FALSE)),"-")</f>
        <v>235</v>
      </c>
      <c r="K636" s="88">
        <v>235</v>
      </c>
      <c r="L636" s="88">
        <v>470</v>
      </c>
      <c r="M636" s="67" t="s">
        <v>43</v>
      </c>
      <c r="N636" s="67" t="s">
        <v>52</v>
      </c>
      <c r="O636" s="27" t="s">
        <v>1631</v>
      </c>
      <c r="P636" s="33" t="s">
        <v>22</v>
      </c>
      <c r="Q636" s="60">
        <f>IFERROR(IF(12 / VLOOKUP(Table2[[#This Row],[Rateizzazione]],TIPI_RATEIZZAZIONI,2,FALSE) &gt;=1,  IF(Table2[[#This Row],[Data attivazione]] = "","-",MONTH(Table2[[#This Row],[Data attivazione]])),"-"),"-")</f>
        <v>12</v>
      </c>
      <c r="R6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6" s="67" t="s">
        <v>2</v>
      </c>
      <c r="V636" s="62"/>
      <c r="W636" s="64">
        <v>42719</v>
      </c>
      <c r="X636" s="29">
        <f>DATE(YEAR(Table2[[#This Row],[Data attivazione]])+VLOOKUP(Table2[[#This Row],[Durata]],VALORE_DURATA,2,FALSE),MONTH(Table2[[#This Row],[Data attivazione]]),DAY(Table2[[#This Row],[Data attivazione]]))</f>
        <v>43084</v>
      </c>
      <c r="Y636" s="65"/>
      <c r="Z636" s="61"/>
      <c r="AA636" s="64" t="s">
        <v>85</v>
      </c>
      <c r="AB636" s="29" t="str">
        <f>IF(Table2[[#This Row],[Data ultimo versamento temp]]=0/1/1900,"-",Table2[[#This Row],[Data ultimo versamento temp]])</f>
        <v>-</v>
      </c>
      <c r="AC636" s="29">
        <f t="array" ref="AC636">MAX(IF(TableVersamenti[Polizza]=Table2[[#This Row],[Polizza]],TableVersamenti[Data prevista versamento],"-"))</f>
        <v>0</v>
      </c>
      <c r="AD636" s="62"/>
      <c r="AE636" s="106">
        <f>DATE(YEAR(Table2[[#This Row],[Data ultimo pagamento]]),MONTH(Table2[[#This Row],[Data ultimo pagamento]]), 1)</f>
        <v>42887</v>
      </c>
      <c r="AF636" s="106">
        <f>DATE(YEAR(Table2[[#This Row],[Data prossima scadenza]]),MONTH(Table2[[#This Row],[Data prossima scadenza]]), 1)</f>
        <v>43070</v>
      </c>
      <c r="AG636" s="33">
        <f>IFERROR(Table2[[#This Row],[Importo annuale]]*VLOOKUP(Table2[[#This Row],[Ramo]],RAMI_POLIZZA,2,FALSE),0)</f>
        <v>24.439999999999998</v>
      </c>
      <c r="AH636" s="65" t="s">
        <v>113</v>
      </c>
      <c r="AI636" s="63" t="str">
        <f>IFERROR(VLOOKUP(Table2[[#This Row],[Contraente]],Table1[[Nome/Ragione sociale]:[Checkbox selezionato]],2,FALSE),"-")</f>
        <v>CORTEOLONA</v>
      </c>
      <c r="AJ636" s="63">
        <f>IFERROR(VLOOKUP(Table2[[#This Row],[Contraente]],Table1[[Nome/Ragione sociale]:[Checkbox selezionato]],3,FALSE),"-")</f>
        <v>3488624795</v>
      </c>
      <c r="AK636" s="63">
        <f>IFERROR(VLOOKUP(Table2[[#This Row],[Contraente]],Table1[[Nome/Ragione sociale]:[Checkbox selezionato]],4,FALSE),"-")</f>
        <v>0</v>
      </c>
      <c r="AL636" s="63" t="str">
        <f>IFERROR(VLOOKUP(Table2[[#This Row],[Contraente]],Table1[[Nome/Ragione sociale]:[Checkbox selezionato]],5,FALSE),"-")</f>
        <v>MAGGI ATTILIA</v>
      </c>
      <c r="AM636" s="62">
        <f>IFERROR(VLOOKUP(Table2[[#This Row],[Contraente]],Table1[[Nome/Ragione sociale]:[Checkbox selezionato]],6,FALSE),"-")</f>
        <v>24517</v>
      </c>
      <c r="AN636" s="63" t="str">
        <f>IFERROR(VLOOKUP(Table2[[#This Row],[Contraente]],Table1[[Nome/Ragione sociale]:[Checkbox selezionato]],7,FALSE),"-")</f>
        <v>papies@email.it</v>
      </c>
      <c r="AO636" s="63">
        <f>IFERROR(VLOOKUP(Table2[[#This Row],[Contraente]],Table1[[Nome/Ragione sociale]:[Checkbox selezionato]],8,FALSE),"-")</f>
        <v>0</v>
      </c>
      <c r="AP636" s="63">
        <f>IFERROR(VLOOKUP(Table2[[#This Row],[Contraente]],Table1[[Nome/Ragione sociale]:[Checkbox selezionato]],10,FALSE),"-")</f>
        <v>3488624795</v>
      </c>
      <c r="AQ636" s="63" t="str">
        <f>IFERROR(VLOOKUP(Table2[[#This Row],[Contraente]],Table1[[Nome/Ragione sociale]:[Checkbox selezionato]],11,FALSE),"-")</f>
        <v>SI</v>
      </c>
      <c r="AR636" s="63" t="str">
        <f>IFERROR(VLOOKUP(Table2[[#This Row],[Contraente]],Table1[[Nome/Ragione sociale]:[Checkbox selezionato]],12,FALSE),"-")</f>
        <v>SI</v>
      </c>
    </row>
    <row r="637" spans="1:44" ht="30" hidden="1" customHeight="1" x14ac:dyDescent="0.25">
      <c r="A637" s="60" t="str">
        <f>UPPER(LEFT(Table2[[#This Row],[Contraente]],1))</f>
        <v>M</v>
      </c>
      <c r="B637" s="60" t="s">
        <v>1634</v>
      </c>
      <c r="C637" s="81" t="s">
        <v>397</v>
      </c>
      <c r="D637" s="81" t="s">
        <v>37</v>
      </c>
      <c r="E637" s="86">
        <v>106875263</v>
      </c>
      <c r="F637" s="64">
        <v>42873</v>
      </c>
      <c r="G637" s="64">
        <f>IFERROR(CALCOLASCADENZA(Table2[[#This Row],[Data attivazione]],Table2[[#This Row],[Rateizzazione]],Table2[[#This Row],[Data ultimo pagamento]],Table2[[#This Row],[Data prossima scadenza manuale]]),"-")</f>
        <v>43067</v>
      </c>
      <c r="H637" s="67" t="s">
        <v>30</v>
      </c>
      <c r="I637" s="67" t="s">
        <v>113</v>
      </c>
      <c r="J637" s="33">
        <f>IFERROR(Table2[[#This Row],[Importo annuale]]/(12/VLOOKUP(Table2[[#This Row],[Rateizzazione]],TIPI_RATEIZZAZIONI,2,FALSE)),"-")</f>
        <v>122</v>
      </c>
      <c r="K637" s="88">
        <v>122</v>
      </c>
      <c r="L637" s="88">
        <v>244</v>
      </c>
      <c r="M637" s="67" t="s">
        <v>43</v>
      </c>
      <c r="N637" s="67" t="s">
        <v>51</v>
      </c>
      <c r="O637" s="27" t="s">
        <v>1631</v>
      </c>
      <c r="P637" s="33" t="s">
        <v>22</v>
      </c>
      <c r="Q637" s="60">
        <f>IFERROR(IF(12 / VLOOKUP(Table2[[#This Row],[Rateizzazione]],TIPI_RATEIZZAZIONI,2,FALSE) &gt;=1,  IF(Table2[[#This Row],[Data attivazione]] = "","-",MONTH(Table2[[#This Row],[Data attivazione]])),"-"),"-")</f>
        <v>11</v>
      </c>
      <c r="R6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7" s="67" t="s">
        <v>2</v>
      </c>
      <c r="V637" s="62"/>
      <c r="W637" s="64">
        <v>42702</v>
      </c>
      <c r="X637" s="29">
        <f>DATE(YEAR(Table2[[#This Row],[Data attivazione]])+VLOOKUP(Table2[[#This Row],[Durata]],VALORE_DURATA,2,FALSE),MONTH(Table2[[#This Row],[Data attivazione]]),DAY(Table2[[#This Row],[Data attivazione]]))</f>
        <v>43067</v>
      </c>
      <c r="Y637" s="65"/>
      <c r="Z637" s="61"/>
      <c r="AA637" s="64" t="s">
        <v>85</v>
      </c>
      <c r="AB637" s="29" t="str">
        <f>IF(Table2[[#This Row],[Data ultimo versamento temp]]=0/1/1900,"-",Table2[[#This Row],[Data ultimo versamento temp]])</f>
        <v>-</v>
      </c>
      <c r="AC637" s="29">
        <f t="array" ref="AC637">MAX(IF(TableVersamenti[Polizza]=Table2[[#This Row],[Polizza]],TableVersamenti[Data prevista versamento],"-"))</f>
        <v>0</v>
      </c>
      <c r="AD637" s="62"/>
      <c r="AE637" s="106">
        <f>DATE(YEAR(Table2[[#This Row],[Data ultimo pagamento]]),MONTH(Table2[[#This Row],[Data ultimo pagamento]]), 1)</f>
        <v>42856</v>
      </c>
      <c r="AF637" s="106">
        <f>DATE(YEAR(Table2[[#This Row],[Data prossima scadenza]]),MONTH(Table2[[#This Row],[Data prossima scadenza]]), 1)</f>
        <v>43040</v>
      </c>
      <c r="AG637" s="33">
        <f>IFERROR(Table2[[#This Row],[Importo annuale]]*VLOOKUP(Table2[[#This Row],[Ramo]],RAMI_POLIZZA,2,FALSE),0)</f>
        <v>28.060000000000002</v>
      </c>
      <c r="AH637" s="65" t="s">
        <v>113</v>
      </c>
      <c r="AI637" s="63" t="str">
        <f>IFERROR(VLOOKUP(Table2[[#This Row],[Contraente]],Table1[[Nome/Ragione sociale]:[Checkbox selezionato]],2,FALSE),"-")</f>
        <v>CORTEOLONA</v>
      </c>
      <c r="AJ637" s="63">
        <f>IFERROR(VLOOKUP(Table2[[#This Row],[Contraente]],Table1[[Nome/Ragione sociale]:[Checkbox selezionato]],3,FALSE),"-")</f>
        <v>3488624795</v>
      </c>
      <c r="AK637" s="63">
        <f>IFERROR(VLOOKUP(Table2[[#This Row],[Contraente]],Table1[[Nome/Ragione sociale]:[Checkbox selezionato]],4,FALSE),"-")</f>
        <v>0</v>
      </c>
      <c r="AL637" s="63" t="str">
        <f>IFERROR(VLOOKUP(Table2[[#This Row],[Contraente]],Table1[[Nome/Ragione sociale]:[Checkbox selezionato]],5,FALSE),"-")</f>
        <v>MAGGI ATTILIA</v>
      </c>
      <c r="AM637" s="62">
        <f>IFERROR(VLOOKUP(Table2[[#This Row],[Contraente]],Table1[[Nome/Ragione sociale]:[Checkbox selezionato]],6,FALSE),"-")</f>
        <v>24517</v>
      </c>
      <c r="AN637" s="63" t="str">
        <f>IFERROR(VLOOKUP(Table2[[#This Row],[Contraente]],Table1[[Nome/Ragione sociale]:[Checkbox selezionato]],7,FALSE),"-")</f>
        <v>papies@email.it</v>
      </c>
      <c r="AO637" s="63">
        <f>IFERROR(VLOOKUP(Table2[[#This Row],[Contraente]],Table1[[Nome/Ragione sociale]:[Checkbox selezionato]],8,FALSE),"-")</f>
        <v>0</v>
      </c>
      <c r="AP637" s="63">
        <f>IFERROR(VLOOKUP(Table2[[#This Row],[Contraente]],Table1[[Nome/Ragione sociale]:[Checkbox selezionato]],10,FALSE),"-")</f>
        <v>3488624795</v>
      </c>
      <c r="AQ637" s="63" t="str">
        <f>IFERROR(VLOOKUP(Table2[[#This Row],[Contraente]],Table1[[Nome/Ragione sociale]:[Checkbox selezionato]],11,FALSE),"-")</f>
        <v>SI</v>
      </c>
      <c r="AR637" s="63" t="str">
        <f>IFERROR(VLOOKUP(Table2[[#This Row],[Contraente]],Table1[[Nome/Ragione sociale]:[Checkbox selezionato]],12,FALSE),"-")</f>
        <v>SI</v>
      </c>
    </row>
    <row r="638" spans="1:44" ht="30" hidden="1" customHeight="1" x14ac:dyDescent="0.25">
      <c r="A638" s="60" t="str">
        <f>UPPER(LEFT(Table2[[#This Row],[Contraente]],1))</f>
        <v>M</v>
      </c>
      <c r="B638" s="60" t="s">
        <v>1634</v>
      </c>
      <c r="C638" s="81" t="s">
        <v>760</v>
      </c>
      <c r="D638" s="81" t="s">
        <v>37</v>
      </c>
      <c r="E638" s="86">
        <v>106341600</v>
      </c>
      <c r="F638" s="64">
        <v>42720</v>
      </c>
      <c r="G638" s="64">
        <f>IFERROR(CALCOLASCADENZA(Table2[[#This Row],[Data attivazione]],Table2[[#This Row],[Rateizzazione]],Table2[[#This Row],[Data ultimo pagamento]],Table2[[#This Row],[Data prossima scadenza manuale]]),"-")</f>
        <v>42896</v>
      </c>
      <c r="H638" s="67" t="s">
        <v>31</v>
      </c>
      <c r="I638" s="67" t="s">
        <v>1384</v>
      </c>
      <c r="J638" s="33">
        <f>IFERROR(Table2[[#This Row],[Importo annuale]]/(12/VLOOKUP(Table2[[#This Row],[Rateizzazione]],TIPI_RATEIZZAZIONI,2,FALSE)),"-")</f>
        <v>170</v>
      </c>
      <c r="K638" s="88"/>
      <c r="L638" s="88">
        <v>340</v>
      </c>
      <c r="M638" s="67" t="s">
        <v>43</v>
      </c>
      <c r="N638" s="67" t="s">
        <v>51</v>
      </c>
      <c r="O638" s="27" t="s">
        <v>1631</v>
      </c>
      <c r="P638" s="33" t="s">
        <v>22</v>
      </c>
      <c r="Q638" s="60">
        <f>IFERROR(IF(12 / VLOOKUP(Table2[[#This Row],[Rateizzazione]],TIPI_RATEIZZAZIONI,2,FALSE) &gt;=1,  IF(Table2[[#This Row],[Data attivazione]] = "","-",MONTH(Table2[[#This Row],[Data attivazione]])),"-"),"-")</f>
        <v>6</v>
      </c>
      <c r="R6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8" s="67" t="s">
        <v>2</v>
      </c>
      <c r="V638" s="62"/>
      <c r="W638" s="64">
        <v>42531</v>
      </c>
      <c r="X638" s="29">
        <f>DATE(YEAR(Table2[[#This Row],[Data attivazione]])+VLOOKUP(Table2[[#This Row],[Durata]],VALORE_DURATA,2,FALSE),MONTH(Table2[[#This Row],[Data attivazione]]),DAY(Table2[[#This Row],[Data attivazione]]))</f>
        <v>42896</v>
      </c>
      <c r="Y638" s="65"/>
      <c r="Z638" s="61"/>
      <c r="AA638" s="64" t="s">
        <v>88</v>
      </c>
      <c r="AB638" s="29" t="str">
        <f>IF(Table2[[#This Row],[Data ultimo versamento temp]]=0/1/1900,"-",Table2[[#This Row],[Data ultimo versamento temp]])</f>
        <v>-</v>
      </c>
      <c r="AC638" s="29">
        <f t="array" ref="AC638">MAX(IF(TableVersamenti[Polizza]=Table2[[#This Row],[Polizza]],TableVersamenti[Data prevista versamento],"-"))</f>
        <v>0</v>
      </c>
      <c r="AD638" s="62"/>
      <c r="AE638" s="106">
        <f>DATE(YEAR(Table2[[#This Row],[Data ultimo pagamento]]),MONTH(Table2[[#This Row],[Data ultimo pagamento]]), 1)</f>
        <v>42705</v>
      </c>
      <c r="AF638" s="106">
        <f>DATE(YEAR(Table2[[#This Row],[Data prossima scadenza]]),MONTH(Table2[[#This Row],[Data prossima scadenza]]), 1)</f>
        <v>42887</v>
      </c>
      <c r="AG638" s="33">
        <f>IFERROR(Table2[[#This Row],[Importo annuale]]*VLOOKUP(Table2[[#This Row],[Ramo]],RAMI_POLIZZA,2,FALSE),0)</f>
        <v>17.68</v>
      </c>
      <c r="AH638" s="65" t="s">
        <v>113</v>
      </c>
      <c r="AI638" s="63" t="str">
        <f>IFERROR(VLOOKUP(Table2[[#This Row],[Contraente]],Table1[[Nome/Ragione sociale]:[Checkbox selezionato]],2,FALSE),"-")</f>
        <v>CORTEOLONA</v>
      </c>
      <c r="AJ638" s="63">
        <f>IFERROR(VLOOKUP(Table2[[#This Row],[Contraente]],Table1[[Nome/Ragione sociale]:[Checkbox selezionato]],3,FALSE),"-")</f>
        <v>3488624795</v>
      </c>
      <c r="AK638" s="63">
        <f>IFERROR(VLOOKUP(Table2[[#This Row],[Contraente]],Table1[[Nome/Ragione sociale]:[Checkbox selezionato]],4,FALSE),"-")</f>
        <v>0</v>
      </c>
      <c r="AL638" s="63" t="str">
        <f>IFERROR(VLOOKUP(Table2[[#This Row],[Contraente]],Table1[[Nome/Ragione sociale]:[Checkbox selezionato]],5,FALSE),"-")</f>
        <v>MAGGI ATTILIA</v>
      </c>
      <c r="AM638" s="62" t="str">
        <f>IFERROR(VLOOKUP(Table2[[#This Row],[Contraente]],Table1[[Nome/Ragione sociale]:[Checkbox selezionato]],6,FALSE),"-")</f>
        <v>-</v>
      </c>
      <c r="AN638" s="63" t="str">
        <f>IFERROR(VLOOKUP(Table2[[#This Row],[Contraente]],Table1[[Nome/Ragione sociale]:[Checkbox selezionato]],7,FALSE),"-")</f>
        <v>papies@libero.it</v>
      </c>
      <c r="AO638" s="63">
        <f>IFERROR(VLOOKUP(Table2[[#This Row],[Contraente]],Table1[[Nome/Ragione sociale]:[Checkbox selezionato]],8,FALSE),"-")</f>
        <v>0</v>
      </c>
      <c r="AP638" s="63">
        <f>IFERROR(VLOOKUP(Table2[[#This Row],[Contraente]],Table1[[Nome/Ragione sociale]:[Checkbox selezionato]],10,FALSE),"-")</f>
        <v>3488624795</v>
      </c>
      <c r="AQ638" s="63" t="str">
        <f>IFERROR(VLOOKUP(Table2[[#This Row],[Contraente]],Table1[[Nome/Ragione sociale]:[Checkbox selezionato]],11,FALSE),"-")</f>
        <v>SI</v>
      </c>
      <c r="AR638" s="63" t="str">
        <f>IFERROR(VLOOKUP(Table2[[#This Row],[Contraente]],Table1[[Nome/Ragione sociale]:[Checkbox selezionato]],12,FALSE),"-")</f>
        <v>SI</v>
      </c>
    </row>
    <row r="639" spans="1:44" ht="30" hidden="1" customHeight="1" x14ac:dyDescent="0.25">
      <c r="A639" s="60" t="str">
        <f>UPPER(LEFT(Table2[[#This Row],[Contraente]],1))</f>
        <v>M</v>
      </c>
      <c r="B639" s="60" t="s">
        <v>1634</v>
      </c>
      <c r="C639" s="81" t="s">
        <v>758</v>
      </c>
      <c r="D639" s="81" t="s">
        <v>37</v>
      </c>
      <c r="E639" s="86">
        <v>106582972</v>
      </c>
      <c r="F639" s="64">
        <v>42796</v>
      </c>
      <c r="G639" s="64">
        <f>IFERROR(CALCOLASCADENZA(Table2[[#This Row],[Data attivazione]],Table2[[#This Row],[Rateizzazione]],Table2[[#This Row],[Data ultimo pagamento]],Table2[[#This Row],[Data prossima scadenza manuale]]),"-")</f>
        <v>43161</v>
      </c>
      <c r="H639" s="67" t="s">
        <v>31</v>
      </c>
      <c r="I639" s="67" t="s">
        <v>1382</v>
      </c>
      <c r="J639" s="33">
        <f>IFERROR(Table2[[#This Row],[Importo annuale]]/(12/VLOOKUP(Table2[[#This Row],[Rateizzazione]],TIPI_RATEIZZAZIONI,2,FALSE)),"-")</f>
        <v>580</v>
      </c>
      <c r="K639" s="88">
        <v>580</v>
      </c>
      <c r="L639" s="88">
        <v>580</v>
      </c>
      <c r="M639" s="67" t="s">
        <v>43</v>
      </c>
      <c r="N639" s="67" t="s">
        <v>52</v>
      </c>
      <c r="O639" s="27" t="s">
        <v>1631</v>
      </c>
      <c r="P639" s="33" t="s">
        <v>23</v>
      </c>
      <c r="Q639" s="60">
        <f>IFERROR(IF(12 / VLOOKUP(Table2[[#This Row],[Rateizzazione]],TIPI_RATEIZZAZIONI,2,FALSE) &gt;=1,  IF(Table2[[#This Row],[Data attivazione]] = "","-",MONTH(Table2[[#This Row],[Data attivazione]])),"-"),"-")</f>
        <v>3</v>
      </c>
      <c r="R6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9" s="67" t="s">
        <v>133</v>
      </c>
      <c r="V639" s="62"/>
      <c r="W639" s="64">
        <v>42796</v>
      </c>
      <c r="X639" s="29">
        <f>DATE(YEAR(Table2[[#This Row],[Data attivazione]])+VLOOKUP(Table2[[#This Row],[Durata]],VALORE_DURATA,2,FALSE),MONTH(Table2[[#This Row],[Data attivazione]]),DAY(Table2[[#This Row],[Data attivazione]]))</f>
        <v>43161</v>
      </c>
      <c r="Y639" s="65"/>
      <c r="Z639" s="61"/>
      <c r="AA639" s="64" t="s">
        <v>85</v>
      </c>
      <c r="AB639" s="29" t="str">
        <f>IF(Table2[[#This Row],[Data ultimo versamento temp]]=0/1/1900,"-",Table2[[#This Row],[Data ultimo versamento temp]])</f>
        <v>-</v>
      </c>
      <c r="AC639" s="29">
        <f t="array" ref="AC639">MAX(IF(TableVersamenti[Polizza]=Table2[[#This Row],[Polizza]],TableVersamenti[Data prevista versamento],"-"))</f>
        <v>0</v>
      </c>
      <c r="AD639" s="62"/>
      <c r="AE639" s="106">
        <f>DATE(YEAR(Table2[[#This Row],[Data ultimo pagamento]]),MONTH(Table2[[#This Row],[Data ultimo pagamento]]), 1)</f>
        <v>42795</v>
      </c>
      <c r="AF639" s="106">
        <f>DATE(YEAR(Table2[[#This Row],[Data prossima scadenza]]),MONTH(Table2[[#This Row],[Data prossima scadenza]]), 1)</f>
        <v>43160</v>
      </c>
      <c r="AG639" s="33">
        <f>IFERROR(Table2[[#This Row],[Importo annuale]]*VLOOKUP(Table2[[#This Row],[Ramo]],RAMI_POLIZZA,2,FALSE),0)</f>
        <v>30.16</v>
      </c>
      <c r="AH639" s="65" t="s">
        <v>113</v>
      </c>
      <c r="AI639" s="63" t="str">
        <f>IFERROR(VLOOKUP(Table2[[#This Row],[Contraente]],Table1[[Nome/Ragione sociale]:[Checkbox selezionato]],2,FALSE),"-")</f>
        <v>PIEVE PORTO MORONE</v>
      </c>
      <c r="AJ639" s="63">
        <f>IFERROR(VLOOKUP(Table2[[#This Row],[Contraente]],Table1[[Nome/Ragione sociale]:[Checkbox selezionato]],3,FALSE),"-")</f>
        <v>0</v>
      </c>
      <c r="AK639" s="63">
        <f>IFERROR(VLOOKUP(Table2[[#This Row],[Contraente]],Table1[[Nome/Ragione sociale]:[Checkbox selezionato]],4,FALSE),"-")</f>
        <v>0</v>
      </c>
      <c r="AL639" s="63">
        <f>IFERROR(VLOOKUP(Table2[[#This Row],[Contraente]],Table1[[Nome/Ragione sociale]:[Checkbox selezionato]],5,FALSE),"-")</f>
        <v>0</v>
      </c>
      <c r="AM639" s="62" t="str">
        <f>IFERROR(VLOOKUP(Table2[[#This Row],[Contraente]],Table1[[Nome/Ragione sociale]:[Checkbox selezionato]],6,FALSE),"-")</f>
        <v>-</v>
      </c>
      <c r="AN639" s="63" t="str">
        <f>IFERROR(VLOOKUP(Table2[[#This Row],[Contraente]],Table1[[Nome/Ragione sociale]:[Checkbox selezionato]],7,FALSE),"-")</f>
        <v>papies@libero.it</v>
      </c>
      <c r="AO639" s="63">
        <f>IFERROR(VLOOKUP(Table2[[#This Row],[Contraente]],Table1[[Nome/Ragione sociale]:[Checkbox selezionato]],8,FALSE),"-")</f>
        <v>0</v>
      </c>
      <c r="AP639" s="63">
        <f>IFERROR(VLOOKUP(Table2[[#This Row],[Contraente]],Table1[[Nome/Ragione sociale]:[Checkbox selezionato]],10,FALSE),"-")</f>
        <v>0</v>
      </c>
      <c r="AQ639" s="63" t="str">
        <f>IFERROR(VLOOKUP(Table2[[#This Row],[Contraente]],Table1[[Nome/Ragione sociale]:[Checkbox selezionato]],11,FALSE),"-")</f>
        <v>SI</v>
      </c>
      <c r="AR639" s="63" t="str">
        <f>IFERROR(VLOOKUP(Table2[[#This Row],[Contraente]],Table1[[Nome/Ragione sociale]:[Checkbox selezionato]],12,FALSE),"-")</f>
        <v>SI</v>
      </c>
    </row>
    <row r="640" spans="1:44" ht="30" hidden="1" customHeight="1" x14ac:dyDescent="0.25">
      <c r="A640" s="60" t="str">
        <f>UPPER(LEFT(Table2[[#This Row],[Contraente]],1))</f>
        <v>M</v>
      </c>
      <c r="B640" s="60" t="s">
        <v>1634</v>
      </c>
      <c r="C640" s="81" t="s">
        <v>759</v>
      </c>
      <c r="D640" s="81" t="s">
        <v>37</v>
      </c>
      <c r="E640" s="86">
        <v>103599240</v>
      </c>
      <c r="F640" s="64">
        <v>42471</v>
      </c>
      <c r="G640" s="64">
        <f>IFERROR(CALCOLASCADENZA(Table2[[#This Row],[Data attivazione]],Table2[[#This Row],[Rateizzazione]],Table2[[#This Row],[Data ultimo pagamento]],Table2[[#This Row],[Data prossima scadenza manuale]]),"-")</f>
        <v>42646</v>
      </c>
      <c r="H640" s="67" t="s">
        <v>31</v>
      </c>
      <c r="I640" s="67" t="s">
        <v>1383</v>
      </c>
      <c r="J640" s="33">
        <f>IFERROR(Table2[[#This Row],[Importo annuale]]/(12/VLOOKUP(Table2[[#This Row],[Rateizzazione]],TIPI_RATEIZZAZIONI,2,FALSE)),"-")</f>
        <v>310.01</v>
      </c>
      <c r="K640" s="88"/>
      <c r="L640" s="88">
        <v>620.02</v>
      </c>
      <c r="M640" s="67" t="s">
        <v>43</v>
      </c>
      <c r="N640" s="67" t="s">
        <v>52</v>
      </c>
      <c r="O640" s="27" t="s">
        <v>1631</v>
      </c>
      <c r="P640" s="33" t="s">
        <v>22</v>
      </c>
      <c r="Q640" s="60">
        <f>IFERROR(IF(12 / VLOOKUP(Table2[[#This Row],[Rateizzazione]],TIPI_RATEIZZAZIONI,2,FALSE) &gt;=1,  IF(Table2[[#This Row],[Data attivazione]] = "","-",MONTH(Table2[[#This Row],[Data attivazione]])),"-"),"-")</f>
        <v>10</v>
      </c>
      <c r="R6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0" s="67" t="s">
        <v>2</v>
      </c>
      <c r="V640" s="62"/>
      <c r="W640" s="64">
        <v>42280</v>
      </c>
      <c r="X640" s="29">
        <f>DATE(YEAR(Table2[[#This Row],[Data attivazione]])+VLOOKUP(Table2[[#This Row],[Durata]],VALORE_DURATA,2,FALSE),MONTH(Table2[[#This Row],[Data attivazione]]),DAY(Table2[[#This Row],[Data attivazione]]))</f>
        <v>42646</v>
      </c>
      <c r="Y640" s="65"/>
      <c r="Z640" s="61"/>
      <c r="AA640" s="64" t="s">
        <v>88</v>
      </c>
      <c r="AB640" s="29" t="str">
        <f>IF(Table2[[#This Row],[Data ultimo versamento temp]]=0/1/1900,"-",Table2[[#This Row],[Data ultimo versamento temp]])</f>
        <v>-</v>
      </c>
      <c r="AC640" s="29">
        <f t="array" ref="AC640">MAX(IF(TableVersamenti[Polizza]=Table2[[#This Row],[Polizza]],TableVersamenti[Data prevista versamento],"-"))</f>
        <v>0</v>
      </c>
      <c r="AD640" s="62"/>
      <c r="AE640" s="106">
        <f>DATE(YEAR(Table2[[#This Row],[Data ultimo pagamento]]),MONTH(Table2[[#This Row],[Data ultimo pagamento]]), 1)</f>
        <v>42461</v>
      </c>
      <c r="AF640" s="106">
        <f>DATE(YEAR(Table2[[#This Row],[Data prossima scadenza]]),MONTH(Table2[[#This Row],[Data prossima scadenza]]), 1)</f>
        <v>42644</v>
      </c>
      <c r="AG640" s="33">
        <f>IFERROR(Table2[[#This Row],[Importo annuale]]*VLOOKUP(Table2[[#This Row],[Ramo]],RAMI_POLIZZA,2,FALSE),0)</f>
        <v>32.241039999999998</v>
      </c>
      <c r="AH640" s="65" t="s">
        <v>113</v>
      </c>
      <c r="AI640" s="63">
        <f>IFERROR(VLOOKUP(Table2[[#This Row],[Contraente]],Table1[[Nome/Ragione sociale]:[Checkbox selezionato]],2,FALSE),"-")</f>
        <v>0</v>
      </c>
      <c r="AJ640" s="63">
        <f>IFERROR(VLOOKUP(Table2[[#This Row],[Contraente]],Table1[[Nome/Ragione sociale]:[Checkbox selezionato]],3,FALSE),"-")</f>
        <v>0</v>
      </c>
      <c r="AK640" s="63">
        <f>IFERROR(VLOOKUP(Table2[[#This Row],[Contraente]],Table1[[Nome/Ragione sociale]:[Checkbox selezionato]],4,FALSE),"-")</f>
        <v>0</v>
      </c>
      <c r="AL640" s="63">
        <f>IFERROR(VLOOKUP(Table2[[#This Row],[Contraente]],Table1[[Nome/Ragione sociale]:[Checkbox selezionato]],5,FALSE),"-")</f>
        <v>0</v>
      </c>
      <c r="AM640" s="62">
        <f>IFERROR(VLOOKUP(Table2[[#This Row],[Contraente]],Table1[[Nome/Ragione sociale]:[Checkbox selezionato]],6,FALSE),"-")</f>
        <v>0</v>
      </c>
      <c r="AN640" s="63" t="str">
        <f>IFERROR(VLOOKUP(Table2[[#This Row],[Contraente]],Table1[[Nome/Ragione sociale]:[Checkbox selezionato]],7,FALSE),"-")</f>
        <v>papies@email.it</v>
      </c>
      <c r="AO640" s="63">
        <f>IFERROR(VLOOKUP(Table2[[#This Row],[Contraente]],Table1[[Nome/Ragione sociale]:[Checkbox selezionato]],8,FALSE),"-")</f>
        <v>0</v>
      </c>
      <c r="AP640" s="63">
        <f>IFERROR(VLOOKUP(Table2[[#This Row],[Contraente]],Table1[[Nome/Ragione sociale]:[Checkbox selezionato]],10,FALSE),"-")</f>
        <v>0</v>
      </c>
      <c r="AQ640" s="63" t="str">
        <f>IFERROR(VLOOKUP(Table2[[#This Row],[Contraente]],Table1[[Nome/Ragione sociale]:[Checkbox selezionato]],11,FALSE),"-")</f>
        <v>SI</v>
      </c>
      <c r="AR640" s="63" t="str">
        <f>IFERROR(VLOOKUP(Table2[[#This Row],[Contraente]],Table1[[Nome/Ragione sociale]:[Checkbox selezionato]],12,FALSE),"-")</f>
        <v>SI</v>
      </c>
    </row>
    <row r="641" spans="1:44" ht="30" hidden="1" customHeight="1" x14ac:dyDescent="0.25">
      <c r="A641" s="60" t="str">
        <f>UPPER(LEFT(Table2[[#This Row],[Contraente]],1))</f>
        <v>M</v>
      </c>
      <c r="B641" s="60" t="s">
        <v>1634</v>
      </c>
      <c r="C641" s="81" t="s">
        <v>761</v>
      </c>
      <c r="D641" s="81" t="s">
        <v>37</v>
      </c>
      <c r="E641" s="86">
        <v>106781055</v>
      </c>
      <c r="F641" s="64">
        <v>42852</v>
      </c>
      <c r="G641" s="64">
        <f>IFERROR(CALCOLASCADENZA(Table2[[#This Row],[Data attivazione]],Table2[[#This Row],[Rateizzazione]],Table2[[#This Row],[Data ultimo pagamento]],Table2[[#This Row],[Data prossima scadenza manuale]]),"-")</f>
        <v>43218</v>
      </c>
      <c r="H641" s="67" t="s">
        <v>31</v>
      </c>
      <c r="I641" s="67" t="s">
        <v>1385</v>
      </c>
      <c r="J641" s="33">
        <f>IFERROR(Table2[[#This Row],[Importo annuale]]/(12/VLOOKUP(Table2[[#This Row],[Rateizzazione]],TIPI_RATEIZZAZIONI,2,FALSE)),"-")</f>
        <v>270</v>
      </c>
      <c r="K641" s="88">
        <v>270</v>
      </c>
      <c r="L641" s="88">
        <v>270</v>
      </c>
      <c r="M641" s="67" t="s">
        <v>43</v>
      </c>
      <c r="N641" s="67" t="s">
        <v>51</v>
      </c>
      <c r="O641" s="27" t="s">
        <v>1631</v>
      </c>
      <c r="P641" s="33" t="s">
        <v>23</v>
      </c>
      <c r="Q641" s="60">
        <f>IFERROR(IF(12 / VLOOKUP(Table2[[#This Row],[Rateizzazione]],TIPI_RATEIZZAZIONI,2,FALSE) &gt;=1,  IF(Table2[[#This Row],[Data attivazione]] = "","-",MONTH(Table2[[#This Row],[Data attivazione]])),"-"),"-")</f>
        <v>4</v>
      </c>
      <c r="R6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1" s="67" t="s">
        <v>2</v>
      </c>
      <c r="V641" s="62"/>
      <c r="W641" s="64">
        <v>42853</v>
      </c>
      <c r="X641" s="29">
        <f>DATE(YEAR(Table2[[#This Row],[Data attivazione]])+VLOOKUP(Table2[[#This Row],[Durata]],VALORE_DURATA,2,FALSE),MONTH(Table2[[#This Row],[Data attivazione]]),DAY(Table2[[#This Row],[Data attivazione]]))</f>
        <v>43218</v>
      </c>
      <c r="Y641" s="65"/>
      <c r="Z641" s="61"/>
      <c r="AA641" s="64" t="s">
        <v>85</v>
      </c>
      <c r="AB641" s="29" t="str">
        <f>IF(Table2[[#This Row],[Data ultimo versamento temp]]=0/1/1900,"-",Table2[[#This Row],[Data ultimo versamento temp]])</f>
        <v>-</v>
      </c>
      <c r="AC641" s="29">
        <f t="array" ref="AC641">MAX(IF(TableVersamenti[Polizza]=Table2[[#This Row],[Polizza]],TableVersamenti[Data prevista versamento],"-"))</f>
        <v>0</v>
      </c>
      <c r="AD641" s="62"/>
      <c r="AE641" s="106">
        <f>DATE(YEAR(Table2[[#This Row],[Data ultimo pagamento]]),MONTH(Table2[[#This Row],[Data ultimo pagamento]]), 1)</f>
        <v>42826</v>
      </c>
      <c r="AF641" s="106">
        <f>DATE(YEAR(Table2[[#This Row],[Data prossima scadenza]]),MONTH(Table2[[#This Row],[Data prossima scadenza]]), 1)</f>
        <v>43191</v>
      </c>
      <c r="AG641" s="33">
        <f>IFERROR(Table2[[#This Row],[Importo annuale]]*VLOOKUP(Table2[[#This Row],[Ramo]],RAMI_POLIZZA,2,FALSE),0)</f>
        <v>14.04</v>
      </c>
      <c r="AH641" s="65" t="s">
        <v>113</v>
      </c>
      <c r="AI641" s="63" t="str">
        <f>IFERROR(VLOOKUP(Table2[[#This Row],[Contraente]],Table1[[Nome/Ragione sociale]:[Checkbox selezionato]],2,FALSE),"-")</f>
        <v>PAVIA</v>
      </c>
      <c r="AJ641" s="63">
        <f>IFERROR(VLOOKUP(Table2[[#This Row],[Contraente]],Table1[[Nome/Ragione sociale]:[Checkbox selezionato]],3,FALSE),"-")</f>
        <v>3391399801</v>
      </c>
      <c r="AK641" s="63">
        <f>IFERROR(VLOOKUP(Table2[[#This Row],[Contraente]],Table1[[Nome/Ragione sociale]:[Checkbox selezionato]],4,FALSE),"-")</f>
        <v>0</v>
      </c>
      <c r="AL641" s="63" t="str">
        <f>IFERROR(VLOOKUP(Table2[[#This Row],[Contraente]],Table1[[Nome/Ragione sociale]:[Checkbox selezionato]],5,FALSE),"-")</f>
        <v>CLAUDIO</v>
      </c>
      <c r="AM641" s="62">
        <f>IFERROR(VLOOKUP(Table2[[#This Row],[Contraente]],Table1[[Nome/Ragione sociale]:[Checkbox selezionato]],6,FALSE),"-")</f>
        <v>23522</v>
      </c>
      <c r="AN641" s="63" t="str">
        <f>IFERROR(VLOOKUP(Table2[[#This Row],[Contraente]],Table1[[Nome/Ragione sociale]:[Checkbox selezionato]],7,FALSE),"-")</f>
        <v>papies@libero.it</v>
      </c>
      <c r="AO641" s="63">
        <f>IFERROR(VLOOKUP(Table2[[#This Row],[Contraente]],Table1[[Nome/Ragione sociale]:[Checkbox selezionato]],8,FALSE),"-")</f>
        <v>0</v>
      </c>
      <c r="AP641" s="63">
        <f>IFERROR(VLOOKUP(Table2[[#This Row],[Contraente]],Table1[[Nome/Ragione sociale]:[Checkbox selezionato]],10,FALSE),"-")</f>
        <v>3391399801</v>
      </c>
      <c r="AQ641" s="63" t="str">
        <f>IFERROR(VLOOKUP(Table2[[#This Row],[Contraente]],Table1[[Nome/Ragione sociale]:[Checkbox selezionato]],11,FALSE),"-")</f>
        <v>SI</v>
      </c>
      <c r="AR641" s="63" t="str">
        <f>IFERROR(VLOOKUP(Table2[[#This Row],[Contraente]],Table1[[Nome/Ragione sociale]:[Checkbox selezionato]],12,FALSE),"-")</f>
        <v>SI</v>
      </c>
    </row>
    <row r="642" spans="1:44" ht="30" hidden="1" customHeight="1" x14ac:dyDescent="0.25">
      <c r="A642" s="60" t="str">
        <f>UPPER(LEFT(Table2[[#This Row],[Contraente]],1))</f>
        <v>M</v>
      </c>
      <c r="B642" s="60" t="s">
        <v>1634</v>
      </c>
      <c r="C642" s="81" t="s">
        <v>772</v>
      </c>
      <c r="D642" s="81" t="s">
        <v>37</v>
      </c>
      <c r="E642" s="86">
        <v>105436996</v>
      </c>
      <c r="F642" s="64">
        <v>42832</v>
      </c>
      <c r="G642" s="64">
        <f>IFERROR(CALCOLASCADENZA(Table2[[#This Row],[Data attivazione]],Table2[[#This Row],[Rateizzazione]],Table2[[#This Row],[Data ultimo pagamento]],Table2[[#This Row],[Data prossima scadenza manuale]]),"-")</f>
        <v>42939</v>
      </c>
      <c r="H642" s="67" t="s">
        <v>31</v>
      </c>
      <c r="I642" s="67" t="s">
        <v>1392</v>
      </c>
      <c r="J642" s="33">
        <f>IFERROR(Table2[[#This Row],[Importo annuale]]/(12/VLOOKUP(Table2[[#This Row],[Rateizzazione]],TIPI_RATEIZZAZIONI,2,FALSE)),"-")</f>
        <v>172</v>
      </c>
      <c r="K642" s="88">
        <v>172</v>
      </c>
      <c r="L642" s="88">
        <v>516</v>
      </c>
      <c r="M642" s="67" t="s">
        <v>44</v>
      </c>
      <c r="N642" s="67" t="s">
        <v>51</v>
      </c>
      <c r="O642" s="27" t="s">
        <v>1631</v>
      </c>
      <c r="P642" s="33" t="s">
        <v>21</v>
      </c>
      <c r="Q642" s="60">
        <f>IFERROR(IF(12 / VLOOKUP(Table2[[#This Row],[Rateizzazione]],TIPI_RATEIZZAZIONI,2,FALSE) &gt;=1,  IF(Table2[[#This Row],[Data attivazione]] = "","-",MONTH(Table2[[#This Row],[Data attivazione]])),"-"),"-")</f>
        <v>7</v>
      </c>
      <c r="R6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64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6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2" s="67" t="s">
        <v>2</v>
      </c>
      <c r="V642" s="62"/>
      <c r="W642" s="64">
        <v>42574</v>
      </c>
      <c r="X642" s="29">
        <f>DATE(YEAR(Table2[[#This Row],[Data attivazione]])+VLOOKUP(Table2[[#This Row],[Durata]],VALORE_DURATA,2,FALSE),MONTH(Table2[[#This Row],[Data attivazione]]),DAY(Table2[[#This Row],[Data attivazione]]))</f>
        <v>42939</v>
      </c>
      <c r="Y642" s="65"/>
      <c r="Z642" s="61"/>
      <c r="AA642" s="64" t="s">
        <v>85</v>
      </c>
      <c r="AB642" s="29" t="str">
        <f>IF(Table2[[#This Row],[Data ultimo versamento temp]]=0/1/1900,"-",Table2[[#This Row],[Data ultimo versamento temp]])</f>
        <v>-</v>
      </c>
      <c r="AC642" s="29">
        <f t="array" ref="AC642">MAX(IF(TableVersamenti[Polizza]=Table2[[#This Row],[Polizza]],TableVersamenti[Data prevista versamento],"-"))</f>
        <v>0</v>
      </c>
      <c r="AD642" s="62"/>
      <c r="AE642" s="106">
        <f>DATE(YEAR(Table2[[#This Row],[Data ultimo pagamento]]),MONTH(Table2[[#This Row],[Data ultimo pagamento]]), 1)</f>
        <v>42826</v>
      </c>
      <c r="AF642" s="106">
        <f>DATE(YEAR(Table2[[#This Row],[Data prossima scadenza]]),MONTH(Table2[[#This Row],[Data prossima scadenza]]), 1)</f>
        <v>42917</v>
      </c>
      <c r="AG642" s="33">
        <f>IFERROR(Table2[[#This Row],[Importo annuale]]*VLOOKUP(Table2[[#This Row],[Ramo]],RAMI_POLIZZA,2,FALSE),0)</f>
        <v>26.831999999999997</v>
      </c>
      <c r="AH642" s="65" t="s">
        <v>113</v>
      </c>
      <c r="AI642" s="63" t="str">
        <f>IFERROR(VLOOKUP(Table2[[#This Row],[Contraente]],Table1[[Nome/Ragione sociale]:[Checkbox selezionato]],2,FALSE),"-")</f>
        <v>VALLE SALIMBENE</v>
      </c>
      <c r="AJ642" s="63">
        <f>IFERROR(VLOOKUP(Table2[[#This Row],[Contraente]],Table1[[Nome/Ragione sociale]:[Checkbox selezionato]],3,FALSE),"-")</f>
        <v>3466839841</v>
      </c>
      <c r="AK642" s="63">
        <f>IFERROR(VLOOKUP(Table2[[#This Row],[Contraente]],Table1[[Nome/Ragione sociale]:[Checkbox selezionato]],4,FALSE),"-")</f>
        <v>0</v>
      </c>
      <c r="AL642" s="63" t="str">
        <f>IFERROR(VLOOKUP(Table2[[#This Row],[Contraente]],Table1[[Nome/Ragione sociale]:[Checkbox selezionato]],5,FALSE),"-")</f>
        <v>MARILENA</v>
      </c>
      <c r="AM642" s="62">
        <f>IFERROR(VLOOKUP(Table2[[#This Row],[Contraente]],Table1[[Nome/Ragione sociale]:[Checkbox selezionato]],6,FALSE),"-")</f>
        <v>20252</v>
      </c>
      <c r="AN642" s="63" t="str">
        <f>IFERROR(VLOOKUP(Table2[[#This Row],[Contraente]],Table1[[Nome/Ragione sociale]:[Checkbox selezionato]],7,FALSE),"-")</f>
        <v>papies@libero.it</v>
      </c>
      <c r="AO642" s="63" t="str">
        <f>IFERROR(VLOOKUP(Table2[[#This Row],[Contraente]],Table1[[Nome/Ragione sociale]:[Checkbox selezionato]],8,FALSE),"-")</f>
        <v>SUOCERA DI DIEGO GRANATA</v>
      </c>
      <c r="AP642" s="63">
        <f>IFERROR(VLOOKUP(Table2[[#This Row],[Contraente]],Table1[[Nome/Ragione sociale]:[Checkbox selezionato]],10,FALSE),"-")</f>
        <v>3466839841</v>
      </c>
      <c r="AQ642" s="63" t="str">
        <f>IFERROR(VLOOKUP(Table2[[#This Row],[Contraente]],Table1[[Nome/Ragione sociale]:[Checkbox selezionato]],11,FALSE),"-")</f>
        <v>SI</v>
      </c>
      <c r="AR642" s="63" t="str">
        <f>IFERROR(VLOOKUP(Table2[[#This Row],[Contraente]],Table1[[Nome/Ragione sociale]:[Checkbox selezionato]],12,FALSE),"-")</f>
        <v>SI</v>
      </c>
    </row>
    <row r="643" spans="1:44" ht="30" hidden="1" customHeight="1" x14ac:dyDescent="0.25">
      <c r="A643" s="60" t="str">
        <f>UPPER(LEFT(Table2[[#This Row],[Contraente]],1))</f>
        <v>M</v>
      </c>
      <c r="B643" s="60" t="s">
        <v>1634</v>
      </c>
      <c r="C643" s="81" t="s">
        <v>775</v>
      </c>
      <c r="D643" s="81" t="s">
        <v>37</v>
      </c>
      <c r="E643" s="86">
        <v>104532419</v>
      </c>
      <c r="F643" s="64">
        <v>42475</v>
      </c>
      <c r="G643" s="64" t="str">
        <f>IFERROR(CALCOLASCADENZA(Table2[[#This Row],[Data attivazione]],Table2[[#This Row],[Rateizzazione]],Table2[[#This Row],[Data ultimo pagamento]],Table2[[#This Row],[Data prossima scadenza manuale]]),"-")</f>
        <v>-</v>
      </c>
      <c r="H643" s="67" t="s">
        <v>31</v>
      </c>
      <c r="I643" s="67" t="s">
        <v>1393</v>
      </c>
      <c r="J643" s="33">
        <v>0</v>
      </c>
      <c r="K643" s="88"/>
      <c r="L643" s="88">
        <v>0</v>
      </c>
      <c r="M643" s="67" t="s">
        <v>44</v>
      </c>
      <c r="N643" s="67" t="s">
        <v>52</v>
      </c>
      <c r="O643" s="27" t="s">
        <v>1631</v>
      </c>
      <c r="P643" s="33" t="s">
        <v>24</v>
      </c>
      <c r="Q64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3" s="67" t="s">
        <v>2</v>
      </c>
      <c r="V643" s="62"/>
      <c r="W643" s="64" t="e">
        <v>#VALUE!</v>
      </c>
      <c r="X643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43" s="65"/>
      <c r="Z643" s="61"/>
      <c r="AA643" s="64" t="s">
        <v>85</v>
      </c>
      <c r="AB643" s="29" t="str">
        <f>IF(Table2[[#This Row],[Data ultimo versamento temp]]=0/1/1900,"-",Table2[[#This Row],[Data ultimo versamento temp]])</f>
        <v>-</v>
      </c>
      <c r="AC643" s="29">
        <f t="array" ref="AC643">MAX(IF(TableVersamenti[Polizza]=Table2[[#This Row],[Polizza]],TableVersamenti[Data prevista versamento],"-"))</f>
        <v>0</v>
      </c>
      <c r="AD643" s="62"/>
      <c r="AE643" s="106">
        <f>DATE(YEAR(Table2[[#This Row],[Data ultimo pagamento]]),MONTH(Table2[[#This Row],[Data ultimo pagamento]]), 1)</f>
        <v>42461</v>
      </c>
      <c r="AF643" s="106" t="e">
        <f>DATE(YEAR(Table2[[#This Row],[Data prossima scadenza]]),MONTH(Table2[[#This Row],[Data prossima scadenza]]), 1)</f>
        <v>#VALUE!</v>
      </c>
      <c r="AG643" s="33">
        <f>IFERROR(Table2[[#This Row],[Importo annuale]]*VLOOKUP(Table2[[#This Row],[Ramo]],RAMI_POLIZZA,2,FALSE),0)</f>
        <v>0</v>
      </c>
      <c r="AH643" s="65" t="s">
        <v>113</v>
      </c>
      <c r="AI643" s="63" t="str">
        <f>IFERROR(VLOOKUP(Table2[[#This Row],[Contraente]],Table1[[Nome/Ragione sociale]:[Checkbox selezionato]],2,FALSE),"-")</f>
        <v>VALLE SALIMBENE</v>
      </c>
      <c r="AJ643" s="63">
        <f>IFERROR(VLOOKUP(Table2[[#This Row],[Contraente]],Table1[[Nome/Ragione sociale]:[Checkbox selezionato]],3,FALSE),"-")</f>
        <v>3338845106</v>
      </c>
      <c r="AK643" s="63">
        <f>IFERROR(VLOOKUP(Table2[[#This Row],[Contraente]],Table1[[Nome/Ragione sociale]:[Checkbox selezionato]],4,FALSE),"-")</f>
        <v>0</v>
      </c>
      <c r="AL643" s="63" t="str">
        <f>IFERROR(VLOOKUP(Table2[[#This Row],[Contraente]],Table1[[Nome/Ragione sociale]:[Checkbox selezionato]],5,FALSE),"-")</f>
        <v>MARTINA</v>
      </c>
      <c r="AM643" s="62">
        <f>IFERROR(VLOOKUP(Table2[[#This Row],[Contraente]],Table1[[Nome/Ragione sociale]:[Checkbox selezionato]],6,FALSE),"-")</f>
        <v>32872</v>
      </c>
      <c r="AN643" s="63" t="str">
        <f>IFERROR(VLOOKUP(Table2[[#This Row],[Contraente]],Table1[[Nome/Ragione sociale]:[Checkbox selezionato]],7,FALSE),"-")</f>
        <v>papies@email.it</v>
      </c>
      <c r="AO643" s="63" t="str">
        <f>IFERROR(VLOOKUP(Table2[[#This Row],[Contraente]],Table1[[Nome/Ragione sociale]:[Checkbox selezionato]],8,FALSE),"-")</f>
        <v>FIDANZATA DIEGO GRANATA</v>
      </c>
      <c r="AP643" s="63">
        <f>IFERROR(VLOOKUP(Table2[[#This Row],[Contraente]],Table1[[Nome/Ragione sociale]:[Checkbox selezionato]],10,FALSE),"-")</f>
        <v>3338845106</v>
      </c>
      <c r="AQ643" s="63" t="str">
        <f>IFERROR(VLOOKUP(Table2[[#This Row],[Contraente]],Table1[[Nome/Ragione sociale]:[Checkbox selezionato]],11,FALSE),"-")</f>
        <v>SI</v>
      </c>
      <c r="AR643" s="63" t="str">
        <f>IFERROR(VLOOKUP(Table2[[#This Row],[Contraente]],Table1[[Nome/Ragione sociale]:[Checkbox selezionato]],12,FALSE),"-")</f>
        <v>SI</v>
      </c>
    </row>
    <row r="644" spans="1:44" ht="30" hidden="1" customHeight="1" x14ac:dyDescent="0.25">
      <c r="A644" s="60" t="str">
        <f>UPPER(LEFT(Table2[[#This Row],[Contraente]],1))</f>
        <v>M</v>
      </c>
      <c r="B644" s="60" t="s">
        <v>1634</v>
      </c>
      <c r="C644" s="81" t="s">
        <v>762</v>
      </c>
      <c r="D644" s="81" t="s">
        <v>37</v>
      </c>
      <c r="E644" s="86">
        <v>105037164</v>
      </c>
      <c r="F644" s="64">
        <v>42513</v>
      </c>
      <c r="G644" s="64">
        <f>IFERROR(CALCOLASCADENZA(Table2[[#This Row],[Data attivazione]],Table2[[#This Row],[Rateizzazione]],Table2[[#This Row],[Data ultimo pagamento]],Table2[[#This Row],[Data prossima scadenza manuale]]),"-")</f>
        <v>42696</v>
      </c>
      <c r="H644" s="67" t="s">
        <v>31</v>
      </c>
      <c r="I644" s="67" t="s">
        <v>1386</v>
      </c>
      <c r="J644" s="33">
        <f>IFERROR(Table2[[#This Row],[Importo annuale]]/(12/VLOOKUP(Table2[[#This Row],[Rateizzazione]],TIPI_RATEIZZAZIONI,2,FALSE)),"-")</f>
        <v>230</v>
      </c>
      <c r="K644" s="88"/>
      <c r="L644" s="88">
        <v>460</v>
      </c>
      <c r="M644" s="67" t="s">
        <v>44</v>
      </c>
      <c r="N644" s="67" t="s">
        <v>51</v>
      </c>
      <c r="O644" s="27" t="s">
        <v>1631</v>
      </c>
      <c r="P644" s="33" t="s">
        <v>22</v>
      </c>
      <c r="Q644" s="60">
        <f>IFERROR(IF(12 / VLOOKUP(Table2[[#This Row],[Rateizzazione]],TIPI_RATEIZZAZIONI,2,FALSE) &gt;=1,  IF(Table2[[#This Row],[Data attivazione]] = "","-",MONTH(Table2[[#This Row],[Data attivazione]])),"-"),"-")</f>
        <v>11</v>
      </c>
      <c r="R6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4" s="67" t="s">
        <v>2</v>
      </c>
      <c r="V644" s="62"/>
      <c r="W644" s="64">
        <v>42330</v>
      </c>
      <c r="X644" s="29">
        <f>DATE(YEAR(Table2[[#This Row],[Data attivazione]])+VLOOKUP(Table2[[#This Row],[Durata]],VALORE_DURATA,2,FALSE),MONTH(Table2[[#This Row],[Data attivazione]]),DAY(Table2[[#This Row],[Data attivazione]]))</f>
        <v>42696</v>
      </c>
      <c r="Y644" s="65"/>
      <c r="Z644" s="61"/>
      <c r="AA644" s="64" t="s">
        <v>88</v>
      </c>
      <c r="AB644" s="29" t="str">
        <f>IF(Table2[[#This Row],[Data ultimo versamento temp]]=0/1/1900,"-",Table2[[#This Row],[Data ultimo versamento temp]])</f>
        <v>-</v>
      </c>
      <c r="AC644" s="29">
        <f t="array" ref="AC644">MAX(IF(TableVersamenti[Polizza]=Table2[[#This Row],[Polizza]],TableVersamenti[Data prevista versamento],"-"))</f>
        <v>0</v>
      </c>
      <c r="AD644" s="62"/>
      <c r="AE644" s="106">
        <f>DATE(YEAR(Table2[[#This Row],[Data ultimo pagamento]]),MONTH(Table2[[#This Row],[Data ultimo pagamento]]), 1)</f>
        <v>42491</v>
      </c>
      <c r="AF644" s="106">
        <f>DATE(YEAR(Table2[[#This Row],[Data prossima scadenza]]),MONTH(Table2[[#This Row],[Data prossima scadenza]]), 1)</f>
        <v>42675</v>
      </c>
      <c r="AG644" s="33">
        <f>IFERROR(Table2[[#This Row],[Importo annuale]]*VLOOKUP(Table2[[#This Row],[Ramo]],RAMI_POLIZZA,2,FALSE),0)</f>
        <v>23.919999999999998</v>
      </c>
      <c r="AH644" s="65" t="s">
        <v>113</v>
      </c>
      <c r="AI644" s="63">
        <f>IFERROR(VLOOKUP(Table2[[#This Row],[Contraente]],Table1[[Nome/Ragione sociale]:[Checkbox selezionato]],2,FALSE),"-")</f>
        <v>0</v>
      </c>
      <c r="AJ644" s="63">
        <f>IFERROR(VLOOKUP(Table2[[#This Row],[Contraente]],Table1[[Nome/Ragione sociale]:[Checkbox selezionato]],3,FALSE),"-")</f>
        <v>0</v>
      </c>
      <c r="AK644" s="63">
        <f>IFERROR(VLOOKUP(Table2[[#This Row],[Contraente]],Table1[[Nome/Ragione sociale]:[Checkbox selezionato]],4,FALSE),"-")</f>
        <v>0</v>
      </c>
      <c r="AL644" s="63">
        <f>IFERROR(VLOOKUP(Table2[[#This Row],[Contraente]],Table1[[Nome/Ragione sociale]:[Checkbox selezionato]],5,FALSE),"-")</f>
        <v>0</v>
      </c>
      <c r="AM644" s="62">
        <f>IFERROR(VLOOKUP(Table2[[#This Row],[Contraente]],Table1[[Nome/Ragione sociale]:[Checkbox selezionato]],6,FALSE),"-")</f>
        <v>0</v>
      </c>
      <c r="AN644" s="63" t="str">
        <f>IFERROR(VLOOKUP(Table2[[#This Row],[Contraente]],Table1[[Nome/Ragione sociale]:[Checkbox selezionato]],7,FALSE),"-")</f>
        <v>papies@libero.it</v>
      </c>
      <c r="AO644" s="63">
        <f>IFERROR(VLOOKUP(Table2[[#This Row],[Contraente]],Table1[[Nome/Ragione sociale]:[Checkbox selezionato]],8,FALSE),"-")</f>
        <v>0</v>
      </c>
      <c r="AP644" s="63">
        <f>IFERROR(VLOOKUP(Table2[[#This Row],[Contraente]],Table1[[Nome/Ragione sociale]:[Checkbox selezionato]],10,FALSE),"-")</f>
        <v>0</v>
      </c>
      <c r="AQ644" s="63" t="str">
        <f>IFERROR(VLOOKUP(Table2[[#This Row],[Contraente]],Table1[[Nome/Ragione sociale]:[Checkbox selezionato]],11,FALSE),"-")</f>
        <v>SI</v>
      </c>
      <c r="AR644" s="63" t="str">
        <f>IFERROR(VLOOKUP(Table2[[#This Row],[Contraente]],Table1[[Nome/Ragione sociale]:[Checkbox selezionato]],12,FALSE),"-")</f>
        <v>SI</v>
      </c>
    </row>
    <row r="645" spans="1:44" ht="30" hidden="1" customHeight="1" x14ac:dyDescent="0.25">
      <c r="A645" s="60" t="str">
        <f>UPPER(LEFT(Table2[[#This Row],[Contraente]],1))</f>
        <v>M</v>
      </c>
      <c r="B645" s="60" t="s">
        <v>1634</v>
      </c>
      <c r="C645" s="81" t="s">
        <v>763</v>
      </c>
      <c r="D645" s="81" t="s">
        <v>37</v>
      </c>
      <c r="E645" s="86">
        <v>105365773</v>
      </c>
      <c r="F645" s="64">
        <v>42801</v>
      </c>
      <c r="G645" s="64">
        <f>IFERROR(CALCOLASCADENZA(Table2[[#This Row],[Data attivazione]],Table2[[#This Row],[Rateizzazione]],Table2[[#This Row],[Data ultimo pagamento]],Table2[[#This Row],[Data prossima scadenza manuale]]),"-")</f>
        <v>42985</v>
      </c>
      <c r="H645" s="67" t="s">
        <v>31</v>
      </c>
      <c r="I645" s="67" t="s">
        <v>1387</v>
      </c>
      <c r="J645" s="33">
        <f>IFERROR(Table2[[#This Row],[Importo annuale]]/(12/VLOOKUP(Table2[[#This Row],[Rateizzazione]],TIPI_RATEIZZAZIONI,2,FALSE)),"-")</f>
        <v>201</v>
      </c>
      <c r="K645" s="88">
        <v>201</v>
      </c>
      <c r="L645" s="88">
        <v>402</v>
      </c>
      <c r="M645" s="67" t="s">
        <v>43</v>
      </c>
      <c r="N645" s="67" t="s">
        <v>51</v>
      </c>
      <c r="O645" s="27" t="s">
        <v>1631</v>
      </c>
      <c r="P645" s="33" t="s">
        <v>22</v>
      </c>
      <c r="Q645" s="60">
        <f>IFERROR(IF(12 / VLOOKUP(Table2[[#This Row],[Rateizzazione]],TIPI_RATEIZZAZIONI,2,FALSE) &gt;=1,  IF(Table2[[#This Row],[Data attivazione]] = "","-",MONTH(Table2[[#This Row],[Data attivazione]])),"-"),"-")</f>
        <v>9</v>
      </c>
      <c r="R6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5" s="67" t="s">
        <v>2</v>
      </c>
      <c r="V645" s="62"/>
      <c r="W645" s="64">
        <v>42620</v>
      </c>
      <c r="X645" s="29">
        <f>DATE(YEAR(Table2[[#This Row],[Data attivazione]])+VLOOKUP(Table2[[#This Row],[Durata]],VALORE_DURATA,2,FALSE),MONTH(Table2[[#This Row],[Data attivazione]]),DAY(Table2[[#This Row],[Data attivazione]]))</f>
        <v>42985</v>
      </c>
      <c r="Y645" s="65"/>
      <c r="Z645" s="61"/>
      <c r="AA645" s="64" t="s">
        <v>85</v>
      </c>
      <c r="AB645" s="29" t="str">
        <f>IF(Table2[[#This Row],[Data ultimo versamento temp]]=0/1/1900,"-",Table2[[#This Row],[Data ultimo versamento temp]])</f>
        <v>-</v>
      </c>
      <c r="AC645" s="29">
        <f t="array" ref="AC645">MAX(IF(TableVersamenti[Polizza]=Table2[[#This Row],[Polizza]],TableVersamenti[Data prevista versamento],"-"))</f>
        <v>0</v>
      </c>
      <c r="AD645" s="62"/>
      <c r="AE645" s="106">
        <f>DATE(YEAR(Table2[[#This Row],[Data ultimo pagamento]]),MONTH(Table2[[#This Row],[Data ultimo pagamento]]), 1)</f>
        <v>42795</v>
      </c>
      <c r="AF645" s="106">
        <f>DATE(YEAR(Table2[[#This Row],[Data prossima scadenza]]),MONTH(Table2[[#This Row],[Data prossima scadenza]]), 1)</f>
        <v>42979</v>
      </c>
      <c r="AG645" s="33">
        <f>IFERROR(Table2[[#This Row],[Importo annuale]]*VLOOKUP(Table2[[#This Row],[Ramo]],RAMI_POLIZZA,2,FALSE),0)</f>
        <v>20.904</v>
      </c>
      <c r="AH645" s="65" t="s">
        <v>113</v>
      </c>
      <c r="AI645" s="63">
        <f>IFERROR(VLOOKUP(Table2[[#This Row],[Contraente]],Table1[[Nome/Ragione sociale]:[Checkbox selezionato]],2,FALSE),"-")</f>
        <v>0</v>
      </c>
      <c r="AJ645" s="63">
        <f>IFERROR(VLOOKUP(Table2[[#This Row],[Contraente]],Table1[[Nome/Ragione sociale]:[Checkbox selezionato]],3,FALSE),"-")</f>
        <v>0</v>
      </c>
      <c r="AK645" s="63">
        <f>IFERROR(VLOOKUP(Table2[[#This Row],[Contraente]],Table1[[Nome/Ragione sociale]:[Checkbox selezionato]],4,FALSE),"-")</f>
        <v>0</v>
      </c>
      <c r="AL645" s="63">
        <f>IFERROR(VLOOKUP(Table2[[#This Row],[Contraente]],Table1[[Nome/Ragione sociale]:[Checkbox selezionato]],5,FALSE),"-")</f>
        <v>0</v>
      </c>
      <c r="AM645" s="62">
        <f>IFERROR(VLOOKUP(Table2[[#This Row],[Contraente]],Table1[[Nome/Ragione sociale]:[Checkbox selezionato]],6,FALSE),"-")</f>
        <v>0</v>
      </c>
      <c r="AN645" s="63" t="str">
        <f>IFERROR(VLOOKUP(Table2[[#This Row],[Contraente]],Table1[[Nome/Ragione sociale]:[Checkbox selezionato]],7,FALSE),"-")</f>
        <v>papies@libero.it</v>
      </c>
      <c r="AO645" s="63">
        <f>IFERROR(VLOOKUP(Table2[[#This Row],[Contraente]],Table1[[Nome/Ragione sociale]:[Checkbox selezionato]],8,FALSE),"-")</f>
        <v>0</v>
      </c>
      <c r="AP645" s="63">
        <f>IFERROR(VLOOKUP(Table2[[#This Row],[Contraente]],Table1[[Nome/Ragione sociale]:[Checkbox selezionato]],10,FALSE),"-")</f>
        <v>0</v>
      </c>
      <c r="AQ645" s="63" t="str">
        <f>IFERROR(VLOOKUP(Table2[[#This Row],[Contraente]],Table1[[Nome/Ragione sociale]:[Checkbox selezionato]],11,FALSE),"-")</f>
        <v>SI</v>
      </c>
      <c r="AR645" s="63" t="str">
        <f>IFERROR(VLOOKUP(Table2[[#This Row],[Contraente]],Table1[[Nome/Ragione sociale]:[Checkbox selezionato]],12,FALSE),"-")</f>
        <v>SI</v>
      </c>
    </row>
    <row r="646" spans="1:44" ht="30" hidden="1" customHeight="1" x14ac:dyDescent="0.25">
      <c r="A646" s="60" t="str">
        <f>UPPER(LEFT(Table2[[#This Row],[Contraente]],1))</f>
        <v>M</v>
      </c>
      <c r="B646" s="60" t="s">
        <v>1634</v>
      </c>
      <c r="C646" s="81" t="s">
        <v>764</v>
      </c>
      <c r="D646" s="81" t="s">
        <v>37</v>
      </c>
      <c r="E646" s="86">
        <v>106405622</v>
      </c>
      <c r="F646" s="64">
        <v>42905</v>
      </c>
      <c r="G646" s="64">
        <f>IFERROR(CALCOLASCADENZA(Table2[[#This Row],[Data attivazione]],Table2[[#This Row],[Rateizzazione]],Table2[[#This Row],[Data ultimo pagamento]],Table2[[#This Row],[Data prossima scadenza manuale]]),"-")</f>
        <v>43007</v>
      </c>
      <c r="H646" s="67" t="s">
        <v>31</v>
      </c>
      <c r="I646" s="67" t="s">
        <v>1388</v>
      </c>
      <c r="J646" s="33">
        <f>IFERROR(Table2[[#This Row],[Importo annuale]]/(12/VLOOKUP(Table2[[#This Row],[Rateizzazione]],TIPI_RATEIZZAZIONI,2,FALSE)),"-")</f>
        <v>268</v>
      </c>
      <c r="K646" s="88">
        <v>561</v>
      </c>
      <c r="L646" s="88">
        <v>804</v>
      </c>
      <c r="M646" s="67" t="s">
        <v>44</v>
      </c>
      <c r="N646" s="67" t="s">
        <v>51</v>
      </c>
      <c r="O646" s="27" t="s">
        <v>1631</v>
      </c>
      <c r="P646" s="33" t="s">
        <v>21</v>
      </c>
      <c r="Q646" s="60">
        <f>IFERROR(IF(12 / VLOOKUP(Table2[[#This Row],[Rateizzazione]],TIPI_RATEIZZAZIONI,2,FALSE) &gt;=1,  IF(Table2[[#This Row],[Data attivazione]] = "","-",MONTH(Table2[[#This Row],[Data attivazione]])),"-"),"-")</f>
        <v>9</v>
      </c>
      <c r="R6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4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6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6" s="67" t="s">
        <v>2</v>
      </c>
      <c r="V646" s="62"/>
      <c r="W646" s="64">
        <v>42642</v>
      </c>
      <c r="X646" s="29">
        <f>DATE(YEAR(Table2[[#This Row],[Data attivazione]])+VLOOKUP(Table2[[#This Row],[Durata]],VALORE_DURATA,2,FALSE),MONTH(Table2[[#This Row],[Data attivazione]]),DAY(Table2[[#This Row],[Data attivazione]]))</f>
        <v>43007</v>
      </c>
      <c r="Y646" s="65"/>
      <c r="Z646" s="61"/>
      <c r="AA646" s="64" t="s">
        <v>85</v>
      </c>
      <c r="AB646" s="29" t="str">
        <f>IF(Table2[[#This Row],[Data ultimo versamento temp]]=0/1/1900,"-",Table2[[#This Row],[Data ultimo versamento temp]])</f>
        <v>-</v>
      </c>
      <c r="AC646" s="29">
        <f t="array" ref="AC646">MAX(IF(TableVersamenti[Polizza]=Table2[[#This Row],[Polizza]],TableVersamenti[Data prevista versamento],"-"))</f>
        <v>0</v>
      </c>
      <c r="AD646" s="62"/>
      <c r="AE646" s="106">
        <f>DATE(YEAR(Table2[[#This Row],[Data ultimo pagamento]]),MONTH(Table2[[#This Row],[Data ultimo pagamento]]), 1)</f>
        <v>42887</v>
      </c>
      <c r="AF646" s="106">
        <f>DATE(YEAR(Table2[[#This Row],[Data prossima scadenza]]),MONTH(Table2[[#This Row],[Data prossima scadenza]]), 1)</f>
        <v>42979</v>
      </c>
      <c r="AG646" s="33">
        <f>IFERROR(Table2[[#This Row],[Importo annuale]]*VLOOKUP(Table2[[#This Row],[Ramo]],RAMI_POLIZZA,2,FALSE),0)</f>
        <v>41.808</v>
      </c>
      <c r="AH646" s="65" t="s">
        <v>113</v>
      </c>
      <c r="AI646" s="63" t="str">
        <f>IFERROR(VLOOKUP(Table2[[#This Row],[Contraente]],Table1[[Nome/Ragione sociale]:[Checkbox selezionato]],2,FALSE),"-")</f>
        <v>PAVIA</v>
      </c>
      <c r="AJ646" s="63">
        <f>IFERROR(VLOOKUP(Table2[[#This Row],[Contraente]],Table1[[Nome/Ragione sociale]:[Checkbox selezionato]],3,FALSE),"-")</f>
        <v>3480142323</v>
      </c>
      <c r="AK646" s="63">
        <f>IFERROR(VLOOKUP(Table2[[#This Row],[Contraente]],Table1[[Nome/Ragione sociale]:[Checkbox selezionato]],4,FALSE),"-")</f>
        <v>0</v>
      </c>
      <c r="AL646" s="63" t="str">
        <f>IFERROR(VLOOKUP(Table2[[#This Row],[Contraente]],Table1[[Nome/Ragione sociale]:[Checkbox selezionato]],5,FALSE),"-")</f>
        <v>AGOSTINO</v>
      </c>
      <c r="AM646" s="62">
        <f>IFERROR(VLOOKUP(Table2[[#This Row],[Contraente]],Table1[[Nome/Ragione sociale]:[Checkbox selezionato]],6,FALSE),"-")</f>
        <v>23801</v>
      </c>
      <c r="AN646" s="63" t="str">
        <f>IFERROR(VLOOKUP(Table2[[#This Row],[Contraente]],Table1[[Nome/Ragione sociale]:[Checkbox selezionato]],7,FALSE),"-")</f>
        <v>papies@email.it</v>
      </c>
      <c r="AO646" s="63">
        <f>IFERROR(VLOOKUP(Table2[[#This Row],[Contraente]],Table1[[Nome/Ragione sociale]:[Checkbox selezionato]],8,FALSE),"-")</f>
        <v>0</v>
      </c>
      <c r="AP646" s="63">
        <f>IFERROR(VLOOKUP(Table2[[#This Row],[Contraente]],Table1[[Nome/Ragione sociale]:[Checkbox selezionato]],10,FALSE),"-")</f>
        <v>3480142323</v>
      </c>
      <c r="AQ646" s="63" t="str">
        <f>IFERROR(VLOOKUP(Table2[[#This Row],[Contraente]],Table1[[Nome/Ragione sociale]:[Checkbox selezionato]],11,FALSE),"-")</f>
        <v>SI</v>
      </c>
      <c r="AR646" s="63" t="str">
        <f>IFERROR(VLOOKUP(Table2[[#This Row],[Contraente]],Table1[[Nome/Ragione sociale]:[Checkbox selezionato]],12,FALSE),"-")</f>
        <v>SI</v>
      </c>
    </row>
    <row r="647" spans="1:44" ht="30" hidden="1" customHeight="1" x14ac:dyDescent="0.25">
      <c r="A647" s="60" t="str">
        <f>UPPER(LEFT(Table2[[#This Row],[Contraente]],1))</f>
        <v>M</v>
      </c>
      <c r="B647" s="60" t="s">
        <v>1634</v>
      </c>
      <c r="C647" s="81" t="s">
        <v>766</v>
      </c>
      <c r="D647" s="81" t="s">
        <v>37</v>
      </c>
      <c r="E647" s="86">
        <v>105677151</v>
      </c>
      <c r="F647" s="64">
        <v>42781</v>
      </c>
      <c r="G647" s="64">
        <f>IFERROR(CALCOLASCADENZA(Table2[[#This Row],[Data attivazione]],Table2[[#This Row],[Rateizzazione]],Table2[[#This Row],[Data ultimo pagamento]],Table2[[#This Row],[Data prossima scadenza manuale]]),"-")</f>
        <v>42889</v>
      </c>
      <c r="H647" s="67" t="s">
        <v>31</v>
      </c>
      <c r="I647" s="67" t="s">
        <v>1389</v>
      </c>
      <c r="J647" s="33">
        <f>IFERROR(Table2[[#This Row],[Importo annuale]]/(12/VLOOKUP(Table2[[#This Row],[Rateizzazione]],TIPI_RATEIZZAZIONI,2,FALSE)),"-")</f>
        <v>585</v>
      </c>
      <c r="K647" s="88">
        <v>585</v>
      </c>
      <c r="L647" s="88">
        <v>1755</v>
      </c>
      <c r="M647" s="67" t="s">
        <v>43</v>
      </c>
      <c r="N647" s="67" t="s">
        <v>52</v>
      </c>
      <c r="O647" s="27" t="s">
        <v>1631</v>
      </c>
      <c r="P647" s="33" t="s">
        <v>21</v>
      </c>
      <c r="Q647" s="60">
        <f>IFERROR(IF(12 / VLOOKUP(Table2[[#This Row],[Rateizzazione]],TIPI_RATEIZZAZIONI,2,FALSE) &gt;=1,  IF(Table2[[#This Row],[Data attivazione]] = "","-",MONTH(Table2[[#This Row],[Data attivazione]])),"-"),"-")</f>
        <v>6</v>
      </c>
      <c r="R6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64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6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7" s="67" t="s">
        <v>2</v>
      </c>
      <c r="V647" s="62"/>
      <c r="W647" s="64">
        <v>42524</v>
      </c>
      <c r="X647" s="29">
        <f>DATE(YEAR(Table2[[#This Row],[Data attivazione]])+VLOOKUP(Table2[[#This Row],[Durata]],VALORE_DURATA,2,FALSE),MONTH(Table2[[#This Row],[Data attivazione]]),DAY(Table2[[#This Row],[Data attivazione]]))</f>
        <v>42889</v>
      </c>
      <c r="Y647" s="65"/>
      <c r="Z647" s="61"/>
      <c r="AA647" s="64" t="s">
        <v>88</v>
      </c>
      <c r="AB647" s="29" t="str">
        <f>IF(Table2[[#This Row],[Data ultimo versamento temp]]=0/1/1900,"-",Table2[[#This Row],[Data ultimo versamento temp]])</f>
        <v>-</v>
      </c>
      <c r="AC647" s="29">
        <f t="array" ref="AC647">MAX(IF(TableVersamenti[Polizza]=Table2[[#This Row],[Polizza]],TableVersamenti[Data prevista versamento],"-"))</f>
        <v>0</v>
      </c>
      <c r="AD647" s="62"/>
      <c r="AE647" s="106">
        <f>DATE(YEAR(Table2[[#This Row],[Data ultimo pagamento]]),MONTH(Table2[[#This Row],[Data ultimo pagamento]]), 1)</f>
        <v>42767</v>
      </c>
      <c r="AF647" s="106">
        <f>DATE(YEAR(Table2[[#This Row],[Data prossima scadenza]]),MONTH(Table2[[#This Row],[Data prossima scadenza]]), 1)</f>
        <v>42887</v>
      </c>
      <c r="AG647" s="33">
        <f>IFERROR(Table2[[#This Row],[Importo annuale]]*VLOOKUP(Table2[[#This Row],[Ramo]],RAMI_POLIZZA,2,FALSE),0)</f>
        <v>91.259999999999991</v>
      </c>
      <c r="AH647" s="65" t="s">
        <v>113</v>
      </c>
      <c r="AI647" s="63" t="str">
        <f>IFERROR(VLOOKUP(Table2[[#This Row],[Contraente]],Table1[[Nome/Ragione sociale]:[Checkbox selezionato]],2,FALSE),"-")</f>
        <v>ZINASCO</v>
      </c>
      <c r="AJ647" s="63">
        <f>IFERROR(VLOOKUP(Table2[[#This Row],[Contraente]],Table1[[Nome/Ragione sociale]:[Checkbox selezionato]],3,FALSE),"-")</f>
        <v>3423588747</v>
      </c>
      <c r="AK647" s="63">
        <f>IFERROR(VLOOKUP(Table2[[#This Row],[Contraente]],Table1[[Nome/Ragione sociale]:[Checkbox selezionato]],4,FALSE),"-")</f>
        <v>0</v>
      </c>
      <c r="AL647" s="63" t="str">
        <f>IFERROR(VLOOKUP(Table2[[#This Row],[Contraente]],Table1[[Nome/Ragione sociale]:[Checkbox selezionato]],5,FALSE),"-")</f>
        <v>MANCUSO</v>
      </c>
      <c r="AM647" s="62">
        <f>IFERROR(VLOOKUP(Table2[[#This Row],[Contraente]],Table1[[Nome/Ragione sociale]:[Checkbox selezionato]],6,FALSE),"-")</f>
        <v>33741</v>
      </c>
      <c r="AN647" s="63" t="str">
        <f>IFERROR(VLOOKUP(Table2[[#This Row],[Contraente]],Table1[[Nome/Ragione sociale]:[Checkbox selezionato]],7,FALSE),"-")</f>
        <v>papies@libero.it</v>
      </c>
      <c r="AO647" s="63">
        <f>IFERROR(VLOOKUP(Table2[[#This Row],[Contraente]],Table1[[Nome/Ragione sociale]:[Checkbox selezionato]],8,FALSE),"-")</f>
        <v>0</v>
      </c>
      <c r="AP647" s="63">
        <f>IFERROR(VLOOKUP(Table2[[#This Row],[Contraente]],Table1[[Nome/Ragione sociale]:[Checkbox selezionato]],10,FALSE),"-")</f>
        <v>3423588747</v>
      </c>
      <c r="AQ647" s="63" t="str">
        <f>IFERROR(VLOOKUP(Table2[[#This Row],[Contraente]],Table1[[Nome/Ragione sociale]:[Checkbox selezionato]],11,FALSE),"-")</f>
        <v>SI</v>
      </c>
      <c r="AR647" s="63" t="str">
        <f>IFERROR(VLOOKUP(Table2[[#This Row],[Contraente]],Table1[[Nome/Ragione sociale]:[Checkbox selezionato]],12,FALSE),"-")</f>
        <v>SI</v>
      </c>
    </row>
    <row r="648" spans="1:44" ht="30" hidden="1" customHeight="1" x14ac:dyDescent="0.25">
      <c r="A648" s="60" t="str">
        <f>UPPER(LEFT(Table2[[#This Row],[Contraente]],1))</f>
        <v>M</v>
      </c>
      <c r="B648" s="60" t="s">
        <v>1634</v>
      </c>
      <c r="C648" s="81" t="s">
        <v>771</v>
      </c>
      <c r="D648" s="81" t="s">
        <v>37</v>
      </c>
      <c r="E648" s="86">
        <v>104299915</v>
      </c>
      <c r="F648" s="64">
        <v>42339</v>
      </c>
      <c r="G648" s="64">
        <f>IFERROR(CALCOLASCADENZA(Table2[[#This Row],[Data attivazione]],Table2[[#This Row],[Rateizzazione]],Table2[[#This Row],[Data ultimo pagamento]],Table2[[#This Row],[Data prossima scadenza manuale]]),"-")</f>
        <v>42339</v>
      </c>
      <c r="H648" s="67" t="s">
        <v>31</v>
      </c>
      <c r="I648" s="67" t="s">
        <v>1391</v>
      </c>
      <c r="J648" s="33">
        <v>-33.06</v>
      </c>
      <c r="K648" s="88"/>
      <c r="L648" s="88">
        <v>0</v>
      </c>
      <c r="M648" s="67" t="s">
        <v>43</v>
      </c>
      <c r="N648" s="67" t="s">
        <v>52</v>
      </c>
      <c r="O648" s="27" t="s">
        <v>1631</v>
      </c>
      <c r="P648" s="33" t="s">
        <v>24</v>
      </c>
      <c r="Q64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8" s="67" t="s">
        <v>2</v>
      </c>
      <c r="V648" s="62"/>
      <c r="W648" s="64">
        <v>42111</v>
      </c>
      <c r="X648" s="29">
        <f>DATE(YEAR(Table2[[#This Row],[Data attivazione]])+VLOOKUP(Table2[[#This Row],[Durata]],VALORE_DURATA,2,FALSE),MONTH(Table2[[#This Row],[Data attivazione]]),DAY(Table2[[#This Row],[Data attivazione]]))</f>
        <v>42477</v>
      </c>
      <c r="Y648" s="65"/>
      <c r="Z648" s="61"/>
      <c r="AA648" s="64" t="s">
        <v>88</v>
      </c>
      <c r="AB648" s="29" t="str">
        <f>IF(Table2[[#This Row],[Data ultimo versamento temp]]=0/1/1900,"-",Table2[[#This Row],[Data ultimo versamento temp]])</f>
        <v>-</v>
      </c>
      <c r="AC648" s="29">
        <f t="array" ref="AC648">MAX(IF(TableVersamenti[Polizza]=Table2[[#This Row],[Polizza]],TableVersamenti[Data prevista versamento],"-"))</f>
        <v>0</v>
      </c>
      <c r="AD648" s="62"/>
      <c r="AE648" s="106">
        <f>DATE(YEAR(Table2[[#This Row],[Data ultimo pagamento]]),MONTH(Table2[[#This Row],[Data ultimo pagamento]]), 1)</f>
        <v>42339</v>
      </c>
      <c r="AF648" s="106">
        <f>DATE(YEAR(Table2[[#This Row],[Data prossima scadenza]]),MONTH(Table2[[#This Row],[Data prossima scadenza]]), 1)</f>
        <v>42339</v>
      </c>
      <c r="AG648" s="33">
        <f>IFERROR(Table2[[#This Row],[Importo annuale]]*VLOOKUP(Table2[[#This Row],[Ramo]],RAMI_POLIZZA,2,FALSE),0)</f>
        <v>0</v>
      </c>
      <c r="AH648" s="65" t="s">
        <v>113</v>
      </c>
      <c r="AI648" s="63">
        <f>IFERROR(VLOOKUP(Table2[[#This Row],[Contraente]],Table1[[Nome/Ragione sociale]:[Checkbox selezionato]],2,FALSE),"-")</f>
        <v>0</v>
      </c>
      <c r="AJ648" s="63">
        <f>IFERROR(VLOOKUP(Table2[[#This Row],[Contraente]],Table1[[Nome/Ragione sociale]:[Checkbox selezionato]],3,FALSE),"-")</f>
        <v>0</v>
      </c>
      <c r="AK648" s="63">
        <f>IFERROR(VLOOKUP(Table2[[#This Row],[Contraente]],Table1[[Nome/Ragione sociale]:[Checkbox selezionato]],4,FALSE),"-")</f>
        <v>0</v>
      </c>
      <c r="AL648" s="63">
        <f>IFERROR(VLOOKUP(Table2[[#This Row],[Contraente]],Table1[[Nome/Ragione sociale]:[Checkbox selezionato]],5,FALSE),"-")</f>
        <v>0</v>
      </c>
      <c r="AM648" s="62">
        <f>IFERROR(VLOOKUP(Table2[[#This Row],[Contraente]],Table1[[Nome/Ragione sociale]:[Checkbox selezionato]],6,FALSE),"-")</f>
        <v>0</v>
      </c>
      <c r="AN648" s="63" t="str">
        <f>IFERROR(VLOOKUP(Table2[[#This Row],[Contraente]],Table1[[Nome/Ragione sociale]:[Checkbox selezionato]],7,FALSE),"-")</f>
        <v>papies@libero.it</v>
      </c>
      <c r="AO648" s="63">
        <f>IFERROR(VLOOKUP(Table2[[#This Row],[Contraente]],Table1[[Nome/Ragione sociale]:[Checkbox selezionato]],8,FALSE),"-")</f>
        <v>0</v>
      </c>
      <c r="AP648" s="63">
        <f>IFERROR(VLOOKUP(Table2[[#This Row],[Contraente]],Table1[[Nome/Ragione sociale]:[Checkbox selezionato]],10,FALSE),"-")</f>
        <v>0</v>
      </c>
      <c r="AQ648" s="63" t="str">
        <f>IFERROR(VLOOKUP(Table2[[#This Row],[Contraente]],Table1[[Nome/Ragione sociale]:[Checkbox selezionato]],11,FALSE),"-")</f>
        <v>SI</v>
      </c>
      <c r="AR648" s="63" t="str">
        <f>IFERROR(VLOOKUP(Table2[[#This Row],[Contraente]],Table1[[Nome/Ragione sociale]:[Checkbox selezionato]],12,FALSE),"-")</f>
        <v>SI</v>
      </c>
    </row>
    <row r="649" spans="1:44" ht="30" hidden="1" customHeight="1" x14ac:dyDescent="0.25">
      <c r="A649" s="60" t="str">
        <f>UPPER(LEFT(Table2[[#This Row],[Contraente]],1))</f>
        <v>M</v>
      </c>
      <c r="B649" s="60" t="s">
        <v>1634</v>
      </c>
      <c r="C649" s="81" t="s">
        <v>1681</v>
      </c>
      <c r="D649" s="81" t="s">
        <v>37</v>
      </c>
      <c r="E649" s="86">
        <v>106772869</v>
      </c>
      <c r="F649" s="64">
        <v>42849</v>
      </c>
      <c r="G649" s="64">
        <f>IFERROR(CALCOLASCADENZA(Table2[[#This Row],[Data attivazione]],Table2[[#This Row],[Rateizzazione]],Table2[[#This Row],[Data ultimo pagamento]],Table2[[#This Row],[Data prossima scadenza manuale]]),"-")</f>
        <v>43214</v>
      </c>
      <c r="H649" s="67" t="s">
        <v>30</v>
      </c>
      <c r="I649" s="67" t="s">
        <v>113</v>
      </c>
      <c r="J649" s="33">
        <f>IFERROR(Table2[[#This Row],[Importo annuale]]/(12/VLOOKUP(Table2[[#This Row],[Rateizzazione]],TIPI_RATEIZZAZIONI,2,FALSE)),"-")</f>
        <v>220</v>
      </c>
      <c r="K649" s="88">
        <v>220</v>
      </c>
      <c r="L649" s="88">
        <v>220</v>
      </c>
      <c r="M649" s="67" t="s">
        <v>46</v>
      </c>
      <c r="N649" s="67" t="s">
        <v>52</v>
      </c>
      <c r="O649" s="27" t="s">
        <v>1631</v>
      </c>
      <c r="P649" s="33" t="s">
        <v>23</v>
      </c>
      <c r="Q649" s="60">
        <f>IFERROR(IF(12 / VLOOKUP(Table2[[#This Row],[Rateizzazione]],TIPI_RATEIZZAZIONI,2,FALSE) &gt;=1,  IF(Table2[[#This Row],[Data attivazione]] = "","-",MONTH(Table2[[#This Row],[Data attivazione]])),"-"),"-")</f>
        <v>4</v>
      </c>
      <c r="R6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9" s="67" t="s">
        <v>2</v>
      </c>
      <c r="V649" s="62"/>
      <c r="W649" s="64">
        <v>42849</v>
      </c>
      <c r="X649" s="29">
        <f>DATE(YEAR(Table2[[#This Row],[Data attivazione]])+VLOOKUP(Table2[[#This Row],[Durata]],VALORE_DURATA,2,FALSE),MONTH(Table2[[#This Row],[Data attivazione]]),DAY(Table2[[#This Row],[Data attivazione]]))</f>
        <v>43214</v>
      </c>
      <c r="Y649" s="65"/>
      <c r="Z649" s="61"/>
      <c r="AA649" s="64" t="s">
        <v>85</v>
      </c>
      <c r="AB649" s="29" t="str">
        <f>IF(Table2[[#This Row],[Data ultimo versamento temp]]=0/1/1900,"-",Table2[[#This Row],[Data ultimo versamento temp]])</f>
        <v>-</v>
      </c>
      <c r="AC649" s="29">
        <f t="array" ref="AC649">MAX(IF(TableVersamenti[Polizza]=Table2[[#This Row],[Polizza]],TableVersamenti[Data prevista versamento],"-"))</f>
        <v>0</v>
      </c>
      <c r="AD649" s="62"/>
      <c r="AE649" s="106">
        <f>DATE(YEAR(Table2[[#This Row],[Data ultimo pagamento]]),MONTH(Table2[[#This Row],[Data ultimo pagamento]]), 1)</f>
        <v>42826</v>
      </c>
      <c r="AF649" s="106">
        <f>DATE(YEAR(Table2[[#This Row],[Data prossima scadenza]]),MONTH(Table2[[#This Row],[Data prossima scadenza]]), 1)</f>
        <v>43191</v>
      </c>
      <c r="AG649" s="33">
        <f>IFERROR(Table2[[#This Row],[Importo annuale]]*VLOOKUP(Table2[[#This Row],[Ramo]],RAMI_POLIZZA,2,FALSE),0)</f>
        <v>25.3</v>
      </c>
      <c r="AH649" s="65" t="s">
        <v>113</v>
      </c>
      <c r="AI649" s="63" t="str">
        <f>IFERROR(VLOOKUP(Table2[[#This Row],[Contraente]],Table1[[Nome/Ragione sociale]:[Checkbox selezionato]],2,FALSE),"-")</f>
        <v>CHIGNOLO PO</v>
      </c>
      <c r="AJ649" s="63">
        <f>IFERROR(VLOOKUP(Table2[[#This Row],[Contraente]],Table1[[Nome/Ragione sociale]:[Checkbox selezionato]],3,FALSE),"-")</f>
        <v>3346101395</v>
      </c>
      <c r="AK649" s="63">
        <f>IFERROR(VLOOKUP(Table2[[#This Row],[Contraente]],Table1[[Nome/Ragione sociale]:[Checkbox selezionato]],4,FALSE),"-")</f>
        <v>3294752711</v>
      </c>
      <c r="AL649" s="63" t="str">
        <f>IFERROR(VLOOKUP(Table2[[#This Row],[Contraente]],Table1[[Nome/Ragione sociale]:[Checkbox selezionato]],5,FALSE),"-")</f>
        <v>ROBERTO</v>
      </c>
      <c r="AM649" s="62" t="str">
        <f>IFERROR(VLOOKUP(Table2[[#This Row],[Contraente]],Table1[[Nome/Ragione sociale]:[Checkbox selezionato]],6,FALSE),"-")</f>
        <v>-</v>
      </c>
      <c r="AN649" s="63" t="str">
        <f>IFERROR(VLOOKUP(Table2[[#This Row],[Contraente]],Table1[[Nome/Ragione sociale]:[Checkbox selezionato]],7,FALSE),"-")</f>
        <v>papies@email.it</v>
      </c>
      <c r="AO649" s="63">
        <f>IFERROR(VLOOKUP(Table2[[#This Row],[Contraente]],Table1[[Nome/Ragione sociale]:[Checkbox selezionato]],8,FALSE),"-")</f>
        <v>0</v>
      </c>
      <c r="AP649" s="63">
        <f>IFERROR(VLOOKUP(Table2[[#This Row],[Contraente]],Table1[[Nome/Ragione sociale]:[Checkbox selezionato]],10,FALSE),"-")</f>
        <v>3346101395</v>
      </c>
      <c r="AQ649" s="63" t="str">
        <f>IFERROR(VLOOKUP(Table2[[#This Row],[Contraente]],Table1[[Nome/Ragione sociale]:[Checkbox selezionato]],11,FALSE),"-")</f>
        <v>SI</v>
      </c>
      <c r="AR649" s="63" t="str">
        <f>IFERROR(VLOOKUP(Table2[[#This Row],[Contraente]],Table1[[Nome/Ragione sociale]:[Checkbox selezionato]],12,FALSE),"-")</f>
        <v>SI</v>
      </c>
    </row>
    <row r="650" spans="1:44" ht="30" hidden="1" customHeight="1" x14ac:dyDescent="0.25">
      <c r="A650" s="60" t="str">
        <f>UPPER(LEFT(Table2[[#This Row],[Contraente]],1))</f>
        <v>M</v>
      </c>
      <c r="B650" s="60" t="s">
        <v>1634</v>
      </c>
      <c r="C650" s="81" t="s">
        <v>1681</v>
      </c>
      <c r="D650" s="81" t="s">
        <v>37</v>
      </c>
      <c r="E650" s="86">
        <v>106772839</v>
      </c>
      <c r="F650" s="64">
        <v>42849</v>
      </c>
      <c r="G650" s="64">
        <f>IFERROR(CALCOLASCADENZA(Table2[[#This Row],[Data attivazione]],Table2[[#This Row],[Rateizzazione]],Table2[[#This Row],[Data ultimo pagamento]],Table2[[#This Row],[Data prossima scadenza manuale]]),"-")</f>
        <v>43214</v>
      </c>
      <c r="H650" s="67" t="s">
        <v>30</v>
      </c>
      <c r="I650" s="67" t="s">
        <v>113</v>
      </c>
      <c r="J650" s="33">
        <f>IFERROR(Table2[[#This Row],[Importo annuale]]/(12/VLOOKUP(Table2[[#This Row],[Rateizzazione]],TIPI_RATEIZZAZIONI,2,FALSE)),"-")</f>
        <v>260</v>
      </c>
      <c r="K650" s="88">
        <v>260</v>
      </c>
      <c r="L650" s="88">
        <v>260</v>
      </c>
      <c r="M650" s="67" t="s">
        <v>46</v>
      </c>
      <c r="N650" s="67" t="s">
        <v>52</v>
      </c>
      <c r="O650" s="27" t="s">
        <v>1631</v>
      </c>
      <c r="P650" s="33" t="s">
        <v>23</v>
      </c>
      <c r="Q650" s="60">
        <f>IFERROR(IF(12 / VLOOKUP(Table2[[#This Row],[Rateizzazione]],TIPI_RATEIZZAZIONI,2,FALSE) &gt;=1,  IF(Table2[[#This Row],[Data attivazione]] = "","-",MONTH(Table2[[#This Row],[Data attivazione]])),"-"),"-")</f>
        <v>4</v>
      </c>
      <c r="R6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0" s="67" t="s">
        <v>2</v>
      </c>
      <c r="V650" s="62"/>
      <c r="W650" s="64">
        <v>42849</v>
      </c>
      <c r="X650" s="29">
        <f>DATE(YEAR(Table2[[#This Row],[Data attivazione]])+VLOOKUP(Table2[[#This Row],[Durata]],VALORE_DURATA,2,FALSE),MONTH(Table2[[#This Row],[Data attivazione]]),DAY(Table2[[#This Row],[Data attivazione]]))</f>
        <v>43214</v>
      </c>
      <c r="Y650" s="65"/>
      <c r="Z650" s="61"/>
      <c r="AA650" s="64" t="s">
        <v>85</v>
      </c>
      <c r="AB650" s="29" t="str">
        <f>IF(Table2[[#This Row],[Data ultimo versamento temp]]=0/1/1900,"-",Table2[[#This Row],[Data ultimo versamento temp]])</f>
        <v>-</v>
      </c>
      <c r="AC650" s="29">
        <f t="array" ref="AC650">MAX(IF(TableVersamenti[Polizza]=Table2[[#This Row],[Polizza]],TableVersamenti[Data prevista versamento],"-"))</f>
        <v>0</v>
      </c>
      <c r="AD650" s="62"/>
      <c r="AE650" s="106">
        <f>DATE(YEAR(Table2[[#This Row],[Data ultimo pagamento]]),MONTH(Table2[[#This Row],[Data ultimo pagamento]]), 1)</f>
        <v>42826</v>
      </c>
      <c r="AF650" s="106">
        <f>DATE(YEAR(Table2[[#This Row],[Data prossima scadenza]]),MONTH(Table2[[#This Row],[Data prossima scadenza]]), 1)</f>
        <v>43191</v>
      </c>
      <c r="AG650" s="33">
        <f>IFERROR(Table2[[#This Row],[Importo annuale]]*VLOOKUP(Table2[[#This Row],[Ramo]],RAMI_POLIZZA,2,FALSE),0)</f>
        <v>29.900000000000002</v>
      </c>
      <c r="AH650" s="65" t="s">
        <v>113</v>
      </c>
      <c r="AI650" s="63" t="str">
        <f>IFERROR(VLOOKUP(Table2[[#This Row],[Contraente]],Table1[[Nome/Ragione sociale]:[Checkbox selezionato]],2,FALSE),"-")</f>
        <v>CHIGNOLO PO</v>
      </c>
      <c r="AJ650" s="63">
        <f>IFERROR(VLOOKUP(Table2[[#This Row],[Contraente]],Table1[[Nome/Ragione sociale]:[Checkbox selezionato]],3,FALSE),"-")</f>
        <v>3346101395</v>
      </c>
      <c r="AK650" s="63">
        <f>IFERROR(VLOOKUP(Table2[[#This Row],[Contraente]],Table1[[Nome/Ragione sociale]:[Checkbox selezionato]],4,FALSE),"-")</f>
        <v>3294752711</v>
      </c>
      <c r="AL650" s="63" t="str">
        <f>IFERROR(VLOOKUP(Table2[[#This Row],[Contraente]],Table1[[Nome/Ragione sociale]:[Checkbox selezionato]],5,FALSE),"-")</f>
        <v>ROBERTO</v>
      </c>
      <c r="AM650" s="62" t="str">
        <f>IFERROR(VLOOKUP(Table2[[#This Row],[Contraente]],Table1[[Nome/Ragione sociale]:[Checkbox selezionato]],6,FALSE),"-")</f>
        <v>-</v>
      </c>
      <c r="AN650" s="63" t="str">
        <f>IFERROR(VLOOKUP(Table2[[#This Row],[Contraente]],Table1[[Nome/Ragione sociale]:[Checkbox selezionato]],7,FALSE),"-")</f>
        <v>papies@email.it</v>
      </c>
      <c r="AO650" s="63">
        <f>IFERROR(VLOOKUP(Table2[[#This Row],[Contraente]],Table1[[Nome/Ragione sociale]:[Checkbox selezionato]],8,FALSE),"-")</f>
        <v>0</v>
      </c>
      <c r="AP650" s="63">
        <f>IFERROR(VLOOKUP(Table2[[#This Row],[Contraente]],Table1[[Nome/Ragione sociale]:[Checkbox selezionato]],10,FALSE),"-")</f>
        <v>3346101395</v>
      </c>
      <c r="AQ650" s="63" t="str">
        <f>IFERROR(VLOOKUP(Table2[[#This Row],[Contraente]],Table1[[Nome/Ragione sociale]:[Checkbox selezionato]],11,FALSE),"-")</f>
        <v>SI</v>
      </c>
      <c r="AR650" s="63" t="str">
        <f>IFERROR(VLOOKUP(Table2[[#This Row],[Contraente]],Table1[[Nome/Ragione sociale]:[Checkbox selezionato]],12,FALSE),"-")</f>
        <v>SI</v>
      </c>
    </row>
    <row r="651" spans="1:44" ht="30" hidden="1" customHeight="1" x14ac:dyDescent="0.25">
      <c r="A651" s="60" t="str">
        <f>UPPER(LEFT(Table2[[#This Row],[Contraente]],1))</f>
        <v>M</v>
      </c>
      <c r="B651" s="60" t="s">
        <v>1634</v>
      </c>
      <c r="C651" s="81" t="s">
        <v>1681</v>
      </c>
      <c r="D651" s="81" t="s">
        <v>37</v>
      </c>
      <c r="E651" s="86">
        <v>1088266</v>
      </c>
      <c r="F651" s="64">
        <v>42849</v>
      </c>
      <c r="G651" s="64">
        <f>IFERROR(CALCOLASCADENZA(Table2[[#This Row],[Data attivazione]],Table2[[#This Row],[Rateizzazione]],Table2[[#This Row],[Data ultimo pagamento]],Table2[[#This Row],[Data prossima scadenza manuale]]),"-")</f>
        <v>43214</v>
      </c>
      <c r="H651" s="67" t="s">
        <v>32</v>
      </c>
      <c r="I651" s="67" t="s">
        <v>113</v>
      </c>
      <c r="J651" s="33">
        <f>IFERROR(Table2[[#This Row],[Importo annuale]]/(12/VLOOKUP(Table2[[#This Row],[Rateizzazione]],TIPI_RATEIZZAZIONI,2,FALSE)),"-")</f>
        <v>200</v>
      </c>
      <c r="K651" s="88">
        <v>200</v>
      </c>
      <c r="L651" s="88">
        <v>200</v>
      </c>
      <c r="M651" s="67" t="s">
        <v>46</v>
      </c>
      <c r="N651" s="67" t="s">
        <v>52</v>
      </c>
      <c r="O651" s="27" t="s">
        <v>1631</v>
      </c>
      <c r="P651" s="33" t="s">
        <v>23</v>
      </c>
      <c r="Q651" s="60">
        <f>IFERROR(IF(12 / VLOOKUP(Table2[[#This Row],[Rateizzazione]],TIPI_RATEIZZAZIONI,2,FALSE) &gt;=1,  IF(Table2[[#This Row],[Data attivazione]] = "","-",MONTH(Table2[[#This Row],[Data attivazione]])),"-"),"-")</f>
        <v>4</v>
      </c>
      <c r="R6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1" s="67" t="s">
        <v>2</v>
      </c>
      <c r="V651" s="62"/>
      <c r="W651" s="64">
        <v>42849</v>
      </c>
      <c r="X651" s="29">
        <f>DATE(YEAR(Table2[[#This Row],[Data attivazione]])+VLOOKUP(Table2[[#This Row],[Durata]],VALORE_DURATA,2,FALSE),MONTH(Table2[[#This Row],[Data attivazione]]),DAY(Table2[[#This Row],[Data attivazione]]))</f>
        <v>43214</v>
      </c>
      <c r="Y651" s="65"/>
      <c r="Z651" s="61"/>
      <c r="AA651" s="64" t="s">
        <v>85</v>
      </c>
      <c r="AB651" s="29" t="str">
        <f>IF(Table2[[#This Row],[Data ultimo versamento temp]]=0/1/1900,"-",Table2[[#This Row],[Data ultimo versamento temp]])</f>
        <v>-</v>
      </c>
      <c r="AC651" s="29">
        <f t="array" ref="AC651">MAX(IF(TableVersamenti[Polizza]=Table2[[#This Row],[Polizza]],TableVersamenti[Data prevista versamento],"-"))</f>
        <v>0</v>
      </c>
      <c r="AD651" s="62"/>
      <c r="AE651" s="106">
        <f>DATE(YEAR(Table2[[#This Row],[Data ultimo pagamento]]),MONTH(Table2[[#This Row],[Data ultimo pagamento]]), 1)</f>
        <v>42826</v>
      </c>
      <c r="AF651" s="106">
        <f>DATE(YEAR(Table2[[#This Row],[Data prossima scadenza]]),MONTH(Table2[[#This Row],[Data prossima scadenza]]), 1)</f>
        <v>43191</v>
      </c>
      <c r="AG651" s="33">
        <f>IFERROR(Table2[[#This Row],[Importo annuale]]*VLOOKUP(Table2[[#This Row],[Ramo]],RAMI_POLIZZA,2,FALSE),0)</f>
        <v>3</v>
      </c>
      <c r="AH651" s="65" t="s">
        <v>113</v>
      </c>
      <c r="AI651" s="63" t="str">
        <f>IFERROR(VLOOKUP(Table2[[#This Row],[Contraente]],Table1[[Nome/Ragione sociale]:[Checkbox selezionato]],2,FALSE),"-")</f>
        <v>CHIGNOLO PO</v>
      </c>
      <c r="AJ651" s="63">
        <f>IFERROR(VLOOKUP(Table2[[#This Row],[Contraente]],Table1[[Nome/Ragione sociale]:[Checkbox selezionato]],3,FALSE),"-")</f>
        <v>3346101395</v>
      </c>
      <c r="AK651" s="63">
        <f>IFERROR(VLOOKUP(Table2[[#This Row],[Contraente]],Table1[[Nome/Ragione sociale]:[Checkbox selezionato]],4,FALSE),"-")</f>
        <v>3294752711</v>
      </c>
      <c r="AL651" s="63" t="str">
        <f>IFERROR(VLOOKUP(Table2[[#This Row],[Contraente]],Table1[[Nome/Ragione sociale]:[Checkbox selezionato]],5,FALSE),"-")</f>
        <v>ROBERTO</v>
      </c>
      <c r="AM651" s="62" t="str">
        <f>IFERROR(VLOOKUP(Table2[[#This Row],[Contraente]],Table1[[Nome/Ragione sociale]:[Checkbox selezionato]],6,FALSE),"-")</f>
        <v>-</v>
      </c>
      <c r="AN651" s="63" t="str">
        <f>IFERROR(VLOOKUP(Table2[[#This Row],[Contraente]],Table1[[Nome/Ragione sociale]:[Checkbox selezionato]],7,FALSE),"-")</f>
        <v>papies@email.it</v>
      </c>
      <c r="AO651" s="63">
        <f>IFERROR(VLOOKUP(Table2[[#This Row],[Contraente]],Table1[[Nome/Ragione sociale]:[Checkbox selezionato]],8,FALSE),"-")</f>
        <v>0</v>
      </c>
      <c r="AP651" s="63">
        <f>IFERROR(VLOOKUP(Table2[[#This Row],[Contraente]],Table1[[Nome/Ragione sociale]:[Checkbox selezionato]],10,FALSE),"-")</f>
        <v>3346101395</v>
      </c>
      <c r="AQ651" s="63" t="str">
        <f>IFERROR(VLOOKUP(Table2[[#This Row],[Contraente]],Table1[[Nome/Ragione sociale]:[Checkbox selezionato]],11,FALSE),"-")</f>
        <v>SI</v>
      </c>
      <c r="AR651" s="63" t="str">
        <f>IFERROR(VLOOKUP(Table2[[#This Row],[Contraente]],Table1[[Nome/Ragione sociale]:[Checkbox selezionato]],12,FALSE),"-")</f>
        <v>SI</v>
      </c>
    </row>
    <row r="652" spans="1:44" ht="30" hidden="1" customHeight="1" x14ac:dyDescent="0.25">
      <c r="A652" s="60" t="str">
        <f>UPPER(LEFT(Table2[[#This Row],[Contraente]],1))</f>
        <v>M</v>
      </c>
      <c r="B652" s="60" t="s">
        <v>1634</v>
      </c>
      <c r="C652" s="81" t="s">
        <v>1679</v>
      </c>
      <c r="D652" s="81" t="s">
        <v>37</v>
      </c>
      <c r="E652" s="86">
        <v>106735551</v>
      </c>
      <c r="F652" s="64">
        <v>42836</v>
      </c>
      <c r="G652" s="64">
        <f>IFERROR(CALCOLASCADENZA(Table2[[#This Row],[Data attivazione]],Table2[[#This Row],[Rateizzazione]],Table2[[#This Row],[Data ultimo pagamento]],Table2[[#This Row],[Data prossima scadenza manuale]]),"-")</f>
        <v>43019</v>
      </c>
      <c r="H652" s="67" t="s">
        <v>30</v>
      </c>
      <c r="I652" s="67" t="s">
        <v>113</v>
      </c>
      <c r="J652" s="33">
        <f>IFERROR(Table2[[#This Row],[Importo annuale]]/(12/VLOOKUP(Table2[[#This Row],[Rateizzazione]],TIPI_RATEIZZAZIONI,2,FALSE)),"-")</f>
        <v>77</v>
      </c>
      <c r="K652" s="88">
        <v>77</v>
      </c>
      <c r="L652" s="88">
        <v>77</v>
      </c>
      <c r="M652" s="67" t="s">
        <v>44</v>
      </c>
      <c r="N652" s="67" t="s">
        <v>52</v>
      </c>
      <c r="O652" s="27" t="s">
        <v>1631</v>
      </c>
      <c r="P652" s="33" t="s">
        <v>23</v>
      </c>
      <c r="Q652" s="60">
        <f>IFERROR(IF(12 / VLOOKUP(Table2[[#This Row],[Rateizzazione]],TIPI_RATEIZZAZIONI,2,FALSE) &gt;=1,  IF(Table2[[#This Row],[Data attivazione]] = "","-",MONTH(Table2[[#This Row],[Data attivazione]])),"-"),"-")</f>
        <v>10</v>
      </c>
      <c r="R6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2" s="67" t="s">
        <v>2</v>
      </c>
      <c r="V652" s="62"/>
      <c r="W652" s="64">
        <v>42654</v>
      </c>
      <c r="X652" s="29">
        <f>DATE(YEAR(Table2[[#This Row],[Data attivazione]])+VLOOKUP(Table2[[#This Row],[Durata]],VALORE_DURATA,2,FALSE),MONTH(Table2[[#This Row],[Data attivazione]]),DAY(Table2[[#This Row],[Data attivazione]]))</f>
        <v>43019</v>
      </c>
      <c r="Y652" s="65"/>
      <c r="Z652" s="61"/>
      <c r="AA652" s="64" t="s">
        <v>85</v>
      </c>
      <c r="AB652" s="29" t="str">
        <f>IF(Table2[[#This Row],[Data ultimo versamento temp]]=0/1/1900,"-",Table2[[#This Row],[Data ultimo versamento temp]])</f>
        <v>-</v>
      </c>
      <c r="AC652" s="29">
        <f t="array" ref="AC652">MAX(IF(TableVersamenti[Polizza]=Table2[[#This Row],[Polizza]],TableVersamenti[Data prevista versamento],"-"))</f>
        <v>0</v>
      </c>
      <c r="AD652" s="62"/>
      <c r="AE652" s="106">
        <f>DATE(YEAR(Table2[[#This Row],[Data ultimo pagamento]]),MONTH(Table2[[#This Row],[Data ultimo pagamento]]), 1)</f>
        <v>42826</v>
      </c>
      <c r="AF652" s="106">
        <f>DATE(YEAR(Table2[[#This Row],[Data prossima scadenza]]),MONTH(Table2[[#This Row],[Data prossima scadenza]]), 1)</f>
        <v>43009</v>
      </c>
      <c r="AG652" s="33">
        <f>IFERROR(Table2[[#This Row],[Importo annuale]]*VLOOKUP(Table2[[#This Row],[Ramo]],RAMI_POLIZZA,2,FALSE),0)</f>
        <v>8.8550000000000004</v>
      </c>
      <c r="AH652" s="65" t="s">
        <v>113</v>
      </c>
      <c r="AI652" s="63" t="str">
        <f>IFERROR(VLOOKUP(Table2[[#This Row],[Contraente]],Table1[[Nome/Ragione sociale]:[Checkbox selezionato]],2,FALSE),"-")</f>
        <v>CORTEOLONA</v>
      </c>
      <c r="AJ652" s="63">
        <f>IFERROR(VLOOKUP(Table2[[#This Row],[Contraente]],Table1[[Nome/Ragione sociale]:[Checkbox selezionato]],3,FALSE),"-")</f>
        <v>3339237720</v>
      </c>
      <c r="AK652" s="63">
        <f>IFERROR(VLOOKUP(Table2[[#This Row],[Contraente]],Table1[[Nome/Ragione sociale]:[Checkbox selezionato]],4,FALSE),"-")</f>
        <v>0</v>
      </c>
      <c r="AL652" s="63" t="str">
        <f>IFERROR(VLOOKUP(Table2[[#This Row],[Contraente]],Table1[[Nome/Ragione sociale]:[Checkbox selezionato]],5,FALSE),"-")</f>
        <v>CATERINA</v>
      </c>
      <c r="AM652" s="62">
        <f>IFERROR(VLOOKUP(Table2[[#This Row],[Contraente]],Table1[[Nome/Ragione sociale]:[Checkbox selezionato]],6,FALSE),"-")</f>
        <v>33804</v>
      </c>
      <c r="AN652" s="63" t="str">
        <f>IFERROR(VLOOKUP(Table2[[#This Row],[Contraente]],Table1[[Nome/Ragione sociale]:[Checkbox selezionato]],7,FALSE),"-")</f>
        <v>papies@libero.it</v>
      </c>
      <c r="AO652" s="63">
        <f>IFERROR(VLOOKUP(Table2[[#This Row],[Contraente]],Table1[[Nome/Ragione sociale]:[Checkbox selezionato]],8,FALSE),"-")</f>
        <v>0</v>
      </c>
      <c r="AP652" s="63">
        <f>IFERROR(VLOOKUP(Table2[[#This Row],[Contraente]],Table1[[Nome/Ragione sociale]:[Checkbox selezionato]],10,FALSE),"-")</f>
        <v>3339237720</v>
      </c>
      <c r="AQ652" s="63" t="str">
        <f>IFERROR(VLOOKUP(Table2[[#This Row],[Contraente]],Table1[[Nome/Ragione sociale]:[Checkbox selezionato]],11,FALSE),"-")</f>
        <v>SI</v>
      </c>
      <c r="AR652" s="63" t="str">
        <f>IFERROR(VLOOKUP(Table2[[#This Row],[Contraente]],Table1[[Nome/Ragione sociale]:[Checkbox selezionato]],12,FALSE),"-")</f>
        <v>SI</v>
      </c>
    </row>
    <row r="653" spans="1:44" ht="30" hidden="1" customHeight="1" x14ac:dyDescent="0.25">
      <c r="A653" s="60" t="str">
        <f>UPPER(LEFT(Table2[[#This Row],[Contraente]],1))</f>
        <v>M</v>
      </c>
      <c r="B653" s="60" t="s">
        <v>1634</v>
      </c>
      <c r="C653" s="81" t="s">
        <v>1679</v>
      </c>
      <c r="D653" s="81" t="s">
        <v>37</v>
      </c>
      <c r="E653" s="86">
        <v>106735609</v>
      </c>
      <c r="F653" s="64">
        <v>42836</v>
      </c>
      <c r="G653" s="64">
        <f>IFERROR(CALCOLASCADENZA(Table2[[#This Row],[Data attivazione]],Table2[[#This Row],[Rateizzazione]],Table2[[#This Row],[Data ultimo pagamento]],Table2[[#This Row],[Data prossima scadenza manuale]]),"-")</f>
        <v>43019</v>
      </c>
      <c r="H653" s="67" t="s">
        <v>31</v>
      </c>
      <c r="I653" s="67" t="s">
        <v>1694</v>
      </c>
      <c r="J653" s="33">
        <f>IFERROR(Table2[[#This Row],[Importo annuale]]/(12/VLOOKUP(Table2[[#This Row],[Rateizzazione]],TIPI_RATEIZZAZIONI,2,FALSE)),"-")</f>
        <v>618.35</v>
      </c>
      <c r="K653" s="88">
        <v>618.35</v>
      </c>
      <c r="L653" s="88">
        <v>1236.7</v>
      </c>
      <c r="M653" s="67" t="s">
        <v>44</v>
      </c>
      <c r="N653" s="67" t="s">
        <v>52</v>
      </c>
      <c r="O653" s="27" t="s">
        <v>1631</v>
      </c>
      <c r="P653" s="33" t="s">
        <v>22</v>
      </c>
      <c r="Q653" s="60">
        <f>IFERROR(IF(12 / VLOOKUP(Table2[[#This Row],[Rateizzazione]],TIPI_RATEIZZAZIONI,2,FALSE) &gt;=1,  IF(Table2[[#This Row],[Data attivazione]] = "","-",MONTH(Table2[[#This Row],[Data attivazione]])),"-"),"-")</f>
        <v>10</v>
      </c>
      <c r="R6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3" s="67" t="s">
        <v>2</v>
      </c>
      <c r="V653" s="62"/>
      <c r="W653" s="64">
        <v>42654</v>
      </c>
      <c r="X653" s="29">
        <f>DATE(YEAR(Table2[[#This Row],[Data attivazione]])+VLOOKUP(Table2[[#This Row],[Durata]],VALORE_DURATA,2,FALSE),MONTH(Table2[[#This Row],[Data attivazione]]),DAY(Table2[[#This Row],[Data attivazione]]))</f>
        <v>43019</v>
      </c>
      <c r="Y653" s="65"/>
      <c r="Z653" s="61"/>
      <c r="AA653" s="64" t="s">
        <v>85</v>
      </c>
      <c r="AB653" s="29" t="str">
        <f>IF(Table2[[#This Row],[Data ultimo versamento temp]]=0/1/1900,"-",Table2[[#This Row],[Data ultimo versamento temp]])</f>
        <v>-</v>
      </c>
      <c r="AC653" s="29">
        <f t="array" ref="AC653">MAX(IF(TableVersamenti[Polizza]=Table2[[#This Row],[Polizza]],TableVersamenti[Data prevista versamento],"-"))</f>
        <v>0</v>
      </c>
      <c r="AD653" s="62"/>
      <c r="AE653" s="106">
        <f>DATE(YEAR(Table2[[#This Row],[Data ultimo pagamento]]),MONTH(Table2[[#This Row],[Data ultimo pagamento]]), 1)</f>
        <v>42826</v>
      </c>
      <c r="AF653" s="106">
        <f>DATE(YEAR(Table2[[#This Row],[Data prossima scadenza]]),MONTH(Table2[[#This Row],[Data prossima scadenza]]), 1)</f>
        <v>43009</v>
      </c>
      <c r="AG653" s="33">
        <f>IFERROR(Table2[[#This Row],[Importo annuale]]*VLOOKUP(Table2[[#This Row],[Ramo]],RAMI_POLIZZA,2,FALSE),0)</f>
        <v>64.308400000000006</v>
      </c>
      <c r="AH653" s="65" t="s">
        <v>113</v>
      </c>
      <c r="AI653" s="63" t="str">
        <f>IFERROR(VLOOKUP(Table2[[#This Row],[Contraente]],Table1[[Nome/Ragione sociale]:[Checkbox selezionato]],2,FALSE),"-")</f>
        <v>CORTEOLONA</v>
      </c>
      <c r="AJ653" s="63">
        <f>IFERROR(VLOOKUP(Table2[[#This Row],[Contraente]],Table1[[Nome/Ragione sociale]:[Checkbox selezionato]],3,FALSE),"-")</f>
        <v>3339237720</v>
      </c>
      <c r="AK653" s="63">
        <f>IFERROR(VLOOKUP(Table2[[#This Row],[Contraente]],Table1[[Nome/Ragione sociale]:[Checkbox selezionato]],4,FALSE),"-")</f>
        <v>0</v>
      </c>
      <c r="AL653" s="63" t="str">
        <f>IFERROR(VLOOKUP(Table2[[#This Row],[Contraente]],Table1[[Nome/Ragione sociale]:[Checkbox selezionato]],5,FALSE),"-")</f>
        <v>CATERINA</v>
      </c>
      <c r="AM653" s="62">
        <f>IFERROR(VLOOKUP(Table2[[#This Row],[Contraente]],Table1[[Nome/Ragione sociale]:[Checkbox selezionato]],6,FALSE),"-")</f>
        <v>33804</v>
      </c>
      <c r="AN653" s="63" t="str">
        <f>IFERROR(VLOOKUP(Table2[[#This Row],[Contraente]],Table1[[Nome/Ragione sociale]:[Checkbox selezionato]],7,FALSE),"-")</f>
        <v>papies@libero.it</v>
      </c>
      <c r="AO653" s="63">
        <f>IFERROR(VLOOKUP(Table2[[#This Row],[Contraente]],Table1[[Nome/Ragione sociale]:[Checkbox selezionato]],8,FALSE),"-")</f>
        <v>0</v>
      </c>
      <c r="AP653" s="63">
        <f>IFERROR(VLOOKUP(Table2[[#This Row],[Contraente]],Table1[[Nome/Ragione sociale]:[Checkbox selezionato]],10,FALSE),"-")</f>
        <v>3339237720</v>
      </c>
      <c r="AQ653" s="63" t="str">
        <f>IFERROR(VLOOKUP(Table2[[#This Row],[Contraente]],Table1[[Nome/Ragione sociale]:[Checkbox selezionato]],11,FALSE),"-")</f>
        <v>SI</v>
      </c>
      <c r="AR653" s="63" t="str">
        <f>IFERROR(VLOOKUP(Table2[[#This Row],[Contraente]],Table1[[Nome/Ragione sociale]:[Checkbox selezionato]],12,FALSE),"-")</f>
        <v>SI</v>
      </c>
    </row>
    <row r="654" spans="1:44" ht="30" hidden="1" customHeight="1" x14ac:dyDescent="0.25">
      <c r="A654" s="60" t="str">
        <f>UPPER(LEFT(Table2[[#This Row],[Contraente]],1))</f>
        <v>M</v>
      </c>
      <c r="B654" s="60" t="s">
        <v>1634</v>
      </c>
      <c r="C654" s="81" t="s">
        <v>769</v>
      </c>
      <c r="D654" s="81" t="s">
        <v>37</v>
      </c>
      <c r="E654" s="86">
        <v>105061206</v>
      </c>
      <c r="F654" s="64">
        <v>42895</v>
      </c>
      <c r="G654" s="64">
        <f>IFERROR(CALCOLASCADENZA(Table2[[#This Row],[Data attivazione]],Table2[[#This Row],[Rateizzazione]],Table2[[#This Row],[Data ultimo pagamento]],Table2[[#This Row],[Data prossima scadenza manuale]]),"-")</f>
        <v>43066</v>
      </c>
      <c r="H654" s="67" t="s">
        <v>31</v>
      </c>
      <c r="I654" s="67" t="s">
        <v>1390</v>
      </c>
      <c r="J654" s="33">
        <f>IFERROR(Table2[[#This Row],[Importo annuale]]/(12/VLOOKUP(Table2[[#This Row],[Rateizzazione]],TIPI_RATEIZZAZIONI,2,FALSE)),"-")</f>
        <v>384.84</v>
      </c>
      <c r="K654" s="88">
        <v>384.84</v>
      </c>
      <c r="L654" s="88">
        <v>769.68</v>
      </c>
      <c r="M654" s="67" t="s">
        <v>44</v>
      </c>
      <c r="N654" s="67" t="s">
        <v>51</v>
      </c>
      <c r="O654" s="27" t="s">
        <v>1631</v>
      </c>
      <c r="P654" s="33" t="s">
        <v>22</v>
      </c>
      <c r="Q654" s="60">
        <f>IFERROR(IF(12 / VLOOKUP(Table2[[#This Row],[Rateizzazione]],TIPI_RATEIZZAZIONI,2,FALSE) &gt;=1,  IF(Table2[[#This Row],[Data attivazione]] = "","-",MONTH(Table2[[#This Row],[Data attivazione]])),"-"),"-")</f>
        <v>11</v>
      </c>
      <c r="R6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4" s="67" t="s">
        <v>2</v>
      </c>
      <c r="V654" s="62"/>
      <c r="W654" s="64">
        <v>42701</v>
      </c>
      <c r="X654" s="29">
        <f>DATE(YEAR(Table2[[#This Row],[Data attivazione]])+VLOOKUP(Table2[[#This Row],[Durata]],VALORE_DURATA,2,FALSE),MONTH(Table2[[#This Row],[Data attivazione]]),DAY(Table2[[#This Row],[Data attivazione]]))</f>
        <v>43066</v>
      </c>
      <c r="Y654" s="65"/>
      <c r="Z654" s="61"/>
      <c r="AA654" s="64" t="s">
        <v>85</v>
      </c>
      <c r="AB654" s="29" t="str">
        <f>IF(Table2[[#This Row],[Data ultimo versamento temp]]=0/1/1900,"-",Table2[[#This Row],[Data ultimo versamento temp]])</f>
        <v>-</v>
      </c>
      <c r="AC654" s="29">
        <f t="array" ref="AC654">MAX(IF(TableVersamenti[Polizza]=Table2[[#This Row],[Polizza]],TableVersamenti[Data prevista versamento],"-"))</f>
        <v>0</v>
      </c>
      <c r="AD654" s="62"/>
      <c r="AE654" s="106">
        <f>DATE(YEAR(Table2[[#This Row],[Data ultimo pagamento]]),MONTH(Table2[[#This Row],[Data ultimo pagamento]]), 1)</f>
        <v>42887</v>
      </c>
      <c r="AF654" s="106">
        <f>DATE(YEAR(Table2[[#This Row],[Data prossima scadenza]]),MONTH(Table2[[#This Row],[Data prossima scadenza]]), 1)</f>
        <v>43040</v>
      </c>
      <c r="AG654" s="33">
        <f>IFERROR(Table2[[#This Row],[Importo annuale]]*VLOOKUP(Table2[[#This Row],[Ramo]],RAMI_POLIZZA,2,FALSE),0)</f>
        <v>40.023359999999997</v>
      </c>
      <c r="AH654" s="65" t="s">
        <v>113</v>
      </c>
      <c r="AI654" s="63" t="str">
        <f>IFERROR(VLOOKUP(Table2[[#This Row],[Contraente]],Table1[[Nome/Ragione sociale]:[Checkbox selezionato]],2,FALSE),"-")</f>
        <v>CORTEOLONA</v>
      </c>
      <c r="AJ654" s="63">
        <f>IFERROR(VLOOKUP(Table2[[#This Row],[Contraente]],Table1[[Nome/Ragione sociale]:[Checkbox selezionato]],3,FALSE),"-")</f>
        <v>3395009638</v>
      </c>
      <c r="AK654" s="63">
        <f>IFERROR(VLOOKUP(Table2[[#This Row],[Contraente]],Table1[[Nome/Ragione sociale]:[Checkbox selezionato]],4,FALSE),"-")</f>
        <v>0</v>
      </c>
      <c r="AL654" s="63" t="str">
        <f>IFERROR(VLOOKUP(Table2[[#This Row],[Contraente]],Table1[[Nome/Ragione sociale]:[Checkbox selezionato]],5,FALSE),"-")</f>
        <v>MAMMA DANIELA</v>
      </c>
      <c r="AM654" s="62">
        <f>IFERROR(VLOOKUP(Table2[[#This Row],[Contraente]],Table1[[Nome/Ragione sociale]:[Checkbox selezionato]],6,FALSE),"-")</f>
        <v>0</v>
      </c>
      <c r="AN654" s="63" t="str">
        <f>IFERROR(VLOOKUP(Table2[[#This Row],[Contraente]],Table1[[Nome/Ragione sociale]:[Checkbox selezionato]],7,FALSE),"-")</f>
        <v>papies@libero.it</v>
      </c>
      <c r="AO654" s="63">
        <f>IFERROR(VLOOKUP(Table2[[#This Row],[Contraente]],Table1[[Nome/Ragione sociale]:[Checkbox selezionato]],8,FALSE),"-")</f>
        <v>0</v>
      </c>
      <c r="AP654" s="63">
        <f>IFERROR(VLOOKUP(Table2[[#This Row],[Contraente]],Table1[[Nome/Ragione sociale]:[Checkbox selezionato]],10,FALSE),"-")</f>
        <v>3395009638</v>
      </c>
      <c r="AQ654" s="63" t="str">
        <f>IFERROR(VLOOKUP(Table2[[#This Row],[Contraente]],Table1[[Nome/Ragione sociale]:[Checkbox selezionato]],11,FALSE),"-")</f>
        <v>SI</v>
      </c>
      <c r="AR654" s="63" t="str">
        <f>IFERROR(VLOOKUP(Table2[[#This Row],[Contraente]],Table1[[Nome/Ragione sociale]:[Checkbox selezionato]],12,FALSE),"-")</f>
        <v>SI</v>
      </c>
    </row>
    <row r="655" spans="1:44" ht="30" hidden="1" customHeight="1" x14ac:dyDescent="0.25">
      <c r="A655" s="60" t="str">
        <f>UPPER(LEFT(Table2[[#This Row],[Contraente]],1))</f>
        <v>M</v>
      </c>
      <c r="B655" s="60" t="s">
        <v>1634</v>
      </c>
      <c r="C655" s="81" t="s">
        <v>1726</v>
      </c>
      <c r="D655" s="81" t="s">
        <v>37</v>
      </c>
      <c r="E655" s="86">
        <v>106982841</v>
      </c>
      <c r="F655" s="64">
        <v>42900</v>
      </c>
      <c r="G655" s="64">
        <f>IFERROR(CALCOLASCADENZA(Table2[[#This Row],[Data attivazione]],Table2[[#This Row],[Rateizzazione]],Table2[[#This Row],[Data ultimo pagamento]],Table2[[#This Row],[Data prossima scadenza manuale]]),"-")</f>
        <v>43265</v>
      </c>
      <c r="H655" s="67" t="s">
        <v>30</v>
      </c>
      <c r="I655" s="67" t="s">
        <v>113</v>
      </c>
      <c r="J655" s="33">
        <f>IFERROR(Table2[[#This Row],[Importo annuale]]/(12/VLOOKUP(Table2[[#This Row],[Rateizzazione]],TIPI_RATEIZZAZIONI,2,FALSE)),"-")</f>
        <v>168</v>
      </c>
      <c r="K655" s="88">
        <v>168</v>
      </c>
      <c r="L655" s="88">
        <v>168</v>
      </c>
      <c r="M655" s="67" t="s">
        <v>45</v>
      </c>
      <c r="N655" s="67" t="s">
        <v>52</v>
      </c>
      <c r="O655" s="27" t="s">
        <v>1631</v>
      </c>
      <c r="P655" s="33" t="s">
        <v>23</v>
      </c>
      <c r="Q655" s="60">
        <f>IFERROR(IF(12 / VLOOKUP(Table2[[#This Row],[Rateizzazione]],TIPI_RATEIZZAZIONI,2,FALSE) &gt;=1,  IF(Table2[[#This Row],[Data attivazione]] = "","-",MONTH(Table2[[#This Row],[Data attivazione]])),"-"),"-")</f>
        <v>6</v>
      </c>
      <c r="R6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5" s="67" t="s">
        <v>2</v>
      </c>
      <c r="V655" s="62"/>
      <c r="W655" s="64">
        <v>42900</v>
      </c>
      <c r="X655" s="29">
        <f>DATE(YEAR(Table2[[#This Row],[Data attivazione]])+VLOOKUP(Table2[[#This Row],[Durata]],VALORE_DURATA,2,FALSE),MONTH(Table2[[#This Row],[Data attivazione]]),DAY(Table2[[#This Row],[Data attivazione]]))</f>
        <v>43265</v>
      </c>
      <c r="Y655" s="65"/>
      <c r="Z655" s="61"/>
      <c r="AA655" s="64" t="s">
        <v>85</v>
      </c>
      <c r="AB655" s="29" t="str">
        <f>IF(Table2[[#This Row],[Data ultimo versamento temp]]=0/1/1900,"-",Table2[[#This Row],[Data ultimo versamento temp]])</f>
        <v>-</v>
      </c>
      <c r="AC655" s="29">
        <f t="array" ref="AC655">MAX(IF(TableVersamenti[Polizza]=Table2[[#This Row],[Polizza]],TableVersamenti[Data prevista versamento],"-"))</f>
        <v>0</v>
      </c>
      <c r="AD655" s="62"/>
      <c r="AE655" s="106">
        <f>DATE(YEAR(Table2[[#This Row],[Data ultimo pagamento]]),MONTH(Table2[[#This Row],[Data ultimo pagamento]]), 1)</f>
        <v>42887</v>
      </c>
      <c r="AF655" s="106">
        <f>DATE(YEAR(Table2[[#This Row],[Data prossima scadenza]]),MONTH(Table2[[#This Row],[Data prossima scadenza]]), 1)</f>
        <v>43252</v>
      </c>
      <c r="AG655" s="33">
        <f>IFERROR(Table2[[#This Row],[Importo annuale]]*VLOOKUP(Table2[[#This Row],[Ramo]],RAMI_POLIZZA,2,FALSE),0)</f>
        <v>19.32</v>
      </c>
      <c r="AH655" s="65" t="s">
        <v>113</v>
      </c>
      <c r="AI655" s="63" t="str">
        <f>IFERROR(VLOOKUP(Table2[[#This Row],[Contraente]],Table1[[Nome/Ragione sociale]:[Checkbox selezionato]],2,FALSE),"-")</f>
        <v>BELGIOIOSO</v>
      </c>
      <c r="AJ655" s="63">
        <f>IFERROR(VLOOKUP(Table2[[#This Row],[Contraente]],Table1[[Nome/Ragione sociale]:[Checkbox selezionato]],3,FALSE),"-")</f>
        <v>3318189824</v>
      </c>
      <c r="AK655" s="63">
        <f>IFERROR(VLOOKUP(Table2[[#This Row],[Contraente]],Table1[[Nome/Ragione sociale]:[Checkbox selezionato]],4,FALSE),"-")</f>
        <v>0</v>
      </c>
      <c r="AL655" s="63" t="str">
        <f>IFERROR(VLOOKUP(Table2[[#This Row],[Contraente]],Table1[[Nome/Ragione sociale]:[Checkbox selezionato]],5,FALSE),"-")</f>
        <v>MANTOVANI</v>
      </c>
      <c r="AM655" s="62">
        <f>IFERROR(VLOOKUP(Table2[[#This Row],[Contraente]],Table1[[Nome/Ragione sociale]:[Checkbox selezionato]],6,FALSE),"-")</f>
        <v>19624</v>
      </c>
      <c r="AN655" s="63" t="str">
        <f>IFERROR(VLOOKUP(Table2[[#This Row],[Contraente]],Table1[[Nome/Ragione sociale]:[Checkbox selezionato]],7,FALSE),"-")</f>
        <v>papies@email.it</v>
      </c>
      <c r="AO655" s="63">
        <f>IFERROR(VLOOKUP(Table2[[#This Row],[Contraente]],Table1[[Nome/Ragione sociale]:[Checkbox selezionato]],8,FALSE),"-")</f>
        <v>0</v>
      </c>
      <c r="AP655" s="63">
        <f>IFERROR(VLOOKUP(Table2[[#This Row],[Contraente]],Table1[[Nome/Ragione sociale]:[Checkbox selezionato]],10,FALSE),"-")</f>
        <v>3318189824</v>
      </c>
      <c r="AQ655" s="63" t="str">
        <f>IFERROR(VLOOKUP(Table2[[#This Row],[Contraente]],Table1[[Nome/Ragione sociale]:[Checkbox selezionato]],11,FALSE),"-")</f>
        <v>SI</v>
      </c>
      <c r="AR655" s="63" t="str">
        <f>IFERROR(VLOOKUP(Table2[[#This Row],[Contraente]],Table1[[Nome/Ragione sociale]:[Checkbox selezionato]],12,FALSE),"-")</f>
        <v>SI</v>
      </c>
    </row>
    <row r="656" spans="1:44" ht="30" hidden="1" customHeight="1" x14ac:dyDescent="0.25">
      <c r="A656" s="60" t="str">
        <f>UPPER(LEFT(Table2[[#This Row],[Contraente]],1))</f>
        <v>M</v>
      </c>
      <c r="B656" s="60" t="s">
        <v>1634</v>
      </c>
      <c r="C656" s="81" t="s">
        <v>778</v>
      </c>
      <c r="D656" s="81" t="s">
        <v>37</v>
      </c>
      <c r="E656" s="86">
        <v>106354465</v>
      </c>
      <c r="F656" s="64">
        <v>42920</v>
      </c>
      <c r="G656" s="64">
        <f>IFERROR(CALCOLASCADENZA(Table2[[#This Row],[Data attivazione]],Table2[[#This Row],[Rateizzazione]],Table2[[#This Row],[Data ultimo pagamento]],Table2[[#This Row],[Data prossima scadenza manuale]]),"-")</f>
        <v>43088</v>
      </c>
      <c r="H656" s="67" t="s">
        <v>31</v>
      </c>
      <c r="I656" s="67" t="s">
        <v>1394</v>
      </c>
      <c r="J656" s="33">
        <f>IFERROR(Table2[[#This Row],[Importo annuale]]/(12/VLOOKUP(Table2[[#This Row],[Rateizzazione]],TIPI_RATEIZZAZIONI,2,FALSE)),"-")</f>
        <v>280</v>
      </c>
      <c r="K656" s="88">
        <v>280</v>
      </c>
      <c r="L656" s="88">
        <v>560</v>
      </c>
      <c r="M656" s="67" t="s">
        <v>43</v>
      </c>
      <c r="N656" s="67" t="s">
        <v>51</v>
      </c>
      <c r="O656" s="27" t="s">
        <v>1631</v>
      </c>
      <c r="P656" s="33" t="s">
        <v>22</v>
      </c>
      <c r="Q656" s="60">
        <f>IFERROR(IF(12 / VLOOKUP(Table2[[#This Row],[Rateizzazione]],TIPI_RATEIZZAZIONI,2,FALSE) &gt;=1,  IF(Table2[[#This Row],[Data attivazione]] = "","-",MONTH(Table2[[#This Row],[Data attivazione]])),"-"),"-")</f>
        <v>6</v>
      </c>
      <c r="R6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6" s="67" t="s">
        <v>2</v>
      </c>
      <c r="V656" s="62"/>
      <c r="W656" s="64">
        <v>42905</v>
      </c>
      <c r="X656" s="29">
        <f>DATE(YEAR(Table2[[#This Row],[Data attivazione]])+VLOOKUP(Table2[[#This Row],[Durata]],VALORE_DURATA,2,FALSE),MONTH(Table2[[#This Row],[Data attivazione]]),DAY(Table2[[#This Row],[Data attivazione]]))</f>
        <v>43270</v>
      </c>
      <c r="Y656" s="65"/>
      <c r="Z656" s="61"/>
      <c r="AA656" s="64" t="s">
        <v>85</v>
      </c>
      <c r="AB656" s="29">
        <f>IF(Table2[[#This Row],[Data ultimo versamento temp]]=0/1/1900,"-",Table2[[#This Row],[Data ultimo versamento temp]])</f>
        <v>42923</v>
      </c>
      <c r="AC656" s="29">
        <f t="array" ref="AC656">MAX(IF(TableVersamenti[Polizza]=Table2[[#This Row],[Polizza]],TableVersamenti[Data prevista versamento],"-"))</f>
        <v>42923</v>
      </c>
      <c r="AD656" s="62"/>
      <c r="AE656" s="106">
        <f>DATE(YEAR(Table2[[#This Row],[Data ultimo pagamento]]),MONTH(Table2[[#This Row],[Data ultimo pagamento]]), 1)</f>
        <v>42917</v>
      </c>
      <c r="AF656" s="106">
        <f>DATE(YEAR(Table2[[#This Row],[Data prossima scadenza]]),MONTH(Table2[[#This Row],[Data prossima scadenza]]), 1)</f>
        <v>43070</v>
      </c>
      <c r="AG656" s="33">
        <f>IFERROR(Table2[[#This Row],[Importo annuale]]*VLOOKUP(Table2[[#This Row],[Ramo]],RAMI_POLIZZA,2,FALSE),0)</f>
        <v>29.119999999999997</v>
      </c>
      <c r="AH656" s="65" t="s">
        <v>113</v>
      </c>
      <c r="AI656" s="63" t="str">
        <f>IFERROR(VLOOKUP(Table2[[#This Row],[Contraente]],Table1[[Nome/Ragione sociale]:[Checkbox selezionato]],2,FALSE),"-")</f>
        <v>BELGIOIOSO</v>
      </c>
      <c r="AJ656" s="63">
        <f>IFERROR(VLOOKUP(Table2[[#This Row],[Contraente]],Table1[[Nome/Ragione sociale]:[Checkbox selezionato]],3,FALSE),"-")</f>
        <v>3315054306</v>
      </c>
      <c r="AK656" s="63">
        <f>IFERROR(VLOOKUP(Table2[[#This Row],[Contraente]],Table1[[Nome/Ragione sociale]:[Checkbox selezionato]],4,FALSE),"-")</f>
        <v>3347263876</v>
      </c>
      <c r="AL656" s="63" t="str">
        <f>IFERROR(VLOOKUP(Table2[[#This Row],[Contraente]],Table1[[Nome/Ragione sociale]:[Checkbox selezionato]],5,FALSE),"-")</f>
        <v>CARMINE/MADDALENA</v>
      </c>
      <c r="AM656" s="62" t="str">
        <f>IFERROR(VLOOKUP(Table2[[#This Row],[Contraente]],Table1[[Nome/Ragione sociale]:[Checkbox selezionato]],6,FALSE),"-")</f>
        <v>-</v>
      </c>
      <c r="AN656" s="63" t="str">
        <f>IFERROR(VLOOKUP(Table2[[#This Row],[Contraente]],Table1[[Nome/Ragione sociale]:[Checkbox selezionato]],7,FALSE),"-")</f>
        <v>papies@libero.it</v>
      </c>
      <c r="AO656" s="63">
        <f>IFERROR(VLOOKUP(Table2[[#This Row],[Contraente]],Table1[[Nome/Ragione sociale]:[Checkbox selezionato]],8,FALSE),"-")</f>
        <v>0</v>
      </c>
      <c r="AP656" s="63">
        <f>IFERROR(VLOOKUP(Table2[[#This Row],[Contraente]],Table1[[Nome/Ragione sociale]:[Checkbox selezionato]],10,FALSE),"-")</f>
        <v>3315054306</v>
      </c>
      <c r="AQ656" s="63" t="str">
        <f>IFERROR(VLOOKUP(Table2[[#This Row],[Contraente]],Table1[[Nome/Ragione sociale]:[Checkbox selezionato]],11,FALSE),"-")</f>
        <v>SI</v>
      </c>
      <c r="AR656" s="63" t="str">
        <f>IFERROR(VLOOKUP(Table2[[#This Row],[Contraente]],Table1[[Nome/Ragione sociale]:[Checkbox selezionato]],12,FALSE),"-")</f>
        <v>SI</v>
      </c>
    </row>
    <row r="657" spans="1:44" ht="30" hidden="1" customHeight="1" x14ac:dyDescent="0.25">
      <c r="A657" s="60" t="str">
        <f>UPPER(LEFT(Table2[[#This Row],[Contraente]],1))</f>
        <v>M</v>
      </c>
      <c r="B657" s="60" t="s">
        <v>1634</v>
      </c>
      <c r="C657" s="81" t="s">
        <v>780</v>
      </c>
      <c r="D657" s="81" t="s">
        <v>37</v>
      </c>
      <c r="E657" s="86">
        <v>106434470</v>
      </c>
      <c r="F657" s="64">
        <v>42752</v>
      </c>
      <c r="G657" s="64">
        <f>IFERROR(CALCOLASCADENZA(Table2[[#This Row],[Data attivazione]],Table2[[#This Row],[Rateizzazione]],Table2[[#This Row],[Data ultimo pagamento]],Table2[[#This Row],[Data prossima scadenza manuale]]),"-")</f>
        <v>43120</v>
      </c>
      <c r="H657" s="67" t="s">
        <v>30</v>
      </c>
      <c r="I657" s="67" t="s">
        <v>113</v>
      </c>
      <c r="J657" s="33">
        <f>IFERROR(Table2[[#This Row],[Importo annuale]]/(12/VLOOKUP(Table2[[#This Row],[Rateizzazione]],TIPI_RATEIZZAZIONI,2,FALSE)),"-")</f>
        <v>250</v>
      </c>
      <c r="K657" s="88">
        <v>250</v>
      </c>
      <c r="L657" s="88">
        <v>250</v>
      </c>
      <c r="M657" s="67" t="s">
        <v>45</v>
      </c>
      <c r="N657" s="67" t="s">
        <v>52</v>
      </c>
      <c r="O657" s="27" t="s">
        <v>1631</v>
      </c>
      <c r="P657" s="33" t="s">
        <v>23</v>
      </c>
      <c r="Q657" s="60">
        <f>IFERROR(IF(12 / VLOOKUP(Table2[[#This Row],[Rateizzazione]],TIPI_RATEIZZAZIONI,2,FALSE) &gt;=1,  IF(Table2[[#This Row],[Data attivazione]] = "","-",MONTH(Table2[[#This Row],[Data attivazione]])),"-"),"-")</f>
        <v>1</v>
      </c>
      <c r="R6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7" s="67" t="s">
        <v>2</v>
      </c>
      <c r="V657" s="62"/>
      <c r="W657" s="64">
        <v>42755</v>
      </c>
      <c r="X657" s="29">
        <f>DATE(YEAR(Table2[[#This Row],[Data attivazione]])+VLOOKUP(Table2[[#This Row],[Durata]],VALORE_DURATA,2,FALSE),MONTH(Table2[[#This Row],[Data attivazione]]),DAY(Table2[[#This Row],[Data attivazione]]))</f>
        <v>43120</v>
      </c>
      <c r="Y657" s="65"/>
      <c r="Z657" s="61"/>
      <c r="AA657" s="64" t="s">
        <v>85</v>
      </c>
      <c r="AB657" s="29" t="str">
        <f>IF(Table2[[#This Row],[Data ultimo versamento temp]]=0/1/1900,"-",Table2[[#This Row],[Data ultimo versamento temp]])</f>
        <v>-</v>
      </c>
      <c r="AC657" s="29">
        <f t="array" ref="AC657">MAX(IF(TableVersamenti[Polizza]=Table2[[#This Row],[Polizza]],TableVersamenti[Data prevista versamento],"-"))</f>
        <v>0</v>
      </c>
      <c r="AD657" s="62"/>
      <c r="AE657" s="106">
        <f>DATE(YEAR(Table2[[#This Row],[Data ultimo pagamento]]),MONTH(Table2[[#This Row],[Data ultimo pagamento]]), 1)</f>
        <v>42736</v>
      </c>
      <c r="AF657" s="106">
        <f>DATE(YEAR(Table2[[#This Row],[Data prossima scadenza]]),MONTH(Table2[[#This Row],[Data prossima scadenza]]), 1)</f>
        <v>43101</v>
      </c>
      <c r="AG657" s="33">
        <f>IFERROR(Table2[[#This Row],[Importo annuale]]*VLOOKUP(Table2[[#This Row],[Ramo]],RAMI_POLIZZA,2,FALSE),0)</f>
        <v>28.75</v>
      </c>
      <c r="AH657" s="65" t="s">
        <v>113</v>
      </c>
      <c r="AI657" s="63" t="str">
        <f>IFERROR(VLOOKUP(Table2[[#This Row],[Contraente]],Table1[[Nome/Ragione sociale]:[Checkbox selezionato]],2,FALSE),"-")</f>
        <v>BELGIOIOSO</v>
      </c>
      <c r="AJ657" s="63">
        <f>IFERROR(VLOOKUP(Table2[[#This Row],[Contraente]],Table1[[Nome/Ragione sociale]:[Checkbox selezionato]],3,FALSE),"-")</f>
        <v>3392140776</v>
      </c>
      <c r="AK657" s="63">
        <f>IFERROR(VLOOKUP(Table2[[#This Row],[Contraente]],Table1[[Nome/Ragione sociale]:[Checkbox selezionato]],4,FALSE),"-")</f>
        <v>0</v>
      </c>
      <c r="AL657" s="63" t="str">
        <f>IFERROR(VLOOKUP(Table2[[#This Row],[Contraente]],Table1[[Nome/Ragione sociale]:[Checkbox selezionato]],5,FALSE),"-")</f>
        <v>FILIPPO</v>
      </c>
      <c r="AM657" s="62">
        <f>IFERROR(VLOOKUP(Table2[[#This Row],[Contraente]],Table1[[Nome/Ragione sociale]:[Checkbox selezionato]],6,FALSE),"-")</f>
        <v>33109</v>
      </c>
      <c r="AN657" s="63" t="str">
        <f>IFERROR(VLOOKUP(Table2[[#This Row],[Contraente]],Table1[[Nome/Ragione sociale]:[Checkbox selezionato]],7,FALSE),"-")</f>
        <v>papies@libero.it</v>
      </c>
      <c r="AO657" s="63">
        <f>IFERROR(VLOOKUP(Table2[[#This Row],[Contraente]],Table1[[Nome/Ragione sociale]:[Checkbox selezionato]],8,FALSE),"-")</f>
        <v>0</v>
      </c>
      <c r="AP657" s="63">
        <f>IFERROR(VLOOKUP(Table2[[#This Row],[Contraente]],Table1[[Nome/Ragione sociale]:[Checkbox selezionato]],10,FALSE),"-")</f>
        <v>3392140776</v>
      </c>
      <c r="AQ657" s="63" t="str">
        <f>IFERROR(VLOOKUP(Table2[[#This Row],[Contraente]],Table1[[Nome/Ragione sociale]:[Checkbox selezionato]],11,FALSE),"-")</f>
        <v>SI</v>
      </c>
      <c r="AR657" s="63" t="str">
        <f>IFERROR(VLOOKUP(Table2[[#This Row],[Contraente]],Table1[[Nome/Ragione sociale]:[Checkbox selezionato]],12,FALSE),"-")</f>
        <v>SI</v>
      </c>
    </row>
    <row r="658" spans="1:44" ht="30" hidden="1" customHeight="1" x14ac:dyDescent="0.25">
      <c r="A658" s="60" t="str">
        <f>UPPER(LEFT(Table2[[#This Row],[Contraente]],1))</f>
        <v>M</v>
      </c>
      <c r="B658" s="60" t="s">
        <v>1634</v>
      </c>
      <c r="C658" s="81" t="s">
        <v>780</v>
      </c>
      <c r="D658" s="81" t="s">
        <v>37</v>
      </c>
      <c r="E658" s="86">
        <v>106434490</v>
      </c>
      <c r="F658" s="64">
        <v>42752</v>
      </c>
      <c r="G658" s="64">
        <f>IFERROR(CALCOLASCADENZA(Table2[[#This Row],[Data attivazione]],Table2[[#This Row],[Rateizzazione]],Table2[[#This Row],[Data ultimo pagamento]],Table2[[#This Row],[Data prossima scadenza manuale]]),"-")</f>
        <v>43120</v>
      </c>
      <c r="H658" s="67" t="s">
        <v>30</v>
      </c>
      <c r="I658" s="67" t="s">
        <v>113</v>
      </c>
      <c r="J658" s="33">
        <f>IFERROR(Table2[[#This Row],[Importo annuale]]/(12/VLOOKUP(Table2[[#This Row],[Rateizzazione]],TIPI_RATEIZZAZIONI,2,FALSE)),"-")</f>
        <v>250</v>
      </c>
      <c r="K658" s="88">
        <v>250</v>
      </c>
      <c r="L658" s="88">
        <v>250</v>
      </c>
      <c r="M658" s="67" t="s">
        <v>45</v>
      </c>
      <c r="N658" s="67" t="s">
        <v>52</v>
      </c>
      <c r="O658" s="27" t="s">
        <v>1631</v>
      </c>
      <c r="P658" s="33" t="s">
        <v>23</v>
      </c>
      <c r="Q658" s="60">
        <f>IFERROR(IF(12 / VLOOKUP(Table2[[#This Row],[Rateizzazione]],TIPI_RATEIZZAZIONI,2,FALSE) &gt;=1,  IF(Table2[[#This Row],[Data attivazione]] = "","-",MONTH(Table2[[#This Row],[Data attivazione]])),"-"),"-")</f>
        <v>1</v>
      </c>
      <c r="R6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8" s="67" t="s">
        <v>2</v>
      </c>
      <c r="V658" s="62"/>
      <c r="W658" s="64">
        <v>42755</v>
      </c>
      <c r="X658" s="29">
        <f>DATE(YEAR(Table2[[#This Row],[Data attivazione]])+VLOOKUP(Table2[[#This Row],[Durata]],VALORE_DURATA,2,FALSE),MONTH(Table2[[#This Row],[Data attivazione]]),DAY(Table2[[#This Row],[Data attivazione]]))</f>
        <v>43120</v>
      </c>
      <c r="Y658" s="65"/>
      <c r="Z658" s="61"/>
      <c r="AA658" s="64" t="s">
        <v>85</v>
      </c>
      <c r="AB658" s="29" t="str">
        <f>IF(Table2[[#This Row],[Data ultimo versamento temp]]=0/1/1900,"-",Table2[[#This Row],[Data ultimo versamento temp]])</f>
        <v>-</v>
      </c>
      <c r="AC658" s="29">
        <f t="array" ref="AC658">MAX(IF(TableVersamenti[Polizza]=Table2[[#This Row],[Polizza]],TableVersamenti[Data prevista versamento],"-"))</f>
        <v>0</v>
      </c>
      <c r="AD658" s="62"/>
      <c r="AE658" s="106">
        <f>DATE(YEAR(Table2[[#This Row],[Data ultimo pagamento]]),MONTH(Table2[[#This Row],[Data ultimo pagamento]]), 1)</f>
        <v>42736</v>
      </c>
      <c r="AF658" s="106">
        <f>DATE(YEAR(Table2[[#This Row],[Data prossima scadenza]]),MONTH(Table2[[#This Row],[Data prossima scadenza]]), 1)</f>
        <v>43101</v>
      </c>
      <c r="AG658" s="33">
        <f>IFERROR(Table2[[#This Row],[Importo annuale]]*VLOOKUP(Table2[[#This Row],[Ramo]],RAMI_POLIZZA,2,FALSE),0)</f>
        <v>28.75</v>
      </c>
      <c r="AH658" s="65" t="s">
        <v>113</v>
      </c>
      <c r="AI658" s="63" t="str">
        <f>IFERROR(VLOOKUP(Table2[[#This Row],[Contraente]],Table1[[Nome/Ragione sociale]:[Checkbox selezionato]],2,FALSE),"-")</f>
        <v>BELGIOIOSO</v>
      </c>
      <c r="AJ658" s="63">
        <f>IFERROR(VLOOKUP(Table2[[#This Row],[Contraente]],Table1[[Nome/Ragione sociale]:[Checkbox selezionato]],3,FALSE),"-")</f>
        <v>3392140776</v>
      </c>
      <c r="AK658" s="63">
        <f>IFERROR(VLOOKUP(Table2[[#This Row],[Contraente]],Table1[[Nome/Ragione sociale]:[Checkbox selezionato]],4,FALSE),"-")</f>
        <v>0</v>
      </c>
      <c r="AL658" s="63" t="str">
        <f>IFERROR(VLOOKUP(Table2[[#This Row],[Contraente]],Table1[[Nome/Ragione sociale]:[Checkbox selezionato]],5,FALSE),"-")</f>
        <v>FILIPPO</v>
      </c>
      <c r="AM658" s="62">
        <f>IFERROR(VLOOKUP(Table2[[#This Row],[Contraente]],Table1[[Nome/Ragione sociale]:[Checkbox selezionato]],6,FALSE),"-")</f>
        <v>33109</v>
      </c>
      <c r="AN658" s="63" t="str">
        <f>IFERROR(VLOOKUP(Table2[[#This Row],[Contraente]],Table1[[Nome/Ragione sociale]:[Checkbox selezionato]],7,FALSE),"-")</f>
        <v>papies@libero.it</v>
      </c>
      <c r="AO658" s="63">
        <f>IFERROR(VLOOKUP(Table2[[#This Row],[Contraente]],Table1[[Nome/Ragione sociale]:[Checkbox selezionato]],8,FALSE),"-")</f>
        <v>0</v>
      </c>
      <c r="AP658" s="63">
        <f>IFERROR(VLOOKUP(Table2[[#This Row],[Contraente]],Table1[[Nome/Ragione sociale]:[Checkbox selezionato]],10,FALSE),"-")</f>
        <v>3392140776</v>
      </c>
      <c r="AQ658" s="63" t="str">
        <f>IFERROR(VLOOKUP(Table2[[#This Row],[Contraente]],Table1[[Nome/Ragione sociale]:[Checkbox selezionato]],11,FALSE),"-")</f>
        <v>SI</v>
      </c>
      <c r="AR658" s="63" t="str">
        <f>IFERROR(VLOOKUP(Table2[[#This Row],[Contraente]],Table1[[Nome/Ragione sociale]:[Checkbox selezionato]],12,FALSE),"-")</f>
        <v>SI</v>
      </c>
    </row>
    <row r="659" spans="1:44" ht="30" hidden="1" customHeight="1" x14ac:dyDescent="0.25">
      <c r="A659" s="60" t="str">
        <f>UPPER(LEFT(Table2[[#This Row],[Contraente]],1))</f>
        <v>M</v>
      </c>
      <c r="B659" s="60" t="s">
        <v>1634</v>
      </c>
      <c r="C659" s="81" t="s">
        <v>780</v>
      </c>
      <c r="D659" s="81" t="s">
        <v>37</v>
      </c>
      <c r="E659" s="86">
        <v>1083225</v>
      </c>
      <c r="F659" s="64">
        <v>42752</v>
      </c>
      <c r="G659" s="64">
        <f>IFERROR(CALCOLASCADENZA(Table2[[#This Row],[Data attivazione]],Table2[[#This Row],[Rateizzazione]],Table2[[#This Row],[Data ultimo pagamento]],Table2[[#This Row],[Data prossima scadenza manuale]]),"-")</f>
        <v>43120</v>
      </c>
      <c r="H659" s="67" t="s">
        <v>32</v>
      </c>
      <c r="I659" s="67" t="s">
        <v>113</v>
      </c>
      <c r="J659" s="33">
        <f>IFERROR(Table2[[#This Row],[Importo annuale]]/(12/VLOOKUP(Table2[[#This Row],[Rateizzazione]],TIPI_RATEIZZAZIONI,2,FALSE)),"-")</f>
        <v>200</v>
      </c>
      <c r="K659" s="88">
        <v>200</v>
      </c>
      <c r="L659" s="88">
        <v>200</v>
      </c>
      <c r="M659" s="67" t="s">
        <v>45</v>
      </c>
      <c r="N659" s="67" t="s">
        <v>52</v>
      </c>
      <c r="O659" s="27" t="s">
        <v>1631</v>
      </c>
      <c r="P659" s="33" t="s">
        <v>23</v>
      </c>
      <c r="Q659" s="60">
        <f>IFERROR(IF(12 / VLOOKUP(Table2[[#This Row],[Rateizzazione]],TIPI_RATEIZZAZIONI,2,FALSE) &gt;=1,  IF(Table2[[#This Row],[Data attivazione]] = "","-",MONTH(Table2[[#This Row],[Data attivazione]])),"-"),"-")</f>
        <v>1</v>
      </c>
      <c r="R6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9" s="67" t="s">
        <v>2</v>
      </c>
      <c r="V659" s="62"/>
      <c r="W659" s="64">
        <v>42755</v>
      </c>
      <c r="X659" s="29">
        <f>DATE(YEAR(Table2[[#This Row],[Data attivazione]])+VLOOKUP(Table2[[#This Row],[Durata]],VALORE_DURATA,2,FALSE),MONTH(Table2[[#This Row],[Data attivazione]]),DAY(Table2[[#This Row],[Data attivazione]]))</f>
        <v>43120</v>
      </c>
      <c r="Y659" s="65"/>
      <c r="Z659" s="61"/>
      <c r="AA659" s="64" t="s">
        <v>85</v>
      </c>
      <c r="AB659" s="29" t="str">
        <f>IF(Table2[[#This Row],[Data ultimo versamento temp]]=0/1/1900,"-",Table2[[#This Row],[Data ultimo versamento temp]])</f>
        <v>-</v>
      </c>
      <c r="AC659" s="29">
        <f t="array" ref="AC659">MAX(IF(TableVersamenti[Polizza]=Table2[[#This Row],[Polizza]],TableVersamenti[Data prevista versamento],"-"))</f>
        <v>0</v>
      </c>
      <c r="AD659" s="62"/>
      <c r="AE659" s="106">
        <f>DATE(YEAR(Table2[[#This Row],[Data ultimo pagamento]]),MONTH(Table2[[#This Row],[Data ultimo pagamento]]), 1)</f>
        <v>42736</v>
      </c>
      <c r="AF659" s="106">
        <f>DATE(YEAR(Table2[[#This Row],[Data prossima scadenza]]),MONTH(Table2[[#This Row],[Data prossima scadenza]]), 1)</f>
        <v>43101</v>
      </c>
      <c r="AG659" s="33">
        <f>IFERROR(Table2[[#This Row],[Importo annuale]]*VLOOKUP(Table2[[#This Row],[Ramo]],RAMI_POLIZZA,2,FALSE),0)</f>
        <v>3</v>
      </c>
      <c r="AH659" s="65" t="s">
        <v>113</v>
      </c>
      <c r="AI659" s="63" t="str">
        <f>IFERROR(VLOOKUP(Table2[[#This Row],[Contraente]],Table1[[Nome/Ragione sociale]:[Checkbox selezionato]],2,FALSE),"-")</f>
        <v>BELGIOIOSO</v>
      </c>
      <c r="AJ659" s="63">
        <f>IFERROR(VLOOKUP(Table2[[#This Row],[Contraente]],Table1[[Nome/Ragione sociale]:[Checkbox selezionato]],3,FALSE),"-")</f>
        <v>3392140776</v>
      </c>
      <c r="AK659" s="63">
        <f>IFERROR(VLOOKUP(Table2[[#This Row],[Contraente]],Table1[[Nome/Ragione sociale]:[Checkbox selezionato]],4,FALSE),"-")</f>
        <v>0</v>
      </c>
      <c r="AL659" s="63" t="str">
        <f>IFERROR(VLOOKUP(Table2[[#This Row],[Contraente]],Table1[[Nome/Ragione sociale]:[Checkbox selezionato]],5,FALSE),"-")</f>
        <v>FILIPPO</v>
      </c>
      <c r="AM659" s="62">
        <f>IFERROR(VLOOKUP(Table2[[#This Row],[Contraente]],Table1[[Nome/Ragione sociale]:[Checkbox selezionato]],6,FALSE),"-")</f>
        <v>33109</v>
      </c>
      <c r="AN659" s="63" t="str">
        <f>IFERROR(VLOOKUP(Table2[[#This Row],[Contraente]],Table1[[Nome/Ragione sociale]:[Checkbox selezionato]],7,FALSE),"-")</f>
        <v>papies@libero.it</v>
      </c>
      <c r="AO659" s="63">
        <f>IFERROR(VLOOKUP(Table2[[#This Row],[Contraente]],Table1[[Nome/Ragione sociale]:[Checkbox selezionato]],8,FALSE),"-")</f>
        <v>0</v>
      </c>
      <c r="AP659" s="63">
        <f>IFERROR(VLOOKUP(Table2[[#This Row],[Contraente]],Table1[[Nome/Ragione sociale]:[Checkbox selezionato]],10,FALSE),"-")</f>
        <v>3392140776</v>
      </c>
      <c r="AQ659" s="63" t="str">
        <f>IFERROR(VLOOKUP(Table2[[#This Row],[Contraente]],Table1[[Nome/Ragione sociale]:[Checkbox selezionato]],11,FALSE),"-")</f>
        <v>SI</v>
      </c>
      <c r="AR659" s="63" t="str">
        <f>IFERROR(VLOOKUP(Table2[[#This Row],[Contraente]],Table1[[Nome/Ragione sociale]:[Checkbox selezionato]],12,FALSE),"-")</f>
        <v>SI</v>
      </c>
    </row>
    <row r="660" spans="1:44" ht="30" hidden="1" customHeight="1" x14ac:dyDescent="0.25">
      <c r="A660" s="60" t="str">
        <f>UPPER(LEFT(Table2[[#This Row],[Contraente]],1))</f>
        <v>M</v>
      </c>
      <c r="B660" s="60" t="s">
        <v>1634</v>
      </c>
      <c r="C660" s="81" t="s">
        <v>782</v>
      </c>
      <c r="D660" s="81" t="s">
        <v>37</v>
      </c>
      <c r="E660" s="86">
        <v>105916656</v>
      </c>
      <c r="F660" s="64">
        <v>42585</v>
      </c>
      <c r="G660" s="64">
        <f>IFERROR(CALCOLASCADENZA(Table2[[#This Row],[Data attivazione]],Table2[[#This Row],[Rateizzazione]],Table2[[#This Row],[Data ultimo pagamento]],Table2[[#This Row],[Data prossima scadenza manuale]]),"-")</f>
        <v>42972</v>
      </c>
      <c r="H660" s="67" t="s">
        <v>31</v>
      </c>
      <c r="I660" s="67" t="s">
        <v>1395</v>
      </c>
      <c r="J660" s="33">
        <f>IFERROR(Table2[[#This Row],[Importo annuale]]/(12/VLOOKUP(Table2[[#This Row],[Rateizzazione]],TIPI_RATEIZZAZIONI,2,FALSE)),"-")</f>
        <v>375</v>
      </c>
      <c r="K660" s="88"/>
      <c r="L660" s="88">
        <v>375</v>
      </c>
      <c r="M660" s="67" t="s">
        <v>43</v>
      </c>
      <c r="N660" s="67" t="s">
        <v>51</v>
      </c>
      <c r="O660" s="27" t="s">
        <v>1631</v>
      </c>
      <c r="P660" s="33" t="s">
        <v>23</v>
      </c>
      <c r="Q660" s="60">
        <f>IFERROR(IF(12 / VLOOKUP(Table2[[#This Row],[Rateizzazione]],TIPI_RATEIZZAZIONI,2,FALSE) &gt;=1,  IF(Table2[[#This Row],[Data attivazione]] = "","-",MONTH(Table2[[#This Row],[Data attivazione]])),"-"),"-")</f>
        <v>8</v>
      </c>
      <c r="R6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0" s="67" t="s">
        <v>2</v>
      </c>
      <c r="V660" s="62"/>
      <c r="W660" s="64">
        <v>42607</v>
      </c>
      <c r="X660" s="29">
        <f>DATE(YEAR(Table2[[#This Row],[Data attivazione]])+VLOOKUP(Table2[[#This Row],[Durata]],VALORE_DURATA,2,FALSE),MONTH(Table2[[#This Row],[Data attivazione]]),DAY(Table2[[#This Row],[Data attivazione]]))</f>
        <v>42972</v>
      </c>
      <c r="Y660" s="65"/>
      <c r="Z660" s="61"/>
      <c r="AA660" s="64" t="s">
        <v>85</v>
      </c>
      <c r="AB660" s="29" t="str">
        <f>IF(Table2[[#This Row],[Data ultimo versamento temp]]=0/1/1900,"-",Table2[[#This Row],[Data ultimo versamento temp]])</f>
        <v>-</v>
      </c>
      <c r="AC660" s="29">
        <f t="array" ref="AC660">MAX(IF(TableVersamenti[Polizza]=Table2[[#This Row],[Polizza]],TableVersamenti[Data prevista versamento],"-"))</f>
        <v>0</v>
      </c>
      <c r="AD660" s="62"/>
      <c r="AE660" s="106">
        <f>DATE(YEAR(Table2[[#This Row],[Data ultimo pagamento]]),MONTH(Table2[[#This Row],[Data ultimo pagamento]]), 1)</f>
        <v>42583</v>
      </c>
      <c r="AF660" s="106">
        <f>DATE(YEAR(Table2[[#This Row],[Data prossima scadenza]]),MONTH(Table2[[#This Row],[Data prossima scadenza]]), 1)</f>
        <v>42948</v>
      </c>
      <c r="AG660" s="33">
        <f>IFERROR(Table2[[#This Row],[Importo annuale]]*VLOOKUP(Table2[[#This Row],[Ramo]],RAMI_POLIZZA,2,FALSE),0)</f>
        <v>19.5</v>
      </c>
      <c r="AH660" s="65" t="s">
        <v>113</v>
      </c>
      <c r="AI660" s="63" t="str">
        <f>IFERROR(VLOOKUP(Table2[[#This Row],[Contraente]],Table1[[Nome/Ragione sociale]:[Checkbox selezionato]],2,FALSE),"-")</f>
        <v>CORTEOLONA</v>
      </c>
      <c r="AJ660" s="63">
        <f>IFERROR(VLOOKUP(Table2[[#This Row],[Contraente]],Table1[[Nome/Ragione sociale]:[Checkbox selezionato]],3,FALSE),"-")</f>
        <v>3313007456</v>
      </c>
      <c r="AK660" s="63">
        <f>IFERROR(VLOOKUP(Table2[[#This Row],[Contraente]],Table1[[Nome/Ragione sociale]:[Checkbox selezionato]],4,FALSE),"-")</f>
        <v>0</v>
      </c>
      <c r="AL660" s="63" t="str">
        <f>IFERROR(VLOOKUP(Table2[[#This Row],[Contraente]],Table1[[Nome/Ragione sociale]:[Checkbox selezionato]],5,FALSE),"-")</f>
        <v>ARISI</v>
      </c>
      <c r="AM660" s="62">
        <f>IFERROR(VLOOKUP(Table2[[#This Row],[Contraente]],Table1[[Nome/Ragione sociale]:[Checkbox selezionato]],6,FALSE),"-")</f>
        <v>22687</v>
      </c>
      <c r="AN660" s="63" t="str">
        <f>IFERROR(VLOOKUP(Table2[[#This Row],[Contraente]],Table1[[Nome/Ragione sociale]:[Checkbox selezionato]],7,FALSE),"-")</f>
        <v>papies@email.it</v>
      </c>
      <c r="AO660" s="63">
        <f>IFERROR(VLOOKUP(Table2[[#This Row],[Contraente]],Table1[[Nome/Ragione sociale]:[Checkbox selezionato]],8,FALSE),"-")</f>
        <v>0</v>
      </c>
      <c r="AP660" s="63">
        <f>IFERROR(VLOOKUP(Table2[[#This Row],[Contraente]],Table1[[Nome/Ragione sociale]:[Checkbox selezionato]],10,FALSE),"-")</f>
        <v>3313007456</v>
      </c>
      <c r="AQ660" s="63" t="str">
        <f>IFERROR(VLOOKUP(Table2[[#This Row],[Contraente]],Table1[[Nome/Ragione sociale]:[Checkbox selezionato]],11,FALSE),"-")</f>
        <v>SI</v>
      </c>
      <c r="AR660" s="63" t="str">
        <f>IFERROR(VLOOKUP(Table2[[#This Row],[Contraente]],Table1[[Nome/Ragione sociale]:[Checkbox selezionato]],12,FALSE),"-")</f>
        <v>SI</v>
      </c>
    </row>
    <row r="661" spans="1:44" ht="30" hidden="1" customHeight="1" x14ac:dyDescent="0.25">
      <c r="A661" s="60" t="str">
        <f>UPPER(LEFT(Table2[[#This Row],[Contraente]],1))</f>
        <v>M</v>
      </c>
      <c r="B661" s="60" t="s">
        <v>1634</v>
      </c>
      <c r="C661" s="81" t="s">
        <v>782</v>
      </c>
      <c r="D661" s="81" t="s">
        <v>38</v>
      </c>
      <c r="E661" s="86">
        <v>7000072810</v>
      </c>
      <c r="F661" s="64">
        <v>42585</v>
      </c>
      <c r="G661" s="64">
        <f>IFERROR(CALCOLASCADENZA(Table2[[#This Row],[Data attivazione]],Table2[[#This Row],[Rateizzazione]],Table2[[#This Row],[Data ultimo pagamento]],Table2[[#This Row],[Data prossima scadenza manuale]]),"-")</f>
        <v>42972</v>
      </c>
      <c r="H661" s="67" t="s">
        <v>30</v>
      </c>
      <c r="I661" s="67" t="s">
        <v>113</v>
      </c>
      <c r="J661" s="33">
        <f>IFERROR(Table2[[#This Row],[Importo annuale]]/(12/VLOOKUP(Table2[[#This Row],[Rateizzazione]],TIPI_RATEIZZAZIONI,2,FALSE)),"-")</f>
        <v>94</v>
      </c>
      <c r="K661" s="88"/>
      <c r="L661" s="88">
        <v>94</v>
      </c>
      <c r="M661" s="67" t="s">
        <v>43</v>
      </c>
      <c r="N661" s="67" t="s">
        <v>52</v>
      </c>
      <c r="O661" s="27" t="s">
        <v>1631</v>
      </c>
      <c r="P661" s="33" t="s">
        <v>23</v>
      </c>
      <c r="Q661" s="60">
        <f>IFERROR(IF(12 / VLOOKUP(Table2[[#This Row],[Rateizzazione]],TIPI_RATEIZZAZIONI,2,FALSE) &gt;=1,  IF(Table2[[#This Row],[Data attivazione]] = "","-",MONTH(Table2[[#This Row],[Data attivazione]])),"-"),"-")</f>
        <v>8</v>
      </c>
      <c r="R6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1" s="67" t="s">
        <v>2</v>
      </c>
      <c r="V661" s="62"/>
      <c r="W661" s="64">
        <v>42607</v>
      </c>
      <c r="X661" s="29">
        <f>DATE(YEAR(Table2[[#This Row],[Data attivazione]])+VLOOKUP(Table2[[#This Row],[Durata]],VALORE_DURATA,2,FALSE),MONTH(Table2[[#This Row],[Data attivazione]]),DAY(Table2[[#This Row],[Data attivazione]]))</f>
        <v>42972</v>
      </c>
      <c r="Y661" s="65"/>
      <c r="Z661" s="61"/>
      <c r="AA661" s="64" t="s">
        <v>85</v>
      </c>
      <c r="AB661" s="29" t="str">
        <f>IF(Table2[[#This Row],[Data ultimo versamento temp]]=0/1/1900,"-",Table2[[#This Row],[Data ultimo versamento temp]])</f>
        <v>-</v>
      </c>
      <c r="AC661" s="29">
        <f t="array" ref="AC661">MAX(IF(TableVersamenti[Polizza]=Table2[[#This Row],[Polizza]],TableVersamenti[Data prevista versamento],"-"))</f>
        <v>0</v>
      </c>
      <c r="AD661" s="62"/>
      <c r="AE661" s="106">
        <f>DATE(YEAR(Table2[[#This Row],[Data ultimo pagamento]]),MONTH(Table2[[#This Row],[Data ultimo pagamento]]), 1)</f>
        <v>42583</v>
      </c>
      <c r="AF661" s="106">
        <f>DATE(YEAR(Table2[[#This Row],[Data prossima scadenza]]),MONTH(Table2[[#This Row],[Data prossima scadenza]]), 1)</f>
        <v>42948</v>
      </c>
      <c r="AG661" s="33">
        <f>IFERROR(Table2[[#This Row],[Importo annuale]]*VLOOKUP(Table2[[#This Row],[Ramo]],RAMI_POLIZZA,2,FALSE),0)</f>
        <v>10.81</v>
      </c>
      <c r="AH661" s="65" t="s">
        <v>113</v>
      </c>
      <c r="AI661" s="63" t="str">
        <f>IFERROR(VLOOKUP(Table2[[#This Row],[Contraente]],Table1[[Nome/Ragione sociale]:[Checkbox selezionato]],2,FALSE),"-")</f>
        <v>CORTEOLONA</v>
      </c>
      <c r="AJ661" s="63">
        <f>IFERROR(VLOOKUP(Table2[[#This Row],[Contraente]],Table1[[Nome/Ragione sociale]:[Checkbox selezionato]],3,FALSE),"-")</f>
        <v>3313007456</v>
      </c>
      <c r="AK661" s="63">
        <f>IFERROR(VLOOKUP(Table2[[#This Row],[Contraente]],Table1[[Nome/Ragione sociale]:[Checkbox selezionato]],4,FALSE),"-")</f>
        <v>0</v>
      </c>
      <c r="AL661" s="63" t="str">
        <f>IFERROR(VLOOKUP(Table2[[#This Row],[Contraente]],Table1[[Nome/Ragione sociale]:[Checkbox selezionato]],5,FALSE),"-")</f>
        <v>ARISI</v>
      </c>
      <c r="AM661" s="62">
        <f>IFERROR(VLOOKUP(Table2[[#This Row],[Contraente]],Table1[[Nome/Ragione sociale]:[Checkbox selezionato]],6,FALSE),"-")</f>
        <v>22687</v>
      </c>
      <c r="AN661" s="63" t="str">
        <f>IFERROR(VLOOKUP(Table2[[#This Row],[Contraente]],Table1[[Nome/Ragione sociale]:[Checkbox selezionato]],7,FALSE),"-")</f>
        <v>papies@email.it</v>
      </c>
      <c r="AO661" s="63">
        <f>IFERROR(VLOOKUP(Table2[[#This Row],[Contraente]],Table1[[Nome/Ragione sociale]:[Checkbox selezionato]],8,FALSE),"-")</f>
        <v>0</v>
      </c>
      <c r="AP661" s="63">
        <f>IFERROR(VLOOKUP(Table2[[#This Row],[Contraente]],Table1[[Nome/Ragione sociale]:[Checkbox selezionato]],10,FALSE),"-")</f>
        <v>3313007456</v>
      </c>
      <c r="AQ661" s="63" t="str">
        <f>IFERROR(VLOOKUP(Table2[[#This Row],[Contraente]],Table1[[Nome/Ragione sociale]:[Checkbox selezionato]],11,FALSE),"-")</f>
        <v>SI</v>
      </c>
      <c r="AR661" s="63" t="str">
        <f>IFERROR(VLOOKUP(Table2[[#This Row],[Contraente]],Table1[[Nome/Ragione sociale]:[Checkbox selezionato]],12,FALSE),"-")</f>
        <v>SI</v>
      </c>
    </row>
    <row r="662" spans="1:44" ht="30" hidden="1" customHeight="1" x14ac:dyDescent="0.25">
      <c r="A662" s="60" t="str">
        <f>UPPER(LEFT(Table2[[#This Row],[Contraente]],1))</f>
        <v>M</v>
      </c>
      <c r="B662" s="60" t="s">
        <v>1634</v>
      </c>
      <c r="C662" s="81" t="s">
        <v>784</v>
      </c>
      <c r="D662" s="81" t="s">
        <v>37</v>
      </c>
      <c r="E662" s="86">
        <v>102687786</v>
      </c>
      <c r="F662" s="64">
        <v>42748</v>
      </c>
      <c r="G662" s="64">
        <f>IFERROR(CALCOLASCADENZA(Table2[[#This Row],[Data attivazione]],Table2[[#This Row],[Rateizzazione]],Table2[[#This Row],[Data ultimo pagamento]],Table2[[#This Row],[Data prossima scadenza manuale]]),"-")</f>
        <v>43079</v>
      </c>
      <c r="H662" s="67" t="s">
        <v>30</v>
      </c>
      <c r="I662" s="67" t="s">
        <v>113</v>
      </c>
      <c r="J662" s="33">
        <f>IFERROR(Table2[[#This Row],[Importo annuale]]/(12/VLOOKUP(Table2[[#This Row],[Rateizzazione]],TIPI_RATEIZZAZIONI,2,FALSE)),"-")</f>
        <v>121</v>
      </c>
      <c r="K662" s="88">
        <v>121</v>
      </c>
      <c r="L662" s="88">
        <v>121</v>
      </c>
      <c r="M662" s="67" t="s">
        <v>43</v>
      </c>
      <c r="N662" s="67" t="s">
        <v>51</v>
      </c>
      <c r="O662" s="27" t="s">
        <v>1631</v>
      </c>
      <c r="P662" s="33" t="s">
        <v>23</v>
      </c>
      <c r="Q662" s="60">
        <f>IFERROR(IF(12 / VLOOKUP(Table2[[#This Row],[Rateizzazione]],TIPI_RATEIZZAZIONI,2,FALSE) &gt;=1,  IF(Table2[[#This Row],[Data attivazione]] = "","-",MONTH(Table2[[#This Row],[Data attivazione]])),"-"),"-")</f>
        <v>12</v>
      </c>
      <c r="R6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2" s="67" t="s">
        <v>133</v>
      </c>
      <c r="V662" s="62"/>
      <c r="W662" s="64">
        <v>42714</v>
      </c>
      <c r="X662" s="29">
        <f>DATE(YEAR(Table2[[#This Row],[Data attivazione]])+VLOOKUP(Table2[[#This Row],[Durata]],VALORE_DURATA,2,FALSE),MONTH(Table2[[#This Row],[Data attivazione]]),DAY(Table2[[#This Row],[Data attivazione]]))</f>
        <v>43079</v>
      </c>
      <c r="Y662" s="65"/>
      <c r="Z662" s="61"/>
      <c r="AA662" s="64" t="s">
        <v>85</v>
      </c>
      <c r="AB662" s="29" t="str">
        <f>IF(Table2[[#This Row],[Data ultimo versamento temp]]=0/1/1900,"-",Table2[[#This Row],[Data ultimo versamento temp]])</f>
        <v>-</v>
      </c>
      <c r="AC662" s="29">
        <f t="array" ref="AC662">MAX(IF(TableVersamenti[Polizza]=Table2[[#This Row],[Polizza]],TableVersamenti[Data prevista versamento],"-"))</f>
        <v>0</v>
      </c>
      <c r="AD662" s="62"/>
      <c r="AE662" s="106">
        <f>DATE(YEAR(Table2[[#This Row],[Data ultimo pagamento]]),MONTH(Table2[[#This Row],[Data ultimo pagamento]]), 1)</f>
        <v>42736</v>
      </c>
      <c r="AF662" s="106">
        <f>DATE(YEAR(Table2[[#This Row],[Data prossima scadenza]]),MONTH(Table2[[#This Row],[Data prossima scadenza]]), 1)</f>
        <v>43070</v>
      </c>
      <c r="AG662" s="33">
        <f>IFERROR(Table2[[#This Row],[Importo annuale]]*VLOOKUP(Table2[[#This Row],[Ramo]],RAMI_POLIZZA,2,FALSE),0)</f>
        <v>13.915000000000001</v>
      </c>
      <c r="AH662" s="65" t="s">
        <v>113</v>
      </c>
      <c r="AI662" s="63" t="str">
        <f>IFERROR(VLOOKUP(Table2[[#This Row],[Contraente]],Table1[[Nome/Ragione sociale]:[Checkbox selezionato]],2,FALSE),"-")</f>
        <v>SPESSA PO</v>
      </c>
      <c r="AJ662" s="63">
        <f>IFERROR(VLOOKUP(Table2[[#This Row],[Contraente]],Table1[[Nome/Ragione sociale]:[Checkbox selezionato]],3,FALSE),"-")</f>
        <v>3881414438</v>
      </c>
      <c r="AK662" s="63">
        <f>IFERROR(VLOOKUP(Table2[[#This Row],[Contraente]],Table1[[Nome/Ragione sociale]:[Checkbox selezionato]],4,FALSE),"-")</f>
        <v>0</v>
      </c>
      <c r="AL662" s="63" t="str">
        <f>IFERROR(VLOOKUP(Table2[[#This Row],[Contraente]],Table1[[Nome/Ragione sociale]:[Checkbox selezionato]],5,FALSE),"-")</f>
        <v>VASILE</v>
      </c>
      <c r="AM662" s="62">
        <f>IFERROR(VLOOKUP(Table2[[#This Row],[Contraente]],Table1[[Nome/Ragione sociale]:[Checkbox selezionato]],6,FALSE),"-")</f>
        <v>31852</v>
      </c>
      <c r="AN662" s="63" t="str">
        <f>IFERROR(VLOOKUP(Table2[[#This Row],[Contraente]],Table1[[Nome/Ragione sociale]:[Checkbox selezionato]],7,FALSE),"-")</f>
        <v>papies@libero.it</v>
      </c>
      <c r="AO662" s="63">
        <f>IFERROR(VLOOKUP(Table2[[#This Row],[Contraente]],Table1[[Nome/Ragione sociale]:[Checkbox selezionato]],8,FALSE),"-")</f>
        <v>0</v>
      </c>
      <c r="AP662" s="63">
        <f>IFERROR(VLOOKUP(Table2[[#This Row],[Contraente]],Table1[[Nome/Ragione sociale]:[Checkbox selezionato]],10,FALSE),"-")</f>
        <v>3881414438</v>
      </c>
      <c r="AQ662" s="63" t="str">
        <f>IFERROR(VLOOKUP(Table2[[#This Row],[Contraente]],Table1[[Nome/Ragione sociale]:[Checkbox selezionato]],11,FALSE),"-")</f>
        <v>SI</v>
      </c>
      <c r="AR662" s="63" t="str">
        <f>IFERROR(VLOOKUP(Table2[[#This Row],[Contraente]],Table1[[Nome/Ragione sociale]:[Checkbox selezionato]],12,FALSE),"-")</f>
        <v>SI</v>
      </c>
    </row>
    <row r="663" spans="1:44" ht="30" hidden="1" customHeight="1" x14ac:dyDescent="0.25">
      <c r="A663" s="60" t="str">
        <f>UPPER(LEFT(Table2[[#This Row],[Contraente]],1))</f>
        <v>M</v>
      </c>
      <c r="B663" s="60" t="s">
        <v>1634</v>
      </c>
      <c r="C663" s="81" t="s">
        <v>566</v>
      </c>
      <c r="D663" s="81" t="s">
        <v>37</v>
      </c>
      <c r="E663" s="86">
        <v>103838964</v>
      </c>
      <c r="F663" s="64">
        <v>42732</v>
      </c>
      <c r="G663" s="64">
        <f>IFERROR(CALCOLASCADENZA(Table2[[#This Row],[Data attivazione]],Table2[[#This Row],[Rateizzazione]],Table2[[#This Row],[Data ultimo pagamento]],Table2[[#This Row],[Data prossima scadenza manuale]]),"-")</f>
        <v>43081</v>
      </c>
      <c r="H663" s="67" t="s">
        <v>30</v>
      </c>
      <c r="I663" s="67" t="s">
        <v>113</v>
      </c>
      <c r="J663" s="33">
        <f>IFERROR(Table2[[#This Row],[Importo annuale]]/(12/VLOOKUP(Table2[[#This Row],[Rateizzazione]],TIPI_RATEIZZAZIONI,2,FALSE)),"-")</f>
        <v>890</v>
      </c>
      <c r="K663" s="88"/>
      <c r="L663" s="88">
        <v>890</v>
      </c>
      <c r="M663" s="67" t="s">
        <v>44</v>
      </c>
      <c r="N663" s="67" t="s">
        <v>51</v>
      </c>
      <c r="O663" s="27" t="s">
        <v>1631</v>
      </c>
      <c r="P663" s="33" t="s">
        <v>23</v>
      </c>
      <c r="Q663" s="60">
        <f>IFERROR(IF(12 / VLOOKUP(Table2[[#This Row],[Rateizzazione]],TIPI_RATEIZZAZIONI,2,FALSE) &gt;=1,  IF(Table2[[#This Row],[Data attivazione]] = "","-",MONTH(Table2[[#This Row],[Data attivazione]])),"-"),"-")</f>
        <v>12</v>
      </c>
      <c r="R6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3" s="67" t="s">
        <v>2</v>
      </c>
      <c r="V663" s="62"/>
      <c r="W663" s="64">
        <v>42716</v>
      </c>
      <c r="X663" s="29">
        <f>DATE(YEAR(Table2[[#This Row],[Data attivazione]])+VLOOKUP(Table2[[#This Row],[Durata]],VALORE_DURATA,2,FALSE),MONTH(Table2[[#This Row],[Data attivazione]]),DAY(Table2[[#This Row],[Data attivazione]]))</f>
        <v>43081</v>
      </c>
      <c r="Y663" s="65"/>
      <c r="Z663" s="61"/>
      <c r="AA663" s="64" t="s">
        <v>85</v>
      </c>
      <c r="AB663" s="29" t="str">
        <f>IF(Table2[[#This Row],[Data ultimo versamento temp]]=0/1/1900,"-",Table2[[#This Row],[Data ultimo versamento temp]])</f>
        <v>-</v>
      </c>
      <c r="AC663" s="29">
        <f t="array" ref="AC663">MAX(IF(TableVersamenti[Polizza]=Table2[[#This Row],[Polizza]],TableVersamenti[Data prevista versamento],"-"))</f>
        <v>0</v>
      </c>
      <c r="AD663" s="62"/>
      <c r="AE663" s="106">
        <f>DATE(YEAR(Table2[[#This Row],[Data ultimo pagamento]]),MONTH(Table2[[#This Row],[Data ultimo pagamento]]), 1)</f>
        <v>42705</v>
      </c>
      <c r="AF663" s="106">
        <f>DATE(YEAR(Table2[[#This Row],[Data prossima scadenza]]),MONTH(Table2[[#This Row],[Data prossima scadenza]]), 1)</f>
        <v>43070</v>
      </c>
      <c r="AG663" s="33">
        <f>IFERROR(Table2[[#This Row],[Importo annuale]]*VLOOKUP(Table2[[#This Row],[Ramo]],RAMI_POLIZZA,2,FALSE),0)</f>
        <v>102.35000000000001</v>
      </c>
      <c r="AH663" s="65" t="s">
        <v>113</v>
      </c>
      <c r="AI663" s="63" t="str">
        <f>IFERROR(VLOOKUP(Table2[[#This Row],[Contraente]],Table1[[Nome/Ragione sociale]:[Checkbox selezionato]],2,FALSE),"-")</f>
        <v>LINAROLO</v>
      </c>
      <c r="AJ663" s="63">
        <f>IFERROR(VLOOKUP(Table2[[#This Row],[Contraente]],Table1[[Nome/Ragione sociale]:[Checkbox selezionato]],3,FALSE),"-")</f>
        <v>3400018106</v>
      </c>
      <c r="AK663" s="63" t="str">
        <f>IFERROR(VLOOKUP(Table2[[#This Row],[Contraente]],Table1[[Nome/Ragione sociale]:[Checkbox selezionato]],4,FALSE),"-")</f>
        <v>.0382485067</v>
      </c>
      <c r="AL663" s="63" t="str">
        <f>IFERROR(VLOOKUP(Table2[[#This Row],[Contraente]],Table1[[Nome/Ragione sociale]:[Checkbox selezionato]],5,FALSE),"-")</f>
        <v>DARIO</v>
      </c>
      <c r="AM663" s="62">
        <f>IFERROR(VLOOKUP(Table2[[#This Row],[Contraente]],Table1[[Nome/Ragione sociale]:[Checkbox selezionato]],6,FALSE),"-")</f>
        <v>23967</v>
      </c>
      <c r="AN663" s="63" t="str">
        <f>IFERROR(VLOOKUP(Table2[[#This Row],[Contraente]],Table1[[Nome/Ragione sociale]:[Checkbox selezionato]],7,FALSE),"-")</f>
        <v>papies@libero.it</v>
      </c>
      <c r="AO663" s="63">
        <f>IFERROR(VLOOKUP(Table2[[#This Row],[Contraente]],Table1[[Nome/Ragione sociale]:[Checkbox selezionato]],8,FALSE),"-")</f>
        <v>0</v>
      </c>
      <c r="AP663" s="63">
        <f>IFERROR(VLOOKUP(Table2[[#This Row],[Contraente]],Table1[[Nome/Ragione sociale]:[Checkbox selezionato]],10,FALSE),"-")</f>
        <v>3400018106</v>
      </c>
      <c r="AQ663" s="63" t="str">
        <f>IFERROR(VLOOKUP(Table2[[#This Row],[Contraente]],Table1[[Nome/Ragione sociale]:[Checkbox selezionato]],11,FALSE),"-")</f>
        <v>SI</v>
      </c>
      <c r="AR663" s="63" t="str">
        <f>IFERROR(VLOOKUP(Table2[[#This Row],[Contraente]],Table1[[Nome/Ragione sociale]:[Checkbox selezionato]],12,FALSE),"-")</f>
        <v>SI</v>
      </c>
    </row>
    <row r="664" spans="1:44" ht="30" hidden="1" customHeight="1" x14ac:dyDescent="0.25">
      <c r="A664" s="60" t="str">
        <f>UPPER(LEFT(Table2[[#This Row],[Contraente]],1))</f>
        <v>M</v>
      </c>
      <c r="B664" s="60" t="s">
        <v>1634</v>
      </c>
      <c r="C664" s="81" t="s">
        <v>566</v>
      </c>
      <c r="D664" s="81" t="s">
        <v>37</v>
      </c>
      <c r="E664" s="86">
        <v>1074840</v>
      </c>
      <c r="F664" s="64">
        <v>42662</v>
      </c>
      <c r="G664" s="64">
        <f>IFERROR(CALCOLASCADENZA(Table2[[#This Row],[Data attivazione]],Table2[[#This Row],[Rateizzazione]],Table2[[#This Row],[Data ultimo pagamento]],Table2[[#This Row],[Data prossima scadenza manuale]]),"-")</f>
        <v>42709</v>
      </c>
      <c r="H664" s="67" t="s">
        <v>32</v>
      </c>
      <c r="I664" s="67" t="s">
        <v>113</v>
      </c>
      <c r="J664" s="33">
        <f>IFERROR(Table2[[#This Row],[Importo annuale]]/(12/VLOOKUP(Table2[[#This Row],[Rateizzazione]],TIPI_RATEIZZAZIONI,2,FALSE)),"-")</f>
        <v>100</v>
      </c>
      <c r="K664" s="88"/>
      <c r="L664" s="88">
        <v>1200</v>
      </c>
      <c r="M664" s="67" t="s">
        <v>46</v>
      </c>
      <c r="N664" s="67" t="s">
        <v>52</v>
      </c>
      <c r="O664" s="27" t="s">
        <v>1631</v>
      </c>
      <c r="P664" s="33" t="s">
        <v>18</v>
      </c>
      <c r="Q664" s="60">
        <f>IFERROR(IF(12 / VLOOKUP(Table2[[#This Row],[Rateizzazione]],TIPI_RATEIZZAZIONI,2,FALSE) &gt;=1,  IF(Table2[[#This Row],[Data attivazione]] = "","-",MONTH(Table2[[#This Row],[Data attivazione]])),"-"),"-")</f>
        <v>11</v>
      </c>
      <c r="R6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6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66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664" s="67" t="s">
        <v>2</v>
      </c>
      <c r="V664" s="62"/>
      <c r="W664" s="64">
        <v>42313</v>
      </c>
      <c r="X664" s="29">
        <f>DATE(YEAR(Table2[[#This Row],[Data attivazione]])+VLOOKUP(Table2[[#This Row],[Durata]],VALORE_DURATA,2,FALSE),MONTH(Table2[[#This Row],[Data attivazione]]),DAY(Table2[[#This Row],[Data attivazione]]))</f>
        <v>42679</v>
      </c>
      <c r="Y664" s="65"/>
      <c r="Z664" s="61"/>
      <c r="AA664" s="64" t="s">
        <v>88</v>
      </c>
      <c r="AB664" s="29" t="str">
        <f>IF(Table2[[#This Row],[Data ultimo versamento temp]]=0/1/1900,"-",Table2[[#This Row],[Data ultimo versamento temp]])</f>
        <v>-</v>
      </c>
      <c r="AC664" s="29">
        <f t="array" ref="AC664">MAX(IF(TableVersamenti[Polizza]=Table2[[#This Row],[Polizza]],TableVersamenti[Data prevista versamento],"-"))</f>
        <v>0</v>
      </c>
      <c r="AD664" s="62"/>
      <c r="AE664" s="106">
        <f>DATE(YEAR(Table2[[#This Row],[Data ultimo pagamento]]),MONTH(Table2[[#This Row],[Data ultimo pagamento]]), 1)</f>
        <v>42644</v>
      </c>
      <c r="AF664" s="106">
        <f>DATE(YEAR(Table2[[#This Row],[Data prossima scadenza]]),MONTH(Table2[[#This Row],[Data prossima scadenza]]), 1)</f>
        <v>42705</v>
      </c>
      <c r="AG664" s="33">
        <f>IFERROR(Table2[[#This Row],[Importo annuale]]*VLOOKUP(Table2[[#This Row],[Ramo]],RAMI_POLIZZA,2,FALSE),0)</f>
        <v>18</v>
      </c>
      <c r="AH664" s="65" t="s">
        <v>113</v>
      </c>
      <c r="AI664" s="63" t="str">
        <f>IFERROR(VLOOKUP(Table2[[#This Row],[Contraente]],Table1[[Nome/Ragione sociale]:[Checkbox selezionato]],2,FALSE),"-")</f>
        <v>LINAROLO</v>
      </c>
      <c r="AJ664" s="63">
        <f>IFERROR(VLOOKUP(Table2[[#This Row],[Contraente]],Table1[[Nome/Ragione sociale]:[Checkbox selezionato]],3,FALSE),"-")</f>
        <v>3400018106</v>
      </c>
      <c r="AK664" s="63" t="str">
        <f>IFERROR(VLOOKUP(Table2[[#This Row],[Contraente]],Table1[[Nome/Ragione sociale]:[Checkbox selezionato]],4,FALSE),"-")</f>
        <v>.0382485067</v>
      </c>
      <c r="AL664" s="63" t="str">
        <f>IFERROR(VLOOKUP(Table2[[#This Row],[Contraente]],Table1[[Nome/Ragione sociale]:[Checkbox selezionato]],5,FALSE),"-")</f>
        <v>DARIO</v>
      </c>
      <c r="AM664" s="62">
        <f>IFERROR(VLOOKUP(Table2[[#This Row],[Contraente]],Table1[[Nome/Ragione sociale]:[Checkbox selezionato]],6,FALSE),"-")</f>
        <v>23967</v>
      </c>
      <c r="AN664" s="63" t="str">
        <f>IFERROR(VLOOKUP(Table2[[#This Row],[Contraente]],Table1[[Nome/Ragione sociale]:[Checkbox selezionato]],7,FALSE),"-")</f>
        <v>papies@libero.it</v>
      </c>
      <c r="AO664" s="63">
        <f>IFERROR(VLOOKUP(Table2[[#This Row],[Contraente]],Table1[[Nome/Ragione sociale]:[Checkbox selezionato]],8,FALSE),"-")</f>
        <v>0</v>
      </c>
      <c r="AP664" s="63">
        <f>IFERROR(VLOOKUP(Table2[[#This Row],[Contraente]],Table1[[Nome/Ragione sociale]:[Checkbox selezionato]],10,FALSE),"-")</f>
        <v>3400018106</v>
      </c>
      <c r="AQ664" s="63" t="str">
        <f>IFERROR(VLOOKUP(Table2[[#This Row],[Contraente]],Table1[[Nome/Ragione sociale]:[Checkbox selezionato]],11,FALSE),"-")</f>
        <v>SI</v>
      </c>
      <c r="AR664" s="63" t="str">
        <f>IFERROR(VLOOKUP(Table2[[#This Row],[Contraente]],Table1[[Nome/Ragione sociale]:[Checkbox selezionato]],12,FALSE),"-")</f>
        <v>SI</v>
      </c>
    </row>
    <row r="665" spans="1:44" ht="30" hidden="1" customHeight="1" x14ac:dyDescent="0.25">
      <c r="A665" s="60" t="str">
        <f>UPPER(LEFT(Table2[[#This Row],[Contraente]],1))</f>
        <v>M</v>
      </c>
      <c r="B665" s="60" t="s">
        <v>1634</v>
      </c>
      <c r="C665" s="81" t="s">
        <v>566</v>
      </c>
      <c r="D665" s="81" t="s">
        <v>37</v>
      </c>
      <c r="E665" s="86">
        <v>106754476</v>
      </c>
      <c r="F665" s="64">
        <v>42843</v>
      </c>
      <c r="G665" s="64">
        <f>IFERROR(CALCOLASCADENZA(Table2[[#This Row],[Data attivazione]],Table2[[#This Row],[Rateizzazione]],Table2[[#This Row],[Data ultimo pagamento]],Table2[[#This Row],[Data prossima scadenza manuale]]),"-")</f>
        <v>43026</v>
      </c>
      <c r="H665" s="67" t="s">
        <v>31</v>
      </c>
      <c r="I665" s="67" t="s">
        <v>1695</v>
      </c>
      <c r="J665" s="33">
        <f>IFERROR(Table2[[#This Row],[Importo annuale]]/(12/VLOOKUP(Table2[[#This Row],[Rateizzazione]],TIPI_RATEIZZAZIONI,2,FALSE)),"-")</f>
        <v>460</v>
      </c>
      <c r="K665" s="88">
        <v>460</v>
      </c>
      <c r="L665" s="88">
        <v>920</v>
      </c>
      <c r="M665" s="67" t="s">
        <v>44</v>
      </c>
      <c r="N665" s="67" t="s">
        <v>52</v>
      </c>
      <c r="O665" s="27" t="s">
        <v>1631</v>
      </c>
      <c r="P665" s="33" t="s">
        <v>22</v>
      </c>
      <c r="Q665" s="60">
        <f>IFERROR(IF(12 / VLOOKUP(Table2[[#This Row],[Rateizzazione]],TIPI_RATEIZZAZIONI,2,FALSE) &gt;=1,  IF(Table2[[#This Row],[Data attivazione]] = "","-",MONTH(Table2[[#This Row],[Data attivazione]])),"-"),"-")</f>
        <v>10</v>
      </c>
      <c r="R6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5" s="67" t="s">
        <v>2</v>
      </c>
      <c r="V665" s="62"/>
      <c r="W665" s="64">
        <v>42661</v>
      </c>
      <c r="X665" s="29">
        <f>DATE(YEAR(Table2[[#This Row],[Data attivazione]])+VLOOKUP(Table2[[#This Row],[Durata]],VALORE_DURATA,2,FALSE),MONTH(Table2[[#This Row],[Data attivazione]]),DAY(Table2[[#This Row],[Data attivazione]]))</f>
        <v>43026</v>
      </c>
      <c r="Y665" s="65"/>
      <c r="Z665" s="61"/>
      <c r="AA665" s="64" t="s">
        <v>85</v>
      </c>
      <c r="AB665" s="29" t="str">
        <f>IF(Table2[[#This Row],[Data ultimo versamento temp]]=0/1/1900,"-",Table2[[#This Row],[Data ultimo versamento temp]])</f>
        <v>-</v>
      </c>
      <c r="AC665" s="29">
        <f t="array" ref="AC665">MAX(IF(TableVersamenti[Polizza]=Table2[[#This Row],[Polizza]],TableVersamenti[Data prevista versamento],"-"))</f>
        <v>0</v>
      </c>
      <c r="AD665" s="62"/>
      <c r="AE665" s="106">
        <f>DATE(YEAR(Table2[[#This Row],[Data ultimo pagamento]]),MONTH(Table2[[#This Row],[Data ultimo pagamento]]), 1)</f>
        <v>42826</v>
      </c>
      <c r="AF665" s="106">
        <f>DATE(YEAR(Table2[[#This Row],[Data prossima scadenza]]),MONTH(Table2[[#This Row],[Data prossima scadenza]]), 1)</f>
        <v>43009</v>
      </c>
      <c r="AG665" s="33">
        <f>IFERROR(Table2[[#This Row],[Importo annuale]]*VLOOKUP(Table2[[#This Row],[Ramo]],RAMI_POLIZZA,2,FALSE),0)</f>
        <v>47.839999999999996</v>
      </c>
      <c r="AH665" s="65" t="s">
        <v>113</v>
      </c>
      <c r="AI665" s="63" t="str">
        <f>IFERROR(VLOOKUP(Table2[[#This Row],[Contraente]],Table1[[Nome/Ragione sociale]:[Checkbox selezionato]],2,FALSE),"-")</f>
        <v>LINAROLO</v>
      </c>
      <c r="AJ665" s="63">
        <f>IFERROR(VLOOKUP(Table2[[#This Row],[Contraente]],Table1[[Nome/Ragione sociale]:[Checkbox selezionato]],3,FALSE),"-")</f>
        <v>3400018106</v>
      </c>
      <c r="AK665" s="63" t="str">
        <f>IFERROR(VLOOKUP(Table2[[#This Row],[Contraente]],Table1[[Nome/Ragione sociale]:[Checkbox selezionato]],4,FALSE),"-")</f>
        <v>.0382485067</v>
      </c>
      <c r="AL665" s="63" t="str">
        <f>IFERROR(VLOOKUP(Table2[[#This Row],[Contraente]],Table1[[Nome/Ragione sociale]:[Checkbox selezionato]],5,FALSE),"-")</f>
        <v>DARIO</v>
      </c>
      <c r="AM665" s="62">
        <f>IFERROR(VLOOKUP(Table2[[#This Row],[Contraente]],Table1[[Nome/Ragione sociale]:[Checkbox selezionato]],6,FALSE),"-")</f>
        <v>23967</v>
      </c>
      <c r="AN665" s="63" t="str">
        <f>IFERROR(VLOOKUP(Table2[[#This Row],[Contraente]],Table1[[Nome/Ragione sociale]:[Checkbox selezionato]],7,FALSE),"-")</f>
        <v>papies@libero.it</v>
      </c>
      <c r="AO665" s="63">
        <f>IFERROR(VLOOKUP(Table2[[#This Row],[Contraente]],Table1[[Nome/Ragione sociale]:[Checkbox selezionato]],8,FALSE),"-")</f>
        <v>0</v>
      </c>
      <c r="AP665" s="63">
        <f>IFERROR(VLOOKUP(Table2[[#This Row],[Contraente]],Table1[[Nome/Ragione sociale]:[Checkbox selezionato]],10,FALSE),"-")</f>
        <v>3400018106</v>
      </c>
      <c r="AQ665" s="63" t="str">
        <f>IFERROR(VLOOKUP(Table2[[#This Row],[Contraente]],Table1[[Nome/Ragione sociale]:[Checkbox selezionato]],11,FALSE),"-")</f>
        <v>SI</v>
      </c>
      <c r="AR665" s="63" t="str">
        <f>IFERROR(VLOOKUP(Table2[[#This Row],[Contraente]],Table1[[Nome/Ragione sociale]:[Checkbox selezionato]],12,FALSE),"-")</f>
        <v>SI</v>
      </c>
    </row>
    <row r="666" spans="1:44" ht="30" hidden="1" customHeight="1" x14ac:dyDescent="0.25">
      <c r="A666" s="60" t="str">
        <f>UPPER(LEFT(Table2[[#This Row],[Contraente]],1))</f>
        <v>M</v>
      </c>
      <c r="B666" s="60" t="s">
        <v>1634</v>
      </c>
      <c r="C666" s="81" t="s">
        <v>566</v>
      </c>
      <c r="D666" s="81" t="s">
        <v>38</v>
      </c>
      <c r="E666" s="86">
        <v>7000093267</v>
      </c>
      <c r="F666" s="64">
        <v>42843</v>
      </c>
      <c r="G666" s="64">
        <f>IFERROR(CALCOLASCADENZA(Table2[[#This Row],[Data attivazione]],Table2[[#This Row],[Rateizzazione]],Table2[[#This Row],[Data ultimo pagamento]],Table2[[#This Row],[Data prossima scadenza manuale]]),"-")</f>
        <v>43026</v>
      </c>
      <c r="H666" s="67" t="s">
        <v>30</v>
      </c>
      <c r="I666" s="67" t="s">
        <v>113</v>
      </c>
      <c r="J666" s="33">
        <f>IFERROR(Table2[[#This Row],[Importo annuale]]/(12/VLOOKUP(Table2[[#This Row],[Rateizzazione]],TIPI_RATEIZZAZIONI,2,FALSE)),"-")</f>
        <v>60.5</v>
      </c>
      <c r="K666" s="88">
        <v>60.5</v>
      </c>
      <c r="L666" s="88">
        <v>121</v>
      </c>
      <c r="M666" s="67" t="s">
        <v>44</v>
      </c>
      <c r="N666" s="67" t="s">
        <v>52</v>
      </c>
      <c r="O666" s="27" t="s">
        <v>1631</v>
      </c>
      <c r="P666" s="33" t="s">
        <v>22</v>
      </c>
      <c r="Q666" s="60">
        <f>IFERROR(IF(12 / VLOOKUP(Table2[[#This Row],[Rateizzazione]],TIPI_RATEIZZAZIONI,2,FALSE) &gt;=1,  IF(Table2[[#This Row],[Data attivazione]] = "","-",MONTH(Table2[[#This Row],[Data attivazione]])),"-"),"-")</f>
        <v>10</v>
      </c>
      <c r="R6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6" s="67" t="s">
        <v>2</v>
      </c>
      <c r="V666" s="62"/>
      <c r="W666" s="64">
        <v>42661</v>
      </c>
      <c r="X666" s="29">
        <f>DATE(YEAR(Table2[[#This Row],[Data attivazione]])+VLOOKUP(Table2[[#This Row],[Durata]],VALORE_DURATA,2,FALSE),MONTH(Table2[[#This Row],[Data attivazione]]),DAY(Table2[[#This Row],[Data attivazione]]))</f>
        <v>43026</v>
      </c>
      <c r="Y666" s="65"/>
      <c r="Z666" s="61"/>
      <c r="AA666" s="64" t="s">
        <v>85</v>
      </c>
      <c r="AB666" s="29" t="str">
        <f>IF(Table2[[#This Row],[Data ultimo versamento temp]]=0/1/1900,"-",Table2[[#This Row],[Data ultimo versamento temp]])</f>
        <v>-</v>
      </c>
      <c r="AC666" s="29">
        <f t="array" ref="AC666">MAX(IF(TableVersamenti[Polizza]=Table2[[#This Row],[Polizza]],TableVersamenti[Data prevista versamento],"-"))</f>
        <v>0</v>
      </c>
      <c r="AD666" s="62"/>
      <c r="AE666" s="106">
        <f>DATE(YEAR(Table2[[#This Row],[Data ultimo pagamento]]),MONTH(Table2[[#This Row],[Data ultimo pagamento]]), 1)</f>
        <v>42826</v>
      </c>
      <c r="AF666" s="106">
        <f>DATE(YEAR(Table2[[#This Row],[Data prossima scadenza]]),MONTH(Table2[[#This Row],[Data prossima scadenza]]), 1)</f>
        <v>43009</v>
      </c>
      <c r="AG666" s="33">
        <f>IFERROR(Table2[[#This Row],[Importo annuale]]*VLOOKUP(Table2[[#This Row],[Ramo]],RAMI_POLIZZA,2,FALSE),0)</f>
        <v>13.915000000000001</v>
      </c>
      <c r="AH666" s="65" t="s">
        <v>113</v>
      </c>
      <c r="AI666" s="63" t="str">
        <f>IFERROR(VLOOKUP(Table2[[#This Row],[Contraente]],Table1[[Nome/Ragione sociale]:[Checkbox selezionato]],2,FALSE),"-")</f>
        <v>LINAROLO</v>
      </c>
      <c r="AJ666" s="63">
        <f>IFERROR(VLOOKUP(Table2[[#This Row],[Contraente]],Table1[[Nome/Ragione sociale]:[Checkbox selezionato]],3,FALSE),"-")</f>
        <v>3400018106</v>
      </c>
      <c r="AK666" s="63" t="str">
        <f>IFERROR(VLOOKUP(Table2[[#This Row],[Contraente]],Table1[[Nome/Ragione sociale]:[Checkbox selezionato]],4,FALSE),"-")</f>
        <v>.0382485067</v>
      </c>
      <c r="AL666" s="63" t="str">
        <f>IFERROR(VLOOKUP(Table2[[#This Row],[Contraente]],Table1[[Nome/Ragione sociale]:[Checkbox selezionato]],5,FALSE),"-")</f>
        <v>DARIO</v>
      </c>
      <c r="AM666" s="62">
        <f>IFERROR(VLOOKUP(Table2[[#This Row],[Contraente]],Table1[[Nome/Ragione sociale]:[Checkbox selezionato]],6,FALSE),"-")</f>
        <v>23967</v>
      </c>
      <c r="AN666" s="63" t="str">
        <f>IFERROR(VLOOKUP(Table2[[#This Row],[Contraente]],Table1[[Nome/Ragione sociale]:[Checkbox selezionato]],7,FALSE),"-")</f>
        <v>papies@libero.it</v>
      </c>
      <c r="AO666" s="63">
        <f>IFERROR(VLOOKUP(Table2[[#This Row],[Contraente]],Table1[[Nome/Ragione sociale]:[Checkbox selezionato]],8,FALSE),"-")</f>
        <v>0</v>
      </c>
      <c r="AP666" s="63">
        <f>IFERROR(VLOOKUP(Table2[[#This Row],[Contraente]],Table1[[Nome/Ragione sociale]:[Checkbox selezionato]],10,FALSE),"-")</f>
        <v>3400018106</v>
      </c>
      <c r="AQ666" s="63" t="str">
        <f>IFERROR(VLOOKUP(Table2[[#This Row],[Contraente]],Table1[[Nome/Ragione sociale]:[Checkbox selezionato]],11,FALSE),"-")</f>
        <v>SI</v>
      </c>
      <c r="AR666" s="63" t="str">
        <f>IFERROR(VLOOKUP(Table2[[#This Row],[Contraente]],Table1[[Nome/Ragione sociale]:[Checkbox selezionato]],12,FALSE),"-")</f>
        <v>SI</v>
      </c>
    </row>
    <row r="667" spans="1:44" ht="30" hidden="1" customHeight="1" x14ac:dyDescent="0.25">
      <c r="A667" s="60" t="str">
        <f>UPPER(LEFT(Table2[[#This Row],[Contraente]],1))</f>
        <v>M</v>
      </c>
      <c r="B667" s="60" t="s">
        <v>1634</v>
      </c>
      <c r="C667" s="81" t="s">
        <v>566</v>
      </c>
      <c r="D667" s="81" t="s">
        <v>37</v>
      </c>
      <c r="E667" s="86">
        <v>1074788</v>
      </c>
      <c r="F667" s="64">
        <v>42934</v>
      </c>
      <c r="G667" s="64">
        <f>IFERROR(CALCOLASCADENZA(Table2[[#This Row],[Data attivazione]],Table2[[#This Row],[Rateizzazione]],Table2[[#This Row],[Data ultimo pagamento]],Table2[[#This Row],[Data prossima scadenza manuale]]),"-")</f>
        <v>43105</v>
      </c>
      <c r="H667" s="67" t="s">
        <v>32</v>
      </c>
      <c r="I667" s="67" t="s">
        <v>113</v>
      </c>
      <c r="J667" s="33">
        <f>IFERROR(Table2[[#This Row],[Importo annuale]]/(12/VLOOKUP(Table2[[#This Row],[Rateizzazione]],TIPI_RATEIZZAZIONI,2,FALSE)),"-")</f>
        <v>102.49</v>
      </c>
      <c r="K667" s="88">
        <v>204.98</v>
      </c>
      <c r="L667" s="88">
        <v>204.98</v>
      </c>
      <c r="M667" s="67" t="s">
        <v>44</v>
      </c>
      <c r="N667" s="67" t="s">
        <v>51</v>
      </c>
      <c r="O667" s="27" t="s">
        <v>1631</v>
      </c>
      <c r="P667" s="33" t="s">
        <v>22</v>
      </c>
      <c r="Q667" s="60">
        <f>IFERROR(IF(12 / VLOOKUP(Table2[[#This Row],[Rateizzazione]],TIPI_RATEIZZAZIONI,2,FALSE) &gt;=1,  IF(Table2[[#This Row],[Data attivazione]] = "","-",MONTH(Table2[[#This Row],[Data attivazione]])),"-"),"-")</f>
        <v>7</v>
      </c>
      <c r="R6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7" s="67" t="s">
        <v>2</v>
      </c>
      <c r="V667" s="62"/>
      <c r="W667" s="64">
        <v>42921</v>
      </c>
      <c r="X667" s="29">
        <f>DATE(YEAR(Table2[[#This Row],[Data attivazione]])+VLOOKUP(Table2[[#This Row],[Durata]],VALORE_DURATA,2,FALSE),MONTH(Table2[[#This Row],[Data attivazione]]),DAY(Table2[[#This Row],[Data attivazione]]))</f>
        <v>43286</v>
      </c>
      <c r="Y667" s="65"/>
      <c r="Z667" s="61"/>
      <c r="AA667" s="64" t="s">
        <v>85</v>
      </c>
      <c r="AB667" s="29">
        <f>IF(Table2[[#This Row],[Data ultimo versamento temp]]=0/1/1900,"-",Table2[[#This Row],[Data ultimo versamento temp]])</f>
        <v>42937</v>
      </c>
      <c r="AC667" s="29">
        <f t="array" ref="AC667">MAX(IF(TableVersamenti[Polizza]=Table2[[#This Row],[Polizza]],TableVersamenti[Data prevista versamento],"-"))</f>
        <v>42937</v>
      </c>
      <c r="AD667" s="62"/>
      <c r="AE667" s="106">
        <f>DATE(YEAR(Table2[[#This Row],[Data ultimo pagamento]]),MONTH(Table2[[#This Row],[Data ultimo pagamento]]), 1)</f>
        <v>42917</v>
      </c>
      <c r="AF667" s="106">
        <f>DATE(YEAR(Table2[[#This Row],[Data prossima scadenza]]),MONTH(Table2[[#This Row],[Data prossima scadenza]]), 1)</f>
        <v>43101</v>
      </c>
      <c r="AG667" s="33">
        <f>IFERROR(Table2[[#This Row],[Importo annuale]]*VLOOKUP(Table2[[#This Row],[Ramo]],RAMI_POLIZZA,2,FALSE),0)</f>
        <v>3.0746999999999995</v>
      </c>
      <c r="AH667" s="65" t="s">
        <v>113</v>
      </c>
      <c r="AI667" s="63" t="str">
        <f>IFERROR(VLOOKUP(Table2[[#This Row],[Contraente]],Table1[[Nome/Ragione sociale]:[Checkbox selezionato]],2,FALSE),"-")</f>
        <v>LINAROLO</v>
      </c>
      <c r="AJ667" s="63">
        <f>IFERROR(VLOOKUP(Table2[[#This Row],[Contraente]],Table1[[Nome/Ragione sociale]:[Checkbox selezionato]],3,FALSE),"-")</f>
        <v>3400018106</v>
      </c>
      <c r="AK667" s="63" t="str">
        <f>IFERROR(VLOOKUP(Table2[[#This Row],[Contraente]],Table1[[Nome/Ragione sociale]:[Checkbox selezionato]],4,FALSE),"-")</f>
        <v>.0382485067</v>
      </c>
      <c r="AL667" s="63" t="str">
        <f>IFERROR(VLOOKUP(Table2[[#This Row],[Contraente]],Table1[[Nome/Ragione sociale]:[Checkbox selezionato]],5,FALSE),"-")</f>
        <v>DARIO</v>
      </c>
      <c r="AM667" s="62">
        <f>IFERROR(VLOOKUP(Table2[[#This Row],[Contraente]],Table1[[Nome/Ragione sociale]:[Checkbox selezionato]],6,FALSE),"-")</f>
        <v>23967</v>
      </c>
      <c r="AN667" s="63" t="str">
        <f>IFERROR(VLOOKUP(Table2[[#This Row],[Contraente]],Table1[[Nome/Ragione sociale]:[Checkbox selezionato]],7,FALSE),"-")</f>
        <v>papies@libero.it</v>
      </c>
      <c r="AO667" s="63">
        <f>IFERROR(VLOOKUP(Table2[[#This Row],[Contraente]],Table1[[Nome/Ragione sociale]:[Checkbox selezionato]],8,FALSE),"-")</f>
        <v>0</v>
      </c>
      <c r="AP667" s="63">
        <f>IFERROR(VLOOKUP(Table2[[#This Row],[Contraente]],Table1[[Nome/Ragione sociale]:[Checkbox selezionato]],10,FALSE),"-")</f>
        <v>3400018106</v>
      </c>
      <c r="AQ667" s="63" t="str">
        <f>IFERROR(VLOOKUP(Table2[[#This Row],[Contraente]],Table1[[Nome/Ragione sociale]:[Checkbox selezionato]],11,FALSE),"-")</f>
        <v>SI</v>
      </c>
      <c r="AR667" s="63" t="str">
        <f>IFERROR(VLOOKUP(Table2[[#This Row],[Contraente]],Table1[[Nome/Ragione sociale]:[Checkbox selezionato]],12,FALSE),"-")</f>
        <v>SI</v>
      </c>
    </row>
    <row r="668" spans="1:44" ht="30" hidden="1" customHeight="1" x14ac:dyDescent="0.25">
      <c r="A668" s="60" t="str">
        <f>UPPER(LEFT(Table2[[#This Row],[Contraente]],1))</f>
        <v>M</v>
      </c>
      <c r="B668" s="60" t="s">
        <v>1634</v>
      </c>
      <c r="C668" s="81" t="s">
        <v>566</v>
      </c>
      <c r="D668" s="81" t="s">
        <v>37</v>
      </c>
      <c r="E668" s="86">
        <v>106076675</v>
      </c>
      <c r="F668" s="64">
        <v>42901</v>
      </c>
      <c r="G668" s="64">
        <f>IFERROR(CALCOLASCADENZA(Table2[[#This Row],[Data attivazione]],Table2[[#This Row],[Rateizzazione]],Table2[[#This Row],[Data ultimo pagamento]],Table2[[#This Row],[Data prossima scadenza manuale]]),"-")</f>
        <v>43071</v>
      </c>
      <c r="H668" s="67" t="s">
        <v>31</v>
      </c>
      <c r="I668" s="67" t="s">
        <v>1396</v>
      </c>
      <c r="J668" s="33">
        <f>IFERROR(Table2[[#This Row],[Importo annuale]]/(12/VLOOKUP(Table2[[#This Row],[Rateizzazione]],TIPI_RATEIZZAZIONI,2,FALSE)),"-")</f>
        <v>256</v>
      </c>
      <c r="K668" s="88">
        <v>256</v>
      </c>
      <c r="L668" s="88">
        <v>512</v>
      </c>
      <c r="M668" s="67" t="s">
        <v>44</v>
      </c>
      <c r="N668" s="67" t="s">
        <v>51</v>
      </c>
      <c r="O668" s="27" t="s">
        <v>1631</v>
      </c>
      <c r="P668" s="33" t="s">
        <v>22</v>
      </c>
      <c r="Q668" s="60">
        <f>IFERROR(IF(12 / VLOOKUP(Table2[[#This Row],[Rateizzazione]],TIPI_RATEIZZAZIONI,2,FALSE) &gt;=1,  IF(Table2[[#This Row],[Data attivazione]] = "","-",MONTH(Table2[[#This Row],[Data attivazione]])),"-"),"-")</f>
        <v>12</v>
      </c>
      <c r="R6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8" s="67" t="s">
        <v>2</v>
      </c>
      <c r="V668" s="62"/>
      <c r="W668" s="64">
        <v>42706</v>
      </c>
      <c r="X668" s="29">
        <f>DATE(YEAR(Table2[[#This Row],[Data attivazione]])+VLOOKUP(Table2[[#This Row],[Durata]],VALORE_DURATA,2,FALSE),MONTH(Table2[[#This Row],[Data attivazione]]),DAY(Table2[[#This Row],[Data attivazione]]))</f>
        <v>43071</v>
      </c>
      <c r="Y668" s="65"/>
      <c r="Z668" s="61"/>
      <c r="AA668" s="64" t="s">
        <v>85</v>
      </c>
      <c r="AB668" s="29" t="str">
        <f>IF(Table2[[#This Row],[Data ultimo versamento temp]]=0/1/1900,"-",Table2[[#This Row],[Data ultimo versamento temp]])</f>
        <v>-</v>
      </c>
      <c r="AC668" s="29">
        <f t="array" ref="AC668">MAX(IF(TableVersamenti[Polizza]=Table2[[#This Row],[Polizza]],TableVersamenti[Data prevista versamento],"-"))</f>
        <v>0</v>
      </c>
      <c r="AD668" s="62"/>
      <c r="AE668" s="106">
        <f>DATE(YEAR(Table2[[#This Row],[Data ultimo pagamento]]),MONTH(Table2[[#This Row],[Data ultimo pagamento]]), 1)</f>
        <v>42887</v>
      </c>
      <c r="AF668" s="106">
        <f>DATE(YEAR(Table2[[#This Row],[Data prossima scadenza]]),MONTH(Table2[[#This Row],[Data prossima scadenza]]), 1)</f>
        <v>43070</v>
      </c>
      <c r="AG668" s="33">
        <f>IFERROR(Table2[[#This Row],[Importo annuale]]*VLOOKUP(Table2[[#This Row],[Ramo]],RAMI_POLIZZA,2,FALSE),0)</f>
        <v>26.623999999999999</v>
      </c>
      <c r="AH668" s="65" t="s">
        <v>113</v>
      </c>
      <c r="AI668" s="63" t="str">
        <f>IFERROR(VLOOKUP(Table2[[#This Row],[Contraente]],Table1[[Nome/Ragione sociale]:[Checkbox selezionato]],2,FALSE),"-")</f>
        <v>LINAROLO</v>
      </c>
      <c r="AJ668" s="63">
        <f>IFERROR(VLOOKUP(Table2[[#This Row],[Contraente]],Table1[[Nome/Ragione sociale]:[Checkbox selezionato]],3,FALSE),"-")</f>
        <v>3400018106</v>
      </c>
      <c r="AK668" s="63" t="str">
        <f>IFERROR(VLOOKUP(Table2[[#This Row],[Contraente]],Table1[[Nome/Ragione sociale]:[Checkbox selezionato]],4,FALSE),"-")</f>
        <v>.0382485067</v>
      </c>
      <c r="AL668" s="63" t="str">
        <f>IFERROR(VLOOKUP(Table2[[#This Row],[Contraente]],Table1[[Nome/Ragione sociale]:[Checkbox selezionato]],5,FALSE),"-")</f>
        <v>DARIO</v>
      </c>
      <c r="AM668" s="62">
        <f>IFERROR(VLOOKUP(Table2[[#This Row],[Contraente]],Table1[[Nome/Ragione sociale]:[Checkbox selezionato]],6,FALSE),"-")</f>
        <v>23967</v>
      </c>
      <c r="AN668" s="63" t="str">
        <f>IFERROR(VLOOKUP(Table2[[#This Row],[Contraente]],Table1[[Nome/Ragione sociale]:[Checkbox selezionato]],7,FALSE),"-")</f>
        <v>papies@libero.it</v>
      </c>
      <c r="AO668" s="63">
        <f>IFERROR(VLOOKUP(Table2[[#This Row],[Contraente]],Table1[[Nome/Ragione sociale]:[Checkbox selezionato]],8,FALSE),"-")</f>
        <v>0</v>
      </c>
      <c r="AP668" s="63">
        <f>IFERROR(VLOOKUP(Table2[[#This Row],[Contraente]],Table1[[Nome/Ragione sociale]:[Checkbox selezionato]],10,FALSE),"-")</f>
        <v>3400018106</v>
      </c>
      <c r="AQ668" s="63" t="str">
        <f>IFERROR(VLOOKUP(Table2[[#This Row],[Contraente]],Table1[[Nome/Ragione sociale]:[Checkbox selezionato]],11,FALSE),"-")</f>
        <v>SI</v>
      </c>
      <c r="AR668" s="63" t="str">
        <f>IFERROR(VLOOKUP(Table2[[#This Row],[Contraente]],Table1[[Nome/Ragione sociale]:[Checkbox selezionato]],12,FALSE),"-")</f>
        <v>SI</v>
      </c>
    </row>
    <row r="669" spans="1:44" ht="30" hidden="1" customHeight="1" x14ac:dyDescent="0.25">
      <c r="A669" s="60" t="str">
        <f>UPPER(LEFT(Table2[[#This Row],[Contraente]],1))</f>
        <v>M</v>
      </c>
      <c r="B669" s="60" t="s">
        <v>1634</v>
      </c>
      <c r="C669" s="81" t="s">
        <v>788</v>
      </c>
      <c r="D669" s="81" t="s">
        <v>37</v>
      </c>
      <c r="E669" s="86">
        <v>106615472</v>
      </c>
      <c r="F669" s="64">
        <v>42807</v>
      </c>
      <c r="G669" s="64">
        <f>IFERROR(CALCOLASCADENZA(Table2[[#This Row],[Data attivazione]],Table2[[#This Row],[Rateizzazione]],Table2[[#This Row],[Data ultimo pagamento]],Table2[[#This Row],[Data prossima scadenza manuale]]),"-")</f>
        <v>42929</v>
      </c>
      <c r="H669" s="67" t="s">
        <v>31</v>
      </c>
      <c r="I669" s="67" t="s">
        <v>1400</v>
      </c>
      <c r="J669" s="33">
        <f>IFERROR(Table2[[#This Row],[Importo annuale]]/(12/VLOOKUP(Table2[[#This Row],[Rateizzazione]],TIPI_RATEIZZAZIONI,2,FALSE)),"-")</f>
        <v>70</v>
      </c>
      <c r="K669" s="88">
        <v>70</v>
      </c>
      <c r="L669" s="88">
        <v>70</v>
      </c>
      <c r="M669" s="67" t="s">
        <v>43</v>
      </c>
      <c r="N669" s="67" t="s">
        <v>52</v>
      </c>
      <c r="O669" s="27" t="s">
        <v>1631</v>
      </c>
      <c r="P669" s="33" t="s">
        <v>23</v>
      </c>
      <c r="Q669" s="60">
        <f>IFERROR(IF(12 / VLOOKUP(Table2[[#This Row],[Rateizzazione]],TIPI_RATEIZZAZIONI,2,FALSE) &gt;=1,  IF(Table2[[#This Row],[Data attivazione]] = "","-",MONTH(Table2[[#This Row],[Data attivazione]])),"-"),"-")</f>
        <v>7</v>
      </c>
      <c r="R6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9" s="67" t="s">
        <v>2</v>
      </c>
      <c r="V669" s="62"/>
      <c r="W669" s="64">
        <v>42564</v>
      </c>
      <c r="X669" s="29">
        <f>DATE(YEAR(Table2[[#This Row],[Data attivazione]])+VLOOKUP(Table2[[#This Row],[Durata]],VALORE_DURATA,2,FALSE),MONTH(Table2[[#This Row],[Data attivazione]]),DAY(Table2[[#This Row],[Data attivazione]]))</f>
        <v>42929</v>
      </c>
      <c r="Y669" s="65"/>
      <c r="Z669" s="61"/>
      <c r="AA669" s="64" t="s">
        <v>85</v>
      </c>
      <c r="AB669" s="29" t="str">
        <f>IF(Table2[[#This Row],[Data ultimo versamento temp]]=0/1/1900,"-",Table2[[#This Row],[Data ultimo versamento temp]])</f>
        <v>-</v>
      </c>
      <c r="AC669" s="29">
        <f t="array" ref="AC669">MAX(IF(TableVersamenti[Polizza]=Table2[[#This Row],[Polizza]],TableVersamenti[Data prevista versamento],"-"))</f>
        <v>0</v>
      </c>
      <c r="AD669" s="62"/>
      <c r="AE669" s="106">
        <f>DATE(YEAR(Table2[[#This Row],[Data ultimo pagamento]]),MONTH(Table2[[#This Row],[Data ultimo pagamento]]), 1)</f>
        <v>42795</v>
      </c>
      <c r="AF669" s="106">
        <f>DATE(YEAR(Table2[[#This Row],[Data prossima scadenza]]),MONTH(Table2[[#This Row],[Data prossima scadenza]]), 1)</f>
        <v>42917</v>
      </c>
      <c r="AG669" s="33">
        <f>IFERROR(Table2[[#This Row],[Importo annuale]]*VLOOKUP(Table2[[#This Row],[Ramo]],RAMI_POLIZZA,2,FALSE),0)</f>
        <v>3.6399999999999997</v>
      </c>
      <c r="AH669" s="65" t="s">
        <v>113</v>
      </c>
      <c r="AI669" s="63" t="str">
        <f>IFERROR(VLOOKUP(Table2[[#This Row],[Contraente]],Table1[[Nome/Ragione sociale]:[Checkbox selezionato]],2,FALSE),"-")</f>
        <v>LINAROLO</v>
      </c>
      <c r="AJ669" s="63">
        <f>IFERROR(VLOOKUP(Table2[[#This Row],[Contraente]],Table1[[Nome/Ragione sociale]:[Checkbox selezionato]],3,FALSE),"-")</f>
        <v>3347719354</v>
      </c>
      <c r="AK669" s="63">
        <f>IFERROR(VLOOKUP(Table2[[#This Row],[Contraente]],Table1[[Nome/Ragione sociale]:[Checkbox selezionato]],4,FALSE),"-")</f>
        <v>0</v>
      </c>
      <c r="AL669" s="63" t="str">
        <f>IFERROR(VLOOKUP(Table2[[#This Row],[Contraente]],Table1[[Nome/Ragione sociale]:[Checkbox selezionato]],5,FALSE),"-")</f>
        <v>ANDREA</v>
      </c>
      <c r="AM669" s="62" t="str">
        <f>IFERROR(VLOOKUP(Table2[[#This Row],[Contraente]],Table1[[Nome/Ragione sociale]:[Checkbox selezionato]],6,FALSE),"-")</f>
        <v>-</v>
      </c>
      <c r="AN669" s="63" t="str">
        <f>IFERROR(VLOOKUP(Table2[[#This Row],[Contraente]],Table1[[Nome/Ragione sociale]:[Checkbox selezionato]],7,FALSE),"-")</f>
        <v>papies@email.it</v>
      </c>
      <c r="AO669" s="63">
        <f>IFERROR(VLOOKUP(Table2[[#This Row],[Contraente]],Table1[[Nome/Ragione sociale]:[Checkbox selezionato]],8,FALSE),"-")</f>
        <v>0</v>
      </c>
      <c r="AP669" s="63">
        <f>IFERROR(VLOOKUP(Table2[[#This Row],[Contraente]],Table1[[Nome/Ragione sociale]:[Checkbox selezionato]],10,FALSE),"-")</f>
        <v>3347719354</v>
      </c>
      <c r="AQ669" s="63" t="str">
        <f>IFERROR(VLOOKUP(Table2[[#This Row],[Contraente]],Table1[[Nome/Ragione sociale]:[Checkbox selezionato]],11,FALSE),"-")</f>
        <v>SI</v>
      </c>
      <c r="AR669" s="63" t="str">
        <f>IFERROR(VLOOKUP(Table2[[#This Row],[Contraente]],Table1[[Nome/Ragione sociale]:[Checkbox selezionato]],12,FALSE),"-")</f>
        <v>SI</v>
      </c>
    </row>
    <row r="670" spans="1:44" ht="30" hidden="1" customHeight="1" x14ac:dyDescent="0.25">
      <c r="A670" s="60" t="str">
        <f>UPPER(LEFT(Table2[[#This Row],[Contraente]],1))</f>
        <v>M</v>
      </c>
      <c r="B670" s="60" t="s">
        <v>1634</v>
      </c>
      <c r="C670" s="81" t="s">
        <v>140</v>
      </c>
      <c r="D670" s="81" t="s">
        <v>37</v>
      </c>
      <c r="E670" s="86">
        <v>104954247</v>
      </c>
      <c r="F670" s="64">
        <v>42667</v>
      </c>
      <c r="G670" s="64">
        <f>IFERROR(CALCOLASCADENZA(Table2[[#This Row],[Data attivazione]],Table2[[#This Row],[Rateizzazione]],Table2[[#This Row],[Data ultimo pagamento]],Table2[[#This Row],[Data prossima scadenza manuale]]),"-")</f>
        <v>43032</v>
      </c>
      <c r="H670" s="67" t="s">
        <v>31</v>
      </c>
      <c r="I670" s="67" t="s">
        <v>1397</v>
      </c>
      <c r="J670" s="33">
        <f>IFERROR(Table2[[#This Row],[Importo annuale]]/(12/VLOOKUP(Table2[[#This Row],[Rateizzazione]],TIPI_RATEIZZAZIONI,2,FALSE)),"-")</f>
        <v>130.33000000000001</v>
      </c>
      <c r="K670" s="88"/>
      <c r="L670" s="88">
        <v>130.33000000000001</v>
      </c>
      <c r="M670" s="67" t="s">
        <v>44</v>
      </c>
      <c r="N670" s="67" t="s">
        <v>51</v>
      </c>
      <c r="O670" s="27" t="s">
        <v>1631</v>
      </c>
      <c r="P670" s="33" t="s">
        <v>23</v>
      </c>
      <c r="Q670" s="60">
        <f>IFERROR(IF(12 / VLOOKUP(Table2[[#This Row],[Rateizzazione]],TIPI_RATEIZZAZIONI,2,FALSE) &gt;=1,  IF(Table2[[#This Row],[Data attivazione]] = "","-",MONTH(Table2[[#This Row],[Data attivazione]])),"-"),"-")</f>
        <v>10</v>
      </c>
      <c r="R6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0" s="67" t="s">
        <v>2</v>
      </c>
      <c r="V670" s="62"/>
      <c r="W670" s="64">
        <v>42667</v>
      </c>
      <c r="X670" s="29">
        <f>DATE(YEAR(Table2[[#This Row],[Data attivazione]])+VLOOKUP(Table2[[#This Row],[Durata]],VALORE_DURATA,2,FALSE),MONTH(Table2[[#This Row],[Data attivazione]]),DAY(Table2[[#This Row],[Data attivazione]]))</f>
        <v>43032</v>
      </c>
      <c r="Y670" s="65"/>
      <c r="Z670" s="61"/>
      <c r="AA670" s="64" t="s">
        <v>85</v>
      </c>
      <c r="AB670" s="29" t="str">
        <f>IF(Table2[[#This Row],[Data ultimo versamento temp]]=0/1/1900,"-",Table2[[#This Row],[Data ultimo versamento temp]])</f>
        <v>-</v>
      </c>
      <c r="AC670" s="29">
        <f t="array" ref="AC670">MAX(IF(TableVersamenti[Polizza]=Table2[[#This Row],[Polizza]],TableVersamenti[Data prevista versamento],"-"))</f>
        <v>0</v>
      </c>
      <c r="AD670" s="62"/>
      <c r="AE670" s="106">
        <f>DATE(YEAR(Table2[[#This Row],[Data ultimo pagamento]]),MONTH(Table2[[#This Row],[Data ultimo pagamento]]), 1)</f>
        <v>42644</v>
      </c>
      <c r="AF670" s="106">
        <f>DATE(YEAR(Table2[[#This Row],[Data prossima scadenza]]),MONTH(Table2[[#This Row],[Data prossima scadenza]]), 1)</f>
        <v>43009</v>
      </c>
      <c r="AG670" s="33">
        <f>IFERROR(Table2[[#This Row],[Importo annuale]]*VLOOKUP(Table2[[#This Row],[Ramo]],RAMI_POLIZZA,2,FALSE),0)</f>
        <v>6.7771600000000003</v>
      </c>
      <c r="AH670" s="65" t="s">
        <v>113</v>
      </c>
      <c r="AI670" s="63" t="str">
        <f>IFERROR(VLOOKUP(Table2[[#This Row],[Contraente]],Table1[[Nome/Ragione sociale]:[Checkbox selezionato]],2,FALSE),"-")</f>
        <v>LINAROLO</v>
      </c>
      <c r="AJ670" s="63">
        <f>IFERROR(VLOOKUP(Table2[[#This Row],[Contraente]],Table1[[Nome/Ragione sociale]:[Checkbox selezionato]],3,FALSE),"-")</f>
        <v>3356714388</v>
      </c>
      <c r="AK670" s="63">
        <f>IFERROR(VLOOKUP(Table2[[#This Row],[Contraente]],Table1[[Nome/Ragione sociale]:[Checkbox selezionato]],4,FALSE),"-")</f>
        <v>0</v>
      </c>
      <c r="AL670" s="63" t="str">
        <f>IFERROR(VLOOKUP(Table2[[#This Row],[Contraente]],Table1[[Nome/Ragione sociale]:[Checkbox selezionato]],5,FALSE),"-")</f>
        <v>PASUALE</v>
      </c>
      <c r="AM670" s="62">
        <f>IFERROR(VLOOKUP(Table2[[#This Row],[Contraente]],Table1[[Nome/Ragione sociale]:[Checkbox selezionato]],6,FALSE),"-")</f>
        <v>24081</v>
      </c>
      <c r="AN670" s="63" t="str">
        <f>IFERROR(VLOOKUP(Table2[[#This Row],[Contraente]],Table1[[Nome/Ragione sociale]:[Checkbox selezionato]],7,FALSE),"-")</f>
        <v>papies@libero.it</v>
      </c>
      <c r="AO670" s="63">
        <f>IFERROR(VLOOKUP(Table2[[#This Row],[Contraente]],Table1[[Nome/Ragione sociale]:[Checkbox selezionato]],8,FALSE),"-")</f>
        <v>0</v>
      </c>
      <c r="AP670" s="63">
        <f>IFERROR(VLOOKUP(Table2[[#This Row],[Contraente]],Table1[[Nome/Ragione sociale]:[Checkbox selezionato]],10,FALSE),"-")</f>
        <v>3356714388</v>
      </c>
      <c r="AQ670" s="63" t="str">
        <f>IFERROR(VLOOKUP(Table2[[#This Row],[Contraente]],Table1[[Nome/Ragione sociale]:[Checkbox selezionato]],11,FALSE),"-")</f>
        <v>SI</v>
      </c>
      <c r="AR670" s="63" t="str">
        <f>IFERROR(VLOOKUP(Table2[[#This Row],[Contraente]],Table1[[Nome/Ragione sociale]:[Checkbox selezionato]],12,FALSE),"-")</f>
        <v>SI</v>
      </c>
    </row>
    <row r="671" spans="1:44" ht="30" hidden="1" customHeight="1" x14ac:dyDescent="0.25">
      <c r="A671" s="60" t="str">
        <f>UPPER(LEFT(Table2[[#This Row],[Contraente]],1))</f>
        <v>M</v>
      </c>
      <c r="B671" s="60" t="s">
        <v>1634</v>
      </c>
      <c r="C671" s="81" t="s">
        <v>140</v>
      </c>
      <c r="D671" s="81" t="s">
        <v>37</v>
      </c>
      <c r="E671" s="86">
        <v>105645945</v>
      </c>
      <c r="F671" s="64">
        <v>42516</v>
      </c>
      <c r="G671" s="64">
        <f>IFERROR(CALCOLASCADENZA(Table2[[#This Row],[Data attivazione]],Table2[[#This Row],[Rateizzazione]],Table2[[#This Row],[Data ultimo pagamento]],Table2[[#This Row],[Data prossima scadenza manuale]]),"-")</f>
        <v>42882</v>
      </c>
      <c r="H671" s="67" t="s">
        <v>31</v>
      </c>
      <c r="I671" s="67" t="s">
        <v>1399</v>
      </c>
      <c r="J671" s="33">
        <f>IFERROR(Table2[[#This Row],[Importo annuale]]/(12/VLOOKUP(Table2[[#This Row],[Rateizzazione]],TIPI_RATEIZZAZIONI,2,FALSE)),"-")</f>
        <v>573</v>
      </c>
      <c r="K671" s="88"/>
      <c r="L671" s="88">
        <v>573</v>
      </c>
      <c r="M671" s="67" t="s">
        <v>43</v>
      </c>
      <c r="N671" s="67" t="s">
        <v>51</v>
      </c>
      <c r="O671" s="27" t="s">
        <v>1631</v>
      </c>
      <c r="P671" s="33" t="s">
        <v>23</v>
      </c>
      <c r="Q671" s="60">
        <f>IFERROR(IF(12 / VLOOKUP(Table2[[#This Row],[Rateizzazione]],TIPI_RATEIZZAZIONI,2,FALSE) &gt;=1,  IF(Table2[[#This Row],[Data attivazione]] = "","-",MONTH(Table2[[#This Row],[Data attivazione]])),"-"),"-")</f>
        <v>5</v>
      </c>
      <c r="R6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1" s="67" t="s">
        <v>2</v>
      </c>
      <c r="V671" s="62"/>
      <c r="W671" s="64">
        <v>42517</v>
      </c>
      <c r="X671" s="29">
        <f>DATE(YEAR(Table2[[#This Row],[Data attivazione]])+VLOOKUP(Table2[[#This Row],[Durata]],VALORE_DURATA,2,FALSE),MONTH(Table2[[#This Row],[Data attivazione]]),DAY(Table2[[#This Row],[Data attivazione]]))</f>
        <v>42882</v>
      </c>
      <c r="Y671" s="65"/>
      <c r="Z671" s="61"/>
      <c r="AA671" s="64" t="s">
        <v>88</v>
      </c>
      <c r="AB671" s="29" t="str">
        <f>IF(Table2[[#This Row],[Data ultimo versamento temp]]=0/1/1900,"-",Table2[[#This Row],[Data ultimo versamento temp]])</f>
        <v>-</v>
      </c>
      <c r="AC671" s="29">
        <f t="array" ref="AC671">MAX(IF(TableVersamenti[Polizza]=Table2[[#This Row],[Polizza]],TableVersamenti[Data prevista versamento],"-"))</f>
        <v>0</v>
      </c>
      <c r="AD671" s="62"/>
      <c r="AE671" s="106">
        <f>DATE(YEAR(Table2[[#This Row],[Data ultimo pagamento]]),MONTH(Table2[[#This Row],[Data ultimo pagamento]]), 1)</f>
        <v>42491</v>
      </c>
      <c r="AF671" s="106">
        <f>DATE(YEAR(Table2[[#This Row],[Data prossima scadenza]]),MONTH(Table2[[#This Row],[Data prossima scadenza]]), 1)</f>
        <v>42856</v>
      </c>
      <c r="AG671" s="33">
        <f>IFERROR(Table2[[#This Row],[Importo annuale]]*VLOOKUP(Table2[[#This Row],[Ramo]],RAMI_POLIZZA,2,FALSE),0)</f>
        <v>29.795999999999999</v>
      </c>
      <c r="AH671" s="65" t="s">
        <v>113</v>
      </c>
      <c r="AI671" s="63" t="str">
        <f>IFERROR(VLOOKUP(Table2[[#This Row],[Contraente]],Table1[[Nome/Ragione sociale]:[Checkbox selezionato]],2,FALSE),"-")</f>
        <v>LINAROLO</v>
      </c>
      <c r="AJ671" s="63">
        <f>IFERROR(VLOOKUP(Table2[[#This Row],[Contraente]],Table1[[Nome/Ragione sociale]:[Checkbox selezionato]],3,FALSE),"-")</f>
        <v>3356714388</v>
      </c>
      <c r="AK671" s="63">
        <f>IFERROR(VLOOKUP(Table2[[#This Row],[Contraente]],Table1[[Nome/Ragione sociale]:[Checkbox selezionato]],4,FALSE),"-")</f>
        <v>0</v>
      </c>
      <c r="AL671" s="63" t="str">
        <f>IFERROR(VLOOKUP(Table2[[#This Row],[Contraente]],Table1[[Nome/Ragione sociale]:[Checkbox selezionato]],5,FALSE),"-")</f>
        <v>PASUALE</v>
      </c>
      <c r="AM671" s="62">
        <f>IFERROR(VLOOKUP(Table2[[#This Row],[Contraente]],Table1[[Nome/Ragione sociale]:[Checkbox selezionato]],6,FALSE),"-")</f>
        <v>24081</v>
      </c>
      <c r="AN671" s="63" t="str">
        <f>IFERROR(VLOOKUP(Table2[[#This Row],[Contraente]],Table1[[Nome/Ragione sociale]:[Checkbox selezionato]],7,FALSE),"-")</f>
        <v>papies@libero.it</v>
      </c>
      <c r="AO671" s="63">
        <f>IFERROR(VLOOKUP(Table2[[#This Row],[Contraente]],Table1[[Nome/Ragione sociale]:[Checkbox selezionato]],8,FALSE),"-")</f>
        <v>0</v>
      </c>
      <c r="AP671" s="63">
        <f>IFERROR(VLOOKUP(Table2[[#This Row],[Contraente]],Table1[[Nome/Ragione sociale]:[Checkbox selezionato]],10,FALSE),"-")</f>
        <v>3356714388</v>
      </c>
      <c r="AQ671" s="63" t="str">
        <f>IFERROR(VLOOKUP(Table2[[#This Row],[Contraente]],Table1[[Nome/Ragione sociale]:[Checkbox selezionato]],11,FALSE),"-")</f>
        <v>SI</v>
      </c>
      <c r="AR671" s="63" t="str">
        <f>IFERROR(VLOOKUP(Table2[[#This Row],[Contraente]],Table1[[Nome/Ragione sociale]:[Checkbox selezionato]],12,FALSE),"-")</f>
        <v>SI</v>
      </c>
    </row>
    <row r="672" spans="1:44" ht="30" hidden="1" customHeight="1" x14ac:dyDescent="0.25">
      <c r="A672" s="60" t="str">
        <f>UPPER(LEFT(Table2[[#This Row],[Contraente]],1))</f>
        <v>M</v>
      </c>
      <c r="B672" s="60" t="s">
        <v>1634</v>
      </c>
      <c r="C672" s="81" t="s">
        <v>140</v>
      </c>
      <c r="D672" s="81" t="s">
        <v>37</v>
      </c>
      <c r="E672" s="86">
        <v>104595299</v>
      </c>
      <c r="F672" s="64">
        <v>42300</v>
      </c>
      <c r="G672" s="64">
        <f>IFERROR(CALCOLASCADENZA(Table2[[#This Row],[Data attivazione]],Table2[[#This Row],[Rateizzazione]],Table2[[#This Row],[Data ultimo pagamento]],Table2[[#This Row],[Data prossima scadenza manuale]]),"-")</f>
        <v>42300</v>
      </c>
      <c r="H672" s="67" t="s">
        <v>31</v>
      </c>
      <c r="I672" s="67" t="s">
        <v>1398</v>
      </c>
      <c r="J672" s="33">
        <v>-113.31</v>
      </c>
      <c r="K672" s="88"/>
      <c r="L672" s="88">
        <v>0</v>
      </c>
      <c r="M672" s="67" t="s">
        <v>43</v>
      </c>
      <c r="N672" s="67" t="s">
        <v>51</v>
      </c>
      <c r="O672" s="27" t="s">
        <v>1631</v>
      </c>
      <c r="P672" s="33" t="s">
        <v>24</v>
      </c>
      <c r="Q6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2" s="67" t="s">
        <v>2</v>
      </c>
      <c r="V672" s="62"/>
      <c r="W672" s="64">
        <v>693597</v>
      </c>
      <c r="X672" s="29">
        <f>DATE(YEAR(Table2[[#This Row],[Data attivazione]])+VLOOKUP(Table2[[#This Row],[Durata]],VALORE_DURATA,2,FALSE),MONTH(Table2[[#This Row],[Data attivazione]]),DAY(Table2[[#This Row],[Data attivazione]]))</f>
        <v>693962</v>
      </c>
      <c r="Y672" s="65"/>
      <c r="Z672" s="61"/>
      <c r="AA672" s="64" t="s">
        <v>88</v>
      </c>
      <c r="AB672" s="29" t="str">
        <f>IF(Table2[[#This Row],[Data ultimo versamento temp]]=0/1/1900,"-",Table2[[#This Row],[Data ultimo versamento temp]])</f>
        <v>-</v>
      </c>
      <c r="AC672" s="29">
        <f t="array" ref="AC672">MAX(IF(TableVersamenti[Polizza]=Table2[[#This Row],[Polizza]],TableVersamenti[Data prevista versamento],"-"))</f>
        <v>0</v>
      </c>
      <c r="AD672" s="62"/>
      <c r="AE672" s="106">
        <f>DATE(YEAR(Table2[[#This Row],[Data ultimo pagamento]]),MONTH(Table2[[#This Row],[Data ultimo pagamento]]), 1)</f>
        <v>42278</v>
      </c>
      <c r="AF672" s="106">
        <f>DATE(YEAR(Table2[[#This Row],[Data prossima scadenza]]),MONTH(Table2[[#This Row],[Data prossima scadenza]]), 1)</f>
        <v>42278</v>
      </c>
      <c r="AG672" s="33">
        <f>IFERROR(Table2[[#This Row],[Importo annuale]]*VLOOKUP(Table2[[#This Row],[Ramo]],RAMI_POLIZZA,2,FALSE),0)</f>
        <v>0</v>
      </c>
      <c r="AH672" s="65" t="s">
        <v>113</v>
      </c>
      <c r="AI672" s="63" t="str">
        <f>IFERROR(VLOOKUP(Table2[[#This Row],[Contraente]],Table1[[Nome/Ragione sociale]:[Checkbox selezionato]],2,FALSE),"-")</f>
        <v>LINAROLO</v>
      </c>
      <c r="AJ672" s="63">
        <f>IFERROR(VLOOKUP(Table2[[#This Row],[Contraente]],Table1[[Nome/Ragione sociale]:[Checkbox selezionato]],3,FALSE),"-")</f>
        <v>3356714388</v>
      </c>
      <c r="AK672" s="63">
        <f>IFERROR(VLOOKUP(Table2[[#This Row],[Contraente]],Table1[[Nome/Ragione sociale]:[Checkbox selezionato]],4,FALSE),"-")</f>
        <v>0</v>
      </c>
      <c r="AL672" s="63" t="str">
        <f>IFERROR(VLOOKUP(Table2[[#This Row],[Contraente]],Table1[[Nome/Ragione sociale]:[Checkbox selezionato]],5,FALSE),"-")</f>
        <v>PASUALE</v>
      </c>
      <c r="AM672" s="62">
        <f>IFERROR(VLOOKUP(Table2[[#This Row],[Contraente]],Table1[[Nome/Ragione sociale]:[Checkbox selezionato]],6,FALSE),"-")</f>
        <v>24081</v>
      </c>
      <c r="AN672" s="63" t="str">
        <f>IFERROR(VLOOKUP(Table2[[#This Row],[Contraente]],Table1[[Nome/Ragione sociale]:[Checkbox selezionato]],7,FALSE),"-")</f>
        <v>papies@libero.it</v>
      </c>
      <c r="AO672" s="63">
        <f>IFERROR(VLOOKUP(Table2[[#This Row],[Contraente]],Table1[[Nome/Ragione sociale]:[Checkbox selezionato]],8,FALSE),"-")</f>
        <v>0</v>
      </c>
      <c r="AP672" s="63">
        <f>IFERROR(VLOOKUP(Table2[[#This Row],[Contraente]],Table1[[Nome/Ragione sociale]:[Checkbox selezionato]],10,FALSE),"-")</f>
        <v>3356714388</v>
      </c>
      <c r="AQ672" s="63" t="str">
        <f>IFERROR(VLOOKUP(Table2[[#This Row],[Contraente]],Table1[[Nome/Ragione sociale]:[Checkbox selezionato]],11,FALSE),"-")</f>
        <v>SI</v>
      </c>
      <c r="AR672" s="63" t="str">
        <f>IFERROR(VLOOKUP(Table2[[#This Row],[Contraente]],Table1[[Nome/Ragione sociale]:[Checkbox selezionato]],12,FALSE),"-")</f>
        <v>SI</v>
      </c>
    </row>
    <row r="673" spans="1:44" ht="30" hidden="1" customHeight="1" x14ac:dyDescent="0.25">
      <c r="A673" s="60" t="str">
        <f>UPPER(LEFT(Table2[[#This Row],[Contraente]],1))</f>
        <v>M</v>
      </c>
      <c r="B673" s="60" t="s">
        <v>1634</v>
      </c>
      <c r="C673" s="81" t="s">
        <v>140</v>
      </c>
      <c r="D673" s="81" t="s">
        <v>37</v>
      </c>
      <c r="E673" s="86">
        <v>106605485</v>
      </c>
      <c r="F673" s="64">
        <v>42895</v>
      </c>
      <c r="G673" s="64" t="str">
        <f>IFERROR(CALCOLASCADENZA(Table2[[#This Row],[Data attivazione]],Table2[[#This Row],[Rateizzazione]],Table2[[#This Row],[Data ultimo pagamento]],Table2[[#This Row],[Data prossima scadenza manuale]]),"-")</f>
        <v>-</v>
      </c>
      <c r="H673" s="67" t="s">
        <v>31</v>
      </c>
      <c r="I673" s="67" t="s">
        <v>1696</v>
      </c>
      <c r="J673" s="33">
        <v>-122.19</v>
      </c>
      <c r="K673" s="88">
        <v>360</v>
      </c>
      <c r="L673" s="88">
        <v>0</v>
      </c>
      <c r="M673" s="67" t="s">
        <v>44</v>
      </c>
      <c r="N673" s="67" t="s">
        <v>52</v>
      </c>
      <c r="O673" s="27" t="s">
        <v>1631</v>
      </c>
      <c r="P673" s="33" t="s">
        <v>24</v>
      </c>
      <c r="Q67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3" s="67" t="s">
        <v>2</v>
      </c>
      <c r="V673" s="62"/>
      <c r="W673" s="64" t="e">
        <v>#VALUE!</v>
      </c>
      <c r="X673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73" s="65"/>
      <c r="Z673" s="61"/>
      <c r="AA673" s="64" t="s">
        <v>85</v>
      </c>
      <c r="AB673" s="29" t="str">
        <f>IF(Table2[[#This Row],[Data ultimo versamento temp]]=0/1/1900,"-",Table2[[#This Row],[Data ultimo versamento temp]])</f>
        <v>-</v>
      </c>
      <c r="AC673" s="29">
        <f t="array" ref="AC673">MAX(IF(TableVersamenti[Polizza]=Table2[[#This Row],[Polizza]],TableVersamenti[Data prevista versamento],"-"))</f>
        <v>0</v>
      </c>
      <c r="AD673" s="62"/>
      <c r="AE673" s="106">
        <f>DATE(YEAR(Table2[[#This Row],[Data ultimo pagamento]]),MONTH(Table2[[#This Row],[Data ultimo pagamento]]), 1)</f>
        <v>42887</v>
      </c>
      <c r="AF673" s="106" t="e">
        <f>DATE(YEAR(Table2[[#This Row],[Data prossima scadenza]]),MONTH(Table2[[#This Row],[Data prossima scadenza]]), 1)</f>
        <v>#VALUE!</v>
      </c>
      <c r="AG673" s="33">
        <f>IFERROR(Table2[[#This Row],[Importo annuale]]*VLOOKUP(Table2[[#This Row],[Ramo]],RAMI_POLIZZA,2,FALSE),0)</f>
        <v>0</v>
      </c>
      <c r="AH673" s="65" t="s">
        <v>113</v>
      </c>
      <c r="AI673" s="63" t="str">
        <f>IFERROR(VLOOKUP(Table2[[#This Row],[Contraente]],Table1[[Nome/Ragione sociale]:[Checkbox selezionato]],2,FALSE),"-")</f>
        <v>LINAROLO</v>
      </c>
      <c r="AJ673" s="63">
        <f>IFERROR(VLOOKUP(Table2[[#This Row],[Contraente]],Table1[[Nome/Ragione sociale]:[Checkbox selezionato]],3,FALSE),"-")</f>
        <v>3356714388</v>
      </c>
      <c r="AK673" s="63">
        <f>IFERROR(VLOOKUP(Table2[[#This Row],[Contraente]],Table1[[Nome/Ragione sociale]:[Checkbox selezionato]],4,FALSE),"-")</f>
        <v>0</v>
      </c>
      <c r="AL673" s="63" t="str">
        <f>IFERROR(VLOOKUP(Table2[[#This Row],[Contraente]],Table1[[Nome/Ragione sociale]:[Checkbox selezionato]],5,FALSE),"-")</f>
        <v>PASUALE</v>
      </c>
      <c r="AM673" s="62">
        <f>IFERROR(VLOOKUP(Table2[[#This Row],[Contraente]],Table1[[Nome/Ragione sociale]:[Checkbox selezionato]],6,FALSE),"-")</f>
        <v>24081</v>
      </c>
      <c r="AN673" s="63" t="str">
        <f>IFERROR(VLOOKUP(Table2[[#This Row],[Contraente]],Table1[[Nome/Ragione sociale]:[Checkbox selezionato]],7,FALSE),"-")</f>
        <v>papies@libero.it</v>
      </c>
      <c r="AO673" s="63">
        <f>IFERROR(VLOOKUP(Table2[[#This Row],[Contraente]],Table1[[Nome/Ragione sociale]:[Checkbox selezionato]],8,FALSE),"-")</f>
        <v>0</v>
      </c>
      <c r="AP673" s="63">
        <f>IFERROR(VLOOKUP(Table2[[#This Row],[Contraente]],Table1[[Nome/Ragione sociale]:[Checkbox selezionato]],10,FALSE),"-")</f>
        <v>3356714388</v>
      </c>
      <c r="AQ673" s="63" t="str">
        <f>IFERROR(VLOOKUP(Table2[[#This Row],[Contraente]],Table1[[Nome/Ragione sociale]:[Checkbox selezionato]],11,FALSE),"-")</f>
        <v>SI</v>
      </c>
      <c r="AR673" s="63" t="str">
        <f>IFERROR(VLOOKUP(Table2[[#This Row],[Contraente]],Table1[[Nome/Ragione sociale]:[Checkbox selezionato]],12,FALSE),"-")</f>
        <v>SI</v>
      </c>
    </row>
    <row r="674" spans="1:44" ht="30" hidden="1" customHeight="1" x14ac:dyDescent="0.25">
      <c r="A674" s="60" t="str">
        <f>UPPER(LEFT(Table2[[#This Row],[Contraente]],1))</f>
        <v>M</v>
      </c>
      <c r="B674" s="60" t="s">
        <v>1634</v>
      </c>
      <c r="C674" s="81" t="s">
        <v>1727</v>
      </c>
      <c r="D674" s="81" t="s">
        <v>37</v>
      </c>
      <c r="E674" s="86">
        <v>106825315</v>
      </c>
      <c r="F674" s="64">
        <v>42864</v>
      </c>
      <c r="G674" s="64">
        <f>IFERROR(CALCOLASCADENZA(Table2[[#This Row],[Data attivazione]],Table2[[#This Row],[Rateizzazione]],Table2[[#This Row],[Data ultimo pagamento]],Table2[[#This Row],[Data prossima scadenza manuale]]),"-")</f>
        <v>43048</v>
      </c>
      <c r="H674" s="67" t="s">
        <v>31</v>
      </c>
      <c r="I674" s="67" t="s">
        <v>1754</v>
      </c>
      <c r="J674" s="33">
        <f>IFERROR(Table2[[#This Row],[Importo annuale]]/(12/VLOOKUP(Table2[[#This Row],[Rateizzazione]],TIPI_RATEIZZAZIONI,2,FALSE)),"-")</f>
        <v>360.2</v>
      </c>
      <c r="K674" s="88">
        <v>360.2</v>
      </c>
      <c r="L674" s="88">
        <v>720.4</v>
      </c>
      <c r="M674" s="67" t="s">
        <v>44</v>
      </c>
      <c r="N674" s="67" t="s">
        <v>52</v>
      </c>
      <c r="O674" s="27" t="s">
        <v>1631</v>
      </c>
      <c r="P674" s="33" t="s">
        <v>22</v>
      </c>
      <c r="Q674" s="60">
        <f>IFERROR(IF(12 / VLOOKUP(Table2[[#This Row],[Rateizzazione]],TIPI_RATEIZZAZIONI,2,FALSE) &gt;=1,  IF(Table2[[#This Row],[Data attivazione]] = "","-",MONTH(Table2[[#This Row],[Data attivazione]])),"-"),"-")</f>
        <v>11</v>
      </c>
      <c r="R6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4" s="67" t="s">
        <v>133</v>
      </c>
      <c r="V674" s="62"/>
      <c r="W674" s="64">
        <v>42683</v>
      </c>
      <c r="X674" s="29">
        <f>DATE(YEAR(Table2[[#This Row],[Data attivazione]])+VLOOKUP(Table2[[#This Row],[Durata]],VALORE_DURATA,2,FALSE),MONTH(Table2[[#This Row],[Data attivazione]]),DAY(Table2[[#This Row],[Data attivazione]]))</f>
        <v>43048</v>
      </c>
      <c r="Y674" s="65"/>
      <c r="Z674" s="61"/>
      <c r="AA674" s="64" t="s">
        <v>85</v>
      </c>
      <c r="AB674" s="29" t="str">
        <f>IF(Table2[[#This Row],[Data ultimo versamento temp]]=0/1/1900,"-",Table2[[#This Row],[Data ultimo versamento temp]])</f>
        <v>-</v>
      </c>
      <c r="AC674" s="29">
        <f t="array" ref="AC674">MAX(IF(TableVersamenti[Polizza]=Table2[[#This Row],[Polizza]],TableVersamenti[Data prevista versamento],"-"))</f>
        <v>0</v>
      </c>
      <c r="AD674" s="62"/>
      <c r="AE674" s="106">
        <f>DATE(YEAR(Table2[[#This Row],[Data ultimo pagamento]]),MONTH(Table2[[#This Row],[Data ultimo pagamento]]), 1)</f>
        <v>42856</v>
      </c>
      <c r="AF674" s="106">
        <f>DATE(YEAR(Table2[[#This Row],[Data prossima scadenza]]),MONTH(Table2[[#This Row],[Data prossima scadenza]]), 1)</f>
        <v>43040</v>
      </c>
      <c r="AG674" s="33">
        <f>IFERROR(Table2[[#This Row],[Importo annuale]]*VLOOKUP(Table2[[#This Row],[Ramo]],RAMI_POLIZZA,2,FALSE),0)</f>
        <v>37.460799999999999</v>
      </c>
      <c r="AH674" s="65" t="s">
        <v>113</v>
      </c>
      <c r="AI674" s="63" t="str">
        <f>IFERROR(VLOOKUP(Table2[[#This Row],[Contraente]],Table1[[Nome/Ragione sociale]:[Checkbox selezionato]],2,FALSE),"-")</f>
        <v>CASTEL SAN GIOVANNI</v>
      </c>
      <c r="AJ674" s="63">
        <f>IFERROR(VLOOKUP(Table2[[#This Row],[Contraente]],Table1[[Nome/Ragione sociale]:[Checkbox selezionato]],3,FALSE),"-")</f>
        <v>3663638550</v>
      </c>
      <c r="AK674" s="63">
        <f>IFERROR(VLOOKUP(Table2[[#This Row],[Contraente]],Table1[[Nome/Ragione sociale]:[Checkbox selezionato]],4,FALSE),"-")</f>
        <v>0</v>
      </c>
      <c r="AL674" s="63" t="str">
        <f>IFERROR(VLOOKUP(Table2[[#This Row],[Contraente]],Table1[[Nome/Ragione sociale]:[Checkbox selezionato]],5,FALSE),"-")</f>
        <v>EZIA CARLA</v>
      </c>
      <c r="AM674" s="62" t="str">
        <f>IFERROR(VLOOKUP(Table2[[#This Row],[Contraente]],Table1[[Nome/Ragione sociale]:[Checkbox selezionato]],6,FALSE),"-")</f>
        <v>-</v>
      </c>
      <c r="AN674" s="63" t="str">
        <f>IFERROR(VLOOKUP(Table2[[#This Row],[Contraente]],Table1[[Nome/Ragione sociale]:[Checkbox selezionato]],7,FALSE),"-")</f>
        <v>papies@libero.it</v>
      </c>
      <c r="AO674" s="63">
        <f>IFERROR(VLOOKUP(Table2[[#This Row],[Contraente]],Table1[[Nome/Ragione sociale]:[Checkbox selezionato]],8,FALSE),"-")</f>
        <v>0</v>
      </c>
      <c r="AP674" s="63">
        <f>IFERROR(VLOOKUP(Table2[[#This Row],[Contraente]],Table1[[Nome/Ragione sociale]:[Checkbox selezionato]],10,FALSE),"-")</f>
        <v>3663638550</v>
      </c>
      <c r="AQ674" s="63" t="str">
        <f>IFERROR(VLOOKUP(Table2[[#This Row],[Contraente]],Table1[[Nome/Ragione sociale]:[Checkbox selezionato]],11,FALSE),"-")</f>
        <v>SI</v>
      </c>
      <c r="AR674" s="63" t="str">
        <f>IFERROR(VLOOKUP(Table2[[#This Row],[Contraente]],Table1[[Nome/Ragione sociale]:[Checkbox selezionato]],12,FALSE),"-")</f>
        <v>SI</v>
      </c>
    </row>
    <row r="675" spans="1:44" ht="30" hidden="1" customHeight="1" x14ac:dyDescent="0.25">
      <c r="A675" s="60" t="str">
        <f>UPPER(LEFT(Table2[[#This Row],[Contraente]],1))</f>
        <v>M</v>
      </c>
      <c r="B675" s="60" t="s">
        <v>1634</v>
      </c>
      <c r="C675" s="81" t="s">
        <v>789</v>
      </c>
      <c r="D675" s="81" t="s">
        <v>37</v>
      </c>
      <c r="E675" s="86">
        <v>106891472</v>
      </c>
      <c r="F675" s="64">
        <v>42878</v>
      </c>
      <c r="G675" s="64">
        <f>IFERROR(CALCOLASCADENZA(Table2[[#This Row],[Data attivazione]],Table2[[#This Row],[Rateizzazione]],Table2[[#This Row],[Data ultimo pagamento]],Table2[[#This Row],[Data prossima scadenza manuale]]),"-")</f>
        <v>42878</v>
      </c>
      <c r="H675" s="67" t="s">
        <v>31</v>
      </c>
      <c r="I675" s="67" t="s">
        <v>1401</v>
      </c>
      <c r="J675" s="33">
        <v>450</v>
      </c>
      <c r="K675" s="88">
        <v>490</v>
      </c>
      <c r="L675" s="88">
        <v>896</v>
      </c>
      <c r="M675" s="67" t="s">
        <v>43</v>
      </c>
      <c r="N675" s="67" t="s">
        <v>51</v>
      </c>
      <c r="O675" s="27" t="s">
        <v>1631</v>
      </c>
      <c r="P675" s="33" t="s">
        <v>24</v>
      </c>
      <c r="Q67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5" s="67" t="s">
        <v>2</v>
      </c>
      <c r="V675" s="62"/>
      <c r="W675" s="64">
        <v>42696</v>
      </c>
      <c r="X675" s="29">
        <f>DATE(YEAR(Table2[[#This Row],[Data attivazione]])+VLOOKUP(Table2[[#This Row],[Durata]],VALORE_DURATA,2,FALSE),MONTH(Table2[[#This Row],[Data attivazione]]),DAY(Table2[[#This Row],[Data attivazione]]))</f>
        <v>43061</v>
      </c>
      <c r="Y675" s="65"/>
      <c r="Z675" s="61"/>
      <c r="AA675" s="64" t="s">
        <v>85</v>
      </c>
      <c r="AB675" s="29" t="str">
        <f>IF(Table2[[#This Row],[Data ultimo versamento temp]]=0/1/1900,"-",Table2[[#This Row],[Data ultimo versamento temp]])</f>
        <v>-</v>
      </c>
      <c r="AC675" s="29">
        <f t="array" ref="AC675">MAX(IF(TableVersamenti[Polizza]=Table2[[#This Row],[Polizza]],TableVersamenti[Data prevista versamento],"-"))</f>
        <v>0</v>
      </c>
      <c r="AD675" s="62"/>
      <c r="AE675" s="106">
        <f>DATE(YEAR(Table2[[#This Row],[Data ultimo pagamento]]),MONTH(Table2[[#This Row],[Data ultimo pagamento]]), 1)</f>
        <v>42856</v>
      </c>
      <c r="AF675" s="106">
        <f>DATE(YEAR(Table2[[#This Row],[Data prossima scadenza]]),MONTH(Table2[[#This Row],[Data prossima scadenza]]), 1)</f>
        <v>42856</v>
      </c>
      <c r="AG675" s="33">
        <f>IFERROR(Table2[[#This Row],[Importo annuale]]*VLOOKUP(Table2[[#This Row],[Ramo]],RAMI_POLIZZA,2,FALSE),0)</f>
        <v>46.591999999999999</v>
      </c>
      <c r="AH675" s="65" t="s">
        <v>113</v>
      </c>
      <c r="AI675" s="63" t="str">
        <f>IFERROR(VLOOKUP(Table2[[#This Row],[Contraente]],Table1[[Nome/Ragione sociale]:[Checkbox selezionato]],2,FALSE),"-")</f>
        <v>SANT'ANGELO LODIGIANO</v>
      </c>
      <c r="AJ675" s="63">
        <f>IFERROR(VLOOKUP(Table2[[#This Row],[Contraente]],Table1[[Nome/Ragione sociale]:[Checkbox selezionato]],3,FALSE),"-")</f>
        <v>3203161467</v>
      </c>
      <c r="AK675" s="63">
        <f>IFERROR(VLOOKUP(Table2[[#This Row],[Contraente]],Table1[[Nome/Ragione sociale]:[Checkbox selezionato]],4,FALSE),"-")</f>
        <v>0</v>
      </c>
      <c r="AL675" s="63" t="str">
        <f>IFERROR(VLOOKUP(Table2[[#This Row],[Contraente]],Table1[[Nome/Ragione sociale]:[Checkbox selezionato]],5,FALSE),"-")</f>
        <v>MONICA</v>
      </c>
      <c r="AM675" s="62">
        <f>IFERROR(VLOOKUP(Table2[[#This Row],[Contraente]],Table1[[Nome/Ragione sociale]:[Checkbox selezionato]],6,FALSE),"-")</f>
        <v>22433</v>
      </c>
      <c r="AN675" s="63" t="str">
        <f>IFERROR(VLOOKUP(Table2[[#This Row],[Contraente]],Table1[[Nome/Ragione sociale]:[Checkbox selezionato]],7,FALSE),"-")</f>
        <v>papies@email.it</v>
      </c>
      <c r="AO675" s="63">
        <f>IFERROR(VLOOKUP(Table2[[#This Row],[Contraente]],Table1[[Nome/Ragione sociale]:[Checkbox selezionato]],8,FALSE),"-")</f>
        <v>0</v>
      </c>
      <c r="AP675" s="63">
        <f>IFERROR(VLOOKUP(Table2[[#This Row],[Contraente]],Table1[[Nome/Ragione sociale]:[Checkbox selezionato]],10,FALSE),"-")</f>
        <v>3203161467</v>
      </c>
      <c r="AQ675" s="63" t="str">
        <f>IFERROR(VLOOKUP(Table2[[#This Row],[Contraente]],Table1[[Nome/Ragione sociale]:[Checkbox selezionato]],11,FALSE),"-")</f>
        <v>SI</v>
      </c>
      <c r="AR675" s="63" t="str">
        <f>IFERROR(VLOOKUP(Table2[[#This Row],[Contraente]],Table1[[Nome/Ragione sociale]:[Checkbox selezionato]],12,FALSE),"-")</f>
        <v>SI</v>
      </c>
    </row>
    <row r="676" spans="1:44" ht="30" hidden="1" customHeight="1" x14ac:dyDescent="0.25">
      <c r="A676" s="60" t="str">
        <f>UPPER(LEFT(Table2[[#This Row],[Contraente]],1))</f>
        <v>M</v>
      </c>
      <c r="B676" s="60" t="s">
        <v>1634</v>
      </c>
      <c r="C676" s="81" t="s">
        <v>789</v>
      </c>
      <c r="D676" s="81" t="s">
        <v>37</v>
      </c>
      <c r="E676" s="86">
        <v>106703085</v>
      </c>
      <c r="F676" s="64">
        <v>42829</v>
      </c>
      <c r="G676" s="64">
        <f>IFERROR(CALCOLASCADENZA(Table2[[#This Row],[Data attivazione]],Table2[[#This Row],[Rateizzazione]],Table2[[#This Row],[Data ultimo pagamento]],Table2[[#This Row],[Data prossima scadenza manuale]]),"-")</f>
        <v>43009</v>
      </c>
      <c r="H676" s="67" t="s">
        <v>31</v>
      </c>
      <c r="I676" s="67" t="s">
        <v>1402</v>
      </c>
      <c r="J676" s="33">
        <f>IFERROR(Table2[[#This Row],[Importo annuale]]/(12/VLOOKUP(Table2[[#This Row],[Rateizzazione]],TIPI_RATEIZZAZIONI,2,FALSE)),"-")</f>
        <v>266</v>
      </c>
      <c r="K676" s="88">
        <v>266</v>
      </c>
      <c r="L676" s="88">
        <v>532</v>
      </c>
      <c r="M676" s="67" t="s">
        <v>43</v>
      </c>
      <c r="N676" s="67" t="s">
        <v>51</v>
      </c>
      <c r="O676" s="27" t="s">
        <v>1631</v>
      </c>
      <c r="P676" s="33" t="s">
        <v>22</v>
      </c>
      <c r="Q676" s="60">
        <f>IFERROR(IF(12 / VLOOKUP(Table2[[#This Row],[Rateizzazione]],TIPI_RATEIZZAZIONI,2,FALSE) &gt;=1,  IF(Table2[[#This Row],[Data attivazione]] = "","-",MONTH(Table2[[#This Row],[Data attivazione]])),"-"),"-")</f>
        <v>10</v>
      </c>
      <c r="R6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6" s="67" t="s">
        <v>2</v>
      </c>
      <c r="V676" s="62"/>
      <c r="W676" s="64">
        <v>42644</v>
      </c>
      <c r="X676" s="29">
        <f>DATE(YEAR(Table2[[#This Row],[Data attivazione]])+VLOOKUP(Table2[[#This Row],[Durata]],VALORE_DURATA,2,FALSE),MONTH(Table2[[#This Row],[Data attivazione]]),DAY(Table2[[#This Row],[Data attivazione]]))</f>
        <v>43009</v>
      </c>
      <c r="Y676" s="65"/>
      <c r="Z676" s="61"/>
      <c r="AA676" s="64" t="s">
        <v>85</v>
      </c>
      <c r="AB676" s="29" t="str">
        <f>IF(Table2[[#This Row],[Data ultimo versamento temp]]=0/1/1900,"-",Table2[[#This Row],[Data ultimo versamento temp]])</f>
        <v>-</v>
      </c>
      <c r="AC676" s="29">
        <f t="array" ref="AC676">MAX(IF(TableVersamenti[Polizza]=Table2[[#This Row],[Polizza]],TableVersamenti[Data prevista versamento],"-"))</f>
        <v>0</v>
      </c>
      <c r="AD676" s="62"/>
      <c r="AE676" s="106">
        <f>DATE(YEAR(Table2[[#This Row],[Data ultimo pagamento]]),MONTH(Table2[[#This Row],[Data ultimo pagamento]]), 1)</f>
        <v>42826</v>
      </c>
      <c r="AF676" s="106">
        <f>DATE(YEAR(Table2[[#This Row],[Data prossima scadenza]]),MONTH(Table2[[#This Row],[Data prossima scadenza]]), 1)</f>
        <v>43009</v>
      </c>
      <c r="AG676" s="33">
        <f>IFERROR(Table2[[#This Row],[Importo annuale]]*VLOOKUP(Table2[[#This Row],[Ramo]],RAMI_POLIZZA,2,FALSE),0)</f>
        <v>27.663999999999998</v>
      </c>
      <c r="AH676" s="65" t="s">
        <v>113</v>
      </c>
      <c r="AI676" s="63" t="str">
        <f>IFERROR(VLOOKUP(Table2[[#This Row],[Contraente]],Table1[[Nome/Ragione sociale]:[Checkbox selezionato]],2,FALSE),"-")</f>
        <v>SANT'ANGELO LODIGIANO</v>
      </c>
      <c r="AJ676" s="63">
        <f>IFERROR(VLOOKUP(Table2[[#This Row],[Contraente]],Table1[[Nome/Ragione sociale]:[Checkbox selezionato]],3,FALSE),"-")</f>
        <v>3203161467</v>
      </c>
      <c r="AK676" s="63">
        <f>IFERROR(VLOOKUP(Table2[[#This Row],[Contraente]],Table1[[Nome/Ragione sociale]:[Checkbox selezionato]],4,FALSE),"-")</f>
        <v>0</v>
      </c>
      <c r="AL676" s="63" t="str">
        <f>IFERROR(VLOOKUP(Table2[[#This Row],[Contraente]],Table1[[Nome/Ragione sociale]:[Checkbox selezionato]],5,FALSE),"-")</f>
        <v>MONICA</v>
      </c>
      <c r="AM676" s="62">
        <f>IFERROR(VLOOKUP(Table2[[#This Row],[Contraente]],Table1[[Nome/Ragione sociale]:[Checkbox selezionato]],6,FALSE),"-")</f>
        <v>22433</v>
      </c>
      <c r="AN676" s="63" t="str">
        <f>IFERROR(VLOOKUP(Table2[[#This Row],[Contraente]],Table1[[Nome/Ragione sociale]:[Checkbox selezionato]],7,FALSE),"-")</f>
        <v>papies@email.it</v>
      </c>
      <c r="AO676" s="63">
        <f>IFERROR(VLOOKUP(Table2[[#This Row],[Contraente]],Table1[[Nome/Ragione sociale]:[Checkbox selezionato]],8,FALSE),"-")</f>
        <v>0</v>
      </c>
      <c r="AP676" s="63">
        <f>IFERROR(VLOOKUP(Table2[[#This Row],[Contraente]],Table1[[Nome/Ragione sociale]:[Checkbox selezionato]],10,FALSE),"-")</f>
        <v>3203161467</v>
      </c>
      <c r="AQ676" s="63" t="str">
        <f>IFERROR(VLOOKUP(Table2[[#This Row],[Contraente]],Table1[[Nome/Ragione sociale]:[Checkbox selezionato]],11,FALSE),"-")</f>
        <v>SI</v>
      </c>
      <c r="AR676" s="63" t="str">
        <f>IFERROR(VLOOKUP(Table2[[#This Row],[Contraente]],Table1[[Nome/Ragione sociale]:[Checkbox selezionato]],12,FALSE),"-")</f>
        <v>SI</v>
      </c>
    </row>
    <row r="677" spans="1:44" ht="30" hidden="1" customHeight="1" x14ac:dyDescent="0.25">
      <c r="A677" s="60" t="str">
        <f>UPPER(LEFT(Table2[[#This Row],[Contraente]],1))</f>
        <v>M</v>
      </c>
      <c r="B677" s="60" t="s">
        <v>1634</v>
      </c>
      <c r="C677" s="81" t="s">
        <v>801</v>
      </c>
      <c r="D677" s="81" t="s">
        <v>37</v>
      </c>
      <c r="E677" s="86">
        <v>104182188</v>
      </c>
      <c r="F677" s="64">
        <v>42699</v>
      </c>
      <c r="G677" s="64">
        <f>IFERROR(CALCOLASCADENZA(Table2[[#This Row],[Data attivazione]],Table2[[#This Row],[Rateizzazione]],Table2[[#This Row],[Data ultimo pagamento]],Table2[[#This Row],[Data prossima scadenza manuale]]),"-")</f>
        <v>42810</v>
      </c>
      <c r="H677" s="67" t="s">
        <v>31</v>
      </c>
      <c r="I677" s="67" t="s">
        <v>1411</v>
      </c>
      <c r="J677" s="33">
        <f>IFERROR(Table2[[#This Row],[Importo annuale]]/(12/VLOOKUP(Table2[[#This Row],[Rateizzazione]],TIPI_RATEIZZAZIONI,2,FALSE)),"-")</f>
        <v>110.06</v>
      </c>
      <c r="K677" s="88"/>
      <c r="L677" s="88">
        <v>330.18</v>
      </c>
      <c r="M677" s="67" t="s">
        <v>43</v>
      </c>
      <c r="N677" s="67" t="s">
        <v>51</v>
      </c>
      <c r="O677" s="27" t="s">
        <v>1631</v>
      </c>
      <c r="P677" s="33" t="s">
        <v>21</v>
      </c>
      <c r="Q677" s="60">
        <f>IFERROR(IF(12 / VLOOKUP(Table2[[#This Row],[Rateizzazione]],TIPI_RATEIZZAZIONI,2,FALSE) &gt;=1,  IF(Table2[[#This Row],[Data attivazione]] = "","-",MONTH(Table2[[#This Row],[Data attivazione]])),"-"),"-")</f>
        <v>3</v>
      </c>
      <c r="R6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7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6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7" s="67" t="s">
        <v>2</v>
      </c>
      <c r="V677" s="62"/>
      <c r="W677" s="64">
        <v>42445</v>
      </c>
      <c r="X677" s="29">
        <f>DATE(YEAR(Table2[[#This Row],[Data attivazione]])+VLOOKUP(Table2[[#This Row],[Durata]],VALORE_DURATA,2,FALSE),MONTH(Table2[[#This Row],[Data attivazione]]),DAY(Table2[[#This Row],[Data attivazione]]))</f>
        <v>42810</v>
      </c>
      <c r="Y677" s="65"/>
      <c r="Z677" s="61"/>
      <c r="AA677" s="64" t="s">
        <v>88</v>
      </c>
      <c r="AB677" s="29" t="str">
        <f>IF(Table2[[#This Row],[Data ultimo versamento temp]]=0/1/1900,"-",Table2[[#This Row],[Data ultimo versamento temp]])</f>
        <v>-</v>
      </c>
      <c r="AC677" s="29">
        <f t="array" ref="AC677">MAX(IF(TableVersamenti[Polizza]=Table2[[#This Row],[Polizza]],TableVersamenti[Data prevista versamento],"-"))</f>
        <v>0</v>
      </c>
      <c r="AD677" s="62"/>
      <c r="AE677" s="106">
        <f>DATE(YEAR(Table2[[#This Row],[Data ultimo pagamento]]),MONTH(Table2[[#This Row],[Data ultimo pagamento]]), 1)</f>
        <v>42675</v>
      </c>
      <c r="AF677" s="106">
        <f>DATE(YEAR(Table2[[#This Row],[Data prossima scadenza]]),MONTH(Table2[[#This Row],[Data prossima scadenza]]), 1)</f>
        <v>42795</v>
      </c>
      <c r="AG677" s="33">
        <f>IFERROR(Table2[[#This Row],[Importo annuale]]*VLOOKUP(Table2[[#This Row],[Ramo]],RAMI_POLIZZA,2,FALSE),0)</f>
        <v>17.169360000000001</v>
      </c>
      <c r="AH677" s="65" t="s">
        <v>113</v>
      </c>
      <c r="AI677" s="63" t="str">
        <f>IFERROR(VLOOKUP(Table2[[#This Row],[Contraente]],Table1[[Nome/Ragione sociale]:[Checkbox selezionato]],2,FALSE),"-")</f>
        <v>TORRE DE' NEGRI</v>
      </c>
      <c r="AJ677" s="63">
        <f>IFERROR(VLOOKUP(Table2[[#This Row],[Contraente]],Table1[[Nome/Ragione sociale]:[Checkbox selezionato]],3,FALSE),"-")</f>
        <v>3383070628</v>
      </c>
      <c r="AK677" s="63">
        <f>IFERROR(VLOOKUP(Table2[[#This Row],[Contraente]],Table1[[Nome/Ragione sociale]:[Checkbox selezionato]],4,FALSE),"-")</f>
        <v>0</v>
      </c>
      <c r="AL677" s="63" t="str">
        <f>IFERROR(VLOOKUP(Table2[[#This Row],[Contraente]],Table1[[Nome/Ragione sociale]:[Checkbox selezionato]],5,FALSE),"-")</f>
        <v>MARITO</v>
      </c>
      <c r="AM677" s="62">
        <f>IFERROR(VLOOKUP(Table2[[#This Row],[Contraente]],Table1[[Nome/Ragione sociale]:[Checkbox selezionato]],6,FALSE),"-")</f>
        <v>24860</v>
      </c>
      <c r="AN677" s="63" t="str">
        <f>IFERROR(VLOOKUP(Table2[[#This Row],[Contraente]],Table1[[Nome/Ragione sociale]:[Checkbox selezionato]],7,FALSE),"-")</f>
        <v>papies@libero.it</v>
      </c>
      <c r="AO677" s="63">
        <f>IFERROR(VLOOKUP(Table2[[#This Row],[Contraente]],Table1[[Nome/Ragione sociale]:[Checkbox selezionato]],8,FALSE),"-")</f>
        <v>0</v>
      </c>
      <c r="AP677" s="63">
        <f>IFERROR(VLOOKUP(Table2[[#This Row],[Contraente]],Table1[[Nome/Ragione sociale]:[Checkbox selezionato]],10,FALSE),"-")</f>
        <v>3383070628</v>
      </c>
      <c r="AQ677" s="63" t="str">
        <f>IFERROR(VLOOKUP(Table2[[#This Row],[Contraente]],Table1[[Nome/Ragione sociale]:[Checkbox selezionato]],11,FALSE),"-")</f>
        <v>SI</v>
      </c>
      <c r="AR677" s="63" t="str">
        <f>IFERROR(VLOOKUP(Table2[[#This Row],[Contraente]],Table1[[Nome/Ragione sociale]:[Checkbox selezionato]],12,FALSE),"-")</f>
        <v>SI</v>
      </c>
    </row>
    <row r="678" spans="1:44" ht="30" hidden="1" customHeight="1" x14ac:dyDescent="0.25">
      <c r="A678" s="60" t="str">
        <f>UPPER(LEFT(Table2[[#This Row],[Contraente]],1))</f>
        <v>M</v>
      </c>
      <c r="B678" s="60" t="s">
        <v>1634</v>
      </c>
      <c r="C678" s="81" t="s">
        <v>800</v>
      </c>
      <c r="D678" s="81" t="s">
        <v>37</v>
      </c>
      <c r="E678" s="86">
        <v>1086574</v>
      </c>
      <c r="F678" s="64">
        <v>42817</v>
      </c>
      <c r="G678" s="64">
        <f>IFERROR(CALCOLASCADENZA(Table2[[#This Row],[Data attivazione]],Table2[[#This Row],[Rateizzazione]],Table2[[#This Row],[Data ultimo pagamento]],Table2[[#This Row],[Data prossima scadenza manuale]]),"-")</f>
        <v>43182</v>
      </c>
      <c r="H678" s="67" t="s">
        <v>32</v>
      </c>
      <c r="I678" s="67" t="s">
        <v>113</v>
      </c>
      <c r="J678" s="33">
        <f>IFERROR(Table2[[#This Row],[Importo annuale]]/(12/VLOOKUP(Table2[[#This Row],[Rateizzazione]],TIPI_RATEIZZAZIONI,2,FALSE)),"-")</f>
        <v>140</v>
      </c>
      <c r="K678" s="88">
        <v>140</v>
      </c>
      <c r="L678" s="88">
        <v>140</v>
      </c>
      <c r="M678" s="67" t="s">
        <v>46</v>
      </c>
      <c r="N678" s="67" t="s">
        <v>52</v>
      </c>
      <c r="O678" s="27" t="s">
        <v>1631</v>
      </c>
      <c r="P678" s="33" t="s">
        <v>23</v>
      </c>
      <c r="Q678" s="60">
        <f>IFERROR(IF(12 / VLOOKUP(Table2[[#This Row],[Rateizzazione]],TIPI_RATEIZZAZIONI,2,FALSE) &gt;=1,  IF(Table2[[#This Row],[Data attivazione]] = "","-",MONTH(Table2[[#This Row],[Data attivazione]])),"-"),"-")</f>
        <v>3</v>
      </c>
      <c r="R6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8" s="67" t="s">
        <v>2</v>
      </c>
      <c r="V678" s="62"/>
      <c r="W678" s="64">
        <v>42817</v>
      </c>
      <c r="X678" s="29">
        <f>DATE(YEAR(Table2[[#This Row],[Data attivazione]])+VLOOKUP(Table2[[#This Row],[Durata]],VALORE_DURATA,2,FALSE),MONTH(Table2[[#This Row],[Data attivazione]]),DAY(Table2[[#This Row],[Data attivazione]]))</f>
        <v>43182</v>
      </c>
      <c r="Y678" s="65"/>
      <c r="Z678" s="61"/>
      <c r="AA678" s="64" t="s">
        <v>85</v>
      </c>
      <c r="AB678" s="29" t="str">
        <f>IF(Table2[[#This Row],[Data ultimo versamento temp]]=0/1/1900,"-",Table2[[#This Row],[Data ultimo versamento temp]])</f>
        <v>-</v>
      </c>
      <c r="AC678" s="29">
        <f t="array" ref="AC678">MAX(IF(TableVersamenti[Polizza]=Table2[[#This Row],[Polizza]],TableVersamenti[Data prevista versamento],"-"))</f>
        <v>0</v>
      </c>
      <c r="AD678" s="62"/>
      <c r="AE678" s="106">
        <f>DATE(YEAR(Table2[[#This Row],[Data ultimo pagamento]]),MONTH(Table2[[#This Row],[Data ultimo pagamento]]), 1)</f>
        <v>42795</v>
      </c>
      <c r="AF678" s="106">
        <f>DATE(YEAR(Table2[[#This Row],[Data prossima scadenza]]),MONTH(Table2[[#This Row],[Data prossima scadenza]]), 1)</f>
        <v>43160</v>
      </c>
      <c r="AG678" s="33">
        <f>IFERROR(Table2[[#This Row],[Importo annuale]]*VLOOKUP(Table2[[#This Row],[Ramo]],RAMI_POLIZZA,2,FALSE),0)</f>
        <v>2.1</v>
      </c>
      <c r="AH678" s="65" t="s">
        <v>113</v>
      </c>
      <c r="AI678" s="63" t="str">
        <f>IFERROR(VLOOKUP(Table2[[#This Row],[Contraente]],Table1[[Nome/Ragione sociale]:[Checkbox selezionato]],2,FALSE),"-")</f>
        <v>PORTALBERA</v>
      </c>
      <c r="AJ678" s="63">
        <f>IFERROR(VLOOKUP(Table2[[#This Row],[Contraente]],Table1[[Nome/Ragione sociale]:[Checkbox selezionato]],3,FALSE),"-")</f>
        <v>3398924177</v>
      </c>
      <c r="AK678" s="63">
        <f>IFERROR(VLOOKUP(Table2[[#This Row],[Contraente]],Table1[[Nome/Ragione sociale]:[Checkbox selezionato]],4,FALSE),"-")</f>
        <v>0</v>
      </c>
      <c r="AL678" s="63" t="str">
        <f>IFERROR(VLOOKUP(Table2[[#This Row],[Contraente]],Table1[[Nome/Ragione sociale]:[Checkbox selezionato]],5,FALSE),"-")</f>
        <v>ALESSANDRO</v>
      </c>
      <c r="AM678" s="62">
        <f>IFERROR(VLOOKUP(Table2[[#This Row],[Contraente]],Table1[[Nome/Ragione sociale]:[Checkbox selezionato]],6,FALSE),"-")</f>
        <v>30118</v>
      </c>
      <c r="AN678" s="63" t="str">
        <f>IFERROR(VLOOKUP(Table2[[#This Row],[Contraente]],Table1[[Nome/Ragione sociale]:[Checkbox selezionato]],7,FALSE),"-")</f>
        <v>papies@libero.it</v>
      </c>
      <c r="AO678" s="63">
        <f>IFERROR(VLOOKUP(Table2[[#This Row],[Contraente]],Table1[[Nome/Ragione sociale]:[Checkbox selezionato]],8,FALSE),"-")</f>
        <v>0</v>
      </c>
      <c r="AP678" s="63">
        <f>IFERROR(VLOOKUP(Table2[[#This Row],[Contraente]],Table1[[Nome/Ragione sociale]:[Checkbox selezionato]],10,FALSE),"-")</f>
        <v>3398924177</v>
      </c>
      <c r="AQ678" s="63" t="str">
        <f>IFERROR(VLOOKUP(Table2[[#This Row],[Contraente]],Table1[[Nome/Ragione sociale]:[Checkbox selezionato]],11,FALSE),"-")</f>
        <v>SI</v>
      </c>
      <c r="AR678" s="63" t="str">
        <f>IFERROR(VLOOKUP(Table2[[#This Row],[Contraente]],Table1[[Nome/Ragione sociale]:[Checkbox selezionato]],12,FALSE),"-")</f>
        <v>SI</v>
      </c>
    </row>
    <row r="679" spans="1:44" ht="30" hidden="1" customHeight="1" x14ac:dyDescent="0.25">
      <c r="A679" s="60" t="str">
        <f>UPPER(LEFT(Table2[[#This Row],[Contraente]],1))</f>
        <v>M</v>
      </c>
      <c r="B679" s="60" t="s">
        <v>1634</v>
      </c>
      <c r="C679" s="81" t="s">
        <v>800</v>
      </c>
      <c r="D679" s="81" t="s">
        <v>37</v>
      </c>
      <c r="E679" s="86">
        <v>106657448</v>
      </c>
      <c r="F679" s="64">
        <v>42817</v>
      </c>
      <c r="G679" s="64">
        <f>IFERROR(CALCOLASCADENZA(Table2[[#This Row],[Data attivazione]],Table2[[#This Row],[Rateizzazione]],Table2[[#This Row],[Data ultimo pagamento]],Table2[[#This Row],[Data prossima scadenza manuale]]),"-")</f>
        <v>43182</v>
      </c>
      <c r="H679" s="67" t="s">
        <v>30</v>
      </c>
      <c r="I679" s="67" t="s">
        <v>113</v>
      </c>
      <c r="J679" s="33">
        <f>IFERROR(Table2[[#This Row],[Importo annuale]]/(12/VLOOKUP(Table2[[#This Row],[Rateizzazione]],TIPI_RATEIZZAZIONI,2,FALSE)),"-")</f>
        <v>240</v>
      </c>
      <c r="K679" s="88">
        <v>240</v>
      </c>
      <c r="L679" s="88">
        <v>240</v>
      </c>
      <c r="M679" s="67" t="s">
        <v>46</v>
      </c>
      <c r="N679" s="67" t="s">
        <v>52</v>
      </c>
      <c r="O679" s="27" t="s">
        <v>1631</v>
      </c>
      <c r="P679" s="33" t="s">
        <v>23</v>
      </c>
      <c r="Q679" s="60">
        <f>IFERROR(IF(12 / VLOOKUP(Table2[[#This Row],[Rateizzazione]],TIPI_RATEIZZAZIONI,2,FALSE) &gt;=1,  IF(Table2[[#This Row],[Data attivazione]] = "","-",MONTH(Table2[[#This Row],[Data attivazione]])),"-"),"-")</f>
        <v>3</v>
      </c>
      <c r="R6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9" s="67" t="s">
        <v>2</v>
      </c>
      <c r="V679" s="62"/>
      <c r="W679" s="64">
        <v>42817</v>
      </c>
      <c r="X679" s="29">
        <f>DATE(YEAR(Table2[[#This Row],[Data attivazione]])+VLOOKUP(Table2[[#This Row],[Durata]],VALORE_DURATA,2,FALSE),MONTH(Table2[[#This Row],[Data attivazione]]),DAY(Table2[[#This Row],[Data attivazione]]))</f>
        <v>43182</v>
      </c>
      <c r="Y679" s="65"/>
      <c r="Z679" s="61"/>
      <c r="AA679" s="64" t="s">
        <v>85</v>
      </c>
      <c r="AB679" s="29" t="str">
        <f>IF(Table2[[#This Row],[Data ultimo versamento temp]]=0/1/1900,"-",Table2[[#This Row],[Data ultimo versamento temp]])</f>
        <v>-</v>
      </c>
      <c r="AC679" s="29">
        <f t="array" ref="AC679">MAX(IF(TableVersamenti[Polizza]=Table2[[#This Row],[Polizza]],TableVersamenti[Data prevista versamento],"-"))</f>
        <v>0</v>
      </c>
      <c r="AD679" s="62"/>
      <c r="AE679" s="106">
        <f>DATE(YEAR(Table2[[#This Row],[Data ultimo pagamento]]),MONTH(Table2[[#This Row],[Data ultimo pagamento]]), 1)</f>
        <v>42795</v>
      </c>
      <c r="AF679" s="106">
        <f>DATE(YEAR(Table2[[#This Row],[Data prossima scadenza]]),MONTH(Table2[[#This Row],[Data prossima scadenza]]), 1)</f>
        <v>43160</v>
      </c>
      <c r="AG679" s="33">
        <f>IFERROR(Table2[[#This Row],[Importo annuale]]*VLOOKUP(Table2[[#This Row],[Ramo]],RAMI_POLIZZA,2,FALSE),0)</f>
        <v>27.6</v>
      </c>
      <c r="AH679" s="65" t="s">
        <v>113</v>
      </c>
      <c r="AI679" s="63" t="str">
        <f>IFERROR(VLOOKUP(Table2[[#This Row],[Contraente]],Table1[[Nome/Ragione sociale]:[Checkbox selezionato]],2,FALSE),"-")</f>
        <v>PORTALBERA</v>
      </c>
      <c r="AJ679" s="63">
        <f>IFERROR(VLOOKUP(Table2[[#This Row],[Contraente]],Table1[[Nome/Ragione sociale]:[Checkbox selezionato]],3,FALSE),"-")</f>
        <v>3398924177</v>
      </c>
      <c r="AK679" s="63">
        <f>IFERROR(VLOOKUP(Table2[[#This Row],[Contraente]],Table1[[Nome/Ragione sociale]:[Checkbox selezionato]],4,FALSE),"-")</f>
        <v>0</v>
      </c>
      <c r="AL679" s="63" t="str">
        <f>IFERROR(VLOOKUP(Table2[[#This Row],[Contraente]],Table1[[Nome/Ragione sociale]:[Checkbox selezionato]],5,FALSE),"-")</f>
        <v>ALESSANDRO</v>
      </c>
      <c r="AM679" s="62">
        <f>IFERROR(VLOOKUP(Table2[[#This Row],[Contraente]],Table1[[Nome/Ragione sociale]:[Checkbox selezionato]],6,FALSE),"-")</f>
        <v>30118</v>
      </c>
      <c r="AN679" s="63" t="str">
        <f>IFERROR(VLOOKUP(Table2[[#This Row],[Contraente]],Table1[[Nome/Ragione sociale]:[Checkbox selezionato]],7,FALSE),"-")</f>
        <v>papies@libero.it</v>
      </c>
      <c r="AO679" s="63">
        <f>IFERROR(VLOOKUP(Table2[[#This Row],[Contraente]],Table1[[Nome/Ragione sociale]:[Checkbox selezionato]],8,FALSE),"-")</f>
        <v>0</v>
      </c>
      <c r="AP679" s="63">
        <f>IFERROR(VLOOKUP(Table2[[#This Row],[Contraente]],Table1[[Nome/Ragione sociale]:[Checkbox selezionato]],10,FALSE),"-")</f>
        <v>3398924177</v>
      </c>
      <c r="AQ679" s="63" t="str">
        <f>IFERROR(VLOOKUP(Table2[[#This Row],[Contraente]],Table1[[Nome/Ragione sociale]:[Checkbox selezionato]],11,FALSE),"-")</f>
        <v>SI</v>
      </c>
      <c r="AR679" s="63" t="str">
        <f>IFERROR(VLOOKUP(Table2[[#This Row],[Contraente]],Table1[[Nome/Ragione sociale]:[Checkbox selezionato]],12,FALSE),"-")</f>
        <v>SI</v>
      </c>
    </row>
    <row r="680" spans="1:44" ht="30" hidden="1" customHeight="1" x14ac:dyDescent="0.25">
      <c r="A680" s="60" t="str">
        <f>UPPER(LEFT(Table2[[#This Row],[Contraente]],1))</f>
        <v>M</v>
      </c>
      <c r="B680" s="60" t="s">
        <v>1634</v>
      </c>
      <c r="C680" s="81" t="s">
        <v>800</v>
      </c>
      <c r="D680" s="81" t="s">
        <v>37</v>
      </c>
      <c r="E680" s="86">
        <v>106478055</v>
      </c>
      <c r="F680" s="64">
        <v>42766</v>
      </c>
      <c r="G680" s="64">
        <f>IFERROR(CALCOLASCADENZA(Table2[[#This Row],[Data attivazione]],Table2[[#This Row],[Rateizzazione]],Table2[[#This Row],[Data ultimo pagamento]],Table2[[#This Row],[Data prossima scadenza manuale]]),"-")</f>
        <v>42948</v>
      </c>
      <c r="H680" s="67" t="s">
        <v>31</v>
      </c>
      <c r="I680" s="67" t="s">
        <v>1410</v>
      </c>
      <c r="J680" s="33">
        <f>IFERROR(Table2[[#This Row],[Importo annuale]]/(12/VLOOKUP(Table2[[#This Row],[Rateizzazione]],TIPI_RATEIZZAZIONI,2,FALSE)),"-")</f>
        <v>295.35000000000002</v>
      </c>
      <c r="K680" s="88">
        <v>295.35000000000002</v>
      </c>
      <c r="L680" s="88">
        <v>590.70000000000005</v>
      </c>
      <c r="M680" s="67" t="s">
        <v>43</v>
      </c>
      <c r="N680" s="67" t="s">
        <v>52</v>
      </c>
      <c r="O680" s="27" t="s">
        <v>1631</v>
      </c>
      <c r="P680" s="33" t="s">
        <v>22</v>
      </c>
      <c r="Q680" s="60">
        <f>IFERROR(IF(12 / VLOOKUP(Table2[[#This Row],[Rateizzazione]],TIPI_RATEIZZAZIONI,2,FALSE) &gt;=1,  IF(Table2[[#This Row],[Data attivazione]] = "","-",MONTH(Table2[[#This Row],[Data attivazione]])),"-"),"-")</f>
        <v>8</v>
      </c>
      <c r="R6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0" s="67" t="s">
        <v>2</v>
      </c>
      <c r="V680" s="62"/>
      <c r="W680" s="64">
        <v>42583</v>
      </c>
      <c r="X680" s="29">
        <f>DATE(YEAR(Table2[[#This Row],[Data attivazione]])+VLOOKUP(Table2[[#This Row],[Durata]],VALORE_DURATA,2,FALSE),MONTH(Table2[[#This Row],[Data attivazione]]),DAY(Table2[[#This Row],[Data attivazione]]))</f>
        <v>42948</v>
      </c>
      <c r="Y680" s="65"/>
      <c r="Z680" s="61"/>
      <c r="AA680" s="64" t="s">
        <v>85</v>
      </c>
      <c r="AB680" s="29" t="str">
        <f>IF(Table2[[#This Row],[Data ultimo versamento temp]]=0/1/1900,"-",Table2[[#This Row],[Data ultimo versamento temp]])</f>
        <v>-</v>
      </c>
      <c r="AC680" s="29">
        <f t="array" ref="AC680">MAX(IF(TableVersamenti[Polizza]=Table2[[#This Row],[Polizza]],TableVersamenti[Data prevista versamento],"-"))</f>
        <v>0</v>
      </c>
      <c r="AD680" s="62"/>
      <c r="AE680" s="106">
        <f>DATE(YEAR(Table2[[#This Row],[Data ultimo pagamento]]),MONTH(Table2[[#This Row],[Data ultimo pagamento]]), 1)</f>
        <v>42736</v>
      </c>
      <c r="AF680" s="106">
        <f>DATE(YEAR(Table2[[#This Row],[Data prossima scadenza]]),MONTH(Table2[[#This Row],[Data prossima scadenza]]), 1)</f>
        <v>42948</v>
      </c>
      <c r="AG680" s="33">
        <f>IFERROR(Table2[[#This Row],[Importo annuale]]*VLOOKUP(Table2[[#This Row],[Ramo]],RAMI_POLIZZA,2,FALSE),0)</f>
        <v>30.7164</v>
      </c>
      <c r="AH680" s="65" t="s">
        <v>113</v>
      </c>
      <c r="AI680" s="63" t="str">
        <f>IFERROR(VLOOKUP(Table2[[#This Row],[Contraente]],Table1[[Nome/Ragione sociale]:[Checkbox selezionato]],2,FALSE),"-")</f>
        <v>PORTALBERA</v>
      </c>
      <c r="AJ680" s="63">
        <f>IFERROR(VLOOKUP(Table2[[#This Row],[Contraente]],Table1[[Nome/Ragione sociale]:[Checkbox selezionato]],3,FALSE),"-")</f>
        <v>3398924177</v>
      </c>
      <c r="AK680" s="63">
        <f>IFERROR(VLOOKUP(Table2[[#This Row],[Contraente]],Table1[[Nome/Ragione sociale]:[Checkbox selezionato]],4,FALSE),"-")</f>
        <v>0</v>
      </c>
      <c r="AL680" s="63" t="str">
        <f>IFERROR(VLOOKUP(Table2[[#This Row],[Contraente]],Table1[[Nome/Ragione sociale]:[Checkbox selezionato]],5,FALSE),"-")</f>
        <v>ALESSANDRO</v>
      </c>
      <c r="AM680" s="62">
        <f>IFERROR(VLOOKUP(Table2[[#This Row],[Contraente]],Table1[[Nome/Ragione sociale]:[Checkbox selezionato]],6,FALSE),"-")</f>
        <v>30118</v>
      </c>
      <c r="AN680" s="63" t="str">
        <f>IFERROR(VLOOKUP(Table2[[#This Row],[Contraente]],Table1[[Nome/Ragione sociale]:[Checkbox selezionato]],7,FALSE),"-")</f>
        <v>papies@libero.it</v>
      </c>
      <c r="AO680" s="63">
        <f>IFERROR(VLOOKUP(Table2[[#This Row],[Contraente]],Table1[[Nome/Ragione sociale]:[Checkbox selezionato]],8,FALSE),"-")</f>
        <v>0</v>
      </c>
      <c r="AP680" s="63">
        <f>IFERROR(VLOOKUP(Table2[[#This Row],[Contraente]],Table1[[Nome/Ragione sociale]:[Checkbox selezionato]],10,FALSE),"-")</f>
        <v>3398924177</v>
      </c>
      <c r="AQ680" s="63" t="str">
        <f>IFERROR(VLOOKUP(Table2[[#This Row],[Contraente]],Table1[[Nome/Ragione sociale]:[Checkbox selezionato]],11,FALSE),"-")</f>
        <v>SI</v>
      </c>
      <c r="AR680" s="63" t="str">
        <f>IFERROR(VLOOKUP(Table2[[#This Row],[Contraente]],Table1[[Nome/Ragione sociale]:[Checkbox selezionato]],12,FALSE),"-")</f>
        <v>SI</v>
      </c>
    </row>
    <row r="681" spans="1:44" ht="30" hidden="1" customHeight="1" x14ac:dyDescent="0.25">
      <c r="A681" s="60" t="str">
        <f>UPPER(LEFT(Table2[[#This Row],[Contraente]],1))</f>
        <v>M</v>
      </c>
      <c r="B681" s="60" t="s">
        <v>1634</v>
      </c>
      <c r="C681" s="81" t="s">
        <v>1729</v>
      </c>
      <c r="D681" s="81" t="s">
        <v>37</v>
      </c>
      <c r="E681" s="86">
        <v>106964979</v>
      </c>
      <c r="F681" s="64">
        <v>42895</v>
      </c>
      <c r="G681" s="64">
        <f>IFERROR(CALCOLASCADENZA(Table2[[#This Row],[Data attivazione]],Table2[[#This Row],[Rateizzazione]],Table2[[#This Row],[Data ultimo pagamento]],Table2[[#This Row],[Data prossima scadenza manuale]]),"-")</f>
        <v>43017</v>
      </c>
      <c r="H681" s="67" t="s">
        <v>31</v>
      </c>
      <c r="I681" s="67" t="s">
        <v>1755</v>
      </c>
      <c r="J681" s="33">
        <f>IFERROR(Table2[[#This Row],[Importo annuale]]/(12/VLOOKUP(Table2[[#This Row],[Rateizzazione]],TIPI_RATEIZZAZIONI,2,FALSE)),"-")</f>
        <v>141</v>
      </c>
      <c r="K681" s="88">
        <v>141</v>
      </c>
      <c r="L681" s="88">
        <v>141</v>
      </c>
      <c r="M681" s="67" t="s">
        <v>43</v>
      </c>
      <c r="N681" s="67" t="s">
        <v>52</v>
      </c>
      <c r="O681" s="27" t="s">
        <v>1631</v>
      </c>
      <c r="P681" s="33" t="s">
        <v>23</v>
      </c>
      <c r="Q681" s="60">
        <f>IFERROR(IF(12 / VLOOKUP(Table2[[#This Row],[Rateizzazione]],TIPI_RATEIZZAZIONI,2,FALSE) &gt;=1,  IF(Table2[[#This Row],[Data attivazione]] = "","-",MONTH(Table2[[#This Row],[Data attivazione]])),"-"),"-")</f>
        <v>10</v>
      </c>
      <c r="R6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1" s="67" t="s">
        <v>2</v>
      </c>
      <c r="V681" s="62"/>
      <c r="W681" s="64">
        <v>42652</v>
      </c>
      <c r="X681" s="29">
        <f>DATE(YEAR(Table2[[#This Row],[Data attivazione]])+VLOOKUP(Table2[[#This Row],[Durata]],VALORE_DURATA,2,FALSE),MONTH(Table2[[#This Row],[Data attivazione]]),DAY(Table2[[#This Row],[Data attivazione]]))</f>
        <v>43017</v>
      </c>
      <c r="Y681" s="65"/>
      <c r="Z681" s="61"/>
      <c r="AA681" s="64" t="s">
        <v>85</v>
      </c>
      <c r="AB681" s="29" t="str">
        <f>IF(Table2[[#This Row],[Data ultimo versamento temp]]=0/1/1900,"-",Table2[[#This Row],[Data ultimo versamento temp]])</f>
        <v>-</v>
      </c>
      <c r="AC681" s="29">
        <f t="array" ref="AC681">MAX(IF(TableVersamenti[Polizza]=Table2[[#This Row],[Polizza]],TableVersamenti[Data prevista versamento],"-"))</f>
        <v>0</v>
      </c>
      <c r="AD681" s="62"/>
      <c r="AE681" s="106">
        <f>DATE(YEAR(Table2[[#This Row],[Data ultimo pagamento]]),MONTH(Table2[[#This Row],[Data ultimo pagamento]]), 1)</f>
        <v>42887</v>
      </c>
      <c r="AF681" s="106">
        <f>DATE(YEAR(Table2[[#This Row],[Data prossima scadenza]]),MONTH(Table2[[#This Row],[Data prossima scadenza]]), 1)</f>
        <v>43009</v>
      </c>
      <c r="AG681" s="33">
        <f>IFERROR(Table2[[#This Row],[Importo annuale]]*VLOOKUP(Table2[[#This Row],[Ramo]],RAMI_POLIZZA,2,FALSE),0)</f>
        <v>7.3319999999999999</v>
      </c>
      <c r="AH681" s="65" t="s">
        <v>113</v>
      </c>
      <c r="AI681" s="63" t="str">
        <f>IFERROR(VLOOKUP(Table2[[#This Row],[Contraente]],Table1[[Nome/Ragione sociale]:[Checkbox selezionato]],2,FALSE),"-")</f>
        <v>PORTALBERA</v>
      </c>
      <c r="AJ681" s="63">
        <f>IFERROR(VLOOKUP(Table2[[#This Row],[Contraente]],Table1[[Nome/Ragione sociale]:[Checkbox selezionato]],3,FALSE),"-")</f>
        <v>3398924177</v>
      </c>
      <c r="AK681" s="63">
        <f>IFERROR(VLOOKUP(Table2[[#This Row],[Contraente]],Table1[[Nome/Ragione sociale]:[Checkbox selezionato]],4,FALSE),"-")</f>
        <v>0</v>
      </c>
      <c r="AL681" s="63" t="str">
        <f>IFERROR(VLOOKUP(Table2[[#This Row],[Contraente]],Table1[[Nome/Ragione sociale]:[Checkbox selezionato]],5,FALSE),"-")</f>
        <v>ALESSANDRO</v>
      </c>
      <c r="AM681" s="62">
        <f>IFERROR(VLOOKUP(Table2[[#This Row],[Contraente]],Table1[[Nome/Ragione sociale]:[Checkbox selezionato]],6,FALSE),"-")</f>
        <v>30118</v>
      </c>
      <c r="AN681" s="63" t="str">
        <f>IFERROR(VLOOKUP(Table2[[#This Row],[Contraente]],Table1[[Nome/Ragione sociale]:[Checkbox selezionato]],7,FALSE),"-")</f>
        <v>papies@email.it</v>
      </c>
      <c r="AO681" s="63">
        <f>IFERROR(VLOOKUP(Table2[[#This Row],[Contraente]],Table1[[Nome/Ragione sociale]:[Checkbox selezionato]],8,FALSE),"-")</f>
        <v>0</v>
      </c>
      <c r="AP681" s="63">
        <f>IFERROR(VLOOKUP(Table2[[#This Row],[Contraente]],Table1[[Nome/Ragione sociale]:[Checkbox selezionato]],10,FALSE),"-")</f>
        <v>3398924177</v>
      </c>
      <c r="AQ681" s="63" t="str">
        <f>IFERROR(VLOOKUP(Table2[[#This Row],[Contraente]],Table1[[Nome/Ragione sociale]:[Checkbox selezionato]],11,FALSE),"-")</f>
        <v>SI</v>
      </c>
      <c r="AR681" s="63" t="str">
        <f>IFERROR(VLOOKUP(Table2[[#This Row],[Contraente]],Table1[[Nome/Ragione sociale]:[Checkbox selezionato]],12,FALSE),"-")</f>
        <v>SI</v>
      </c>
    </row>
    <row r="682" spans="1:44" ht="30" hidden="1" customHeight="1" x14ac:dyDescent="0.25">
      <c r="A682" s="60" t="str">
        <f>UPPER(LEFT(Table2[[#This Row],[Contraente]],1))</f>
        <v>M</v>
      </c>
      <c r="B682" s="60" t="s">
        <v>1634</v>
      </c>
      <c r="C682" s="81" t="s">
        <v>791</v>
      </c>
      <c r="D682" s="81" t="s">
        <v>37</v>
      </c>
      <c r="E682" s="86">
        <v>104917994</v>
      </c>
      <c r="F682" s="64">
        <v>42648</v>
      </c>
      <c r="G682" s="64">
        <f>IFERROR(CALCOLASCADENZA(Table2[[#This Row],[Data attivazione]],Table2[[#This Row],[Rateizzazione]],Table2[[#This Row],[Data ultimo pagamento]],Table2[[#This Row],[Data prossima scadenza manuale]]),"-")</f>
        <v>43024</v>
      </c>
      <c r="H682" s="67" t="s">
        <v>30</v>
      </c>
      <c r="I682" s="67" t="s">
        <v>113</v>
      </c>
      <c r="J682" s="33">
        <f>IFERROR(Table2[[#This Row],[Importo annuale]]/(12/VLOOKUP(Table2[[#This Row],[Rateizzazione]],TIPI_RATEIZZAZIONI,2,FALSE)),"-")</f>
        <v>153</v>
      </c>
      <c r="K682" s="88"/>
      <c r="L682" s="88">
        <v>153</v>
      </c>
      <c r="M682" s="67" t="s">
        <v>44</v>
      </c>
      <c r="N682" s="67" t="s">
        <v>51</v>
      </c>
      <c r="O682" s="27" t="s">
        <v>1631</v>
      </c>
      <c r="P682" s="33" t="s">
        <v>23</v>
      </c>
      <c r="Q682" s="60">
        <f>IFERROR(IF(12 / VLOOKUP(Table2[[#This Row],[Rateizzazione]],TIPI_RATEIZZAZIONI,2,FALSE) &gt;=1,  IF(Table2[[#This Row],[Data attivazione]] = "","-",MONTH(Table2[[#This Row],[Data attivazione]])),"-"),"-")</f>
        <v>10</v>
      </c>
      <c r="R6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2" s="67" t="s">
        <v>2</v>
      </c>
      <c r="V682" s="62"/>
      <c r="W682" s="64">
        <v>42659</v>
      </c>
      <c r="X682" s="29">
        <f>DATE(YEAR(Table2[[#This Row],[Data attivazione]])+VLOOKUP(Table2[[#This Row],[Durata]],VALORE_DURATA,2,FALSE),MONTH(Table2[[#This Row],[Data attivazione]]),DAY(Table2[[#This Row],[Data attivazione]]))</f>
        <v>43024</v>
      </c>
      <c r="Y682" s="65"/>
      <c r="Z682" s="61"/>
      <c r="AA682" s="64" t="s">
        <v>85</v>
      </c>
      <c r="AB682" s="29" t="str">
        <f>IF(Table2[[#This Row],[Data ultimo versamento temp]]=0/1/1900,"-",Table2[[#This Row],[Data ultimo versamento temp]])</f>
        <v>-</v>
      </c>
      <c r="AC682" s="29">
        <f t="array" ref="AC682">MAX(IF(TableVersamenti[Polizza]=Table2[[#This Row],[Polizza]],TableVersamenti[Data prevista versamento],"-"))</f>
        <v>0</v>
      </c>
      <c r="AD682" s="62"/>
      <c r="AE682" s="106">
        <f>DATE(YEAR(Table2[[#This Row],[Data ultimo pagamento]]),MONTH(Table2[[#This Row],[Data ultimo pagamento]]), 1)</f>
        <v>42644</v>
      </c>
      <c r="AF682" s="106">
        <f>DATE(YEAR(Table2[[#This Row],[Data prossima scadenza]]),MONTH(Table2[[#This Row],[Data prossima scadenza]]), 1)</f>
        <v>43009</v>
      </c>
      <c r="AG682" s="33">
        <f>IFERROR(Table2[[#This Row],[Importo annuale]]*VLOOKUP(Table2[[#This Row],[Ramo]],RAMI_POLIZZA,2,FALSE),0)</f>
        <v>17.595000000000002</v>
      </c>
      <c r="AH682" s="65" t="s">
        <v>113</v>
      </c>
      <c r="AI682" s="63" t="str">
        <f>IFERROR(VLOOKUP(Table2[[#This Row],[Contraente]],Table1[[Nome/Ragione sociale]:[Checkbox selezionato]],2,FALSE),"-")</f>
        <v>BELGIOIOSO</v>
      </c>
      <c r="AJ682" s="63" t="str">
        <f>IFERROR(VLOOKUP(Table2[[#This Row],[Contraente]],Table1[[Nome/Ragione sociale]:[Checkbox selezionato]],3,FALSE),"-")</f>
        <v>.0382.960237</v>
      </c>
      <c r="AK682" s="63">
        <f>IFERROR(VLOOKUP(Table2[[#This Row],[Contraente]],Table1[[Nome/Ragione sociale]:[Checkbox selezionato]],4,FALSE),"-")</f>
        <v>0</v>
      </c>
      <c r="AL682" s="63" t="str">
        <f>IFERROR(VLOOKUP(Table2[[#This Row],[Contraente]],Table1[[Nome/Ragione sociale]:[Checkbox selezionato]],5,FALSE),"-")</f>
        <v>AGATA</v>
      </c>
      <c r="AM682" s="62" t="str">
        <f>IFERROR(VLOOKUP(Table2[[#This Row],[Contraente]],Table1[[Nome/Ragione sociale]:[Checkbox selezionato]],6,FALSE),"-")</f>
        <v>-</v>
      </c>
      <c r="AN682" s="63" t="str">
        <f>IFERROR(VLOOKUP(Table2[[#This Row],[Contraente]],Table1[[Nome/Ragione sociale]:[Checkbox selezionato]],7,FALSE),"-")</f>
        <v>papies@libero.it</v>
      </c>
      <c r="AO682" s="63">
        <f>IFERROR(VLOOKUP(Table2[[#This Row],[Contraente]],Table1[[Nome/Ragione sociale]:[Checkbox selezionato]],8,FALSE),"-")</f>
        <v>0</v>
      </c>
      <c r="AP682" s="63" t="str">
        <f>IFERROR(VLOOKUP(Table2[[#This Row],[Contraente]],Table1[[Nome/Ragione sociale]:[Checkbox selezionato]],10,FALSE),"-")</f>
        <v>.0382.960237</v>
      </c>
      <c r="AQ682" s="63" t="str">
        <f>IFERROR(VLOOKUP(Table2[[#This Row],[Contraente]],Table1[[Nome/Ragione sociale]:[Checkbox selezionato]],11,FALSE),"-")</f>
        <v>SI</v>
      </c>
      <c r="AR682" s="63" t="str">
        <f>IFERROR(VLOOKUP(Table2[[#This Row],[Contraente]],Table1[[Nome/Ragione sociale]:[Checkbox selezionato]],12,FALSE),"-")</f>
        <v>SI</v>
      </c>
    </row>
    <row r="683" spans="1:44" ht="30" hidden="1" customHeight="1" x14ac:dyDescent="0.25">
      <c r="A683" s="60" t="str">
        <f>UPPER(LEFT(Table2[[#This Row],[Contraente]],1))</f>
        <v>M</v>
      </c>
      <c r="B683" s="60" t="s">
        <v>1634</v>
      </c>
      <c r="C683" s="81" t="s">
        <v>790</v>
      </c>
      <c r="D683" s="81" t="s">
        <v>37</v>
      </c>
      <c r="E683" s="86">
        <v>1074990</v>
      </c>
      <c r="F683" s="64">
        <v>42923</v>
      </c>
      <c r="G683" s="64">
        <f>IFERROR(CALCOLASCADENZA(Table2[[#This Row],[Data attivazione]],Table2[[#This Row],[Rateizzazione]],Table2[[#This Row],[Data ultimo pagamento]],Table2[[#This Row],[Data prossima scadenza manuale]]),"-")</f>
        <v>43108</v>
      </c>
      <c r="H683" s="67" t="s">
        <v>32</v>
      </c>
      <c r="I683" s="67" t="s">
        <v>113</v>
      </c>
      <c r="J683" s="33">
        <v>41.29</v>
      </c>
      <c r="K683" s="88">
        <v>82.58</v>
      </c>
      <c r="L683" s="88">
        <v>82.6</v>
      </c>
      <c r="M683" s="67" t="s">
        <v>44</v>
      </c>
      <c r="N683" s="67" t="s">
        <v>51</v>
      </c>
      <c r="O683" s="27" t="s">
        <v>1631</v>
      </c>
      <c r="P683" s="33" t="s">
        <v>22</v>
      </c>
      <c r="Q683" s="60">
        <f>IFERROR(IF(12 / VLOOKUP(Table2[[#This Row],[Rateizzazione]],TIPI_RATEIZZAZIONI,2,FALSE) &gt;=1,  IF(Table2[[#This Row],[Data attivazione]] = "","-",MONTH(Table2[[#This Row],[Data attivazione]])),"-"),"-")</f>
        <v>7</v>
      </c>
      <c r="R6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3" s="67" t="s">
        <v>2</v>
      </c>
      <c r="V683" s="62"/>
      <c r="W683" s="64">
        <v>42924</v>
      </c>
      <c r="X683" s="29">
        <f>DATE(YEAR(Table2[[#This Row],[Data attivazione]])+VLOOKUP(Table2[[#This Row],[Durata]],VALORE_DURATA,2,FALSE),MONTH(Table2[[#This Row],[Data attivazione]]),DAY(Table2[[#This Row],[Data attivazione]]))</f>
        <v>43289</v>
      </c>
      <c r="Y683" s="65"/>
      <c r="Z683" s="61"/>
      <c r="AA683" s="64" t="s">
        <v>85</v>
      </c>
      <c r="AB683" s="29">
        <f>IF(Table2[[#This Row],[Data ultimo versamento temp]]=0/1/1900,"-",Table2[[#This Row],[Data ultimo versamento temp]])</f>
        <v>42926</v>
      </c>
      <c r="AC683" s="29">
        <f t="array" ref="AC683">MAX(IF(TableVersamenti[Polizza]=Table2[[#This Row],[Polizza]],TableVersamenti[Data prevista versamento],"-"))</f>
        <v>42926</v>
      </c>
      <c r="AD683" s="62"/>
      <c r="AE683" s="106">
        <f>DATE(YEAR(Table2[[#This Row],[Data ultimo pagamento]]),MONTH(Table2[[#This Row],[Data ultimo pagamento]]), 1)</f>
        <v>42917</v>
      </c>
      <c r="AF683" s="106">
        <f>DATE(YEAR(Table2[[#This Row],[Data prossima scadenza]]),MONTH(Table2[[#This Row],[Data prossima scadenza]]), 1)</f>
        <v>43101</v>
      </c>
      <c r="AG683" s="33">
        <f>IFERROR(Table2[[#This Row],[Importo annuale]]*VLOOKUP(Table2[[#This Row],[Ramo]],RAMI_POLIZZA,2,FALSE),0)</f>
        <v>1.2389999999999999</v>
      </c>
      <c r="AH683" s="65" t="s">
        <v>113</v>
      </c>
      <c r="AI683" s="63" t="str">
        <f>IFERROR(VLOOKUP(Table2[[#This Row],[Contraente]],Table1[[Nome/Ragione sociale]:[Checkbox selezionato]],2,FALSE),"-")</f>
        <v>SANTA CRISTINA E BISSONE</v>
      </c>
      <c r="AJ683" s="63">
        <f>IFERROR(VLOOKUP(Table2[[#This Row],[Contraente]],Table1[[Nome/Ragione sociale]:[Checkbox selezionato]],3,FALSE),"-")</f>
        <v>3663216564</v>
      </c>
      <c r="AK683" s="63">
        <f>IFERROR(VLOOKUP(Table2[[#This Row],[Contraente]],Table1[[Nome/Ragione sociale]:[Checkbox selezionato]],4,FALSE),"-")</f>
        <v>0</v>
      </c>
      <c r="AL683" s="63" t="str">
        <f>IFERROR(VLOOKUP(Table2[[#This Row],[Contraente]],Table1[[Nome/Ragione sociale]:[Checkbox selezionato]],5,FALSE),"-")</f>
        <v>ANTONIO</v>
      </c>
      <c r="AM683" s="62">
        <f>IFERROR(VLOOKUP(Table2[[#This Row],[Contraente]],Table1[[Nome/Ragione sociale]:[Checkbox selezionato]],6,FALSE),"-")</f>
        <v>23036</v>
      </c>
      <c r="AN683" s="63" t="str">
        <f>IFERROR(VLOOKUP(Table2[[#This Row],[Contraente]],Table1[[Nome/Ragione sociale]:[Checkbox selezionato]],7,FALSE),"-")</f>
        <v>papies@libero.it</v>
      </c>
      <c r="AO683" s="63">
        <f>IFERROR(VLOOKUP(Table2[[#This Row],[Contraente]],Table1[[Nome/Ragione sociale]:[Checkbox selezionato]],8,FALSE),"-")</f>
        <v>0</v>
      </c>
      <c r="AP683" s="63">
        <f>IFERROR(VLOOKUP(Table2[[#This Row],[Contraente]],Table1[[Nome/Ragione sociale]:[Checkbox selezionato]],10,FALSE),"-")</f>
        <v>3663216564</v>
      </c>
      <c r="AQ683" s="63" t="str">
        <f>IFERROR(VLOOKUP(Table2[[#This Row],[Contraente]],Table1[[Nome/Ragione sociale]:[Checkbox selezionato]],11,FALSE),"-")</f>
        <v>SI</v>
      </c>
      <c r="AR683" s="63" t="str">
        <f>IFERROR(VLOOKUP(Table2[[#This Row],[Contraente]],Table1[[Nome/Ragione sociale]:[Checkbox selezionato]],12,FALSE),"-")</f>
        <v>SI</v>
      </c>
    </row>
    <row r="684" spans="1:44" ht="30" hidden="1" customHeight="1" x14ac:dyDescent="0.25">
      <c r="A684" s="60" t="str">
        <f>UPPER(LEFT(Table2[[#This Row],[Contraente]],1))</f>
        <v>M</v>
      </c>
      <c r="B684" s="60" t="s">
        <v>1634</v>
      </c>
      <c r="C684" s="81" t="s">
        <v>143</v>
      </c>
      <c r="D684" s="81" t="s">
        <v>37</v>
      </c>
      <c r="E684" s="86">
        <v>105202941</v>
      </c>
      <c r="F684" s="64">
        <v>42821</v>
      </c>
      <c r="G684" s="64">
        <f>IFERROR(CALCOLASCADENZA(Table2[[#This Row],[Data attivazione]],Table2[[#This Row],[Rateizzazione]],Table2[[#This Row],[Data ultimo pagamento]],Table2[[#This Row],[Data prossima scadenza manuale]]),"-")</f>
        <v>42988</v>
      </c>
      <c r="H684" s="67" t="s">
        <v>30</v>
      </c>
      <c r="I684" s="67" t="s">
        <v>113</v>
      </c>
      <c r="J684" s="33">
        <f>IFERROR(Table2[[#This Row],[Importo annuale]]/(12/VLOOKUP(Table2[[#This Row],[Rateizzazione]],TIPI_RATEIZZAZIONI,2,FALSE)),"-")</f>
        <v>80</v>
      </c>
      <c r="K684" s="88">
        <v>80</v>
      </c>
      <c r="L684" s="88">
        <v>160</v>
      </c>
      <c r="M684" s="67" t="s">
        <v>43</v>
      </c>
      <c r="N684" s="67" t="s">
        <v>51</v>
      </c>
      <c r="O684" s="27" t="s">
        <v>1631</v>
      </c>
      <c r="P684" s="33" t="s">
        <v>22</v>
      </c>
      <c r="Q684" s="60">
        <f>IFERROR(IF(12 / VLOOKUP(Table2[[#This Row],[Rateizzazione]],TIPI_RATEIZZAZIONI,2,FALSE) &gt;=1,  IF(Table2[[#This Row],[Data attivazione]] = "","-",MONTH(Table2[[#This Row],[Data attivazione]])),"-"),"-")</f>
        <v>9</v>
      </c>
      <c r="R6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4" s="67" t="s">
        <v>2</v>
      </c>
      <c r="V684" s="62"/>
      <c r="W684" s="64">
        <v>42623</v>
      </c>
      <c r="X684" s="29">
        <f>DATE(YEAR(Table2[[#This Row],[Data attivazione]])+VLOOKUP(Table2[[#This Row],[Durata]],VALORE_DURATA,2,FALSE),MONTH(Table2[[#This Row],[Data attivazione]]),DAY(Table2[[#This Row],[Data attivazione]]))</f>
        <v>42988</v>
      </c>
      <c r="Y684" s="65"/>
      <c r="Z684" s="61"/>
      <c r="AA684" s="64" t="s">
        <v>85</v>
      </c>
      <c r="AB684" s="29" t="str">
        <f>IF(Table2[[#This Row],[Data ultimo versamento temp]]=0/1/1900,"-",Table2[[#This Row],[Data ultimo versamento temp]])</f>
        <v>-</v>
      </c>
      <c r="AC684" s="29">
        <f t="array" ref="AC684">MAX(IF(TableVersamenti[Polizza]=Table2[[#This Row],[Polizza]],TableVersamenti[Data prevista versamento],"-"))</f>
        <v>0</v>
      </c>
      <c r="AD684" s="62"/>
      <c r="AE684" s="106">
        <f>DATE(YEAR(Table2[[#This Row],[Data ultimo pagamento]]),MONTH(Table2[[#This Row],[Data ultimo pagamento]]), 1)</f>
        <v>42795</v>
      </c>
      <c r="AF684" s="106">
        <f>DATE(YEAR(Table2[[#This Row],[Data prossima scadenza]]),MONTH(Table2[[#This Row],[Data prossima scadenza]]), 1)</f>
        <v>42979</v>
      </c>
      <c r="AG684" s="33">
        <f>IFERROR(Table2[[#This Row],[Importo annuale]]*VLOOKUP(Table2[[#This Row],[Ramo]],RAMI_POLIZZA,2,FALSE),0)</f>
        <v>18.400000000000002</v>
      </c>
      <c r="AH684" s="65" t="s">
        <v>113</v>
      </c>
      <c r="AI684" s="63" t="str">
        <f>IFERROR(VLOOKUP(Table2[[#This Row],[Contraente]],Table1[[Nome/Ragione sociale]:[Checkbox selezionato]],2,FALSE),"-")</f>
        <v>BELGIOIOSO</v>
      </c>
      <c r="AJ684" s="63">
        <f>IFERROR(VLOOKUP(Table2[[#This Row],[Contraente]],Table1[[Nome/Ragione sociale]:[Checkbox selezionato]],3,FALSE),"-")</f>
        <v>3396789410</v>
      </c>
      <c r="AK684" s="63">
        <f>IFERROR(VLOOKUP(Table2[[#This Row],[Contraente]],Table1[[Nome/Ragione sociale]:[Checkbox selezionato]],4,FALSE),"-")</f>
        <v>0</v>
      </c>
      <c r="AL684" s="63" t="str">
        <f>IFERROR(VLOOKUP(Table2[[#This Row],[Contraente]],Table1[[Nome/Ragione sociale]:[Checkbox selezionato]],5,FALSE),"-")</f>
        <v>MARIO</v>
      </c>
      <c r="AM684" s="62">
        <f>IFERROR(VLOOKUP(Table2[[#This Row],[Contraente]],Table1[[Nome/Ragione sociale]:[Checkbox selezionato]],6,FALSE),"-")</f>
        <v>33908</v>
      </c>
      <c r="AN684" s="63" t="str">
        <f>IFERROR(VLOOKUP(Table2[[#This Row],[Contraente]],Table1[[Nome/Ragione sociale]:[Checkbox selezionato]],7,FALSE),"-")</f>
        <v>papies@email.it</v>
      </c>
      <c r="AO684" s="63">
        <f>IFERROR(VLOOKUP(Table2[[#This Row],[Contraente]],Table1[[Nome/Ragione sociale]:[Checkbox selezionato]],8,FALSE),"-")</f>
        <v>0</v>
      </c>
      <c r="AP684" s="63">
        <f>IFERROR(VLOOKUP(Table2[[#This Row],[Contraente]],Table1[[Nome/Ragione sociale]:[Checkbox selezionato]],10,FALSE),"-")</f>
        <v>3396789410</v>
      </c>
      <c r="AQ684" s="63" t="str">
        <f>IFERROR(VLOOKUP(Table2[[#This Row],[Contraente]],Table1[[Nome/Ragione sociale]:[Checkbox selezionato]],11,FALSE),"-")</f>
        <v>SI</v>
      </c>
      <c r="AR684" s="63" t="str">
        <f>IFERROR(VLOOKUP(Table2[[#This Row],[Contraente]],Table1[[Nome/Ragione sociale]:[Checkbox selezionato]],12,FALSE),"-")</f>
        <v>SI</v>
      </c>
    </row>
    <row r="685" spans="1:44" ht="30" hidden="1" customHeight="1" x14ac:dyDescent="0.25">
      <c r="A685" s="60" t="str">
        <f>UPPER(LEFT(Table2[[#This Row],[Contraente]],1))</f>
        <v>M</v>
      </c>
      <c r="B685" s="60" t="s">
        <v>1634</v>
      </c>
      <c r="C685" s="81" t="s">
        <v>143</v>
      </c>
      <c r="D685" s="81" t="s">
        <v>37</v>
      </c>
      <c r="E685" s="86">
        <v>106433308</v>
      </c>
      <c r="F685" s="64">
        <v>42752</v>
      </c>
      <c r="G685" s="64">
        <f>IFERROR(CALCOLASCADENZA(Table2[[#This Row],[Data attivazione]],Table2[[#This Row],[Rateizzazione]],Table2[[#This Row],[Data ultimo pagamento]],Table2[[#This Row],[Data prossima scadenza manuale]]),"-")</f>
        <v>42930</v>
      </c>
      <c r="H685" s="67" t="s">
        <v>31</v>
      </c>
      <c r="I685" s="67" t="s">
        <v>1408</v>
      </c>
      <c r="J685" s="33">
        <f>IFERROR(Table2[[#This Row],[Importo annuale]]/(12/VLOOKUP(Table2[[#This Row],[Rateizzazione]],TIPI_RATEIZZAZIONI,2,FALSE)),"-")</f>
        <v>640.35</v>
      </c>
      <c r="K685" s="88">
        <v>640.35</v>
      </c>
      <c r="L685" s="88">
        <v>1280.7</v>
      </c>
      <c r="M685" s="67" t="s">
        <v>43</v>
      </c>
      <c r="N685" s="67" t="s">
        <v>51</v>
      </c>
      <c r="O685" s="27" t="s">
        <v>1631</v>
      </c>
      <c r="P685" s="33" t="s">
        <v>22</v>
      </c>
      <c r="Q685" s="60">
        <f>IFERROR(IF(12 / VLOOKUP(Table2[[#This Row],[Rateizzazione]],TIPI_RATEIZZAZIONI,2,FALSE) &gt;=1,  IF(Table2[[#This Row],[Data attivazione]] = "","-",MONTH(Table2[[#This Row],[Data attivazione]])),"-"),"-")</f>
        <v>7</v>
      </c>
      <c r="R6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5" s="67" t="s">
        <v>2</v>
      </c>
      <c r="V685" s="62"/>
      <c r="W685" s="64">
        <v>42565</v>
      </c>
      <c r="X685" s="29">
        <f>DATE(YEAR(Table2[[#This Row],[Data attivazione]])+VLOOKUP(Table2[[#This Row],[Durata]],VALORE_DURATA,2,FALSE),MONTH(Table2[[#This Row],[Data attivazione]]),DAY(Table2[[#This Row],[Data attivazione]]))</f>
        <v>42930</v>
      </c>
      <c r="Y685" s="65"/>
      <c r="Z685" s="61"/>
      <c r="AA685" s="64" t="s">
        <v>85</v>
      </c>
      <c r="AB685" s="29" t="str">
        <f>IF(Table2[[#This Row],[Data ultimo versamento temp]]=0/1/1900,"-",Table2[[#This Row],[Data ultimo versamento temp]])</f>
        <v>-</v>
      </c>
      <c r="AC685" s="29">
        <f t="array" ref="AC685">MAX(IF(TableVersamenti[Polizza]=Table2[[#This Row],[Polizza]],TableVersamenti[Data prevista versamento],"-"))</f>
        <v>0</v>
      </c>
      <c r="AD685" s="62"/>
      <c r="AE685" s="106">
        <f>DATE(YEAR(Table2[[#This Row],[Data ultimo pagamento]]),MONTH(Table2[[#This Row],[Data ultimo pagamento]]), 1)</f>
        <v>42736</v>
      </c>
      <c r="AF685" s="106">
        <f>DATE(YEAR(Table2[[#This Row],[Data prossima scadenza]]),MONTH(Table2[[#This Row],[Data prossima scadenza]]), 1)</f>
        <v>42917</v>
      </c>
      <c r="AG685" s="33">
        <f>IFERROR(Table2[[#This Row],[Importo annuale]]*VLOOKUP(Table2[[#This Row],[Ramo]],RAMI_POLIZZA,2,FALSE),0)</f>
        <v>66.596400000000003</v>
      </c>
      <c r="AH685" s="65" t="s">
        <v>113</v>
      </c>
      <c r="AI685" s="63" t="str">
        <f>IFERROR(VLOOKUP(Table2[[#This Row],[Contraente]],Table1[[Nome/Ragione sociale]:[Checkbox selezionato]],2,FALSE),"-")</f>
        <v>BELGIOIOSO</v>
      </c>
      <c r="AJ685" s="63">
        <f>IFERROR(VLOOKUP(Table2[[#This Row],[Contraente]],Table1[[Nome/Ragione sociale]:[Checkbox selezionato]],3,FALSE),"-")</f>
        <v>3396789410</v>
      </c>
      <c r="AK685" s="63">
        <f>IFERROR(VLOOKUP(Table2[[#This Row],[Contraente]],Table1[[Nome/Ragione sociale]:[Checkbox selezionato]],4,FALSE),"-")</f>
        <v>0</v>
      </c>
      <c r="AL685" s="63" t="str">
        <f>IFERROR(VLOOKUP(Table2[[#This Row],[Contraente]],Table1[[Nome/Ragione sociale]:[Checkbox selezionato]],5,FALSE),"-")</f>
        <v>MARIO</v>
      </c>
      <c r="AM685" s="62">
        <f>IFERROR(VLOOKUP(Table2[[#This Row],[Contraente]],Table1[[Nome/Ragione sociale]:[Checkbox selezionato]],6,FALSE),"-")</f>
        <v>33908</v>
      </c>
      <c r="AN685" s="63" t="str">
        <f>IFERROR(VLOOKUP(Table2[[#This Row],[Contraente]],Table1[[Nome/Ragione sociale]:[Checkbox selezionato]],7,FALSE),"-")</f>
        <v>papies@email.it</v>
      </c>
      <c r="AO685" s="63">
        <f>IFERROR(VLOOKUP(Table2[[#This Row],[Contraente]],Table1[[Nome/Ragione sociale]:[Checkbox selezionato]],8,FALSE),"-")</f>
        <v>0</v>
      </c>
      <c r="AP685" s="63">
        <f>IFERROR(VLOOKUP(Table2[[#This Row],[Contraente]],Table1[[Nome/Ragione sociale]:[Checkbox selezionato]],10,FALSE),"-")</f>
        <v>3396789410</v>
      </c>
      <c r="AQ685" s="63" t="str">
        <f>IFERROR(VLOOKUP(Table2[[#This Row],[Contraente]],Table1[[Nome/Ragione sociale]:[Checkbox selezionato]],11,FALSE),"-")</f>
        <v>SI</v>
      </c>
      <c r="AR685" s="63" t="str">
        <f>IFERROR(VLOOKUP(Table2[[#This Row],[Contraente]],Table1[[Nome/Ragione sociale]:[Checkbox selezionato]],12,FALSE),"-")</f>
        <v>SI</v>
      </c>
    </row>
    <row r="686" spans="1:44" ht="30" hidden="1" customHeight="1" x14ac:dyDescent="0.25">
      <c r="A686" s="60" t="str">
        <f>UPPER(LEFT(Table2[[#This Row],[Contraente]],1))</f>
        <v>M</v>
      </c>
      <c r="B686" s="60" t="s">
        <v>1634</v>
      </c>
      <c r="C686" s="81" t="s">
        <v>1120</v>
      </c>
      <c r="D686" s="81" t="s">
        <v>37</v>
      </c>
      <c r="E686" s="86">
        <v>106800148</v>
      </c>
      <c r="F686" s="64">
        <v>42857</v>
      </c>
      <c r="G686" s="64">
        <f>IFERROR(CALCOLASCADENZA(Table2[[#This Row],[Data attivazione]],Table2[[#This Row],[Rateizzazione]],Table2[[#This Row],[Data ultimo pagamento]],Table2[[#This Row],[Data prossima scadenza manuale]]),"-")</f>
        <v>43041</v>
      </c>
      <c r="H686" s="67" t="s">
        <v>31</v>
      </c>
      <c r="I686" s="67" t="s">
        <v>1756</v>
      </c>
      <c r="J686" s="33">
        <f>IFERROR(Table2[[#This Row],[Importo annuale]]/(12/VLOOKUP(Table2[[#This Row],[Rateizzazione]],TIPI_RATEIZZAZIONI,2,FALSE)),"-")</f>
        <v>245</v>
      </c>
      <c r="K686" s="88">
        <v>245</v>
      </c>
      <c r="L686" s="88">
        <v>490</v>
      </c>
      <c r="M686" s="67" t="s">
        <v>43</v>
      </c>
      <c r="N686" s="67" t="s">
        <v>52</v>
      </c>
      <c r="O686" s="27" t="s">
        <v>1631</v>
      </c>
      <c r="P686" s="33" t="s">
        <v>22</v>
      </c>
      <c r="Q686" s="60">
        <f>IFERROR(IF(12 / VLOOKUP(Table2[[#This Row],[Rateizzazione]],TIPI_RATEIZZAZIONI,2,FALSE) &gt;=1,  IF(Table2[[#This Row],[Data attivazione]] = "","-",MONTH(Table2[[#This Row],[Data attivazione]])),"-"),"-")</f>
        <v>11</v>
      </c>
      <c r="R6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6" s="67" t="s">
        <v>2</v>
      </c>
      <c r="V686" s="62"/>
      <c r="W686" s="64">
        <v>42676</v>
      </c>
      <c r="X686" s="29">
        <f>DATE(YEAR(Table2[[#This Row],[Data attivazione]])+VLOOKUP(Table2[[#This Row],[Durata]],VALORE_DURATA,2,FALSE),MONTH(Table2[[#This Row],[Data attivazione]]),DAY(Table2[[#This Row],[Data attivazione]]))</f>
        <v>43041</v>
      </c>
      <c r="Y686" s="65"/>
      <c r="Z686" s="61"/>
      <c r="AA686" s="64" t="s">
        <v>85</v>
      </c>
      <c r="AB686" s="29" t="str">
        <f>IF(Table2[[#This Row],[Data ultimo versamento temp]]=0/1/1900,"-",Table2[[#This Row],[Data ultimo versamento temp]])</f>
        <v>-</v>
      </c>
      <c r="AC686" s="29">
        <f t="array" ref="AC686">MAX(IF(TableVersamenti[Polizza]=Table2[[#This Row],[Polizza]],TableVersamenti[Data prevista versamento],"-"))</f>
        <v>0</v>
      </c>
      <c r="AD686" s="62"/>
      <c r="AE686" s="106">
        <f>DATE(YEAR(Table2[[#This Row],[Data ultimo pagamento]]),MONTH(Table2[[#This Row],[Data ultimo pagamento]]), 1)</f>
        <v>42856</v>
      </c>
      <c r="AF686" s="106">
        <f>DATE(YEAR(Table2[[#This Row],[Data prossima scadenza]]),MONTH(Table2[[#This Row],[Data prossima scadenza]]), 1)</f>
        <v>43040</v>
      </c>
      <c r="AG686" s="33">
        <f>IFERROR(Table2[[#This Row],[Importo annuale]]*VLOOKUP(Table2[[#This Row],[Ramo]],RAMI_POLIZZA,2,FALSE),0)</f>
        <v>25.48</v>
      </c>
      <c r="AH686" s="65" t="s">
        <v>113</v>
      </c>
      <c r="AI686" s="63" t="str">
        <f>IFERROR(VLOOKUP(Table2[[#This Row],[Contraente]],Table1[[Nome/Ragione sociale]:[Checkbox selezionato]],2,FALSE),"-")</f>
        <v>ARENA PO</v>
      </c>
      <c r="AJ686" s="63">
        <f>IFERROR(VLOOKUP(Table2[[#This Row],[Contraente]],Table1[[Nome/Ragione sociale]:[Checkbox selezionato]],3,FALSE),"-")</f>
        <v>0</v>
      </c>
      <c r="AK686" s="63">
        <f>IFERROR(VLOOKUP(Table2[[#This Row],[Contraente]],Table1[[Nome/Ragione sociale]:[Checkbox selezionato]],4,FALSE),"-")</f>
        <v>0</v>
      </c>
      <c r="AL686" s="63" t="str">
        <f>IFERROR(VLOOKUP(Table2[[#This Row],[Contraente]],Table1[[Nome/Ragione sociale]:[Checkbox selezionato]],5,FALSE),"-")</f>
        <v>GIORGIA</v>
      </c>
      <c r="AM686" s="62" t="str">
        <f>IFERROR(VLOOKUP(Table2[[#This Row],[Contraente]],Table1[[Nome/Ragione sociale]:[Checkbox selezionato]],6,FALSE),"-")</f>
        <v>-</v>
      </c>
      <c r="AN686" s="63" t="str">
        <f>IFERROR(VLOOKUP(Table2[[#This Row],[Contraente]],Table1[[Nome/Ragione sociale]:[Checkbox selezionato]],7,FALSE),"-")</f>
        <v>papies@libero.it</v>
      </c>
      <c r="AO686" s="63">
        <f>IFERROR(VLOOKUP(Table2[[#This Row],[Contraente]],Table1[[Nome/Ragione sociale]:[Checkbox selezionato]],8,FALSE),"-")</f>
        <v>0</v>
      </c>
      <c r="AP686" s="63">
        <f>IFERROR(VLOOKUP(Table2[[#This Row],[Contraente]],Table1[[Nome/Ragione sociale]:[Checkbox selezionato]],10,FALSE),"-")</f>
        <v>0</v>
      </c>
      <c r="AQ686" s="63" t="str">
        <f>IFERROR(VLOOKUP(Table2[[#This Row],[Contraente]],Table1[[Nome/Ragione sociale]:[Checkbox selezionato]],11,FALSE),"-")</f>
        <v>SI</v>
      </c>
      <c r="AR686" s="63" t="str">
        <f>IFERROR(VLOOKUP(Table2[[#This Row],[Contraente]],Table1[[Nome/Ragione sociale]:[Checkbox selezionato]],12,FALSE),"-")</f>
        <v>SI</v>
      </c>
    </row>
    <row r="687" spans="1:44" ht="30" hidden="1" customHeight="1" x14ac:dyDescent="0.25">
      <c r="A687" s="60" t="str">
        <f>UPPER(LEFT(Table2[[#This Row],[Contraente]],1))</f>
        <v>M</v>
      </c>
      <c r="B687" s="60" t="s">
        <v>1634</v>
      </c>
      <c r="C687" s="81" t="s">
        <v>1120</v>
      </c>
      <c r="D687" s="81" t="s">
        <v>38</v>
      </c>
      <c r="E687" s="86">
        <v>7000094285</v>
      </c>
      <c r="F687" s="64">
        <v>42857</v>
      </c>
      <c r="G687" s="64">
        <f>IFERROR(CALCOLASCADENZA(Table2[[#This Row],[Data attivazione]],Table2[[#This Row],[Rateizzazione]],Table2[[#This Row],[Data ultimo pagamento]],Table2[[#This Row],[Data prossima scadenza manuale]]),"-")</f>
        <v>43041</v>
      </c>
      <c r="H687" s="67" t="s">
        <v>31</v>
      </c>
      <c r="I687" s="67" t="s">
        <v>113</v>
      </c>
      <c r="J687" s="33">
        <f>IFERROR(Table2[[#This Row],[Importo annuale]]/(12/VLOOKUP(Table2[[#This Row],[Rateizzazione]],TIPI_RATEIZZAZIONI,2,FALSE)),"-")</f>
        <v>60.5</v>
      </c>
      <c r="K687" s="88">
        <v>60.5</v>
      </c>
      <c r="L687" s="88">
        <v>121</v>
      </c>
      <c r="M687" s="67" t="s">
        <v>43</v>
      </c>
      <c r="N687" s="67" t="s">
        <v>52</v>
      </c>
      <c r="O687" s="27" t="s">
        <v>1631</v>
      </c>
      <c r="P687" s="33" t="s">
        <v>22</v>
      </c>
      <c r="Q687" s="60">
        <f>IFERROR(IF(12 / VLOOKUP(Table2[[#This Row],[Rateizzazione]],TIPI_RATEIZZAZIONI,2,FALSE) &gt;=1,  IF(Table2[[#This Row],[Data attivazione]] = "","-",MONTH(Table2[[#This Row],[Data attivazione]])),"-"),"-")</f>
        <v>11</v>
      </c>
      <c r="R6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7" s="67" t="s">
        <v>2</v>
      </c>
      <c r="V687" s="62"/>
      <c r="W687" s="64">
        <v>42676</v>
      </c>
      <c r="X687" s="29">
        <f>DATE(YEAR(Table2[[#This Row],[Data attivazione]])+VLOOKUP(Table2[[#This Row],[Durata]],VALORE_DURATA,2,FALSE),MONTH(Table2[[#This Row],[Data attivazione]]),DAY(Table2[[#This Row],[Data attivazione]]))</f>
        <v>43041</v>
      </c>
      <c r="Y687" s="65"/>
      <c r="Z687" s="61"/>
      <c r="AA687" s="64" t="s">
        <v>85</v>
      </c>
      <c r="AB687" s="29" t="str">
        <f>IF(Table2[[#This Row],[Data ultimo versamento temp]]=0/1/1900,"-",Table2[[#This Row],[Data ultimo versamento temp]])</f>
        <v>-</v>
      </c>
      <c r="AC687" s="29">
        <f t="array" ref="AC687">MAX(IF(TableVersamenti[Polizza]=Table2[[#This Row],[Polizza]],TableVersamenti[Data prevista versamento],"-"))</f>
        <v>0</v>
      </c>
      <c r="AD687" s="62"/>
      <c r="AE687" s="106">
        <f>DATE(YEAR(Table2[[#This Row],[Data ultimo pagamento]]),MONTH(Table2[[#This Row],[Data ultimo pagamento]]), 1)</f>
        <v>42856</v>
      </c>
      <c r="AF687" s="106">
        <f>DATE(YEAR(Table2[[#This Row],[Data prossima scadenza]]),MONTH(Table2[[#This Row],[Data prossima scadenza]]), 1)</f>
        <v>43040</v>
      </c>
      <c r="AG687" s="33">
        <f>IFERROR(Table2[[#This Row],[Importo annuale]]*VLOOKUP(Table2[[#This Row],[Ramo]],RAMI_POLIZZA,2,FALSE),0)</f>
        <v>6.2919999999999998</v>
      </c>
      <c r="AH687" s="65" t="s">
        <v>113</v>
      </c>
      <c r="AI687" s="63" t="str">
        <f>IFERROR(VLOOKUP(Table2[[#This Row],[Contraente]],Table1[[Nome/Ragione sociale]:[Checkbox selezionato]],2,FALSE),"-")</f>
        <v>ARENA PO</v>
      </c>
      <c r="AJ687" s="63">
        <f>IFERROR(VLOOKUP(Table2[[#This Row],[Contraente]],Table1[[Nome/Ragione sociale]:[Checkbox selezionato]],3,FALSE),"-")</f>
        <v>0</v>
      </c>
      <c r="AK687" s="63">
        <f>IFERROR(VLOOKUP(Table2[[#This Row],[Contraente]],Table1[[Nome/Ragione sociale]:[Checkbox selezionato]],4,FALSE),"-")</f>
        <v>0</v>
      </c>
      <c r="AL687" s="63" t="str">
        <f>IFERROR(VLOOKUP(Table2[[#This Row],[Contraente]],Table1[[Nome/Ragione sociale]:[Checkbox selezionato]],5,FALSE),"-")</f>
        <v>GIORGIA</v>
      </c>
      <c r="AM687" s="62" t="str">
        <f>IFERROR(VLOOKUP(Table2[[#This Row],[Contraente]],Table1[[Nome/Ragione sociale]:[Checkbox selezionato]],6,FALSE),"-")</f>
        <v>-</v>
      </c>
      <c r="AN687" s="63" t="str">
        <f>IFERROR(VLOOKUP(Table2[[#This Row],[Contraente]],Table1[[Nome/Ragione sociale]:[Checkbox selezionato]],7,FALSE),"-")</f>
        <v>papies@libero.it</v>
      </c>
      <c r="AO687" s="63">
        <f>IFERROR(VLOOKUP(Table2[[#This Row],[Contraente]],Table1[[Nome/Ragione sociale]:[Checkbox selezionato]],8,FALSE),"-")</f>
        <v>0</v>
      </c>
      <c r="AP687" s="63">
        <f>IFERROR(VLOOKUP(Table2[[#This Row],[Contraente]],Table1[[Nome/Ragione sociale]:[Checkbox selezionato]],10,FALSE),"-")</f>
        <v>0</v>
      </c>
      <c r="AQ687" s="63" t="str">
        <f>IFERROR(VLOOKUP(Table2[[#This Row],[Contraente]],Table1[[Nome/Ragione sociale]:[Checkbox selezionato]],11,FALSE),"-")</f>
        <v>SI</v>
      </c>
      <c r="AR687" s="63" t="str">
        <f>IFERROR(VLOOKUP(Table2[[#This Row],[Contraente]],Table1[[Nome/Ragione sociale]:[Checkbox selezionato]],12,FALSE),"-")</f>
        <v>SI</v>
      </c>
    </row>
    <row r="688" spans="1:44" ht="30" hidden="1" customHeight="1" x14ac:dyDescent="0.25">
      <c r="A688" s="60" t="str">
        <f>UPPER(LEFT(Table2[[#This Row],[Contraente]],1))</f>
        <v>M</v>
      </c>
      <c r="B688" s="60" t="s">
        <v>1634</v>
      </c>
      <c r="C688" s="81" t="s">
        <v>1120</v>
      </c>
      <c r="D688" s="81" t="s">
        <v>37</v>
      </c>
      <c r="E688" s="86">
        <v>102973357</v>
      </c>
      <c r="F688" s="64">
        <v>41948</v>
      </c>
      <c r="G688" s="64">
        <f>IFERROR(CALCOLASCADENZA(Table2[[#This Row],[Data attivazione]],Table2[[#This Row],[Rateizzazione]],Table2[[#This Row],[Data ultimo pagamento]],Table2[[#This Row],[Data prossima scadenza manuale]]),"-")</f>
        <v>693778</v>
      </c>
      <c r="H688" s="67" t="s">
        <v>31</v>
      </c>
      <c r="I688" s="67"/>
      <c r="J688" s="33">
        <f>IFERROR(Table2[[#This Row],[Importo annuale]]/(12/VLOOKUP(Table2[[#This Row],[Rateizzazione]],TIPI_RATEIZZAZIONI,2,FALSE)),"-")</f>
        <v>357</v>
      </c>
      <c r="K688" s="88"/>
      <c r="L688" s="88">
        <v>714</v>
      </c>
      <c r="M688" s="67" t="s">
        <v>44</v>
      </c>
      <c r="N688" s="67" t="s">
        <v>52</v>
      </c>
      <c r="O688" s="27" t="s">
        <v>1631</v>
      </c>
      <c r="P688" s="33" t="s">
        <v>22</v>
      </c>
      <c r="Q688" s="60">
        <f>IFERROR(IF(12 / VLOOKUP(Table2[[#This Row],[Rateizzazione]],TIPI_RATEIZZAZIONI,2,FALSE) &gt;=1,  IF(Table2[[#This Row],[Data attivazione]] = "","-",MONTH(Table2[[#This Row],[Data attivazione]])),"-"),"-")</f>
        <v>12</v>
      </c>
      <c r="R6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8" s="67" t="s">
        <v>2</v>
      </c>
      <c r="V688" s="62"/>
      <c r="W688" s="64">
        <v>693597</v>
      </c>
      <c r="X688" s="29">
        <f>DATE(YEAR(Table2[[#This Row],[Data attivazione]])+VLOOKUP(Table2[[#This Row],[Durata]],VALORE_DURATA,2,FALSE),MONTH(Table2[[#This Row],[Data attivazione]]),DAY(Table2[[#This Row],[Data attivazione]]))</f>
        <v>693962</v>
      </c>
      <c r="Y688" s="65"/>
      <c r="Z688" s="61"/>
      <c r="AA688" s="64" t="s">
        <v>88</v>
      </c>
      <c r="AB688" s="29" t="str">
        <f>IF(Table2[[#This Row],[Data ultimo versamento temp]]=0/1/1900,"-",Table2[[#This Row],[Data ultimo versamento temp]])</f>
        <v>-</v>
      </c>
      <c r="AC688" s="29">
        <f t="array" ref="AC688">MAX(IF(TableVersamenti[Polizza]=Table2[[#This Row],[Polizza]],TableVersamenti[Data prevista versamento],"-"))</f>
        <v>0</v>
      </c>
      <c r="AD688" s="62"/>
      <c r="AE688" s="106">
        <f>DATE(YEAR(Table2[[#This Row],[Data ultimo pagamento]]),MONTH(Table2[[#This Row],[Data ultimo pagamento]]), 1)</f>
        <v>41944</v>
      </c>
      <c r="AF688" s="106">
        <f>DATE(YEAR(Table2[[#This Row],[Data prossima scadenza]]),MONTH(Table2[[#This Row],[Data prossima scadenza]]), 1)</f>
        <v>693749</v>
      </c>
      <c r="AG688" s="33">
        <f>IFERROR(Table2[[#This Row],[Importo annuale]]*VLOOKUP(Table2[[#This Row],[Ramo]],RAMI_POLIZZA,2,FALSE),0)</f>
        <v>37.128</v>
      </c>
      <c r="AH688" s="65" t="s">
        <v>113</v>
      </c>
      <c r="AI688" s="63" t="str">
        <f>IFERROR(VLOOKUP(Table2[[#This Row],[Contraente]],Table1[[Nome/Ragione sociale]:[Checkbox selezionato]],2,FALSE),"-")</f>
        <v>ARENA PO</v>
      </c>
      <c r="AJ688" s="63">
        <f>IFERROR(VLOOKUP(Table2[[#This Row],[Contraente]],Table1[[Nome/Ragione sociale]:[Checkbox selezionato]],3,FALSE),"-")</f>
        <v>0</v>
      </c>
      <c r="AK688" s="63">
        <f>IFERROR(VLOOKUP(Table2[[#This Row],[Contraente]],Table1[[Nome/Ragione sociale]:[Checkbox selezionato]],4,FALSE),"-")</f>
        <v>0</v>
      </c>
      <c r="AL688" s="63" t="str">
        <f>IFERROR(VLOOKUP(Table2[[#This Row],[Contraente]],Table1[[Nome/Ragione sociale]:[Checkbox selezionato]],5,FALSE),"-")</f>
        <v>GIORGIA</v>
      </c>
      <c r="AM688" s="62" t="str">
        <f>IFERROR(VLOOKUP(Table2[[#This Row],[Contraente]],Table1[[Nome/Ragione sociale]:[Checkbox selezionato]],6,FALSE),"-")</f>
        <v>-</v>
      </c>
      <c r="AN688" s="63" t="str">
        <f>IFERROR(VLOOKUP(Table2[[#This Row],[Contraente]],Table1[[Nome/Ragione sociale]:[Checkbox selezionato]],7,FALSE),"-")</f>
        <v>papies@libero.it</v>
      </c>
      <c r="AO688" s="63">
        <f>IFERROR(VLOOKUP(Table2[[#This Row],[Contraente]],Table1[[Nome/Ragione sociale]:[Checkbox selezionato]],8,FALSE),"-")</f>
        <v>0</v>
      </c>
      <c r="AP688" s="63">
        <f>IFERROR(VLOOKUP(Table2[[#This Row],[Contraente]],Table1[[Nome/Ragione sociale]:[Checkbox selezionato]],10,FALSE),"-")</f>
        <v>0</v>
      </c>
      <c r="AQ688" s="63" t="str">
        <f>IFERROR(VLOOKUP(Table2[[#This Row],[Contraente]],Table1[[Nome/Ragione sociale]:[Checkbox selezionato]],11,FALSE),"-")</f>
        <v>SI</v>
      </c>
      <c r="AR688" s="63" t="str">
        <f>IFERROR(VLOOKUP(Table2[[#This Row],[Contraente]],Table1[[Nome/Ragione sociale]:[Checkbox selezionato]],12,FALSE),"-")</f>
        <v>SI</v>
      </c>
    </row>
    <row r="689" spans="1:44" ht="30" hidden="1" customHeight="1" x14ac:dyDescent="0.25">
      <c r="A689" s="60" t="str">
        <f>UPPER(LEFT(Table2[[#This Row],[Contraente]],1))</f>
        <v>M</v>
      </c>
      <c r="B689" s="60" t="s">
        <v>1634</v>
      </c>
      <c r="C689" s="81" t="s">
        <v>1120</v>
      </c>
      <c r="D689" s="81" t="s">
        <v>37</v>
      </c>
      <c r="E689" s="86">
        <v>106121237</v>
      </c>
      <c r="F689" s="64">
        <v>42851</v>
      </c>
      <c r="G689" s="64">
        <f>IFERROR(CALCOLASCADENZA(Table2[[#This Row],[Data attivazione]],Table2[[#This Row],[Rateizzazione]],Table2[[#This Row],[Data ultimo pagamento]],Table2[[#This Row],[Data prossima scadenza manuale]]),"-")</f>
        <v>43021</v>
      </c>
      <c r="H689" s="67" t="s">
        <v>31</v>
      </c>
      <c r="I689" s="67" t="s">
        <v>1403</v>
      </c>
      <c r="J689" s="33">
        <f>IFERROR(Table2[[#This Row],[Importo annuale]]/(12/VLOOKUP(Table2[[#This Row],[Rateizzazione]],TIPI_RATEIZZAZIONI,2,FALSE)),"-")</f>
        <v>190.7</v>
      </c>
      <c r="K689" s="88">
        <v>190.7</v>
      </c>
      <c r="L689" s="88">
        <v>381.4</v>
      </c>
      <c r="M689" s="67" t="s">
        <v>43</v>
      </c>
      <c r="N689" s="67" t="s">
        <v>51</v>
      </c>
      <c r="O689" s="27" t="s">
        <v>1631</v>
      </c>
      <c r="P689" s="33" t="s">
        <v>22</v>
      </c>
      <c r="Q689" s="60">
        <f>IFERROR(IF(12 / VLOOKUP(Table2[[#This Row],[Rateizzazione]],TIPI_RATEIZZAZIONI,2,FALSE) &gt;=1,  IF(Table2[[#This Row],[Data attivazione]] = "","-",MONTH(Table2[[#This Row],[Data attivazione]])),"-"),"-")</f>
        <v>10</v>
      </c>
      <c r="R6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9" s="67" t="s">
        <v>2</v>
      </c>
      <c r="V689" s="62"/>
      <c r="W689" s="64">
        <v>42656</v>
      </c>
      <c r="X689" s="29">
        <f>DATE(YEAR(Table2[[#This Row],[Data attivazione]])+VLOOKUP(Table2[[#This Row],[Durata]],VALORE_DURATA,2,FALSE),MONTH(Table2[[#This Row],[Data attivazione]]),DAY(Table2[[#This Row],[Data attivazione]]))</f>
        <v>43021</v>
      </c>
      <c r="Y689" s="65"/>
      <c r="Z689" s="61"/>
      <c r="AA689" s="64" t="s">
        <v>85</v>
      </c>
      <c r="AB689" s="29" t="str">
        <f>IF(Table2[[#This Row],[Data ultimo versamento temp]]=0/1/1900,"-",Table2[[#This Row],[Data ultimo versamento temp]])</f>
        <v>-</v>
      </c>
      <c r="AC689" s="29">
        <f t="array" ref="AC689">MAX(IF(TableVersamenti[Polizza]=Table2[[#This Row],[Polizza]],TableVersamenti[Data prevista versamento],"-"))</f>
        <v>0</v>
      </c>
      <c r="AD689" s="62"/>
      <c r="AE689" s="106">
        <f>DATE(YEAR(Table2[[#This Row],[Data ultimo pagamento]]),MONTH(Table2[[#This Row],[Data ultimo pagamento]]), 1)</f>
        <v>42826</v>
      </c>
      <c r="AF689" s="106">
        <f>DATE(YEAR(Table2[[#This Row],[Data prossima scadenza]]),MONTH(Table2[[#This Row],[Data prossima scadenza]]), 1)</f>
        <v>43009</v>
      </c>
      <c r="AG689" s="33">
        <f>IFERROR(Table2[[#This Row],[Importo annuale]]*VLOOKUP(Table2[[#This Row],[Ramo]],RAMI_POLIZZA,2,FALSE),0)</f>
        <v>19.832799999999999</v>
      </c>
      <c r="AH689" s="65" t="s">
        <v>113</v>
      </c>
      <c r="AI689" s="63" t="str">
        <f>IFERROR(VLOOKUP(Table2[[#This Row],[Contraente]],Table1[[Nome/Ragione sociale]:[Checkbox selezionato]],2,FALSE),"-")</f>
        <v>ARENA PO</v>
      </c>
      <c r="AJ689" s="63">
        <f>IFERROR(VLOOKUP(Table2[[#This Row],[Contraente]],Table1[[Nome/Ragione sociale]:[Checkbox selezionato]],3,FALSE),"-")</f>
        <v>0</v>
      </c>
      <c r="AK689" s="63">
        <f>IFERROR(VLOOKUP(Table2[[#This Row],[Contraente]],Table1[[Nome/Ragione sociale]:[Checkbox selezionato]],4,FALSE),"-")</f>
        <v>0</v>
      </c>
      <c r="AL689" s="63" t="str">
        <f>IFERROR(VLOOKUP(Table2[[#This Row],[Contraente]],Table1[[Nome/Ragione sociale]:[Checkbox selezionato]],5,FALSE),"-")</f>
        <v>GIORGIA</v>
      </c>
      <c r="AM689" s="62" t="str">
        <f>IFERROR(VLOOKUP(Table2[[#This Row],[Contraente]],Table1[[Nome/Ragione sociale]:[Checkbox selezionato]],6,FALSE),"-")</f>
        <v>-</v>
      </c>
      <c r="AN689" s="63" t="str">
        <f>IFERROR(VLOOKUP(Table2[[#This Row],[Contraente]],Table1[[Nome/Ragione sociale]:[Checkbox selezionato]],7,FALSE),"-")</f>
        <v>papies@libero.it</v>
      </c>
      <c r="AO689" s="63">
        <f>IFERROR(VLOOKUP(Table2[[#This Row],[Contraente]],Table1[[Nome/Ragione sociale]:[Checkbox selezionato]],8,FALSE),"-")</f>
        <v>0</v>
      </c>
      <c r="AP689" s="63">
        <f>IFERROR(VLOOKUP(Table2[[#This Row],[Contraente]],Table1[[Nome/Ragione sociale]:[Checkbox selezionato]],10,FALSE),"-")</f>
        <v>0</v>
      </c>
      <c r="AQ689" s="63" t="str">
        <f>IFERROR(VLOOKUP(Table2[[#This Row],[Contraente]],Table1[[Nome/Ragione sociale]:[Checkbox selezionato]],11,FALSE),"-")</f>
        <v>SI</v>
      </c>
      <c r="AR689" s="63" t="str">
        <f>IFERROR(VLOOKUP(Table2[[#This Row],[Contraente]],Table1[[Nome/Ragione sociale]:[Checkbox selezionato]],12,FALSE),"-")</f>
        <v>SI</v>
      </c>
    </row>
    <row r="690" spans="1:44" ht="30" hidden="1" customHeight="1" x14ac:dyDescent="0.25">
      <c r="A690" s="60" t="str">
        <f>UPPER(LEFT(Table2[[#This Row],[Contraente]],1))</f>
        <v>M</v>
      </c>
      <c r="B690" s="60" t="s">
        <v>1634</v>
      </c>
      <c r="C690" s="81" t="s">
        <v>1120</v>
      </c>
      <c r="D690" s="81" t="s">
        <v>37</v>
      </c>
      <c r="E690" s="86">
        <v>102253272</v>
      </c>
      <c r="F690" s="64">
        <v>42851</v>
      </c>
      <c r="G690" s="64">
        <f>IFERROR(CALCOLASCADENZA(Table2[[#This Row],[Data attivazione]],Table2[[#This Row],[Rateizzazione]],Table2[[#This Row],[Data ultimo pagamento]],Table2[[#This Row],[Data prossima scadenza manuale]]),"-")</f>
        <v>43016</v>
      </c>
      <c r="H690" s="67" t="s">
        <v>30</v>
      </c>
      <c r="I690" s="67" t="s">
        <v>113</v>
      </c>
      <c r="J690" s="33">
        <f>IFERROR(Table2[[#This Row],[Importo annuale]]/(12/VLOOKUP(Table2[[#This Row],[Rateizzazione]],TIPI_RATEIZZAZIONI,2,FALSE)),"-")</f>
        <v>30</v>
      </c>
      <c r="K690" s="88">
        <v>30</v>
      </c>
      <c r="L690" s="88">
        <v>60</v>
      </c>
      <c r="M690" s="67" t="s">
        <v>43</v>
      </c>
      <c r="N690" s="67" t="s">
        <v>51</v>
      </c>
      <c r="O690" s="27" t="s">
        <v>1631</v>
      </c>
      <c r="P690" s="33" t="s">
        <v>22</v>
      </c>
      <c r="Q690" s="60">
        <f>IFERROR(IF(12 / VLOOKUP(Table2[[#This Row],[Rateizzazione]],TIPI_RATEIZZAZIONI,2,FALSE) &gt;=1,  IF(Table2[[#This Row],[Data attivazione]] = "","-",MONTH(Table2[[#This Row],[Data attivazione]])),"-"),"-")</f>
        <v>10</v>
      </c>
      <c r="R6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0" s="67" t="s">
        <v>2</v>
      </c>
      <c r="V690" s="62"/>
      <c r="W690" s="64">
        <v>42651</v>
      </c>
      <c r="X690" s="29">
        <f>DATE(YEAR(Table2[[#This Row],[Data attivazione]])+VLOOKUP(Table2[[#This Row],[Durata]],VALORE_DURATA,2,FALSE),MONTH(Table2[[#This Row],[Data attivazione]]),DAY(Table2[[#This Row],[Data attivazione]]))</f>
        <v>43016</v>
      </c>
      <c r="Y690" s="65"/>
      <c r="Z690" s="61"/>
      <c r="AA690" s="64" t="s">
        <v>85</v>
      </c>
      <c r="AB690" s="29" t="str">
        <f>IF(Table2[[#This Row],[Data ultimo versamento temp]]=0/1/1900,"-",Table2[[#This Row],[Data ultimo versamento temp]])</f>
        <v>-</v>
      </c>
      <c r="AC690" s="29">
        <f t="array" ref="AC690">MAX(IF(TableVersamenti[Polizza]=Table2[[#This Row],[Polizza]],TableVersamenti[Data prevista versamento],"-"))</f>
        <v>0</v>
      </c>
      <c r="AD690" s="62"/>
      <c r="AE690" s="106">
        <f>DATE(YEAR(Table2[[#This Row],[Data ultimo pagamento]]),MONTH(Table2[[#This Row],[Data ultimo pagamento]]), 1)</f>
        <v>42826</v>
      </c>
      <c r="AF690" s="106">
        <f>DATE(YEAR(Table2[[#This Row],[Data prossima scadenza]]),MONTH(Table2[[#This Row],[Data prossima scadenza]]), 1)</f>
        <v>43009</v>
      </c>
      <c r="AG690" s="33">
        <f>IFERROR(Table2[[#This Row],[Importo annuale]]*VLOOKUP(Table2[[#This Row],[Ramo]],RAMI_POLIZZA,2,FALSE),0)</f>
        <v>6.9</v>
      </c>
      <c r="AH690" s="65" t="s">
        <v>113</v>
      </c>
      <c r="AI690" s="63" t="str">
        <f>IFERROR(VLOOKUP(Table2[[#This Row],[Contraente]],Table1[[Nome/Ragione sociale]:[Checkbox selezionato]],2,FALSE),"-")</f>
        <v>ARENA PO</v>
      </c>
      <c r="AJ690" s="63">
        <f>IFERROR(VLOOKUP(Table2[[#This Row],[Contraente]],Table1[[Nome/Ragione sociale]:[Checkbox selezionato]],3,FALSE),"-")</f>
        <v>0</v>
      </c>
      <c r="AK690" s="63">
        <f>IFERROR(VLOOKUP(Table2[[#This Row],[Contraente]],Table1[[Nome/Ragione sociale]:[Checkbox selezionato]],4,FALSE),"-")</f>
        <v>0</v>
      </c>
      <c r="AL690" s="63" t="str">
        <f>IFERROR(VLOOKUP(Table2[[#This Row],[Contraente]],Table1[[Nome/Ragione sociale]:[Checkbox selezionato]],5,FALSE),"-")</f>
        <v>GIORGIA</v>
      </c>
      <c r="AM690" s="62" t="str">
        <f>IFERROR(VLOOKUP(Table2[[#This Row],[Contraente]],Table1[[Nome/Ragione sociale]:[Checkbox selezionato]],6,FALSE),"-")</f>
        <v>-</v>
      </c>
      <c r="AN690" s="63" t="str">
        <f>IFERROR(VLOOKUP(Table2[[#This Row],[Contraente]],Table1[[Nome/Ragione sociale]:[Checkbox selezionato]],7,FALSE),"-")</f>
        <v>papies@libero.it</v>
      </c>
      <c r="AO690" s="63">
        <f>IFERROR(VLOOKUP(Table2[[#This Row],[Contraente]],Table1[[Nome/Ragione sociale]:[Checkbox selezionato]],8,FALSE),"-")</f>
        <v>0</v>
      </c>
      <c r="AP690" s="63">
        <f>IFERROR(VLOOKUP(Table2[[#This Row],[Contraente]],Table1[[Nome/Ragione sociale]:[Checkbox selezionato]],10,FALSE),"-")</f>
        <v>0</v>
      </c>
      <c r="AQ690" s="63" t="str">
        <f>IFERROR(VLOOKUP(Table2[[#This Row],[Contraente]],Table1[[Nome/Ragione sociale]:[Checkbox selezionato]],11,FALSE),"-")</f>
        <v>SI</v>
      </c>
      <c r="AR690" s="63" t="str">
        <f>IFERROR(VLOOKUP(Table2[[#This Row],[Contraente]],Table1[[Nome/Ragione sociale]:[Checkbox selezionato]],12,FALSE),"-")</f>
        <v>SI</v>
      </c>
    </row>
    <row r="691" spans="1:44" ht="30" hidden="1" customHeight="1" x14ac:dyDescent="0.25">
      <c r="A691" s="60" t="str">
        <f>UPPER(LEFT(Table2[[#This Row],[Contraente]],1))</f>
        <v>M</v>
      </c>
      <c r="B691" s="60" t="s">
        <v>1634</v>
      </c>
      <c r="C691" s="81" t="s">
        <v>1120</v>
      </c>
      <c r="D691" s="81" t="s">
        <v>38</v>
      </c>
      <c r="E691" s="86">
        <v>7000077517</v>
      </c>
      <c r="F691" s="64">
        <v>42851</v>
      </c>
      <c r="G691" s="64">
        <f>IFERROR(CALCOLASCADENZA(Table2[[#This Row],[Data attivazione]],Table2[[#This Row],[Rateizzazione]],Table2[[#This Row],[Data ultimo pagamento]],Table2[[#This Row],[Data prossima scadenza manuale]]),"-")</f>
        <v>43021</v>
      </c>
      <c r="H691" s="67" t="s">
        <v>30</v>
      </c>
      <c r="I691" s="67" t="s">
        <v>113</v>
      </c>
      <c r="J691" s="33">
        <f>IFERROR(Table2[[#This Row],[Importo annuale]]/(12/VLOOKUP(Table2[[#This Row],[Rateizzazione]],TIPI_RATEIZZAZIONI,2,FALSE)),"-")</f>
        <v>47</v>
      </c>
      <c r="K691" s="88">
        <v>47</v>
      </c>
      <c r="L691" s="88">
        <v>94</v>
      </c>
      <c r="M691" s="67" t="s">
        <v>43</v>
      </c>
      <c r="N691" s="67" t="s">
        <v>52</v>
      </c>
      <c r="O691" s="27" t="s">
        <v>1631</v>
      </c>
      <c r="P691" s="33" t="s">
        <v>22</v>
      </c>
      <c r="Q691" s="60">
        <f>IFERROR(IF(12 / VLOOKUP(Table2[[#This Row],[Rateizzazione]],TIPI_RATEIZZAZIONI,2,FALSE) &gt;=1,  IF(Table2[[#This Row],[Data attivazione]] = "","-",MONTH(Table2[[#This Row],[Data attivazione]])),"-"),"-")</f>
        <v>10</v>
      </c>
      <c r="R6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1" s="67" t="s">
        <v>2</v>
      </c>
      <c r="V691" s="62"/>
      <c r="W691" s="64">
        <v>42656</v>
      </c>
      <c r="X691" s="29">
        <f>DATE(YEAR(Table2[[#This Row],[Data attivazione]])+VLOOKUP(Table2[[#This Row],[Durata]],VALORE_DURATA,2,FALSE),MONTH(Table2[[#This Row],[Data attivazione]]),DAY(Table2[[#This Row],[Data attivazione]]))</f>
        <v>43021</v>
      </c>
      <c r="Y691" s="65"/>
      <c r="Z691" s="61"/>
      <c r="AA691" s="64" t="s">
        <v>85</v>
      </c>
      <c r="AB691" s="29" t="str">
        <f>IF(Table2[[#This Row],[Data ultimo versamento temp]]=0/1/1900,"-",Table2[[#This Row],[Data ultimo versamento temp]])</f>
        <v>-</v>
      </c>
      <c r="AC691" s="29">
        <f t="array" ref="AC691">MAX(IF(TableVersamenti[Polizza]=Table2[[#This Row],[Polizza]],TableVersamenti[Data prevista versamento],"-"))</f>
        <v>0</v>
      </c>
      <c r="AD691" s="62"/>
      <c r="AE691" s="106">
        <f>DATE(YEAR(Table2[[#This Row],[Data ultimo pagamento]]),MONTH(Table2[[#This Row],[Data ultimo pagamento]]), 1)</f>
        <v>42826</v>
      </c>
      <c r="AF691" s="106">
        <f>DATE(YEAR(Table2[[#This Row],[Data prossima scadenza]]),MONTH(Table2[[#This Row],[Data prossima scadenza]]), 1)</f>
        <v>43009</v>
      </c>
      <c r="AG691" s="33">
        <f>IFERROR(Table2[[#This Row],[Importo annuale]]*VLOOKUP(Table2[[#This Row],[Ramo]],RAMI_POLIZZA,2,FALSE),0)</f>
        <v>10.81</v>
      </c>
      <c r="AH691" s="65" t="s">
        <v>113</v>
      </c>
      <c r="AI691" s="63" t="str">
        <f>IFERROR(VLOOKUP(Table2[[#This Row],[Contraente]],Table1[[Nome/Ragione sociale]:[Checkbox selezionato]],2,FALSE),"-")</f>
        <v>ARENA PO</v>
      </c>
      <c r="AJ691" s="63">
        <f>IFERROR(VLOOKUP(Table2[[#This Row],[Contraente]],Table1[[Nome/Ragione sociale]:[Checkbox selezionato]],3,FALSE),"-")</f>
        <v>0</v>
      </c>
      <c r="AK691" s="63">
        <f>IFERROR(VLOOKUP(Table2[[#This Row],[Contraente]],Table1[[Nome/Ragione sociale]:[Checkbox selezionato]],4,FALSE),"-")</f>
        <v>0</v>
      </c>
      <c r="AL691" s="63" t="str">
        <f>IFERROR(VLOOKUP(Table2[[#This Row],[Contraente]],Table1[[Nome/Ragione sociale]:[Checkbox selezionato]],5,FALSE),"-")</f>
        <v>GIORGIA</v>
      </c>
      <c r="AM691" s="62" t="str">
        <f>IFERROR(VLOOKUP(Table2[[#This Row],[Contraente]],Table1[[Nome/Ragione sociale]:[Checkbox selezionato]],6,FALSE),"-")</f>
        <v>-</v>
      </c>
      <c r="AN691" s="63" t="str">
        <f>IFERROR(VLOOKUP(Table2[[#This Row],[Contraente]],Table1[[Nome/Ragione sociale]:[Checkbox selezionato]],7,FALSE),"-")</f>
        <v>papies@libero.it</v>
      </c>
      <c r="AO691" s="63">
        <f>IFERROR(VLOOKUP(Table2[[#This Row],[Contraente]],Table1[[Nome/Ragione sociale]:[Checkbox selezionato]],8,FALSE),"-")</f>
        <v>0</v>
      </c>
      <c r="AP691" s="63">
        <f>IFERROR(VLOOKUP(Table2[[#This Row],[Contraente]],Table1[[Nome/Ragione sociale]:[Checkbox selezionato]],10,FALSE),"-")</f>
        <v>0</v>
      </c>
      <c r="AQ691" s="63" t="str">
        <f>IFERROR(VLOOKUP(Table2[[#This Row],[Contraente]],Table1[[Nome/Ragione sociale]:[Checkbox selezionato]],11,FALSE),"-")</f>
        <v>SI</v>
      </c>
      <c r="AR691" s="63" t="str">
        <f>IFERROR(VLOOKUP(Table2[[#This Row],[Contraente]],Table1[[Nome/Ragione sociale]:[Checkbox selezionato]],12,FALSE),"-")</f>
        <v>SI</v>
      </c>
    </row>
    <row r="692" spans="1:44" ht="30" hidden="1" customHeight="1" x14ac:dyDescent="0.25">
      <c r="A692" s="60" t="str">
        <f>UPPER(LEFT(Table2[[#This Row],[Contraente]],1))</f>
        <v>M</v>
      </c>
      <c r="B692" s="60" t="s">
        <v>1634</v>
      </c>
      <c r="C692" s="81" t="s">
        <v>794</v>
      </c>
      <c r="D692" s="81" t="s">
        <v>37</v>
      </c>
      <c r="E692" s="86">
        <v>1078132</v>
      </c>
      <c r="F692" s="64">
        <v>42851</v>
      </c>
      <c r="G692" s="64">
        <f>IFERROR(CALCOLASCADENZA(Table2[[#This Row],[Data attivazione]],Table2[[#This Row],[Rateizzazione]],Table2[[#This Row],[Data ultimo pagamento]],Table2[[#This Row],[Data prossima scadenza manuale]]),"-")</f>
        <v>43022</v>
      </c>
      <c r="H692" s="67" t="s">
        <v>32</v>
      </c>
      <c r="I692" s="67" t="s">
        <v>113</v>
      </c>
      <c r="J692" s="33">
        <f>IFERROR(Table2[[#This Row],[Importo annuale]]/(12/VLOOKUP(Table2[[#This Row],[Rateizzazione]],TIPI_RATEIZZAZIONI,2,FALSE)),"-")</f>
        <v>71.89</v>
      </c>
      <c r="K692" s="88">
        <v>71.89</v>
      </c>
      <c r="L692" s="88">
        <v>143.78</v>
      </c>
      <c r="M692" s="67" t="s">
        <v>44</v>
      </c>
      <c r="N692" s="67" t="s">
        <v>52</v>
      </c>
      <c r="O692" s="27" t="s">
        <v>1631</v>
      </c>
      <c r="P692" s="33" t="s">
        <v>22</v>
      </c>
      <c r="Q692" s="60">
        <f>IFERROR(IF(12 / VLOOKUP(Table2[[#This Row],[Rateizzazione]],TIPI_RATEIZZAZIONI,2,FALSE) &gt;=1,  IF(Table2[[#This Row],[Data attivazione]] = "","-",MONTH(Table2[[#This Row],[Data attivazione]])),"-"),"-")</f>
        <v>4</v>
      </c>
      <c r="R6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6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2" s="67" t="s">
        <v>2</v>
      </c>
      <c r="V692" s="62"/>
      <c r="W692" s="64">
        <v>42474</v>
      </c>
      <c r="X692" s="29">
        <f>DATE(YEAR(Table2[[#This Row],[Data attivazione]])+VLOOKUP(Table2[[#This Row],[Durata]],VALORE_DURATA,2,FALSE),MONTH(Table2[[#This Row],[Data attivazione]]),DAY(Table2[[#This Row],[Data attivazione]]))</f>
        <v>42839</v>
      </c>
      <c r="Y692" s="65"/>
      <c r="Z692" s="61"/>
      <c r="AA692" s="64" t="s">
        <v>88</v>
      </c>
      <c r="AB692" s="29" t="str">
        <f>IF(Table2[[#This Row],[Data ultimo versamento temp]]=0/1/1900,"-",Table2[[#This Row],[Data ultimo versamento temp]])</f>
        <v>-</v>
      </c>
      <c r="AC692" s="29">
        <f t="array" ref="AC692">MAX(IF(TableVersamenti[Polizza]=Table2[[#This Row],[Polizza]],TableVersamenti[Data prevista versamento],"-"))</f>
        <v>0</v>
      </c>
      <c r="AD692" s="62"/>
      <c r="AE692" s="106">
        <f>DATE(YEAR(Table2[[#This Row],[Data ultimo pagamento]]),MONTH(Table2[[#This Row],[Data ultimo pagamento]]), 1)</f>
        <v>42826</v>
      </c>
      <c r="AF692" s="106">
        <f>DATE(YEAR(Table2[[#This Row],[Data prossima scadenza]]),MONTH(Table2[[#This Row],[Data prossima scadenza]]), 1)</f>
        <v>43009</v>
      </c>
      <c r="AG692" s="33">
        <f>IFERROR(Table2[[#This Row],[Importo annuale]]*VLOOKUP(Table2[[#This Row],[Ramo]],RAMI_POLIZZA,2,FALSE),0)</f>
        <v>2.1566999999999998</v>
      </c>
      <c r="AH692" s="65" t="s">
        <v>113</v>
      </c>
      <c r="AI692" s="63" t="str">
        <f>IFERROR(VLOOKUP(Table2[[#This Row],[Contraente]],Table1[[Nome/Ragione sociale]:[Checkbox selezionato]],2,FALSE),"-")</f>
        <v>ARENA PO</v>
      </c>
      <c r="AJ692" s="63">
        <f>IFERROR(VLOOKUP(Table2[[#This Row],[Contraente]],Table1[[Nome/Ragione sociale]:[Checkbox selezionato]],3,FALSE),"-")</f>
        <v>0</v>
      </c>
      <c r="AK692" s="63">
        <f>IFERROR(VLOOKUP(Table2[[#This Row],[Contraente]],Table1[[Nome/Ragione sociale]:[Checkbox selezionato]],4,FALSE),"-")</f>
        <v>0</v>
      </c>
      <c r="AL692" s="63" t="str">
        <f>IFERROR(VLOOKUP(Table2[[#This Row],[Contraente]],Table1[[Nome/Ragione sociale]:[Checkbox selezionato]],5,FALSE),"-")</f>
        <v>GIORGIA</v>
      </c>
      <c r="AM692" s="62" t="str">
        <f>IFERROR(VLOOKUP(Table2[[#This Row],[Contraente]],Table1[[Nome/Ragione sociale]:[Checkbox selezionato]],6,FALSE),"-")</f>
        <v>-</v>
      </c>
      <c r="AN692" s="63" t="str">
        <f>IFERROR(VLOOKUP(Table2[[#This Row],[Contraente]],Table1[[Nome/Ragione sociale]:[Checkbox selezionato]],7,FALSE),"-")</f>
        <v>papies@libero.it</v>
      </c>
      <c r="AO692" s="63">
        <f>IFERROR(VLOOKUP(Table2[[#This Row],[Contraente]],Table1[[Nome/Ragione sociale]:[Checkbox selezionato]],8,FALSE),"-")</f>
        <v>0</v>
      </c>
      <c r="AP692" s="63">
        <f>IFERROR(VLOOKUP(Table2[[#This Row],[Contraente]],Table1[[Nome/Ragione sociale]:[Checkbox selezionato]],10,FALSE),"-")</f>
        <v>0</v>
      </c>
      <c r="AQ692" s="63" t="str">
        <f>IFERROR(VLOOKUP(Table2[[#This Row],[Contraente]],Table1[[Nome/Ragione sociale]:[Checkbox selezionato]],11,FALSE),"-")</f>
        <v>SI</v>
      </c>
      <c r="AR692" s="63" t="str">
        <f>IFERROR(VLOOKUP(Table2[[#This Row],[Contraente]],Table1[[Nome/Ragione sociale]:[Checkbox selezionato]],12,FALSE),"-")</f>
        <v>SI</v>
      </c>
    </row>
    <row r="693" spans="1:44" ht="30" hidden="1" customHeight="1" x14ac:dyDescent="0.25">
      <c r="A693" s="60" t="str">
        <f>UPPER(LEFT(Table2[[#This Row],[Contraente]],1))</f>
        <v>M</v>
      </c>
      <c r="B693" s="60" t="s">
        <v>1634</v>
      </c>
      <c r="C693" s="81" t="s">
        <v>794</v>
      </c>
      <c r="D693" s="81" t="s">
        <v>37</v>
      </c>
      <c r="E693" s="86">
        <v>105325020</v>
      </c>
      <c r="F693" s="64">
        <v>42793</v>
      </c>
      <c r="G693" s="64">
        <f>IFERROR(CALCOLASCADENZA(Table2[[#This Row],[Data attivazione]],Table2[[#This Row],[Rateizzazione]],Table2[[#This Row],[Data ultimo pagamento]],Table2[[#This Row],[Data prossima scadenza manuale]]),"-")</f>
        <v>42960</v>
      </c>
      <c r="H693" s="67" t="s">
        <v>30</v>
      </c>
      <c r="I693" s="67" t="s">
        <v>113</v>
      </c>
      <c r="J693" s="33">
        <f>IFERROR(Table2[[#This Row],[Importo annuale]]/(12/VLOOKUP(Table2[[#This Row],[Rateizzazione]],TIPI_RATEIZZAZIONI,2,FALSE)),"-")</f>
        <v>166</v>
      </c>
      <c r="K693" s="88">
        <v>166</v>
      </c>
      <c r="L693" s="88">
        <v>332</v>
      </c>
      <c r="M693" s="67" t="s">
        <v>44</v>
      </c>
      <c r="N693" s="67" t="s">
        <v>51</v>
      </c>
      <c r="O693" s="27" t="s">
        <v>1631</v>
      </c>
      <c r="P693" s="33" t="s">
        <v>22</v>
      </c>
      <c r="Q693" s="60">
        <f>IFERROR(IF(12 / VLOOKUP(Table2[[#This Row],[Rateizzazione]],TIPI_RATEIZZAZIONI,2,FALSE) &gt;=1,  IF(Table2[[#This Row],[Data attivazione]] = "","-",MONTH(Table2[[#This Row],[Data attivazione]])),"-"),"-")</f>
        <v>2</v>
      </c>
      <c r="R6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6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3" s="67" t="s">
        <v>2</v>
      </c>
      <c r="V693" s="62"/>
      <c r="W693" s="64">
        <v>42413</v>
      </c>
      <c r="X693" s="29">
        <f>DATE(YEAR(Table2[[#This Row],[Data attivazione]])+VLOOKUP(Table2[[#This Row],[Durata]],VALORE_DURATA,2,FALSE),MONTH(Table2[[#This Row],[Data attivazione]]),DAY(Table2[[#This Row],[Data attivazione]]))</f>
        <v>42779</v>
      </c>
      <c r="Y693" s="65"/>
      <c r="Z693" s="61"/>
      <c r="AA693" s="64" t="s">
        <v>88</v>
      </c>
      <c r="AB693" s="29" t="str">
        <f>IF(Table2[[#This Row],[Data ultimo versamento temp]]=0/1/1900,"-",Table2[[#This Row],[Data ultimo versamento temp]])</f>
        <v>-</v>
      </c>
      <c r="AC693" s="29">
        <f t="array" ref="AC693">MAX(IF(TableVersamenti[Polizza]=Table2[[#This Row],[Polizza]],TableVersamenti[Data prevista versamento],"-"))</f>
        <v>0</v>
      </c>
      <c r="AD693" s="62"/>
      <c r="AE693" s="106">
        <f>DATE(YEAR(Table2[[#This Row],[Data ultimo pagamento]]),MONTH(Table2[[#This Row],[Data ultimo pagamento]]), 1)</f>
        <v>42767</v>
      </c>
      <c r="AF693" s="106">
        <f>DATE(YEAR(Table2[[#This Row],[Data prossima scadenza]]),MONTH(Table2[[#This Row],[Data prossima scadenza]]), 1)</f>
        <v>42948</v>
      </c>
      <c r="AG693" s="33">
        <f>IFERROR(Table2[[#This Row],[Importo annuale]]*VLOOKUP(Table2[[#This Row],[Ramo]],RAMI_POLIZZA,2,FALSE),0)</f>
        <v>38.18</v>
      </c>
      <c r="AH693" s="65" t="s">
        <v>113</v>
      </c>
      <c r="AI693" s="63" t="str">
        <f>IFERROR(VLOOKUP(Table2[[#This Row],[Contraente]],Table1[[Nome/Ragione sociale]:[Checkbox selezionato]],2,FALSE),"-")</f>
        <v>ARENA PO</v>
      </c>
      <c r="AJ693" s="63">
        <f>IFERROR(VLOOKUP(Table2[[#This Row],[Contraente]],Table1[[Nome/Ragione sociale]:[Checkbox selezionato]],3,FALSE),"-")</f>
        <v>0</v>
      </c>
      <c r="AK693" s="63">
        <f>IFERROR(VLOOKUP(Table2[[#This Row],[Contraente]],Table1[[Nome/Ragione sociale]:[Checkbox selezionato]],4,FALSE),"-")</f>
        <v>0</v>
      </c>
      <c r="AL693" s="63" t="str">
        <f>IFERROR(VLOOKUP(Table2[[#This Row],[Contraente]],Table1[[Nome/Ragione sociale]:[Checkbox selezionato]],5,FALSE),"-")</f>
        <v>GIORGIA</v>
      </c>
      <c r="AM693" s="62" t="str">
        <f>IFERROR(VLOOKUP(Table2[[#This Row],[Contraente]],Table1[[Nome/Ragione sociale]:[Checkbox selezionato]],6,FALSE),"-")</f>
        <v>-</v>
      </c>
      <c r="AN693" s="63" t="str">
        <f>IFERROR(VLOOKUP(Table2[[#This Row],[Contraente]],Table1[[Nome/Ragione sociale]:[Checkbox selezionato]],7,FALSE),"-")</f>
        <v>papies@libero.it</v>
      </c>
      <c r="AO693" s="63">
        <f>IFERROR(VLOOKUP(Table2[[#This Row],[Contraente]],Table1[[Nome/Ragione sociale]:[Checkbox selezionato]],8,FALSE),"-")</f>
        <v>0</v>
      </c>
      <c r="AP693" s="63">
        <f>IFERROR(VLOOKUP(Table2[[#This Row],[Contraente]],Table1[[Nome/Ragione sociale]:[Checkbox selezionato]],10,FALSE),"-")</f>
        <v>0</v>
      </c>
      <c r="AQ693" s="63" t="str">
        <f>IFERROR(VLOOKUP(Table2[[#This Row],[Contraente]],Table1[[Nome/Ragione sociale]:[Checkbox selezionato]],11,FALSE),"-")</f>
        <v>SI</v>
      </c>
      <c r="AR693" s="63" t="str">
        <f>IFERROR(VLOOKUP(Table2[[#This Row],[Contraente]],Table1[[Nome/Ragione sociale]:[Checkbox selezionato]],12,FALSE),"-")</f>
        <v>SI</v>
      </c>
    </row>
    <row r="694" spans="1:44" ht="30" hidden="1" customHeight="1" x14ac:dyDescent="0.25">
      <c r="A694" s="60" t="str">
        <f>UPPER(LEFT(Table2[[#This Row],[Contraente]],1))</f>
        <v>M</v>
      </c>
      <c r="B694" s="60" t="s">
        <v>1634</v>
      </c>
      <c r="C694" s="81" t="s">
        <v>794</v>
      </c>
      <c r="D694" s="81" t="s">
        <v>37</v>
      </c>
      <c r="E694" s="86">
        <v>101475353</v>
      </c>
      <c r="F694" s="64">
        <v>42898</v>
      </c>
      <c r="G694" s="64">
        <f>IFERROR(CALCOLASCADENZA(Table2[[#This Row],[Data attivazione]],Table2[[#This Row],[Rateizzazione]],Table2[[#This Row],[Data ultimo pagamento]],Table2[[#This Row],[Data prossima scadenza manuale]]),"-")</f>
        <v>43075</v>
      </c>
      <c r="H694" s="67" t="s">
        <v>30</v>
      </c>
      <c r="I694" s="67" t="s">
        <v>113</v>
      </c>
      <c r="J694" s="33">
        <f>IFERROR(Table2[[#This Row],[Importo annuale]]/(12/VLOOKUP(Table2[[#This Row],[Rateizzazione]],TIPI_RATEIZZAZIONI,2,FALSE)),"-")</f>
        <v>50</v>
      </c>
      <c r="K694" s="88">
        <v>50</v>
      </c>
      <c r="L694" s="88">
        <v>100</v>
      </c>
      <c r="M694" s="67" t="s">
        <v>43</v>
      </c>
      <c r="N694" s="67" t="s">
        <v>51</v>
      </c>
      <c r="O694" s="27" t="s">
        <v>1631</v>
      </c>
      <c r="P694" s="33" t="s">
        <v>22</v>
      </c>
      <c r="Q694" s="60">
        <f>IFERROR(IF(12 / VLOOKUP(Table2[[#This Row],[Rateizzazione]],TIPI_RATEIZZAZIONI,2,FALSE) &gt;=1,  IF(Table2[[#This Row],[Data attivazione]] = "","-",MONTH(Table2[[#This Row],[Data attivazione]])),"-"),"-")</f>
        <v>12</v>
      </c>
      <c r="R6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4" s="67" t="s">
        <v>2</v>
      </c>
      <c r="V694" s="62"/>
      <c r="W694" s="64">
        <v>42710</v>
      </c>
      <c r="X694" s="29">
        <f>DATE(YEAR(Table2[[#This Row],[Data attivazione]])+VLOOKUP(Table2[[#This Row],[Durata]],VALORE_DURATA,2,FALSE),MONTH(Table2[[#This Row],[Data attivazione]]),DAY(Table2[[#This Row],[Data attivazione]]))</f>
        <v>43075</v>
      </c>
      <c r="Y694" s="65"/>
      <c r="Z694" s="61"/>
      <c r="AA694" s="64" t="s">
        <v>85</v>
      </c>
      <c r="AB694" s="29" t="str">
        <f>IF(Table2[[#This Row],[Data ultimo versamento temp]]=0/1/1900,"-",Table2[[#This Row],[Data ultimo versamento temp]])</f>
        <v>-</v>
      </c>
      <c r="AC694" s="29">
        <f t="array" ref="AC694">MAX(IF(TableVersamenti[Polizza]=Table2[[#This Row],[Polizza]],TableVersamenti[Data prevista versamento],"-"))</f>
        <v>0</v>
      </c>
      <c r="AD694" s="62"/>
      <c r="AE694" s="106">
        <f>DATE(YEAR(Table2[[#This Row],[Data ultimo pagamento]]),MONTH(Table2[[#This Row],[Data ultimo pagamento]]), 1)</f>
        <v>42887</v>
      </c>
      <c r="AF694" s="106">
        <f>DATE(YEAR(Table2[[#This Row],[Data prossima scadenza]]),MONTH(Table2[[#This Row],[Data prossima scadenza]]), 1)</f>
        <v>43070</v>
      </c>
      <c r="AG694" s="33">
        <f>IFERROR(Table2[[#This Row],[Importo annuale]]*VLOOKUP(Table2[[#This Row],[Ramo]],RAMI_POLIZZA,2,FALSE),0)</f>
        <v>11.5</v>
      </c>
      <c r="AH694" s="65" t="s">
        <v>113</v>
      </c>
      <c r="AI694" s="63" t="str">
        <f>IFERROR(VLOOKUP(Table2[[#This Row],[Contraente]],Table1[[Nome/Ragione sociale]:[Checkbox selezionato]],2,FALSE),"-")</f>
        <v>ARENA PO</v>
      </c>
      <c r="AJ694" s="63">
        <f>IFERROR(VLOOKUP(Table2[[#This Row],[Contraente]],Table1[[Nome/Ragione sociale]:[Checkbox selezionato]],3,FALSE),"-")</f>
        <v>0</v>
      </c>
      <c r="AK694" s="63">
        <f>IFERROR(VLOOKUP(Table2[[#This Row],[Contraente]],Table1[[Nome/Ragione sociale]:[Checkbox selezionato]],4,FALSE),"-")</f>
        <v>0</v>
      </c>
      <c r="AL694" s="63" t="str">
        <f>IFERROR(VLOOKUP(Table2[[#This Row],[Contraente]],Table1[[Nome/Ragione sociale]:[Checkbox selezionato]],5,FALSE),"-")</f>
        <v>GIORGIA</v>
      </c>
      <c r="AM694" s="62" t="str">
        <f>IFERROR(VLOOKUP(Table2[[#This Row],[Contraente]],Table1[[Nome/Ragione sociale]:[Checkbox selezionato]],6,FALSE),"-")</f>
        <v>-</v>
      </c>
      <c r="AN694" s="63" t="str">
        <f>IFERROR(VLOOKUP(Table2[[#This Row],[Contraente]],Table1[[Nome/Ragione sociale]:[Checkbox selezionato]],7,FALSE),"-")</f>
        <v>papies@libero.it</v>
      </c>
      <c r="AO694" s="63">
        <f>IFERROR(VLOOKUP(Table2[[#This Row],[Contraente]],Table1[[Nome/Ragione sociale]:[Checkbox selezionato]],8,FALSE),"-")</f>
        <v>0</v>
      </c>
      <c r="AP694" s="63">
        <f>IFERROR(VLOOKUP(Table2[[#This Row],[Contraente]],Table1[[Nome/Ragione sociale]:[Checkbox selezionato]],10,FALSE),"-")</f>
        <v>0</v>
      </c>
      <c r="AQ694" s="63" t="str">
        <f>IFERROR(VLOOKUP(Table2[[#This Row],[Contraente]],Table1[[Nome/Ragione sociale]:[Checkbox selezionato]],11,FALSE),"-")</f>
        <v>SI</v>
      </c>
      <c r="AR694" s="63" t="str">
        <f>IFERROR(VLOOKUP(Table2[[#This Row],[Contraente]],Table1[[Nome/Ragione sociale]:[Checkbox selezionato]],12,FALSE),"-")</f>
        <v>SI</v>
      </c>
    </row>
    <row r="695" spans="1:44" ht="30" hidden="1" customHeight="1" x14ac:dyDescent="0.25">
      <c r="A695" s="60" t="str">
        <f>UPPER(LEFT(Table2[[#This Row],[Contraente]],1))</f>
        <v>M</v>
      </c>
      <c r="B695" s="60" t="s">
        <v>1634</v>
      </c>
      <c r="C695" s="81" t="s">
        <v>794</v>
      </c>
      <c r="D695" s="81" t="s">
        <v>37</v>
      </c>
      <c r="E695" s="86">
        <v>106319753</v>
      </c>
      <c r="F695" s="64">
        <v>42898</v>
      </c>
      <c r="G695" s="64">
        <f>IFERROR(CALCOLASCADENZA(Table2[[#This Row],[Data attivazione]],Table2[[#This Row],[Rateizzazione]],Table2[[#This Row],[Data ultimo pagamento]],Table2[[#This Row],[Data prossima scadenza manuale]]),"-")</f>
        <v>43075</v>
      </c>
      <c r="H695" s="67" t="s">
        <v>31</v>
      </c>
      <c r="I695" s="67" t="s">
        <v>1404</v>
      </c>
      <c r="J695" s="33">
        <f>IFERROR(Table2[[#This Row],[Importo annuale]]/(12/VLOOKUP(Table2[[#This Row],[Rateizzazione]],TIPI_RATEIZZAZIONI,2,FALSE)),"-")</f>
        <v>296</v>
      </c>
      <c r="K695" s="88">
        <v>296</v>
      </c>
      <c r="L695" s="88">
        <v>592</v>
      </c>
      <c r="M695" s="67" t="s">
        <v>43</v>
      </c>
      <c r="N695" s="67" t="s">
        <v>51</v>
      </c>
      <c r="O695" s="27" t="s">
        <v>1631</v>
      </c>
      <c r="P695" s="33" t="s">
        <v>22</v>
      </c>
      <c r="Q695" s="60">
        <f>IFERROR(IF(12 / VLOOKUP(Table2[[#This Row],[Rateizzazione]],TIPI_RATEIZZAZIONI,2,FALSE) &gt;=1,  IF(Table2[[#This Row],[Data attivazione]] = "","-",MONTH(Table2[[#This Row],[Data attivazione]])),"-"),"-")</f>
        <v>12</v>
      </c>
      <c r="R6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5" s="67" t="s">
        <v>2</v>
      </c>
      <c r="V695" s="62"/>
      <c r="W695" s="64">
        <v>42710</v>
      </c>
      <c r="X695" s="29">
        <f>DATE(YEAR(Table2[[#This Row],[Data attivazione]])+VLOOKUP(Table2[[#This Row],[Durata]],VALORE_DURATA,2,FALSE),MONTH(Table2[[#This Row],[Data attivazione]]),DAY(Table2[[#This Row],[Data attivazione]]))</f>
        <v>43075</v>
      </c>
      <c r="Y695" s="65"/>
      <c r="Z695" s="61"/>
      <c r="AA695" s="64" t="s">
        <v>85</v>
      </c>
      <c r="AB695" s="29" t="str">
        <f>IF(Table2[[#This Row],[Data ultimo versamento temp]]=0/1/1900,"-",Table2[[#This Row],[Data ultimo versamento temp]])</f>
        <v>-</v>
      </c>
      <c r="AC695" s="29">
        <f t="array" ref="AC695">MAX(IF(TableVersamenti[Polizza]=Table2[[#This Row],[Polizza]],TableVersamenti[Data prevista versamento],"-"))</f>
        <v>0</v>
      </c>
      <c r="AD695" s="62"/>
      <c r="AE695" s="106">
        <f>DATE(YEAR(Table2[[#This Row],[Data ultimo pagamento]]),MONTH(Table2[[#This Row],[Data ultimo pagamento]]), 1)</f>
        <v>42887</v>
      </c>
      <c r="AF695" s="106">
        <f>DATE(YEAR(Table2[[#This Row],[Data prossima scadenza]]),MONTH(Table2[[#This Row],[Data prossima scadenza]]), 1)</f>
        <v>43070</v>
      </c>
      <c r="AG695" s="33">
        <f>IFERROR(Table2[[#This Row],[Importo annuale]]*VLOOKUP(Table2[[#This Row],[Ramo]],RAMI_POLIZZA,2,FALSE),0)</f>
        <v>30.783999999999999</v>
      </c>
      <c r="AH695" s="65" t="s">
        <v>113</v>
      </c>
      <c r="AI695" s="63" t="str">
        <f>IFERROR(VLOOKUP(Table2[[#This Row],[Contraente]],Table1[[Nome/Ragione sociale]:[Checkbox selezionato]],2,FALSE),"-")</f>
        <v>ARENA PO</v>
      </c>
      <c r="AJ695" s="63">
        <f>IFERROR(VLOOKUP(Table2[[#This Row],[Contraente]],Table1[[Nome/Ragione sociale]:[Checkbox selezionato]],3,FALSE),"-")</f>
        <v>0</v>
      </c>
      <c r="AK695" s="63">
        <f>IFERROR(VLOOKUP(Table2[[#This Row],[Contraente]],Table1[[Nome/Ragione sociale]:[Checkbox selezionato]],4,FALSE),"-")</f>
        <v>0</v>
      </c>
      <c r="AL695" s="63" t="str">
        <f>IFERROR(VLOOKUP(Table2[[#This Row],[Contraente]],Table1[[Nome/Ragione sociale]:[Checkbox selezionato]],5,FALSE),"-")</f>
        <v>GIORGIA</v>
      </c>
      <c r="AM695" s="62" t="str">
        <f>IFERROR(VLOOKUP(Table2[[#This Row],[Contraente]],Table1[[Nome/Ragione sociale]:[Checkbox selezionato]],6,FALSE),"-")</f>
        <v>-</v>
      </c>
      <c r="AN695" s="63" t="str">
        <f>IFERROR(VLOOKUP(Table2[[#This Row],[Contraente]],Table1[[Nome/Ragione sociale]:[Checkbox selezionato]],7,FALSE),"-")</f>
        <v>papies@libero.it</v>
      </c>
      <c r="AO695" s="63">
        <f>IFERROR(VLOOKUP(Table2[[#This Row],[Contraente]],Table1[[Nome/Ragione sociale]:[Checkbox selezionato]],8,FALSE),"-")</f>
        <v>0</v>
      </c>
      <c r="AP695" s="63">
        <f>IFERROR(VLOOKUP(Table2[[#This Row],[Contraente]],Table1[[Nome/Ragione sociale]:[Checkbox selezionato]],10,FALSE),"-")</f>
        <v>0</v>
      </c>
      <c r="AQ695" s="63" t="str">
        <f>IFERROR(VLOOKUP(Table2[[#This Row],[Contraente]],Table1[[Nome/Ragione sociale]:[Checkbox selezionato]],11,FALSE),"-")</f>
        <v>SI</v>
      </c>
      <c r="AR695" s="63" t="str">
        <f>IFERROR(VLOOKUP(Table2[[#This Row],[Contraente]],Table1[[Nome/Ragione sociale]:[Checkbox selezionato]],12,FALSE),"-")</f>
        <v>SI</v>
      </c>
    </row>
    <row r="696" spans="1:44" ht="30" hidden="1" customHeight="1" x14ac:dyDescent="0.25">
      <c r="A696" s="60" t="str">
        <f>UPPER(LEFT(Table2[[#This Row],[Contraente]],1))</f>
        <v>M</v>
      </c>
      <c r="B696" s="60" t="s">
        <v>1634</v>
      </c>
      <c r="C696" s="81" t="s">
        <v>795</v>
      </c>
      <c r="D696" s="81" t="s">
        <v>37</v>
      </c>
      <c r="E696" s="86">
        <v>100439335</v>
      </c>
      <c r="F696" s="64">
        <v>42521</v>
      </c>
      <c r="G696" s="64">
        <f>IFERROR(CALCOLASCADENZA(Table2[[#This Row],[Data attivazione]],Table2[[#This Row],[Rateizzazione]],Table2[[#This Row],[Data ultimo pagamento]],Table2[[#This Row],[Data prossima scadenza manuale]]),"-")</f>
        <v>42869</v>
      </c>
      <c r="H696" s="67" t="s">
        <v>30</v>
      </c>
      <c r="I696" s="67" t="s">
        <v>113</v>
      </c>
      <c r="J696" s="33">
        <f>IFERROR(Table2[[#This Row],[Importo annuale]]/(12/VLOOKUP(Table2[[#This Row],[Rateizzazione]],TIPI_RATEIZZAZIONI,2,FALSE)),"-")</f>
        <v>450</v>
      </c>
      <c r="K696" s="88"/>
      <c r="L696" s="88">
        <v>450</v>
      </c>
      <c r="M696" s="67" t="s">
        <v>44</v>
      </c>
      <c r="N696" s="67" t="s">
        <v>51</v>
      </c>
      <c r="O696" s="27" t="s">
        <v>1631</v>
      </c>
      <c r="P696" s="33" t="s">
        <v>23</v>
      </c>
      <c r="Q696" s="60">
        <f>IFERROR(IF(12 / VLOOKUP(Table2[[#This Row],[Rateizzazione]],TIPI_RATEIZZAZIONI,2,FALSE) &gt;=1,  IF(Table2[[#This Row],[Data attivazione]] = "","-",MONTH(Table2[[#This Row],[Data attivazione]])),"-"),"-")</f>
        <v>5</v>
      </c>
      <c r="R6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6" s="67" t="s">
        <v>2</v>
      </c>
      <c r="V696" s="62"/>
      <c r="W696" s="64">
        <v>42504</v>
      </c>
      <c r="X696" s="29">
        <f>DATE(YEAR(Table2[[#This Row],[Data attivazione]])+VLOOKUP(Table2[[#This Row],[Durata]],VALORE_DURATA,2,FALSE),MONTH(Table2[[#This Row],[Data attivazione]]),DAY(Table2[[#This Row],[Data attivazione]]))</f>
        <v>42869</v>
      </c>
      <c r="Y696" s="65"/>
      <c r="Z696" s="61"/>
      <c r="AA696" s="64" t="s">
        <v>88</v>
      </c>
      <c r="AB696" s="29" t="str">
        <f>IF(Table2[[#This Row],[Data ultimo versamento temp]]=0/1/1900,"-",Table2[[#This Row],[Data ultimo versamento temp]])</f>
        <v>-</v>
      </c>
      <c r="AC696" s="29">
        <f t="array" ref="AC696">MAX(IF(TableVersamenti[Polizza]=Table2[[#This Row],[Polizza]],TableVersamenti[Data prevista versamento],"-"))</f>
        <v>0</v>
      </c>
      <c r="AD696" s="62"/>
      <c r="AE696" s="106">
        <f>DATE(YEAR(Table2[[#This Row],[Data ultimo pagamento]]),MONTH(Table2[[#This Row],[Data ultimo pagamento]]), 1)</f>
        <v>42491</v>
      </c>
      <c r="AF696" s="106">
        <f>DATE(YEAR(Table2[[#This Row],[Data prossima scadenza]]),MONTH(Table2[[#This Row],[Data prossima scadenza]]), 1)</f>
        <v>42856</v>
      </c>
      <c r="AG696" s="33">
        <f>IFERROR(Table2[[#This Row],[Importo annuale]]*VLOOKUP(Table2[[#This Row],[Ramo]],RAMI_POLIZZA,2,FALSE),0)</f>
        <v>51.75</v>
      </c>
      <c r="AH696" s="65" t="s">
        <v>113</v>
      </c>
      <c r="AI696" s="63" t="str">
        <f>IFERROR(VLOOKUP(Table2[[#This Row],[Contraente]],Table1[[Nome/Ragione sociale]:[Checkbox selezionato]],2,FALSE),"-")</f>
        <v>BELGIOIOSO</v>
      </c>
      <c r="AJ696" s="63">
        <f>IFERROR(VLOOKUP(Table2[[#This Row],[Contraente]],Table1[[Nome/Ragione sociale]:[Checkbox selezionato]],3,FALSE),"-")</f>
        <v>3317762704</v>
      </c>
      <c r="AK696" s="63">
        <f>IFERROR(VLOOKUP(Table2[[#This Row],[Contraente]],Table1[[Nome/Ragione sociale]:[Checkbox selezionato]],4,FALSE),"-")</f>
        <v>0</v>
      </c>
      <c r="AL696" s="63" t="str">
        <f>IFERROR(VLOOKUP(Table2[[#This Row],[Contraente]],Table1[[Nome/Ragione sociale]:[Checkbox selezionato]],5,FALSE),"-")</f>
        <v>OSCAR</v>
      </c>
      <c r="AM696" s="62">
        <f>IFERROR(VLOOKUP(Table2[[#This Row],[Contraente]],Table1[[Nome/Ragione sociale]:[Checkbox selezionato]],6,FALSE),"-")</f>
        <v>31284</v>
      </c>
      <c r="AN696" s="63" t="str">
        <f>IFERROR(VLOOKUP(Table2[[#This Row],[Contraente]],Table1[[Nome/Ragione sociale]:[Checkbox selezionato]],7,FALSE),"-")</f>
        <v>papies@email.it</v>
      </c>
      <c r="AO696" s="63">
        <f>IFERROR(VLOOKUP(Table2[[#This Row],[Contraente]],Table1[[Nome/Ragione sociale]:[Checkbox selezionato]],8,FALSE),"-")</f>
        <v>0</v>
      </c>
      <c r="AP696" s="63">
        <f>IFERROR(VLOOKUP(Table2[[#This Row],[Contraente]],Table1[[Nome/Ragione sociale]:[Checkbox selezionato]],10,FALSE),"-")</f>
        <v>3317762704</v>
      </c>
      <c r="AQ696" s="63" t="str">
        <f>IFERROR(VLOOKUP(Table2[[#This Row],[Contraente]],Table1[[Nome/Ragione sociale]:[Checkbox selezionato]],11,FALSE),"-")</f>
        <v>SI</v>
      </c>
      <c r="AR696" s="63" t="str">
        <f>IFERROR(VLOOKUP(Table2[[#This Row],[Contraente]],Table1[[Nome/Ragione sociale]:[Checkbox selezionato]],12,FALSE),"-")</f>
        <v>SI</v>
      </c>
    </row>
    <row r="697" spans="1:44" ht="30" hidden="1" customHeight="1" x14ac:dyDescent="0.25">
      <c r="A697" s="60" t="str">
        <f>UPPER(LEFT(Table2[[#This Row],[Contraente]],1))</f>
        <v>M</v>
      </c>
      <c r="B697" s="60" t="s">
        <v>1634</v>
      </c>
      <c r="C697" s="81" t="s">
        <v>797</v>
      </c>
      <c r="D697" s="81" t="s">
        <v>37</v>
      </c>
      <c r="E697" s="86">
        <v>104965268</v>
      </c>
      <c r="F697" s="64">
        <v>42676</v>
      </c>
      <c r="G697" s="64">
        <f>IFERROR(CALCOLASCADENZA(Table2[[#This Row],[Data attivazione]],Table2[[#This Row],[Rateizzazione]],Table2[[#This Row],[Data ultimo pagamento]],Table2[[#This Row],[Data prossima scadenza manuale]]),"-")</f>
        <v>43022</v>
      </c>
      <c r="H697" s="67" t="s">
        <v>30</v>
      </c>
      <c r="I697" s="67" t="s">
        <v>113</v>
      </c>
      <c r="J697" s="33">
        <f>IFERROR(Table2[[#This Row],[Importo annuale]]/(12/VLOOKUP(Table2[[#This Row],[Rateizzazione]],TIPI_RATEIZZAZIONI,2,FALSE)),"-")</f>
        <v>65</v>
      </c>
      <c r="K697" s="88"/>
      <c r="L697" s="88">
        <v>65</v>
      </c>
      <c r="M697" s="67" t="s">
        <v>44</v>
      </c>
      <c r="N697" s="67" t="s">
        <v>52</v>
      </c>
      <c r="O697" s="27" t="s">
        <v>1632</v>
      </c>
      <c r="P697" s="33" t="s">
        <v>23</v>
      </c>
      <c r="Q697" s="60">
        <f>IFERROR(IF(12 / VLOOKUP(Table2[[#This Row],[Rateizzazione]],TIPI_RATEIZZAZIONI,2,FALSE) &gt;=1,  IF(Table2[[#This Row],[Data attivazione]] = "","-",MONTH(Table2[[#This Row],[Data attivazione]])),"-"),"-")</f>
        <v>10</v>
      </c>
      <c r="R6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7" s="67" t="s">
        <v>2</v>
      </c>
      <c r="V697" s="62"/>
      <c r="W697" s="64">
        <v>39369</v>
      </c>
      <c r="X697" s="29">
        <f>DATE(YEAR(Table2[[#This Row],[Data attivazione]])+VLOOKUP(Table2[[#This Row],[Durata]],VALORE_DURATA,2,FALSE),MONTH(Table2[[#This Row],[Data attivazione]]),DAY(Table2[[#This Row],[Data attivazione]]))</f>
        <v>43022</v>
      </c>
      <c r="Y697" s="65"/>
      <c r="Z697" s="61"/>
      <c r="AA697" s="64" t="s">
        <v>85</v>
      </c>
      <c r="AB697" s="29" t="str">
        <f>IF(Table2[[#This Row],[Data ultimo versamento temp]]=0/1/1900,"-",Table2[[#This Row],[Data ultimo versamento temp]])</f>
        <v>-</v>
      </c>
      <c r="AC697" s="29">
        <f t="array" ref="AC697">MAX(IF(TableVersamenti[Polizza]=Table2[[#This Row],[Polizza]],TableVersamenti[Data prevista versamento],"-"))</f>
        <v>0</v>
      </c>
      <c r="AD697" s="62"/>
      <c r="AE697" s="106">
        <f>DATE(YEAR(Table2[[#This Row],[Data ultimo pagamento]]),MONTH(Table2[[#This Row],[Data ultimo pagamento]]), 1)</f>
        <v>42675</v>
      </c>
      <c r="AF697" s="106">
        <f>DATE(YEAR(Table2[[#This Row],[Data prossima scadenza]]),MONTH(Table2[[#This Row],[Data prossima scadenza]]), 1)</f>
        <v>43009</v>
      </c>
      <c r="AG697" s="33">
        <f>IFERROR(Table2[[#This Row],[Importo annuale]]*VLOOKUP(Table2[[#This Row],[Ramo]],RAMI_POLIZZA,2,FALSE),0)</f>
        <v>7.4750000000000005</v>
      </c>
      <c r="AH697" s="65" t="s">
        <v>113</v>
      </c>
      <c r="AI697" s="63" t="str">
        <f>IFERROR(VLOOKUP(Table2[[#This Row],[Contraente]],Table1[[Nome/Ragione sociale]:[Checkbox selezionato]],2,FALSE),"-")</f>
        <v>BELGIOIOSO</v>
      </c>
      <c r="AJ697" s="63">
        <f>IFERROR(VLOOKUP(Table2[[#This Row],[Contraente]],Table1[[Nome/Ragione sociale]:[Checkbox selezionato]],3,FALSE),"-")</f>
        <v>3478572342</v>
      </c>
      <c r="AK697" s="63">
        <f>IFERROR(VLOOKUP(Table2[[#This Row],[Contraente]],Table1[[Nome/Ragione sociale]:[Checkbox selezionato]],4,FALSE),"-")</f>
        <v>0</v>
      </c>
      <c r="AL697" s="63" t="str">
        <f>IFERROR(VLOOKUP(Table2[[#This Row],[Contraente]],Table1[[Nome/Ragione sociale]:[Checkbox selezionato]],5,FALSE),"-")</f>
        <v>OMAR</v>
      </c>
      <c r="AM697" s="62">
        <f>IFERROR(VLOOKUP(Table2[[#This Row],[Contraente]],Table1[[Nome/Ragione sociale]:[Checkbox selezionato]],6,FALSE),"-")</f>
        <v>30076</v>
      </c>
      <c r="AN697" s="63" t="str">
        <f>IFERROR(VLOOKUP(Table2[[#This Row],[Contraente]],Table1[[Nome/Ragione sociale]:[Checkbox selezionato]],7,FALSE),"-")</f>
        <v>papies@libero.it</v>
      </c>
      <c r="AO697" s="63">
        <f>IFERROR(VLOOKUP(Table2[[#This Row],[Contraente]],Table1[[Nome/Ragione sociale]:[Checkbox selezionato]],8,FALSE),"-")</f>
        <v>0</v>
      </c>
      <c r="AP697" s="63">
        <f>IFERROR(VLOOKUP(Table2[[#This Row],[Contraente]],Table1[[Nome/Ragione sociale]:[Checkbox selezionato]],10,FALSE),"-")</f>
        <v>3478572342</v>
      </c>
      <c r="AQ697" s="63" t="str">
        <f>IFERROR(VLOOKUP(Table2[[#This Row],[Contraente]],Table1[[Nome/Ragione sociale]:[Checkbox selezionato]],11,FALSE),"-")</f>
        <v>SI</v>
      </c>
      <c r="AR697" s="63" t="str">
        <f>IFERROR(VLOOKUP(Table2[[#This Row],[Contraente]],Table1[[Nome/Ragione sociale]:[Checkbox selezionato]],12,FALSE),"-")</f>
        <v>SI</v>
      </c>
    </row>
    <row r="698" spans="1:44" ht="30" hidden="1" customHeight="1" x14ac:dyDescent="0.25">
      <c r="A698" s="60" t="str">
        <f>UPPER(LEFT(Table2[[#This Row],[Contraente]],1))</f>
        <v>M</v>
      </c>
      <c r="B698" s="60" t="s">
        <v>1634</v>
      </c>
      <c r="C698" s="81" t="s">
        <v>797</v>
      </c>
      <c r="D698" s="81" t="s">
        <v>37</v>
      </c>
      <c r="E698" s="86">
        <v>106708475</v>
      </c>
      <c r="F698" s="64">
        <v>42852</v>
      </c>
      <c r="G698" s="64">
        <f>IFERROR(CALCOLASCADENZA(Table2[[#This Row],[Data attivazione]],Table2[[#This Row],[Rateizzazione]],Table2[[#This Row],[Data ultimo pagamento]],Table2[[#This Row],[Data prossima scadenza manuale]]),"-")</f>
        <v>42976</v>
      </c>
      <c r="H698" s="67" t="s">
        <v>31</v>
      </c>
      <c r="I698" s="67" t="s">
        <v>1407</v>
      </c>
      <c r="J698" s="33">
        <f>IFERROR(Table2[[#This Row],[Importo annuale]]/(12/VLOOKUP(Table2[[#This Row],[Rateizzazione]],TIPI_RATEIZZAZIONI,2,FALSE)),"-")</f>
        <v>140</v>
      </c>
      <c r="K698" s="88">
        <v>140</v>
      </c>
      <c r="L698" s="88">
        <v>420</v>
      </c>
      <c r="M698" s="67" t="s">
        <v>44</v>
      </c>
      <c r="N698" s="67" t="s">
        <v>51</v>
      </c>
      <c r="O698" s="27" t="s">
        <v>1631</v>
      </c>
      <c r="P698" s="33" t="s">
        <v>21</v>
      </c>
      <c r="Q698" s="60">
        <f>IFERROR(IF(12 / VLOOKUP(Table2[[#This Row],[Rateizzazione]],TIPI_RATEIZZAZIONI,2,FALSE) &gt;=1,  IF(Table2[[#This Row],[Data attivazione]] = "","-",MONTH(Table2[[#This Row],[Data attivazione]])),"-"),"-")</f>
        <v>8</v>
      </c>
      <c r="R6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9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6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8" s="67" t="s">
        <v>2</v>
      </c>
      <c r="V698" s="62"/>
      <c r="W698" s="64">
        <v>42611</v>
      </c>
      <c r="X698" s="29">
        <f>DATE(YEAR(Table2[[#This Row],[Data attivazione]])+VLOOKUP(Table2[[#This Row],[Durata]],VALORE_DURATA,2,FALSE),MONTH(Table2[[#This Row],[Data attivazione]]),DAY(Table2[[#This Row],[Data attivazione]]))</f>
        <v>42976</v>
      </c>
      <c r="Y698" s="65"/>
      <c r="Z698" s="61"/>
      <c r="AA698" s="64" t="s">
        <v>85</v>
      </c>
      <c r="AB698" s="29" t="str">
        <f>IF(Table2[[#This Row],[Data ultimo versamento temp]]=0/1/1900,"-",Table2[[#This Row],[Data ultimo versamento temp]])</f>
        <v>-</v>
      </c>
      <c r="AC698" s="29">
        <f t="array" ref="AC698">MAX(IF(TableVersamenti[Polizza]=Table2[[#This Row],[Polizza]],TableVersamenti[Data prevista versamento],"-"))</f>
        <v>0</v>
      </c>
      <c r="AD698" s="62"/>
      <c r="AE698" s="106">
        <f>DATE(YEAR(Table2[[#This Row],[Data ultimo pagamento]]),MONTH(Table2[[#This Row],[Data ultimo pagamento]]), 1)</f>
        <v>42826</v>
      </c>
      <c r="AF698" s="106">
        <f>DATE(YEAR(Table2[[#This Row],[Data prossima scadenza]]),MONTH(Table2[[#This Row],[Data prossima scadenza]]), 1)</f>
        <v>42948</v>
      </c>
      <c r="AG698" s="33">
        <f>IFERROR(Table2[[#This Row],[Importo annuale]]*VLOOKUP(Table2[[#This Row],[Ramo]],RAMI_POLIZZA,2,FALSE),0)</f>
        <v>21.84</v>
      </c>
      <c r="AH698" s="65" t="s">
        <v>113</v>
      </c>
      <c r="AI698" s="63" t="str">
        <f>IFERROR(VLOOKUP(Table2[[#This Row],[Contraente]],Table1[[Nome/Ragione sociale]:[Checkbox selezionato]],2,FALSE),"-")</f>
        <v>BELGIOIOSO</v>
      </c>
      <c r="AJ698" s="63">
        <f>IFERROR(VLOOKUP(Table2[[#This Row],[Contraente]],Table1[[Nome/Ragione sociale]:[Checkbox selezionato]],3,FALSE),"-")</f>
        <v>3478572342</v>
      </c>
      <c r="AK698" s="63">
        <f>IFERROR(VLOOKUP(Table2[[#This Row],[Contraente]],Table1[[Nome/Ragione sociale]:[Checkbox selezionato]],4,FALSE),"-")</f>
        <v>0</v>
      </c>
      <c r="AL698" s="63" t="str">
        <f>IFERROR(VLOOKUP(Table2[[#This Row],[Contraente]],Table1[[Nome/Ragione sociale]:[Checkbox selezionato]],5,FALSE),"-")</f>
        <v>OMAR</v>
      </c>
      <c r="AM698" s="62">
        <f>IFERROR(VLOOKUP(Table2[[#This Row],[Contraente]],Table1[[Nome/Ragione sociale]:[Checkbox selezionato]],6,FALSE),"-")</f>
        <v>30076</v>
      </c>
      <c r="AN698" s="63" t="str">
        <f>IFERROR(VLOOKUP(Table2[[#This Row],[Contraente]],Table1[[Nome/Ragione sociale]:[Checkbox selezionato]],7,FALSE),"-")</f>
        <v>papies@libero.it</v>
      </c>
      <c r="AO698" s="63">
        <f>IFERROR(VLOOKUP(Table2[[#This Row],[Contraente]],Table1[[Nome/Ragione sociale]:[Checkbox selezionato]],8,FALSE),"-")</f>
        <v>0</v>
      </c>
      <c r="AP698" s="63">
        <f>IFERROR(VLOOKUP(Table2[[#This Row],[Contraente]],Table1[[Nome/Ragione sociale]:[Checkbox selezionato]],10,FALSE),"-")</f>
        <v>3478572342</v>
      </c>
      <c r="AQ698" s="63" t="str">
        <f>IFERROR(VLOOKUP(Table2[[#This Row],[Contraente]],Table1[[Nome/Ragione sociale]:[Checkbox selezionato]],11,FALSE),"-")</f>
        <v>SI</v>
      </c>
      <c r="AR698" s="63" t="str">
        <f>IFERROR(VLOOKUP(Table2[[#This Row],[Contraente]],Table1[[Nome/Ragione sociale]:[Checkbox selezionato]],12,FALSE),"-")</f>
        <v>SI</v>
      </c>
    </row>
    <row r="699" spans="1:44" ht="30" hidden="1" customHeight="1" x14ac:dyDescent="0.25">
      <c r="A699" s="60" t="str">
        <f>UPPER(LEFT(Table2[[#This Row],[Contraente]],1))</f>
        <v>M</v>
      </c>
      <c r="B699" s="60" t="s">
        <v>1634</v>
      </c>
      <c r="C699" s="81" t="s">
        <v>797</v>
      </c>
      <c r="D699" s="81" t="s">
        <v>38</v>
      </c>
      <c r="E699" s="86">
        <v>7000064224</v>
      </c>
      <c r="F699" s="64">
        <v>42852</v>
      </c>
      <c r="G699" s="64">
        <f>IFERROR(CALCOLASCADENZA(Table2[[#This Row],[Data attivazione]],Table2[[#This Row],[Rateizzazione]],Table2[[#This Row],[Data ultimo pagamento]],Table2[[#This Row],[Data prossima scadenza manuale]]),"-")</f>
        <v>43037</v>
      </c>
      <c r="H699" s="67" t="s">
        <v>30</v>
      </c>
      <c r="I699" s="67" t="s">
        <v>113</v>
      </c>
      <c r="J699" s="33">
        <f>IFERROR(Table2[[#This Row],[Importo annuale]]/(12/VLOOKUP(Table2[[#This Row],[Rateizzazione]],TIPI_RATEIZZAZIONI,2,FALSE)),"-")</f>
        <v>67.040000000000006</v>
      </c>
      <c r="K699" s="88">
        <v>67.040000000000006</v>
      </c>
      <c r="L699" s="88">
        <v>134.08000000000001</v>
      </c>
      <c r="M699" s="67" t="s">
        <v>44</v>
      </c>
      <c r="N699" s="67" t="s">
        <v>51</v>
      </c>
      <c r="O699" s="27" t="s">
        <v>1631</v>
      </c>
      <c r="P699" s="33" t="s">
        <v>22</v>
      </c>
      <c r="Q699" s="60">
        <f>IFERROR(IF(12 / VLOOKUP(Table2[[#This Row],[Rateizzazione]],TIPI_RATEIZZAZIONI,2,FALSE) &gt;=1,  IF(Table2[[#This Row],[Data attivazione]] = "","-",MONTH(Table2[[#This Row],[Data attivazione]])),"-"),"-")</f>
        <v>10</v>
      </c>
      <c r="R6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9" s="67" t="s">
        <v>2</v>
      </c>
      <c r="V699" s="62"/>
      <c r="W699" s="64">
        <v>42672</v>
      </c>
      <c r="X699" s="29">
        <f>DATE(YEAR(Table2[[#This Row],[Data attivazione]])+VLOOKUP(Table2[[#This Row],[Durata]],VALORE_DURATA,2,FALSE),MONTH(Table2[[#This Row],[Data attivazione]]),DAY(Table2[[#This Row],[Data attivazione]]))</f>
        <v>43037</v>
      </c>
      <c r="Y699" s="65"/>
      <c r="Z699" s="61"/>
      <c r="AA699" s="64" t="s">
        <v>85</v>
      </c>
      <c r="AB699" s="29" t="str">
        <f>IF(Table2[[#This Row],[Data ultimo versamento temp]]=0/1/1900,"-",Table2[[#This Row],[Data ultimo versamento temp]])</f>
        <v>-</v>
      </c>
      <c r="AC699" s="29">
        <f t="array" ref="AC699">MAX(IF(TableVersamenti[Polizza]=Table2[[#This Row],[Polizza]],TableVersamenti[Data prevista versamento],"-"))</f>
        <v>0</v>
      </c>
      <c r="AD699" s="62"/>
      <c r="AE699" s="106">
        <f>DATE(YEAR(Table2[[#This Row],[Data ultimo pagamento]]),MONTH(Table2[[#This Row],[Data ultimo pagamento]]), 1)</f>
        <v>42826</v>
      </c>
      <c r="AF699" s="106">
        <f>DATE(YEAR(Table2[[#This Row],[Data prossima scadenza]]),MONTH(Table2[[#This Row],[Data prossima scadenza]]), 1)</f>
        <v>43009</v>
      </c>
      <c r="AG699" s="33">
        <f>IFERROR(Table2[[#This Row],[Importo annuale]]*VLOOKUP(Table2[[#This Row],[Ramo]],RAMI_POLIZZA,2,FALSE),0)</f>
        <v>15.419200000000002</v>
      </c>
      <c r="AH699" s="65" t="s">
        <v>113</v>
      </c>
      <c r="AI699" s="63" t="str">
        <f>IFERROR(VLOOKUP(Table2[[#This Row],[Contraente]],Table1[[Nome/Ragione sociale]:[Checkbox selezionato]],2,FALSE),"-")</f>
        <v>BELGIOIOSO</v>
      </c>
      <c r="AJ699" s="63">
        <f>IFERROR(VLOOKUP(Table2[[#This Row],[Contraente]],Table1[[Nome/Ragione sociale]:[Checkbox selezionato]],3,FALSE),"-")</f>
        <v>3478572342</v>
      </c>
      <c r="AK699" s="63">
        <f>IFERROR(VLOOKUP(Table2[[#This Row],[Contraente]],Table1[[Nome/Ragione sociale]:[Checkbox selezionato]],4,FALSE),"-")</f>
        <v>0</v>
      </c>
      <c r="AL699" s="63" t="str">
        <f>IFERROR(VLOOKUP(Table2[[#This Row],[Contraente]],Table1[[Nome/Ragione sociale]:[Checkbox selezionato]],5,FALSE),"-")</f>
        <v>OMAR</v>
      </c>
      <c r="AM699" s="62">
        <f>IFERROR(VLOOKUP(Table2[[#This Row],[Contraente]],Table1[[Nome/Ragione sociale]:[Checkbox selezionato]],6,FALSE),"-")</f>
        <v>30076</v>
      </c>
      <c r="AN699" s="63" t="str">
        <f>IFERROR(VLOOKUP(Table2[[#This Row],[Contraente]],Table1[[Nome/Ragione sociale]:[Checkbox selezionato]],7,FALSE),"-")</f>
        <v>papies@libero.it</v>
      </c>
      <c r="AO699" s="63">
        <f>IFERROR(VLOOKUP(Table2[[#This Row],[Contraente]],Table1[[Nome/Ragione sociale]:[Checkbox selezionato]],8,FALSE),"-")</f>
        <v>0</v>
      </c>
      <c r="AP699" s="63">
        <f>IFERROR(VLOOKUP(Table2[[#This Row],[Contraente]],Table1[[Nome/Ragione sociale]:[Checkbox selezionato]],10,FALSE),"-")</f>
        <v>3478572342</v>
      </c>
      <c r="AQ699" s="63" t="str">
        <f>IFERROR(VLOOKUP(Table2[[#This Row],[Contraente]],Table1[[Nome/Ragione sociale]:[Checkbox selezionato]],11,FALSE),"-")</f>
        <v>SI</v>
      </c>
      <c r="AR699" s="63" t="str">
        <f>IFERROR(VLOOKUP(Table2[[#This Row],[Contraente]],Table1[[Nome/Ragione sociale]:[Checkbox selezionato]],12,FALSE),"-")</f>
        <v>SI</v>
      </c>
    </row>
    <row r="700" spans="1:44" ht="30" hidden="1" customHeight="1" x14ac:dyDescent="0.25">
      <c r="A700" s="60" t="str">
        <f>UPPER(LEFT(Table2[[#This Row],[Contraente]],1))</f>
        <v>M</v>
      </c>
      <c r="B700" s="60" t="s">
        <v>1634</v>
      </c>
      <c r="C700" s="81" t="s">
        <v>796</v>
      </c>
      <c r="D700" s="81" t="s">
        <v>37</v>
      </c>
      <c r="E700" s="86">
        <v>106186212</v>
      </c>
      <c r="F700" s="64">
        <v>42916</v>
      </c>
      <c r="G700" s="64">
        <f>IFERROR(CALCOLASCADENZA(Table2[[#This Row],[Data attivazione]],Table2[[#This Row],[Rateizzazione]],Table2[[#This Row],[Data ultimo pagamento]],Table2[[#This Row],[Data prossima scadenza manuale]]),"-")</f>
        <v>43036</v>
      </c>
      <c r="H700" s="67" t="s">
        <v>31</v>
      </c>
      <c r="I700" s="67" t="s">
        <v>1405</v>
      </c>
      <c r="J700" s="33">
        <f>IFERROR(Table2[[#This Row],[Importo annuale]]/(12/VLOOKUP(Table2[[#This Row],[Rateizzazione]],TIPI_RATEIZZAZIONI,2,FALSE)),"-")</f>
        <v>220</v>
      </c>
      <c r="K700" s="88">
        <v>440</v>
      </c>
      <c r="L700" s="88">
        <v>660</v>
      </c>
      <c r="M700" s="67" t="s">
        <v>45</v>
      </c>
      <c r="N700" s="67" t="s">
        <v>52</v>
      </c>
      <c r="O700" s="27" t="s">
        <v>1631</v>
      </c>
      <c r="P700" s="33" t="s">
        <v>21</v>
      </c>
      <c r="Q700" s="60">
        <f>IFERROR(IF(12 / VLOOKUP(Table2[[#This Row],[Rateizzazione]],TIPI_RATEIZZAZIONI,2,FALSE) &gt;=1,  IF(Table2[[#This Row],[Data attivazione]] = "","-",MONTH(Table2[[#This Row],[Data attivazione]])),"-"),"-")</f>
        <v>10</v>
      </c>
      <c r="R7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0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7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0" s="67" t="s">
        <v>2</v>
      </c>
      <c r="V700" s="62"/>
      <c r="W700" s="64">
        <v>42671</v>
      </c>
      <c r="X700" s="29">
        <f>DATE(YEAR(Table2[[#This Row],[Data attivazione]])+VLOOKUP(Table2[[#This Row],[Durata]],VALORE_DURATA,2,FALSE),MONTH(Table2[[#This Row],[Data attivazione]]),DAY(Table2[[#This Row],[Data attivazione]]))</f>
        <v>43036</v>
      </c>
      <c r="Y700" s="65"/>
      <c r="Z700" s="61"/>
      <c r="AA700" s="64" t="s">
        <v>85</v>
      </c>
      <c r="AB700" s="29">
        <f>IF(Table2[[#This Row],[Data ultimo versamento temp]]=0/1/1900,"-",Table2[[#This Row],[Data ultimo versamento temp]])</f>
        <v>42933</v>
      </c>
      <c r="AC700" s="29">
        <f t="array" ref="AC700">MAX(IF(TableVersamenti[Polizza]=Table2[[#This Row],[Polizza]],TableVersamenti[Data prevista versamento],"-"))</f>
        <v>42933</v>
      </c>
      <c r="AD700" s="62"/>
      <c r="AE700" s="106">
        <f>DATE(YEAR(Table2[[#This Row],[Data ultimo pagamento]]),MONTH(Table2[[#This Row],[Data ultimo pagamento]]), 1)</f>
        <v>42887</v>
      </c>
      <c r="AF700" s="106">
        <f>DATE(YEAR(Table2[[#This Row],[Data prossima scadenza]]),MONTH(Table2[[#This Row],[Data prossima scadenza]]), 1)</f>
        <v>43009</v>
      </c>
      <c r="AG700" s="33">
        <f>IFERROR(Table2[[#This Row],[Importo annuale]]*VLOOKUP(Table2[[#This Row],[Ramo]],RAMI_POLIZZA,2,FALSE),0)</f>
        <v>34.32</v>
      </c>
      <c r="AH700" s="65" t="s">
        <v>113</v>
      </c>
      <c r="AI700" s="63" t="str">
        <f>IFERROR(VLOOKUP(Table2[[#This Row],[Contraente]],Table1[[Nome/Ragione sociale]:[Checkbox selezionato]],2,FALSE),"-")</f>
        <v>BELGIOIOSO</v>
      </c>
      <c r="AJ700" s="63">
        <f>IFERROR(VLOOKUP(Table2[[#This Row],[Contraente]],Table1[[Nome/Ragione sociale]:[Checkbox selezionato]],3,FALSE),"-")</f>
        <v>3317762704</v>
      </c>
      <c r="AK700" s="63">
        <f>IFERROR(VLOOKUP(Table2[[#This Row],[Contraente]],Table1[[Nome/Ragione sociale]:[Checkbox selezionato]],4,FALSE),"-")</f>
        <v>0</v>
      </c>
      <c r="AL700" s="63" t="str">
        <f>IFERROR(VLOOKUP(Table2[[#This Row],[Contraente]],Table1[[Nome/Ragione sociale]:[Checkbox selezionato]],5,FALSE),"-")</f>
        <v>OSCAR</v>
      </c>
      <c r="AM700" s="62">
        <f>IFERROR(VLOOKUP(Table2[[#This Row],[Contraente]],Table1[[Nome/Ragione sociale]:[Checkbox selezionato]],6,FALSE),"-")</f>
        <v>31284</v>
      </c>
      <c r="AN700" s="63" t="str">
        <f>IFERROR(VLOOKUP(Table2[[#This Row],[Contraente]],Table1[[Nome/Ragione sociale]:[Checkbox selezionato]],7,FALSE),"-")</f>
        <v>papies@libero.it</v>
      </c>
      <c r="AO700" s="63">
        <f>IFERROR(VLOOKUP(Table2[[#This Row],[Contraente]],Table1[[Nome/Ragione sociale]:[Checkbox selezionato]],8,FALSE),"-")</f>
        <v>0</v>
      </c>
      <c r="AP700" s="63">
        <f>IFERROR(VLOOKUP(Table2[[#This Row],[Contraente]],Table1[[Nome/Ragione sociale]:[Checkbox selezionato]],10,FALSE),"-")</f>
        <v>3317762704</v>
      </c>
      <c r="AQ700" s="63" t="str">
        <f>IFERROR(VLOOKUP(Table2[[#This Row],[Contraente]],Table1[[Nome/Ragione sociale]:[Checkbox selezionato]],11,FALSE),"-")</f>
        <v>SI</v>
      </c>
      <c r="AR700" s="63" t="str">
        <f>IFERROR(VLOOKUP(Table2[[#This Row],[Contraente]],Table1[[Nome/Ragione sociale]:[Checkbox selezionato]],12,FALSE),"-")</f>
        <v>SI</v>
      </c>
    </row>
    <row r="701" spans="1:44" ht="30" hidden="1" customHeight="1" x14ac:dyDescent="0.25">
      <c r="A701" s="60" t="str">
        <f>UPPER(LEFT(Table2[[#This Row],[Contraente]],1))</f>
        <v>M</v>
      </c>
      <c r="B701" s="60" t="s">
        <v>1634</v>
      </c>
      <c r="C701" s="81" t="s">
        <v>796</v>
      </c>
      <c r="D701" s="81" t="s">
        <v>37</v>
      </c>
      <c r="E701" s="86">
        <v>106186212</v>
      </c>
      <c r="F701" s="64">
        <v>42930</v>
      </c>
      <c r="G701" s="64">
        <f>IFERROR(CALCOLASCADENZA(Table2[[#This Row],[Data attivazione]],Table2[[#This Row],[Rateizzazione]],Table2[[#This Row],[Data ultimo pagamento]],Table2[[#This Row],[Data prossima scadenza manuale]]),"-")</f>
        <v>43041</v>
      </c>
      <c r="H701" s="67" t="s">
        <v>31</v>
      </c>
      <c r="I701" s="67" t="s">
        <v>1405</v>
      </c>
      <c r="J701" s="33">
        <f>IFERROR(Table2[[#This Row],[Importo annuale]]/(12/VLOOKUP(Table2[[#This Row],[Rateizzazione]],TIPI_RATEIZZAZIONI,2,FALSE)),"-")</f>
        <v>128</v>
      </c>
      <c r="K701" s="88">
        <v>256</v>
      </c>
      <c r="L701" s="88">
        <v>384</v>
      </c>
      <c r="M701" s="67" t="s">
        <v>45</v>
      </c>
      <c r="N701" s="67" t="s">
        <v>52</v>
      </c>
      <c r="O701" s="27" t="s">
        <v>1631</v>
      </c>
      <c r="P701" s="33" t="s">
        <v>21</v>
      </c>
      <c r="Q701" s="60">
        <f>IFERROR(IF(12 / VLOOKUP(Table2[[#This Row],[Rateizzazione]],TIPI_RATEIZZAZIONI,2,FALSE) &gt;=1,  IF(Table2[[#This Row],[Data attivazione]] = "","-",MONTH(Table2[[#This Row],[Data attivazione]])),"-"),"-")</f>
        <v>11</v>
      </c>
      <c r="R7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7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1" s="67" t="s">
        <v>2</v>
      </c>
      <c r="V701" s="62"/>
      <c r="W701" s="64">
        <v>42676</v>
      </c>
      <c r="X701" s="29">
        <f>DATE(YEAR(Table2[[#This Row],[Data attivazione]])+VLOOKUP(Table2[[#This Row],[Durata]],VALORE_DURATA,2,FALSE),MONTH(Table2[[#This Row],[Data attivazione]]),DAY(Table2[[#This Row],[Data attivazione]]))</f>
        <v>43041</v>
      </c>
      <c r="Y701" s="65"/>
      <c r="Z701" s="61"/>
      <c r="AA701" s="64" t="s">
        <v>88</v>
      </c>
      <c r="AB701" s="29">
        <f>IF(Table2[[#This Row],[Data ultimo versamento temp]]=0/1/1900,"-",Table2[[#This Row],[Data ultimo versamento temp]])</f>
        <v>42933</v>
      </c>
      <c r="AC701" s="29">
        <f t="array" ref="AC701">MAX(IF(TableVersamenti[Polizza]=Table2[[#This Row],[Polizza]],TableVersamenti[Data prevista versamento],"-"))</f>
        <v>42933</v>
      </c>
      <c r="AD701" s="62"/>
      <c r="AE701" s="106">
        <f>DATE(YEAR(Table2[[#This Row],[Data ultimo pagamento]]),MONTH(Table2[[#This Row],[Data ultimo pagamento]]), 1)</f>
        <v>42917</v>
      </c>
      <c r="AF701" s="106">
        <f>DATE(YEAR(Table2[[#This Row],[Data prossima scadenza]]),MONTH(Table2[[#This Row],[Data prossima scadenza]]), 1)</f>
        <v>43040</v>
      </c>
      <c r="AG701" s="33">
        <f>IFERROR(Table2[[#This Row],[Importo annuale]]*VLOOKUP(Table2[[#This Row],[Ramo]],RAMI_POLIZZA,2,FALSE),0)</f>
        <v>19.968</v>
      </c>
      <c r="AH701" s="65" t="s">
        <v>113</v>
      </c>
      <c r="AI701" s="63" t="str">
        <f>IFERROR(VLOOKUP(Table2[[#This Row],[Contraente]],Table1[[Nome/Ragione sociale]:[Checkbox selezionato]],2,FALSE),"-")</f>
        <v>BELGIOIOSO</v>
      </c>
      <c r="AJ701" s="63">
        <f>IFERROR(VLOOKUP(Table2[[#This Row],[Contraente]],Table1[[Nome/Ragione sociale]:[Checkbox selezionato]],3,FALSE),"-")</f>
        <v>3317762704</v>
      </c>
      <c r="AK701" s="63">
        <f>IFERROR(VLOOKUP(Table2[[#This Row],[Contraente]],Table1[[Nome/Ragione sociale]:[Checkbox selezionato]],4,FALSE),"-")</f>
        <v>0</v>
      </c>
      <c r="AL701" s="63" t="str">
        <f>IFERROR(VLOOKUP(Table2[[#This Row],[Contraente]],Table1[[Nome/Ragione sociale]:[Checkbox selezionato]],5,FALSE),"-")</f>
        <v>OSCAR</v>
      </c>
      <c r="AM701" s="62">
        <f>IFERROR(VLOOKUP(Table2[[#This Row],[Contraente]],Table1[[Nome/Ragione sociale]:[Checkbox selezionato]],6,FALSE),"-")</f>
        <v>31284</v>
      </c>
      <c r="AN701" s="63" t="str">
        <f>IFERROR(VLOOKUP(Table2[[#This Row],[Contraente]],Table1[[Nome/Ragione sociale]:[Checkbox selezionato]],7,FALSE),"-")</f>
        <v>papies@libero.it</v>
      </c>
      <c r="AO701" s="63">
        <f>IFERROR(VLOOKUP(Table2[[#This Row],[Contraente]],Table1[[Nome/Ragione sociale]:[Checkbox selezionato]],8,FALSE),"-")</f>
        <v>0</v>
      </c>
      <c r="AP701" s="63">
        <f>IFERROR(VLOOKUP(Table2[[#This Row],[Contraente]],Table1[[Nome/Ragione sociale]:[Checkbox selezionato]],10,FALSE),"-")</f>
        <v>3317762704</v>
      </c>
      <c r="AQ701" s="63" t="str">
        <f>IFERROR(VLOOKUP(Table2[[#This Row],[Contraente]],Table1[[Nome/Ragione sociale]:[Checkbox selezionato]],11,FALSE),"-")</f>
        <v>SI</v>
      </c>
      <c r="AR701" s="63" t="str">
        <f>IFERROR(VLOOKUP(Table2[[#This Row],[Contraente]],Table1[[Nome/Ragione sociale]:[Checkbox selezionato]],12,FALSE),"-")</f>
        <v>SI</v>
      </c>
    </row>
    <row r="702" spans="1:44" ht="30" hidden="1" customHeight="1" x14ac:dyDescent="0.25">
      <c r="A702" s="60" t="str">
        <f>UPPER(LEFT(Table2[[#This Row],[Contraente]],1))</f>
        <v>M</v>
      </c>
      <c r="B702" s="60" t="s">
        <v>1634</v>
      </c>
      <c r="C702" s="81" t="s">
        <v>796</v>
      </c>
      <c r="D702" s="81" t="s">
        <v>37</v>
      </c>
      <c r="E702" s="86">
        <v>106846721</v>
      </c>
      <c r="F702" s="64">
        <v>42865</v>
      </c>
      <c r="G702" s="64">
        <f>IFERROR(CALCOLASCADENZA(Table2[[#This Row],[Data attivazione]],Table2[[#This Row],[Rateizzazione]],Table2[[#This Row],[Data ultimo pagamento]],Table2[[#This Row],[Data prossima scadenza manuale]]),"-")</f>
        <v>42977</v>
      </c>
      <c r="H702" s="67" t="s">
        <v>31</v>
      </c>
      <c r="I702" s="67" t="s">
        <v>1406</v>
      </c>
      <c r="J702" s="33">
        <f>IFERROR(Table2[[#This Row],[Importo annuale]]/(12/VLOOKUP(Table2[[#This Row],[Rateizzazione]],TIPI_RATEIZZAZIONI,2,FALSE)),"-")</f>
        <v>115</v>
      </c>
      <c r="K702" s="88">
        <v>265</v>
      </c>
      <c r="L702" s="88">
        <v>345</v>
      </c>
      <c r="M702" s="67" t="s">
        <v>43</v>
      </c>
      <c r="N702" s="67" t="s">
        <v>51</v>
      </c>
      <c r="O702" s="27" t="s">
        <v>1631</v>
      </c>
      <c r="P702" s="33" t="s">
        <v>21</v>
      </c>
      <c r="Q702" s="60">
        <f>IFERROR(IF(12 / VLOOKUP(Table2[[#This Row],[Rateizzazione]],TIPI_RATEIZZAZIONI,2,FALSE) &gt;=1,  IF(Table2[[#This Row],[Data attivazione]] = "","-",MONTH(Table2[[#This Row],[Data attivazione]])),"-"),"-")</f>
        <v>8</v>
      </c>
      <c r="R7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0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2" s="67" t="s">
        <v>2</v>
      </c>
      <c r="V702" s="62"/>
      <c r="W702" s="64">
        <v>42612</v>
      </c>
      <c r="X702" s="29">
        <f>DATE(YEAR(Table2[[#This Row],[Data attivazione]])+VLOOKUP(Table2[[#This Row],[Durata]],VALORE_DURATA,2,FALSE),MONTH(Table2[[#This Row],[Data attivazione]]),DAY(Table2[[#This Row],[Data attivazione]]))</f>
        <v>42977</v>
      </c>
      <c r="Y702" s="65"/>
      <c r="Z702" s="61"/>
      <c r="AA702" s="64" t="s">
        <v>85</v>
      </c>
      <c r="AB702" s="29" t="str">
        <f>IF(Table2[[#This Row],[Data ultimo versamento temp]]=0/1/1900,"-",Table2[[#This Row],[Data ultimo versamento temp]])</f>
        <v>-</v>
      </c>
      <c r="AC702" s="29">
        <f t="array" ref="AC702">MAX(IF(TableVersamenti[Polizza]=Table2[[#This Row],[Polizza]],TableVersamenti[Data prevista versamento],"-"))</f>
        <v>0</v>
      </c>
      <c r="AD702" s="62"/>
      <c r="AE702" s="106">
        <f>DATE(YEAR(Table2[[#This Row],[Data ultimo pagamento]]),MONTH(Table2[[#This Row],[Data ultimo pagamento]]), 1)</f>
        <v>42856</v>
      </c>
      <c r="AF702" s="106">
        <f>DATE(YEAR(Table2[[#This Row],[Data prossima scadenza]]),MONTH(Table2[[#This Row],[Data prossima scadenza]]), 1)</f>
        <v>42948</v>
      </c>
      <c r="AG702" s="33">
        <f>IFERROR(Table2[[#This Row],[Importo annuale]]*VLOOKUP(Table2[[#This Row],[Ramo]],RAMI_POLIZZA,2,FALSE),0)</f>
        <v>17.939999999999998</v>
      </c>
      <c r="AH702" s="65" t="s">
        <v>113</v>
      </c>
      <c r="AI702" s="63" t="str">
        <f>IFERROR(VLOOKUP(Table2[[#This Row],[Contraente]],Table1[[Nome/Ragione sociale]:[Checkbox selezionato]],2,FALSE),"-")</f>
        <v>BELGIOIOSO</v>
      </c>
      <c r="AJ702" s="63">
        <f>IFERROR(VLOOKUP(Table2[[#This Row],[Contraente]],Table1[[Nome/Ragione sociale]:[Checkbox selezionato]],3,FALSE),"-")</f>
        <v>3317762704</v>
      </c>
      <c r="AK702" s="63">
        <f>IFERROR(VLOOKUP(Table2[[#This Row],[Contraente]],Table1[[Nome/Ragione sociale]:[Checkbox selezionato]],4,FALSE),"-")</f>
        <v>0</v>
      </c>
      <c r="AL702" s="63" t="str">
        <f>IFERROR(VLOOKUP(Table2[[#This Row],[Contraente]],Table1[[Nome/Ragione sociale]:[Checkbox selezionato]],5,FALSE),"-")</f>
        <v>OSCAR</v>
      </c>
      <c r="AM702" s="62">
        <f>IFERROR(VLOOKUP(Table2[[#This Row],[Contraente]],Table1[[Nome/Ragione sociale]:[Checkbox selezionato]],6,FALSE),"-")</f>
        <v>31284</v>
      </c>
      <c r="AN702" s="63" t="str">
        <f>IFERROR(VLOOKUP(Table2[[#This Row],[Contraente]],Table1[[Nome/Ragione sociale]:[Checkbox selezionato]],7,FALSE),"-")</f>
        <v>papies@libero.it</v>
      </c>
      <c r="AO702" s="63">
        <f>IFERROR(VLOOKUP(Table2[[#This Row],[Contraente]],Table1[[Nome/Ragione sociale]:[Checkbox selezionato]],8,FALSE),"-")</f>
        <v>0</v>
      </c>
      <c r="AP702" s="63">
        <f>IFERROR(VLOOKUP(Table2[[#This Row],[Contraente]],Table1[[Nome/Ragione sociale]:[Checkbox selezionato]],10,FALSE),"-")</f>
        <v>3317762704</v>
      </c>
      <c r="AQ702" s="63" t="str">
        <f>IFERROR(VLOOKUP(Table2[[#This Row],[Contraente]],Table1[[Nome/Ragione sociale]:[Checkbox selezionato]],11,FALSE),"-")</f>
        <v>SI</v>
      </c>
      <c r="AR702" s="63" t="str">
        <f>IFERROR(VLOOKUP(Table2[[#This Row],[Contraente]],Table1[[Nome/Ragione sociale]:[Checkbox selezionato]],12,FALSE),"-")</f>
        <v>SI</v>
      </c>
    </row>
    <row r="703" spans="1:44" ht="30" hidden="1" customHeight="1" x14ac:dyDescent="0.25">
      <c r="A703" s="60" t="str">
        <f>UPPER(LEFT(Table2[[#This Row],[Contraente]],1))</f>
        <v>M</v>
      </c>
      <c r="B703" s="60" t="s">
        <v>1634</v>
      </c>
      <c r="C703" s="81" t="s">
        <v>796</v>
      </c>
      <c r="D703" s="81" t="s">
        <v>37</v>
      </c>
      <c r="E703" s="86">
        <v>105166853</v>
      </c>
      <c r="F703" s="64">
        <v>42865</v>
      </c>
      <c r="G703" s="64">
        <f>IFERROR(CALCOLASCADENZA(Table2[[#This Row],[Data attivazione]],Table2[[#This Row],[Rateizzazione]],Table2[[#This Row],[Data ultimo pagamento]],Table2[[#This Row],[Data prossima scadenza manuale]]),"-")</f>
        <v>42982</v>
      </c>
      <c r="H703" s="67" t="s">
        <v>30</v>
      </c>
      <c r="I703" s="67" t="s">
        <v>113</v>
      </c>
      <c r="J703" s="33">
        <f>IFERROR(Table2[[#This Row],[Importo annuale]]/(12/VLOOKUP(Table2[[#This Row],[Rateizzazione]],TIPI_RATEIZZAZIONI,2,FALSE)),"-")</f>
        <v>130</v>
      </c>
      <c r="K703" s="88">
        <v>260</v>
      </c>
      <c r="L703" s="88">
        <v>390</v>
      </c>
      <c r="M703" s="67" t="s">
        <v>45</v>
      </c>
      <c r="N703" s="67" t="s">
        <v>51</v>
      </c>
      <c r="O703" s="27" t="s">
        <v>1631</v>
      </c>
      <c r="P703" s="33" t="s">
        <v>21</v>
      </c>
      <c r="Q703" s="60">
        <f>IFERROR(IF(12 / VLOOKUP(Table2[[#This Row],[Rateizzazione]],TIPI_RATEIZZAZIONI,2,FALSE) &gt;=1,  IF(Table2[[#This Row],[Data attivazione]] = "","-",MONTH(Table2[[#This Row],[Data attivazione]])),"-"),"-")</f>
        <v>9</v>
      </c>
      <c r="R7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7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3" s="67" t="s">
        <v>2</v>
      </c>
      <c r="V703" s="62"/>
      <c r="W703" s="64">
        <v>42617</v>
      </c>
      <c r="X703" s="29">
        <f>DATE(YEAR(Table2[[#This Row],[Data attivazione]])+VLOOKUP(Table2[[#This Row],[Durata]],VALORE_DURATA,2,FALSE),MONTH(Table2[[#This Row],[Data attivazione]]),DAY(Table2[[#This Row],[Data attivazione]]))</f>
        <v>42982</v>
      </c>
      <c r="Y703" s="65"/>
      <c r="Z703" s="61"/>
      <c r="AA703" s="64" t="s">
        <v>85</v>
      </c>
      <c r="AB703" s="29" t="str">
        <f>IF(Table2[[#This Row],[Data ultimo versamento temp]]=0/1/1900,"-",Table2[[#This Row],[Data ultimo versamento temp]])</f>
        <v>-</v>
      </c>
      <c r="AC703" s="29">
        <f t="array" ref="AC703">MAX(IF(TableVersamenti[Polizza]=Table2[[#This Row],[Polizza]],TableVersamenti[Data prevista versamento],"-"))</f>
        <v>0</v>
      </c>
      <c r="AD703" s="62"/>
      <c r="AE703" s="106">
        <f>DATE(YEAR(Table2[[#This Row],[Data ultimo pagamento]]),MONTH(Table2[[#This Row],[Data ultimo pagamento]]), 1)</f>
        <v>42856</v>
      </c>
      <c r="AF703" s="106">
        <f>DATE(YEAR(Table2[[#This Row],[Data prossima scadenza]]),MONTH(Table2[[#This Row],[Data prossima scadenza]]), 1)</f>
        <v>42979</v>
      </c>
      <c r="AG703" s="33">
        <f>IFERROR(Table2[[#This Row],[Importo annuale]]*VLOOKUP(Table2[[#This Row],[Ramo]],RAMI_POLIZZA,2,FALSE),0)</f>
        <v>44.85</v>
      </c>
      <c r="AH703" s="65" t="s">
        <v>113</v>
      </c>
      <c r="AI703" s="63" t="str">
        <f>IFERROR(VLOOKUP(Table2[[#This Row],[Contraente]],Table1[[Nome/Ragione sociale]:[Checkbox selezionato]],2,FALSE),"-")</f>
        <v>BELGIOIOSO</v>
      </c>
      <c r="AJ703" s="63">
        <f>IFERROR(VLOOKUP(Table2[[#This Row],[Contraente]],Table1[[Nome/Ragione sociale]:[Checkbox selezionato]],3,FALSE),"-")</f>
        <v>3317762704</v>
      </c>
      <c r="AK703" s="63">
        <f>IFERROR(VLOOKUP(Table2[[#This Row],[Contraente]],Table1[[Nome/Ragione sociale]:[Checkbox selezionato]],4,FALSE),"-")</f>
        <v>0</v>
      </c>
      <c r="AL703" s="63" t="str">
        <f>IFERROR(VLOOKUP(Table2[[#This Row],[Contraente]],Table1[[Nome/Ragione sociale]:[Checkbox selezionato]],5,FALSE),"-")</f>
        <v>OSCAR</v>
      </c>
      <c r="AM703" s="62">
        <f>IFERROR(VLOOKUP(Table2[[#This Row],[Contraente]],Table1[[Nome/Ragione sociale]:[Checkbox selezionato]],6,FALSE),"-")</f>
        <v>31284</v>
      </c>
      <c r="AN703" s="63" t="str">
        <f>IFERROR(VLOOKUP(Table2[[#This Row],[Contraente]],Table1[[Nome/Ragione sociale]:[Checkbox selezionato]],7,FALSE),"-")</f>
        <v>papies@libero.it</v>
      </c>
      <c r="AO703" s="63">
        <f>IFERROR(VLOOKUP(Table2[[#This Row],[Contraente]],Table1[[Nome/Ragione sociale]:[Checkbox selezionato]],8,FALSE),"-")</f>
        <v>0</v>
      </c>
      <c r="AP703" s="63">
        <f>IFERROR(VLOOKUP(Table2[[#This Row],[Contraente]],Table1[[Nome/Ragione sociale]:[Checkbox selezionato]],10,FALSE),"-")</f>
        <v>3317762704</v>
      </c>
      <c r="AQ703" s="63" t="str">
        <f>IFERROR(VLOOKUP(Table2[[#This Row],[Contraente]],Table1[[Nome/Ragione sociale]:[Checkbox selezionato]],11,FALSE),"-")</f>
        <v>SI</v>
      </c>
      <c r="AR703" s="63" t="str">
        <f>IFERROR(VLOOKUP(Table2[[#This Row],[Contraente]],Table1[[Nome/Ragione sociale]:[Checkbox selezionato]],12,FALSE),"-")</f>
        <v>SI</v>
      </c>
    </row>
    <row r="704" spans="1:44" ht="30" hidden="1" customHeight="1" x14ac:dyDescent="0.25">
      <c r="A704" s="60" t="str">
        <f>UPPER(LEFT(Table2[[#This Row],[Contraente]],1))</f>
        <v>M</v>
      </c>
      <c r="B704" s="60" t="s">
        <v>1634</v>
      </c>
      <c r="C704" s="81" t="s">
        <v>799</v>
      </c>
      <c r="D704" s="81" t="s">
        <v>37</v>
      </c>
      <c r="E704" s="86">
        <v>107073251</v>
      </c>
      <c r="F704" s="64">
        <v>42921</v>
      </c>
      <c r="G704" s="64">
        <f>IFERROR(CALCOLASCADENZA(Table2[[#This Row],[Data attivazione]],Table2[[#This Row],[Rateizzazione]],Table2[[#This Row],[Data ultimo pagamento]],Table2[[#This Row],[Data prossima scadenza manuale]]),"-")</f>
        <v>43092</v>
      </c>
      <c r="H704" s="67" t="s">
        <v>31</v>
      </c>
      <c r="I704" s="67" t="s">
        <v>1409</v>
      </c>
      <c r="J704" s="33">
        <f>IFERROR(Table2[[#This Row],[Importo annuale]]/(12/VLOOKUP(Table2[[#This Row],[Rateizzazione]],TIPI_RATEIZZAZIONI,2,FALSE)),"-")</f>
        <v>210</v>
      </c>
      <c r="K704" s="88">
        <v>210</v>
      </c>
      <c r="L704" s="88">
        <v>420</v>
      </c>
      <c r="M704" s="67" t="s">
        <v>43</v>
      </c>
      <c r="N704" s="67" t="s">
        <v>51</v>
      </c>
      <c r="O704" s="27" t="s">
        <v>1631</v>
      </c>
      <c r="P704" s="33" t="s">
        <v>22</v>
      </c>
      <c r="Q704" s="60">
        <f>IFERROR(IF(12 / VLOOKUP(Table2[[#This Row],[Rateizzazione]],TIPI_RATEIZZAZIONI,2,FALSE) &gt;=1,  IF(Table2[[#This Row],[Data attivazione]] = "","-",MONTH(Table2[[#This Row],[Data attivazione]])),"-"),"-")</f>
        <v>6</v>
      </c>
      <c r="R7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4" s="67" t="s">
        <v>2</v>
      </c>
      <c r="V704" s="62"/>
      <c r="W704" s="64">
        <v>42909</v>
      </c>
      <c r="X704" s="29">
        <f>DATE(YEAR(Table2[[#This Row],[Data attivazione]])+VLOOKUP(Table2[[#This Row],[Durata]],VALORE_DURATA,2,FALSE),MONTH(Table2[[#This Row],[Data attivazione]]),DAY(Table2[[#This Row],[Data attivazione]]))</f>
        <v>43274</v>
      </c>
      <c r="Y704" s="65"/>
      <c r="Z704" s="61"/>
      <c r="AA704" s="64" t="s">
        <v>85</v>
      </c>
      <c r="AB704" s="29">
        <f>IF(Table2[[#This Row],[Data ultimo versamento temp]]=0/1/1900,"-",Table2[[#This Row],[Data ultimo versamento temp]])</f>
        <v>42924</v>
      </c>
      <c r="AC704" s="29">
        <f t="array" ref="AC704">MAX(IF(TableVersamenti[Polizza]=Table2[[#This Row],[Polizza]],TableVersamenti[Data prevista versamento],"-"))</f>
        <v>42924</v>
      </c>
      <c r="AD704" s="62"/>
      <c r="AE704" s="106">
        <f>DATE(YEAR(Table2[[#This Row],[Data ultimo pagamento]]),MONTH(Table2[[#This Row],[Data ultimo pagamento]]), 1)</f>
        <v>42917</v>
      </c>
      <c r="AF704" s="106">
        <f>DATE(YEAR(Table2[[#This Row],[Data prossima scadenza]]),MONTH(Table2[[#This Row],[Data prossima scadenza]]), 1)</f>
        <v>43070</v>
      </c>
      <c r="AG704" s="33">
        <f>IFERROR(Table2[[#This Row],[Importo annuale]]*VLOOKUP(Table2[[#This Row],[Ramo]],RAMI_POLIZZA,2,FALSE),0)</f>
        <v>21.84</v>
      </c>
      <c r="AH704" s="65" t="s">
        <v>113</v>
      </c>
      <c r="AI704" s="63">
        <f>IFERROR(VLOOKUP(Table2[[#This Row],[Contraente]],Table1[[Nome/Ragione sociale]:[Checkbox selezionato]],2,FALSE),"-")</f>
        <v>0</v>
      </c>
      <c r="AJ704" s="63">
        <f>IFERROR(VLOOKUP(Table2[[#This Row],[Contraente]],Table1[[Nome/Ragione sociale]:[Checkbox selezionato]],3,FALSE),"-")</f>
        <v>0</v>
      </c>
      <c r="AK704" s="63">
        <f>IFERROR(VLOOKUP(Table2[[#This Row],[Contraente]],Table1[[Nome/Ragione sociale]:[Checkbox selezionato]],4,FALSE),"-")</f>
        <v>0</v>
      </c>
      <c r="AL704" s="63">
        <f>IFERROR(VLOOKUP(Table2[[#This Row],[Contraente]],Table1[[Nome/Ragione sociale]:[Checkbox selezionato]],5,FALSE),"-")</f>
        <v>0</v>
      </c>
      <c r="AM704" s="62">
        <f>IFERROR(VLOOKUP(Table2[[#This Row],[Contraente]],Table1[[Nome/Ragione sociale]:[Checkbox selezionato]],6,FALSE),"-")</f>
        <v>0</v>
      </c>
      <c r="AN704" s="63" t="str">
        <f>IFERROR(VLOOKUP(Table2[[#This Row],[Contraente]],Table1[[Nome/Ragione sociale]:[Checkbox selezionato]],7,FALSE),"-")</f>
        <v>papies@email.it</v>
      </c>
      <c r="AO704" s="63">
        <f>IFERROR(VLOOKUP(Table2[[#This Row],[Contraente]],Table1[[Nome/Ragione sociale]:[Checkbox selezionato]],8,FALSE),"-")</f>
        <v>0</v>
      </c>
      <c r="AP704" s="63">
        <f>IFERROR(VLOOKUP(Table2[[#This Row],[Contraente]],Table1[[Nome/Ragione sociale]:[Checkbox selezionato]],10,FALSE),"-")</f>
        <v>0</v>
      </c>
      <c r="AQ704" s="63" t="str">
        <f>IFERROR(VLOOKUP(Table2[[#This Row],[Contraente]],Table1[[Nome/Ragione sociale]:[Checkbox selezionato]],11,FALSE),"-")</f>
        <v>SI</v>
      </c>
      <c r="AR704" s="63" t="str">
        <f>IFERROR(VLOOKUP(Table2[[#This Row],[Contraente]],Table1[[Nome/Ragione sociale]:[Checkbox selezionato]],12,FALSE),"-")</f>
        <v>SI</v>
      </c>
    </row>
    <row r="705" spans="1:44" ht="30" hidden="1" customHeight="1" x14ac:dyDescent="0.25">
      <c r="A705" s="60" t="str">
        <f>UPPER(LEFT(Table2[[#This Row],[Contraente]],1))</f>
        <v>M</v>
      </c>
      <c r="B705" s="60" t="s">
        <v>1634</v>
      </c>
      <c r="C705" s="81" t="s">
        <v>802</v>
      </c>
      <c r="D705" s="81" t="s">
        <v>37</v>
      </c>
      <c r="E705" s="86">
        <v>105886013</v>
      </c>
      <c r="F705" s="64">
        <v>42578</v>
      </c>
      <c r="G705" s="64">
        <f>IFERROR(CALCOLASCADENZA(Table2[[#This Row],[Data attivazione]],Table2[[#This Row],[Rateizzazione]],Table2[[#This Row],[Data ultimo pagamento]],Table2[[#This Row],[Data prossima scadenza manuale]]),"-")</f>
        <v>42943</v>
      </c>
      <c r="H705" s="67" t="s">
        <v>30</v>
      </c>
      <c r="I705" s="67" t="s">
        <v>113</v>
      </c>
      <c r="J705" s="33">
        <f>IFERROR(Table2[[#This Row],[Importo annuale]]/(12/VLOOKUP(Table2[[#This Row],[Rateizzazione]],TIPI_RATEIZZAZIONI,2,FALSE)),"-")</f>
        <v>855</v>
      </c>
      <c r="K705" s="88"/>
      <c r="L705" s="88">
        <v>855</v>
      </c>
      <c r="M705" s="67" t="s">
        <v>45</v>
      </c>
      <c r="N705" s="67" t="s">
        <v>51</v>
      </c>
      <c r="O705" s="27" t="s">
        <v>1631</v>
      </c>
      <c r="P705" s="33" t="s">
        <v>23</v>
      </c>
      <c r="Q705" s="60">
        <f>IFERROR(IF(12 / VLOOKUP(Table2[[#This Row],[Rateizzazione]],TIPI_RATEIZZAZIONI,2,FALSE) &gt;=1,  IF(Table2[[#This Row],[Data attivazione]] = "","-",MONTH(Table2[[#This Row],[Data attivazione]])),"-"),"-")</f>
        <v>7</v>
      </c>
      <c r="R7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5" s="67" t="s">
        <v>2</v>
      </c>
      <c r="V705" s="62"/>
      <c r="W705" s="64">
        <v>42578</v>
      </c>
      <c r="X705" s="29">
        <f>DATE(YEAR(Table2[[#This Row],[Data attivazione]])+VLOOKUP(Table2[[#This Row],[Durata]],VALORE_DURATA,2,FALSE),MONTH(Table2[[#This Row],[Data attivazione]]),DAY(Table2[[#This Row],[Data attivazione]]))</f>
        <v>42943</v>
      </c>
      <c r="Y705" s="65"/>
      <c r="Z705" s="61"/>
      <c r="AA705" s="64" t="s">
        <v>85</v>
      </c>
      <c r="AB705" s="29" t="str">
        <f>IF(Table2[[#This Row],[Data ultimo versamento temp]]=0/1/1900,"-",Table2[[#This Row],[Data ultimo versamento temp]])</f>
        <v>-</v>
      </c>
      <c r="AC705" s="29">
        <f t="array" ref="AC705">MAX(IF(TableVersamenti[Polizza]=Table2[[#This Row],[Polizza]],TableVersamenti[Data prevista versamento],"-"))</f>
        <v>0</v>
      </c>
      <c r="AD705" s="62"/>
      <c r="AE705" s="106">
        <f>DATE(YEAR(Table2[[#This Row],[Data ultimo pagamento]]),MONTH(Table2[[#This Row],[Data ultimo pagamento]]), 1)</f>
        <v>42552</v>
      </c>
      <c r="AF705" s="106">
        <f>DATE(YEAR(Table2[[#This Row],[Data prossima scadenza]]),MONTH(Table2[[#This Row],[Data prossima scadenza]]), 1)</f>
        <v>42917</v>
      </c>
      <c r="AG705" s="33">
        <f>IFERROR(Table2[[#This Row],[Importo annuale]]*VLOOKUP(Table2[[#This Row],[Ramo]],RAMI_POLIZZA,2,FALSE),0)</f>
        <v>98.325000000000003</v>
      </c>
      <c r="AH705" s="65" t="s">
        <v>113</v>
      </c>
      <c r="AI705" s="63" t="str">
        <f>IFERROR(VLOOKUP(Table2[[#This Row],[Contraente]],Table1[[Nome/Ragione sociale]:[Checkbox selezionato]],2,FALSE),"-")</f>
        <v>VISTARINO</v>
      </c>
      <c r="AJ705" s="63">
        <f>IFERROR(VLOOKUP(Table2[[#This Row],[Contraente]],Table1[[Nome/Ragione sociale]:[Checkbox selezionato]],3,FALSE),"-")</f>
        <v>3383386853</v>
      </c>
      <c r="AK705" s="63">
        <f>IFERROR(VLOOKUP(Table2[[#This Row],[Contraente]],Table1[[Nome/Ragione sociale]:[Checkbox selezionato]],4,FALSE),"-")</f>
        <v>0</v>
      </c>
      <c r="AL705" s="63" t="str">
        <f>IFERROR(VLOOKUP(Table2[[#This Row],[Contraente]],Table1[[Nome/Ragione sociale]:[Checkbox selezionato]],5,FALSE),"-")</f>
        <v>MASSIMO</v>
      </c>
      <c r="AM705" s="62">
        <f>IFERROR(VLOOKUP(Table2[[#This Row],[Contraente]],Table1[[Nome/Ragione sociale]:[Checkbox selezionato]],6,FALSE),"-")</f>
        <v>26233</v>
      </c>
      <c r="AN705" s="63" t="str">
        <f>IFERROR(VLOOKUP(Table2[[#This Row],[Contraente]],Table1[[Nome/Ragione sociale]:[Checkbox selezionato]],7,FALSE),"-")</f>
        <v>papies@libero.it</v>
      </c>
      <c r="AO705" s="63">
        <f>IFERROR(VLOOKUP(Table2[[#This Row],[Contraente]],Table1[[Nome/Ragione sociale]:[Checkbox selezionato]],8,FALSE),"-")</f>
        <v>0</v>
      </c>
      <c r="AP705" s="63">
        <f>IFERROR(VLOOKUP(Table2[[#This Row],[Contraente]],Table1[[Nome/Ragione sociale]:[Checkbox selezionato]],10,FALSE),"-")</f>
        <v>3383386853</v>
      </c>
      <c r="AQ705" s="63" t="str">
        <f>IFERROR(VLOOKUP(Table2[[#This Row],[Contraente]],Table1[[Nome/Ragione sociale]:[Checkbox selezionato]],11,FALSE),"-")</f>
        <v>SI</v>
      </c>
      <c r="AR705" s="63" t="str">
        <f>IFERROR(VLOOKUP(Table2[[#This Row],[Contraente]],Table1[[Nome/Ragione sociale]:[Checkbox selezionato]],12,FALSE),"-")</f>
        <v>SI</v>
      </c>
    </row>
    <row r="706" spans="1:44" ht="30" hidden="1" customHeight="1" x14ac:dyDescent="0.25">
      <c r="A706" s="60" t="str">
        <f>UPPER(LEFT(Table2[[#This Row],[Contraente]],1))</f>
        <v>M</v>
      </c>
      <c r="B706" s="60" t="s">
        <v>1634</v>
      </c>
      <c r="C706" s="81" t="s">
        <v>802</v>
      </c>
      <c r="D706" s="81" t="s">
        <v>37</v>
      </c>
      <c r="E706" s="86">
        <v>105379738</v>
      </c>
      <c r="F706" s="64">
        <v>42808</v>
      </c>
      <c r="G706" s="64">
        <f>IFERROR(CALCOLASCADENZA(Table2[[#This Row],[Data attivazione]],Table2[[#This Row],[Rateizzazione]],Table2[[#This Row],[Data ultimo pagamento]],Table2[[#This Row],[Data prossima scadenza manuale]]),"-")</f>
        <v>42984</v>
      </c>
      <c r="H706" s="67" t="s">
        <v>31</v>
      </c>
      <c r="I706" s="67" t="s">
        <v>1412</v>
      </c>
      <c r="J706" s="33">
        <f>IFERROR(Table2[[#This Row],[Importo annuale]]/(12/VLOOKUP(Table2[[#This Row],[Rateizzazione]],TIPI_RATEIZZAZIONI,2,FALSE)),"-")</f>
        <v>238</v>
      </c>
      <c r="K706" s="88">
        <v>238</v>
      </c>
      <c r="L706" s="88">
        <v>476</v>
      </c>
      <c r="M706" s="67" t="s">
        <v>45</v>
      </c>
      <c r="N706" s="67" t="s">
        <v>51</v>
      </c>
      <c r="O706" s="27" t="s">
        <v>1631</v>
      </c>
      <c r="P706" s="33" t="s">
        <v>22</v>
      </c>
      <c r="Q706" s="60">
        <f>IFERROR(IF(12 / VLOOKUP(Table2[[#This Row],[Rateizzazione]],TIPI_RATEIZZAZIONI,2,FALSE) &gt;=1,  IF(Table2[[#This Row],[Data attivazione]] = "","-",MONTH(Table2[[#This Row],[Data attivazione]])),"-"),"-")</f>
        <v>9</v>
      </c>
      <c r="R7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6" s="67" t="s">
        <v>2</v>
      </c>
      <c r="V706" s="62"/>
      <c r="W706" s="64">
        <v>42619</v>
      </c>
      <c r="X706" s="29">
        <f>DATE(YEAR(Table2[[#This Row],[Data attivazione]])+VLOOKUP(Table2[[#This Row],[Durata]],VALORE_DURATA,2,FALSE),MONTH(Table2[[#This Row],[Data attivazione]]),DAY(Table2[[#This Row],[Data attivazione]]))</f>
        <v>42984</v>
      </c>
      <c r="Y706" s="65"/>
      <c r="Z706" s="61"/>
      <c r="AA706" s="64" t="s">
        <v>85</v>
      </c>
      <c r="AB706" s="29" t="str">
        <f>IF(Table2[[#This Row],[Data ultimo versamento temp]]=0/1/1900,"-",Table2[[#This Row],[Data ultimo versamento temp]])</f>
        <v>-</v>
      </c>
      <c r="AC706" s="29">
        <f t="array" ref="AC706">MAX(IF(TableVersamenti[Polizza]=Table2[[#This Row],[Polizza]],TableVersamenti[Data prevista versamento],"-"))</f>
        <v>0</v>
      </c>
      <c r="AD706" s="62"/>
      <c r="AE706" s="106">
        <f>DATE(YEAR(Table2[[#This Row],[Data ultimo pagamento]]),MONTH(Table2[[#This Row],[Data ultimo pagamento]]), 1)</f>
        <v>42795</v>
      </c>
      <c r="AF706" s="106">
        <f>DATE(YEAR(Table2[[#This Row],[Data prossima scadenza]]),MONTH(Table2[[#This Row],[Data prossima scadenza]]), 1)</f>
        <v>42979</v>
      </c>
      <c r="AG706" s="33">
        <f>IFERROR(Table2[[#This Row],[Importo annuale]]*VLOOKUP(Table2[[#This Row],[Ramo]],RAMI_POLIZZA,2,FALSE),0)</f>
        <v>24.751999999999999</v>
      </c>
      <c r="AH706" s="65" t="s">
        <v>113</v>
      </c>
      <c r="AI706" s="63" t="str">
        <f>IFERROR(VLOOKUP(Table2[[#This Row],[Contraente]],Table1[[Nome/Ragione sociale]:[Checkbox selezionato]],2,FALSE),"-")</f>
        <v>VISTARINO</v>
      </c>
      <c r="AJ706" s="63">
        <f>IFERROR(VLOOKUP(Table2[[#This Row],[Contraente]],Table1[[Nome/Ragione sociale]:[Checkbox selezionato]],3,FALSE),"-")</f>
        <v>3383386853</v>
      </c>
      <c r="AK706" s="63">
        <f>IFERROR(VLOOKUP(Table2[[#This Row],[Contraente]],Table1[[Nome/Ragione sociale]:[Checkbox selezionato]],4,FALSE),"-")</f>
        <v>0</v>
      </c>
      <c r="AL706" s="63" t="str">
        <f>IFERROR(VLOOKUP(Table2[[#This Row],[Contraente]],Table1[[Nome/Ragione sociale]:[Checkbox selezionato]],5,FALSE),"-")</f>
        <v>MASSIMO</v>
      </c>
      <c r="AM706" s="62">
        <f>IFERROR(VLOOKUP(Table2[[#This Row],[Contraente]],Table1[[Nome/Ragione sociale]:[Checkbox selezionato]],6,FALSE),"-")</f>
        <v>26233</v>
      </c>
      <c r="AN706" s="63" t="str">
        <f>IFERROR(VLOOKUP(Table2[[#This Row],[Contraente]],Table1[[Nome/Ragione sociale]:[Checkbox selezionato]],7,FALSE),"-")</f>
        <v>papies@libero.it</v>
      </c>
      <c r="AO706" s="63">
        <f>IFERROR(VLOOKUP(Table2[[#This Row],[Contraente]],Table1[[Nome/Ragione sociale]:[Checkbox selezionato]],8,FALSE),"-")</f>
        <v>0</v>
      </c>
      <c r="AP706" s="63">
        <f>IFERROR(VLOOKUP(Table2[[#This Row],[Contraente]],Table1[[Nome/Ragione sociale]:[Checkbox selezionato]],10,FALSE),"-")</f>
        <v>3383386853</v>
      </c>
      <c r="AQ706" s="63" t="str">
        <f>IFERROR(VLOOKUP(Table2[[#This Row],[Contraente]],Table1[[Nome/Ragione sociale]:[Checkbox selezionato]],11,FALSE),"-")</f>
        <v>SI</v>
      </c>
      <c r="AR706" s="63" t="str">
        <f>IFERROR(VLOOKUP(Table2[[#This Row],[Contraente]],Table1[[Nome/Ragione sociale]:[Checkbox selezionato]],12,FALSE),"-")</f>
        <v>SI</v>
      </c>
    </row>
    <row r="707" spans="1:44" ht="30" hidden="1" customHeight="1" x14ac:dyDescent="0.25">
      <c r="A707" s="60" t="str">
        <f>UPPER(LEFT(Table2[[#This Row],[Contraente]],1))</f>
        <v>M</v>
      </c>
      <c r="B707" s="60" t="s">
        <v>1634</v>
      </c>
      <c r="C707" s="81" t="s">
        <v>802</v>
      </c>
      <c r="D707" s="81" t="s">
        <v>37</v>
      </c>
      <c r="E707" s="86">
        <v>102789029</v>
      </c>
      <c r="F707" s="64">
        <v>42808</v>
      </c>
      <c r="G707" s="64">
        <f>IFERROR(CALCOLASCADENZA(Table2[[#This Row],[Data attivazione]],Table2[[#This Row],[Rateizzazione]],Table2[[#This Row],[Data ultimo pagamento]],Table2[[#This Row],[Data prossima scadenza manuale]]),"-")</f>
        <v>42984</v>
      </c>
      <c r="H707" s="67" t="s">
        <v>30</v>
      </c>
      <c r="I707" s="67" t="s">
        <v>113</v>
      </c>
      <c r="J707" s="33">
        <f>IFERROR(Table2[[#This Row],[Importo annuale]]/(12/VLOOKUP(Table2[[#This Row],[Rateizzazione]],TIPI_RATEIZZAZIONI,2,FALSE)),"-")</f>
        <v>36</v>
      </c>
      <c r="K707" s="88">
        <v>36</v>
      </c>
      <c r="L707" s="88">
        <v>72</v>
      </c>
      <c r="M707" s="67" t="s">
        <v>45</v>
      </c>
      <c r="N707" s="67" t="s">
        <v>51</v>
      </c>
      <c r="O707" s="27" t="s">
        <v>1631</v>
      </c>
      <c r="P707" s="33" t="s">
        <v>22</v>
      </c>
      <c r="Q707" s="60">
        <f>IFERROR(IF(12 / VLOOKUP(Table2[[#This Row],[Rateizzazione]],TIPI_RATEIZZAZIONI,2,FALSE) &gt;=1,  IF(Table2[[#This Row],[Data attivazione]] = "","-",MONTH(Table2[[#This Row],[Data attivazione]])),"-"),"-")</f>
        <v>9</v>
      </c>
      <c r="R7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7" s="67" t="s">
        <v>2</v>
      </c>
      <c r="V707" s="62"/>
      <c r="W707" s="64">
        <v>42619</v>
      </c>
      <c r="X707" s="29">
        <f>DATE(YEAR(Table2[[#This Row],[Data attivazione]])+VLOOKUP(Table2[[#This Row],[Durata]],VALORE_DURATA,2,FALSE),MONTH(Table2[[#This Row],[Data attivazione]]),DAY(Table2[[#This Row],[Data attivazione]]))</f>
        <v>42984</v>
      </c>
      <c r="Y707" s="65"/>
      <c r="Z707" s="61"/>
      <c r="AA707" s="64" t="s">
        <v>85</v>
      </c>
      <c r="AB707" s="29" t="str">
        <f>IF(Table2[[#This Row],[Data ultimo versamento temp]]=0/1/1900,"-",Table2[[#This Row],[Data ultimo versamento temp]])</f>
        <v>-</v>
      </c>
      <c r="AC707" s="29">
        <f t="array" ref="AC707">MAX(IF(TableVersamenti[Polizza]=Table2[[#This Row],[Polizza]],TableVersamenti[Data prevista versamento],"-"))</f>
        <v>0</v>
      </c>
      <c r="AD707" s="62"/>
      <c r="AE707" s="106">
        <f>DATE(YEAR(Table2[[#This Row],[Data ultimo pagamento]]),MONTH(Table2[[#This Row],[Data ultimo pagamento]]), 1)</f>
        <v>42795</v>
      </c>
      <c r="AF707" s="106">
        <f>DATE(YEAR(Table2[[#This Row],[Data prossima scadenza]]),MONTH(Table2[[#This Row],[Data prossima scadenza]]), 1)</f>
        <v>42979</v>
      </c>
      <c r="AG707" s="33">
        <f>IFERROR(Table2[[#This Row],[Importo annuale]]*VLOOKUP(Table2[[#This Row],[Ramo]],RAMI_POLIZZA,2,FALSE),0)</f>
        <v>8.2800000000000011</v>
      </c>
      <c r="AH707" s="65" t="s">
        <v>113</v>
      </c>
      <c r="AI707" s="63" t="str">
        <f>IFERROR(VLOOKUP(Table2[[#This Row],[Contraente]],Table1[[Nome/Ragione sociale]:[Checkbox selezionato]],2,FALSE),"-")</f>
        <v>VISTARINO</v>
      </c>
      <c r="AJ707" s="63">
        <f>IFERROR(VLOOKUP(Table2[[#This Row],[Contraente]],Table1[[Nome/Ragione sociale]:[Checkbox selezionato]],3,FALSE),"-")</f>
        <v>3383386853</v>
      </c>
      <c r="AK707" s="63">
        <f>IFERROR(VLOOKUP(Table2[[#This Row],[Contraente]],Table1[[Nome/Ragione sociale]:[Checkbox selezionato]],4,FALSE),"-")</f>
        <v>0</v>
      </c>
      <c r="AL707" s="63" t="str">
        <f>IFERROR(VLOOKUP(Table2[[#This Row],[Contraente]],Table1[[Nome/Ragione sociale]:[Checkbox selezionato]],5,FALSE),"-")</f>
        <v>MASSIMO</v>
      </c>
      <c r="AM707" s="62">
        <f>IFERROR(VLOOKUP(Table2[[#This Row],[Contraente]],Table1[[Nome/Ragione sociale]:[Checkbox selezionato]],6,FALSE),"-")</f>
        <v>26233</v>
      </c>
      <c r="AN707" s="63" t="str">
        <f>IFERROR(VLOOKUP(Table2[[#This Row],[Contraente]],Table1[[Nome/Ragione sociale]:[Checkbox selezionato]],7,FALSE),"-")</f>
        <v>papies@libero.it</v>
      </c>
      <c r="AO707" s="63">
        <f>IFERROR(VLOOKUP(Table2[[#This Row],[Contraente]],Table1[[Nome/Ragione sociale]:[Checkbox selezionato]],8,FALSE),"-")</f>
        <v>0</v>
      </c>
      <c r="AP707" s="63">
        <f>IFERROR(VLOOKUP(Table2[[#This Row],[Contraente]],Table1[[Nome/Ragione sociale]:[Checkbox selezionato]],10,FALSE),"-")</f>
        <v>3383386853</v>
      </c>
      <c r="AQ707" s="63" t="str">
        <f>IFERROR(VLOOKUP(Table2[[#This Row],[Contraente]],Table1[[Nome/Ragione sociale]:[Checkbox selezionato]],11,FALSE),"-")</f>
        <v>SI</v>
      </c>
      <c r="AR707" s="63" t="str">
        <f>IFERROR(VLOOKUP(Table2[[#This Row],[Contraente]],Table1[[Nome/Ragione sociale]:[Checkbox selezionato]],12,FALSE),"-")</f>
        <v>SI</v>
      </c>
    </row>
    <row r="708" spans="1:44" ht="30" hidden="1" customHeight="1" x14ac:dyDescent="0.25">
      <c r="A708" s="60" t="str">
        <f>UPPER(LEFT(Table2[[#This Row],[Contraente]],1))</f>
        <v>M</v>
      </c>
      <c r="B708" s="60" t="s">
        <v>1634</v>
      </c>
      <c r="C708" s="81" t="s">
        <v>802</v>
      </c>
      <c r="D708" s="81" t="s">
        <v>37</v>
      </c>
      <c r="E708" s="86">
        <v>106025488</v>
      </c>
      <c r="F708" s="64">
        <v>42808</v>
      </c>
      <c r="G708" s="64">
        <f>IFERROR(CALCOLASCADENZA(Table2[[#This Row],[Data attivazione]],Table2[[#This Row],[Rateizzazione]],Table2[[#This Row],[Data ultimo pagamento]],Table2[[#This Row],[Data prossima scadenza manuale]]),"-")</f>
        <v>43002</v>
      </c>
      <c r="H708" s="67" t="s">
        <v>30</v>
      </c>
      <c r="I708" s="67" t="s">
        <v>113</v>
      </c>
      <c r="J708" s="33">
        <f>IFERROR(Table2[[#This Row],[Importo annuale]]/(12/VLOOKUP(Table2[[#This Row],[Rateizzazione]],TIPI_RATEIZZAZIONI,2,FALSE)),"-")</f>
        <v>175</v>
      </c>
      <c r="K708" s="88">
        <v>175</v>
      </c>
      <c r="L708" s="88">
        <v>350</v>
      </c>
      <c r="M708" s="67" t="s">
        <v>45</v>
      </c>
      <c r="N708" s="67" t="s">
        <v>51</v>
      </c>
      <c r="O708" s="27" t="s">
        <v>1631</v>
      </c>
      <c r="P708" s="33" t="s">
        <v>22</v>
      </c>
      <c r="Q708" s="60">
        <f>IFERROR(IF(12 / VLOOKUP(Table2[[#This Row],[Rateizzazione]],TIPI_RATEIZZAZIONI,2,FALSE) &gt;=1,  IF(Table2[[#This Row],[Data attivazione]] = "","-",MONTH(Table2[[#This Row],[Data attivazione]])),"-"),"-")</f>
        <v>9</v>
      </c>
      <c r="R7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8" s="67" t="s">
        <v>2</v>
      </c>
      <c r="V708" s="62"/>
      <c r="W708" s="64">
        <v>42637</v>
      </c>
      <c r="X708" s="29">
        <f>DATE(YEAR(Table2[[#This Row],[Data attivazione]])+VLOOKUP(Table2[[#This Row],[Durata]],VALORE_DURATA,2,FALSE),MONTH(Table2[[#This Row],[Data attivazione]]),DAY(Table2[[#This Row],[Data attivazione]]))</f>
        <v>43002</v>
      </c>
      <c r="Y708" s="65"/>
      <c r="Z708" s="61"/>
      <c r="AA708" s="64" t="s">
        <v>85</v>
      </c>
      <c r="AB708" s="29" t="str">
        <f>IF(Table2[[#This Row],[Data ultimo versamento temp]]=0/1/1900,"-",Table2[[#This Row],[Data ultimo versamento temp]])</f>
        <v>-</v>
      </c>
      <c r="AC708" s="29">
        <f t="array" ref="AC708">MAX(IF(TableVersamenti[Polizza]=Table2[[#This Row],[Polizza]],TableVersamenti[Data prevista versamento],"-"))</f>
        <v>0</v>
      </c>
      <c r="AD708" s="62"/>
      <c r="AE708" s="106">
        <f>DATE(YEAR(Table2[[#This Row],[Data ultimo pagamento]]),MONTH(Table2[[#This Row],[Data ultimo pagamento]]), 1)</f>
        <v>42795</v>
      </c>
      <c r="AF708" s="106">
        <f>DATE(YEAR(Table2[[#This Row],[Data prossima scadenza]]),MONTH(Table2[[#This Row],[Data prossima scadenza]]), 1)</f>
        <v>42979</v>
      </c>
      <c r="AG708" s="33">
        <f>IFERROR(Table2[[#This Row],[Importo annuale]]*VLOOKUP(Table2[[#This Row],[Ramo]],RAMI_POLIZZA,2,FALSE),0)</f>
        <v>40.25</v>
      </c>
      <c r="AH708" s="65" t="s">
        <v>113</v>
      </c>
      <c r="AI708" s="63" t="str">
        <f>IFERROR(VLOOKUP(Table2[[#This Row],[Contraente]],Table1[[Nome/Ragione sociale]:[Checkbox selezionato]],2,FALSE),"-")</f>
        <v>VISTARINO</v>
      </c>
      <c r="AJ708" s="63">
        <f>IFERROR(VLOOKUP(Table2[[#This Row],[Contraente]],Table1[[Nome/Ragione sociale]:[Checkbox selezionato]],3,FALSE),"-")</f>
        <v>3383386853</v>
      </c>
      <c r="AK708" s="63">
        <f>IFERROR(VLOOKUP(Table2[[#This Row],[Contraente]],Table1[[Nome/Ragione sociale]:[Checkbox selezionato]],4,FALSE),"-")</f>
        <v>0</v>
      </c>
      <c r="AL708" s="63" t="str">
        <f>IFERROR(VLOOKUP(Table2[[#This Row],[Contraente]],Table1[[Nome/Ragione sociale]:[Checkbox selezionato]],5,FALSE),"-")</f>
        <v>MASSIMO</v>
      </c>
      <c r="AM708" s="62">
        <f>IFERROR(VLOOKUP(Table2[[#This Row],[Contraente]],Table1[[Nome/Ragione sociale]:[Checkbox selezionato]],6,FALSE),"-")</f>
        <v>26233</v>
      </c>
      <c r="AN708" s="63" t="str">
        <f>IFERROR(VLOOKUP(Table2[[#This Row],[Contraente]],Table1[[Nome/Ragione sociale]:[Checkbox selezionato]],7,FALSE),"-")</f>
        <v>papies@libero.it</v>
      </c>
      <c r="AO708" s="63">
        <f>IFERROR(VLOOKUP(Table2[[#This Row],[Contraente]],Table1[[Nome/Ragione sociale]:[Checkbox selezionato]],8,FALSE),"-")</f>
        <v>0</v>
      </c>
      <c r="AP708" s="63">
        <f>IFERROR(VLOOKUP(Table2[[#This Row],[Contraente]],Table1[[Nome/Ragione sociale]:[Checkbox selezionato]],10,FALSE),"-")</f>
        <v>3383386853</v>
      </c>
      <c r="AQ708" s="63" t="str">
        <f>IFERROR(VLOOKUP(Table2[[#This Row],[Contraente]],Table1[[Nome/Ragione sociale]:[Checkbox selezionato]],11,FALSE),"-")</f>
        <v>SI</v>
      </c>
      <c r="AR708" s="63" t="str">
        <f>IFERROR(VLOOKUP(Table2[[#This Row],[Contraente]],Table1[[Nome/Ragione sociale]:[Checkbox selezionato]],12,FALSE),"-")</f>
        <v>SI</v>
      </c>
    </row>
    <row r="709" spans="1:44" ht="30" hidden="1" customHeight="1" x14ac:dyDescent="0.25">
      <c r="A709" s="60" t="str">
        <f>UPPER(LEFT(Table2[[#This Row],[Contraente]],1))</f>
        <v>M</v>
      </c>
      <c r="B709" s="60" t="s">
        <v>1634</v>
      </c>
      <c r="C709" s="81" t="s">
        <v>802</v>
      </c>
      <c r="D709" s="81" t="s">
        <v>37</v>
      </c>
      <c r="E709" s="86">
        <v>106441262</v>
      </c>
      <c r="F709" s="64">
        <v>42928</v>
      </c>
      <c r="G709" s="64">
        <f>IFERROR(CALCOLASCADENZA(Table2[[#This Row],[Data attivazione]],Table2[[#This Row],[Rateizzazione]],Table2[[#This Row],[Data ultimo pagamento]],Table2[[#This Row],[Data prossima scadenza manuale]]),"-")</f>
        <v>43120</v>
      </c>
      <c r="H709" s="67" t="s">
        <v>30</v>
      </c>
      <c r="I709" s="67" t="s">
        <v>113</v>
      </c>
      <c r="J709" s="33">
        <f>IFERROR(Table2[[#This Row],[Importo annuale]]/(12/VLOOKUP(Table2[[#This Row],[Rateizzazione]],TIPI_RATEIZZAZIONI,2,FALSE)),"-")</f>
        <v>185</v>
      </c>
      <c r="K709" s="88">
        <v>370</v>
      </c>
      <c r="L709" s="88">
        <v>370</v>
      </c>
      <c r="M709" s="67" t="s">
        <v>45</v>
      </c>
      <c r="N709" s="67" t="s">
        <v>52</v>
      </c>
      <c r="O709" s="27" t="s">
        <v>1631</v>
      </c>
      <c r="P709" s="33" t="s">
        <v>22</v>
      </c>
      <c r="Q709" s="60">
        <f>IFERROR(IF(12 / VLOOKUP(Table2[[#This Row],[Rateizzazione]],TIPI_RATEIZZAZIONI,2,FALSE) &gt;=1,  IF(Table2[[#This Row],[Data attivazione]] = "","-",MONTH(Table2[[#This Row],[Data attivazione]])),"-"),"-")</f>
        <v>7</v>
      </c>
      <c r="R7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9" s="67" t="s">
        <v>2</v>
      </c>
      <c r="V709" s="62"/>
      <c r="W709" s="64">
        <v>42936</v>
      </c>
      <c r="X709" s="29">
        <f>DATE(YEAR(Table2[[#This Row],[Data attivazione]])+VLOOKUP(Table2[[#This Row],[Durata]],VALORE_DURATA,2,FALSE),MONTH(Table2[[#This Row],[Data attivazione]]),DAY(Table2[[#This Row],[Data attivazione]]))</f>
        <v>43301</v>
      </c>
      <c r="Y709" s="65"/>
      <c r="Z709" s="61"/>
      <c r="AA709" s="64" t="s">
        <v>85</v>
      </c>
      <c r="AB709" s="29">
        <f>IF(Table2[[#This Row],[Data ultimo versamento temp]]=0/1/1900,"-",Table2[[#This Row],[Data ultimo versamento temp]])</f>
        <v>42931</v>
      </c>
      <c r="AC709" s="29">
        <f t="array" ref="AC709">MAX(IF(TableVersamenti[Polizza]=Table2[[#This Row],[Polizza]],TableVersamenti[Data prevista versamento],"-"))</f>
        <v>42931</v>
      </c>
      <c r="AD709" s="62"/>
      <c r="AE709" s="106">
        <f>DATE(YEAR(Table2[[#This Row],[Data ultimo pagamento]]),MONTH(Table2[[#This Row],[Data ultimo pagamento]]), 1)</f>
        <v>42917</v>
      </c>
      <c r="AF709" s="106">
        <f>DATE(YEAR(Table2[[#This Row],[Data prossima scadenza]]),MONTH(Table2[[#This Row],[Data prossima scadenza]]), 1)</f>
        <v>43101</v>
      </c>
      <c r="AG709" s="33">
        <f>IFERROR(Table2[[#This Row],[Importo annuale]]*VLOOKUP(Table2[[#This Row],[Ramo]],RAMI_POLIZZA,2,FALSE),0)</f>
        <v>42.550000000000004</v>
      </c>
      <c r="AH709" s="65" t="s">
        <v>113</v>
      </c>
      <c r="AI709" s="63" t="str">
        <f>IFERROR(VLOOKUP(Table2[[#This Row],[Contraente]],Table1[[Nome/Ragione sociale]:[Checkbox selezionato]],2,FALSE),"-")</f>
        <v>VISTARINO</v>
      </c>
      <c r="AJ709" s="63">
        <f>IFERROR(VLOOKUP(Table2[[#This Row],[Contraente]],Table1[[Nome/Ragione sociale]:[Checkbox selezionato]],3,FALSE),"-")</f>
        <v>3383386853</v>
      </c>
      <c r="AK709" s="63">
        <f>IFERROR(VLOOKUP(Table2[[#This Row],[Contraente]],Table1[[Nome/Ragione sociale]:[Checkbox selezionato]],4,FALSE),"-")</f>
        <v>0</v>
      </c>
      <c r="AL709" s="63" t="str">
        <f>IFERROR(VLOOKUP(Table2[[#This Row],[Contraente]],Table1[[Nome/Ragione sociale]:[Checkbox selezionato]],5,FALSE),"-")</f>
        <v>MASSIMO</v>
      </c>
      <c r="AM709" s="62">
        <f>IFERROR(VLOOKUP(Table2[[#This Row],[Contraente]],Table1[[Nome/Ragione sociale]:[Checkbox selezionato]],6,FALSE),"-")</f>
        <v>26233</v>
      </c>
      <c r="AN709" s="63" t="str">
        <f>IFERROR(VLOOKUP(Table2[[#This Row],[Contraente]],Table1[[Nome/Ragione sociale]:[Checkbox selezionato]],7,FALSE),"-")</f>
        <v>papies@libero.it</v>
      </c>
      <c r="AO709" s="63">
        <f>IFERROR(VLOOKUP(Table2[[#This Row],[Contraente]],Table1[[Nome/Ragione sociale]:[Checkbox selezionato]],8,FALSE),"-")</f>
        <v>0</v>
      </c>
      <c r="AP709" s="63">
        <f>IFERROR(VLOOKUP(Table2[[#This Row],[Contraente]],Table1[[Nome/Ragione sociale]:[Checkbox selezionato]],10,FALSE),"-")</f>
        <v>3383386853</v>
      </c>
      <c r="AQ709" s="63" t="str">
        <f>IFERROR(VLOOKUP(Table2[[#This Row],[Contraente]],Table1[[Nome/Ragione sociale]:[Checkbox selezionato]],11,FALSE),"-")</f>
        <v>SI</v>
      </c>
      <c r="AR709" s="63" t="str">
        <f>IFERROR(VLOOKUP(Table2[[#This Row],[Contraente]],Table1[[Nome/Ragione sociale]:[Checkbox selezionato]],12,FALSE),"-")</f>
        <v>SI</v>
      </c>
    </row>
    <row r="710" spans="1:44" ht="30" hidden="1" customHeight="1" x14ac:dyDescent="0.25">
      <c r="A710" s="60" t="str">
        <f>UPPER(LEFT(Table2[[#This Row],[Contraente]],1))</f>
        <v>M</v>
      </c>
      <c r="B710" s="60" t="s">
        <v>1634</v>
      </c>
      <c r="C710" s="81" t="s">
        <v>802</v>
      </c>
      <c r="D710" s="81" t="s">
        <v>37</v>
      </c>
      <c r="E710" s="86">
        <v>1083303</v>
      </c>
      <c r="F710" s="64">
        <v>42928</v>
      </c>
      <c r="G710" s="64">
        <f>IFERROR(CALCOLASCADENZA(Table2[[#This Row],[Data attivazione]],Table2[[#This Row],[Rateizzazione]],Table2[[#This Row],[Data ultimo pagamento]],Table2[[#This Row],[Data prossima scadenza manuale]]),"-")</f>
        <v>43127</v>
      </c>
      <c r="H710" s="67" t="s">
        <v>32</v>
      </c>
      <c r="I710" s="67" t="s">
        <v>113</v>
      </c>
      <c r="J710" s="33">
        <f>IFERROR(Table2[[#This Row],[Importo annuale]]/(12/VLOOKUP(Table2[[#This Row],[Rateizzazione]],TIPI_RATEIZZAZIONI,2,FALSE)),"-")</f>
        <v>102.49</v>
      </c>
      <c r="K710" s="88">
        <v>204.98</v>
      </c>
      <c r="L710" s="88">
        <v>204.98</v>
      </c>
      <c r="M710" s="67" t="s">
        <v>45</v>
      </c>
      <c r="N710" s="67" t="s">
        <v>52</v>
      </c>
      <c r="O710" s="27" t="s">
        <v>1631</v>
      </c>
      <c r="P710" s="33" t="s">
        <v>22</v>
      </c>
      <c r="Q710" s="60">
        <f>IFERROR(IF(12 / VLOOKUP(Table2[[#This Row],[Rateizzazione]],TIPI_RATEIZZAZIONI,2,FALSE) &gt;=1,  IF(Table2[[#This Row],[Data attivazione]] = "","-",MONTH(Table2[[#This Row],[Data attivazione]])),"-"),"-")</f>
        <v>7</v>
      </c>
      <c r="R7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0" s="67" t="s">
        <v>2</v>
      </c>
      <c r="V710" s="62"/>
      <c r="W710" s="64">
        <v>42943</v>
      </c>
      <c r="X710" s="29">
        <f>DATE(YEAR(Table2[[#This Row],[Data attivazione]])+VLOOKUP(Table2[[#This Row],[Durata]],VALORE_DURATA,2,FALSE),MONTH(Table2[[#This Row],[Data attivazione]]),DAY(Table2[[#This Row],[Data attivazione]]))</f>
        <v>43308</v>
      </c>
      <c r="Y710" s="65"/>
      <c r="Z710" s="61"/>
      <c r="AA710" s="64" t="s">
        <v>85</v>
      </c>
      <c r="AB710" s="29">
        <f>IF(Table2[[#This Row],[Data ultimo versamento temp]]=0/1/1900,"-",Table2[[#This Row],[Data ultimo versamento temp]])</f>
        <v>42931</v>
      </c>
      <c r="AC710" s="29">
        <f t="array" ref="AC710">MAX(IF(TableVersamenti[Polizza]=Table2[[#This Row],[Polizza]],TableVersamenti[Data prevista versamento],"-"))</f>
        <v>42931</v>
      </c>
      <c r="AD710" s="62"/>
      <c r="AE710" s="106">
        <f>DATE(YEAR(Table2[[#This Row],[Data ultimo pagamento]]),MONTH(Table2[[#This Row],[Data ultimo pagamento]]), 1)</f>
        <v>42917</v>
      </c>
      <c r="AF710" s="106">
        <f>DATE(YEAR(Table2[[#This Row],[Data prossima scadenza]]),MONTH(Table2[[#This Row],[Data prossima scadenza]]), 1)</f>
        <v>43101</v>
      </c>
      <c r="AG710" s="33">
        <f>IFERROR(Table2[[#This Row],[Importo annuale]]*VLOOKUP(Table2[[#This Row],[Ramo]],RAMI_POLIZZA,2,FALSE),0)</f>
        <v>3.0746999999999995</v>
      </c>
      <c r="AH710" s="65" t="s">
        <v>113</v>
      </c>
      <c r="AI710" s="63" t="str">
        <f>IFERROR(VLOOKUP(Table2[[#This Row],[Contraente]],Table1[[Nome/Ragione sociale]:[Checkbox selezionato]],2,FALSE),"-")</f>
        <v>VISTARINO</v>
      </c>
      <c r="AJ710" s="63">
        <f>IFERROR(VLOOKUP(Table2[[#This Row],[Contraente]],Table1[[Nome/Ragione sociale]:[Checkbox selezionato]],3,FALSE),"-")</f>
        <v>3383386853</v>
      </c>
      <c r="AK710" s="63">
        <f>IFERROR(VLOOKUP(Table2[[#This Row],[Contraente]],Table1[[Nome/Ragione sociale]:[Checkbox selezionato]],4,FALSE),"-")</f>
        <v>0</v>
      </c>
      <c r="AL710" s="63" t="str">
        <f>IFERROR(VLOOKUP(Table2[[#This Row],[Contraente]],Table1[[Nome/Ragione sociale]:[Checkbox selezionato]],5,FALSE),"-")</f>
        <v>MASSIMO</v>
      </c>
      <c r="AM710" s="62">
        <f>IFERROR(VLOOKUP(Table2[[#This Row],[Contraente]],Table1[[Nome/Ragione sociale]:[Checkbox selezionato]],6,FALSE),"-")</f>
        <v>26233</v>
      </c>
      <c r="AN710" s="63" t="str">
        <f>IFERROR(VLOOKUP(Table2[[#This Row],[Contraente]],Table1[[Nome/Ragione sociale]:[Checkbox selezionato]],7,FALSE),"-")</f>
        <v>papies@libero.it</v>
      </c>
      <c r="AO710" s="63">
        <f>IFERROR(VLOOKUP(Table2[[#This Row],[Contraente]],Table1[[Nome/Ragione sociale]:[Checkbox selezionato]],8,FALSE),"-")</f>
        <v>0</v>
      </c>
      <c r="AP710" s="63">
        <f>IFERROR(VLOOKUP(Table2[[#This Row],[Contraente]],Table1[[Nome/Ragione sociale]:[Checkbox selezionato]],10,FALSE),"-")</f>
        <v>3383386853</v>
      </c>
      <c r="AQ710" s="63" t="str">
        <f>IFERROR(VLOOKUP(Table2[[#This Row],[Contraente]],Table1[[Nome/Ragione sociale]:[Checkbox selezionato]],11,FALSE),"-")</f>
        <v>SI</v>
      </c>
      <c r="AR710" s="63" t="str">
        <f>IFERROR(VLOOKUP(Table2[[#This Row],[Contraente]],Table1[[Nome/Ragione sociale]:[Checkbox selezionato]],12,FALSE),"-")</f>
        <v>SI</v>
      </c>
    </row>
    <row r="711" spans="1:44" ht="30" hidden="1" customHeight="1" x14ac:dyDescent="0.25">
      <c r="A711" s="60" t="str">
        <f>UPPER(LEFT(Table2[[#This Row],[Contraente]],1))</f>
        <v>M</v>
      </c>
      <c r="B711" s="60" t="s">
        <v>1634</v>
      </c>
      <c r="C711" s="81" t="s">
        <v>804</v>
      </c>
      <c r="D711" s="81" t="s">
        <v>37</v>
      </c>
      <c r="E711" s="86">
        <v>105340619</v>
      </c>
      <c r="F711" s="64">
        <v>42804</v>
      </c>
      <c r="G711" s="64">
        <f>IFERROR(CALCOLASCADENZA(Table2[[#This Row],[Data attivazione]],Table2[[#This Row],[Rateizzazione]],Table2[[#This Row],[Data ultimo pagamento]],Table2[[#This Row],[Data prossima scadenza manuale]]),"-")</f>
        <v>43155</v>
      </c>
      <c r="H711" s="67" t="s">
        <v>31</v>
      </c>
      <c r="I711" s="67" t="s">
        <v>113</v>
      </c>
      <c r="J711" s="33">
        <f>IFERROR(Table2[[#This Row],[Importo annuale]]/(12/VLOOKUP(Table2[[#This Row],[Rateizzazione]],TIPI_RATEIZZAZIONI,2,FALSE)),"-")</f>
        <v>479</v>
      </c>
      <c r="K711" s="88">
        <v>479</v>
      </c>
      <c r="L711" s="88">
        <v>479</v>
      </c>
      <c r="M711" s="67" t="s">
        <v>44</v>
      </c>
      <c r="N711" s="67" t="s">
        <v>52</v>
      </c>
      <c r="O711" s="27" t="s">
        <v>1631</v>
      </c>
      <c r="P711" s="33" t="s">
        <v>23</v>
      </c>
      <c r="Q711" s="60">
        <f>IFERROR(IF(12 / VLOOKUP(Table2[[#This Row],[Rateizzazione]],TIPI_RATEIZZAZIONI,2,FALSE) &gt;=1,  IF(Table2[[#This Row],[Data attivazione]] = "","-",MONTH(Table2[[#This Row],[Data attivazione]])),"-"),"-")</f>
        <v>2</v>
      </c>
      <c r="R7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1" s="67" t="s">
        <v>133</v>
      </c>
      <c r="V711" s="62"/>
      <c r="W711" s="64">
        <v>42790</v>
      </c>
      <c r="X711" s="29">
        <f>DATE(YEAR(Table2[[#This Row],[Data attivazione]])+VLOOKUP(Table2[[#This Row],[Durata]],VALORE_DURATA,2,FALSE),MONTH(Table2[[#This Row],[Data attivazione]]),DAY(Table2[[#This Row],[Data attivazione]]))</f>
        <v>43155</v>
      </c>
      <c r="Y711" s="65"/>
      <c r="Z711" s="61"/>
      <c r="AA711" s="64" t="s">
        <v>85</v>
      </c>
      <c r="AB711" s="29" t="str">
        <f>IF(Table2[[#This Row],[Data ultimo versamento temp]]=0/1/1900,"-",Table2[[#This Row],[Data ultimo versamento temp]])</f>
        <v>-</v>
      </c>
      <c r="AC711" s="29">
        <f t="array" ref="AC711">MAX(IF(TableVersamenti[Polizza]=Table2[[#This Row],[Polizza]],TableVersamenti[Data prevista versamento],"-"))</f>
        <v>0</v>
      </c>
      <c r="AD711" s="62"/>
      <c r="AE711" s="106">
        <f>DATE(YEAR(Table2[[#This Row],[Data ultimo pagamento]]),MONTH(Table2[[#This Row],[Data ultimo pagamento]]), 1)</f>
        <v>42795</v>
      </c>
      <c r="AF711" s="106">
        <f>DATE(YEAR(Table2[[#This Row],[Data prossima scadenza]]),MONTH(Table2[[#This Row],[Data prossima scadenza]]), 1)</f>
        <v>43132</v>
      </c>
      <c r="AG711" s="33">
        <f>IFERROR(Table2[[#This Row],[Importo annuale]]*VLOOKUP(Table2[[#This Row],[Ramo]],RAMI_POLIZZA,2,FALSE),0)</f>
        <v>24.907999999999998</v>
      </c>
      <c r="AH711" s="65" t="s">
        <v>113</v>
      </c>
      <c r="AI711" s="63" t="str">
        <f>IFERROR(VLOOKUP(Table2[[#This Row],[Contraente]],Table1[[Nome/Ragione sociale]:[Checkbox selezionato]],2,FALSE),"-")</f>
        <v>STRADELLA</v>
      </c>
      <c r="AJ711" s="63">
        <f>IFERROR(VLOOKUP(Table2[[#This Row],[Contraente]],Table1[[Nome/Ragione sociale]:[Checkbox selezionato]],3,FALSE),"-")</f>
        <v>0</v>
      </c>
      <c r="AK711" s="63">
        <f>IFERROR(VLOOKUP(Table2[[#This Row],[Contraente]],Table1[[Nome/Ragione sociale]:[Checkbox selezionato]],4,FALSE),"-")</f>
        <v>0</v>
      </c>
      <c r="AL711" s="63">
        <f>IFERROR(VLOOKUP(Table2[[#This Row],[Contraente]],Table1[[Nome/Ragione sociale]:[Checkbox selezionato]],5,FALSE),"-")</f>
        <v>0</v>
      </c>
      <c r="AM711" s="62" t="str">
        <f>IFERROR(VLOOKUP(Table2[[#This Row],[Contraente]],Table1[[Nome/Ragione sociale]:[Checkbox selezionato]],6,FALSE),"-")</f>
        <v>-</v>
      </c>
      <c r="AN711" s="63" t="str">
        <f>IFERROR(VLOOKUP(Table2[[#This Row],[Contraente]],Table1[[Nome/Ragione sociale]:[Checkbox selezionato]],7,FALSE),"-")</f>
        <v>papies@libero.it</v>
      </c>
      <c r="AO711" s="63">
        <f>IFERROR(VLOOKUP(Table2[[#This Row],[Contraente]],Table1[[Nome/Ragione sociale]:[Checkbox selezionato]],8,FALSE),"-")</f>
        <v>0</v>
      </c>
      <c r="AP711" s="63">
        <f>IFERROR(VLOOKUP(Table2[[#This Row],[Contraente]],Table1[[Nome/Ragione sociale]:[Checkbox selezionato]],10,FALSE),"-")</f>
        <v>0</v>
      </c>
      <c r="AQ711" s="63" t="str">
        <f>IFERROR(VLOOKUP(Table2[[#This Row],[Contraente]],Table1[[Nome/Ragione sociale]:[Checkbox selezionato]],11,FALSE),"-")</f>
        <v>SI</v>
      </c>
      <c r="AR711" s="63" t="str">
        <f>IFERROR(VLOOKUP(Table2[[#This Row],[Contraente]],Table1[[Nome/Ragione sociale]:[Checkbox selezionato]],12,FALSE),"-")</f>
        <v>SI</v>
      </c>
    </row>
    <row r="712" spans="1:44" ht="30" hidden="1" customHeight="1" x14ac:dyDescent="0.25">
      <c r="A712" s="60" t="str">
        <f>UPPER(LEFT(Table2[[#This Row],[Contraente]],1))</f>
        <v>M</v>
      </c>
      <c r="B712" s="60" t="s">
        <v>1634</v>
      </c>
      <c r="C712" s="81" t="s">
        <v>804</v>
      </c>
      <c r="D712" s="81" t="s">
        <v>37</v>
      </c>
      <c r="E712" s="86">
        <v>106046690</v>
      </c>
      <c r="F712" s="64">
        <v>42636</v>
      </c>
      <c r="G712" s="64">
        <f>IFERROR(CALCOLASCADENZA(Table2[[#This Row],[Data attivazione]],Table2[[#This Row],[Rateizzazione]],Table2[[#This Row],[Data ultimo pagamento]],Table2[[#This Row],[Data prossima scadenza manuale]]),"-")</f>
        <v>43001</v>
      </c>
      <c r="H712" s="67" t="s">
        <v>30</v>
      </c>
      <c r="I712" s="67" t="s">
        <v>113</v>
      </c>
      <c r="J712" s="33">
        <f>IFERROR(Table2[[#This Row],[Importo annuale]]/(12/VLOOKUP(Table2[[#This Row],[Rateizzazione]],TIPI_RATEIZZAZIONI,2,FALSE)),"-")</f>
        <v>250</v>
      </c>
      <c r="K712" s="88"/>
      <c r="L712" s="88">
        <v>250</v>
      </c>
      <c r="M712" s="67" t="s">
        <v>44</v>
      </c>
      <c r="N712" s="67" t="s">
        <v>52</v>
      </c>
      <c r="O712" s="27" t="s">
        <v>1631</v>
      </c>
      <c r="P712" s="33" t="s">
        <v>23</v>
      </c>
      <c r="Q712" s="60">
        <f>IFERROR(IF(12 / VLOOKUP(Table2[[#This Row],[Rateizzazione]],TIPI_RATEIZZAZIONI,2,FALSE) &gt;=1,  IF(Table2[[#This Row],[Data attivazione]] = "","-",MONTH(Table2[[#This Row],[Data attivazione]])),"-"),"-")</f>
        <v>9</v>
      </c>
      <c r="R7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2" s="67" t="s">
        <v>133</v>
      </c>
      <c r="V712" s="62"/>
      <c r="W712" s="64">
        <v>42636</v>
      </c>
      <c r="X712" s="29">
        <f>DATE(YEAR(Table2[[#This Row],[Data attivazione]])+VLOOKUP(Table2[[#This Row],[Durata]],VALORE_DURATA,2,FALSE),MONTH(Table2[[#This Row],[Data attivazione]]),DAY(Table2[[#This Row],[Data attivazione]]))</f>
        <v>43001</v>
      </c>
      <c r="Y712" s="65"/>
      <c r="Z712" s="61"/>
      <c r="AA712" s="64" t="s">
        <v>85</v>
      </c>
      <c r="AB712" s="29" t="str">
        <f>IF(Table2[[#This Row],[Data ultimo versamento temp]]=0/1/1900,"-",Table2[[#This Row],[Data ultimo versamento temp]])</f>
        <v>-</v>
      </c>
      <c r="AC712" s="29">
        <f t="array" ref="AC712">MAX(IF(TableVersamenti[Polizza]=Table2[[#This Row],[Polizza]],TableVersamenti[Data prevista versamento],"-"))</f>
        <v>0</v>
      </c>
      <c r="AD712" s="62"/>
      <c r="AE712" s="106">
        <f>DATE(YEAR(Table2[[#This Row],[Data ultimo pagamento]]),MONTH(Table2[[#This Row],[Data ultimo pagamento]]), 1)</f>
        <v>42614</v>
      </c>
      <c r="AF712" s="106">
        <f>DATE(YEAR(Table2[[#This Row],[Data prossima scadenza]]),MONTH(Table2[[#This Row],[Data prossima scadenza]]), 1)</f>
        <v>42979</v>
      </c>
      <c r="AG712" s="33">
        <f>IFERROR(Table2[[#This Row],[Importo annuale]]*VLOOKUP(Table2[[#This Row],[Ramo]],RAMI_POLIZZA,2,FALSE),0)</f>
        <v>28.75</v>
      </c>
      <c r="AH712" s="65" t="s">
        <v>113</v>
      </c>
      <c r="AI712" s="63" t="str">
        <f>IFERROR(VLOOKUP(Table2[[#This Row],[Contraente]],Table1[[Nome/Ragione sociale]:[Checkbox selezionato]],2,FALSE),"-")</f>
        <v>STRADELLA</v>
      </c>
      <c r="AJ712" s="63">
        <f>IFERROR(VLOOKUP(Table2[[#This Row],[Contraente]],Table1[[Nome/Ragione sociale]:[Checkbox selezionato]],3,FALSE),"-")</f>
        <v>0</v>
      </c>
      <c r="AK712" s="63">
        <f>IFERROR(VLOOKUP(Table2[[#This Row],[Contraente]],Table1[[Nome/Ragione sociale]:[Checkbox selezionato]],4,FALSE),"-")</f>
        <v>0</v>
      </c>
      <c r="AL712" s="63">
        <f>IFERROR(VLOOKUP(Table2[[#This Row],[Contraente]],Table1[[Nome/Ragione sociale]:[Checkbox selezionato]],5,FALSE),"-")</f>
        <v>0</v>
      </c>
      <c r="AM712" s="62" t="str">
        <f>IFERROR(VLOOKUP(Table2[[#This Row],[Contraente]],Table1[[Nome/Ragione sociale]:[Checkbox selezionato]],6,FALSE),"-")</f>
        <v>-</v>
      </c>
      <c r="AN712" s="63" t="str">
        <f>IFERROR(VLOOKUP(Table2[[#This Row],[Contraente]],Table1[[Nome/Ragione sociale]:[Checkbox selezionato]],7,FALSE),"-")</f>
        <v>papies@libero.it</v>
      </c>
      <c r="AO712" s="63">
        <f>IFERROR(VLOOKUP(Table2[[#This Row],[Contraente]],Table1[[Nome/Ragione sociale]:[Checkbox selezionato]],8,FALSE),"-")</f>
        <v>0</v>
      </c>
      <c r="AP712" s="63">
        <f>IFERROR(VLOOKUP(Table2[[#This Row],[Contraente]],Table1[[Nome/Ragione sociale]:[Checkbox selezionato]],10,FALSE),"-")</f>
        <v>0</v>
      </c>
      <c r="AQ712" s="63" t="str">
        <f>IFERROR(VLOOKUP(Table2[[#This Row],[Contraente]],Table1[[Nome/Ragione sociale]:[Checkbox selezionato]],11,FALSE),"-")</f>
        <v>SI</v>
      </c>
      <c r="AR712" s="63" t="str">
        <f>IFERROR(VLOOKUP(Table2[[#This Row],[Contraente]],Table1[[Nome/Ragione sociale]:[Checkbox selezionato]],12,FALSE),"-")</f>
        <v>SI</v>
      </c>
    </row>
    <row r="713" spans="1:44" ht="30" hidden="1" customHeight="1" x14ac:dyDescent="0.25">
      <c r="A713" s="60" t="str">
        <f>UPPER(LEFT(Table2[[#This Row],[Contraente]],1))</f>
        <v>M</v>
      </c>
      <c r="B713" s="60" t="s">
        <v>1634</v>
      </c>
      <c r="C713" s="81" t="s">
        <v>805</v>
      </c>
      <c r="D713" s="81" t="s">
        <v>37</v>
      </c>
      <c r="E713" s="86">
        <v>106412839</v>
      </c>
      <c r="F713" s="64">
        <v>42746</v>
      </c>
      <c r="G713" s="64">
        <f>IFERROR(CALCOLASCADENZA(Table2[[#This Row],[Data attivazione]],Table2[[#This Row],[Rateizzazione]],Table2[[#This Row],[Data ultimo pagamento]],Table2[[#This Row],[Data prossima scadenza manuale]]),"-")</f>
        <v>43111</v>
      </c>
      <c r="H713" s="67" t="s">
        <v>30</v>
      </c>
      <c r="I713" s="67" t="s">
        <v>113</v>
      </c>
      <c r="J713" s="33">
        <f>IFERROR(Table2[[#This Row],[Importo annuale]]/(12/VLOOKUP(Table2[[#This Row],[Rateizzazione]],TIPI_RATEIZZAZIONI,2,FALSE)),"-")</f>
        <v>306</v>
      </c>
      <c r="K713" s="88">
        <v>306</v>
      </c>
      <c r="L713" s="88">
        <v>306</v>
      </c>
      <c r="M713" s="67" t="s">
        <v>44</v>
      </c>
      <c r="N713" s="67" t="s">
        <v>51</v>
      </c>
      <c r="O713" s="27" t="s">
        <v>1631</v>
      </c>
      <c r="P713" s="33" t="s">
        <v>23</v>
      </c>
      <c r="Q713" s="60">
        <f>IFERROR(IF(12 / VLOOKUP(Table2[[#This Row],[Rateizzazione]],TIPI_RATEIZZAZIONI,2,FALSE) &gt;=1,  IF(Table2[[#This Row],[Data attivazione]] = "","-",MONTH(Table2[[#This Row],[Data attivazione]])),"-"),"-")</f>
        <v>1</v>
      </c>
      <c r="R7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3" s="67" t="s">
        <v>2</v>
      </c>
      <c r="V713" s="62"/>
      <c r="W713" s="64">
        <v>42746</v>
      </c>
      <c r="X713" s="29">
        <f>DATE(YEAR(Table2[[#This Row],[Data attivazione]])+VLOOKUP(Table2[[#This Row],[Durata]],VALORE_DURATA,2,FALSE),MONTH(Table2[[#This Row],[Data attivazione]]),DAY(Table2[[#This Row],[Data attivazione]]))</f>
        <v>43111</v>
      </c>
      <c r="Y713" s="65"/>
      <c r="Z713" s="61"/>
      <c r="AA713" s="64" t="s">
        <v>85</v>
      </c>
      <c r="AB713" s="29" t="str">
        <f>IF(Table2[[#This Row],[Data ultimo versamento temp]]=0/1/1900,"-",Table2[[#This Row],[Data ultimo versamento temp]])</f>
        <v>-</v>
      </c>
      <c r="AC713" s="29">
        <f t="array" ref="AC713">MAX(IF(TableVersamenti[Polizza]=Table2[[#This Row],[Polizza]],TableVersamenti[Data prevista versamento],"-"))</f>
        <v>0</v>
      </c>
      <c r="AD713" s="62"/>
      <c r="AE713" s="106">
        <f>DATE(YEAR(Table2[[#This Row],[Data ultimo pagamento]]),MONTH(Table2[[#This Row],[Data ultimo pagamento]]), 1)</f>
        <v>42736</v>
      </c>
      <c r="AF713" s="106">
        <f>DATE(YEAR(Table2[[#This Row],[Data prossima scadenza]]),MONTH(Table2[[#This Row],[Data prossima scadenza]]), 1)</f>
        <v>43101</v>
      </c>
      <c r="AG713" s="33">
        <f>IFERROR(Table2[[#This Row],[Importo annuale]]*VLOOKUP(Table2[[#This Row],[Ramo]],RAMI_POLIZZA,2,FALSE),0)</f>
        <v>35.190000000000005</v>
      </c>
      <c r="AH713" s="65" t="s">
        <v>113</v>
      </c>
      <c r="AI713" s="63" t="str">
        <f>IFERROR(VLOOKUP(Table2[[#This Row],[Contraente]],Table1[[Nome/Ragione sociale]:[Checkbox selezionato]],2,FALSE),"-")</f>
        <v>PIZZIGHETTONE</v>
      </c>
      <c r="AJ713" s="63">
        <f>IFERROR(VLOOKUP(Table2[[#This Row],[Contraente]],Table1[[Nome/Ragione sociale]:[Checkbox selezionato]],3,FALSE),"-")</f>
        <v>3661978776</v>
      </c>
      <c r="AK713" s="63">
        <f>IFERROR(VLOOKUP(Table2[[#This Row],[Contraente]],Table1[[Nome/Ragione sociale]:[Checkbox selezionato]],4,FALSE),"-")</f>
        <v>0</v>
      </c>
      <c r="AL713" s="63" t="str">
        <f>IFERROR(VLOOKUP(Table2[[#This Row],[Contraente]],Table1[[Nome/Ragione sociale]:[Checkbox selezionato]],5,FALSE),"-")</f>
        <v>MAURO BARBAGLIO</v>
      </c>
      <c r="AM713" s="62">
        <f>IFERROR(VLOOKUP(Table2[[#This Row],[Contraente]],Table1[[Nome/Ragione sociale]:[Checkbox selezionato]],6,FALSE),"-")</f>
        <v>24727</v>
      </c>
      <c r="AN713" s="63" t="str">
        <f>IFERROR(VLOOKUP(Table2[[#This Row],[Contraente]],Table1[[Nome/Ragione sociale]:[Checkbox selezionato]],7,FALSE),"-")</f>
        <v>papies@email.it</v>
      </c>
      <c r="AO713" s="63">
        <f>IFERROR(VLOOKUP(Table2[[#This Row],[Contraente]],Table1[[Nome/Ragione sociale]:[Checkbox selezionato]],8,FALSE),"-")</f>
        <v>0</v>
      </c>
      <c r="AP713" s="63">
        <f>IFERROR(VLOOKUP(Table2[[#This Row],[Contraente]],Table1[[Nome/Ragione sociale]:[Checkbox selezionato]],10,FALSE),"-")</f>
        <v>3661978776</v>
      </c>
      <c r="AQ713" s="63" t="str">
        <f>IFERROR(VLOOKUP(Table2[[#This Row],[Contraente]],Table1[[Nome/Ragione sociale]:[Checkbox selezionato]],11,FALSE),"-")</f>
        <v>SI</v>
      </c>
      <c r="AR713" s="63" t="str">
        <f>IFERROR(VLOOKUP(Table2[[#This Row],[Contraente]],Table1[[Nome/Ragione sociale]:[Checkbox selezionato]],12,FALSE),"-")</f>
        <v>SI</v>
      </c>
    </row>
    <row r="714" spans="1:44" ht="30" hidden="1" customHeight="1" x14ac:dyDescent="0.25">
      <c r="A714" s="60" t="str">
        <f>UPPER(LEFT(Table2[[#This Row],[Contraente]],1))</f>
        <v>M</v>
      </c>
      <c r="B714" s="60" t="s">
        <v>1634</v>
      </c>
      <c r="C714" s="81" t="s">
        <v>805</v>
      </c>
      <c r="D714" s="81" t="s">
        <v>37</v>
      </c>
      <c r="E714" s="86">
        <v>101686370</v>
      </c>
      <c r="F714" s="64">
        <v>42871</v>
      </c>
      <c r="G714" s="64">
        <f>IFERROR(CALCOLASCADENZA(Table2[[#This Row],[Data attivazione]],Table2[[#This Row],[Rateizzazione]],Table2[[#This Row],[Data ultimo pagamento]],Table2[[#This Row],[Data prossima scadenza manuale]]),"-")</f>
        <v>43050</v>
      </c>
      <c r="H714" s="67" t="s">
        <v>30</v>
      </c>
      <c r="I714" s="67" t="s">
        <v>113</v>
      </c>
      <c r="J714" s="33">
        <f>IFERROR(Table2[[#This Row],[Importo annuale]]/(12/VLOOKUP(Table2[[#This Row],[Rateizzazione]],TIPI_RATEIZZAZIONI,2,FALSE)),"-")</f>
        <v>750</v>
      </c>
      <c r="K714" s="88">
        <v>750</v>
      </c>
      <c r="L714" s="88">
        <v>1500</v>
      </c>
      <c r="M714" s="67" t="s">
        <v>44</v>
      </c>
      <c r="N714" s="67" t="s">
        <v>51</v>
      </c>
      <c r="O714" s="27" t="s">
        <v>1631</v>
      </c>
      <c r="P714" s="33" t="s">
        <v>22</v>
      </c>
      <c r="Q714" s="60">
        <f>IFERROR(IF(12 / VLOOKUP(Table2[[#This Row],[Rateizzazione]],TIPI_RATEIZZAZIONI,2,FALSE) &gt;=1,  IF(Table2[[#This Row],[Data attivazione]] = "","-",MONTH(Table2[[#This Row],[Data attivazione]])),"-"),"-")</f>
        <v>11</v>
      </c>
      <c r="R7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4" s="67" t="s">
        <v>2</v>
      </c>
      <c r="V714" s="62"/>
      <c r="W714" s="64">
        <v>42685</v>
      </c>
      <c r="X714" s="29">
        <f>DATE(YEAR(Table2[[#This Row],[Data attivazione]])+VLOOKUP(Table2[[#This Row],[Durata]],VALORE_DURATA,2,FALSE),MONTH(Table2[[#This Row],[Data attivazione]]),DAY(Table2[[#This Row],[Data attivazione]]))</f>
        <v>43050</v>
      </c>
      <c r="Y714" s="65"/>
      <c r="Z714" s="61"/>
      <c r="AA714" s="64" t="s">
        <v>85</v>
      </c>
      <c r="AB714" s="29" t="str">
        <f>IF(Table2[[#This Row],[Data ultimo versamento temp]]=0/1/1900,"-",Table2[[#This Row],[Data ultimo versamento temp]])</f>
        <v>-</v>
      </c>
      <c r="AC714" s="29">
        <f t="array" ref="AC714">MAX(IF(TableVersamenti[Polizza]=Table2[[#This Row],[Polizza]],TableVersamenti[Data prevista versamento],"-"))</f>
        <v>0</v>
      </c>
      <c r="AD714" s="62"/>
      <c r="AE714" s="106">
        <f>DATE(YEAR(Table2[[#This Row],[Data ultimo pagamento]]),MONTH(Table2[[#This Row],[Data ultimo pagamento]]), 1)</f>
        <v>42856</v>
      </c>
      <c r="AF714" s="106">
        <f>DATE(YEAR(Table2[[#This Row],[Data prossima scadenza]]),MONTH(Table2[[#This Row],[Data prossima scadenza]]), 1)</f>
        <v>43040</v>
      </c>
      <c r="AG714" s="33">
        <f>IFERROR(Table2[[#This Row],[Importo annuale]]*VLOOKUP(Table2[[#This Row],[Ramo]],RAMI_POLIZZA,2,FALSE),0)</f>
        <v>172.5</v>
      </c>
      <c r="AH714" s="65" t="s">
        <v>113</v>
      </c>
      <c r="AI714" s="63" t="str">
        <f>IFERROR(VLOOKUP(Table2[[#This Row],[Contraente]],Table1[[Nome/Ragione sociale]:[Checkbox selezionato]],2,FALSE),"-")</f>
        <v>PIZZIGHETTONE</v>
      </c>
      <c r="AJ714" s="63">
        <f>IFERROR(VLOOKUP(Table2[[#This Row],[Contraente]],Table1[[Nome/Ragione sociale]:[Checkbox selezionato]],3,FALSE),"-")</f>
        <v>3661978776</v>
      </c>
      <c r="AK714" s="63">
        <f>IFERROR(VLOOKUP(Table2[[#This Row],[Contraente]],Table1[[Nome/Ragione sociale]:[Checkbox selezionato]],4,FALSE),"-")</f>
        <v>0</v>
      </c>
      <c r="AL714" s="63" t="str">
        <f>IFERROR(VLOOKUP(Table2[[#This Row],[Contraente]],Table1[[Nome/Ragione sociale]:[Checkbox selezionato]],5,FALSE),"-")</f>
        <v>MAURO BARBAGLIO</v>
      </c>
      <c r="AM714" s="62">
        <f>IFERROR(VLOOKUP(Table2[[#This Row],[Contraente]],Table1[[Nome/Ragione sociale]:[Checkbox selezionato]],6,FALSE),"-")</f>
        <v>24727</v>
      </c>
      <c r="AN714" s="63" t="str">
        <f>IFERROR(VLOOKUP(Table2[[#This Row],[Contraente]],Table1[[Nome/Ragione sociale]:[Checkbox selezionato]],7,FALSE),"-")</f>
        <v>papies@email.it</v>
      </c>
      <c r="AO714" s="63">
        <f>IFERROR(VLOOKUP(Table2[[#This Row],[Contraente]],Table1[[Nome/Ragione sociale]:[Checkbox selezionato]],8,FALSE),"-")</f>
        <v>0</v>
      </c>
      <c r="AP714" s="63">
        <f>IFERROR(VLOOKUP(Table2[[#This Row],[Contraente]],Table1[[Nome/Ragione sociale]:[Checkbox selezionato]],10,FALSE),"-")</f>
        <v>3661978776</v>
      </c>
      <c r="AQ714" s="63" t="str">
        <f>IFERROR(VLOOKUP(Table2[[#This Row],[Contraente]],Table1[[Nome/Ragione sociale]:[Checkbox selezionato]],11,FALSE),"-")</f>
        <v>SI</v>
      </c>
      <c r="AR714" s="63" t="str">
        <f>IFERROR(VLOOKUP(Table2[[#This Row],[Contraente]],Table1[[Nome/Ragione sociale]:[Checkbox selezionato]],12,FALSE),"-")</f>
        <v>SI</v>
      </c>
    </row>
    <row r="715" spans="1:44" ht="30" hidden="1" customHeight="1" x14ac:dyDescent="0.25">
      <c r="A715" s="60" t="str">
        <f>UPPER(LEFT(Table2[[#This Row],[Contraente]],1))</f>
        <v>M</v>
      </c>
      <c r="B715" s="60" t="s">
        <v>1634</v>
      </c>
      <c r="C715" s="81" t="s">
        <v>806</v>
      </c>
      <c r="D715" s="81" t="s">
        <v>37</v>
      </c>
      <c r="E715" s="86">
        <v>102996427</v>
      </c>
      <c r="F715" s="64">
        <v>41954</v>
      </c>
      <c r="G715" s="64">
        <f>IFERROR(CALCOLASCADENZA(Table2[[#This Row],[Data attivazione]],Table2[[#This Row],[Rateizzazione]],Table2[[#This Row],[Data ultimo pagamento]],Table2[[#This Row],[Data prossima scadenza manuale]]),"-")</f>
        <v>693778</v>
      </c>
      <c r="H715" s="67" t="s">
        <v>31</v>
      </c>
      <c r="I715" s="67"/>
      <c r="J715" s="33">
        <f>IFERROR(Table2[[#This Row],[Importo annuale]]/(12/VLOOKUP(Table2[[#This Row],[Rateizzazione]],TIPI_RATEIZZAZIONI,2,FALSE)),"-")</f>
        <v>570</v>
      </c>
      <c r="K715" s="88"/>
      <c r="L715" s="88">
        <v>1140</v>
      </c>
      <c r="M715" s="67" t="s">
        <v>44</v>
      </c>
      <c r="N715" s="67" t="s">
        <v>52</v>
      </c>
      <c r="O715" s="27" t="s">
        <v>1631</v>
      </c>
      <c r="P715" s="33" t="s">
        <v>22</v>
      </c>
      <c r="Q715" s="60">
        <f>IFERROR(IF(12 / VLOOKUP(Table2[[#This Row],[Rateizzazione]],TIPI_RATEIZZAZIONI,2,FALSE) &gt;=1,  IF(Table2[[#This Row],[Data attivazione]] = "","-",MONTH(Table2[[#This Row],[Data attivazione]])),"-"),"-")</f>
        <v>12</v>
      </c>
      <c r="R7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5" s="67" t="s">
        <v>2</v>
      </c>
      <c r="V715" s="62"/>
      <c r="W715" s="64">
        <v>693597</v>
      </c>
      <c r="X715" s="29">
        <f>DATE(YEAR(Table2[[#This Row],[Data attivazione]])+VLOOKUP(Table2[[#This Row],[Durata]],VALORE_DURATA,2,FALSE),MONTH(Table2[[#This Row],[Data attivazione]]),DAY(Table2[[#This Row],[Data attivazione]]))</f>
        <v>693962</v>
      </c>
      <c r="Y715" s="65"/>
      <c r="Z715" s="61"/>
      <c r="AA715" s="64" t="s">
        <v>88</v>
      </c>
      <c r="AB715" s="29" t="str">
        <f>IF(Table2[[#This Row],[Data ultimo versamento temp]]=0/1/1900,"-",Table2[[#This Row],[Data ultimo versamento temp]])</f>
        <v>-</v>
      </c>
      <c r="AC715" s="29">
        <f t="array" ref="AC715">MAX(IF(TableVersamenti[Polizza]=Table2[[#This Row],[Polizza]],TableVersamenti[Data prevista versamento],"-"))</f>
        <v>0</v>
      </c>
      <c r="AD715" s="62"/>
      <c r="AE715" s="106">
        <f>DATE(YEAR(Table2[[#This Row],[Data ultimo pagamento]]),MONTH(Table2[[#This Row],[Data ultimo pagamento]]), 1)</f>
        <v>41944</v>
      </c>
      <c r="AF715" s="106">
        <f>DATE(YEAR(Table2[[#This Row],[Data prossima scadenza]]),MONTH(Table2[[#This Row],[Data prossima scadenza]]), 1)</f>
        <v>693749</v>
      </c>
      <c r="AG715" s="33">
        <f>IFERROR(Table2[[#This Row],[Importo annuale]]*VLOOKUP(Table2[[#This Row],[Ramo]],RAMI_POLIZZA,2,FALSE),0)</f>
        <v>59.279999999999994</v>
      </c>
      <c r="AH715" s="65" t="s">
        <v>113</v>
      </c>
      <c r="AI715" s="63">
        <f>IFERROR(VLOOKUP(Table2[[#This Row],[Contraente]],Table1[[Nome/Ragione sociale]:[Checkbox selezionato]],2,FALSE),"-")</f>
        <v>0</v>
      </c>
      <c r="AJ715" s="63">
        <f>IFERROR(VLOOKUP(Table2[[#This Row],[Contraente]],Table1[[Nome/Ragione sociale]:[Checkbox selezionato]],3,FALSE),"-")</f>
        <v>0</v>
      </c>
      <c r="AK715" s="63">
        <f>IFERROR(VLOOKUP(Table2[[#This Row],[Contraente]],Table1[[Nome/Ragione sociale]:[Checkbox selezionato]],4,FALSE),"-")</f>
        <v>0</v>
      </c>
      <c r="AL715" s="63">
        <f>IFERROR(VLOOKUP(Table2[[#This Row],[Contraente]],Table1[[Nome/Ragione sociale]:[Checkbox selezionato]],5,FALSE),"-")</f>
        <v>0</v>
      </c>
      <c r="AM715" s="62">
        <f>IFERROR(VLOOKUP(Table2[[#This Row],[Contraente]],Table1[[Nome/Ragione sociale]:[Checkbox selezionato]],6,FALSE),"-")</f>
        <v>0</v>
      </c>
      <c r="AN715" s="63" t="str">
        <f>IFERROR(VLOOKUP(Table2[[#This Row],[Contraente]],Table1[[Nome/Ragione sociale]:[Checkbox selezionato]],7,FALSE),"-")</f>
        <v>papies@libero.it</v>
      </c>
      <c r="AO715" s="63">
        <f>IFERROR(VLOOKUP(Table2[[#This Row],[Contraente]],Table1[[Nome/Ragione sociale]:[Checkbox selezionato]],8,FALSE),"-")</f>
        <v>0</v>
      </c>
      <c r="AP715" s="63">
        <f>IFERROR(VLOOKUP(Table2[[#This Row],[Contraente]],Table1[[Nome/Ragione sociale]:[Checkbox selezionato]],10,FALSE),"-")</f>
        <v>0</v>
      </c>
      <c r="AQ715" s="63" t="str">
        <f>IFERROR(VLOOKUP(Table2[[#This Row],[Contraente]],Table1[[Nome/Ragione sociale]:[Checkbox selezionato]],11,FALSE),"-")</f>
        <v>SI</v>
      </c>
      <c r="AR715" s="63" t="str">
        <f>IFERROR(VLOOKUP(Table2[[#This Row],[Contraente]],Table1[[Nome/Ragione sociale]:[Checkbox selezionato]],12,FALSE),"-")</f>
        <v>SI</v>
      </c>
    </row>
    <row r="716" spans="1:44" ht="30" hidden="1" customHeight="1" x14ac:dyDescent="0.25">
      <c r="A716" s="60" t="str">
        <f>UPPER(LEFT(Table2[[#This Row],[Contraente]],1))</f>
        <v>M</v>
      </c>
      <c r="B716" s="60" t="s">
        <v>1634</v>
      </c>
      <c r="C716" s="47" t="s">
        <v>1827</v>
      </c>
      <c r="D716" s="98" t="s">
        <v>37</v>
      </c>
      <c r="E716" s="99" t="s">
        <v>1831</v>
      </c>
      <c r="F716" s="109">
        <v>42930</v>
      </c>
      <c r="G716" s="64">
        <f>IFERROR(CALCOLASCADENZA(Table2[[#This Row],[Data attivazione]],Table2[[#This Row],[Rateizzazione]],Table2[[#This Row],[Data ultimo pagamento]],Table2[[#This Row],[Data prossima scadenza manuale]]),"-")</f>
        <v>43290</v>
      </c>
      <c r="H716" s="64" t="s">
        <v>31</v>
      </c>
      <c r="I716" s="64" t="s">
        <v>1834</v>
      </c>
      <c r="J716" s="92">
        <f>IFERROR(Table2[[#This Row],[Importo annuale]]/(12/VLOOKUP(Table2[[#This Row],[Rateizzazione]],TIPI_RATEIZZAZIONI,2,FALSE)),"-")</f>
        <v>625</v>
      </c>
      <c r="K716" s="69">
        <v>625</v>
      </c>
      <c r="L716" s="69">
        <v>625</v>
      </c>
      <c r="M716" s="92" t="s">
        <v>44</v>
      </c>
      <c r="N716" s="92" t="s">
        <v>52</v>
      </c>
      <c r="O716" s="67" t="s">
        <v>1631</v>
      </c>
      <c r="P716" s="92" t="s">
        <v>23</v>
      </c>
      <c r="Q716" s="60">
        <f>IFERROR(IF(12 / VLOOKUP(Table2[[#This Row],[Rateizzazione]],TIPI_RATEIZZAZIONI,2,FALSE) &gt;=1,  IF(Table2[[#This Row],[Data attivazione]] = "","-",MONTH(Table2[[#This Row],[Data attivazione]])),"-"),"-")</f>
        <v>7</v>
      </c>
      <c r="R7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6" s="60" t="s">
        <v>1774</v>
      </c>
      <c r="V716" s="62"/>
      <c r="W716" s="64">
        <v>42925</v>
      </c>
      <c r="X716" s="29">
        <f>DATE(YEAR(Table2[[#This Row],[Data attivazione]])+VLOOKUP(Table2[[#This Row],[Durata]],VALORE_DURATA,2,FALSE),MONTH(Table2[[#This Row],[Data attivazione]]),DAY(Table2[[#This Row],[Data attivazione]]))</f>
        <v>43290</v>
      </c>
      <c r="Y716" s="65"/>
      <c r="Z716" s="61"/>
      <c r="AA716" s="64" t="s">
        <v>85</v>
      </c>
      <c r="AB716" s="29" t="str">
        <f>IF(Table2[[#This Row],[Data ultimo versamento temp]]=0/1/1900,"-",Table2[[#This Row],[Data ultimo versamento temp]])</f>
        <v>-</v>
      </c>
      <c r="AC716" s="29">
        <f t="array" ref="AC716">MAX(IF(TableVersamenti[Polizza]=Table2[[#This Row],[Polizza]],TableVersamenti[Data prevista versamento],"-"))</f>
        <v>0</v>
      </c>
      <c r="AD716" s="62"/>
      <c r="AE716" s="105">
        <f>DATE(YEAR(Table2[[#This Row],[Data ultimo pagamento]]),MONTH(Table2[[#This Row],[Data ultimo pagamento]]), 1)</f>
        <v>42917</v>
      </c>
      <c r="AF716" s="106">
        <f>DATE(YEAR(Table2[[#This Row],[Data prossima scadenza]]),MONTH(Table2[[#This Row],[Data prossima scadenza]]), 1)</f>
        <v>43282</v>
      </c>
      <c r="AG716" s="92">
        <f>IFERROR(Table2[[#This Row],[Importo annuale]]*VLOOKUP(Table2[[#This Row],[Ramo]],RAMI_POLIZZA,2,FALSE),0)</f>
        <v>32.5</v>
      </c>
      <c r="AH716" s="65"/>
      <c r="AI716" s="63" t="str">
        <f>IFERROR(VLOOKUP(Table2[[#This Row],[Contraente]],Table1[[Nome/Ragione sociale]:[Checkbox selezionato]],2,FALSE),"-")</f>
        <v>CHIGNOLO PO</v>
      </c>
      <c r="AJ716" s="63">
        <f>IFERROR(VLOOKUP(Table2[[#This Row],[Contraente]],Table1[[Nome/Ragione sociale]:[Checkbox selezionato]],3,FALSE),"-")</f>
        <v>0</v>
      </c>
      <c r="AK716" s="63">
        <f>IFERROR(VLOOKUP(Table2[[#This Row],[Contraente]],Table1[[Nome/Ragione sociale]:[Checkbox selezionato]],4,FALSE),"-")</f>
        <v>0</v>
      </c>
      <c r="AL716" s="63">
        <f>IFERROR(VLOOKUP(Table2[[#This Row],[Contraente]],Table1[[Nome/Ragione sociale]:[Checkbox selezionato]],5,FALSE),"-")</f>
        <v>0</v>
      </c>
      <c r="AM716" s="62">
        <f>IFERROR(VLOOKUP(Table2[[#This Row],[Contraente]],Table1[[Nome/Ragione sociale]:[Checkbox selezionato]],6,FALSE),"-")</f>
        <v>0</v>
      </c>
      <c r="AN716" s="63" t="str">
        <f>IFERROR(VLOOKUP(Table2[[#This Row],[Contraente]],Table1[[Nome/Ragione sociale]:[Checkbox selezionato]],7,FALSE),"-")</f>
        <v>papies@libero.it</v>
      </c>
      <c r="AO716" s="63">
        <f>IFERROR(VLOOKUP(Table2[[#This Row],[Contraente]],Table1[[Nome/Ragione sociale]:[Checkbox selezionato]],8,FALSE),"-")</f>
        <v>0</v>
      </c>
      <c r="AP716" s="63">
        <f>IFERROR(VLOOKUP(Table2[[#This Row],[Contraente]],Table1[[Nome/Ragione sociale]:[Checkbox selezionato]],10,FALSE),"-")</f>
        <v>0</v>
      </c>
      <c r="AQ716" s="63" t="str">
        <f>IFERROR(VLOOKUP(Table2[[#This Row],[Contraente]],Table1[[Nome/Ragione sociale]:[Checkbox selezionato]],11,FALSE),"-")</f>
        <v>SI</v>
      </c>
      <c r="AR716" s="63" t="str">
        <f>IFERROR(VLOOKUP(Table2[[#This Row],[Contraente]],Table1[[Nome/Ragione sociale]:[Checkbox selezionato]],12,FALSE),"-")</f>
        <v>SI</v>
      </c>
    </row>
    <row r="717" spans="1:44" ht="30" hidden="1" customHeight="1" x14ac:dyDescent="0.25">
      <c r="A717" s="60" t="str">
        <f>UPPER(LEFT(Table2[[#This Row],[Contraente]],1))</f>
        <v>M</v>
      </c>
      <c r="B717" s="60" t="s">
        <v>1634</v>
      </c>
      <c r="C717" s="81" t="s">
        <v>807</v>
      </c>
      <c r="D717" s="81" t="s">
        <v>37</v>
      </c>
      <c r="E717" s="86">
        <v>106322761</v>
      </c>
      <c r="F717" s="64">
        <v>42744</v>
      </c>
      <c r="G717" s="64" t="str">
        <f>IFERROR(CALCOLASCADENZA(Table2[[#This Row],[Data attivazione]],Table2[[#This Row],[Rateizzazione]],Table2[[#This Row],[Data ultimo pagamento]],Table2[[#This Row],[Data prossima scadenza manuale]]),"-")</f>
        <v>-</v>
      </c>
      <c r="H717" s="67" t="s">
        <v>31</v>
      </c>
      <c r="I717" s="67" t="s">
        <v>1413</v>
      </c>
      <c r="J717" s="33">
        <v>0</v>
      </c>
      <c r="K717" s="88">
        <v>0</v>
      </c>
      <c r="L717" s="88">
        <v>0</v>
      </c>
      <c r="M717" s="67" t="s">
        <v>43</v>
      </c>
      <c r="N717" s="67" t="s">
        <v>51</v>
      </c>
      <c r="O717" s="27" t="s">
        <v>1631</v>
      </c>
      <c r="P717" s="33" t="s">
        <v>24</v>
      </c>
      <c r="Q71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7" s="67" t="s">
        <v>2</v>
      </c>
      <c r="V717" s="62"/>
      <c r="W717" s="64" t="e">
        <v>#VALUE!</v>
      </c>
      <c r="X71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17" s="65"/>
      <c r="Z717" s="61"/>
      <c r="AA717" s="64" t="s">
        <v>85</v>
      </c>
      <c r="AB717" s="29" t="str">
        <f>IF(Table2[[#This Row],[Data ultimo versamento temp]]=0/1/1900,"-",Table2[[#This Row],[Data ultimo versamento temp]])</f>
        <v>-</v>
      </c>
      <c r="AC717" s="29">
        <f t="array" ref="AC717">MAX(IF(TableVersamenti[Polizza]=Table2[[#This Row],[Polizza]],TableVersamenti[Data prevista versamento],"-"))</f>
        <v>0</v>
      </c>
      <c r="AD717" s="62"/>
      <c r="AE717" s="106">
        <f>DATE(YEAR(Table2[[#This Row],[Data ultimo pagamento]]),MONTH(Table2[[#This Row],[Data ultimo pagamento]]), 1)</f>
        <v>42736</v>
      </c>
      <c r="AF717" s="106" t="e">
        <f>DATE(YEAR(Table2[[#This Row],[Data prossima scadenza]]),MONTH(Table2[[#This Row],[Data prossima scadenza]]), 1)</f>
        <v>#VALUE!</v>
      </c>
      <c r="AG717" s="33">
        <f>IFERROR(Table2[[#This Row],[Importo annuale]]*VLOOKUP(Table2[[#This Row],[Ramo]],RAMI_POLIZZA,2,FALSE),0)</f>
        <v>0</v>
      </c>
      <c r="AH717" s="65" t="s">
        <v>113</v>
      </c>
      <c r="AI717" s="63" t="str">
        <f>IFERROR(VLOOKUP(Table2[[#This Row],[Contraente]],Table1[[Nome/Ragione sociale]:[Checkbox selezionato]],2,FALSE),"-")</f>
        <v>PIEVE PORTO MORONE</v>
      </c>
      <c r="AJ717" s="63">
        <f>IFERROR(VLOOKUP(Table2[[#This Row],[Contraente]],Table1[[Nome/Ragione sociale]:[Checkbox selezionato]],3,FALSE),"-")</f>
        <v>3899890812</v>
      </c>
      <c r="AK717" s="63">
        <f>IFERROR(VLOOKUP(Table2[[#This Row],[Contraente]],Table1[[Nome/Ragione sociale]:[Checkbox selezionato]],4,FALSE),"-")</f>
        <v>0</v>
      </c>
      <c r="AL717" s="63">
        <f>IFERROR(VLOOKUP(Table2[[#This Row],[Contraente]],Table1[[Nome/Ragione sociale]:[Checkbox selezionato]],5,FALSE),"-")</f>
        <v>0</v>
      </c>
      <c r="AM717" s="62">
        <f>IFERROR(VLOOKUP(Table2[[#This Row],[Contraente]],Table1[[Nome/Ragione sociale]:[Checkbox selezionato]],6,FALSE),"-")</f>
        <v>26036</v>
      </c>
      <c r="AN717" s="63" t="str">
        <f>IFERROR(VLOOKUP(Table2[[#This Row],[Contraente]],Table1[[Nome/Ragione sociale]:[Checkbox selezionato]],7,FALSE),"-")</f>
        <v>papies@email.it</v>
      </c>
      <c r="AO717" s="63">
        <f>IFERROR(VLOOKUP(Table2[[#This Row],[Contraente]],Table1[[Nome/Ragione sociale]:[Checkbox selezionato]],8,FALSE),"-")</f>
        <v>0</v>
      </c>
      <c r="AP717" s="63">
        <f>IFERROR(VLOOKUP(Table2[[#This Row],[Contraente]],Table1[[Nome/Ragione sociale]:[Checkbox selezionato]],10,FALSE),"-")</f>
        <v>3899890812</v>
      </c>
      <c r="AQ717" s="63" t="str">
        <f>IFERROR(VLOOKUP(Table2[[#This Row],[Contraente]],Table1[[Nome/Ragione sociale]:[Checkbox selezionato]],11,FALSE),"-")</f>
        <v>SI</v>
      </c>
      <c r="AR717" s="63" t="str">
        <f>IFERROR(VLOOKUP(Table2[[#This Row],[Contraente]],Table1[[Nome/Ragione sociale]:[Checkbox selezionato]],12,FALSE),"-")</f>
        <v>SI</v>
      </c>
    </row>
    <row r="718" spans="1:44" ht="30" hidden="1" customHeight="1" x14ac:dyDescent="0.25">
      <c r="A718" s="60" t="str">
        <f>UPPER(LEFT(Table2[[#This Row],[Contraente]],1))</f>
        <v>M</v>
      </c>
      <c r="B718" s="60" t="s">
        <v>1634</v>
      </c>
      <c r="C718" s="81" t="s">
        <v>812</v>
      </c>
      <c r="D718" s="81" t="s">
        <v>37</v>
      </c>
      <c r="E718" s="86">
        <v>104895831</v>
      </c>
      <c r="F718" s="64">
        <v>42766</v>
      </c>
      <c r="G718" s="64">
        <f>IFERROR(CALCOLASCADENZA(Table2[[#This Row],[Data attivazione]],Table2[[#This Row],[Rateizzazione]],Table2[[#This Row],[Data ultimo pagamento]],Table2[[#This Row],[Data prossima scadenza manuale]]),"-")</f>
        <v>42823</v>
      </c>
      <c r="H718" s="67" t="s">
        <v>30</v>
      </c>
      <c r="I718" s="67" t="s">
        <v>113</v>
      </c>
      <c r="J718" s="33">
        <f>IFERROR(Table2[[#This Row],[Importo annuale]]/(12/VLOOKUP(Table2[[#This Row],[Rateizzazione]],TIPI_RATEIZZAZIONI,2,FALSE)),"-")</f>
        <v>989</v>
      </c>
      <c r="K718" s="88">
        <v>989</v>
      </c>
      <c r="L718" s="88">
        <v>1978</v>
      </c>
      <c r="M718" s="67" t="s">
        <v>44</v>
      </c>
      <c r="N718" s="67" t="s">
        <v>51</v>
      </c>
      <c r="O718" s="27" t="s">
        <v>1631</v>
      </c>
      <c r="P718" s="33" t="s">
        <v>22</v>
      </c>
      <c r="Q718" s="60">
        <f>IFERROR(IF(12 / VLOOKUP(Table2[[#This Row],[Rateizzazione]],TIPI_RATEIZZAZIONI,2,FALSE) &gt;=1,  IF(Table2[[#This Row],[Data attivazione]] = "","-",MONTH(Table2[[#This Row],[Data attivazione]])),"-"),"-")</f>
        <v>3</v>
      </c>
      <c r="R7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7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8" s="67" t="s">
        <v>2</v>
      </c>
      <c r="V718" s="62"/>
      <c r="W718" s="64">
        <v>42458</v>
      </c>
      <c r="X718" s="29">
        <f>DATE(YEAR(Table2[[#This Row],[Data attivazione]])+VLOOKUP(Table2[[#This Row],[Durata]],VALORE_DURATA,2,FALSE),MONTH(Table2[[#This Row],[Data attivazione]]),DAY(Table2[[#This Row],[Data attivazione]]))</f>
        <v>42823</v>
      </c>
      <c r="Y718" s="65"/>
      <c r="Z718" s="61"/>
      <c r="AA718" s="64" t="s">
        <v>88</v>
      </c>
      <c r="AB718" s="29" t="str">
        <f>IF(Table2[[#This Row],[Data ultimo versamento temp]]=0/1/1900,"-",Table2[[#This Row],[Data ultimo versamento temp]])</f>
        <v>-</v>
      </c>
      <c r="AC718" s="29">
        <f t="array" ref="AC718">MAX(IF(TableVersamenti[Polizza]=Table2[[#This Row],[Polizza]],TableVersamenti[Data prevista versamento],"-"))</f>
        <v>0</v>
      </c>
      <c r="AD718" s="62"/>
      <c r="AE718" s="106">
        <f>DATE(YEAR(Table2[[#This Row],[Data ultimo pagamento]]),MONTH(Table2[[#This Row],[Data ultimo pagamento]]), 1)</f>
        <v>42736</v>
      </c>
      <c r="AF718" s="106">
        <f>DATE(YEAR(Table2[[#This Row],[Data prossima scadenza]]),MONTH(Table2[[#This Row],[Data prossima scadenza]]), 1)</f>
        <v>42795</v>
      </c>
      <c r="AG718" s="33">
        <f>IFERROR(Table2[[#This Row],[Importo annuale]]*VLOOKUP(Table2[[#This Row],[Ramo]],RAMI_POLIZZA,2,FALSE),0)</f>
        <v>227.47</v>
      </c>
      <c r="AH718" s="65" t="s">
        <v>113</v>
      </c>
      <c r="AI718" s="63" t="str">
        <f>IFERROR(VLOOKUP(Table2[[#This Row],[Contraente]],Table1[[Nome/Ragione sociale]:[Checkbox selezionato]],2,FALSE),"-")</f>
        <v>FILIGHERA</v>
      </c>
      <c r="AJ718" s="63">
        <f>IFERROR(VLOOKUP(Table2[[#This Row],[Contraente]],Table1[[Nome/Ragione sociale]:[Checkbox selezionato]],3,FALSE),"-")</f>
        <v>3356609130</v>
      </c>
      <c r="AK718" s="63" t="str">
        <f>IFERROR(VLOOKUP(Table2[[#This Row],[Contraente]],Table1[[Nome/Ragione sociale]:[Checkbox selezionato]],4,FALSE),"-")</f>
        <v>.0382970472</v>
      </c>
      <c r="AL718" s="63" t="str">
        <f>IFERROR(VLOOKUP(Table2[[#This Row],[Contraente]],Table1[[Nome/Ragione sociale]:[Checkbox selezionato]],5,FALSE),"-")</f>
        <v>ARDIZZI GABRIELE</v>
      </c>
      <c r="AM718" s="62" t="str">
        <f>IFERROR(VLOOKUP(Table2[[#This Row],[Contraente]],Table1[[Nome/Ragione sociale]:[Checkbox selezionato]],6,FALSE),"-")</f>
        <v>-</v>
      </c>
      <c r="AN718" s="63" t="str">
        <f>IFERROR(VLOOKUP(Table2[[#This Row],[Contraente]],Table1[[Nome/Ragione sociale]:[Checkbox selezionato]],7,FALSE),"-")</f>
        <v>papies@libero.it</v>
      </c>
      <c r="AO718" s="63">
        <f>IFERROR(VLOOKUP(Table2[[#This Row],[Contraente]],Table1[[Nome/Ragione sociale]:[Checkbox selezionato]],8,FALSE),"-")</f>
        <v>0</v>
      </c>
      <c r="AP718" s="63">
        <f>IFERROR(VLOOKUP(Table2[[#This Row],[Contraente]],Table1[[Nome/Ragione sociale]:[Checkbox selezionato]],10,FALSE),"-")</f>
        <v>3356609130</v>
      </c>
      <c r="AQ718" s="63" t="str">
        <f>IFERROR(VLOOKUP(Table2[[#This Row],[Contraente]],Table1[[Nome/Ragione sociale]:[Checkbox selezionato]],11,FALSE),"-")</f>
        <v>SI</v>
      </c>
      <c r="AR718" s="63" t="str">
        <f>IFERROR(VLOOKUP(Table2[[#This Row],[Contraente]],Table1[[Nome/Ragione sociale]:[Checkbox selezionato]],12,FALSE),"-")</f>
        <v>SI</v>
      </c>
    </row>
    <row r="719" spans="1:44" ht="30" hidden="1" customHeight="1" x14ac:dyDescent="0.25">
      <c r="A719" s="60" t="str">
        <f>UPPER(LEFT(Table2[[#This Row],[Contraente]],1))</f>
        <v>M</v>
      </c>
      <c r="B719" s="60" t="s">
        <v>1634</v>
      </c>
      <c r="C719" s="81" t="s">
        <v>808</v>
      </c>
      <c r="D719" s="81" t="s">
        <v>37</v>
      </c>
      <c r="E719" s="86">
        <v>104349828</v>
      </c>
      <c r="F719" s="64">
        <v>42359</v>
      </c>
      <c r="G719" s="64">
        <f>IFERROR(CALCOLASCADENZA(Table2[[#This Row],[Data attivazione]],Table2[[#This Row],[Rateizzazione]],Table2[[#This Row],[Data ultimo pagamento]],Table2[[#This Row],[Data prossima scadenza manuale]]),"-")</f>
        <v>42359</v>
      </c>
      <c r="H719" s="67" t="s">
        <v>31</v>
      </c>
      <c r="I719" s="67" t="s">
        <v>1414</v>
      </c>
      <c r="J719" s="33">
        <v>-237.26</v>
      </c>
      <c r="K719" s="88"/>
      <c r="L719" s="88">
        <v>850.77</v>
      </c>
      <c r="M719" s="67" t="s">
        <v>43</v>
      </c>
      <c r="N719" s="67" t="s">
        <v>52</v>
      </c>
      <c r="O719" s="27" t="s">
        <v>1631</v>
      </c>
      <c r="P719" s="33" t="s">
        <v>24</v>
      </c>
      <c r="Q71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9" s="67" t="s">
        <v>2</v>
      </c>
      <c r="V719" s="62"/>
      <c r="W719" s="64">
        <v>693597</v>
      </c>
      <c r="X719" s="29">
        <f>DATE(YEAR(Table2[[#This Row],[Data attivazione]])+VLOOKUP(Table2[[#This Row],[Durata]],VALORE_DURATA,2,FALSE),MONTH(Table2[[#This Row],[Data attivazione]]),DAY(Table2[[#This Row],[Data attivazione]]))</f>
        <v>693962</v>
      </c>
      <c r="Y719" s="65"/>
      <c r="Z719" s="61"/>
      <c r="AA719" s="64" t="s">
        <v>88</v>
      </c>
      <c r="AB719" s="29" t="str">
        <f>IF(Table2[[#This Row],[Data ultimo versamento temp]]=0/1/1900,"-",Table2[[#This Row],[Data ultimo versamento temp]])</f>
        <v>-</v>
      </c>
      <c r="AC719" s="29">
        <f t="array" ref="AC719">MAX(IF(TableVersamenti[Polizza]=Table2[[#This Row],[Polizza]],TableVersamenti[Data prevista versamento],"-"))</f>
        <v>0</v>
      </c>
      <c r="AD719" s="62"/>
      <c r="AE719" s="106">
        <f>DATE(YEAR(Table2[[#This Row],[Data ultimo pagamento]]),MONTH(Table2[[#This Row],[Data ultimo pagamento]]), 1)</f>
        <v>42339</v>
      </c>
      <c r="AF719" s="106">
        <f>DATE(YEAR(Table2[[#This Row],[Data prossima scadenza]]),MONTH(Table2[[#This Row],[Data prossima scadenza]]), 1)</f>
        <v>42339</v>
      </c>
      <c r="AG719" s="33">
        <f>IFERROR(Table2[[#This Row],[Importo annuale]]*VLOOKUP(Table2[[#This Row],[Ramo]],RAMI_POLIZZA,2,FALSE),0)</f>
        <v>44.24004</v>
      </c>
      <c r="AH719" s="65" t="s">
        <v>113</v>
      </c>
      <c r="AI719" s="63">
        <f>IFERROR(VLOOKUP(Table2[[#This Row],[Contraente]],Table1[[Nome/Ragione sociale]:[Checkbox selezionato]],2,FALSE),"-")</f>
        <v>0</v>
      </c>
      <c r="AJ719" s="63">
        <f>IFERROR(VLOOKUP(Table2[[#This Row],[Contraente]],Table1[[Nome/Ragione sociale]:[Checkbox selezionato]],3,FALSE),"-")</f>
        <v>3407172542</v>
      </c>
      <c r="AK719" s="63">
        <f>IFERROR(VLOOKUP(Table2[[#This Row],[Contraente]],Table1[[Nome/Ragione sociale]:[Checkbox selezionato]],4,FALSE),"-")</f>
        <v>0</v>
      </c>
      <c r="AL719" s="63" t="str">
        <f>IFERROR(VLOOKUP(Table2[[#This Row],[Contraente]],Table1[[Nome/Ragione sociale]:[Checkbox selezionato]],5,FALSE),"-")</f>
        <v>ENNIO</v>
      </c>
      <c r="AM719" s="62">
        <f>IFERROR(VLOOKUP(Table2[[#This Row],[Contraente]],Table1[[Nome/Ragione sociale]:[Checkbox selezionato]],6,FALSE),"-")</f>
        <v>0</v>
      </c>
      <c r="AN719" s="63" t="str">
        <f>IFERROR(VLOOKUP(Table2[[#This Row],[Contraente]],Table1[[Nome/Ragione sociale]:[Checkbox selezionato]],7,FALSE),"-")</f>
        <v>papies@libero.it</v>
      </c>
      <c r="AO719" s="63">
        <f>IFERROR(VLOOKUP(Table2[[#This Row],[Contraente]],Table1[[Nome/Ragione sociale]:[Checkbox selezionato]],8,FALSE),"-")</f>
        <v>0</v>
      </c>
      <c r="AP719" s="63">
        <f>IFERROR(VLOOKUP(Table2[[#This Row],[Contraente]],Table1[[Nome/Ragione sociale]:[Checkbox selezionato]],10,FALSE),"-")</f>
        <v>3407172542</v>
      </c>
      <c r="AQ719" s="63" t="str">
        <f>IFERROR(VLOOKUP(Table2[[#This Row],[Contraente]],Table1[[Nome/Ragione sociale]:[Checkbox selezionato]],11,FALSE),"-")</f>
        <v>SI</v>
      </c>
      <c r="AR719" s="63" t="str">
        <f>IFERROR(VLOOKUP(Table2[[#This Row],[Contraente]],Table1[[Nome/Ragione sociale]:[Checkbox selezionato]],12,FALSE),"-")</f>
        <v>SI</v>
      </c>
    </row>
    <row r="720" spans="1:44" ht="30" hidden="1" customHeight="1" x14ac:dyDescent="0.25">
      <c r="A720" s="60" t="str">
        <f>UPPER(LEFT(Table2[[#This Row],[Contraente]],1))</f>
        <v>M</v>
      </c>
      <c r="B720" s="60" t="s">
        <v>1634</v>
      </c>
      <c r="C720" s="81" t="s">
        <v>810</v>
      </c>
      <c r="D720" s="81" t="s">
        <v>37</v>
      </c>
      <c r="E720" s="86">
        <v>104624550</v>
      </c>
      <c r="F720" s="64">
        <v>42195</v>
      </c>
      <c r="G720" s="64">
        <f>IFERROR(CALCOLASCADENZA(Table2[[#This Row],[Data attivazione]],Table2[[#This Row],[Rateizzazione]],Table2[[#This Row],[Data ultimo pagamento]],Table2[[#This Row],[Data prossima scadenza manuale]]),"-")</f>
        <v>693778</v>
      </c>
      <c r="H720" s="67" t="s">
        <v>30</v>
      </c>
      <c r="I720" s="67" t="s">
        <v>113</v>
      </c>
      <c r="J720" s="33">
        <f>IFERROR(Table2[[#This Row],[Importo annuale]]/(12/VLOOKUP(Table2[[#This Row],[Rateizzazione]],TIPI_RATEIZZAZIONI,2,FALSE)),"-")</f>
        <v>225</v>
      </c>
      <c r="K720" s="88"/>
      <c r="L720" s="88">
        <v>450</v>
      </c>
      <c r="M720" s="67" t="s">
        <v>44</v>
      </c>
      <c r="N720" s="67" t="s">
        <v>52</v>
      </c>
      <c r="O720" s="27" t="s">
        <v>1631</v>
      </c>
      <c r="P720" s="33" t="s">
        <v>22</v>
      </c>
      <c r="Q720" s="60">
        <f>IFERROR(IF(12 / VLOOKUP(Table2[[#This Row],[Rateizzazione]],TIPI_RATEIZZAZIONI,2,FALSE) &gt;=1,  IF(Table2[[#This Row],[Data attivazione]] = "","-",MONTH(Table2[[#This Row],[Data attivazione]])),"-"),"-")</f>
        <v>12</v>
      </c>
      <c r="R7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0" s="67" t="s">
        <v>2</v>
      </c>
      <c r="V720" s="62"/>
      <c r="W720" s="64">
        <v>693597</v>
      </c>
      <c r="X720" s="29">
        <f>DATE(YEAR(Table2[[#This Row],[Data attivazione]])+VLOOKUP(Table2[[#This Row],[Durata]],VALORE_DURATA,2,FALSE),MONTH(Table2[[#This Row],[Data attivazione]]),DAY(Table2[[#This Row],[Data attivazione]]))</f>
        <v>693962</v>
      </c>
      <c r="Y720" s="65"/>
      <c r="Z720" s="61"/>
      <c r="AA720" s="64" t="s">
        <v>88</v>
      </c>
      <c r="AB720" s="29" t="str">
        <f>IF(Table2[[#This Row],[Data ultimo versamento temp]]=0/1/1900,"-",Table2[[#This Row],[Data ultimo versamento temp]])</f>
        <v>-</v>
      </c>
      <c r="AC720" s="29">
        <f t="array" ref="AC720">MAX(IF(TableVersamenti[Polizza]=Table2[[#This Row],[Polizza]],TableVersamenti[Data prevista versamento],"-"))</f>
        <v>0</v>
      </c>
      <c r="AD720" s="62"/>
      <c r="AE720" s="106">
        <f>DATE(YEAR(Table2[[#This Row],[Data ultimo pagamento]]),MONTH(Table2[[#This Row],[Data ultimo pagamento]]), 1)</f>
        <v>42186</v>
      </c>
      <c r="AF720" s="106">
        <f>DATE(YEAR(Table2[[#This Row],[Data prossima scadenza]]),MONTH(Table2[[#This Row],[Data prossima scadenza]]), 1)</f>
        <v>693749</v>
      </c>
      <c r="AG720" s="33">
        <f>IFERROR(Table2[[#This Row],[Importo annuale]]*VLOOKUP(Table2[[#This Row],[Ramo]],RAMI_POLIZZA,2,FALSE),0)</f>
        <v>51.75</v>
      </c>
      <c r="AH720" s="65" t="s">
        <v>113</v>
      </c>
      <c r="AI720" s="63" t="str">
        <f>IFERROR(VLOOKUP(Table2[[#This Row],[Contraente]],Table1[[Nome/Ragione sociale]:[Checkbox selezionato]],2,FALSE),"-")</f>
        <v>PAVIA</v>
      </c>
      <c r="AJ720" s="63">
        <f>IFERROR(VLOOKUP(Table2[[#This Row],[Contraente]],Table1[[Nome/Ragione sociale]:[Checkbox selezionato]],3,FALSE),"-")</f>
        <v>3398401587</v>
      </c>
      <c r="AK720" s="63">
        <f>IFERROR(VLOOKUP(Table2[[#This Row],[Contraente]],Table1[[Nome/Ragione sociale]:[Checkbox selezionato]],4,FALSE),"-")</f>
        <v>0</v>
      </c>
      <c r="AL720" s="63" t="str">
        <f>IFERROR(VLOOKUP(Table2[[#This Row],[Contraente]],Table1[[Nome/Ragione sociale]:[Checkbox selezionato]],5,FALSE),"-")</f>
        <v>MARITO FRANCESCO</v>
      </c>
      <c r="AM720" s="62">
        <f>IFERROR(VLOOKUP(Table2[[#This Row],[Contraente]],Table1[[Nome/Ragione sociale]:[Checkbox selezionato]],6,FALSE),"-")</f>
        <v>27588</v>
      </c>
      <c r="AN720" s="63" t="str">
        <f>IFERROR(VLOOKUP(Table2[[#This Row],[Contraente]],Table1[[Nome/Ragione sociale]:[Checkbox selezionato]],7,FALSE),"-")</f>
        <v>papies@email.it</v>
      </c>
      <c r="AO720" s="63">
        <f>IFERROR(VLOOKUP(Table2[[#This Row],[Contraente]],Table1[[Nome/Ragione sociale]:[Checkbox selezionato]],8,FALSE),"-")</f>
        <v>0</v>
      </c>
      <c r="AP720" s="63">
        <f>IFERROR(VLOOKUP(Table2[[#This Row],[Contraente]],Table1[[Nome/Ragione sociale]:[Checkbox selezionato]],10,FALSE),"-")</f>
        <v>3398401587</v>
      </c>
      <c r="AQ720" s="63" t="str">
        <f>IFERROR(VLOOKUP(Table2[[#This Row],[Contraente]],Table1[[Nome/Ragione sociale]:[Checkbox selezionato]],11,FALSE),"-")</f>
        <v>SI</v>
      </c>
      <c r="AR720" s="63" t="str">
        <f>IFERROR(VLOOKUP(Table2[[#This Row],[Contraente]],Table1[[Nome/Ragione sociale]:[Checkbox selezionato]],12,FALSE),"-")</f>
        <v>SI</v>
      </c>
    </row>
    <row r="721" spans="1:44" ht="30" hidden="1" customHeight="1" x14ac:dyDescent="0.25">
      <c r="A721" s="60" t="str">
        <f>UPPER(LEFT(Table2[[#This Row],[Contraente]],1))</f>
        <v>M</v>
      </c>
      <c r="B721" s="60" t="s">
        <v>1634</v>
      </c>
      <c r="C721" s="81" t="s">
        <v>814</v>
      </c>
      <c r="D721" s="81" t="s">
        <v>37</v>
      </c>
      <c r="E721" s="86">
        <v>106755432</v>
      </c>
      <c r="F721" s="64">
        <v>42843</v>
      </c>
      <c r="G721" s="64">
        <f>IFERROR(CALCOLASCADENZA(Table2[[#This Row],[Data attivazione]],Table2[[#This Row],[Rateizzazione]],Table2[[#This Row],[Data ultimo pagamento]],Table2[[#This Row],[Data prossima scadenza manuale]]),"-")</f>
        <v>43030</v>
      </c>
      <c r="H721" s="67" t="s">
        <v>31</v>
      </c>
      <c r="I721" s="67" t="s">
        <v>1415</v>
      </c>
      <c r="J721" s="33">
        <f>IFERROR(Table2[[#This Row],[Importo annuale]]/(12/VLOOKUP(Table2[[#This Row],[Rateizzazione]],TIPI_RATEIZZAZIONI,2,FALSE)),"-")</f>
        <v>164</v>
      </c>
      <c r="K721" s="88">
        <v>164</v>
      </c>
      <c r="L721" s="88">
        <v>328</v>
      </c>
      <c r="M721" s="67" t="s">
        <v>43</v>
      </c>
      <c r="N721" s="67" t="s">
        <v>51</v>
      </c>
      <c r="O721" s="27" t="s">
        <v>1631</v>
      </c>
      <c r="P721" s="33" t="s">
        <v>22</v>
      </c>
      <c r="Q721" s="60">
        <f>IFERROR(IF(12 / VLOOKUP(Table2[[#This Row],[Rateizzazione]],TIPI_RATEIZZAZIONI,2,FALSE) &gt;=1,  IF(Table2[[#This Row],[Data attivazione]] = "","-",MONTH(Table2[[#This Row],[Data attivazione]])),"-"),"-")</f>
        <v>10</v>
      </c>
      <c r="R7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7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1" s="67" t="s">
        <v>2</v>
      </c>
      <c r="V721" s="62"/>
      <c r="W721" s="64">
        <v>42665</v>
      </c>
      <c r="X721" s="29">
        <f>DATE(YEAR(Table2[[#This Row],[Data attivazione]])+VLOOKUP(Table2[[#This Row],[Durata]],VALORE_DURATA,2,FALSE),MONTH(Table2[[#This Row],[Data attivazione]]),DAY(Table2[[#This Row],[Data attivazione]]))</f>
        <v>43030</v>
      </c>
      <c r="Y721" s="65"/>
      <c r="Z721" s="61"/>
      <c r="AA721" s="64" t="s">
        <v>85</v>
      </c>
      <c r="AB721" s="29" t="str">
        <f>IF(Table2[[#This Row],[Data ultimo versamento temp]]=0/1/1900,"-",Table2[[#This Row],[Data ultimo versamento temp]])</f>
        <v>-</v>
      </c>
      <c r="AC721" s="29">
        <f t="array" ref="AC721">MAX(IF(TableVersamenti[Polizza]=Table2[[#This Row],[Polizza]],TableVersamenti[Data prevista versamento],"-"))</f>
        <v>0</v>
      </c>
      <c r="AD721" s="62"/>
      <c r="AE721" s="106">
        <f>DATE(YEAR(Table2[[#This Row],[Data ultimo pagamento]]),MONTH(Table2[[#This Row],[Data ultimo pagamento]]), 1)</f>
        <v>42826</v>
      </c>
      <c r="AF721" s="106">
        <f>DATE(YEAR(Table2[[#This Row],[Data prossima scadenza]]),MONTH(Table2[[#This Row],[Data prossima scadenza]]), 1)</f>
        <v>43009</v>
      </c>
      <c r="AG721" s="33">
        <f>IFERROR(Table2[[#This Row],[Importo annuale]]*VLOOKUP(Table2[[#This Row],[Ramo]],RAMI_POLIZZA,2,FALSE),0)</f>
        <v>17.056000000000001</v>
      </c>
      <c r="AH721" s="65" t="s">
        <v>113</v>
      </c>
      <c r="AI721" s="63" t="str">
        <f>IFERROR(VLOOKUP(Table2[[#This Row],[Contraente]],Table1[[Nome/Ragione sociale]:[Checkbox selezionato]],2,FALSE),"-")</f>
        <v>FILIGHERA</v>
      </c>
      <c r="AJ721" s="63">
        <f>IFERROR(VLOOKUP(Table2[[#This Row],[Contraente]],Table1[[Nome/Ragione sociale]:[Checkbox selezionato]],3,FALSE),"-")</f>
        <v>3348637396</v>
      </c>
      <c r="AK721" s="63">
        <f>IFERROR(VLOOKUP(Table2[[#This Row],[Contraente]],Table1[[Nome/Ragione sociale]:[Checkbox selezionato]],4,FALSE),"-")</f>
        <v>0</v>
      </c>
      <c r="AL721" s="63" t="str">
        <f>IFERROR(VLOOKUP(Table2[[#This Row],[Contraente]],Table1[[Nome/Ragione sociale]:[Checkbox selezionato]],5,FALSE),"-")</f>
        <v>DAVIDE</v>
      </c>
      <c r="AM721" s="62">
        <f>IFERROR(VLOOKUP(Table2[[#This Row],[Contraente]],Table1[[Nome/Ragione sociale]:[Checkbox selezionato]],6,FALSE),"-")</f>
        <v>29971</v>
      </c>
      <c r="AN721" s="63" t="str">
        <f>IFERROR(VLOOKUP(Table2[[#This Row],[Contraente]],Table1[[Nome/Ragione sociale]:[Checkbox selezionato]],7,FALSE),"-")</f>
        <v>papies@libero.it</v>
      </c>
      <c r="AO721" s="63">
        <f>IFERROR(VLOOKUP(Table2[[#This Row],[Contraente]],Table1[[Nome/Ragione sociale]:[Checkbox selezionato]],8,FALSE),"-")</f>
        <v>0</v>
      </c>
      <c r="AP721" s="63">
        <f>IFERROR(VLOOKUP(Table2[[#This Row],[Contraente]],Table1[[Nome/Ragione sociale]:[Checkbox selezionato]],10,FALSE),"-")</f>
        <v>3348637396</v>
      </c>
      <c r="AQ721" s="63" t="str">
        <f>IFERROR(VLOOKUP(Table2[[#This Row],[Contraente]],Table1[[Nome/Ragione sociale]:[Checkbox selezionato]],11,FALSE),"-")</f>
        <v>SI</v>
      </c>
      <c r="AR721" s="63" t="str">
        <f>IFERROR(VLOOKUP(Table2[[#This Row],[Contraente]],Table1[[Nome/Ragione sociale]:[Checkbox selezionato]],12,FALSE),"-")</f>
        <v>SI</v>
      </c>
    </row>
    <row r="722" spans="1:44" ht="30" hidden="1" customHeight="1" x14ac:dyDescent="0.25">
      <c r="A722" s="60" t="str">
        <f>UPPER(LEFT(Table2[[#This Row],[Contraente]],1))</f>
        <v>M</v>
      </c>
      <c r="B722" s="60" t="s">
        <v>1634</v>
      </c>
      <c r="C722" s="80" t="s">
        <v>814</v>
      </c>
      <c r="D722" s="81" t="s">
        <v>37</v>
      </c>
      <c r="E722" s="86">
        <v>102976767</v>
      </c>
      <c r="F722" s="64">
        <v>42843</v>
      </c>
      <c r="G722" s="64">
        <f>IFERROR(CALCOLASCADENZA(Table2[[#This Row],[Data attivazione]],Table2[[#This Row],[Rateizzazione]],Table2[[#This Row],[Data ultimo pagamento]],Table2[[#This Row],[Data prossima scadenza manuale]]),"-")</f>
        <v>43030</v>
      </c>
      <c r="H722" s="67" t="s">
        <v>30</v>
      </c>
      <c r="I722" s="67" t="s">
        <v>113</v>
      </c>
      <c r="J722" s="33">
        <f>IFERROR(Table2[[#This Row],[Importo annuale]]/(12/VLOOKUP(Table2[[#This Row],[Rateizzazione]],TIPI_RATEIZZAZIONI,2,FALSE)),"-")</f>
        <v>30</v>
      </c>
      <c r="K722" s="88">
        <v>30</v>
      </c>
      <c r="L722" s="88">
        <v>60</v>
      </c>
      <c r="M722" s="67" t="s">
        <v>43</v>
      </c>
      <c r="N722" s="67" t="s">
        <v>51</v>
      </c>
      <c r="O722" s="27" t="s">
        <v>1631</v>
      </c>
      <c r="P722" s="33" t="s">
        <v>22</v>
      </c>
      <c r="Q722" s="60">
        <f>IFERROR(IF(12 / VLOOKUP(Table2[[#This Row],[Rateizzazione]],TIPI_RATEIZZAZIONI,2,FALSE) &gt;=1,  IF(Table2[[#This Row],[Data attivazione]] = "","-",MONTH(Table2[[#This Row],[Data attivazione]])),"-"),"-")</f>
        <v>10</v>
      </c>
      <c r="R7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7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2" s="67" t="s">
        <v>2</v>
      </c>
      <c r="V722" s="62"/>
      <c r="W722" s="64">
        <v>42665</v>
      </c>
      <c r="X722" s="29">
        <f>DATE(YEAR(Table2[[#This Row],[Data attivazione]])+VLOOKUP(Table2[[#This Row],[Durata]],VALORE_DURATA,2,FALSE),MONTH(Table2[[#This Row],[Data attivazione]]),DAY(Table2[[#This Row],[Data attivazione]]))</f>
        <v>43030</v>
      </c>
      <c r="Y722" s="65"/>
      <c r="Z722" s="61"/>
      <c r="AA722" s="64" t="s">
        <v>85</v>
      </c>
      <c r="AB722" s="29" t="str">
        <f>IF(Table2[[#This Row],[Data ultimo versamento temp]]=0/1/1900,"-",Table2[[#This Row],[Data ultimo versamento temp]])</f>
        <v>-</v>
      </c>
      <c r="AC722" s="29">
        <f t="array" ref="AC722">MAX(IF(TableVersamenti[Polizza]=Table2[[#This Row],[Polizza]],TableVersamenti[Data prevista versamento],"-"))</f>
        <v>0</v>
      </c>
      <c r="AD722" s="62"/>
      <c r="AE722" s="106">
        <f>DATE(YEAR(Table2[[#This Row],[Data ultimo pagamento]]),MONTH(Table2[[#This Row],[Data ultimo pagamento]]), 1)</f>
        <v>42826</v>
      </c>
      <c r="AF722" s="106">
        <f>DATE(YEAR(Table2[[#This Row],[Data prossima scadenza]]),MONTH(Table2[[#This Row],[Data prossima scadenza]]), 1)</f>
        <v>43009</v>
      </c>
      <c r="AG722" s="33">
        <f>IFERROR(Table2[[#This Row],[Importo annuale]]*VLOOKUP(Table2[[#This Row],[Ramo]],RAMI_POLIZZA,2,FALSE),0)</f>
        <v>6.9</v>
      </c>
      <c r="AH722" s="65" t="s">
        <v>113</v>
      </c>
      <c r="AI722" s="63" t="str">
        <f>IFERROR(VLOOKUP(Table2[[#This Row],[Contraente]],Table1[[Nome/Ragione sociale]:[Checkbox selezionato]],2,FALSE),"-")</f>
        <v>FILIGHERA</v>
      </c>
      <c r="AJ722" s="63">
        <f>IFERROR(VLOOKUP(Table2[[#This Row],[Contraente]],Table1[[Nome/Ragione sociale]:[Checkbox selezionato]],3,FALSE),"-")</f>
        <v>3348637396</v>
      </c>
      <c r="AK722" s="63">
        <f>IFERROR(VLOOKUP(Table2[[#This Row],[Contraente]],Table1[[Nome/Ragione sociale]:[Checkbox selezionato]],4,FALSE),"-")</f>
        <v>0</v>
      </c>
      <c r="AL722" s="63" t="str">
        <f>IFERROR(VLOOKUP(Table2[[#This Row],[Contraente]],Table1[[Nome/Ragione sociale]:[Checkbox selezionato]],5,FALSE),"-")</f>
        <v>DAVIDE</v>
      </c>
      <c r="AM722" s="62">
        <f>IFERROR(VLOOKUP(Table2[[#This Row],[Contraente]],Table1[[Nome/Ragione sociale]:[Checkbox selezionato]],6,FALSE),"-")</f>
        <v>29971</v>
      </c>
      <c r="AN722" s="63" t="str">
        <f>IFERROR(VLOOKUP(Table2[[#This Row],[Contraente]],Table1[[Nome/Ragione sociale]:[Checkbox selezionato]],7,FALSE),"-")</f>
        <v>papies@libero.it</v>
      </c>
      <c r="AO722" s="63">
        <f>IFERROR(VLOOKUP(Table2[[#This Row],[Contraente]],Table1[[Nome/Ragione sociale]:[Checkbox selezionato]],8,FALSE),"-")</f>
        <v>0</v>
      </c>
      <c r="AP722" s="63">
        <f>IFERROR(VLOOKUP(Table2[[#This Row],[Contraente]],Table1[[Nome/Ragione sociale]:[Checkbox selezionato]],10,FALSE),"-")</f>
        <v>3348637396</v>
      </c>
      <c r="AQ722" s="63" t="str">
        <f>IFERROR(VLOOKUP(Table2[[#This Row],[Contraente]],Table1[[Nome/Ragione sociale]:[Checkbox selezionato]],11,FALSE),"-")</f>
        <v>SI</v>
      </c>
      <c r="AR722" s="63" t="str">
        <f>IFERROR(VLOOKUP(Table2[[#This Row],[Contraente]],Table1[[Nome/Ragione sociale]:[Checkbox selezionato]],12,FALSE),"-")</f>
        <v>SI</v>
      </c>
    </row>
    <row r="723" spans="1:44" ht="30" hidden="1" customHeight="1" x14ac:dyDescent="0.25">
      <c r="A723" s="60" t="str">
        <f>UPPER(LEFT(Table2[[#This Row],[Contraente]],1))</f>
        <v>M</v>
      </c>
      <c r="B723" s="60" t="s">
        <v>1634</v>
      </c>
      <c r="C723" s="81" t="s">
        <v>144</v>
      </c>
      <c r="D723" s="81" t="s">
        <v>37</v>
      </c>
      <c r="E723" s="86">
        <v>100440395</v>
      </c>
      <c r="F723" s="64">
        <v>42521</v>
      </c>
      <c r="G723" s="64">
        <f>IFERROR(CALCOLASCADENZA(Table2[[#This Row],[Data attivazione]],Table2[[#This Row],[Rateizzazione]],Table2[[#This Row],[Data ultimo pagamento]],Table2[[#This Row],[Data prossima scadenza manuale]]),"-")</f>
        <v>42869</v>
      </c>
      <c r="H723" s="67" t="s">
        <v>30</v>
      </c>
      <c r="I723" s="67" t="s">
        <v>113</v>
      </c>
      <c r="J723" s="33">
        <f>IFERROR(Table2[[#This Row],[Importo annuale]]/(12/VLOOKUP(Table2[[#This Row],[Rateizzazione]],TIPI_RATEIZZAZIONI,2,FALSE)),"-")</f>
        <v>450</v>
      </c>
      <c r="K723" s="88"/>
      <c r="L723" s="88">
        <v>450</v>
      </c>
      <c r="M723" s="67" t="s">
        <v>43</v>
      </c>
      <c r="N723" s="67" t="s">
        <v>51</v>
      </c>
      <c r="O723" s="27" t="s">
        <v>1631</v>
      </c>
      <c r="P723" s="33" t="s">
        <v>23</v>
      </c>
      <c r="Q723" s="60">
        <f>IFERROR(IF(12 / VLOOKUP(Table2[[#This Row],[Rateizzazione]],TIPI_RATEIZZAZIONI,2,FALSE) &gt;=1,  IF(Table2[[#This Row],[Data attivazione]] = "","-",MONTH(Table2[[#This Row],[Data attivazione]])),"-"),"-")</f>
        <v>5</v>
      </c>
      <c r="R7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3" s="67" t="s">
        <v>2</v>
      </c>
      <c r="V723" s="62"/>
      <c r="W723" s="64">
        <v>42504</v>
      </c>
      <c r="X723" s="29">
        <f>DATE(YEAR(Table2[[#This Row],[Data attivazione]])+VLOOKUP(Table2[[#This Row],[Durata]],VALORE_DURATA,2,FALSE),MONTH(Table2[[#This Row],[Data attivazione]]),DAY(Table2[[#This Row],[Data attivazione]]))</f>
        <v>42869</v>
      </c>
      <c r="Y723" s="65"/>
      <c r="Z723" s="61"/>
      <c r="AA723" s="64" t="s">
        <v>88</v>
      </c>
      <c r="AB723" s="29" t="str">
        <f>IF(Table2[[#This Row],[Data ultimo versamento temp]]=0/1/1900,"-",Table2[[#This Row],[Data ultimo versamento temp]])</f>
        <v>-</v>
      </c>
      <c r="AC723" s="29">
        <f t="array" ref="AC723">MAX(IF(TableVersamenti[Polizza]=Table2[[#This Row],[Polizza]],TableVersamenti[Data prevista versamento],"-"))</f>
        <v>0</v>
      </c>
      <c r="AD723" s="62"/>
      <c r="AE723" s="106">
        <f>DATE(YEAR(Table2[[#This Row],[Data ultimo pagamento]]),MONTH(Table2[[#This Row],[Data ultimo pagamento]]), 1)</f>
        <v>42491</v>
      </c>
      <c r="AF723" s="106">
        <f>DATE(YEAR(Table2[[#This Row],[Data prossima scadenza]]),MONTH(Table2[[#This Row],[Data prossima scadenza]]), 1)</f>
        <v>42856</v>
      </c>
      <c r="AG723" s="33">
        <f>IFERROR(Table2[[#This Row],[Importo annuale]]*VLOOKUP(Table2[[#This Row],[Ramo]],RAMI_POLIZZA,2,FALSE),0)</f>
        <v>51.75</v>
      </c>
      <c r="AH723" s="65" t="s">
        <v>113</v>
      </c>
      <c r="AI723" s="63" t="str">
        <f>IFERROR(VLOOKUP(Table2[[#This Row],[Contraente]],Table1[[Nome/Ragione sociale]:[Checkbox selezionato]],2,FALSE),"-")</f>
        <v>FILIGHERA</v>
      </c>
      <c r="AJ723" s="63">
        <f>IFERROR(VLOOKUP(Table2[[#This Row],[Contraente]],Table1[[Nome/Ragione sociale]:[Checkbox selezionato]],3,FALSE),"-")</f>
        <v>3355730106</v>
      </c>
      <c r="AK723" s="63">
        <f>IFERROR(VLOOKUP(Table2[[#This Row],[Contraente]],Table1[[Nome/Ragione sociale]:[Checkbox selezionato]],4,FALSE),"-")</f>
        <v>0</v>
      </c>
      <c r="AL723" s="63" t="str">
        <f>IFERROR(VLOOKUP(Table2[[#This Row],[Contraente]],Table1[[Nome/Ragione sociale]:[Checkbox selezionato]],5,FALSE),"-")</f>
        <v>SALVATORE</v>
      </c>
      <c r="AM723" s="62">
        <f>IFERROR(VLOOKUP(Table2[[#This Row],[Contraente]],Table1[[Nome/Ragione sociale]:[Checkbox selezionato]],6,FALSE),"-")</f>
        <v>0</v>
      </c>
      <c r="AN723" s="63" t="str">
        <f>IFERROR(VLOOKUP(Table2[[#This Row],[Contraente]],Table1[[Nome/Ragione sociale]:[Checkbox selezionato]],7,FALSE),"-")</f>
        <v>papies@libero.it</v>
      </c>
      <c r="AO723" s="63">
        <f>IFERROR(VLOOKUP(Table2[[#This Row],[Contraente]],Table1[[Nome/Ragione sociale]:[Checkbox selezionato]],8,FALSE),"-")</f>
        <v>0</v>
      </c>
      <c r="AP723" s="63">
        <f>IFERROR(VLOOKUP(Table2[[#This Row],[Contraente]],Table1[[Nome/Ragione sociale]:[Checkbox selezionato]],10,FALSE),"-")</f>
        <v>3355730106</v>
      </c>
      <c r="AQ723" s="63" t="str">
        <f>IFERROR(VLOOKUP(Table2[[#This Row],[Contraente]],Table1[[Nome/Ragione sociale]:[Checkbox selezionato]],11,FALSE),"-")</f>
        <v>SI</v>
      </c>
      <c r="AR723" s="63" t="str">
        <f>IFERROR(VLOOKUP(Table2[[#This Row],[Contraente]],Table1[[Nome/Ragione sociale]:[Checkbox selezionato]],12,FALSE),"-")</f>
        <v>SI</v>
      </c>
    </row>
    <row r="724" spans="1:44" ht="30" hidden="1" customHeight="1" x14ac:dyDescent="0.25">
      <c r="A724" s="60" t="str">
        <f>UPPER(LEFT(Table2[[#This Row],[Contraente]],1))</f>
        <v>M</v>
      </c>
      <c r="B724" s="60" t="s">
        <v>1634</v>
      </c>
      <c r="C724" s="81" t="s">
        <v>144</v>
      </c>
      <c r="D724" s="81" t="s">
        <v>37</v>
      </c>
      <c r="E724" s="86">
        <v>107111134</v>
      </c>
      <c r="F724" s="64">
        <v>42930</v>
      </c>
      <c r="G724" s="64">
        <v>43054</v>
      </c>
      <c r="H724" s="67" t="s">
        <v>31</v>
      </c>
      <c r="I724" s="67" t="s">
        <v>1417</v>
      </c>
      <c r="J724" s="33">
        <v>100</v>
      </c>
      <c r="K724" s="88">
        <v>100</v>
      </c>
      <c r="L724" s="88">
        <v>300</v>
      </c>
      <c r="M724" s="67" t="s">
        <v>43</v>
      </c>
      <c r="N724" s="67" t="s">
        <v>51</v>
      </c>
      <c r="O724" s="27" t="s">
        <v>1631</v>
      </c>
      <c r="P724" s="33" t="s">
        <v>24</v>
      </c>
      <c r="Q724" s="60">
        <v>11</v>
      </c>
      <c r="R724" s="60">
        <v>3</v>
      </c>
      <c r="S724" s="60">
        <v>7</v>
      </c>
      <c r="T7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4" s="67" t="s">
        <v>2</v>
      </c>
      <c r="V724" s="62"/>
      <c r="W724" s="64">
        <v>42931</v>
      </c>
      <c r="X724" s="29">
        <f>DATE(YEAR(Table2[[#This Row],[Data attivazione]])+VLOOKUP(Table2[[#This Row],[Durata]],VALORE_DURATA,2,FALSE),MONTH(Table2[[#This Row],[Data attivazione]]),DAY(Table2[[#This Row],[Data attivazione]]))</f>
        <v>43296</v>
      </c>
      <c r="Y724" s="65"/>
      <c r="Z724" s="61"/>
      <c r="AA724" s="64" t="s">
        <v>85</v>
      </c>
      <c r="AB724" s="29">
        <f>IF(Table2[[#This Row],[Data ultimo versamento temp]]=0/1/1900,"-",Table2[[#This Row],[Data ultimo versamento temp]])</f>
        <v>42933</v>
      </c>
      <c r="AC724" s="29">
        <f t="array" ref="AC724">MAX(IF(TableVersamenti[Polizza]=Table2[[#This Row],[Polizza]],TableVersamenti[Data prevista versamento],"-"))</f>
        <v>42933</v>
      </c>
      <c r="AD724" s="62"/>
      <c r="AE724" s="106">
        <f>DATE(YEAR(Table2[[#This Row],[Data ultimo pagamento]]),MONTH(Table2[[#This Row],[Data ultimo pagamento]]), 1)</f>
        <v>42917</v>
      </c>
      <c r="AF724" s="106">
        <f>DATE(YEAR(Table2[[#This Row],[Data prossima scadenza]]),MONTH(Table2[[#This Row],[Data prossima scadenza]]), 1)</f>
        <v>43040</v>
      </c>
      <c r="AG724" s="33">
        <f>IFERROR(Table2[[#This Row],[Importo annuale]]*VLOOKUP(Table2[[#This Row],[Ramo]],RAMI_POLIZZA,2,FALSE),0)</f>
        <v>15.6</v>
      </c>
      <c r="AH724" s="65" t="s">
        <v>113</v>
      </c>
      <c r="AI724" s="63" t="str">
        <f>IFERROR(VLOOKUP(Table2[[#This Row],[Contraente]],Table1[[Nome/Ragione sociale]:[Checkbox selezionato]],2,FALSE),"-")</f>
        <v>FILIGHERA</v>
      </c>
      <c r="AJ724" s="63">
        <f>IFERROR(VLOOKUP(Table2[[#This Row],[Contraente]],Table1[[Nome/Ragione sociale]:[Checkbox selezionato]],3,FALSE),"-")</f>
        <v>3355730106</v>
      </c>
      <c r="AK724" s="63">
        <f>IFERROR(VLOOKUP(Table2[[#This Row],[Contraente]],Table1[[Nome/Ragione sociale]:[Checkbox selezionato]],4,FALSE),"-")</f>
        <v>0</v>
      </c>
      <c r="AL724" s="63" t="str">
        <f>IFERROR(VLOOKUP(Table2[[#This Row],[Contraente]],Table1[[Nome/Ragione sociale]:[Checkbox selezionato]],5,FALSE),"-")</f>
        <v>SALVATORE</v>
      </c>
      <c r="AM724" s="62">
        <f>IFERROR(VLOOKUP(Table2[[#This Row],[Contraente]],Table1[[Nome/Ragione sociale]:[Checkbox selezionato]],6,FALSE),"-")</f>
        <v>0</v>
      </c>
      <c r="AN724" s="63" t="str">
        <f>IFERROR(VLOOKUP(Table2[[#This Row],[Contraente]],Table1[[Nome/Ragione sociale]:[Checkbox selezionato]],7,FALSE),"-")</f>
        <v>papies@libero.it</v>
      </c>
      <c r="AO724" s="63">
        <f>IFERROR(VLOOKUP(Table2[[#This Row],[Contraente]],Table1[[Nome/Ragione sociale]:[Checkbox selezionato]],8,FALSE),"-")</f>
        <v>0</v>
      </c>
      <c r="AP724" s="63">
        <f>IFERROR(VLOOKUP(Table2[[#This Row],[Contraente]],Table1[[Nome/Ragione sociale]:[Checkbox selezionato]],10,FALSE),"-")</f>
        <v>3355730106</v>
      </c>
      <c r="AQ724" s="63" t="str">
        <f>IFERROR(VLOOKUP(Table2[[#This Row],[Contraente]],Table1[[Nome/Ragione sociale]:[Checkbox selezionato]],11,FALSE),"-")</f>
        <v>SI</v>
      </c>
      <c r="AR724" s="63" t="str">
        <f>IFERROR(VLOOKUP(Table2[[#This Row],[Contraente]],Table1[[Nome/Ragione sociale]:[Checkbox selezionato]],12,FALSE),"-")</f>
        <v>SI</v>
      </c>
    </row>
    <row r="725" spans="1:44" ht="30" hidden="1" customHeight="1" x14ac:dyDescent="0.25">
      <c r="A725" s="60" t="str">
        <f>UPPER(LEFT(Table2[[#This Row],[Contraente]],1))</f>
        <v>M</v>
      </c>
      <c r="B725" s="60" t="s">
        <v>1634</v>
      </c>
      <c r="C725" s="81" t="s">
        <v>144</v>
      </c>
      <c r="D725" s="81" t="s">
        <v>37</v>
      </c>
      <c r="E725" s="86">
        <v>106888560</v>
      </c>
      <c r="F725" s="64">
        <v>42874</v>
      </c>
      <c r="G725" s="64">
        <f>IFERROR(CALCOLASCADENZA(Table2[[#This Row],[Data attivazione]],Table2[[#This Row],[Rateizzazione]],Table2[[#This Row],[Data ultimo pagamento]],Table2[[#This Row],[Data prossima scadenza manuale]]),"-")</f>
        <v>43050</v>
      </c>
      <c r="H725" s="67" t="s">
        <v>31</v>
      </c>
      <c r="I725" s="67" t="s">
        <v>1416</v>
      </c>
      <c r="J725" s="33">
        <f>IFERROR(Table2[[#This Row],[Importo annuale]]/(12/VLOOKUP(Table2[[#This Row],[Rateizzazione]],TIPI_RATEIZZAZIONI,2,FALSE)),"-")</f>
        <v>300</v>
      </c>
      <c r="K725" s="88">
        <v>300</v>
      </c>
      <c r="L725" s="88">
        <v>600</v>
      </c>
      <c r="M725" s="67" t="s">
        <v>43</v>
      </c>
      <c r="N725" s="67" t="s">
        <v>51</v>
      </c>
      <c r="O725" s="27" t="s">
        <v>1631</v>
      </c>
      <c r="P725" s="33" t="s">
        <v>22</v>
      </c>
      <c r="Q725" s="60">
        <f>IFERROR(IF(12 / VLOOKUP(Table2[[#This Row],[Rateizzazione]],TIPI_RATEIZZAZIONI,2,FALSE) &gt;=1,  IF(Table2[[#This Row],[Data attivazione]] = "","-",MONTH(Table2[[#This Row],[Data attivazione]])),"-"),"-")</f>
        <v>11</v>
      </c>
      <c r="R7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5" s="67" t="s">
        <v>2</v>
      </c>
      <c r="V725" s="62"/>
      <c r="W725" s="64">
        <v>42685</v>
      </c>
      <c r="X725" s="29">
        <f>DATE(YEAR(Table2[[#This Row],[Data attivazione]])+VLOOKUP(Table2[[#This Row],[Durata]],VALORE_DURATA,2,FALSE),MONTH(Table2[[#This Row],[Data attivazione]]),DAY(Table2[[#This Row],[Data attivazione]]))</f>
        <v>43050</v>
      </c>
      <c r="Y725" s="65"/>
      <c r="Z725" s="61"/>
      <c r="AA725" s="64" t="s">
        <v>85</v>
      </c>
      <c r="AB725" s="29" t="str">
        <f>IF(Table2[[#This Row],[Data ultimo versamento temp]]=0/1/1900,"-",Table2[[#This Row],[Data ultimo versamento temp]])</f>
        <v>-</v>
      </c>
      <c r="AC725" s="29">
        <f t="array" ref="AC725">MAX(IF(TableVersamenti[Polizza]=Table2[[#This Row],[Polizza]],TableVersamenti[Data prevista versamento],"-"))</f>
        <v>0</v>
      </c>
      <c r="AD725" s="62"/>
      <c r="AE725" s="106">
        <f>DATE(YEAR(Table2[[#This Row],[Data ultimo pagamento]]),MONTH(Table2[[#This Row],[Data ultimo pagamento]]), 1)</f>
        <v>42856</v>
      </c>
      <c r="AF725" s="106">
        <f>DATE(YEAR(Table2[[#This Row],[Data prossima scadenza]]),MONTH(Table2[[#This Row],[Data prossima scadenza]]), 1)</f>
        <v>43040</v>
      </c>
      <c r="AG725" s="33">
        <f>IFERROR(Table2[[#This Row],[Importo annuale]]*VLOOKUP(Table2[[#This Row],[Ramo]],RAMI_POLIZZA,2,FALSE),0)</f>
        <v>31.2</v>
      </c>
      <c r="AH725" s="65" t="s">
        <v>113</v>
      </c>
      <c r="AI725" s="63" t="str">
        <f>IFERROR(VLOOKUP(Table2[[#This Row],[Contraente]],Table1[[Nome/Ragione sociale]:[Checkbox selezionato]],2,FALSE),"-")</f>
        <v>FILIGHERA</v>
      </c>
      <c r="AJ725" s="63">
        <f>IFERROR(VLOOKUP(Table2[[#This Row],[Contraente]],Table1[[Nome/Ragione sociale]:[Checkbox selezionato]],3,FALSE),"-")</f>
        <v>3355730106</v>
      </c>
      <c r="AK725" s="63">
        <f>IFERROR(VLOOKUP(Table2[[#This Row],[Contraente]],Table1[[Nome/Ragione sociale]:[Checkbox selezionato]],4,FALSE),"-")</f>
        <v>0</v>
      </c>
      <c r="AL725" s="63" t="str">
        <f>IFERROR(VLOOKUP(Table2[[#This Row],[Contraente]],Table1[[Nome/Ragione sociale]:[Checkbox selezionato]],5,FALSE),"-")</f>
        <v>SALVATORE</v>
      </c>
      <c r="AM725" s="62">
        <f>IFERROR(VLOOKUP(Table2[[#This Row],[Contraente]],Table1[[Nome/Ragione sociale]:[Checkbox selezionato]],6,FALSE),"-")</f>
        <v>0</v>
      </c>
      <c r="AN725" s="63" t="str">
        <f>IFERROR(VLOOKUP(Table2[[#This Row],[Contraente]],Table1[[Nome/Ragione sociale]:[Checkbox selezionato]],7,FALSE),"-")</f>
        <v>papies@libero.it</v>
      </c>
      <c r="AO725" s="63">
        <f>IFERROR(VLOOKUP(Table2[[#This Row],[Contraente]],Table1[[Nome/Ragione sociale]:[Checkbox selezionato]],8,FALSE),"-")</f>
        <v>0</v>
      </c>
      <c r="AP725" s="63">
        <f>IFERROR(VLOOKUP(Table2[[#This Row],[Contraente]],Table1[[Nome/Ragione sociale]:[Checkbox selezionato]],10,FALSE),"-")</f>
        <v>3355730106</v>
      </c>
      <c r="AQ725" s="63" t="str">
        <f>IFERROR(VLOOKUP(Table2[[#This Row],[Contraente]],Table1[[Nome/Ragione sociale]:[Checkbox selezionato]],11,FALSE),"-")</f>
        <v>SI</v>
      </c>
      <c r="AR725" s="63" t="str">
        <f>IFERROR(VLOOKUP(Table2[[#This Row],[Contraente]],Table1[[Nome/Ragione sociale]:[Checkbox selezionato]],12,FALSE),"-")</f>
        <v>SI</v>
      </c>
    </row>
    <row r="726" spans="1:44" ht="30" hidden="1" customHeight="1" x14ac:dyDescent="0.25">
      <c r="A726" s="60" t="str">
        <f>UPPER(LEFT(Table2[[#This Row],[Contraente]],1))</f>
        <v>M</v>
      </c>
      <c r="B726" s="60" t="s">
        <v>1634</v>
      </c>
      <c r="C726" s="81" t="s">
        <v>816</v>
      </c>
      <c r="D726" s="81" t="s">
        <v>37</v>
      </c>
      <c r="E726" s="86">
        <v>105406673</v>
      </c>
      <c r="F726" s="64">
        <v>42814</v>
      </c>
      <c r="G726" s="64">
        <f>IFERROR(CALCOLASCADENZA(Table2[[#This Row],[Data attivazione]],Table2[[#This Row],[Rateizzazione]],Table2[[#This Row],[Data ultimo pagamento]],Table2[[#This Row],[Data prossima scadenza manuale]]),"-")</f>
        <v>43179</v>
      </c>
      <c r="H726" s="67" t="s">
        <v>31</v>
      </c>
      <c r="I726" s="67" t="s">
        <v>1418</v>
      </c>
      <c r="J726" s="33">
        <f>IFERROR(Table2[[#This Row],[Importo annuale]]/(12/VLOOKUP(Table2[[#This Row],[Rateizzazione]],TIPI_RATEIZZAZIONI,2,FALSE)),"-")</f>
        <v>314</v>
      </c>
      <c r="K726" s="88">
        <v>314</v>
      </c>
      <c r="L726" s="88">
        <v>628</v>
      </c>
      <c r="M726" s="67" t="s">
        <v>43</v>
      </c>
      <c r="N726" s="67" t="s">
        <v>51</v>
      </c>
      <c r="O726" s="27" t="s">
        <v>1631</v>
      </c>
      <c r="P726" s="33" t="s">
        <v>22</v>
      </c>
      <c r="Q726" s="60">
        <f>IFERROR(IF(12 / VLOOKUP(Table2[[#This Row],[Rateizzazione]],TIPI_RATEIZZAZIONI,2,FALSE) &gt;=1,  IF(Table2[[#This Row],[Data attivazione]] = "","-",MONTH(Table2[[#This Row],[Data attivazione]])),"-"),"-")</f>
        <v>9</v>
      </c>
      <c r="R7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6" s="67" t="s">
        <v>2</v>
      </c>
      <c r="V726" s="62"/>
      <c r="W726" s="64">
        <v>42998</v>
      </c>
      <c r="X726" s="29">
        <f>DATE(YEAR(Table2[[#This Row],[Data attivazione]])+VLOOKUP(Table2[[#This Row],[Durata]],VALORE_DURATA,2,FALSE),MONTH(Table2[[#This Row],[Data attivazione]]),DAY(Table2[[#This Row],[Data attivazione]]))</f>
        <v>43363</v>
      </c>
      <c r="Y726" s="65"/>
      <c r="Z726" s="61"/>
      <c r="AA726" s="64" t="s">
        <v>85</v>
      </c>
      <c r="AB726" s="29" t="str">
        <f>IF(Table2[[#This Row],[Data ultimo versamento temp]]=0/1/1900,"-",Table2[[#This Row],[Data ultimo versamento temp]])</f>
        <v>-</v>
      </c>
      <c r="AC726" s="29">
        <f t="array" ref="AC726">MAX(IF(TableVersamenti[Polizza]=Table2[[#This Row],[Polizza]],TableVersamenti[Data prevista versamento],"-"))</f>
        <v>0</v>
      </c>
      <c r="AD726" s="62"/>
      <c r="AE726" s="106">
        <f>DATE(YEAR(Table2[[#This Row],[Data ultimo pagamento]]),MONTH(Table2[[#This Row],[Data ultimo pagamento]]), 1)</f>
        <v>42795</v>
      </c>
      <c r="AF726" s="106">
        <f>DATE(YEAR(Table2[[#This Row],[Data prossima scadenza]]),MONTH(Table2[[#This Row],[Data prossima scadenza]]), 1)</f>
        <v>43160</v>
      </c>
      <c r="AG726" s="33">
        <f>IFERROR(Table2[[#This Row],[Importo annuale]]*VLOOKUP(Table2[[#This Row],[Ramo]],RAMI_POLIZZA,2,FALSE),0)</f>
        <v>32.655999999999999</v>
      </c>
      <c r="AH726" s="65" t="s">
        <v>113</v>
      </c>
      <c r="AI726" s="63" t="str">
        <f>IFERROR(VLOOKUP(Table2[[#This Row],[Contraente]],Table1[[Nome/Ragione sociale]:[Checkbox selezionato]],2,FALSE),"-")</f>
        <v>BELGIOIOSO</v>
      </c>
      <c r="AJ726" s="63">
        <f>IFERROR(VLOOKUP(Table2[[#This Row],[Contraente]],Table1[[Nome/Ragione sociale]:[Checkbox selezionato]],3,FALSE),"-")</f>
        <v>3343192879</v>
      </c>
      <c r="AK726" s="63" t="str">
        <f>IFERROR(VLOOKUP(Table2[[#This Row],[Contraente]],Table1[[Nome/Ragione sociale]:[Checkbox selezionato]],4,FALSE),"-")</f>
        <v>.0382971108</v>
      </c>
      <c r="AL726" s="63" t="str">
        <f>IFERROR(VLOOKUP(Table2[[#This Row],[Contraente]],Table1[[Nome/Ragione sociale]:[Checkbox selezionato]],5,FALSE),"-")</f>
        <v>CLAUDIO</v>
      </c>
      <c r="AM726" s="62">
        <f>IFERROR(VLOOKUP(Table2[[#This Row],[Contraente]],Table1[[Nome/Ragione sociale]:[Checkbox selezionato]],6,FALSE),"-")</f>
        <v>23888</v>
      </c>
      <c r="AN726" s="63" t="str">
        <f>IFERROR(VLOOKUP(Table2[[#This Row],[Contraente]],Table1[[Nome/Ragione sociale]:[Checkbox selezionato]],7,FALSE),"-")</f>
        <v>papies@email.it</v>
      </c>
      <c r="AO726" s="63">
        <f>IFERROR(VLOOKUP(Table2[[#This Row],[Contraente]],Table1[[Nome/Ragione sociale]:[Checkbox selezionato]],8,FALSE),"-")</f>
        <v>0</v>
      </c>
      <c r="AP726" s="63">
        <f>IFERROR(VLOOKUP(Table2[[#This Row],[Contraente]],Table1[[Nome/Ragione sociale]:[Checkbox selezionato]],10,FALSE),"-")</f>
        <v>3343192879</v>
      </c>
      <c r="AQ726" s="63" t="str">
        <f>IFERROR(VLOOKUP(Table2[[#This Row],[Contraente]],Table1[[Nome/Ragione sociale]:[Checkbox selezionato]],11,FALSE),"-")</f>
        <v>SI</v>
      </c>
      <c r="AR726" s="63" t="str">
        <f>IFERROR(VLOOKUP(Table2[[#This Row],[Contraente]],Table1[[Nome/Ragione sociale]:[Checkbox selezionato]],12,FALSE),"-")</f>
        <v>SI</v>
      </c>
    </row>
    <row r="727" spans="1:44" ht="30" hidden="1" customHeight="1" x14ac:dyDescent="0.25">
      <c r="A727" s="60" t="str">
        <f>UPPER(LEFT(Table2[[#This Row],[Contraente]],1))</f>
        <v>M</v>
      </c>
      <c r="B727" s="60" t="s">
        <v>1634</v>
      </c>
      <c r="C727" s="81" t="s">
        <v>816</v>
      </c>
      <c r="D727" s="81" t="s">
        <v>37</v>
      </c>
      <c r="E727" s="86">
        <v>102843164</v>
      </c>
      <c r="F727" s="64">
        <v>42814</v>
      </c>
      <c r="G727" s="64">
        <f>IFERROR(CALCOLASCADENZA(Table2[[#This Row],[Data attivazione]],Table2[[#This Row],[Rateizzazione]],Table2[[#This Row],[Data ultimo pagamento]],Table2[[#This Row],[Data prossima scadenza manuale]]),"-")</f>
        <v>43179</v>
      </c>
      <c r="H727" s="67" t="s">
        <v>30</v>
      </c>
      <c r="I727" s="67" t="s">
        <v>113</v>
      </c>
      <c r="J727" s="33">
        <f>IFERROR(Table2[[#This Row],[Importo annuale]]/(12/VLOOKUP(Table2[[#This Row],[Rateizzazione]],TIPI_RATEIZZAZIONI,2,FALSE)),"-")</f>
        <v>34</v>
      </c>
      <c r="K727" s="88">
        <v>34</v>
      </c>
      <c r="L727" s="88">
        <v>68</v>
      </c>
      <c r="M727" s="67" t="s">
        <v>43</v>
      </c>
      <c r="N727" s="67" t="s">
        <v>51</v>
      </c>
      <c r="O727" s="27" t="s">
        <v>1631</v>
      </c>
      <c r="P727" s="33" t="s">
        <v>22</v>
      </c>
      <c r="Q727" s="60">
        <f>IFERROR(IF(12 / VLOOKUP(Table2[[#This Row],[Rateizzazione]],TIPI_RATEIZZAZIONI,2,FALSE) &gt;=1,  IF(Table2[[#This Row],[Data attivazione]] = "","-",MONTH(Table2[[#This Row],[Data attivazione]])),"-"),"-")</f>
        <v>9</v>
      </c>
      <c r="R7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7" s="67" t="s">
        <v>2</v>
      </c>
      <c r="V727" s="62"/>
      <c r="W727" s="64">
        <v>42998</v>
      </c>
      <c r="X727" s="29">
        <f>DATE(YEAR(Table2[[#This Row],[Data attivazione]])+VLOOKUP(Table2[[#This Row],[Durata]],VALORE_DURATA,2,FALSE),MONTH(Table2[[#This Row],[Data attivazione]]),DAY(Table2[[#This Row],[Data attivazione]]))</f>
        <v>43363</v>
      </c>
      <c r="Y727" s="65"/>
      <c r="Z727" s="61"/>
      <c r="AA727" s="64" t="s">
        <v>85</v>
      </c>
      <c r="AB727" s="29" t="str">
        <f>IF(Table2[[#This Row],[Data ultimo versamento temp]]=0/1/1900,"-",Table2[[#This Row],[Data ultimo versamento temp]])</f>
        <v>-</v>
      </c>
      <c r="AC727" s="29">
        <f t="array" ref="AC727">MAX(IF(TableVersamenti[Polizza]=Table2[[#This Row],[Polizza]],TableVersamenti[Data prevista versamento],"-"))</f>
        <v>0</v>
      </c>
      <c r="AD727" s="62"/>
      <c r="AE727" s="106">
        <f>DATE(YEAR(Table2[[#This Row],[Data ultimo pagamento]]),MONTH(Table2[[#This Row],[Data ultimo pagamento]]), 1)</f>
        <v>42795</v>
      </c>
      <c r="AF727" s="106">
        <f>DATE(YEAR(Table2[[#This Row],[Data prossima scadenza]]),MONTH(Table2[[#This Row],[Data prossima scadenza]]), 1)</f>
        <v>43160</v>
      </c>
      <c r="AG727" s="33">
        <f>IFERROR(Table2[[#This Row],[Importo annuale]]*VLOOKUP(Table2[[#This Row],[Ramo]],RAMI_POLIZZA,2,FALSE),0)</f>
        <v>7.82</v>
      </c>
      <c r="AH727" s="65" t="s">
        <v>113</v>
      </c>
      <c r="AI727" s="63" t="str">
        <f>IFERROR(VLOOKUP(Table2[[#This Row],[Contraente]],Table1[[Nome/Ragione sociale]:[Checkbox selezionato]],2,FALSE),"-")</f>
        <v>BELGIOIOSO</v>
      </c>
      <c r="AJ727" s="63">
        <f>IFERROR(VLOOKUP(Table2[[#This Row],[Contraente]],Table1[[Nome/Ragione sociale]:[Checkbox selezionato]],3,FALSE),"-")</f>
        <v>3343192879</v>
      </c>
      <c r="AK727" s="63" t="str">
        <f>IFERROR(VLOOKUP(Table2[[#This Row],[Contraente]],Table1[[Nome/Ragione sociale]:[Checkbox selezionato]],4,FALSE),"-")</f>
        <v>.0382971108</v>
      </c>
      <c r="AL727" s="63" t="str">
        <f>IFERROR(VLOOKUP(Table2[[#This Row],[Contraente]],Table1[[Nome/Ragione sociale]:[Checkbox selezionato]],5,FALSE),"-")</f>
        <v>CLAUDIO</v>
      </c>
      <c r="AM727" s="62">
        <f>IFERROR(VLOOKUP(Table2[[#This Row],[Contraente]],Table1[[Nome/Ragione sociale]:[Checkbox selezionato]],6,FALSE),"-")</f>
        <v>23888</v>
      </c>
      <c r="AN727" s="63" t="str">
        <f>IFERROR(VLOOKUP(Table2[[#This Row],[Contraente]],Table1[[Nome/Ragione sociale]:[Checkbox selezionato]],7,FALSE),"-")</f>
        <v>papies@email.it</v>
      </c>
      <c r="AO727" s="63">
        <f>IFERROR(VLOOKUP(Table2[[#This Row],[Contraente]],Table1[[Nome/Ragione sociale]:[Checkbox selezionato]],8,FALSE),"-")</f>
        <v>0</v>
      </c>
      <c r="AP727" s="63">
        <f>IFERROR(VLOOKUP(Table2[[#This Row],[Contraente]],Table1[[Nome/Ragione sociale]:[Checkbox selezionato]],10,FALSE),"-")</f>
        <v>3343192879</v>
      </c>
      <c r="AQ727" s="63" t="str">
        <f>IFERROR(VLOOKUP(Table2[[#This Row],[Contraente]],Table1[[Nome/Ragione sociale]:[Checkbox selezionato]],11,FALSE),"-")</f>
        <v>SI</v>
      </c>
      <c r="AR727" s="63" t="str">
        <f>IFERROR(VLOOKUP(Table2[[#This Row],[Contraente]],Table1[[Nome/Ragione sociale]:[Checkbox selezionato]],12,FALSE),"-")</f>
        <v>SI</v>
      </c>
    </row>
    <row r="728" spans="1:44" ht="30" hidden="1" customHeight="1" x14ac:dyDescent="0.25">
      <c r="A728" s="60" t="str">
        <f>UPPER(LEFT(Table2[[#This Row],[Contraente]],1))</f>
        <v>M</v>
      </c>
      <c r="B728" s="60" t="s">
        <v>1634</v>
      </c>
      <c r="C728" s="81" t="s">
        <v>818</v>
      </c>
      <c r="D728" s="81" t="s">
        <v>37</v>
      </c>
      <c r="E728" s="86">
        <v>106975669</v>
      </c>
      <c r="F728" s="64">
        <v>42899</v>
      </c>
      <c r="G728" s="64">
        <f>IFERROR(CALCOLASCADENZA(Table2[[#This Row],[Data attivazione]],Table2[[#This Row],[Rateizzazione]],Table2[[#This Row],[Data ultimo pagamento]],Table2[[#This Row],[Data prossima scadenza manuale]]),"-")</f>
        <v>42899</v>
      </c>
      <c r="H728" s="67" t="s">
        <v>31</v>
      </c>
      <c r="I728" s="67" t="s">
        <v>1419</v>
      </c>
      <c r="J728" s="33">
        <v>0</v>
      </c>
      <c r="K728" s="88">
        <v>280</v>
      </c>
      <c r="L728" s="88">
        <v>520</v>
      </c>
      <c r="M728" s="67" t="s">
        <v>43</v>
      </c>
      <c r="N728" s="67" t="s">
        <v>52</v>
      </c>
      <c r="O728" s="27" t="s">
        <v>1631</v>
      </c>
      <c r="P728" s="33" t="s">
        <v>24</v>
      </c>
      <c r="Q72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8" s="67" t="s">
        <v>133</v>
      </c>
      <c r="V728" s="62"/>
      <c r="W728" s="64">
        <v>42648</v>
      </c>
      <c r="X728" s="29">
        <f>DATE(YEAR(Table2[[#This Row],[Data attivazione]])+VLOOKUP(Table2[[#This Row],[Durata]],VALORE_DURATA,2,FALSE),MONTH(Table2[[#This Row],[Data attivazione]]),DAY(Table2[[#This Row],[Data attivazione]]))</f>
        <v>43013</v>
      </c>
      <c r="Y728" s="65"/>
      <c r="Z728" s="61"/>
      <c r="AA728" s="64" t="s">
        <v>85</v>
      </c>
      <c r="AB728" s="29" t="str">
        <f>IF(Table2[[#This Row],[Data ultimo versamento temp]]=0/1/1900,"-",Table2[[#This Row],[Data ultimo versamento temp]])</f>
        <v>-</v>
      </c>
      <c r="AC728" s="29">
        <f t="array" ref="AC728">MAX(IF(TableVersamenti[Polizza]=Table2[[#This Row],[Polizza]],TableVersamenti[Data prevista versamento],"-"))</f>
        <v>0</v>
      </c>
      <c r="AD728" s="62"/>
      <c r="AE728" s="106">
        <f>DATE(YEAR(Table2[[#This Row],[Data ultimo pagamento]]),MONTH(Table2[[#This Row],[Data ultimo pagamento]]), 1)</f>
        <v>42887</v>
      </c>
      <c r="AF728" s="106">
        <f>DATE(YEAR(Table2[[#This Row],[Data prossima scadenza]]),MONTH(Table2[[#This Row],[Data prossima scadenza]]), 1)</f>
        <v>42887</v>
      </c>
      <c r="AG728" s="33">
        <f>IFERROR(Table2[[#This Row],[Importo annuale]]*VLOOKUP(Table2[[#This Row],[Ramo]],RAMI_POLIZZA,2,FALSE),0)</f>
        <v>27.04</v>
      </c>
      <c r="AH728" s="65" t="s">
        <v>113</v>
      </c>
      <c r="AI728" s="63" t="str">
        <f>IFERROR(VLOOKUP(Table2[[#This Row],[Contraente]],Table1[[Nome/Ragione sociale]:[Checkbox selezionato]],2,FALSE),"-")</f>
        <v>TRAVO</v>
      </c>
      <c r="AJ728" s="63">
        <f>IFERROR(VLOOKUP(Table2[[#This Row],[Contraente]],Table1[[Nome/Ragione sociale]:[Checkbox selezionato]],3,FALSE),"-")</f>
        <v>0</v>
      </c>
      <c r="AK728" s="63">
        <f>IFERROR(VLOOKUP(Table2[[#This Row],[Contraente]],Table1[[Nome/Ragione sociale]:[Checkbox selezionato]],4,FALSE),"-")</f>
        <v>0</v>
      </c>
      <c r="AL728" s="63">
        <f>IFERROR(VLOOKUP(Table2[[#This Row],[Contraente]],Table1[[Nome/Ragione sociale]:[Checkbox selezionato]],5,FALSE),"-")</f>
        <v>0</v>
      </c>
      <c r="AM728" s="62">
        <f>IFERROR(VLOOKUP(Table2[[#This Row],[Contraente]],Table1[[Nome/Ragione sociale]:[Checkbox selezionato]],6,FALSE),"-")</f>
        <v>26481</v>
      </c>
      <c r="AN728" s="63" t="str">
        <f>IFERROR(VLOOKUP(Table2[[#This Row],[Contraente]],Table1[[Nome/Ragione sociale]:[Checkbox selezionato]],7,FALSE),"-")</f>
        <v>papies@libero.it</v>
      </c>
      <c r="AO728" s="63">
        <f>IFERROR(VLOOKUP(Table2[[#This Row],[Contraente]],Table1[[Nome/Ragione sociale]:[Checkbox selezionato]],8,FALSE),"-")</f>
        <v>0</v>
      </c>
      <c r="AP728" s="63">
        <f>IFERROR(VLOOKUP(Table2[[#This Row],[Contraente]],Table1[[Nome/Ragione sociale]:[Checkbox selezionato]],10,FALSE),"-")</f>
        <v>0</v>
      </c>
      <c r="AQ728" s="63" t="str">
        <f>IFERROR(VLOOKUP(Table2[[#This Row],[Contraente]],Table1[[Nome/Ragione sociale]:[Checkbox selezionato]],11,FALSE),"-")</f>
        <v>SI</v>
      </c>
      <c r="AR728" s="63" t="str">
        <f>IFERROR(VLOOKUP(Table2[[#This Row],[Contraente]],Table1[[Nome/Ragione sociale]:[Checkbox selezionato]],12,FALSE),"-")</f>
        <v>SI</v>
      </c>
    </row>
    <row r="729" spans="1:44" ht="30" hidden="1" customHeight="1" x14ac:dyDescent="0.25">
      <c r="A729" s="60" t="str">
        <f>UPPER(LEFT(Table2[[#This Row],[Contraente]],1))</f>
        <v>M</v>
      </c>
      <c r="B729" s="60" t="s">
        <v>1634</v>
      </c>
      <c r="C729" s="81" t="s">
        <v>818</v>
      </c>
      <c r="D729" s="81" t="s">
        <v>37</v>
      </c>
      <c r="E729" s="86">
        <v>105930091</v>
      </c>
      <c r="F729" s="64">
        <v>42788</v>
      </c>
      <c r="G729" s="64">
        <f>IFERROR(CALCOLASCADENZA(Table2[[#This Row],[Data attivazione]],Table2[[#This Row],[Rateizzazione]],Table2[[#This Row],[Data ultimo pagamento]],Table2[[#This Row],[Data prossima scadenza manuale]]),"-")</f>
        <v>42955</v>
      </c>
      <c r="H729" s="67" t="s">
        <v>31</v>
      </c>
      <c r="I729" s="67" t="s">
        <v>1420</v>
      </c>
      <c r="J729" s="33">
        <f>IFERROR(Table2[[#This Row],[Importo annuale]]/(12/VLOOKUP(Table2[[#This Row],[Rateizzazione]],TIPI_RATEIZZAZIONI,2,FALSE)),"-")</f>
        <v>295</v>
      </c>
      <c r="K729" s="88">
        <v>295</v>
      </c>
      <c r="L729" s="88">
        <v>590</v>
      </c>
      <c r="M729" s="67" t="s">
        <v>43</v>
      </c>
      <c r="N729" s="67" t="s">
        <v>52</v>
      </c>
      <c r="O729" s="27" t="s">
        <v>1631</v>
      </c>
      <c r="P729" s="33" t="s">
        <v>22</v>
      </c>
      <c r="Q729" s="60">
        <f>IFERROR(IF(12 / VLOOKUP(Table2[[#This Row],[Rateizzazione]],TIPI_RATEIZZAZIONI,2,FALSE) &gt;=1,  IF(Table2[[#This Row],[Data attivazione]] = "","-",MONTH(Table2[[#This Row],[Data attivazione]])),"-"),"-")</f>
        <v>8</v>
      </c>
      <c r="R7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9" s="67" t="s">
        <v>133</v>
      </c>
      <c r="V729" s="62"/>
      <c r="W729" s="64">
        <v>42590</v>
      </c>
      <c r="X729" s="29">
        <f>DATE(YEAR(Table2[[#This Row],[Data attivazione]])+VLOOKUP(Table2[[#This Row],[Durata]],VALORE_DURATA,2,FALSE),MONTH(Table2[[#This Row],[Data attivazione]]),DAY(Table2[[#This Row],[Data attivazione]]))</f>
        <v>42955</v>
      </c>
      <c r="Y729" s="65"/>
      <c r="Z729" s="61"/>
      <c r="AA729" s="64" t="s">
        <v>85</v>
      </c>
      <c r="AB729" s="29" t="str">
        <f>IF(Table2[[#This Row],[Data ultimo versamento temp]]=0/1/1900,"-",Table2[[#This Row],[Data ultimo versamento temp]])</f>
        <v>-</v>
      </c>
      <c r="AC729" s="29">
        <f t="array" ref="AC729">MAX(IF(TableVersamenti[Polizza]=Table2[[#This Row],[Polizza]],TableVersamenti[Data prevista versamento],"-"))</f>
        <v>0</v>
      </c>
      <c r="AD729" s="62"/>
      <c r="AE729" s="106">
        <f>DATE(YEAR(Table2[[#This Row],[Data ultimo pagamento]]),MONTH(Table2[[#This Row],[Data ultimo pagamento]]), 1)</f>
        <v>42767</v>
      </c>
      <c r="AF729" s="106">
        <f>DATE(YEAR(Table2[[#This Row],[Data prossima scadenza]]),MONTH(Table2[[#This Row],[Data prossima scadenza]]), 1)</f>
        <v>42948</v>
      </c>
      <c r="AG729" s="33">
        <f>IFERROR(Table2[[#This Row],[Importo annuale]]*VLOOKUP(Table2[[#This Row],[Ramo]],RAMI_POLIZZA,2,FALSE),0)</f>
        <v>30.68</v>
      </c>
      <c r="AH729" s="65" t="s">
        <v>113</v>
      </c>
      <c r="AI729" s="63" t="str">
        <f>IFERROR(VLOOKUP(Table2[[#This Row],[Contraente]],Table1[[Nome/Ragione sociale]:[Checkbox selezionato]],2,FALSE),"-")</f>
        <v>TRAVO</v>
      </c>
      <c r="AJ729" s="63">
        <f>IFERROR(VLOOKUP(Table2[[#This Row],[Contraente]],Table1[[Nome/Ragione sociale]:[Checkbox selezionato]],3,FALSE),"-")</f>
        <v>0</v>
      </c>
      <c r="AK729" s="63">
        <f>IFERROR(VLOOKUP(Table2[[#This Row],[Contraente]],Table1[[Nome/Ragione sociale]:[Checkbox selezionato]],4,FALSE),"-")</f>
        <v>0</v>
      </c>
      <c r="AL729" s="63">
        <f>IFERROR(VLOOKUP(Table2[[#This Row],[Contraente]],Table1[[Nome/Ragione sociale]:[Checkbox selezionato]],5,FALSE),"-")</f>
        <v>0</v>
      </c>
      <c r="AM729" s="62">
        <f>IFERROR(VLOOKUP(Table2[[#This Row],[Contraente]],Table1[[Nome/Ragione sociale]:[Checkbox selezionato]],6,FALSE),"-")</f>
        <v>26481</v>
      </c>
      <c r="AN729" s="63" t="str">
        <f>IFERROR(VLOOKUP(Table2[[#This Row],[Contraente]],Table1[[Nome/Ragione sociale]:[Checkbox selezionato]],7,FALSE),"-")</f>
        <v>papies@libero.it</v>
      </c>
      <c r="AO729" s="63">
        <f>IFERROR(VLOOKUP(Table2[[#This Row],[Contraente]],Table1[[Nome/Ragione sociale]:[Checkbox selezionato]],8,FALSE),"-")</f>
        <v>0</v>
      </c>
      <c r="AP729" s="63">
        <f>IFERROR(VLOOKUP(Table2[[#This Row],[Contraente]],Table1[[Nome/Ragione sociale]:[Checkbox selezionato]],10,FALSE),"-")</f>
        <v>0</v>
      </c>
      <c r="AQ729" s="63" t="str">
        <f>IFERROR(VLOOKUP(Table2[[#This Row],[Contraente]],Table1[[Nome/Ragione sociale]:[Checkbox selezionato]],11,FALSE),"-")</f>
        <v>SI</v>
      </c>
      <c r="AR729" s="63" t="str">
        <f>IFERROR(VLOOKUP(Table2[[#This Row],[Contraente]],Table1[[Nome/Ragione sociale]:[Checkbox selezionato]],12,FALSE),"-")</f>
        <v>SI</v>
      </c>
    </row>
    <row r="730" spans="1:44" ht="30" hidden="1" customHeight="1" x14ac:dyDescent="0.25">
      <c r="A730" s="60" t="str">
        <f>UPPER(LEFT(Table2[[#This Row],[Contraente]],1))</f>
        <v>M</v>
      </c>
      <c r="B730" s="60" t="s">
        <v>1634</v>
      </c>
      <c r="C730" s="81" t="s">
        <v>820</v>
      </c>
      <c r="D730" s="81" t="s">
        <v>37</v>
      </c>
      <c r="E730" s="86">
        <v>102687653</v>
      </c>
      <c r="F730" s="64">
        <v>42387</v>
      </c>
      <c r="G730" s="64" t="str">
        <f>IFERROR(CALCOLASCADENZA(Table2[[#This Row],[Data attivazione]],Table2[[#This Row],[Rateizzazione]],Table2[[#This Row],[Data ultimo pagamento]],Table2[[#This Row],[Data prossima scadenza manuale]]),"-")</f>
        <v>-</v>
      </c>
      <c r="H730" s="67" t="s">
        <v>31</v>
      </c>
      <c r="I730" s="67" t="s">
        <v>1125</v>
      </c>
      <c r="J730" s="33">
        <f>IFERROR(Table2[[#This Row],[Importo annuale]]/(12/VLOOKUP(Table2[[#This Row],[Rateizzazione]],TIPI_RATEIZZAZIONI,2,FALSE)),"-")</f>
        <v>202.2</v>
      </c>
      <c r="K730" s="88"/>
      <c r="L730" s="88">
        <v>404.4</v>
      </c>
      <c r="M730" s="67" t="s">
        <v>44</v>
      </c>
      <c r="N730" s="67" t="s">
        <v>51</v>
      </c>
      <c r="O730" s="27" t="s">
        <v>1631</v>
      </c>
      <c r="P730" s="33" t="s">
        <v>22</v>
      </c>
      <c r="Q73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0" s="67" t="s">
        <v>2</v>
      </c>
      <c r="V730" s="62"/>
      <c r="W730" s="64" t="e">
        <v>#VALUE!</v>
      </c>
      <c r="X73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30" s="65"/>
      <c r="Z730" s="61"/>
      <c r="AA730" s="64" t="s">
        <v>85</v>
      </c>
      <c r="AB730" s="29" t="str">
        <f>IF(Table2[[#This Row],[Data ultimo versamento temp]]=0/1/1900,"-",Table2[[#This Row],[Data ultimo versamento temp]])</f>
        <v>-</v>
      </c>
      <c r="AC730" s="29">
        <f t="array" ref="AC730">MAX(IF(TableVersamenti[Polizza]=Table2[[#This Row],[Polizza]],TableVersamenti[Data prevista versamento],"-"))</f>
        <v>0</v>
      </c>
      <c r="AD730" s="62"/>
      <c r="AE730" s="106">
        <f>DATE(YEAR(Table2[[#This Row],[Data ultimo pagamento]]),MONTH(Table2[[#This Row],[Data ultimo pagamento]]), 1)</f>
        <v>42370</v>
      </c>
      <c r="AF730" s="106" t="e">
        <f>DATE(YEAR(Table2[[#This Row],[Data prossima scadenza]]),MONTH(Table2[[#This Row],[Data prossima scadenza]]), 1)</f>
        <v>#VALUE!</v>
      </c>
      <c r="AG730" s="33">
        <f>IFERROR(Table2[[#This Row],[Importo annuale]]*VLOOKUP(Table2[[#This Row],[Ramo]],RAMI_POLIZZA,2,FALSE),0)</f>
        <v>21.028799999999997</v>
      </c>
      <c r="AH730" s="65" t="s">
        <v>113</v>
      </c>
      <c r="AI730" s="63">
        <f>IFERROR(VLOOKUP(Table2[[#This Row],[Contraente]],Table1[[Nome/Ragione sociale]:[Checkbox selezionato]],2,FALSE),"-")</f>
        <v>0</v>
      </c>
      <c r="AJ730" s="63">
        <f>IFERROR(VLOOKUP(Table2[[#This Row],[Contraente]],Table1[[Nome/Ragione sociale]:[Checkbox selezionato]],3,FALSE),"-")</f>
        <v>0</v>
      </c>
      <c r="AK730" s="63">
        <f>IFERROR(VLOOKUP(Table2[[#This Row],[Contraente]],Table1[[Nome/Ragione sociale]:[Checkbox selezionato]],4,FALSE),"-")</f>
        <v>0</v>
      </c>
      <c r="AL730" s="63">
        <f>IFERROR(VLOOKUP(Table2[[#This Row],[Contraente]],Table1[[Nome/Ragione sociale]:[Checkbox selezionato]],5,FALSE),"-")</f>
        <v>0</v>
      </c>
      <c r="AM730" s="62">
        <f>IFERROR(VLOOKUP(Table2[[#This Row],[Contraente]],Table1[[Nome/Ragione sociale]:[Checkbox selezionato]],6,FALSE),"-")</f>
        <v>0</v>
      </c>
      <c r="AN730" s="63" t="str">
        <f>IFERROR(VLOOKUP(Table2[[#This Row],[Contraente]],Table1[[Nome/Ragione sociale]:[Checkbox selezionato]],7,FALSE),"-")</f>
        <v>papies@libero.it</v>
      </c>
      <c r="AO730" s="63">
        <f>IFERROR(VLOOKUP(Table2[[#This Row],[Contraente]],Table1[[Nome/Ragione sociale]:[Checkbox selezionato]],8,FALSE),"-")</f>
        <v>0</v>
      </c>
      <c r="AP730" s="63">
        <f>IFERROR(VLOOKUP(Table2[[#This Row],[Contraente]],Table1[[Nome/Ragione sociale]:[Checkbox selezionato]],10,FALSE),"-")</f>
        <v>0</v>
      </c>
      <c r="AQ730" s="63" t="str">
        <f>IFERROR(VLOOKUP(Table2[[#This Row],[Contraente]],Table1[[Nome/Ragione sociale]:[Checkbox selezionato]],11,FALSE),"-")</f>
        <v>SI</v>
      </c>
      <c r="AR730" s="63" t="str">
        <f>IFERROR(VLOOKUP(Table2[[#This Row],[Contraente]],Table1[[Nome/Ragione sociale]:[Checkbox selezionato]],12,FALSE),"-")</f>
        <v>SI</v>
      </c>
    </row>
    <row r="731" spans="1:44" ht="30" hidden="1" customHeight="1" x14ac:dyDescent="0.25">
      <c r="A731" s="60" t="str">
        <f>UPPER(LEFT(Table2[[#This Row],[Contraente]],1))</f>
        <v>M</v>
      </c>
      <c r="B731" s="60" t="s">
        <v>1634</v>
      </c>
      <c r="C731" s="81" t="s">
        <v>821</v>
      </c>
      <c r="D731" s="81" t="s">
        <v>37</v>
      </c>
      <c r="E731" s="86">
        <v>105433725</v>
      </c>
      <c r="F731" s="64">
        <v>42821</v>
      </c>
      <c r="G731" s="64">
        <f>IFERROR(CALCOLASCADENZA(Table2[[#This Row],[Data attivazione]],Table2[[#This Row],[Rateizzazione]],Table2[[#This Row],[Data ultimo pagamento]],Table2[[#This Row],[Data prossima scadenza manuale]]),"-")</f>
        <v>43005</v>
      </c>
      <c r="H731" s="67" t="s">
        <v>31</v>
      </c>
      <c r="I731" s="67" t="s">
        <v>1421</v>
      </c>
      <c r="J731" s="33">
        <f>IFERROR(Table2[[#This Row],[Importo annuale]]/(12/VLOOKUP(Table2[[#This Row],[Rateizzazione]],TIPI_RATEIZZAZIONI,2,FALSE)),"-")</f>
        <v>210</v>
      </c>
      <c r="K731" s="88">
        <v>210</v>
      </c>
      <c r="L731" s="88">
        <v>420</v>
      </c>
      <c r="M731" s="67" t="s">
        <v>43</v>
      </c>
      <c r="N731" s="67" t="s">
        <v>51</v>
      </c>
      <c r="O731" s="27" t="s">
        <v>1631</v>
      </c>
      <c r="P731" s="33" t="s">
        <v>22</v>
      </c>
      <c r="Q731" s="60">
        <f>IFERROR(IF(12 / VLOOKUP(Table2[[#This Row],[Rateizzazione]],TIPI_RATEIZZAZIONI,2,FALSE) &gt;=1,  IF(Table2[[#This Row],[Data attivazione]] = "","-",MONTH(Table2[[#This Row],[Data attivazione]])),"-"),"-")</f>
        <v>9</v>
      </c>
      <c r="R7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1" s="67" t="s">
        <v>2</v>
      </c>
      <c r="V731" s="62"/>
      <c r="W731" s="64">
        <v>42640</v>
      </c>
      <c r="X731" s="29">
        <f>DATE(YEAR(Table2[[#This Row],[Data attivazione]])+VLOOKUP(Table2[[#This Row],[Durata]],VALORE_DURATA,2,FALSE),MONTH(Table2[[#This Row],[Data attivazione]]),DAY(Table2[[#This Row],[Data attivazione]]))</f>
        <v>43005</v>
      </c>
      <c r="Y731" s="65"/>
      <c r="Z731" s="61"/>
      <c r="AA731" s="64" t="s">
        <v>85</v>
      </c>
      <c r="AB731" s="29" t="str">
        <f>IF(Table2[[#This Row],[Data ultimo versamento temp]]=0/1/1900,"-",Table2[[#This Row],[Data ultimo versamento temp]])</f>
        <v>-</v>
      </c>
      <c r="AC731" s="29">
        <f t="array" ref="AC731">MAX(IF(TableVersamenti[Polizza]=Table2[[#This Row],[Polizza]],TableVersamenti[Data prevista versamento],"-"))</f>
        <v>0</v>
      </c>
      <c r="AD731" s="62"/>
      <c r="AE731" s="106">
        <f>DATE(YEAR(Table2[[#This Row],[Data ultimo pagamento]]),MONTH(Table2[[#This Row],[Data ultimo pagamento]]), 1)</f>
        <v>42795</v>
      </c>
      <c r="AF731" s="106">
        <f>DATE(YEAR(Table2[[#This Row],[Data prossima scadenza]]),MONTH(Table2[[#This Row],[Data prossima scadenza]]), 1)</f>
        <v>42979</v>
      </c>
      <c r="AG731" s="33">
        <f>IFERROR(Table2[[#This Row],[Importo annuale]]*VLOOKUP(Table2[[#This Row],[Ramo]],RAMI_POLIZZA,2,FALSE),0)</f>
        <v>21.84</v>
      </c>
      <c r="AH731" s="65" t="s">
        <v>113</v>
      </c>
      <c r="AI731" s="63" t="str">
        <f>IFERROR(VLOOKUP(Table2[[#This Row],[Contraente]],Table1[[Nome/Ragione sociale]:[Checkbox selezionato]],2,FALSE),"-")</f>
        <v>SPESSA</v>
      </c>
      <c r="AJ731" s="63">
        <f>IFERROR(VLOOKUP(Table2[[#This Row],[Contraente]],Table1[[Nome/Ragione sociale]:[Checkbox selezionato]],3,FALSE),"-")</f>
        <v>3333286593</v>
      </c>
      <c r="AK731" s="63">
        <f>IFERROR(VLOOKUP(Table2[[#This Row],[Contraente]],Table1[[Nome/Ragione sociale]:[Checkbox selezionato]],4,FALSE),"-")</f>
        <v>0</v>
      </c>
      <c r="AL731" s="63" t="str">
        <f>IFERROR(VLOOKUP(Table2[[#This Row],[Contraente]],Table1[[Nome/Ragione sociale]:[Checkbox selezionato]],5,FALSE),"-")</f>
        <v>MARIAROSA</v>
      </c>
      <c r="AM731" s="62">
        <f>IFERROR(VLOOKUP(Table2[[#This Row],[Contraente]],Table1[[Nome/Ragione sociale]:[Checkbox selezionato]],6,FALSE),"-")</f>
        <v>20926</v>
      </c>
      <c r="AN731" s="63" t="str">
        <f>IFERROR(VLOOKUP(Table2[[#This Row],[Contraente]],Table1[[Nome/Ragione sociale]:[Checkbox selezionato]],7,FALSE),"-")</f>
        <v>papies@email.it</v>
      </c>
      <c r="AO731" s="63">
        <f>IFERROR(VLOOKUP(Table2[[#This Row],[Contraente]],Table1[[Nome/Ragione sociale]:[Checkbox selezionato]],8,FALSE),"-")</f>
        <v>0</v>
      </c>
      <c r="AP731" s="63">
        <f>IFERROR(VLOOKUP(Table2[[#This Row],[Contraente]],Table1[[Nome/Ragione sociale]:[Checkbox selezionato]],10,FALSE),"-")</f>
        <v>3333286593</v>
      </c>
      <c r="AQ731" s="63" t="str">
        <f>IFERROR(VLOOKUP(Table2[[#This Row],[Contraente]],Table1[[Nome/Ragione sociale]:[Checkbox selezionato]],11,FALSE),"-")</f>
        <v>SI</v>
      </c>
      <c r="AR731" s="63" t="str">
        <f>IFERROR(VLOOKUP(Table2[[#This Row],[Contraente]],Table1[[Nome/Ragione sociale]:[Checkbox selezionato]],12,FALSE),"-")</f>
        <v>SI</v>
      </c>
    </row>
    <row r="732" spans="1:44" ht="30" hidden="1" customHeight="1" x14ac:dyDescent="0.25">
      <c r="A732" s="60" t="str">
        <f>UPPER(LEFT(Table2[[#This Row],[Contraente]],1))</f>
        <v>M</v>
      </c>
      <c r="B732" s="60" t="s">
        <v>1634</v>
      </c>
      <c r="C732" s="81" t="s">
        <v>821</v>
      </c>
      <c r="D732" s="81" t="s">
        <v>37</v>
      </c>
      <c r="E732" s="86">
        <v>104218687</v>
      </c>
      <c r="F732" s="64">
        <v>42821</v>
      </c>
      <c r="G732" s="64">
        <f>IFERROR(CALCOLASCADENZA(Table2[[#This Row],[Data attivazione]],Table2[[#This Row],[Rateizzazione]],Table2[[#This Row],[Data ultimo pagamento]],Table2[[#This Row],[Data prossima scadenza manuale]]),"-")</f>
        <v>43005</v>
      </c>
      <c r="H732" s="67" t="s">
        <v>30</v>
      </c>
      <c r="I732" s="67" t="s">
        <v>113</v>
      </c>
      <c r="J732" s="33">
        <f>IFERROR(Table2[[#This Row],[Importo annuale]]/(12/VLOOKUP(Table2[[#This Row],[Rateizzazione]],TIPI_RATEIZZAZIONI,2,FALSE)),"-")</f>
        <v>32</v>
      </c>
      <c r="K732" s="88">
        <v>32</v>
      </c>
      <c r="L732" s="88">
        <v>64</v>
      </c>
      <c r="M732" s="67" t="s">
        <v>43</v>
      </c>
      <c r="N732" s="67" t="s">
        <v>51</v>
      </c>
      <c r="O732" s="27" t="s">
        <v>1631</v>
      </c>
      <c r="P732" s="33" t="s">
        <v>22</v>
      </c>
      <c r="Q732" s="60">
        <f>IFERROR(IF(12 / VLOOKUP(Table2[[#This Row],[Rateizzazione]],TIPI_RATEIZZAZIONI,2,FALSE) &gt;=1,  IF(Table2[[#This Row],[Data attivazione]] = "","-",MONTH(Table2[[#This Row],[Data attivazione]])),"-"),"-")</f>
        <v>9</v>
      </c>
      <c r="R7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2" s="67" t="s">
        <v>2</v>
      </c>
      <c r="V732" s="62"/>
      <c r="W732" s="64">
        <v>42640</v>
      </c>
      <c r="X732" s="29">
        <f>DATE(YEAR(Table2[[#This Row],[Data attivazione]])+VLOOKUP(Table2[[#This Row],[Durata]],VALORE_DURATA,2,FALSE),MONTH(Table2[[#This Row],[Data attivazione]]),DAY(Table2[[#This Row],[Data attivazione]]))</f>
        <v>43005</v>
      </c>
      <c r="Y732" s="65"/>
      <c r="Z732" s="61"/>
      <c r="AA732" s="64" t="s">
        <v>85</v>
      </c>
      <c r="AB732" s="29" t="str">
        <f>IF(Table2[[#This Row],[Data ultimo versamento temp]]=0/1/1900,"-",Table2[[#This Row],[Data ultimo versamento temp]])</f>
        <v>-</v>
      </c>
      <c r="AC732" s="29">
        <f t="array" ref="AC732">MAX(IF(TableVersamenti[Polizza]=Table2[[#This Row],[Polizza]],TableVersamenti[Data prevista versamento],"-"))</f>
        <v>0</v>
      </c>
      <c r="AD732" s="62"/>
      <c r="AE732" s="106">
        <f>DATE(YEAR(Table2[[#This Row],[Data ultimo pagamento]]),MONTH(Table2[[#This Row],[Data ultimo pagamento]]), 1)</f>
        <v>42795</v>
      </c>
      <c r="AF732" s="106">
        <f>DATE(YEAR(Table2[[#This Row],[Data prossima scadenza]]),MONTH(Table2[[#This Row],[Data prossima scadenza]]), 1)</f>
        <v>42979</v>
      </c>
      <c r="AG732" s="33">
        <f>IFERROR(Table2[[#This Row],[Importo annuale]]*VLOOKUP(Table2[[#This Row],[Ramo]],RAMI_POLIZZA,2,FALSE),0)</f>
        <v>7.36</v>
      </c>
      <c r="AH732" s="65" t="s">
        <v>113</v>
      </c>
      <c r="AI732" s="63" t="str">
        <f>IFERROR(VLOOKUP(Table2[[#This Row],[Contraente]],Table1[[Nome/Ragione sociale]:[Checkbox selezionato]],2,FALSE),"-")</f>
        <v>SPESSA</v>
      </c>
      <c r="AJ732" s="63">
        <f>IFERROR(VLOOKUP(Table2[[#This Row],[Contraente]],Table1[[Nome/Ragione sociale]:[Checkbox selezionato]],3,FALSE),"-")</f>
        <v>3333286593</v>
      </c>
      <c r="AK732" s="63">
        <f>IFERROR(VLOOKUP(Table2[[#This Row],[Contraente]],Table1[[Nome/Ragione sociale]:[Checkbox selezionato]],4,FALSE),"-")</f>
        <v>0</v>
      </c>
      <c r="AL732" s="63" t="str">
        <f>IFERROR(VLOOKUP(Table2[[#This Row],[Contraente]],Table1[[Nome/Ragione sociale]:[Checkbox selezionato]],5,FALSE),"-")</f>
        <v>MARIAROSA</v>
      </c>
      <c r="AM732" s="62">
        <f>IFERROR(VLOOKUP(Table2[[#This Row],[Contraente]],Table1[[Nome/Ragione sociale]:[Checkbox selezionato]],6,FALSE),"-")</f>
        <v>20926</v>
      </c>
      <c r="AN732" s="63" t="str">
        <f>IFERROR(VLOOKUP(Table2[[#This Row],[Contraente]],Table1[[Nome/Ragione sociale]:[Checkbox selezionato]],7,FALSE),"-")</f>
        <v>papies@email.it</v>
      </c>
      <c r="AO732" s="63">
        <f>IFERROR(VLOOKUP(Table2[[#This Row],[Contraente]],Table1[[Nome/Ragione sociale]:[Checkbox selezionato]],8,FALSE),"-")</f>
        <v>0</v>
      </c>
      <c r="AP732" s="63">
        <f>IFERROR(VLOOKUP(Table2[[#This Row],[Contraente]],Table1[[Nome/Ragione sociale]:[Checkbox selezionato]],10,FALSE),"-")</f>
        <v>3333286593</v>
      </c>
      <c r="AQ732" s="63" t="str">
        <f>IFERROR(VLOOKUP(Table2[[#This Row],[Contraente]],Table1[[Nome/Ragione sociale]:[Checkbox selezionato]],11,FALSE),"-")</f>
        <v>SI</v>
      </c>
      <c r="AR732" s="63" t="str">
        <f>IFERROR(VLOOKUP(Table2[[#This Row],[Contraente]],Table1[[Nome/Ragione sociale]:[Checkbox selezionato]],12,FALSE),"-")</f>
        <v>SI</v>
      </c>
    </row>
    <row r="733" spans="1:44" ht="30" hidden="1" customHeight="1" x14ac:dyDescent="0.25">
      <c r="A733" s="60" t="str">
        <f>UPPER(LEFT(Table2[[#This Row],[Contraente]],1))</f>
        <v>M</v>
      </c>
      <c r="B733" s="60" t="s">
        <v>1634</v>
      </c>
      <c r="C733" s="81" t="s">
        <v>146</v>
      </c>
      <c r="D733" s="81" t="s">
        <v>37</v>
      </c>
      <c r="E733" s="86">
        <v>106231458</v>
      </c>
      <c r="F733" s="64">
        <v>42689</v>
      </c>
      <c r="G733" s="64">
        <f>IFERROR(CALCOLASCADENZA(Table2[[#This Row],[Data attivazione]],Table2[[#This Row],[Rateizzazione]],Table2[[#This Row],[Data ultimo pagamento]],Table2[[#This Row],[Data prossima scadenza manuale]]),"-")</f>
        <v>43054</v>
      </c>
      <c r="H733" s="67" t="s">
        <v>31</v>
      </c>
      <c r="I733" s="67" t="s">
        <v>1423</v>
      </c>
      <c r="J733" s="33">
        <f>IFERROR(Table2[[#This Row],[Importo annuale]]/(12/VLOOKUP(Table2[[#This Row],[Rateizzazione]],TIPI_RATEIZZAZIONI,2,FALSE)),"-")</f>
        <v>135</v>
      </c>
      <c r="K733" s="88"/>
      <c r="L733" s="88">
        <v>135</v>
      </c>
      <c r="M733" s="67" t="s">
        <v>43</v>
      </c>
      <c r="N733" s="67" t="s">
        <v>52</v>
      </c>
      <c r="O733" s="27" t="s">
        <v>1631</v>
      </c>
      <c r="P733" s="33" t="s">
        <v>23</v>
      </c>
      <c r="Q733" s="60">
        <f>IFERROR(IF(12 / VLOOKUP(Table2[[#This Row],[Rateizzazione]],TIPI_RATEIZZAZIONI,2,FALSE) &gt;=1,  IF(Table2[[#This Row],[Data attivazione]] = "","-",MONTH(Table2[[#This Row],[Data attivazione]])),"-"),"-")</f>
        <v>11</v>
      </c>
      <c r="R7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3" s="67" t="s">
        <v>2</v>
      </c>
      <c r="V733" s="62"/>
      <c r="W733" s="64">
        <v>42689</v>
      </c>
      <c r="X733" s="29">
        <f>DATE(YEAR(Table2[[#This Row],[Data attivazione]])+VLOOKUP(Table2[[#This Row],[Durata]],VALORE_DURATA,2,FALSE),MONTH(Table2[[#This Row],[Data attivazione]]),DAY(Table2[[#This Row],[Data attivazione]]))</f>
        <v>43054</v>
      </c>
      <c r="Y733" s="65"/>
      <c r="Z733" s="61"/>
      <c r="AA733" s="64" t="s">
        <v>85</v>
      </c>
      <c r="AB733" s="29" t="str">
        <f>IF(Table2[[#This Row],[Data ultimo versamento temp]]=0/1/1900,"-",Table2[[#This Row],[Data ultimo versamento temp]])</f>
        <v>-</v>
      </c>
      <c r="AC733" s="29">
        <f t="array" ref="AC733">MAX(IF(TableVersamenti[Polizza]=Table2[[#This Row],[Polizza]],TableVersamenti[Data prevista versamento],"-"))</f>
        <v>0</v>
      </c>
      <c r="AD733" s="62"/>
      <c r="AE733" s="106">
        <f>DATE(YEAR(Table2[[#This Row],[Data ultimo pagamento]]),MONTH(Table2[[#This Row],[Data ultimo pagamento]]), 1)</f>
        <v>42675</v>
      </c>
      <c r="AF733" s="106">
        <f>DATE(YEAR(Table2[[#This Row],[Data prossima scadenza]]),MONTH(Table2[[#This Row],[Data prossima scadenza]]), 1)</f>
        <v>43040</v>
      </c>
      <c r="AG733" s="33">
        <f>IFERROR(Table2[[#This Row],[Importo annuale]]*VLOOKUP(Table2[[#This Row],[Ramo]],RAMI_POLIZZA,2,FALSE),0)</f>
        <v>7.02</v>
      </c>
      <c r="AH733" s="65" t="s">
        <v>113</v>
      </c>
      <c r="AI733" s="63" t="str">
        <f>IFERROR(VLOOKUP(Table2[[#This Row],[Contraente]],Table1[[Nome/Ragione sociale]:[Checkbox selezionato]],2,FALSE),"-")</f>
        <v>TRAVACO' SICCOMARIO</v>
      </c>
      <c r="AJ733" s="63">
        <f>IFERROR(VLOOKUP(Table2[[#This Row],[Contraente]],Table1[[Nome/Ragione sociale]:[Checkbox selezionato]],3,FALSE),"-")</f>
        <v>3665895859</v>
      </c>
      <c r="AK733" s="63">
        <f>IFERROR(VLOOKUP(Table2[[#This Row],[Contraente]],Table1[[Nome/Ragione sociale]:[Checkbox selezionato]],4,FALSE),"-")</f>
        <v>0</v>
      </c>
      <c r="AL733" s="63" t="str">
        <f>IFERROR(VLOOKUP(Table2[[#This Row],[Contraente]],Table1[[Nome/Ragione sociale]:[Checkbox selezionato]],5,FALSE),"-")</f>
        <v>VERONICA</v>
      </c>
      <c r="AM733" s="62">
        <f>IFERROR(VLOOKUP(Table2[[#This Row],[Contraente]],Table1[[Nome/Ragione sociale]:[Checkbox selezionato]],6,FALSE),"-")</f>
        <v>28400</v>
      </c>
      <c r="AN733" s="63" t="str">
        <f>IFERROR(VLOOKUP(Table2[[#This Row],[Contraente]],Table1[[Nome/Ragione sociale]:[Checkbox selezionato]],7,FALSE),"-")</f>
        <v>papies@libero.it</v>
      </c>
      <c r="AO733" s="63">
        <f>IFERROR(VLOOKUP(Table2[[#This Row],[Contraente]],Table1[[Nome/Ragione sociale]:[Checkbox selezionato]],8,FALSE),"-")</f>
        <v>0</v>
      </c>
      <c r="AP733" s="63">
        <f>IFERROR(VLOOKUP(Table2[[#This Row],[Contraente]],Table1[[Nome/Ragione sociale]:[Checkbox selezionato]],10,FALSE),"-")</f>
        <v>3665895859</v>
      </c>
      <c r="AQ733" s="63" t="str">
        <f>IFERROR(VLOOKUP(Table2[[#This Row],[Contraente]],Table1[[Nome/Ragione sociale]:[Checkbox selezionato]],11,FALSE),"-")</f>
        <v>SI</v>
      </c>
      <c r="AR733" s="63" t="str">
        <f>IFERROR(VLOOKUP(Table2[[#This Row],[Contraente]],Table1[[Nome/Ragione sociale]:[Checkbox selezionato]],12,FALSE),"-")</f>
        <v>SI</v>
      </c>
    </row>
    <row r="734" spans="1:44" ht="30" hidden="1" customHeight="1" x14ac:dyDescent="0.25">
      <c r="A734" s="60" t="str">
        <f>UPPER(LEFT(Table2[[#This Row],[Contraente]],1))</f>
        <v>M</v>
      </c>
      <c r="B734" s="60" t="s">
        <v>1634</v>
      </c>
      <c r="C734" s="81" t="s">
        <v>146</v>
      </c>
      <c r="D734" s="81" t="s">
        <v>37</v>
      </c>
      <c r="E734" s="86">
        <v>105926921</v>
      </c>
      <c r="F734" s="64">
        <v>42586</v>
      </c>
      <c r="G734" s="64">
        <f>IFERROR(CALCOLASCADENZA(Table2[[#This Row],[Data attivazione]],Table2[[#This Row],[Rateizzazione]],Table2[[#This Row],[Data ultimo pagamento]],Table2[[#This Row],[Data prossima scadenza manuale]]),"-")</f>
        <v>42678</v>
      </c>
      <c r="H734" s="67" t="s">
        <v>31</v>
      </c>
      <c r="I734" s="67" t="s">
        <v>1424</v>
      </c>
      <c r="J734" s="33">
        <f>IFERROR(Table2[[#This Row],[Importo annuale]]/(12/VLOOKUP(Table2[[#This Row],[Rateizzazione]],TIPI_RATEIZZAZIONI,2,FALSE)),"-")</f>
        <v>80</v>
      </c>
      <c r="K734" s="88"/>
      <c r="L734" s="88">
        <v>80</v>
      </c>
      <c r="M734" s="67" t="s">
        <v>44</v>
      </c>
      <c r="N734" s="67" t="s">
        <v>52</v>
      </c>
      <c r="O734" s="27" t="s">
        <v>1631</v>
      </c>
      <c r="P734" s="33" t="s">
        <v>23</v>
      </c>
      <c r="Q734" s="60">
        <f>IFERROR(IF(12 / VLOOKUP(Table2[[#This Row],[Rateizzazione]],TIPI_RATEIZZAZIONI,2,FALSE) &gt;=1,  IF(Table2[[#This Row],[Data attivazione]] = "","-",MONTH(Table2[[#This Row],[Data attivazione]])),"-"),"-")</f>
        <v>11</v>
      </c>
      <c r="R7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4" s="67" t="s">
        <v>2</v>
      </c>
      <c r="V734" s="62"/>
      <c r="W734" s="64">
        <v>42312</v>
      </c>
      <c r="X734" s="29">
        <f>DATE(YEAR(Table2[[#This Row],[Data attivazione]])+VLOOKUP(Table2[[#This Row],[Durata]],VALORE_DURATA,2,FALSE),MONTH(Table2[[#This Row],[Data attivazione]]),DAY(Table2[[#This Row],[Data attivazione]]))</f>
        <v>42678</v>
      </c>
      <c r="Y734" s="65"/>
      <c r="Z734" s="61"/>
      <c r="AA734" s="64" t="s">
        <v>88</v>
      </c>
      <c r="AB734" s="29" t="str">
        <f>IF(Table2[[#This Row],[Data ultimo versamento temp]]=0/1/1900,"-",Table2[[#This Row],[Data ultimo versamento temp]])</f>
        <v>-</v>
      </c>
      <c r="AC734" s="29">
        <f t="array" ref="AC734">MAX(IF(TableVersamenti[Polizza]=Table2[[#This Row],[Polizza]],TableVersamenti[Data prevista versamento],"-"))</f>
        <v>0</v>
      </c>
      <c r="AD734" s="62"/>
      <c r="AE734" s="106">
        <f>DATE(YEAR(Table2[[#This Row],[Data ultimo pagamento]]),MONTH(Table2[[#This Row],[Data ultimo pagamento]]), 1)</f>
        <v>42583</v>
      </c>
      <c r="AF734" s="106">
        <f>DATE(YEAR(Table2[[#This Row],[Data prossima scadenza]]),MONTH(Table2[[#This Row],[Data prossima scadenza]]), 1)</f>
        <v>42675</v>
      </c>
      <c r="AG734" s="33">
        <f>IFERROR(Table2[[#This Row],[Importo annuale]]*VLOOKUP(Table2[[#This Row],[Ramo]],RAMI_POLIZZA,2,FALSE),0)</f>
        <v>4.16</v>
      </c>
      <c r="AH734" s="65" t="s">
        <v>113</v>
      </c>
      <c r="AI734" s="63" t="str">
        <f>IFERROR(VLOOKUP(Table2[[#This Row],[Contraente]],Table1[[Nome/Ragione sociale]:[Checkbox selezionato]],2,FALSE),"-")</f>
        <v>TRAVACO' SICCOMARIO</v>
      </c>
      <c r="AJ734" s="63">
        <f>IFERROR(VLOOKUP(Table2[[#This Row],[Contraente]],Table1[[Nome/Ragione sociale]:[Checkbox selezionato]],3,FALSE),"-")</f>
        <v>3665895859</v>
      </c>
      <c r="AK734" s="63">
        <f>IFERROR(VLOOKUP(Table2[[#This Row],[Contraente]],Table1[[Nome/Ragione sociale]:[Checkbox selezionato]],4,FALSE),"-")</f>
        <v>0</v>
      </c>
      <c r="AL734" s="63" t="str">
        <f>IFERROR(VLOOKUP(Table2[[#This Row],[Contraente]],Table1[[Nome/Ragione sociale]:[Checkbox selezionato]],5,FALSE),"-")</f>
        <v>VERONICA</v>
      </c>
      <c r="AM734" s="62">
        <f>IFERROR(VLOOKUP(Table2[[#This Row],[Contraente]],Table1[[Nome/Ragione sociale]:[Checkbox selezionato]],6,FALSE),"-")</f>
        <v>28400</v>
      </c>
      <c r="AN734" s="63" t="str">
        <f>IFERROR(VLOOKUP(Table2[[#This Row],[Contraente]],Table1[[Nome/Ragione sociale]:[Checkbox selezionato]],7,FALSE),"-")</f>
        <v>papies@libero.it</v>
      </c>
      <c r="AO734" s="63">
        <f>IFERROR(VLOOKUP(Table2[[#This Row],[Contraente]],Table1[[Nome/Ragione sociale]:[Checkbox selezionato]],8,FALSE),"-")</f>
        <v>0</v>
      </c>
      <c r="AP734" s="63">
        <f>IFERROR(VLOOKUP(Table2[[#This Row],[Contraente]],Table1[[Nome/Ragione sociale]:[Checkbox selezionato]],10,FALSE),"-")</f>
        <v>3665895859</v>
      </c>
      <c r="AQ734" s="63" t="str">
        <f>IFERROR(VLOOKUP(Table2[[#This Row],[Contraente]],Table1[[Nome/Ragione sociale]:[Checkbox selezionato]],11,FALSE),"-")</f>
        <v>SI</v>
      </c>
      <c r="AR734" s="63" t="str">
        <f>IFERROR(VLOOKUP(Table2[[#This Row],[Contraente]],Table1[[Nome/Ragione sociale]:[Checkbox selezionato]],12,FALSE),"-")</f>
        <v>SI</v>
      </c>
    </row>
    <row r="735" spans="1:44" ht="30" hidden="1" customHeight="1" x14ac:dyDescent="0.25">
      <c r="A735" s="60" t="str">
        <f>UPPER(LEFT(Table2[[#This Row],[Contraente]],1))</f>
        <v>M</v>
      </c>
      <c r="B735" s="60" t="s">
        <v>1634</v>
      </c>
      <c r="C735" s="81" t="s">
        <v>146</v>
      </c>
      <c r="D735" s="81" t="s">
        <v>37</v>
      </c>
      <c r="E735" s="86">
        <v>105750404</v>
      </c>
      <c r="F735" s="64">
        <v>42543</v>
      </c>
      <c r="G735" s="64">
        <f>IFERROR(CALCOLASCADENZA(Table2[[#This Row],[Data attivazione]],Table2[[#This Row],[Rateizzazione]],Table2[[#This Row],[Data ultimo pagamento]],Table2[[#This Row],[Data prossima scadenza manuale]]),"-")</f>
        <v>42543</v>
      </c>
      <c r="H735" s="67" t="s">
        <v>31</v>
      </c>
      <c r="I735" s="67" t="s">
        <v>1426</v>
      </c>
      <c r="J735" s="33">
        <v>-46.48</v>
      </c>
      <c r="K735" s="88"/>
      <c r="L735" s="88">
        <v>188</v>
      </c>
      <c r="M735" s="67" t="s">
        <v>44</v>
      </c>
      <c r="N735" s="67" t="s">
        <v>51</v>
      </c>
      <c r="O735" s="27" t="s">
        <v>1631</v>
      </c>
      <c r="P735" s="33" t="s">
        <v>24</v>
      </c>
      <c r="Q73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5" s="67" t="s">
        <v>2</v>
      </c>
      <c r="V735" s="62"/>
      <c r="W735" s="64">
        <v>42511</v>
      </c>
      <c r="X735" s="29">
        <f>DATE(YEAR(Table2[[#This Row],[Data attivazione]])+VLOOKUP(Table2[[#This Row],[Durata]],VALORE_DURATA,2,FALSE),MONTH(Table2[[#This Row],[Data attivazione]]),DAY(Table2[[#This Row],[Data attivazione]]))</f>
        <v>42876</v>
      </c>
      <c r="Y735" s="65"/>
      <c r="Z735" s="61"/>
      <c r="AA735" s="64" t="s">
        <v>88</v>
      </c>
      <c r="AB735" s="29" t="str">
        <f>IF(Table2[[#This Row],[Data ultimo versamento temp]]=0/1/1900,"-",Table2[[#This Row],[Data ultimo versamento temp]])</f>
        <v>-</v>
      </c>
      <c r="AC735" s="29">
        <f t="array" ref="AC735">MAX(IF(TableVersamenti[Polizza]=Table2[[#This Row],[Polizza]],TableVersamenti[Data prevista versamento],"-"))</f>
        <v>0</v>
      </c>
      <c r="AD735" s="62"/>
      <c r="AE735" s="106">
        <f>DATE(YEAR(Table2[[#This Row],[Data ultimo pagamento]]),MONTH(Table2[[#This Row],[Data ultimo pagamento]]), 1)</f>
        <v>42522</v>
      </c>
      <c r="AF735" s="106">
        <f>DATE(YEAR(Table2[[#This Row],[Data prossima scadenza]]),MONTH(Table2[[#This Row],[Data prossima scadenza]]), 1)</f>
        <v>42522</v>
      </c>
      <c r="AG735" s="33">
        <f>IFERROR(Table2[[#This Row],[Importo annuale]]*VLOOKUP(Table2[[#This Row],[Ramo]],RAMI_POLIZZA,2,FALSE),0)</f>
        <v>9.7759999999999998</v>
      </c>
      <c r="AH735" s="65" t="s">
        <v>113</v>
      </c>
      <c r="AI735" s="63" t="str">
        <f>IFERROR(VLOOKUP(Table2[[#This Row],[Contraente]],Table1[[Nome/Ragione sociale]:[Checkbox selezionato]],2,FALSE),"-")</f>
        <v>TRAVACO' SICCOMARIO</v>
      </c>
      <c r="AJ735" s="63">
        <f>IFERROR(VLOOKUP(Table2[[#This Row],[Contraente]],Table1[[Nome/Ragione sociale]:[Checkbox selezionato]],3,FALSE),"-")</f>
        <v>3665895859</v>
      </c>
      <c r="AK735" s="63">
        <f>IFERROR(VLOOKUP(Table2[[#This Row],[Contraente]],Table1[[Nome/Ragione sociale]:[Checkbox selezionato]],4,FALSE),"-")</f>
        <v>0</v>
      </c>
      <c r="AL735" s="63" t="str">
        <f>IFERROR(VLOOKUP(Table2[[#This Row],[Contraente]],Table1[[Nome/Ragione sociale]:[Checkbox selezionato]],5,FALSE),"-")</f>
        <v>VERONICA</v>
      </c>
      <c r="AM735" s="62">
        <f>IFERROR(VLOOKUP(Table2[[#This Row],[Contraente]],Table1[[Nome/Ragione sociale]:[Checkbox selezionato]],6,FALSE),"-")</f>
        <v>28400</v>
      </c>
      <c r="AN735" s="63" t="str">
        <f>IFERROR(VLOOKUP(Table2[[#This Row],[Contraente]],Table1[[Nome/Ragione sociale]:[Checkbox selezionato]],7,FALSE),"-")</f>
        <v>papies@libero.it</v>
      </c>
      <c r="AO735" s="63">
        <f>IFERROR(VLOOKUP(Table2[[#This Row],[Contraente]],Table1[[Nome/Ragione sociale]:[Checkbox selezionato]],8,FALSE),"-")</f>
        <v>0</v>
      </c>
      <c r="AP735" s="63">
        <f>IFERROR(VLOOKUP(Table2[[#This Row],[Contraente]],Table1[[Nome/Ragione sociale]:[Checkbox selezionato]],10,FALSE),"-")</f>
        <v>3665895859</v>
      </c>
      <c r="AQ735" s="63" t="str">
        <f>IFERROR(VLOOKUP(Table2[[#This Row],[Contraente]],Table1[[Nome/Ragione sociale]:[Checkbox selezionato]],11,FALSE),"-")</f>
        <v>SI</v>
      </c>
      <c r="AR735" s="63" t="str">
        <f>IFERROR(VLOOKUP(Table2[[#This Row],[Contraente]],Table1[[Nome/Ragione sociale]:[Checkbox selezionato]],12,FALSE),"-")</f>
        <v>SI</v>
      </c>
    </row>
    <row r="736" spans="1:44" ht="30" hidden="1" customHeight="1" x14ac:dyDescent="0.25">
      <c r="A736" s="60" t="str">
        <f>UPPER(LEFT(Table2[[#This Row],[Contraente]],1))</f>
        <v>M</v>
      </c>
      <c r="B736" s="60" t="s">
        <v>1634</v>
      </c>
      <c r="C736" s="81" t="s">
        <v>146</v>
      </c>
      <c r="D736" s="81" t="s">
        <v>37</v>
      </c>
      <c r="E736" s="86">
        <v>105433121</v>
      </c>
      <c r="F736" s="64">
        <v>42825</v>
      </c>
      <c r="G736" s="64">
        <f>IFERROR(CALCOLASCADENZA(Table2[[#This Row],[Data attivazione]],Table2[[#This Row],[Rateizzazione]],Table2[[#This Row],[Data ultimo pagamento]],Table2[[#This Row],[Data prossima scadenza manuale]]),"-")</f>
        <v>43003</v>
      </c>
      <c r="H736" s="67" t="s">
        <v>31</v>
      </c>
      <c r="I736" s="67" t="s">
        <v>1425</v>
      </c>
      <c r="J736" s="33">
        <f>IFERROR(Table2[[#This Row],[Importo annuale]]/(12/VLOOKUP(Table2[[#This Row],[Rateizzazione]],TIPI_RATEIZZAZIONI,2,FALSE)),"-")</f>
        <v>156</v>
      </c>
      <c r="K736" s="88">
        <v>156</v>
      </c>
      <c r="L736" s="88">
        <v>312</v>
      </c>
      <c r="M736" s="67" t="s">
        <v>45</v>
      </c>
      <c r="N736" s="67" t="s">
        <v>52</v>
      </c>
      <c r="O736" s="27" t="s">
        <v>1631</v>
      </c>
      <c r="P736" s="33" t="s">
        <v>22</v>
      </c>
      <c r="Q736" s="60">
        <f>IFERROR(IF(12 / VLOOKUP(Table2[[#This Row],[Rateizzazione]],TIPI_RATEIZZAZIONI,2,FALSE) &gt;=1,  IF(Table2[[#This Row],[Data attivazione]] = "","-",MONTH(Table2[[#This Row],[Data attivazione]])),"-"),"-")</f>
        <v>9</v>
      </c>
      <c r="R7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6" s="67" t="s">
        <v>2</v>
      </c>
      <c r="V736" s="62"/>
      <c r="W736" s="64">
        <v>42638</v>
      </c>
      <c r="X736" s="29">
        <f>DATE(YEAR(Table2[[#This Row],[Data attivazione]])+VLOOKUP(Table2[[#This Row],[Durata]],VALORE_DURATA,2,FALSE),MONTH(Table2[[#This Row],[Data attivazione]]),DAY(Table2[[#This Row],[Data attivazione]]))</f>
        <v>43003</v>
      </c>
      <c r="Y736" s="65"/>
      <c r="Z736" s="61"/>
      <c r="AA736" s="64" t="s">
        <v>85</v>
      </c>
      <c r="AB736" s="29" t="str">
        <f>IF(Table2[[#This Row],[Data ultimo versamento temp]]=0/1/1900,"-",Table2[[#This Row],[Data ultimo versamento temp]])</f>
        <v>-</v>
      </c>
      <c r="AC736" s="29">
        <f t="array" ref="AC736">MAX(IF(TableVersamenti[Polizza]=Table2[[#This Row],[Polizza]],TableVersamenti[Data prevista versamento],"-"))</f>
        <v>0</v>
      </c>
      <c r="AD736" s="62"/>
      <c r="AE736" s="106">
        <f>DATE(YEAR(Table2[[#This Row],[Data ultimo pagamento]]),MONTH(Table2[[#This Row],[Data ultimo pagamento]]), 1)</f>
        <v>42795</v>
      </c>
      <c r="AF736" s="106">
        <f>DATE(YEAR(Table2[[#This Row],[Data prossima scadenza]]),MONTH(Table2[[#This Row],[Data prossima scadenza]]), 1)</f>
        <v>42979</v>
      </c>
      <c r="AG736" s="33">
        <f>IFERROR(Table2[[#This Row],[Importo annuale]]*VLOOKUP(Table2[[#This Row],[Ramo]],RAMI_POLIZZA,2,FALSE),0)</f>
        <v>16.224</v>
      </c>
      <c r="AH736" s="65" t="s">
        <v>113</v>
      </c>
      <c r="AI736" s="63" t="str">
        <f>IFERROR(VLOOKUP(Table2[[#This Row],[Contraente]],Table1[[Nome/Ragione sociale]:[Checkbox selezionato]],2,FALSE),"-")</f>
        <v>TRAVACO' SICCOMARIO</v>
      </c>
      <c r="AJ736" s="63">
        <f>IFERROR(VLOOKUP(Table2[[#This Row],[Contraente]],Table1[[Nome/Ragione sociale]:[Checkbox selezionato]],3,FALSE),"-")</f>
        <v>3665895859</v>
      </c>
      <c r="AK736" s="63">
        <f>IFERROR(VLOOKUP(Table2[[#This Row],[Contraente]],Table1[[Nome/Ragione sociale]:[Checkbox selezionato]],4,FALSE),"-")</f>
        <v>0</v>
      </c>
      <c r="AL736" s="63" t="str">
        <f>IFERROR(VLOOKUP(Table2[[#This Row],[Contraente]],Table1[[Nome/Ragione sociale]:[Checkbox selezionato]],5,FALSE),"-")</f>
        <v>VERONICA</v>
      </c>
      <c r="AM736" s="62">
        <f>IFERROR(VLOOKUP(Table2[[#This Row],[Contraente]],Table1[[Nome/Ragione sociale]:[Checkbox selezionato]],6,FALSE),"-")</f>
        <v>28400</v>
      </c>
      <c r="AN736" s="63" t="str">
        <f>IFERROR(VLOOKUP(Table2[[#This Row],[Contraente]],Table1[[Nome/Ragione sociale]:[Checkbox selezionato]],7,FALSE),"-")</f>
        <v>papies@libero.it</v>
      </c>
      <c r="AO736" s="63">
        <f>IFERROR(VLOOKUP(Table2[[#This Row],[Contraente]],Table1[[Nome/Ragione sociale]:[Checkbox selezionato]],8,FALSE),"-")</f>
        <v>0</v>
      </c>
      <c r="AP736" s="63">
        <f>IFERROR(VLOOKUP(Table2[[#This Row],[Contraente]],Table1[[Nome/Ragione sociale]:[Checkbox selezionato]],10,FALSE),"-")</f>
        <v>3665895859</v>
      </c>
      <c r="AQ736" s="63" t="str">
        <f>IFERROR(VLOOKUP(Table2[[#This Row],[Contraente]],Table1[[Nome/Ragione sociale]:[Checkbox selezionato]],11,FALSE),"-")</f>
        <v>SI</v>
      </c>
      <c r="AR736" s="63" t="str">
        <f>IFERROR(VLOOKUP(Table2[[#This Row],[Contraente]],Table1[[Nome/Ragione sociale]:[Checkbox selezionato]],12,FALSE),"-")</f>
        <v>SI</v>
      </c>
    </row>
    <row r="737" spans="1:44" ht="30" hidden="1" customHeight="1" x14ac:dyDescent="0.25">
      <c r="A737" s="60" t="str">
        <f>UPPER(LEFT(Table2[[#This Row],[Contraente]],1))</f>
        <v>M</v>
      </c>
      <c r="B737" s="60" t="s">
        <v>1634</v>
      </c>
      <c r="C737" s="81" t="s">
        <v>146</v>
      </c>
      <c r="D737" s="81" t="s">
        <v>37</v>
      </c>
      <c r="E737" s="86">
        <v>104998642</v>
      </c>
      <c r="F737" s="64">
        <v>42872</v>
      </c>
      <c r="G737" s="64">
        <f>IFERROR(CALCOLASCADENZA(Table2[[#This Row],[Data attivazione]],Table2[[#This Row],[Rateizzazione]],Table2[[#This Row],[Data ultimo pagamento]],Table2[[#This Row],[Data prossima scadenza manuale]]),"-")</f>
        <v>43045</v>
      </c>
      <c r="H737" s="67" t="s">
        <v>31</v>
      </c>
      <c r="I737" s="67" t="s">
        <v>1427</v>
      </c>
      <c r="J737" s="33">
        <f>IFERROR(Table2[[#This Row],[Importo annuale]]/(12/VLOOKUP(Table2[[#This Row],[Rateizzazione]],TIPI_RATEIZZAZIONI,2,FALSE)),"-")</f>
        <v>475</v>
      </c>
      <c r="K737" s="88">
        <v>475</v>
      </c>
      <c r="L737" s="88">
        <v>950</v>
      </c>
      <c r="M737" s="67" t="s">
        <v>43</v>
      </c>
      <c r="N737" s="67" t="s">
        <v>51</v>
      </c>
      <c r="O737" s="27" t="s">
        <v>1631</v>
      </c>
      <c r="P737" s="33" t="s">
        <v>22</v>
      </c>
      <c r="Q737" s="60">
        <f>IFERROR(IF(12 / VLOOKUP(Table2[[#This Row],[Rateizzazione]],TIPI_RATEIZZAZIONI,2,FALSE) &gt;=1,  IF(Table2[[#This Row],[Data attivazione]] = "","-",MONTH(Table2[[#This Row],[Data attivazione]])),"-"),"-")</f>
        <v>11</v>
      </c>
      <c r="R7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7" s="67" t="s">
        <v>2</v>
      </c>
      <c r="V737" s="62"/>
      <c r="W737" s="64">
        <v>42680</v>
      </c>
      <c r="X737" s="29">
        <f>DATE(YEAR(Table2[[#This Row],[Data attivazione]])+VLOOKUP(Table2[[#This Row],[Durata]],VALORE_DURATA,2,FALSE),MONTH(Table2[[#This Row],[Data attivazione]]),DAY(Table2[[#This Row],[Data attivazione]]))</f>
        <v>43045</v>
      </c>
      <c r="Y737" s="65"/>
      <c r="Z737" s="61"/>
      <c r="AA737" s="64" t="s">
        <v>85</v>
      </c>
      <c r="AB737" s="29" t="str">
        <f>IF(Table2[[#This Row],[Data ultimo versamento temp]]=0/1/1900,"-",Table2[[#This Row],[Data ultimo versamento temp]])</f>
        <v>-</v>
      </c>
      <c r="AC737" s="29">
        <f t="array" ref="AC737">MAX(IF(TableVersamenti[Polizza]=Table2[[#This Row],[Polizza]],TableVersamenti[Data prevista versamento],"-"))</f>
        <v>0</v>
      </c>
      <c r="AD737" s="62"/>
      <c r="AE737" s="106">
        <f>DATE(YEAR(Table2[[#This Row],[Data ultimo pagamento]]),MONTH(Table2[[#This Row],[Data ultimo pagamento]]), 1)</f>
        <v>42856</v>
      </c>
      <c r="AF737" s="106">
        <f>DATE(YEAR(Table2[[#This Row],[Data prossima scadenza]]),MONTH(Table2[[#This Row],[Data prossima scadenza]]), 1)</f>
        <v>43040</v>
      </c>
      <c r="AG737" s="33">
        <f>IFERROR(Table2[[#This Row],[Importo annuale]]*VLOOKUP(Table2[[#This Row],[Ramo]],RAMI_POLIZZA,2,FALSE),0)</f>
        <v>49.4</v>
      </c>
      <c r="AH737" s="65" t="s">
        <v>113</v>
      </c>
      <c r="AI737" s="63" t="str">
        <f>IFERROR(VLOOKUP(Table2[[#This Row],[Contraente]],Table1[[Nome/Ragione sociale]:[Checkbox selezionato]],2,FALSE),"-")</f>
        <v>TRAVACO' SICCOMARIO</v>
      </c>
      <c r="AJ737" s="63">
        <f>IFERROR(VLOOKUP(Table2[[#This Row],[Contraente]],Table1[[Nome/Ragione sociale]:[Checkbox selezionato]],3,FALSE),"-")</f>
        <v>3665895859</v>
      </c>
      <c r="AK737" s="63">
        <f>IFERROR(VLOOKUP(Table2[[#This Row],[Contraente]],Table1[[Nome/Ragione sociale]:[Checkbox selezionato]],4,FALSE),"-")</f>
        <v>0</v>
      </c>
      <c r="AL737" s="63" t="str">
        <f>IFERROR(VLOOKUP(Table2[[#This Row],[Contraente]],Table1[[Nome/Ragione sociale]:[Checkbox selezionato]],5,FALSE),"-")</f>
        <v>VERONICA</v>
      </c>
      <c r="AM737" s="62">
        <f>IFERROR(VLOOKUP(Table2[[#This Row],[Contraente]],Table1[[Nome/Ragione sociale]:[Checkbox selezionato]],6,FALSE),"-")</f>
        <v>28400</v>
      </c>
      <c r="AN737" s="63" t="str">
        <f>IFERROR(VLOOKUP(Table2[[#This Row],[Contraente]],Table1[[Nome/Ragione sociale]:[Checkbox selezionato]],7,FALSE),"-")</f>
        <v>papies@libero.it</v>
      </c>
      <c r="AO737" s="63">
        <f>IFERROR(VLOOKUP(Table2[[#This Row],[Contraente]],Table1[[Nome/Ragione sociale]:[Checkbox selezionato]],8,FALSE),"-")</f>
        <v>0</v>
      </c>
      <c r="AP737" s="63">
        <f>IFERROR(VLOOKUP(Table2[[#This Row],[Contraente]],Table1[[Nome/Ragione sociale]:[Checkbox selezionato]],10,FALSE),"-")</f>
        <v>3665895859</v>
      </c>
      <c r="AQ737" s="63" t="str">
        <f>IFERROR(VLOOKUP(Table2[[#This Row],[Contraente]],Table1[[Nome/Ragione sociale]:[Checkbox selezionato]],11,FALSE),"-")</f>
        <v>SI</v>
      </c>
      <c r="AR737" s="63" t="str">
        <f>IFERROR(VLOOKUP(Table2[[#This Row],[Contraente]],Table1[[Nome/Ragione sociale]:[Checkbox selezionato]],12,FALSE),"-")</f>
        <v>SI</v>
      </c>
    </row>
    <row r="738" spans="1:44" ht="30" hidden="1" customHeight="1" x14ac:dyDescent="0.25">
      <c r="A738" s="60" t="str">
        <f>UPPER(LEFT(Table2[[#This Row],[Contraente]],1))</f>
        <v>M</v>
      </c>
      <c r="B738" s="60" t="s">
        <v>1634</v>
      </c>
      <c r="C738" s="81" t="s">
        <v>146</v>
      </c>
      <c r="D738" s="81" t="s">
        <v>37</v>
      </c>
      <c r="E738" s="86">
        <v>105627401</v>
      </c>
      <c r="F738" s="64">
        <v>42872</v>
      </c>
      <c r="G738" s="64">
        <f>IFERROR(CALCOLASCADENZA(Table2[[#This Row],[Data attivazione]],Table2[[#This Row],[Rateizzazione]],Table2[[#This Row],[Data ultimo pagamento]],Table2[[#This Row],[Data prossima scadenza manuale]]),"-")</f>
        <v>43059</v>
      </c>
      <c r="H738" s="67" t="s">
        <v>31</v>
      </c>
      <c r="I738" s="67" t="s">
        <v>1428</v>
      </c>
      <c r="J738" s="33">
        <f>IFERROR(Table2[[#This Row],[Importo annuale]]/(12/VLOOKUP(Table2[[#This Row],[Rateizzazione]],TIPI_RATEIZZAZIONI,2,FALSE)),"-")</f>
        <v>131</v>
      </c>
      <c r="K738" s="88">
        <v>131</v>
      </c>
      <c r="L738" s="88">
        <v>262</v>
      </c>
      <c r="M738" s="67" t="s">
        <v>43</v>
      </c>
      <c r="N738" s="67" t="s">
        <v>51</v>
      </c>
      <c r="O738" s="27" t="s">
        <v>1631</v>
      </c>
      <c r="P738" s="33" t="s">
        <v>22</v>
      </c>
      <c r="Q738" s="60">
        <f>IFERROR(IF(12 / VLOOKUP(Table2[[#This Row],[Rateizzazione]],TIPI_RATEIZZAZIONI,2,FALSE) &gt;=1,  IF(Table2[[#This Row],[Data attivazione]] = "","-",MONTH(Table2[[#This Row],[Data attivazione]])),"-"),"-")</f>
        <v>11</v>
      </c>
      <c r="R7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8" s="67" t="s">
        <v>2</v>
      </c>
      <c r="V738" s="62"/>
      <c r="W738" s="64">
        <v>42694</v>
      </c>
      <c r="X738" s="29">
        <f>DATE(YEAR(Table2[[#This Row],[Data attivazione]])+VLOOKUP(Table2[[#This Row],[Durata]],VALORE_DURATA,2,FALSE),MONTH(Table2[[#This Row],[Data attivazione]]),DAY(Table2[[#This Row],[Data attivazione]]))</f>
        <v>43059</v>
      </c>
      <c r="Y738" s="65"/>
      <c r="Z738" s="61"/>
      <c r="AA738" s="64" t="s">
        <v>85</v>
      </c>
      <c r="AB738" s="29" t="str">
        <f>IF(Table2[[#This Row],[Data ultimo versamento temp]]=0/1/1900,"-",Table2[[#This Row],[Data ultimo versamento temp]])</f>
        <v>-</v>
      </c>
      <c r="AC738" s="29">
        <f t="array" ref="AC738">MAX(IF(TableVersamenti[Polizza]=Table2[[#This Row],[Polizza]],TableVersamenti[Data prevista versamento],"-"))</f>
        <v>0</v>
      </c>
      <c r="AD738" s="62"/>
      <c r="AE738" s="106">
        <f>DATE(YEAR(Table2[[#This Row],[Data ultimo pagamento]]),MONTH(Table2[[#This Row],[Data ultimo pagamento]]), 1)</f>
        <v>42856</v>
      </c>
      <c r="AF738" s="106">
        <f>DATE(YEAR(Table2[[#This Row],[Data prossima scadenza]]),MONTH(Table2[[#This Row],[Data prossima scadenza]]), 1)</f>
        <v>43040</v>
      </c>
      <c r="AG738" s="33">
        <f>IFERROR(Table2[[#This Row],[Importo annuale]]*VLOOKUP(Table2[[#This Row],[Ramo]],RAMI_POLIZZA,2,FALSE),0)</f>
        <v>13.623999999999999</v>
      </c>
      <c r="AH738" s="65" t="s">
        <v>113</v>
      </c>
      <c r="AI738" s="63" t="str">
        <f>IFERROR(VLOOKUP(Table2[[#This Row],[Contraente]],Table1[[Nome/Ragione sociale]:[Checkbox selezionato]],2,FALSE),"-")</f>
        <v>TRAVACO' SICCOMARIO</v>
      </c>
      <c r="AJ738" s="63">
        <f>IFERROR(VLOOKUP(Table2[[#This Row],[Contraente]],Table1[[Nome/Ragione sociale]:[Checkbox selezionato]],3,FALSE),"-")</f>
        <v>3665895859</v>
      </c>
      <c r="AK738" s="63">
        <f>IFERROR(VLOOKUP(Table2[[#This Row],[Contraente]],Table1[[Nome/Ragione sociale]:[Checkbox selezionato]],4,FALSE),"-")</f>
        <v>0</v>
      </c>
      <c r="AL738" s="63" t="str">
        <f>IFERROR(VLOOKUP(Table2[[#This Row],[Contraente]],Table1[[Nome/Ragione sociale]:[Checkbox selezionato]],5,FALSE),"-")</f>
        <v>VERONICA</v>
      </c>
      <c r="AM738" s="62">
        <f>IFERROR(VLOOKUP(Table2[[#This Row],[Contraente]],Table1[[Nome/Ragione sociale]:[Checkbox selezionato]],6,FALSE),"-")</f>
        <v>28400</v>
      </c>
      <c r="AN738" s="63" t="str">
        <f>IFERROR(VLOOKUP(Table2[[#This Row],[Contraente]],Table1[[Nome/Ragione sociale]:[Checkbox selezionato]],7,FALSE),"-")</f>
        <v>papies@libero.it</v>
      </c>
      <c r="AO738" s="63">
        <f>IFERROR(VLOOKUP(Table2[[#This Row],[Contraente]],Table1[[Nome/Ragione sociale]:[Checkbox selezionato]],8,FALSE),"-")</f>
        <v>0</v>
      </c>
      <c r="AP738" s="63">
        <f>IFERROR(VLOOKUP(Table2[[#This Row],[Contraente]],Table1[[Nome/Ragione sociale]:[Checkbox selezionato]],10,FALSE),"-")</f>
        <v>3665895859</v>
      </c>
      <c r="AQ738" s="63" t="str">
        <f>IFERROR(VLOOKUP(Table2[[#This Row],[Contraente]],Table1[[Nome/Ragione sociale]:[Checkbox selezionato]],11,FALSE),"-")</f>
        <v>SI</v>
      </c>
      <c r="AR738" s="63" t="str">
        <f>IFERROR(VLOOKUP(Table2[[#This Row],[Contraente]],Table1[[Nome/Ragione sociale]:[Checkbox selezionato]],12,FALSE),"-")</f>
        <v>SI</v>
      </c>
    </row>
    <row r="739" spans="1:44" ht="30" hidden="1" customHeight="1" x14ac:dyDescent="0.25">
      <c r="A739" s="60" t="str">
        <f>UPPER(LEFT(Table2[[#This Row],[Contraente]],1))</f>
        <v>M</v>
      </c>
      <c r="B739" s="60" t="s">
        <v>1634</v>
      </c>
      <c r="C739" s="81" t="s">
        <v>146</v>
      </c>
      <c r="D739" s="81" t="s">
        <v>37</v>
      </c>
      <c r="E739" s="86">
        <v>104998585</v>
      </c>
      <c r="F739" s="64">
        <v>42872</v>
      </c>
      <c r="G739" s="64">
        <f>IFERROR(CALCOLASCADENZA(Table2[[#This Row],[Data attivazione]],Table2[[#This Row],[Rateizzazione]],Table2[[#This Row],[Data ultimo pagamento]],Table2[[#This Row],[Data prossima scadenza manuale]]),"-")</f>
        <v>43045</v>
      </c>
      <c r="H739" s="67" t="s">
        <v>30</v>
      </c>
      <c r="I739" s="67" t="s">
        <v>113</v>
      </c>
      <c r="J739" s="33">
        <f>IFERROR(Table2[[#This Row],[Importo annuale]]/(12/VLOOKUP(Table2[[#This Row],[Rateizzazione]],TIPI_RATEIZZAZIONI,2,FALSE)),"-")</f>
        <v>444</v>
      </c>
      <c r="K739" s="88">
        <v>444</v>
      </c>
      <c r="L739" s="88">
        <v>888</v>
      </c>
      <c r="M739" s="67" t="s">
        <v>43</v>
      </c>
      <c r="N739" s="67" t="s">
        <v>51</v>
      </c>
      <c r="O739" s="27" t="s">
        <v>1631</v>
      </c>
      <c r="P739" s="33" t="s">
        <v>22</v>
      </c>
      <c r="Q739" s="60">
        <f>IFERROR(IF(12 / VLOOKUP(Table2[[#This Row],[Rateizzazione]],TIPI_RATEIZZAZIONI,2,FALSE) &gt;=1,  IF(Table2[[#This Row],[Data attivazione]] = "","-",MONTH(Table2[[#This Row],[Data attivazione]])),"-"),"-")</f>
        <v>11</v>
      </c>
      <c r="R7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9" s="67" t="s">
        <v>2</v>
      </c>
      <c r="V739" s="62"/>
      <c r="W739" s="64">
        <v>42680</v>
      </c>
      <c r="X739" s="29">
        <f>DATE(YEAR(Table2[[#This Row],[Data attivazione]])+VLOOKUP(Table2[[#This Row],[Durata]],VALORE_DURATA,2,FALSE),MONTH(Table2[[#This Row],[Data attivazione]]),DAY(Table2[[#This Row],[Data attivazione]]))</f>
        <v>43045</v>
      </c>
      <c r="Y739" s="65"/>
      <c r="Z739" s="61"/>
      <c r="AA739" s="64" t="s">
        <v>85</v>
      </c>
      <c r="AB739" s="29" t="str">
        <f>IF(Table2[[#This Row],[Data ultimo versamento temp]]=0/1/1900,"-",Table2[[#This Row],[Data ultimo versamento temp]])</f>
        <v>-</v>
      </c>
      <c r="AC739" s="29">
        <f t="array" ref="AC739">MAX(IF(TableVersamenti[Polizza]=Table2[[#This Row],[Polizza]],TableVersamenti[Data prevista versamento],"-"))</f>
        <v>0</v>
      </c>
      <c r="AD739" s="62"/>
      <c r="AE739" s="106">
        <f>DATE(YEAR(Table2[[#This Row],[Data ultimo pagamento]]),MONTH(Table2[[#This Row],[Data ultimo pagamento]]), 1)</f>
        <v>42856</v>
      </c>
      <c r="AF739" s="106">
        <f>DATE(YEAR(Table2[[#This Row],[Data prossima scadenza]]),MONTH(Table2[[#This Row],[Data prossima scadenza]]), 1)</f>
        <v>43040</v>
      </c>
      <c r="AG739" s="33">
        <f>IFERROR(Table2[[#This Row],[Importo annuale]]*VLOOKUP(Table2[[#This Row],[Ramo]],RAMI_POLIZZA,2,FALSE),0)</f>
        <v>102.12</v>
      </c>
      <c r="AH739" s="65" t="s">
        <v>113</v>
      </c>
      <c r="AI739" s="63" t="str">
        <f>IFERROR(VLOOKUP(Table2[[#This Row],[Contraente]],Table1[[Nome/Ragione sociale]:[Checkbox selezionato]],2,FALSE),"-")</f>
        <v>TRAVACO' SICCOMARIO</v>
      </c>
      <c r="AJ739" s="63">
        <f>IFERROR(VLOOKUP(Table2[[#This Row],[Contraente]],Table1[[Nome/Ragione sociale]:[Checkbox selezionato]],3,FALSE),"-")</f>
        <v>3665895859</v>
      </c>
      <c r="AK739" s="63">
        <f>IFERROR(VLOOKUP(Table2[[#This Row],[Contraente]],Table1[[Nome/Ragione sociale]:[Checkbox selezionato]],4,FALSE),"-")</f>
        <v>0</v>
      </c>
      <c r="AL739" s="63" t="str">
        <f>IFERROR(VLOOKUP(Table2[[#This Row],[Contraente]],Table1[[Nome/Ragione sociale]:[Checkbox selezionato]],5,FALSE),"-")</f>
        <v>VERONICA</v>
      </c>
      <c r="AM739" s="62">
        <f>IFERROR(VLOOKUP(Table2[[#This Row],[Contraente]],Table1[[Nome/Ragione sociale]:[Checkbox selezionato]],6,FALSE),"-")</f>
        <v>28400</v>
      </c>
      <c r="AN739" s="63" t="str">
        <f>IFERROR(VLOOKUP(Table2[[#This Row],[Contraente]],Table1[[Nome/Ragione sociale]:[Checkbox selezionato]],7,FALSE),"-")</f>
        <v>papies@libero.it</v>
      </c>
      <c r="AO739" s="63">
        <f>IFERROR(VLOOKUP(Table2[[#This Row],[Contraente]],Table1[[Nome/Ragione sociale]:[Checkbox selezionato]],8,FALSE),"-")</f>
        <v>0</v>
      </c>
      <c r="AP739" s="63">
        <f>IFERROR(VLOOKUP(Table2[[#This Row],[Contraente]],Table1[[Nome/Ragione sociale]:[Checkbox selezionato]],10,FALSE),"-")</f>
        <v>3665895859</v>
      </c>
      <c r="AQ739" s="63" t="str">
        <f>IFERROR(VLOOKUP(Table2[[#This Row],[Contraente]],Table1[[Nome/Ragione sociale]:[Checkbox selezionato]],11,FALSE),"-")</f>
        <v>SI</v>
      </c>
      <c r="AR739" s="63" t="str">
        <f>IFERROR(VLOOKUP(Table2[[#This Row],[Contraente]],Table1[[Nome/Ragione sociale]:[Checkbox selezionato]],12,FALSE),"-")</f>
        <v>SI</v>
      </c>
    </row>
    <row r="740" spans="1:44" ht="30" hidden="1" customHeight="1" x14ac:dyDescent="0.25">
      <c r="A740" s="60" t="str">
        <f>UPPER(LEFT(Table2[[#This Row],[Contraente]],1))</f>
        <v>M</v>
      </c>
      <c r="B740" s="60" t="s">
        <v>1634</v>
      </c>
      <c r="C740" s="81" t="s">
        <v>146</v>
      </c>
      <c r="D740" s="81" t="s">
        <v>37</v>
      </c>
      <c r="E740" s="86">
        <v>105977579</v>
      </c>
      <c r="F740" s="64">
        <v>42796</v>
      </c>
      <c r="G740" s="64">
        <f>IFERROR(CALCOLASCADENZA(Table2[[#This Row],[Data attivazione]],Table2[[#This Row],[Rateizzazione]],Table2[[#This Row],[Data ultimo pagamento]],Table2[[#This Row],[Data prossima scadenza manuale]]),"-")</f>
        <v>42973</v>
      </c>
      <c r="H740" s="67" t="s">
        <v>31</v>
      </c>
      <c r="I740" s="67" t="s">
        <v>1429</v>
      </c>
      <c r="J740" s="33">
        <f>IFERROR(Table2[[#This Row],[Importo annuale]]/(12/VLOOKUP(Table2[[#This Row],[Rateizzazione]],TIPI_RATEIZZAZIONI,2,FALSE)),"-")</f>
        <v>466</v>
      </c>
      <c r="K740" s="88">
        <v>466</v>
      </c>
      <c r="L740" s="88">
        <v>932</v>
      </c>
      <c r="M740" s="67" t="s">
        <v>44</v>
      </c>
      <c r="N740" s="67" t="s">
        <v>52</v>
      </c>
      <c r="O740" s="27" t="s">
        <v>1631</v>
      </c>
      <c r="P740" s="33" t="s">
        <v>22</v>
      </c>
      <c r="Q740" s="60">
        <f>IFERROR(IF(12 / VLOOKUP(Table2[[#This Row],[Rateizzazione]],TIPI_RATEIZZAZIONI,2,FALSE) &gt;=1,  IF(Table2[[#This Row],[Data attivazione]] = "","-",MONTH(Table2[[#This Row],[Data attivazione]])),"-"),"-")</f>
        <v>8</v>
      </c>
      <c r="R7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0" s="67" t="s">
        <v>2</v>
      </c>
      <c r="V740" s="62"/>
      <c r="W740" s="64">
        <v>42608</v>
      </c>
      <c r="X740" s="29">
        <f>DATE(YEAR(Table2[[#This Row],[Data attivazione]])+VLOOKUP(Table2[[#This Row],[Durata]],VALORE_DURATA,2,FALSE),MONTH(Table2[[#This Row],[Data attivazione]]),DAY(Table2[[#This Row],[Data attivazione]]))</f>
        <v>42973</v>
      </c>
      <c r="Y740" s="65"/>
      <c r="Z740" s="61"/>
      <c r="AA740" s="64" t="s">
        <v>85</v>
      </c>
      <c r="AB740" s="29" t="str">
        <f>IF(Table2[[#This Row],[Data ultimo versamento temp]]=0/1/1900,"-",Table2[[#This Row],[Data ultimo versamento temp]])</f>
        <v>-</v>
      </c>
      <c r="AC740" s="29">
        <f t="array" ref="AC740">MAX(IF(TableVersamenti[Polizza]=Table2[[#This Row],[Polizza]],TableVersamenti[Data prevista versamento],"-"))</f>
        <v>0</v>
      </c>
      <c r="AD740" s="62"/>
      <c r="AE740" s="106">
        <f>DATE(YEAR(Table2[[#This Row],[Data ultimo pagamento]]),MONTH(Table2[[#This Row],[Data ultimo pagamento]]), 1)</f>
        <v>42795</v>
      </c>
      <c r="AF740" s="106">
        <f>DATE(YEAR(Table2[[#This Row],[Data prossima scadenza]]),MONTH(Table2[[#This Row],[Data prossima scadenza]]), 1)</f>
        <v>42948</v>
      </c>
      <c r="AG740" s="33">
        <f>IFERROR(Table2[[#This Row],[Importo annuale]]*VLOOKUP(Table2[[#This Row],[Ramo]],RAMI_POLIZZA,2,FALSE),0)</f>
        <v>48.463999999999999</v>
      </c>
      <c r="AH740" s="65" t="s">
        <v>113</v>
      </c>
      <c r="AI740" s="63" t="str">
        <f>IFERROR(VLOOKUP(Table2[[#This Row],[Contraente]],Table1[[Nome/Ragione sociale]:[Checkbox selezionato]],2,FALSE),"-")</f>
        <v>TRAVACO' SICCOMARIO</v>
      </c>
      <c r="AJ740" s="63">
        <f>IFERROR(VLOOKUP(Table2[[#This Row],[Contraente]],Table1[[Nome/Ragione sociale]:[Checkbox selezionato]],3,FALSE),"-")</f>
        <v>3665895859</v>
      </c>
      <c r="AK740" s="63">
        <f>IFERROR(VLOOKUP(Table2[[#This Row],[Contraente]],Table1[[Nome/Ragione sociale]:[Checkbox selezionato]],4,FALSE),"-")</f>
        <v>0</v>
      </c>
      <c r="AL740" s="63" t="str">
        <f>IFERROR(VLOOKUP(Table2[[#This Row],[Contraente]],Table1[[Nome/Ragione sociale]:[Checkbox selezionato]],5,FALSE),"-")</f>
        <v>VERONICA</v>
      </c>
      <c r="AM740" s="62">
        <f>IFERROR(VLOOKUP(Table2[[#This Row],[Contraente]],Table1[[Nome/Ragione sociale]:[Checkbox selezionato]],6,FALSE),"-")</f>
        <v>28400</v>
      </c>
      <c r="AN740" s="63" t="str">
        <f>IFERROR(VLOOKUP(Table2[[#This Row],[Contraente]],Table1[[Nome/Ragione sociale]:[Checkbox selezionato]],7,FALSE),"-")</f>
        <v>papies@libero.it</v>
      </c>
      <c r="AO740" s="63">
        <f>IFERROR(VLOOKUP(Table2[[#This Row],[Contraente]],Table1[[Nome/Ragione sociale]:[Checkbox selezionato]],8,FALSE),"-")</f>
        <v>0</v>
      </c>
      <c r="AP740" s="63">
        <f>IFERROR(VLOOKUP(Table2[[#This Row],[Contraente]],Table1[[Nome/Ragione sociale]:[Checkbox selezionato]],10,FALSE),"-")</f>
        <v>3665895859</v>
      </c>
      <c r="AQ740" s="63" t="str">
        <f>IFERROR(VLOOKUP(Table2[[#This Row],[Contraente]],Table1[[Nome/Ragione sociale]:[Checkbox selezionato]],11,FALSE),"-")</f>
        <v>SI</v>
      </c>
      <c r="AR740" s="63" t="str">
        <f>IFERROR(VLOOKUP(Table2[[#This Row],[Contraente]],Table1[[Nome/Ragione sociale]:[Checkbox selezionato]],12,FALSE),"-")</f>
        <v>SI</v>
      </c>
    </row>
    <row r="741" spans="1:44" ht="30" hidden="1" customHeight="1" x14ac:dyDescent="0.25">
      <c r="A741" s="60" t="str">
        <f>UPPER(LEFT(Table2[[#This Row],[Contraente]],1))</f>
        <v>M</v>
      </c>
      <c r="B741" s="60" t="s">
        <v>1634</v>
      </c>
      <c r="C741" s="81" t="s">
        <v>824</v>
      </c>
      <c r="D741" s="81" t="s">
        <v>37</v>
      </c>
      <c r="E741" s="86">
        <v>106162005</v>
      </c>
      <c r="F741" s="64">
        <v>42668</v>
      </c>
      <c r="G741" s="64">
        <f>IFERROR(CALCOLASCADENZA(Table2[[#This Row],[Data attivazione]],Table2[[#This Row],[Rateizzazione]],Table2[[#This Row],[Data ultimo pagamento]],Table2[[#This Row],[Data prossima scadenza manuale]]),"-")</f>
        <v>43028</v>
      </c>
      <c r="H741" s="67" t="s">
        <v>31</v>
      </c>
      <c r="I741" s="67" t="s">
        <v>1430</v>
      </c>
      <c r="J741" s="33">
        <f>IFERROR(Table2[[#This Row],[Importo annuale]]/(12/VLOOKUP(Table2[[#This Row],[Rateizzazione]],TIPI_RATEIZZAZIONI,2,FALSE)),"-")</f>
        <v>563.67999999999995</v>
      </c>
      <c r="K741" s="88"/>
      <c r="L741" s="88">
        <v>563.67999999999995</v>
      </c>
      <c r="M741" s="67" t="s">
        <v>44</v>
      </c>
      <c r="N741" s="67" t="s">
        <v>51</v>
      </c>
      <c r="O741" s="27" t="s">
        <v>1631</v>
      </c>
      <c r="P741" s="33" t="s">
        <v>23</v>
      </c>
      <c r="Q741" s="60">
        <f>IFERROR(IF(12 / VLOOKUP(Table2[[#This Row],[Rateizzazione]],TIPI_RATEIZZAZIONI,2,FALSE) &gt;=1,  IF(Table2[[#This Row],[Data attivazione]] = "","-",MONTH(Table2[[#This Row],[Data attivazione]])),"-"),"-")</f>
        <v>10</v>
      </c>
      <c r="R7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1" s="67" t="s">
        <v>2</v>
      </c>
      <c r="V741" s="62"/>
      <c r="W741" s="64">
        <v>42663</v>
      </c>
      <c r="X741" s="29">
        <f>DATE(YEAR(Table2[[#This Row],[Data attivazione]])+VLOOKUP(Table2[[#This Row],[Durata]],VALORE_DURATA,2,FALSE),MONTH(Table2[[#This Row],[Data attivazione]]),DAY(Table2[[#This Row],[Data attivazione]]))</f>
        <v>43028</v>
      </c>
      <c r="Y741" s="65"/>
      <c r="Z741" s="61"/>
      <c r="AA741" s="64" t="s">
        <v>85</v>
      </c>
      <c r="AB741" s="29" t="str">
        <f>IF(Table2[[#This Row],[Data ultimo versamento temp]]=0/1/1900,"-",Table2[[#This Row],[Data ultimo versamento temp]])</f>
        <v>-</v>
      </c>
      <c r="AC741" s="29">
        <f t="array" ref="AC741">MAX(IF(TableVersamenti[Polizza]=Table2[[#This Row],[Polizza]],TableVersamenti[Data prevista versamento],"-"))</f>
        <v>0</v>
      </c>
      <c r="AD741" s="62"/>
      <c r="AE741" s="106">
        <f>DATE(YEAR(Table2[[#This Row],[Data ultimo pagamento]]),MONTH(Table2[[#This Row],[Data ultimo pagamento]]), 1)</f>
        <v>42644</v>
      </c>
      <c r="AF741" s="106">
        <f>DATE(YEAR(Table2[[#This Row],[Data prossima scadenza]]),MONTH(Table2[[#This Row],[Data prossima scadenza]]), 1)</f>
        <v>43009</v>
      </c>
      <c r="AG741" s="33">
        <f>IFERROR(Table2[[#This Row],[Importo annuale]]*VLOOKUP(Table2[[#This Row],[Ramo]],RAMI_POLIZZA,2,FALSE),0)</f>
        <v>29.311359999999997</v>
      </c>
      <c r="AH741" s="65" t="s">
        <v>113</v>
      </c>
      <c r="AI741" s="63" t="str">
        <f>IFERROR(VLOOKUP(Table2[[#This Row],[Contraente]],Table1[[Nome/Ragione sociale]:[Checkbox selezionato]],2,FALSE),"-")</f>
        <v>BELGIOIOSO</v>
      </c>
      <c r="AJ741" s="63">
        <f>IFERROR(VLOOKUP(Table2[[#This Row],[Contraente]],Table1[[Nome/Ragione sociale]:[Checkbox selezionato]],3,FALSE),"-")</f>
        <v>3343763892</v>
      </c>
      <c r="AK741" s="63">
        <f>IFERROR(VLOOKUP(Table2[[#This Row],[Contraente]],Table1[[Nome/Ragione sociale]:[Checkbox selezionato]],4,FALSE),"-")</f>
        <v>0</v>
      </c>
      <c r="AL741" s="63" t="str">
        <f>IFERROR(VLOOKUP(Table2[[#This Row],[Contraente]],Table1[[Nome/Ragione sociale]:[Checkbox selezionato]],5,FALSE),"-")</f>
        <v>GIORGIO</v>
      </c>
      <c r="AM741" s="62" t="str">
        <f>IFERROR(VLOOKUP(Table2[[#This Row],[Contraente]],Table1[[Nome/Ragione sociale]:[Checkbox selezionato]],6,FALSE),"-")</f>
        <v>-</v>
      </c>
      <c r="AN741" s="63" t="str">
        <f>IFERROR(VLOOKUP(Table2[[#This Row],[Contraente]],Table1[[Nome/Ragione sociale]:[Checkbox selezionato]],7,FALSE),"-")</f>
        <v>papies@libero.it</v>
      </c>
      <c r="AO741" s="63">
        <f>IFERROR(VLOOKUP(Table2[[#This Row],[Contraente]],Table1[[Nome/Ragione sociale]:[Checkbox selezionato]],8,FALSE),"-")</f>
        <v>0</v>
      </c>
      <c r="AP741" s="63">
        <f>IFERROR(VLOOKUP(Table2[[#This Row],[Contraente]],Table1[[Nome/Ragione sociale]:[Checkbox selezionato]],10,FALSE),"-")</f>
        <v>3343763892</v>
      </c>
      <c r="AQ741" s="63" t="str">
        <f>IFERROR(VLOOKUP(Table2[[#This Row],[Contraente]],Table1[[Nome/Ragione sociale]:[Checkbox selezionato]],11,FALSE),"-")</f>
        <v>SI</v>
      </c>
      <c r="AR741" s="63" t="str">
        <f>IFERROR(VLOOKUP(Table2[[#This Row],[Contraente]],Table1[[Nome/Ragione sociale]:[Checkbox selezionato]],12,FALSE),"-")</f>
        <v>SI</v>
      </c>
    </row>
    <row r="742" spans="1:44" ht="30" hidden="1" customHeight="1" x14ac:dyDescent="0.25">
      <c r="A742" s="60" t="str">
        <f>UPPER(LEFT(Table2[[#This Row],[Contraente]],1))</f>
        <v>M</v>
      </c>
      <c r="B742" s="60" t="s">
        <v>1634</v>
      </c>
      <c r="C742" s="81" t="s">
        <v>824</v>
      </c>
      <c r="D742" s="81" t="s">
        <v>37</v>
      </c>
      <c r="E742" s="86">
        <v>103638654</v>
      </c>
      <c r="F742" s="64">
        <v>42668</v>
      </c>
      <c r="G742" s="64">
        <f>IFERROR(CALCOLASCADENZA(Table2[[#This Row],[Data attivazione]],Table2[[#This Row],[Rateizzazione]],Table2[[#This Row],[Data ultimo pagamento]],Table2[[#This Row],[Data prossima scadenza manuale]]),"-")</f>
        <v>43028</v>
      </c>
      <c r="H742" s="67" t="s">
        <v>30</v>
      </c>
      <c r="I742" s="67" t="s">
        <v>113</v>
      </c>
      <c r="J742" s="33">
        <f>IFERROR(Table2[[#This Row],[Importo annuale]]/(12/VLOOKUP(Table2[[#This Row],[Rateizzazione]],TIPI_RATEIZZAZIONI,2,FALSE)),"-")</f>
        <v>77</v>
      </c>
      <c r="K742" s="88"/>
      <c r="L742" s="88">
        <v>77</v>
      </c>
      <c r="M742" s="67" t="s">
        <v>44</v>
      </c>
      <c r="N742" s="67" t="s">
        <v>51</v>
      </c>
      <c r="O742" s="27" t="s">
        <v>1631</v>
      </c>
      <c r="P742" s="33" t="s">
        <v>23</v>
      </c>
      <c r="Q742" s="60">
        <f>IFERROR(IF(12 / VLOOKUP(Table2[[#This Row],[Rateizzazione]],TIPI_RATEIZZAZIONI,2,FALSE) &gt;=1,  IF(Table2[[#This Row],[Data attivazione]] = "","-",MONTH(Table2[[#This Row],[Data attivazione]])),"-"),"-")</f>
        <v>10</v>
      </c>
      <c r="R7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2" s="67" t="s">
        <v>2</v>
      </c>
      <c r="V742" s="62"/>
      <c r="W742" s="64">
        <v>42663</v>
      </c>
      <c r="X742" s="29">
        <f>DATE(YEAR(Table2[[#This Row],[Data attivazione]])+VLOOKUP(Table2[[#This Row],[Durata]],VALORE_DURATA,2,FALSE),MONTH(Table2[[#This Row],[Data attivazione]]),DAY(Table2[[#This Row],[Data attivazione]]))</f>
        <v>43028</v>
      </c>
      <c r="Y742" s="65"/>
      <c r="Z742" s="61"/>
      <c r="AA742" s="64" t="s">
        <v>85</v>
      </c>
      <c r="AB742" s="29" t="str">
        <f>IF(Table2[[#This Row],[Data ultimo versamento temp]]=0/1/1900,"-",Table2[[#This Row],[Data ultimo versamento temp]])</f>
        <v>-</v>
      </c>
      <c r="AC742" s="29">
        <f t="array" ref="AC742">MAX(IF(TableVersamenti[Polizza]=Table2[[#This Row],[Polizza]],TableVersamenti[Data prevista versamento],"-"))</f>
        <v>0</v>
      </c>
      <c r="AD742" s="62"/>
      <c r="AE742" s="106">
        <f>DATE(YEAR(Table2[[#This Row],[Data ultimo pagamento]]),MONTH(Table2[[#This Row],[Data ultimo pagamento]]), 1)</f>
        <v>42644</v>
      </c>
      <c r="AF742" s="106">
        <f>DATE(YEAR(Table2[[#This Row],[Data prossima scadenza]]),MONTH(Table2[[#This Row],[Data prossima scadenza]]), 1)</f>
        <v>43009</v>
      </c>
      <c r="AG742" s="33">
        <f>IFERROR(Table2[[#This Row],[Importo annuale]]*VLOOKUP(Table2[[#This Row],[Ramo]],RAMI_POLIZZA,2,FALSE),0)</f>
        <v>8.8550000000000004</v>
      </c>
      <c r="AH742" s="65" t="s">
        <v>113</v>
      </c>
      <c r="AI742" s="63" t="str">
        <f>IFERROR(VLOOKUP(Table2[[#This Row],[Contraente]],Table1[[Nome/Ragione sociale]:[Checkbox selezionato]],2,FALSE),"-")</f>
        <v>BELGIOIOSO</v>
      </c>
      <c r="AJ742" s="63">
        <f>IFERROR(VLOOKUP(Table2[[#This Row],[Contraente]],Table1[[Nome/Ragione sociale]:[Checkbox selezionato]],3,FALSE),"-")</f>
        <v>3343763892</v>
      </c>
      <c r="AK742" s="63">
        <f>IFERROR(VLOOKUP(Table2[[#This Row],[Contraente]],Table1[[Nome/Ragione sociale]:[Checkbox selezionato]],4,FALSE),"-")</f>
        <v>0</v>
      </c>
      <c r="AL742" s="63" t="str">
        <f>IFERROR(VLOOKUP(Table2[[#This Row],[Contraente]],Table1[[Nome/Ragione sociale]:[Checkbox selezionato]],5,FALSE),"-")</f>
        <v>GIORGIO</v>
      </c>
      <c r="AM742" s="62" t="str">
        <f>IFERROR(VLOOKUP(Table2[[#This Row],[Contraente]],Table1[[Nome/Ragione sociale]:[Checkbox selezionato]],6,FALSE),"-")</f>
        <v>-</v>
      </c>
      <c r="AN742" s="63" t="str">
        <f>IFERROR(VLOOKUP(Table2[[#This Row],[Contraente]],Table1[[Nome/Ragione sociale]:[Checkbox selezionato]],7,FALSE),"-")</f>
        <v>papies@libero.it</v>
      </c>
      <c r="AO742" s="63">
        <f>IFERROR(VLOOKUP(Table2[[#This Row],[Contraente]],Table1[[Nome/Ragione sociale]:[Checkbox selezionato]],8,FALSE),"-")</f>
        <v>0</v>
      </c>
      <c r="AP742" s="63">
        <f>IFERROR(VLOOKUP(Table2[[#This Row],[Contraente]],Table1[[Nome/Ragione sociale]:[Checkbox selezionato]],10,FALSE),"-")</f>
        <v>3343763892</v>
      </c>
      <c r="AQ742" s="63" t="str">
        <f>IFERROR(VLOOKUP(Table2[[#This Row],[Contraente]],Table1[[Nome/Ragione sociale]:[Checkbox selezionato]],11,FALSE),"-")</f>
        <v>SI</v>
      </c>
      <c r="AR742" s="63" t="str">
        <f>IFERROR(VLOOKUP(Table2[[#This Row],[Contraente]],Table1[[Nome/Ragione sociale]:[Checkbox selezionato]],12,FALSE),"-")</f>
        <v>SI</v>
      </c>
    </row>
    <row r="743" spans="1:44" ht="30" hidden="1" customHeight="1" x14ac:dyDescent="0.25">
      <c r="A743" s="60" t="str">
        <f>UPPER(LEFT(Table2[[#This Row],[Contraente]],1))</f>
        <v>M</v>
      </c>
      <c r="B743" s="60" t="s">
        <v>1634</v>
      </c>
      <c r="C743" s="81" t="s">
        <v>826</v>
      </c>
      <c r="D743" s="81" t="s">
        <v>37</v>
      </c>
      <c r="E743" s="86">
        <v>105041166</v>
      </c>
      <c r="F743" s="64">
        <v>42886</v>
      </c>
      <c r="G743" s="64">
        <f>IFERROR(CALCOLASCADENZA(Table2[[#This Row],[Data attivazione]],Table2[[#This Row],[Rateizzazione]],Table2[[#This Row],[Data ultimo pagamento]],Table2[[#This Row],[Data prossima scadenza manuale]]),"-")</f>
        <v>43045</v>
      </c>
      <c r="H743" s="67" t="s">
        <v>30</v>
      </c>
      <c r="I743" s="67" t="s">
        <v>113</v>
      </c>
      <c r="J743" s="33">
        <f>IFERROR(Table2[[#This Row],[Importo annuale]]/(12/VLOOKUP(Table2[[#This Row],[Rateizzazione]],TIPI_RATEIZZAZIONI,2,FALSE)),"-")</f>
        <v>97</v>
      </c>
      <c r="K743" s="88">
        <v>194</v>
      </c>
      <c r="L743" s="88">
        <v>194</v>
      </c>
      <c r="M743" s="67" t="s">
        <v>43</v>
      </c>
      <c r="N743" s="67" t="s">
        <v>51</v>
      </c>
      <c r="O743" s="27" t="s">
        <v>1631</v>
      </c>
      <c r="P743" s="33" t="s">
        <v>22</v>
      </c>
      <c r="Q743" s="60">
        <f>IFERROR(IF(12 / VLOOKUP(Table2[[#This Row],[Rateizzazione]],TIPI_RATEIZZAZIONI,2,FALSE) &gt;=1,  IF(Table2[[#This Row],[Data attivazione]] = "","-",MONTH(Table2[[#This Row],[Data attivazione]])),"-"),"-")</f>
        <v>11</v>
      </c>
      <c r="R7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3" s="67" t="s">
        <v>133</v>
      </c>
      <c r="V743" s="62"/>
      <c r="W743" s="64">
        <v>42680</v>
      </c>
      <c r="X743" s="29">
        <f>DATE(YEAR(Table2[[#This Row],[Data attivazione]])+VLOOKUP(Table2[[#This Row],[Durata]],VALORE_DURATA,2,FALSE),MONTH(Table2[[#This Row],[Data attivazione]]),DAY(Table2[[#This Row],[Data attivazione]]))</f>
        <v>43045</v>
      </c>
      <c r="Y743" s="65"/>
      <c r="Z743" s="61"/>
      <c r="AA743" s="64" t="s">
        <v>85</v>
      </c>
      <c r="AB743" s="29" t="str">
        <f>IF(Table2[[#This Row],[Data ultimo versamento temp]]=0/1/1900,"-",Table2[[#This Row],[Data ultimo versamento temp]])</f>
        <v>-</v>
      </c>
      <c r="AC743" s="29">
        <f t="array" ref="AC743">MAX(IF(TableVersamenti[Polizza]=Table2[[#This Row],[Polizza]],TableVersamenti[Data prevista versamento],"-"))</f>
        <v>0</v>
      </c>
      <c r="AD743" s="62"/>
      <c r="AE743" s="106">
        <f>DATE(YEAR(Table2[[#This Row],[Data ultimo pagamento]]),MONTH(Table2[[#This Row],[Data ultimo pagamento]]), 1)</f>
        <v>42856</v>
      </c>
      <c r="AF743" s="106">
        <f>DATE(YEAR(Table2[[#This Row],[Data prossima scadenza]]),MONTH(Table2[[#This Row],[Data prossima scadenza]]), 1)</f>
        <v>43040</v>
      </c>
      <c r="AG743" s="33">
        <f>IFERROR(Table2[[#This Row],[Importo annuale]]*VLOOKUP(Table2[[#This Row],[Ramo]],RAMI_POLIZZA,2,FALSE),0)</f>
        <v>22.310000000000002</v>
      </c>
      <c r="AH743" s="65" t="s">
        <v>113</v>
      </c>
      <c r="AI743" s="63" t="str">
        <f>IFERROR(VLOOKUP(Table2[[#This Row],[Contraente]],Table1[[Nome/Ragione sociale]:[Checkbox selezionato]],2,FALSE),"-")</f>
        <v>ARENA PO</v>
      </c>
      <c r="AJ743" s="63">
        <f>IFERROR(VLOOKUP(Table2[[#This Row],[Contraente]],Table1[[Nome/Ragione sociale]:[Checkbox selezionato]],3,FALSE),"-")</f>
        <v>3338174780</v>
      </c>
      <c r="AK743" s="63">
        <f>IFERROR(VLOOKUP(Table2[[#This Row],[Contraente]],Table1[[Nome/Ragione sociale]:[Checkbox selezionato]],4,FALSE),"-")</f>
        <v>0</v>
      </c>
      <c r="AL743" s="63" t="str">
        <f>IFERROR(VLOOKUP(Table2[[#This Row],[Contraente]],Table1[[Nome/Ragione sociale]:[Checkbox selezionato]],5,FALSE),"-")</f>
        <v>MASSIMO</v>
      </c>
      <c r="AM743" s="62">
        <f>IFERROR(VLOOKUP(Table2[[#This Row],[Contraente]],Table1[[Nome/Ragione sociale]:[Checkbox selezionato]],6,FALSE),"-")</f>
        <v>19914</v>
      </c>
      <c r="AN743" s="63" t="str">
        <f>IFERROR(VLOOKUP(Table2[[#This Row],[Contraente]],Table1[[Nome/Ragione sociale]:[Checkbox selezionato]],7,FALSE),"-")</f>
        <v>papies@email.it</v>
      </c>
      <c r="AO743" s="63">
        <f>IFERROR(VLOOKUP(Table2[[#This Row],[Contraente]],Table1[[Nome/Ragione sociale]:[Checkbox selezionato]],8,FALSE),"-")</f>
        <v>0</v>
      </c>
      <c r="AP743" s="63">
        <f>IFERROR(VLOOKUP(Table2[[#This Row],[Contraente]],Table1[[Nome/Ragione sociale]:[Checkbox selezionato]],10,FALSE),"-")</f>
        <v>3338174780</v>
      </c>
      <c r="AQ743" s="63" t="str">
        <f>IFERROR(VLOOKUP(Table2[[#This Row],[Contraente]],Table1[[Nome/Ragione sociale]:[Checkbox selezionato]],11,FALSE),"-")</f>
        <v>SI</v>
      </c>
      <c r="AR743" s="63" t="str">
        <f>IFERROR(VLOOKUP(Table2[[#This Row],[Contraente]],Table1[[Nome/Ragione sociale]:[Checkbox selezionato]],12,FALSE),"-")</f>
        <v>SI</v>
      </c>
    </row>
    <row r="744" spans="1:44" ht="30" hidden="1" customHeight="1" x14ac:dyDescent="0.25">
      <c r="A744" s="60" t="str">
        <f>UPPER(LEFT(Table2[[#This Row],[Contraente]],1))</f>
        <v>M</v>
      </c>
      <c r="B744" s="60" t="s">
        <v>1634</v>
      </c>
      <c r="C744" s="81" t="s">
        <v>825</v>
      </c>
      <c r="D744" s="81" t="s">
        <v>37</v>
      </c>
      <c r="E744" s="86">
        <v>103717148</v>
      </c>
      <c r="F744" s="64">
        <v>41949</v>
      </c>
      <c r="G744" s="64">
        <f>IFERROR(CALCOLASCADENZA(Table2[[#This Row],[Data attivazione]],Table2[[#This Row],[Rateizzazione]],Table2[[#This Row],[Data ultimo pagamento]],Table2[[#This Row],[Data prossima scadenza manuale]]),"-")</f>
        <v>693778</v>
      </c>
      <c r="H744" s="67" t="s">
        <v>30</v>
      </c>
      <c r="I744" s="67"/>
      <c r="J744" s="33">
        <f>IFERROR(Table2[[#This Row],[Importo annuale]]/(12/VLOOKUP(Table2[[#This Row],[Rateizzazione]],TIPI_RATEIZZAZIONI,2,FALSE)),"-")</f>
        <v>300</v>
      </c>
      <c r="K744" s="88"/>
      <c r="L744" s="88">
        <v>600</v>
      </c>
      <c r="M744" s="67" t="s">
        <v>45</v>
      </c>
      <c r="N744" s="67" t="s">
        <v>52</v>
      </c>
      <c r="O744" s="27" t="s">
        <v>1631</v>
      </c>
      <c r="P744" s="33" t="s">
        <v>22</v>
      </c>
      <c r="Q744" s="60">
        <f>IFERROR(IF(12 / VLOOKUP(Table2[[#This Row],[Rateizzazione]],TIPI_RATEIZZAZIONI,2,FALSE) &gt;=1,  IF(Table2[[#This Row],[Data attivazione]] = "","-",MONTH(Table2[[#This Row],[Data attivazione]])),"-"),"-")</f>
        <v>12</v>
      </c>
      <c r="R7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4" s="67" t="s">
        <v>2</v>
      </c>
      <c r="V744" s="62"/>
      <c r="W744" s="64">
        <v>693597</v>
      </c>
      <c r="X744" s="29">
        <f>DATE(YEAR(Table2[[#This Row],[Data attivazione]])+VLOOKUP(Table2[[#This Row],[Durata]],VALORE_DURATA,2,FALSE),MONTH(Table2[[#This Row],[Data attivazione]]),DAY(Table2[[#This Row],[Data attivazione]]))</f>
        <v>693962</v>
      </c>
      <c r="Y744" s="65"/>
      <c r="Z744" s="61"/>
      <c r="AA744" s="64" t="s">
        <v>88</v>
      </c>
      <c r="AB744" s="29" t="str">
        <f>IF(Table2[[#This Row],[Data ultimo versamento temp]]=0/1/1900,"-",Table2[[#This Row],[Data ultimo versamento temp]])</f>
        <v>-</v>
      </c>
      <c r="AC744" s="29">
        <f t="array" ref="AC744">MAX(IF(TableVersamenti[Polizza]=Table2[[#This Row],[Polizza]],TableVersamenti[Data prevista versamento],"-"))</f>
        <v>0</v>
      </c>
      <c r="AD744" s="62"/>
      <c r="AE744" s="106">
        <f>DATE(YEAR(Table2[[#This Row],[Data ultimo pagamento]]),MONTH(Table2[[#This Row],[Data ultimo pagamento]]), 1)</f>
        <v>41944</v>
      </c>
      <c r="AF744" s="106">
        <f>DATE(YEAR(Table2[[#This Row],[Data prossima scadenza]]),MONTH(Table2[[#This Row],[Data prossima scadenza]]), 1)</f>
        <v>693749</v>
      </c>
      <c r="AG744" s="33">
        <f>IFERROR(Table2[[#This Row],[Importo annuale]]*VLOOKUP(Table2[[#This Row],[Ramo]],RAMI_POLIZZA,2,FALSE),0)</f>
        <v>69</v>
      </c>
      <c r="AH744" s="65" t="s">
        <v>113</v>
      </c>
      <c r="AI744" s="63">
        <f>IFERROR(VLOOKUP(Table2[[#This Row],[Contraente]],Table1[[Nome/Ragione sociale]:[Checkbox selezionato]],2,FALSE),"-")</f>
        <v>0</v>
      </c>
      <c r="AJ744" s="63">
        <f>IFERROR(VLOOKUP(Table2[[#This Row],[Contraente]],Table1[[Nome/Ragione sociale]:[Checkbox selezionato]],3,FALSE),"-")</f>
        <v>0</v>
      </c>
      <c r="AK744" s="63">
        <f>IFERROR(VLOOKUP(Table2[[#This Row],[Contraente]],Table1[[Nome/Ragione sociale]:[Checkbox selezionato]],4,FALSE),"-")</f>
        <v>0</v>
      </c>
      <c r="AL744" s="63">
        <f>IFERROR(VLOOKUP(Table2[[#This Row],[Contraente]],Table1[[Nome/Ragione sociale]:[Checkbox selezionato]],5,FALSE),"-")</f>
        <v>0</v>
      </c>
      <c r="AM744" s="62">
        <f>IFERROR(VLOOKUP(Table2[[#This Row],[Contraente]],Table1[[Nome/Ragione sociale]:[Checkbox selezionato]],6,FALSE),"-")</f>
        <v>0</v>
      </c>
      <c r="AN744" s="63" t="str">
        <f>IFERROR(VLOOKUP(Table2[[#This Row],[Contraente]],Table1[[Nome/Ragione sociale]:[Checkbox selezionato]],7,FALSE),"-")</f>
        <v>papies@libero.it</v>
      </c>
      <c r="AO744" s="63">
        <f>IFERROR(VLOOKUP(Table2[[#This Row],[Contraente]],Table1[[Nome/Ragione sociale]:[Checkbox selezionato]],8,FALSE),"-")</f>
        <v>0</v>
      </c>
      <c r="AP744" s="63">
        <f>IFERROR(VLOOKUP(Table2[[#This Row],[Contraente]],Table1[[Nome/Ragione sociale]:[Checkbox selezionato]],10,FALSE),"-")</f>
        <v>0</v>
      </c>
      <c r="AQ744" s="63" t="str">
        <f>IFERROR(VLOOKUP(Table2[[#This Row],[Contraente]],Table1[[Nome/Ragione sociale]:[Checkbox selezionato]],11,FALSE),"-")</f>
        <v>SI</v>
      </c>
      <c r="AR744" s="63" t="str">
        <f>IFERROR(VLOOKUP(Table2[[#This Row],[Contraente]],Table1[[Nome/Ragione sociale]:[Checkbox selezionato]],12,FALSE),"-")</f>
        <v>SI</v>
      </c>
    </row>
    <row r="745" spans="1:44" ht="30" hidden="1" customHeight="1" x14ac:dyDescent="0.25">
      <c r="A745" s="60" t="str">
        <f>UPPER(LEFT(Table2[[#This Row],[Contraente]],1))</f>
        <v>M</v>
      </c>
      <c r="B745" s="60" t="s">
        <v>1634</v>
      </c>
      <c r="C745" s="81" t="s">
        <v>825</v>
      </c>
      <c r="D745" s="81" t="s">
        <v>37</v>
      </c>
      <c r="E745" s="86">
        <v>103657140</v>
      </c>
      <c r="F745" s="64">
        <v>42311</v>
      </c>
      <c r="G745" s="64">
        <f>IFERROR(CALCOLASCADENZA(Table2[[#This Row],[Data attivazione]],Table2[[#This Row],[Rateizzazione]],Table2[[#This Row],[Data ultimo pagamento]],Table2[[#This Row],[Data prossima scadenza manuale]]),"-")</f>
        <v>42477</v>
      </c>
      <c r="H745" s="67" t="s">
        <v>31</v>
      </c>
      <c r="I745" s="67" t="s">
        <v>1431</v>
      </c>
      <c r="J745" s="33">
        <f>IFERROR(Table2[[#This Row],[Importo annuale]]/(12/VLOOKUP(Table2[[#This Row],[Rateizzazione]],TIPI_RATEIZZAZIONI,2,FALSE)),"-")</f>
        <v>779</v>
      </c>
      <c r="K745" s="88"/>
      <c r="L745" s="88">
        <v>1558</v>
      </c>
      <c r="M745" s="67" t="s">
        <v>44</v>
      </c>
      <c r="N745" s="67" t="s">
        <v>52</v>
      </c>
      <c r="O745" s="27" t="s">
        <v>1631</v>
      </c>
      <c r="P745" s="33" t="s">
        <v>22</v>
      </c>
      <c r="Q745" s="60">
        <f>IFERROR(IF(12 / VLOOKUP(Table2[[#This Row],[Rateizzazione]],TIPI_RATEIZZAZIONI,2,FALSE) &gt;=1,  IF(Table2[[#This Row],[Data attivazione]] = "","-",MONTH(Table2[[#This Row],[Data attivazione]])),"-"),"-")</f>
        <v>4</v>
      </c>
      <c r="R7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7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5" s="67" t="s">
        <v>2</v>
      </c>
      <c r="V745" s="62"/>
      <c r="W745" s="64">
        <v>42111</v>
      </c>
      <c r="X745" s="29">
        <f>DATE(YEAR(Table2[[#This Row],[Data attivazione]])+VLOOKUP(Table2[[#This Row],[Durata]],VALORE_DURATA,2,FALSE),MONTH(Table2[[#This Row],[Data attivazione]]),DAY(Table2[[#This Row],[Data attivazione]]))</f>
        <v>42477</v>
      </c>
      <c r="Y745" s="65"/>
      <c r="Z745" s="61"/>
      <c r="AA745" s="64" t="s">
        <v>88</v>
      </c>
      <c r="AB745" s="29" t="str">
        <f>IF(Table2[[#This Row],[Data ultimo versamento temp]]=0/1/1900,"-",Table2[[#This Row],[Data ultimo versamento temp]])</f>
        <v>-</v>
      </c>
      <c r="AC745" s="29">
        <f t="array" ref="AC745">MAX(IF(TableVersamenti[Polizza]=Table2[[#This Row],[Polizza]],TableVersamenti[Data prevista versamento],"-"))</f>
        <v>0</v>
      </c>
      <c r="AD745" s="62"/>
      <c r="AE745" s="106">
        <f>DATE(YEAR(Table2[[#This Row],[Data ultimo pagamento]]),MONTH(Table2[[#This Row],[Data ultimo pagamento]]), 1)</f>
        <v>42309</v>
      </c>
      <c r="AF745" s="106">
        <f>DATE(YEAR(Table2[[#This Row],[Data prossima scadenza]]),MONTH(Table2[[#This Row],[Data prossima scadenza]]), 1)</f>
        <v>42461</v>
      </c>
      <c r="AG745" s="33">
        <f>IFERROR(Table2[[#This Row],[Importo annuale]]*VLOOKUP(Table2[[#This Row],[Ramo]],RAMI_POLIZZA,2,FALSE),0)</f>
        <v>81.015999999999991</v>
      </c>
      <c r="AH745" s="65" t="s">
        <v>113</v>
      </c>
      <c r="AI745" s="63">
        <f>IFERROR(VLOOKUP(Table2[[#This Row],[Contraente]],Table1[[Nome/Ragione sociale]:[Checkbox selezionato]],2,FALSE),"-")</f>
        <v>0</v>
      </c>
      <c r="AJ745" s="63">
        <f>IFERROR(VLOOKUP(Table2[[#This Row],[Contraente]],Table1[[Nome/Ragione sociale]:[Checkbox selezionato]],3,FALSE),"-")</f>
        <v>0</v>
      </c>
      <c r="AK745" s="63">
        <f>IFERROR(VLOOKUP(Table2[[#This Row],[Contraente]],Table1[[Nome/Ragione sociale]:[Checkbox selezionato]],4,FALSE),"-")</f>
        <v>0</v>
      </c>
      <c r="AL745" s="63">
        <f>IFERROR(VLOOKUP(Table2[[#This Row],[Contraente]],Table1[[Nome/Ragione sociale]:[Checkbox selezionato]],5,FALSE),"-")</f>
        <v>0</v>
      </c>
      <c r="AM745" s="62">
        <f>IFERROR(VLOOKUP(Table2[[#This Row],[Contraente]],Table1[[Nome/Ragione sociale]:[Checkbox selezionato]],6,FALSE),"-")</f>
        <v>0</v>
      </c>
      <c r="AN745" s="63" t="str">
        <f>IFERROR(VLOOKUP(Table2[[#This Row],[Contraente]],Table1[[Nome/Ragione sociale]:[Checkbox selezionato]],7,FALSE),"-")</f>
        <v>papies@libero.it</v>
      </c>
      <c r="AO745" s="63">
        <f>IFERROR(VLOOKUP(Table2[[#This Row],[Contraente]],Table1[[Nome/Ragione sociale]:[Checkbox selezionato]],8,FALSE),"-")</f>
        <v>0</v>
      </c>
      <c r="AP745" s="63">
        <f>IFERROR(VLOOKUP(Table2[[#This Row],[Contraente]],Table1[[Nome/Ragione sociale]:[Checkbox selezionato]],10,FALSE),"-")</f>
        <v>0</v>
      </c>
      <c r="AQ745" s="63" t="str">
        <f>IFERROR(VLOOKUP(Table2[[#This Row],[Contraente]],Table1[[Nome/Ragione sociale]:[Checkbox selezionato]],11,FALSE),"-")</f>
        <v>SI</v>
      </c>
      <c r="AR745" s="63" t="str">
        <f>IFERROR(VLOOKUP(Table2[[#This Row],[Contraente]],Table1[[Nome/Ragione sociale]:[Checkbox selezionato]],12,FALSE),"-")</f>
        <v>SI</v>
      </c>
    </row>
    <row r="746" spans="1:44" ht="30" hidden="1" customHeight="1" x14ac:dyDescent="0.25">
      <c r="A746" s="60" t="str">
        <f>UPPER(LEFT(Table2[[#This Row],[Contraente]],1))</f>
        <v>M</v>
      </c>
      <c r="B746" s="60" t="s">
        <v>1634</v>
      </c>
      <c r="C746" s="81" t="s">
        <v>830</v>
      </c>
      <c r="D746" s="81" t="s">
        <v>37</v>
      </c>
      <c r="E746" s="86">
        <v>102687674</v>
      </c>
      <c r="F746" s="64">
        <v>42213</v>
      </c>
      <c r="G746" s="64">
        <f>IFERROR(CALCOLASCADENZA(Table2[[#This Row],[Data attivazione]],Table2[[#This Row],[Rateizzazione]],Table2[[#This Row],[Data ultimo pagamento]],Table2[[#This Row],[Data prossima scadenza manuale]]),"-")</f>
        <v>693962</v>
      </c>
      <c r="H746" s="67" t="s">
        <v>31</v>
      </c>
      <c r="I746" s="67" t="s">
        <v>1433</v>
      </c>
      <c r="J746" s="33">
        <f>IFERROR(Table2[[#This Row],[Importo annuale]]/(12/VLOOKUP(Table2[[#This Row],[Rateizzazione]],TIPI_RATEIZZAZIONI,2,FALSE)),"-")</f>
        <v>132.09</v>
      </c>
      <c r="K746" s="88"/>
      <c r="L746" s="88">
        <v>132.09</v>
      </c>
      <c r="M746" s="67" t="s">
        <v>45</v>
      </c>
      <c r="N746" s="67" t="s">
        <v>51</v>
      </c>
      <c r="O746" s="27" t="s">
        <v>1631</v>
      </c>
      <c r="P746" s="33" t="s">
        <v>23</v>
      </c>
      <c r="Q746" s="60">
        <f>IFERROR(IF(12 / VLOOKUP(Table2[[#This Row],[Rateizzazione]],TIPI_RATEIZZAZIONI,2,FALSE) &gt;=1,  IF(Table2[[#This Row],[Data attivazione]] = "","-",MONTH(Table2[[#This Row],[Data attivazione]])),"-"),"-")</f>
        <v>12</v>
      </c>
      <c r="R7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6" s="67" t="s">
        <v>2</v>
      </c>
      <c r="V746" s="62"/>
      <c r="W746" s="64">
        <v>693597</v>
      </c>
      <c r="X746" s="29">
        <f>DATE(YEAR(Table2[[#This Row],[Data attivazione]])+VLOOKUP(Table2[[#This Row],[Durata]],VALORE_DURATA,2,FALSE),MONTH(Table2[[#This Row],[Data attivazione]]),DAY(Table2[[#This Row],[Data attivazione]]))</f>
        <v>693962</v>
      </c>
      <c r="Y746" s="65"/>
      <c r="Z746" s="61"/>
      <c r="AA746" s="64" t="s">
        <v>88</v>
      </c>
      <c r="AB746" s="29" t="str">
        <f>IF(Table2[[#This Row],[Data ultimo versamento temp]]=0/1/1900,"-",Table2[[#This Row],[Data ultimo versamento temp]])</f>
        <v>-</v>
      </c>
      <c r="AC746" s="29">
        <f t="array" ref="AC746">MAX(IF(TableVersamenti[Polizza]=Table2[[#This Row],[Polizza]],TableVersamenti[Data prevista versamento],"-"))</f>
        <v>0</v>
      </c>
      <c r="AD746" s="62"/>
      <c r="AE746" s="106">
        <f>DATE(YEAR(Table2[[#This Row],[Data ultimo pagamento]]),MONTH(Table2[[#This Row],[Data ultimo pagamento]]), 1)</f>
        <v>42186</v>
      </c>
      <c r="AF746" s="106">
        <f>DATE(YEAR(Table2[[#This Row],[Data prossima scadenza]]),MONTH(Table2[[#This Row],[Data prossima scadenza]]), 1)</f>
        <v>693932</v>
      </c>
      <c r="AG746" s="33">
        <f>IFERROR(Table2[[#This Row],[Importo annuale]]*VLOOKUP(Table2[[#This Row],[Ramo]],RAMI_POLIZZA,2,FALSE),0)</f>
        <v>6.8686799999999995</v>
      </c>
      <c r="AH746" s="65" t="s">
        <v>113</v>
      </c>
      <c r="AI746" s="63">
        <f>IFERROR(VLOOKUP(Table2[[#This Row],[Contraente]],Table1[[Nome/Ragione sociale]:[Checkbox selezionato]],2,FALSE),"-")</f>
        <v>0</v>
      </c>
      <c r="AJ746" s="63">
        <f>IFERROR(VLOOKUP(Table2[[#This Row],[Contraente]],Table1[[Nome/Ragione sociale]:[Checkbox selezionato]],3,FALSE),"-")</f>
        <v>0</v>
      </c>
      <c r="AK746" s="63">
        <f>IFERROR(VLOOKUP(Table2[[#This Row],[Contraente]],Table1[[Nome/Ragione sociale]:[Checkbox selezionato]],4,FALSE),"-")</f>
        <v>0</v>
      </c>
      <c r="AL746" s="63">
        <f>IFERROR(VLOOKUP(Table2[[#This Row],[Contraente]],Table1[[Nome/Ragione sociale]:[Checkbox selezionato]],5,FALSE),"-")</f>
        <v>0</v>
      </c>
      <c r="AM746" s="62">
        <f>IFERROR(VLOOKUP(Table2[[#This Row],[Contraente]],Table1[[Nome/Ragione sociale]:[Checkbox selezionato]],6,FALSE),"-")</f>
        <v>0</v>
      </c>
      <c r="AN746" s="63" t="str">
        <f>IFERROR(VLOOKUP(Table2[[#This Row],[Contraente]],Table1[[Nome/Ragione sociale]:[Checkbox selezionato]],7,FALSE),"-")</f>
        <v>papies@libero.it</v>
      </c>
      <c r="AO746" s="63">
        <f>IFERROR(VLOOKUP(Table2[[#This Row],[Contraente]],Table1[[Nome/Ragione sociale]:[Checkbox selezionato]],8,FALSE),"-")</f>
        <v>0</v>
      </c>
      <c r="AP746" s="63">
        <f>IFERROR(VLOOKUP(Table2[[#This Row],[Contraente]],Table1[[Nome/Ragione sociale]:[Checkbox selezionato]],10,FALSE),"-")</f>
        <v>0</v>
      </c>
      <c r="AQ746" s="63" t="str">
        <f>IFERROR(VLOOKUP(Table2[[#This Row],[Contraente]],Table1[[Nome/Ragione sociale]:[Checkbox selezionato]],11,FALSE),"-")</f>
        <v>SI</v>
      </c>
      <c r="AR746" s="63" t="str">
        <f>IFERROR(VLOOKUP(Table2[[#This Row],[Contraente]],Table1[[Nome/Ragione sociale]:[Checkbox selezionato]],12,FALSE),"-")</f>
        <v>SI</v>
      </c>
    </row>
    <row r="747" spans="1:44" ht="30" hidden="1" customHeight="1" x14ac:dyDescent="0.25">
      <c r="A747" s="60" t="str">
        <f>UPPER(LEFT(Table2[[#This Row],[Contraente]],1))</f>
        <v>M</v>
      </c>
      <c r="B747" s="60" t="s">
        <v>1634</v>
      </c>
      <c r="C747" s="81" t="s">
        <v>831</v>
      </c>
      <c r="D747" s="81" t="s">
        <v>37</v>
      </c>
      <c r="E747" s="86">
        <v>103151488</v>
      </c>
      <c r="F747" s="64">
        <v>42160</v>
      </c>
      <c r="G747" s="64">
        <f>IFERROR(CALCOLASCADENZA(Table2[[#This Row],[Data attivazione]],Table2[[#This Row],[Rateizzazione]],Table2[[#This Row],[Data ultimo pagamento]],Table2[[#This Row],[Data prossima scadenza manuale]]),"-")</f>
        <v>693962</v>
      </c>
      <c r="H747" s="67" t="s">
        <v>31</v>
      </c>
      <c r="I747" s="67" t="s">
        <v>1434</v>
      </c>
      <c r="J747" s="33">
        <f>IFERROR(Table2[[#This Row],[Importo annuale]]/(12/VLOOKUP(Table2[[#This Row],[Rateizzazione]],TIPI_RATEIZZAZIONI,2,FALSE)),"-")</f>
        <v>104.73</v>
      </c>
      <c r="K747" s="88"/>
      <c r="L747" s="88">
        <v>104.73</v>
      </c>
      <c r="M747" s="67" t="s">
        <v>43</v>
      </c>
      <c r="N747" s="67" t="s">
        <v>51</v>
      </c>
      <c r="O747" s="27" t="s">
        <v>1631</v>
      </c>
      <c r="P747" s="33" t="s">
        <v>23</v>
      </c>
      <c r="Q747" s="60">
        <f>IFERROR(IF(12 / VLOOKUP(Table2[[#This Row],[Rateizzazione]],TIPI_RATEIZZAZIONI,2,FALSE) &gt;=1,  IF(Table2[[#This Row],[Data attivazione]] = "","-",MONTH(Table2[[#This Row],[Data attivazione]])),"-"),"-")</f>
        <v>12</v>
      </c>
      <c r="R7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7" s="67" t="s">
        <v>2</v>
      </c>
      <c r="V747" s="62"/>
      <c r="W747" s="64">
        <v>693597</v>
      </c>
      <c r="X747" s="29">
        <f>DATE(YEAR(Table2[[#This Row],[Data attivazione]])+VLOOKUP(Table2[[#This Row],[Durata]],VALORE_DURATA,2,FALSE),MONTH(Table2[[#This Row],[Data attivazione]]),DAY(Table2[[#This Row],[Data attivazione]]))</f>
        <v>693962</v>
      </c>
      <c r="Y747" s="65"/>
      <c r="Z747" s="61"/>
      <c r="AA747" s="64" t="s">
        <v>88</v>
      </c>
      <c r="AB747" s="29" t="str">
        <f>IF(Table2[[#This Row],[Data ultimo versamento temp]]=0/1/1900,"-",Table2[[#This Row],[Data ultimo versamento temp]])</f>
        <v>-</v>
      </c>
      <c r="AC747" s="29">
        <f t="array" ref="AC747">MAX(IF(TableVersamenti[Polizza]=Table2[[#This Row],[Polizza]],TableVersamenti[Data prevista versamento],"-"))</f>
        <v>0</v>
      </c>
      <c r="AD747" s="62"/>
      <c r="AE747" s="106">
        <f>DATE(YEAR(Table2[[#This Row],[Data ultimo pagamento]]),MONTH(Table2[[#This Row],[Data ultimo pagamento]]), 1)</f>
        <v>42156</v>
      </c>
      <c r="AF747" s="106">
        <f>DATE(YEAR(Table2[[#This Row],[Data prossima scadenza]]),MONTH(Table2[[#This Row],[Data prossima scadenza]]), 1)</f>
        <v>693932</v>
      </c>
      <c r="AG747" s="33">
        <f>IFERROR(Table2[[#This Row],[Importo annuale]]*VLOOKUP(Table2[[#This Row],[Ramo]],RAMI_POLIZZA,2,FALSE),0)</f>
        <v>5.4459600000000004</v>
      </c>
      <c r="AH747" s="65" t="s">
        <v>113</v>
      </c>
      <c r="AI747" s="63">
        <f>IFERROR(VLOOKUP(Table2[[#This Row],[Contraente]],Table1[[Nome/Ragione sociale]:[Checkbox selezionato]],2,FALSE),"-")</f>
        <v>0</v>
      </c>
      <c r="AJ747" s="63">
        <f>IFERROR(VLOOKUP(Table2[[#This Row],[Contraente]],Table1[[Nome/Ragione sociale]:[Checkbox selezionato]],3,FALSE),"-")</f>
        <v>0</v>
      </c>
      <c r="AK747" s="63">
        <f>IFERROR(VLOOKUP(Table2[[#This Row],[Contraente]],Table1[[Nome/Ragione sociale]:[Checkbox selezionato]],4,FALSE),"-")</f>
        <v>0</v>
      </c>
      <c r="AL747" s="63">
        <f>IFERROR(VLOOKUP(Table2[[#This Row],[Contraente]],Table1[[Nome/Ragione sociale]:[Checkbox selezionato]],5,FALSE),"-")</f>
        <v>0</v>
      </c>
      <c r="AM747" s="62">
        <f>IFERROR(VLOOKUP(Table2[[#This Row],[Contraente]],Table1[[Nome/Ragione sociale]:[Checkbox selezionato]],6,FALSE),"-")</f>
        <v>0</v>
      </c>
      <c r="AN747" s="63" t="str">
        <f>IFERROR(VLOOKUP(Table2[[#This Row],[Contraente]],Table1[[Nome/Ragione sociale]:[Checkbox selezionato]],7,FALSE),"-")</f>
        <v>papies@email.it</v>
      </c>
      <c r="AO747" s="63">
        <f>IFERROR(VLOOKUP(Table2[[#This Row],[Contraente]],Table1[[Nome/Ragione sociale]:[Checkbox selezionato]],8,FALSE),"-")</f>
        <v>0</v>
      </c>
      <c r="AP747" s="63">
        <f>IFERROR(VLOOKUP(Table2[[#This Row],[Contraente]],Table1[[Nome/Ragione sociale]:[Checkbox selezionato]],10,FALSE),"-")</f>
        <v>0</v>
      </c>
      <c r="AQ747" s="63" t="str">
        <f>IFERROR(VLOOKUP(Table2[[#This Row],[Contraente]],Table1[[Nome/Ragione sociale]:[Checkbox selezionato]],11,FALSE),"-")</f>
        <v>SI</v>
      </c>
      <c r="AR747" s="63" t="str">
        <f>IFERROR(VLOOKUP(Table2[[#This Row],[Contraente]],Table1[[Nome/Ragione sociale]:[Checkbox selezionato]],12,FALSE),"-")</f>
        <v>SI</v>
      </c>
    </row>
    <row r="748" spans="1:44" ht="30" hidden="1" customHeight="1" x14ac:dyDescent="0.25">
      <c r="A748" s="60" t="str">
        <f>UPPER(LEFT(Table2[[#This Row],[Contraente]],1))</f>
        <v>M</v>
      </c>
      <c r="B748" s="60" t="s">
        <v>1634</v>
      </c>
      <c r="C748" s="47" t="s">
        <v>1828</v>
      </c>
      <c r="D748" s="98" t="s">
        <v>37</v>
      </c>
      <c r="E748" s="99" t="s">
        <v>1835</v>
      </c>
      <c r="F748" s="109">
        <v>42930</v>
      </c>
      <c r="G748" s="64">
        <f>IFERROR(CALCOLASCADENZA(Table2[[#This Row],[Data attivazione]],Table2[[#This Row],[Rateizzazione]],Table2[[#This Row],[Data ultimo pagamento]],Table2[[#This Row],[Data prossima scadenza manuale]]),"-")</f>
        <v>43110</v>
      </c>
      <c r="H748" s="64" t="s">
        <v>31</v>
      </c>
      <c r="I748" s="64" t="s">
        <v>1836</v>
      </c>
      <c r="J748" s="92">
        <f>IFERROR(Table2[[#This Row],[Importo annuale]]/(12/VLOOKUP(Table2[[#This Row],[Rateizzazione]],TIPI_RATEIZZAZIONI,2,FALSE)),"-")</f>
        <v>157.46</v>
      </c>
      <c r="K748" s="69">
        <v>157.46</v>
      </c>
      <c r="L748" s="69">
        <v>314.92</v>
      </c>
      <c r="M748" s="92" t="s">
        <v>43</v>
      </c>
      <c r="N748" s="92" t="s">
        <v>52</v>
      </c>
      <c r="O748" s="67" t="s">
        <v>1631</v>
      </c>
      <c r="P748" s="92" t="s">
        <v>22</v>
      </c>
      <c r="Q748" s="60">
        <f>IFERROR(IF(12 / VLOOKUP(Table2[[#This Row],[Rateizzazione]],TIPI_RATEIZZAZIONI,2,FALSE) &gt;=1,  IF(Table2[[#This Row],[Data attivazione]] = "","-",MONTH(Table2[[#This Row],[Data attivazione]])),"-"),"-")</f>
        <v>1</v>
      </c>
      <c r="R7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7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8" s="60" t="s">
        <v>1774</v>
      </c>
      <c r="V748" s="62"/>
      <c r="W748" s="64">
        <v>42745</v>
      </c>
      <c r="X748" s="29">
        <f>DATE(YEAR(Table2[[#This Row],[Data attivazione]])+VLOOKUP(Table2[[#This Row],[Durata]],VALORE_DURATA,2,FALSE),MONTH(Table2[[#This Row],[Data attivazione]]),DAY(Table2[[#This Row],[Data attivazione]]))</f>
        <v>43110</v>
      </c>
      <c r="Y748" s="65"/>
      <c r="Z748" s="61"/>
      <c r="AA748" s="64"/>
      <c r="AB748" s="29" t="str">
        <f>IF(Table2[[#This Row],[Data ultimo versamento temp]]=0/1/1900,"-",Table2[[#This Row],[Data ultimo versamento temp]])</f>
        <v>-</v>
      </c>
      <c r="AC748" s="29">
        <f t="array" ref="AC748">MAX(IF(TableVersamenti[Polizza]=Table2[[#This Row],[Polizza]],TableVersamenti[Data prevista versamento],"-"))</f>
        <v>0</v>
      </c>
      <c r="AD748" s="62"/>
      <c r="AE748" s="105">
        <f>DATE(YEAR(Table2[[#This Row],[Data ultimo pagamento]]),MONTH(Table2[[#This Row],[Data ultimo pagamento]]), 1)</f>
        <v>42917</v>
      </c>
      <c r="AF748" s="106">
        <f>DATE(YEAR(Table2[[#This Row],[Data prossima scadenza]]),MONTH(Table2[[#This Row],[Data prossima scadenza]]), 1)</f>
        <v>43101</v>
      </c>
      <c r="AG748" s="92">
        <f>IFERROR(Table2[[#This Row],[Importo annuale]]*VLOOKUP(Table2[[#This Row],[Ramo]],RAMI_POLIZZA,2,FALSE),0)</f>
        <v>16.37584</v>
      </c>
      <c r="AH748" s="65"/>
      <c r="AI748" s="63" t="str">
        <f>IFERROR(VLOOKUP(Table2[[#This Row],[Contraente]],Table1[[Nome/Ragione sociale]:[Checkbox selezionato]],2,FALSE),"-")</f>
        <v>MONTICELLI PAVESE</v>
      </c>
      <c r="AJ748" s="63">
        <f>IFERROR(VLOOKUP(Table2[[#This Row],[Contraente]],Table1[[Nome/Ragione sociale]:[Checkbox selezionato]],3,FALSE),"-")</f>
        <v>0</v>
      </c>
      <c r="AK748" s="63">
        <f>IFERROR(VLOOKUP(Table2[[#This Row],[Contraente]],Table1[[Nome/Ragione sociale]:[Checkbox selezionato]],4,FALSE),"-")</f>
        <v>0</v>
      </c>
      <c r="AL748" s="63">
        <f>IFERROR(VLOOKUP(Table2[[#This Row],[Contraente]],Table1[[Nome/Ragione sociale]:[Checkbox selezionato]],5,FALSE),"-")</f>
        <v>0</v>
      </c>
      <c r="AM748" s="62">
        <f>IFERROR(VLOOKUP(Table2[[#This Row],[Contraente]],Table1[[Nome/Ragione sociale]:[Checkbox selezionato]],6,FALSE),"-")</f>
        <v>0</v>
      </c>
      <c r="AN748" s="63" t="str">
        <f>IFERROR(VLOOKUP(Table2[[#This Row],[Contraente]],Table1[[Nome/Ragione sociale]:[Checkbox selezionato]],7,FALSE),"-")</f>
        <v>papies@libero.it</v>
      </c>
      <c r="AO748" s="63">
        <f>IFERROR(VLOOKUP(Table2[[#This Row],[Contraente]],Table1[[Nome/Ragione sociale]:[Checkbox selezionato]],8,FALSE),"-")</f>
        <v>0</v>
      </c>
      <c r="AP748" s="63">
        <f>IFERROR(VLOOKUP(Table2[[#This Row],[Contraente]],Table1[[Nome/Ragione sociale]:[Checkbox selezionato]],10,FALSE),"-")</f>
        <v>0</v>
      </c>
      <c r="AQ748" s="63" t="str">
        <f>IFERROR(VLOOKUP(Table2[[#This Row],[Contraente]],Table1[[Nome/Ragione sociale]:[Checkbox selezionato]],11,FALSE),"-")</f>
        <v>SI</v>
      </c>
      <c r="AR748" s="63" t="str">
        <f>IFERROR(VLOOKUP(Table2[[#This Row],[Contraente]],Table1[[Nome/Ragione sociale]:[Checkbox selezionato]],12,FALSE),"-")</f>
        <v>SI</v>
      </c>
    </row>
    <row r="749" spans="1:44" ht="30" hidden="1" customHeight="1" x14ac:dyDescent="0.25">
      <c r="A749" s="60" t="str">
        <f>UPPER(LEFT(Table2[[#This Row],[Contraente]],1))</f>
        <v>M</v>
      </c>
      <c r="B749" s="60" t="s">
        <v>1634</v>
      </c>
      <c r="C749" s="81" t="s">
        <v>832</v>
      </c>
      <c r="D749" s="81" t="s">
        <v>37</v>
      </c>
      <c r="E749" s="86">
        <v>105463557</v>
      </c>
      <c r="F749" s="64">
        <v>42829</v>
      </c>
      <c r="G749" s="64">
        <f>IFERROR(CALCOLASCADENZA(Table2[[#This Row],[Data attivazione]],Table2[[#This Row],[Rateizzazione]],Table2[[#This Row],[Data ultimo pagamento]],Table2[[#This Row],[Data prossima scadenza manuale]]),"-")</f>
        <v>43194</v>
      </c>
      <c r="H749" s="67" t="s">
        <v>31</v>
      </c>
      <c r="I749" s="67" t="s">
        <v>1435</v>
      </c>
      <c r="J749" s="33">
        <f>IFERROR(Table2[[#This Row],[Importo annuale]]/(12/VLOOKUP(Table2[[#This Row],[Rateizzazione]],TIPI_RATEIZZAZIONI,2,FALSE)),"-")</f>
        <v>405</v>
      </c>
      <c r="K749" s="88">
        <v>405</v>
      </c>
      <c r="L749" s="88">
        <v>405</v>
      </c>
      <c r="M749" s="67" t="s">
        <v>43</v>
      </c>
      <c r="N749" s="67" t="s">
        <v>51</v>
      </c>
      <c r="O749" s="27" t="s">
        <v>1631</v>
      </c>
      <c r="P749" s="33" t="s">
        <v>23</v>
      </c>
      <c r="Q749" s="60">
        <f>IFERROR(IF(12 / VLOOKUP(Table2[[#This Row],[Rateizzazione]],TIPI_RATEIZZAZIONI,2,FALSE) &gt;=1,  IF(Table2[[#This Row],[Data attivazione]] = "","-",MONTH(Table2[[#This Row],[Data attivazione]])),"-"),"-")</f>
        <v>4</v>
      </c>
      <c r="R7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9" s="67" t="s">
        <v>2</v>
      </c>
      <c r="V749" s="62"/>
      <c r="W749" s="64">
        <v>42829</v>
      </c>
      <c r="X749" s="29">
        <f>DATE(YEAR(Table2[[#This Row],[Data attivazione]])+VLOOKUP(Table2[[#This Row],[Durata]],VALORE_DURATA,2,FALSE),MONTH(Table2[[#This Row],[Data attivazione]]),DAY(Table2[[#This Row],[Data attivazione]]))</f>
        <v>43194</v>
      </c>
      <c r="Y749" s="65"/>
      <c r="Z749" s="61"/>
      <c r="AA749" s="64" t="s">
        <v>85</v>
      </c>
      <c r="AB749" s="29" t="str">
        <f>IF(Table2[[#This Row],[Data ultimo versamento temp]]=0/1/1900,"-",Table2[[#This Row],[Data ultimo versamento temp]])</f>
        <v>-</v>
      </c>
      <c r="AC749" s="29">
        <f t="array" ref="AC749">MAX(IF(TableVersamenti[Polizza]=Table2[[#This Row],[Polizza]],TableVersamenti[Data prevista versamento],"-"))</f>
        <v>0</v>
      </c>
      <c r="AD749" s="62"/>
      <c r="AE749" s="106">
        <f>DATE(YEAR(Table2[[#This Row],[Data ultimo pagamento]]),MONTH(Table2[[#This Row],[Data ultimo pagamento]]), 1)</f>
        <v>42826</v>
      </c>
      <c r="AF749" s="106">
        <f>DATE(YEAR(Table2[[#This Row],[Data prossima scadenza]]),MONTH(Table2[[#This Row],[Data prossima scadenza]]), 1)</f>
        <v>43191</v>
      </c>
      <c r="AG749" s="33">
        <f>IFERROR(Table2[[#This Row],[Importo annuale]]*VLOOKUP(Table2[[#This Row],[Ramo]],RAMI_POLIZZA,2,FALSE),0)</f>
        <v>21.06</v>
      </c>
      <c r="AH749" s="65" t="s">
        <v>113</v>
      </c>
      <c r="AI749" s="63" t="str">
        <f>IFERROR(VLOOKUP(Table2[[#This Row],[Contraente]],Table1[[Nome/Ragione sociale]:[Checkbox selezionato]],2,FALSE),"-")</f>
        <v>MIRADOLO TERME</v>
      </c>
      <c r="AJ749" s="63">
        <f>IFERROR(VLOOKUP(Table2[[#This Row],[Contraente]],Table1[[Nome/Ragione sociale]:[Checkbox selezionato]],3,FALSE),"-")</f>
        <v>3384487188</v>
      </c>
      <c r="AK749" s="63">
        <f>IFERROR(VLOOKUP(Table2[[#This Row],[Contraente]],Table1[[Nome/Ragione sociale]:[Checkbox selezionato]],4,FALSE),"-")</f>
        <v>0</v>
      </c>
      <c r="AL749" s="63" t="str">
        <f>IFERROR(VLOOKUP(Table2[[#This Row],[Contraente]],Table1[[Nome/Ragione sociale]:[Checkbox selezionato]],5,FALSE),"-")</f>
        <v>ANTONIO</v>
      </c>
      <c r="AM749" s="62">
        <f>IFERROR(VLOOKUP(Table2[[#This Row],[Contraente]],Table1[[Nome/Ragione sociale]:[Checkbox selezionato]],6,FALSE),"-")</f>
        <v>17348</v>
      </c>
      <c r="AN749" s="63" t="str">
        <f>IFERROR(VLOOKUP(Table2[[#This Row],[Contraente]],Table1[[Nome/Ragione sociale]:[Checkbox selezionato]],7,FALSE),"-")</f>
        <v>papies@libero.it</v>
      </c>
      <c r="AO749" s="63">
        <f>IFERROR(VLOOKUP(Table2[[#This Row],[Contraente]],Table1[[Nome/Ragione sociale]:[Checkbox selezionato]],8,FALSE),"-")</f>
        <v>0</v>
      </c>
      <c r="AP749" s="63">
        <f>IFERROR(VLOOKUP(Table2[[#This Row],[Contraente]],Table1[[Nome/Ragione sociale]:[Checkbox selezionato]],10,FALSE),"-")</f>
        <v>3384487188</v>
      </c>
      <c r="AQ749" s="63" t="str">
        <f>IFERROR(VLOOKUP(Table2[[#This Row],[Contraente]],Table1[[Nome/Ragione sociale]:[Checkbox selezionato]],11,FALSE),"-")</f>
        <v>SI</v>
      </c>
      <c r="AR749" s="63" t="str">
        <f>IFERROR(VLOOKUP(Table2[[#This Row],[Contraente]],Table1[[Nome/Ragione sociale]:[Checkbox selezionato]],12,FALSE),"-")</f>
        <v>SI</v>
      </c>
    </row>
    <row r="750" spans="1:44" ht="30" hidden="1" customHeight="1" x14ac:dyDescent="0.25">
      <c r="A750" s="60" t="str">
        <f>UPPER(LEFT(Table2[[#This Row],[Contraente]],1))</f>
        <v>M</v>
      </c>
      <c r="B750" s="60" t="s">
        <v>1634</v>
      </c>
      <c r="C750" s="81" t="s">
        <v>149</v>
      </c>
      <c r="D750" s="81" t="s">
        <v>37</v>
      </c>
      <c r="E750" s="86">
        <v>102687544</v>
      </c>
      <c r="F750" s="64">
        <v>42818</v>
      </c>
      <c r="G750" s="64">
        <f>IFERROR(CALCOLASCADENZA(Table2[[#This Row],[Data attivazione]],Table2[[#This Row],[Rateizzazione]],Table2[[#This Row],[Data ultimo pagamento]],Table2[[#This Row],[Data prossima scadenza manuale]]),"-")</f>
        <v>43183</v>
      </c>
      <c r="H750" s="67" t="s">
        <v>31</v>
      </c>
      <c r="I750" s="67" t="s">
        <v>1437</v>
      </c>
      <c r="J750" s="33">
        <f>IFERROR(Table2[[#This Row],[Importo annuale]]/(12/VLOOKUP(Table2[[#This Row],[Rateizzazione]],TIPI_RATEIZZAZIONI,2,FALSE)),"-")</f>
        <v>112.57</v>
      </c>
      <c r="K750" s="88">
        <v>112.57</v>
      </c>
      <c r="L750" s="88">
        <v>112.57</v>
      </c>
      <c r="M750" s="67" t="s">
        <v>43</v>
      </c>
      <c r="N750" s="67" t="s">
        <v>51</v>
      </c>
      <c r="O750" s="27" t="s">
        <v>1631</v>
      </c>
      <c r="P750" s="33" t="s">
        <v>23</v>
      </c>
      <c r="Q750" s="60">
        <f>IFERROR(IF(12 / VLOOKUP(Table2[[#This Row],[Rateizzazione]],TIPI_RATEIZZAZIONI,2,FALSE) &gt;=1,  IF(Table2[[#This Row],[Data attivazione]] = "","-",MONTH(Table2[[#This Row],[Data attivazione]])),"-"),"-")</f>
        <v>3</v>
      </c>
      <c r="R7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0" s="67" t="s">
        <v>2</v>
      </c>
      <c r="V750" s="62"/>
      <c r="W750" s="64">
        <v>42818</v>
      </c>
      <c r="X750" s="29">
        <f>DATE(YEAR(Table2[[#This Row],[Data attivazione]])+VLOOKUP(Table2[[#This Row],[Durata]],VALORE_DURATA,2,FALSE),MONTH(Table2[[#This Row],[Data attivazione]]),DAY(Table2[[#This Row],[Data attivazione]]))</f>
        <v>43183</v>
      </c>
      <c r="Y750" s="65"/>
      <c r="Z750" s="61"/>
      <c r="AA750" s="64" t="s">
        <v>85</v>
      </c>
      <c r="AB750" s="29" t="str">
        <f>IF(Table2[[#This Row],[Data ultimo versamento temp]]=0/1/1900,"-",Table2[[#This Row],[Data ultimo versamento temp]])</f>
        <v>-</v>
      </c>
      <c r="AC750" s="29">
        <f t="array" ref="AC750">MAX(IF(TableVersamenti[Polizza]=Table2[[#This Row],[Polizza]],TableVersamenti[Data prevista versamento],"-"))</f>
        <v>0</v>
      </c>
      <c r="AD750" s="62"/>
      <c r="AE750" s="106">
        <f>DATE(YEAR(Table2[[#This Row],[Data ultimo pagamento]]),MONTH(Table2[[#This Row],[Data ultimo pagamento]]), 1)</f>
        <v>42795</v>
      </c>
      <c r="AF750" s="106">
        <f>DATE(YEAR(Table2[[#This Row],[Data prossima scadenza]]),MONTH(Table2[[#This Row],[Data prossima scadenza]]), 1)</f>
        <v>43160</v>
      </c>
      <c r="AG750" s="33">
        <f>IFERROR(Table2[[#This Row],[Importo annuale]]*VLOOKUP(Table2[[#This Row],[Ramo]],RAMI_POLIZZA,2,FALSE),0)</f>
        <v>5.8536399999999995</v>
      </c>
      <c r="AH750" s="65" t="s">
        <v>113</v>
      </c>
      <c r="AI750" s="63" t="str">
        <f>IFERROR(VLOOKUP(Table2[[#This Row],[Contraente]],Table1[[Nome/Ragione sociale]:[Checkbox selezionato]],2,FALSE),"-")</f>
        <v>MIRADOLO TERME</v>
      </c>
      <c r="AJ750" s="63">
        <f>IFERROR(VLOOKUP(Table2[[#This Row],[Contraente]],Table1[[Nome/Ragione sociale]:[Checkbox selezionato]],3,FALSE),"-")</f>
        <v>0</v>
      </c>
      <c r="AK750" s="63" t="str">
        <f>IFERROR(VLOOKUP(Table2[[#This Row],[Contraente]],Table1[[Nome/Ragione sociale]:[Checkbox selezionato]],4,FALSE),"-")</f>
        <v>.038275148</v>
      </c>
      <c r="AL750" s="63" t="str">
        <f>IFERROR(VLOOKUP(Table2[[#This Row],[Contraente]],Table1[[Nome/Ragione sociale]:[Checkbox selezionato]],5,FALSE),"-")</f>
        <v>FRANCESCO</v>
      </c>
      <c r="AM750" s="62">
        <f>IFERROR(VLOOKUP(Table2[[#This Row],[Contraente]],Table1[[Nome/Ragione sociale]:[Checkbox selezionato]],6,FALSE),"-")</f>
        <v>18018</v>
      </c>
      <c r="AN750" s="63" t="str">
        <f>IFERROR(VLOOKUP(Table2[[#This Row],[Contraente]],Table1[[Nome/Ragione sociale]:[Checkbox selezionato]],7,FALSE),"-")</f>
        <v>papies@email.it</v>
      </c>
      <c r="AO750" s="63">
        <f>IFERROR(VLOOKUP(Table2[[#This Row],[Contraente]],Table1[[Nome/Ragione sociale]:[Checkbox selezionato]],8,FALSE),"-")</f>
        <v>0</v>
      </c>
      <c r="AP750" s="63">
        <f>IFERROR(VLOOKUP(Table2[[#This Row],[Contraente]],Table1[[Nome/Ragione sociale]:[Checkbox selezionato]],10,FALSE),"-")</f>
        <v>0</v>
      </c>
      <c r="AQ750" s="63" t="str">
        <f>IFERROR(VLOOKUP(Table2[[#This Row],[Contraente]],Table1[[Nome/Ragione sociale]:[Checkbox selezionato]],11,FALSE),"-")</f>
        <v>SI</v>
      </c>
      <c r="AR750" s="63" t="str">
        <f>IFERROR(VLOOKUP(Table2[[#This Row],[Contraente]],Table1[[Nome/Ragione sociale]:[Checkbox selezionato]],12,FALSE),"-")</f>
        <v>SI</v>
      </c>
    </row>
    <row r="751" spans="1:44" ht="30" hidden="1" customHeight="1" x14ac:dyDescent="0.25">
      <c r="A751" s="60" t="str">
        <f>UPPER(LEFT(Table2[[#This Row],[Contraente]],1))</f>
        <v>M</v>
      </c>
      <c r="B751" s="60" t="s">
        <v>1634</v>
      </c>
      <c r="C751" s="81" t="s">
        <v>149</v>
      </c>
      <c r="D751" s="81" t="s">
        <v>37</v>
      </c>
      <c r="E751" s="86">
        <v>106537217</v>
      </c>
      <c r="F751" s="64">
        <v>42783</v>
      </c>
      <c r="G751" s="64">
        <f>IFERROR(CALCOLASCADENZA(Table2[[#This Row],[Data attivazione]],Table2[[#This Row],[Rateizzazione]],Table2[[#This Row],[Data ultimo pagamento]],Table2[[#This Row],[Data prossima scadenza manuale]]),"-")</f>
        <v>43148</v>
      </c>
      <c r="H751" s="67" t="s">
        <v>31</v>
      </c>
      <c r="I751" s="67" t="s">
        <v>1438</v>
      </c>
      <c r="J751" s="33">
        <f>IFERROR(Table2[[#This Row],[Importo annuale]]/(12/VLOOKUP(Table2[[#This Row],[Rateizzazione]],TIPI_RATEIZZAZIONI,2,FALSE)),"-")</f>
        <v>455</v>
      </c>
      <c r="K751" s="88">
        <v>455</v>
      </c>
      <c r="L751" s="88">
        <v>455</v>
      </c>
      <c r="M751" s="67" t="s">
        <v>43</v>
      </c>
      <c r="N751" s="67" t="s">
        <v>51</v>
      </c>
      <c r="O751" s="27" t="s">
        <v>1631</v>
      </c>
      <c r="P751" s="33" t="s">
        <v>23</v>
      </c>
      <c r="Q751" s="60">
        <f>IFERROR(IF(12 / VLOOKUP(Table2[[#This Row],[Rateizzazione]],TIPI_RATEIZZAZIONI,2,FALSE) &gt;=1,  IF(Table2[[#This Row],[Data attivazione]] = "","-",MONTH(Table2[[#This Row],[Data attivazione]])),"-"),"-")</f>
        <v>2</v>
      </c>
      <c r="R7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1" s="67" t="s">
        <v>2</v>
      </c>
      <c r="V751" s="62"/>
      <c r="W751" s="64">
        <v>42783</v>
      </c>
      <c r="X751" s="29">
        <f>DATE(YEAR(Table2[[#This Row],[Data attivazione]])+VLOOKUP(Table2[[#This Row],[Durata]],VALORE_DURATA,2,FALSE),MONTH(Table2[[#This Row],[Data attivazione]]),DAY(Table2[[#This Row],[Data attivazione]]))</f>
        <v>43148</v>
      </c>
      <c r="Y751" s="65"/>
      <c r="Z751" s="61"/>
      <c r="AA751" s="64" t="s">
        <v>85</v>
      </c>
      <c r="AB751" s="29" t="str">
        <f>IF(Table2[[#This Row],[Data ultimo versamento temp]]=0/1/1900,"-",Table2[[#This Row],[Data ultimo versamento temp]])</f>
        <v>-</v>
      </c>
      <c r="AC751" s="29">
        <f t="array" ref="AC751">MAX(IF(TableVersamenti[Polizza]=Table2[[#This Row],[Polizza]],TableVersamenti[Data prevista versamento],"-"))</f>
        <v>0</v>
      </c>
      <c r="AD751" s="62"/>
      <c r="AE751" s="106">
        <f>DATE(YEAR(Table2[[#This Row],[Data ultimo pagamento]]),MONTH(Table2[[#This Row],[Data ultimo pagamento]]), 1)</f>
        <v>42767</v>
      </c>
      <c r="AF751" s="106">
        <f>DATE(YEAR(Table2[[#This Row],[Data prossima scadenza]]),MONTH(Table2[[#This Row],[Data prossima scadenza]]), 1)</f>
        <v>43132</v>
      </c>
      <c r="AG751" s="33">
        <f>IFERROR(Table2[[#This Row],[Importo annuale]]*VLOOKUP(Table2[[#This Row],[Ramo]],RAMI_POLIZZA,2,FALSE),0)</f>
        <v>23.66</v>
      </c>
      <c r="AH751" s="65" t="s">
        <v>113</v>
      </c>
      <c r="AI751" s="63" t="str">
        <f>IFERROR(VLOOKUP(Table2[[#This Row],[Contraente]],Table1[[Nome/Ragione sociale]:[Checkbox selezionato]],2,FALSE),"-")</f>
        <v>MIRADOLO TERME</v>
      </c>
      <c r="AJ751" s="63">
        <f>IFERROR(VLOOKUP(Table2[[#This Row],[Contraente]],Table1[[Nome/Ragione sociale]:[Checkbox selezionato]],3,FALSE),"-")</f>
        <v>0</v>
      </c>
      <c r="AK751" s="63" t="str">
        <f>IFERROR(VLOOKUP(Table2[[#This Row],[Contraente]],Table1[[Nome/Ragione sociale]:[Checkbox selezionato]],4,FALSE),"-")</f>
        <v>.038275148</v>
      </c>
      <c r="AL751" s="63" t="str">
        <f>IFERROR(VLOOKUP(Table2[[#This Row],[Contraente]],Table1[[Nome/Ragione sociale]:[Checkbox selezionato]],5,FALSE),"-")</f>
        <v>FRANCESCO</v>
      </c>
      <c r="AM751" s="62">
        <f>IFERROR(VLOOKUP(Table2[[#This Row],[Contraente]],Table1[[Nome/Ragione sociale]:[Checkbox selezionato]],6,FALSE),"-")</f>
        <v>18018</v>
      </c>
      <c r="AN751" s="63" t="str">
        <f>IFERROR(VLOOKUP(Table2[[#This Row],[Contraente]],Table1[[Nome/Ragione sociale]:[Checkbox selezionato]],7,FALSE),"-")</f>
        <v>papies@email.it</v>
      </c>
      <c r="AO751" s="63">
        <f>IFERROR(VLOOKUP(Table2[[#This Row],[Contraente]],Table1[[Nome/Ragione sociale]:[Checkbox selezionato]],8,FALSE),"-")</f>
        <v>0</v>
      </c>
      <c r="AP751" s="63">
        <f>IFERROR(VLOOKUP(Table2[[#This Row],[Contraente]],Table1[[Nome/Ragione sociale]:[Checkbox selezionato]],10,FALSE),"-")</f>
        <v>0</v>
      </c>
      <c r="AQ751" s="63" t="str">
        <f>IFERROR(VLOOKUP(Table2[[#This Row],[Contraente]],Table1[[Nome/Ragione sociale]:[Checkbox selezionato]],11,FALSE),"-")</f>
        <v>SI</v>
      </c>
      <c r="AR751" s="63" t="str">
        <f>IFERROR(VLOOKUP(Table2[[#This Row],[Contraente]],Table1[[Nome/Ragione sociale]:[Checkbox selezionato]],12,FALSE),"-")</f>
        <v>SI</v>
      </c>
    </row>
    <row r="752" spans="1:44" ht="30" hidden="1" customHeight="1" x14ac:dyDescent="0.25">
      <c r="A752" s="60" t="str">
        <f>UPPER(LEFT(Table2[[#This Row],[Contraente]],1))</f>
        <v>M</v>
      </c>
      <c r="B752" s="60" t="s">
        <v>1634</v>
      </c>
      <c r="C752" s="81" t="s">
        <v>149</v>
      </c>
      <c r="D752" s="81" t="s">
        <v>37</v>
      </c>
      <c r="E752" s="86">
        <v>103004965</v>
      </c>
      <c r="F752" s="64">
        <v>42783</v>
      </c>
      <c r="G752" s="64">
        <f>IFERROR(CALCOLASCADENZA(Table2[[#This Row],[Data attivazione]],Table2[[#This Row],[Rateizzazione]],Table2[[#This Row],[Data ultimo pagamento]],Table2[[#This Row],[Data prossima scadenza manuale]]),"-")</f>
        <v>43148</v>
      </c>
      <c r="H752" s="67" t="s">
        <v>30</v>
      </c>
      <c r="I752" s="67" t="s">
        <v>113</v>
      </c>
      <c r="J752" s="33">
        <f>IFERROR(Table2[[#This Row],[Importo annuale]]/(12/VLOOKUP(Table2[[#This Row],[Rateizzazione]],TIPI_RATEIZZAZIONI,2,FALSE)),"-")</f>
        <v>72</v>
      </c>
      <c r="K752" s="88">
        <v>72</v>
      </c>
      <c r="L752" s="88">
        <v>72</v>
      </c>
      <c r="M752" s="67" t="s">
        <v>43</v>
      </c>
      <c r="N752" s="67" t="s">
        <v>51</v>
      </c>
      <c r="O752" s="27" t="s">
        <v>1631</v>
      </c>
      <c r="P752" s="33" t="s">
        <v>23</v>
      </c>
      <c r="Q752" s="60">
        <f>IFERROR(IF(12 / VLOOKUP(Table2[[#This Row],[Rateizzazione]],TIPI_RATEIZZAZIONI,2,FALSE) &gt;=1,  IF(Table2[[#This Row],[Data attivazione]] = "","-",MONTH(Table2[[#This Row],[Data attivazione]])),"-"),"-")</f>
        <v>2</v>
      </c>
      <c r="R7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2" s="67" t="s">
        <v>2</v>
      </c>
      <c r="V752" s="62"/>
      <c r="W752" s="64">
        <v>42783</v>
      </c>
      <c r="X752" s="29">
        <f>DATE(YEAR(Table2[[#This Row],[Data attivazione]])+VLOOKUP(Table2[[#This Row],[Durata]],VALORE_DURATA,2,FALSE),MONTH(Table2[[#This Row],[Data attivazione]]),DAY(Table2[[#This Row],[Data attivazione]]))</f>
        <v>43148</v>
      </c>
      <c r="Y752" s="65"/>
      <c r="Z752" s="61"/>
      <c r="AA752" s="64" t="s">
        <v>85</v>
      </c>
      <c r="AB752" s="29" t="str">
        <f>IF(Table2[[#This Row],[Data ultimo versamento temp]]=0/1/1900,"-",Table2[[#This Row],[Data ultimo versamento temp]])</f>
        <v>-</v>
      </c>
      <c r="AC752" s="29">
        <f t="array" ref="AC752">MAX(IF(TableVersamenti[Polizza]=Table2[[#This Row],[Polizza]],TableVersamenti[Data prevista versamento],"-"))</f>
        <v>0</v>
      </c>
      <c r="AD752" s="62"/>
      <c r="AE752" s="106">
        <f>DATE(YEAR(Table2[[#This Row],[Data ultimo pagamento]]),MONTH(Table2[[#This Row],[Data ultimo pagamento]]), 1)</f>
        <v>42767</v>
      </c>
      <c r="AF752" s="106">
        <f>DATE(YEAR(Table2[[#This Row],[Data prossima scadenza]]),MONTH(Table2[[#This Row],[Data prossima scadenza]]), 1)</f>
        <v>43132</v>
      </c>
      <c r="AG752" s="33">
        <f>IFERROR(Table2[[#This Row],[Importo annuale]]*VLOOKUP(Table2[[#This Row],[Ramo]],RAMI_POLIZZA,2,FALSE),0)</f>
        <v>8.2800000000000011</v>
      </c>
      <c r="AH752" s="65" t="s">
        <v>113</v>
      </c>
      <c r="AI752" s="63" t="str">
        <f>IFERROR(VLOOKUP(Table2[[#This Row],[Contraente]],Table1[[Nome/Ragione sociale]:[Checkbox selezionato]],2,FALSE),"-")</f>
        <v>MIRADOLO TERME</v>
      </c>
      <c r="AJ752" s="63">
        <f>IFERROR(VLOOKUP(Table2[[#This Row],[Contraente]],Table1[[Nome/Ragione sociale]:[Checkbox selezionato]],3,FALSE),"-")</f>
        <v>0</v>
      </c>
      <c r="AK752" s="63" t="str">
        <f>IFERROR(VLOOKUP(Table2[[#This Row],[Contraente]],Table1[[Nome/Ragione sociale]:[Checkbox selezionato]],4,FALSE),"-")</f>
        <v>.038275148</v>
      </c>
      <c r="AL752" s="63" t="str">
        <f>IFERROR(VLOOKUP(Table2[[#This Row],[Contraente]],Table1[[Nome/Ragione sociale]:[Checkbox selezionato]],5,FALSE),"-")</f>
        <v>FRANCESCO</v>
      </c>
      <c r="AM752" s="62">
        <f>IFERROR(VLOOKUP(Table2[[#This Row],[Contraente]],Table1[[Nome/Ragione sociale]:[Checkbox selezionato]],6,FALSE),"-")</f>
        <v>18018</v>
      </c>
      <c r="AN752" s="63" t="str">
        <f>IFERROR(VLOOKUP(Table2[[#This Row],[Contraente]],Table1[[Nome/Ragione sociale]:[Checkbox selezionato]],7,FALSE),"-")</f>
        <v>papies@email.it</v>
      </c>
      <c r="AO752" s="63">
        <f>IFERROR(VLOOKUP(Table2[[#This Row],[Contraente]],Table1[[Nome/Ragione sociale]:[Checkbox selezionato]],8,FALSE),"-")</f>
        <v>0</v>
      </c>
      <c r="AP752" s="63">
        <f>IFERROR(VLOOKUP(Table2[[#This Row],[Contraente]],Table1[[Nome/Ragione sociale]:[Checkbox selezionato]],10,FALSE),"-")</f>
        <v>0</v>
      </c>
      <c r="AQ752" s="63" t="str">
        <f>IFERROR(VLOOKUP(Table2[[#This Row],[Contraente]],Table1[[Nome/Ragione sociale]:[Checkbox selezionato]],11,FALSE),"-")</f>
        <v>SI</v>
      </c>
      <c r="AR752" s="63" t="str">
        <f>IFERROR(VLOOKUP(Table2[[#This Row],[Contraente]],Table1[[Nome/Ragione sociale]:[Checkbox selezionato]],12,FALSE),"-")</f>
        <v>SI</v>
      </c>
    </row>
    <row r="753" spans="1:44" ht="30" hidden="1" customHeight="1" x14ac:dyDescent="0.25">
      <c r="A753" s="60" t="str">
        <f>UPPER(LEFT(Table2[[#This Row],[Contraente]],1))</f>
        <v>M</v>
      </c>
      <c r="B753" s="60" t="s">
        <v>1634</v>
      </c>
      <c r="C753" s="81" t="s">
        <v>835</v>
      </c>
      <c r="D753" s="81" t="s">
        <v>37</v>
      </c>
      <c r="E753" s="86">
        <v>103149439</v>
      </c>
      <c r="F753" s="64">
        <v>41784</v>
      </c>
      <c r="G753" s="64">
        <f>IFERROR(CALCOLASCADENZA(Table2[[#This Row],[Data attivazione]],Table2[[#This Row],[Rateizzazione]],Table2[[#This Row],[Data ultimo pagamento]],Table2[[#This Row],[Data prossima scadenza manuale]]),"-")</f>
        <v>693962</v>
      </c>
      <c r="H753" s="67" t="s">
        <v>31</v>
      </c>
      <c r="I753" s="67"/>
      <c r="J753" s="33">
        <f>IFERROR(Table2[[#This Row],[Importo annuale]]/(12/VLOOKUP(Table2[[#This Row],[Rateizzazione]],TIPI_RATEIZZAZIONI,2,FALSE)),"-")</f>
        <v>65</v>
      </c>
      <c r="K753" s="88"/>
      <c r="L753" s="88">
        <v>65</v>
      </c>
      <c r="M753" s="67" t="s">
        <v>43</v>
      </c>
      <c r="N753" s="67" t="s">
        <v>51</v>
      </c>
      <c r="O753" s="27" t="s">
        <v>1631</v>
      </c>
      <c r="P753" s="33" t="s">
        <v>23</v>
      </c>
      <c r="Q753" s="60">
        <f>IFERROR(IF(12 / VLOOKUP(Table2[[#This Row],[Rateizzazione]],TIPI_RATEIZZAZIONI,2,FALSE) &gt;=1,  IF(Table2[[#This Row],[Data attivazione]] = "","-",MONTH(Table2[[#This Row],[Data attivazione]])),"-"),"-")</f>
        <v>12</v>
      </c>
      <c r="R7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3" s="67" t="s">
        <v>2</v>
      </c>
      <c r="V753" s="62"/>
      <c r="W753" s="64">
        <v>693597</v>
      </c>
      <c r="X753" s="29">
        <f>DATE(YEAR(Table2[[#This Row],[Data attivazione]])+VLOOKUP(Table2[[#This Row],[Durata]],VALORE_DURATA,2,FALSE),MONTH(Table2[[#This Row],[Data attivazione]]),DAY(Table2[[#This Row],[Data attivazione]]))</f>
        <v>693962</v>
      </c>
      <c r="Y753" s="65"/>
      <c r="Z753" s="61"/>
      <c r="AA753" s="64" t="s">
        <v>88</v>
      </c>
      <c r="AB753" s="29" t="str">
        <f>IF(Table2[[#This Row],[Data ultimo versamento temp]]=0/1/1900,"-",Table2[[#This Row],[Data ultimo versamento temp]])</f>
        <v>-</v>
      </c>
      <c r="AC753" s="29">
        <f t="array" ref="AC753">MAX(IF(TableVersamenti[Polizza]=Table2[[#This Row],[Polizza]],TableVersamenti[Data prevista versamento],"-"))</f>
        <v>0</v>
      </c>
      <c r="AD753" s="62"/>
      <c r="AE753" s="106">
        <f>DATE(YEAR(Table2[[#This Row],[Data ultimo pagamento]]),MONTH(Table2[[#This Row],[Data ultimo pagamento]]), 1)</f>
        <v>41760</v>
      </c>
      <c r="AF753" s="106">
        <f>DATE(YEAR(Table2[[#This Row],[Data prossima scadenza]]),MONTH(Table2[[#This Row],[Data prossima scadenza]]), 1)</f>
        <v>693932</v>
      </c>
      <c r="AG753" s="33">
        <f>IFERROR(Table2[[#This Row],[Importo annuale]]*VLOOKUP(Table2[[#This Row],[Ramo]],RAMI_POLIZZA,2,FALSE),0)</f>
        <v>3.38</v>
      </c>
      <c r="AH753" s="65" t="s">
        <v>113</v>
      </c>
      <c r="AI753" s="63">
        <f>IFERROR(VLOOKUP(Table2[[#This Row],[Contraente]],Table1[[Nome/Ragione sociale]:[Checkbox selezionato]],2,FALSE),"-")</f>
        <v>0</v>
      </c>
      <c r="AJ753" s="63">
        <f>IFERROR(VLOOKUP(Table2[[#This Row],[Contraente]],Table1[[Nome/Ragione sociale]:[Checkbox selezionato]],3,FALSE),"-")</f>
        <v>0</v>
      </c>
      <c r="AK753" s="63">
        <f>IFERROR(VLOOKUP(Table2[[#This Row],[Contraente]],Table1[[Nome/Ragione sociale]:[Checkbox selezionato]],4,FALSE),"-")</f>
        <v>0</v>
      </c>
      <c r="AL753" s="63">
        <f>IFERROR(VLOOKUP(Table2[[#This Row],[Contraente]],Table1[[Nome/Ragione sociale]:[Checkbox selezionato]],5,FALSE),"-")</f>
        <v>0</v>
      </c>
      <c r="AM753" s="62">
        <f>IFERROR(VLOOKUP(Table2[[#This Row],[Contraente]],Table1[[Nome/Ragione sociale]:[Checkbox selezionato]],6,FALSE),"-")</f>
        <v>0</v>
      </c>
      <c r="AN753" s="63" t="str">
        <f>IFERROR(VLOOKUP(Table2[[#This Row],[Contraente]],Table1[[Nome/Ragione sociale]:[Checkbox selezionato]],7,FALSE),"-")</f>
        <v>papies@libero.it</v>
      </c>
      <c r="AO753" s="63">
        <f>IFERROR(VLOOKUP(Table2[[#This Row],[Contraente]],Table1[[Nome/Ragione sociale]:[Checkbox selezionato]],8,FALSE),"-")</f>
        <v>0</v>
      </c>
      <c r="AP753" s="63">
        <f>IFERROR(VLOOKUP(Table2[[#This Row],[Contraente]],Table1[[Nome/Ragione sociale]:[Checkbox selezionato]],10,FALSE),"-")</f>
        <v>0</v>
      </c>
      <c r="AQ753" s="63" t="str">
        <f>IFERROR(VLOOKUP(Table2[[#This Row],[Contraente]],Table1[[Nome/Ragione sociale]:[Checkbox selezionato]],11,FALSE),"-")</f>
        <v>SI</v>
      </c>
      <c r="AR753" s="63" t="str">
        <f>IFERROR(VLOOKUP(Table2[[#This Row],[Contraente]],Table1[[Nome/Ragione sociale]:[Checkbox selezionato]],12,FALSE),"-")</f>
        <v>SI</v>
      </c>
    </row>
    <row r="754" spans="1:44" ht="30" hidden="1" customHeight="1" x14ac:dyDescent="0.25">
      <c r="A754" s="60" t="str">
        <f>UPPER(LEFT(Table2[[#This Row],[Contraente]],1))</f>
        <v>M</v>
      </c>
      <c r="B754" s="60" t="s">
        <v>1634</v>
      </c>
      <c r="C754" s="81" t="s">
        <v>833</v>
      </c>
      <c r="D754" s="81" t="s">
        <v>37</v>
      </c>
      <c r="E754" s="86">
        <v>106631521</v>
      </c>
      <c r="F754" s="64">
        <v>42810</v>
      </c>
      <c r="G754" s="64">
        <f>IFERROR(CALCOLASCADENZA(Table2[[#This Row],[Data attivazione]],Table2[[#This Row],[Rateizzazione]],Table2[[#This Row],[Data ultimo pagamento]],Table2[[#This Row],[Data prossima scadenza manuale]]),"-")</f>
        <v>42994</v>
      </c>
      <c r="H754" s="67" t="s">
        <v>30</v>
      </c>
      <c r="I754" s="67" t="s">
        <v>113</v>
      </c>
      <c r="J754" s="33">
        <f>IFERROR(Table2[[#This Row],[Importo annuale]]/(12/VLOOKUP(Table2[[#This Row],[Rateizzazione]],TIPI_RATEIZZAZIONI,2,FALSE)),"-")</f>
        <v>80</v>
      </c>
      <c r="K754" s="88">
        <v>80</v>
      </c>
      <c r="L754" s="88">
        <v>80</v>
      </c>
      <c r="M754" s="67" t="s">
        <v>43</v>
      </c>
      <c r="N754" s="67" t="s">
        <v>52</v>
      </c>
      <c r="O754" s="27" t="s">
        <v>1631</v>
      </c>
      <c r="P754" s="33" t="s">
        <v>23</v>
      </c>
      <c r="Q754" s="60">
        <f>IFERROR(IF(12 / VLOOKUP(Table2[[#This Row],[Rateizzazione]],TIPI_RATEIZZAZIONI,2,FALSE) &gt;=1,  IF(Table2[[#This Row],[Data attivazione]] = "","-",MONTH(Table2[[#This Row],[Data attivazione]])),"-"),"-")</f>
        <v>9</v>
      </c>
      <c r="R7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4" s="67" t="s">
        <v>2</v>
      </c>
      <c r="V754" s="62"/>
      <c r="W754" s="64">
        <v>42629</v>
      </c>
      <c r="X754" s="29">
        <f>DATE(YEAR(Table2[[#This Row],[Data attivazione]])+VLOOKUP(Table2[[#This Row],[Durata]],VALORE_DURATA,2,FALSE),MONTH(Table2[[#This Row],[Data attivazione]]),DAY(Table2[[#This Row],[Data attivazione]]))</f>
        <v>42994</v>
      </c>
      <c r="Y754" s="65"/>
      <c r="Z754" s="61"/>
      <c r="AA754" s="64" t="s">
        <v>85</v>
      </c>
      <c r="AB754" s="29" t="str">
        <f>IF(Table2[[#This Row],[Data ultimo versamento temp]]=0/1/1900,"-",Table2[[#This Row],[Data ultimo versamento temp]])</f>
        <v>-</v>
      </c>
      <c r="AC754" s="29">
        <f t="array" ref="AC754">MAX(IF(TableVersamenti[Polizza]=Table2[[#This Row],[Polizza]],TableVersamenti[Data prevista versamento],"-"))</f>
        <v>0</v>
      </c>
      <c r="AD754" s="62"/>
      <c r="AE754" s="106">
        <f>DATE(YEAR(Table2[[#This Row],[Data ultimo pagamento]]),MONTH(Table2[[#This Row],[Data ultimo pagamento]]), 1)</f>
        <v>42795</v>
      </c>
      <c r="AF754" s="106">
        <f>DATE(YEAR(Table2[[#This Row],[Data prossima scadenza]]),MONTH(Table2[[#This Row],[Data prossima scadenza]]), 1)</f>
        <v>42979</v>
      </c>
      <c r="AG754" s="33">
        <f>IFERROR(Table2[[#This Row],[Importo annuale]]*VLOOKUP(Table2[[#This Row],[Ramo]],RAMI_POLIZZA,2,FALSE),0)</f>
        <v>9.2000000000000011</v>
      </c>
      <c r="AH754" s="65" t="s">
        <v>113</v>
      </c>
      <c r="AI754" s="63" t="str">
        <f>IFERROR(VLOOKUP(Table2[[#This Row],[Contraente]],Table1[[Nome/Ragione sociale]:[Checkbox selezionato]],2,FALSE),"-")</f>
        <v>MIRADOLO TERME</v>
      </c>
      <c r="AJ754" s="63">
        <f>IFERROR(VLOOKUP(Table2[[#This Row],[Contraente]],Table1[[Nome/Ragione sociale]:[Checkbox selezionato]],3,FALSE),"-")</f>
        <v>3335855459</v>
      </c>
      <c r="AK754" s="63">
        <f>IFERROR(VLOOKUP(Table2[[#This Row],[Contraente]],Table1[[Nome/Ragione sociale]:[Checkbox selezionato]],4,FALSE),"-")</f>
        <v>0</v>
      </c>
      <c r="AL754" s="63" t="str">
        <f>IFERROR(VLOOKUP(Table2[[#This Row],[Contraente]],Table1[[Nome/Ragione sociale]:[Checkbox selezionato]],5,FALSE),"-")</f>
        <v>MARTINA</v>
      </c>
      <c r="AM754" s="62">
        <f>IFERROR(VLOOKUP(Table2[[#This Row],[Contraente]],Table1[[Nome/Ragione sociale]:[Checkbox selezionato]],6,FALSE),"-")</f>
        <v>34113</v>
      </c>
      <c r="AN754" s="63" t="str">
        <f>IFERROR(VLOOKUP(Table2[[#This Row],[Contraente]],Table1[[Nome/Ragione sociale]:[Checkbox selezionato]],7,FALSE),"-")</f>
        <v>papies@libero.it</v>
      </c>
      <c r="AO754" s="63">
        <f>IFERROR(VLOOKUP(Table2[[#This Row],[Contraente]],Table1[[Nome/Ragione sociale]:[Checkbox selezionato]],8,FALSE),"-")</f>
        <v>0</v>
      </c>
      <c r="AP754" s="63">
        <f>IFERROR(VLOOKUP(Table2[[#This Row],[Contraente]],Table1[[Nome/Ragione sociale]:[Checkbox selezionato]],10,FALSE),"-")</f>
        <v>3335855459</v>
      </c>
      <c r="AQ754" s="63" t="str">
        <f>IFERROR(VLOOKUP(Table2[[#This Row],[Contraente]],Table1[[Nome/Ragione sociale]:[Checkbox selezionato]],11,FALSE),"-")</f>
        <v>SI</v>
      </c>
      <c r="AR754" s="63" t="str">
        <f>IFERROR(VLOOKUP(Table2[[#This Row],[Contraente]],Table1[[Nome/Ragione sociale]:[Checkbox selezionato]],12,FALSE),"-")</f>
        <v>SI</v>
      </c>
    </row>
    <row r="755" spans="1:44" ht="30" hidden="1" customHeight="1" x14ac:dyDescent="0.25">
      <c r="A755" s="60" t="str">
        <f>UPPER(LEFT(Table2[[#This Row],[Contraente]],1))</f>
        <v>M</v>
      </c>
      <c r="B755" s="60" t="s">
        <v>1634</v>
      </c>
      <c r="C755" s="81" t="s">
        <v>833</v>
      </c>
      <c r="D755" s="81" t="s">
        <v>37</v>
      </c>
      <c r="E755" s="86">
        <v>106631527</v>
      </c>
      <c r="F755" s="64">
        <v>42810</v>
      </c>
      <c r="G755" s="64">
        <f>IFERROR(CALCOLASCADENZA(Table2[[#This Row],[Data attivazione]],Table2[[#This Row],[Rateizzazione]],Table2[[#This Row],[Data ultimo pagamento]],Table2[[#This Row],[Data prossima scadenza manuale]]),"-")</f>
        <v>42994</v>
      </c>
      <c r="H755" s="67" t="s">
        <v>31</v>
      </c>
      <c r="I755" s="67" t="s">
        <v>1436</v>
      </c>
      <c r="J755" s="33">
        <f>IFERROR(Table2[[#This Row],[Importo annuale]]/(12/VLOOKUP(Table2[[#This Row],[Rateizzazione]],TIPI_RATEIZZAZIONI,2,FALSE)),"-")</f>
        <v>355.35</v>
      </c>
      <c r="K755" s="88">
        <v>355.35</v>
      </c>
      <c r="L755" s="88">
        <v>710.7</v>
      </c>
      <c r="M755" s="67" t="s">
        <v>43</v>
      </c>
      <c r="N755" s="67" t="s">
        <v>52</v>
      </c>
      <c r="O755" s="27" t="s">
        <v>1631</v>
      </c>
      <c r="P755" s="33" t="s">
        <v>22</v>
      </c>
      <c r="Q755" s="60">
        <f>IFERROR(IF(12 / VLOOKUP(Table2[[#This Row],[Rateizzazione]],TIPI_RATEIZZAZIONI,2,FALSE) &gt;=1,  IF(Table2[[#This Row],[Data attivazione]] = "","-",MONTH(Table2[[#This Row],[Data attivazione]])),"-"),"-")</f>
        <v>9</v>
      </c>
      <c r="R7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5" s="67" t="s">
        <v>2</v>
      </c>
      <c r="V755" s="62"/>
      <c r="W755" s="64">
        <v>42629</v>
      </c>
      <c r="X755" s="29">
        <f>DATE(YEAR(Table2[[#This Row],[Data attivazione]])+VLOOKUP(Table2[[#This Row],[Durata]],VALORE_DURATA,2,FALSE),MONTH(Table2[[#This Row],[Data attivazione]]),DAY(Table2[[#This Row],[Data attivazione]]))</f>
        <v>42994</v>
      </c>
      <c r="Y755" s="65"/>
      <c r="Z755" s="61"/>
      <c r="AA755" s="64" t="s">
        <v>85</v>
      </c>
      <c r="AB755" s="29" t="str">
        <f>IF(Table2[[#This Row],[Data ultimo versamento temp]]=0/1/1900,"-",Table2[[#This Row],[Data ultimo versamento temp]])</f>
        <v>-</v>
      </c>
      <c r="AC755" s="29">
        <f t="array" ref="AC755">MAX(IF(TableVersamenti[Polizza]=Table2[[#This Row],[Polizza]],TableVersamenti[Data prevista versamento],"-"))</f>
        <v>0</v>
      </c>
      <c r="AD755" s="62"/>
      <c r="AE755" s="106">
        <f>DATE(YEAR(Table2[[#This Row],[Data ultimo pagamento]]),MONTH(Table2[[#This Row],[Data ultimo pagamento]]), 1)</f>
        <v>42795</v>
      </c>
      <c r="AF755" s="106">
        <f>DATE(YEAR(Table2[[#This Row],[Data prossima scadenza]]),MONTH(Table2[[#This Row],[Data prossima scadenza]]), 1)</f>
        <v>42979</v>
      </c>
      <c r="AG755" s="33">
        <f>IFERROR(Table2[[#This Row],[Importo annuale]]*VLOOKUP(Table2[[#This Row],[Ramo]],RAMI_POLIZZA,2,FALSE),0)</f>
        <v>36.956400000000002</v>
      </c>
      <c r="AH755" s="65" t="s">
        <v>113</v>
      </c>
      <c r="AI755" s="63" t="str">
        <f>IFERROR(VLOOKUP(Table2[[#This Row],[Contraente]],Table1[[Nome/Ragione sociale]:[Checkbox selezionato]],2,FALSE),"-")</f>
        <v>MIRADOLO TERME</v>
      </c>
      <c r="AJ755" s="63">
        <f>IFERROR(VLOOKUP(Table2[[#This Row],[Contraente]],Table1[[Nome/Ragione sociale]:[Checkbox selezionato]],3,FALSE),"-")</f>
        <v>3335855459</v>
      </c>
      <c r="AK755" s="63">
        <f>IFERROR(VLOOKUP(Table2[[#This Row],[Contraente]],Table1[[Nome/Ragione sociale]:[Checkbox selezionato]],4,FALSE),"-")</f>
        <v>0</v>
      </c>
      <c r="AL755" s="63" t="str">
        <f>IFERROR(VLOOKUP(Table2[[#This Row],[Contraente]],Table1[[Nome/Ragione sociale]:[Checkbox selezionato]],5,FALSE),"-")</f>
        <v>MARTINA</v>
      </c>
      <c r="AM755" s="62">
        <f>IFERROR(VLOOKUP(Table2[[#This Row],[Contraente]],Table1[[Nome/Ragione sociale]:[Checkbox selezionato]],6,FALSE),"-")</f>
        <v>34113</v>
      </c>
      <c r="AN755" s="63" t="str">
        <f>IFERROR(VLOOKUP(Table2[[#This Row],[Contraente]],Table1[[Nome/Ragione sociale]:[Checkbox selezionato]],7,FALSE),"-")</f>
        <v>papies@libero.it</v>
      </c>
      <c r="AO755" s="63">
        <f>IFERROR(VLOOKUP(Table2[[#This Row],[Contraente]],Table1[[Nome/Ragione sociale]:[Checkbox selezionato]],8,FALSE),"-")</f>
        <v>0</v>
      </c>
      <c r="AP755" s="63">
        <f>IFERROR(VLOOKUP(Table2[[#This Row],[Contraente]],Table1[[Nome/Ragione sociale]:[Checkbox selezionato]],10,FALSE),"-")</f>
        <v>3335855459</v>
      </c>
      <c r="AQ755" s="63" t="str">
        <f>IFERROR(VLOOKUP(Table2[[#This Row],[Contraente]],Table1[[Nome/Ragione sociale]:[Checkbox selezionato]],11,FALSE),"-")</f>
        <v>SI</v>
      </c>
      <c r="AR755" s="63" t="str">
        <f>IFERROR(VLOOKUP(Table2[[#This Row],[Contraente]],Table1[[Nome/Ragione sociale]:[Checkbox selezionato]],12,FALSE),"-")</f>
        <v>SI</v>
      </c>
    </row>
    <row r="756" spans="1:44" ht="30" hidden="1" customHeight="1" x14ac:dyDescent="0.25">
      <c r="A756" s="60" t="str">
        <f>UPPER(LEFT(Table2[[#This Row],[Contraente]],1))</f>
        <v>M</v>
      </c>
      <c r="B756" s="60" t="s">
        <v>1634</v>
      </c>
      <c r="C756" s="81" t="s">
        <v>834</v>
      </c>
      <c r="D756" s="81" t="s">
        <v>37</v>
      </c>
      <c r="E756" s="86">
        <v>104611736</v>
      </c>
      <c r="F756" s="64">
        <v>42874</v>
      </c>
      <c r="G756" s="64">
        <f>IFERROR(CALCOLASCADENZA(Table2[[#This Row],[Data attivazione]],Table2[[#This Row],[Rateizzazione]],Table2[[#This Row],[Data ultimo pagamento]],Table2[[#This Row],[Data prossima scadenza manuale]]),"-")</f>
        <v>42874</v>
      </c>
      <c r="H756" s="67" t="s">
        <v>31</v>
      </c>
      <c r="I756" s="67" t="s">
        <v>1439</v>
      </c>
      <c r="J756" s="33">
        <v>-15.61</v>
      </c>
      <c r="K756" s="88">
        <v>-15.61</v>
      </c>
      <c r="L756" s="88">
        <v>0</v>
      </c>
      <c r="M756" s="67" t="s">
        <v>43</v>
      </c>
      <c r="N756" s="67" t="s">
        <v>51</v>
      </c>
      <c r="O756" s="27" t="s">
        <v>1631</v>
      </c>
      <c r="P756" s="33" t="s">
        <v>24</v>
      </c>
      <c r="Q75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6" s="67" t="s">
        <v>2</v>
      </c>
      <c r="V756" s="62"/>
      <c r="W756" s="64">
        <v>42546</v>
      </c>
      <c r="X756" s="29">
        <f>DATE(YEAR(Table2[[#This Row],[Data attivazione]])+VLOOKUP(Table2[[#This Row],[Durata]],VALORE_DURATA,2,FALSE),MONTH(Table2[[#This Row],[Data attivazione]]),DAY(Table2[[#This Row],[Data attivazione]]))</f>
        <v>42911</v>
      </c>
      <c r="Y756" s="65"/>
      <c r="Z756" s="61"/>
      <c r="AA756" s="64" t="s">
        <v>88</v>
      </c>
      <c r="AB756" s="29" t="str">
        <f>IF(Table2[[#This Row],[Data ultimo versamento temp]]=0/1/1900,"-",Table2[[#This Row],[Data ultimo versamento temp]])</f>
        <v>-</v>
      </c>
      <c r="AC756" s="29">
        <f t="array" ref="AC756">MAX(IF(TableVersamenti[Polizza]=Table2[[#This Row],[Polizza]],TableVersamenti[Data prevista versamento],"-"))</f>
        <v>0</v>
      </c>
      <c r="AD756" s="62"/>
      <c r="AE756" s="106">
        <f>DATE(YEAR(Table2[[#This Row],[Data ultimo pagamento]]),MONTH(Table2[[#This Row],[Data ultimo pagamento]]), 1)</f>
        <v>42856</v>
      </c>
      <c r="AF756" s="106">
        <f>DATE(YEAR(Table2[[#This Row],[Data prossima scadenza]]),MONTH(Table2[[#This Row],[Data prossima scadenza]]), 1)</f>
        <v>42856</v>
      </c>
      <c r="AG756" s="33">
        <f>IFERROR(Table2[[#This Row],[Importo annuale]]*VLOOKUP(Table2[[#This Row],[Ramo]],RAMI_POLIZZA,2,FALSE),0)</f>
        <v>0</v>
      </c>
      <c r="AH756" s="65" t="s">
        <v>113</v>
      </c>
      <c r="AI756" s="63">
        <f>IFERROR(VLOOKUP(Table2[[#This Row],[Contraente]],Table1[[Nome/Ragione sociale]:[Checkbox selezionato]],2,FALSE),"-")</f>
        <v>0</v>
      </c>
      <c r="AJ756" s="63">
        <f>IFERROR(VLOOKUP(Table2[[#This Row],[Contraente]],Table1[[Nome/Ragione sociale]:[Checkbox selezionato]],3,FALSE),"-")</f>
        <v>3349108740</v>
      </c>
      <c r="AK756" s="63">
        <f>IFERROR(VLOOKUP(Table2[[#This Row],[Contraente]],Table1[[Nome/Ragione sociale]:[Checkbox selezionato]],4,FALSE),"-")</f>
        <v>0</v>
      </c>
      <c r="AL756" s="63" t="str">
        <f>IFERROR(VLOOKUP(Table2[[#This Row],[Contraente]],Table1[[Nome/Ragione sociale]:[Checkbox selezionato]],5,FALSE),"-")</f>
        <v>VILARDO DIMITRI</v>
      </c>
      <c r="AM756" s="62">
        <f>IFERROR(VLOOKUP(Table2[[#This Row],[Contraente]],Table1[[Nome/Ragione sociale]:[Checkbox selezionato]],6,FALSE),"-")</f>
        <v>0</v>
      </c>
      <c r="AN756" s="63" t="str">
        <f>IFERROR(VLOOKUP(Table2[[#This Row],[Contraente]],Table1[[Nome/Ragione sociale]:[Checkbox selezionato]],7,FALSE),"-")</f>
        <v>papies@email.it</v>
      </c>
      <c r="AO756" s="63">
        <f>IFERROR(VLOOKUP(Table2[[#This Row],[Contraente]],Table1[[Nome/Ragione sociale]:[Checkbox selezionato]],8,FALSE),"-")</f>
        <v>0</v>
      </c>
      <c r="AP756" s="63">
        <f>IFERROR(VLOOKUP(Table2[[#This Row],[Contraente]],Table1[[Nome/Ragione sociale]:[Checkbox selezionato]],10,FALSE),"-")</f>
        <v>3349108740</v>
      </c>
      <c r="AQ756" s="63" t="str">
        <f>IFERROR(VLOOKUP(Table2[[#This Row],[Contraente]],Table1[[Nome/Ragione sociale]:[Checkbox selezionato]],11,FALSE),"-")</f>
        <v>SI</v>
      </c>
      <c r="AR756" s="63" t="str">
        <f>IFERROR(VLOOKUP(Table2[[#This Row],[Contraente]],Table1[[Nome/Ragione sociale]:[Checkbox selezionato]],12,FALSE),"-")</f>
        <v>SI</v>
      </c>
    </row>
    <row r="757" spans="1:44" ht="30" hidden="1" customHeight="1" x14ac:dyDescent="0.25">
      <c r="A757" s="60" t="str">
        <f>UPPER(LEFT(Table2[[#This Row],[Contraente]],1))</f>
        <v>M</v>
      </c>
      <c r="B757" s="60" t="s">
        <v>1634</v>
      </c>
      <c r="C757" s="81" t="s">
        <v>836</v>
      </c>
      <c r="D757" s="81" t="s">
        <v>37</v>
      </c>
      <c r="E757" s="86">
        <v>106684073</v>
      </c>
      <c r="F757" s="64">
        <v>42825</v>
      </c>
      <c r="G757" s="64">
        <f>IFERROR(CALCOLASCADENZA(Table2[[#This Row],[Data attivazione]],Table2[[#This Row],[Rateizzazione]],Table2[[#This Row],[Data ultimo pagamento]],Table2[[#This Row],[Data prossima scadenza manuale]]),"-")</f>
        <v>43178</v>
      </c>
      <c r="H757" s="67" t="s">
        <v>31</v>
      </c>
      <c r="I757" s="67" t="s">
        <v>1440</v>
      </c>
      <c r="J757" s="33">
        <f>IFERROR(Table2[[#This Row],[Importo annuale]]/(12/VLOOKUP(Table2[[#This Row],[Rateizzazione]],TIPI_RATEIZZAZIONI,2,FALSE)),"-")</f>
        <v>250</v>
      </c>
      <c r="K757" s="88">
        <v>250</v>
      </c>
      <c r="L757" s="88">
        <v>250</v>
      </c>
      <c r="M757" s="67" t="s">
        <v>43</v>
      </c>
      <c r="N757" s="67" t="s">
        <v>51</v>
      </c>
      <c r="O757" s="27" t="s">
        <v>1631</v>
      </c>
      <c r="P757" s="33" t="s">
        <v>23</v>
      </c>
      <c r="Q757" s="60">
        <f>IFERROR(IF(12 / VLOOKUP(Table2[[#This Row],[Rateizzazione]],TIPI_RATEIZZAZIONI,2,FALSE) &gt;=1,  IF(Table2[[#This Row],[Data attivazione]] = "","-",MONTH(Table2[[#This Row],[Data attivazione]])),"-"),"-")</f>
        <v>3</v>
      </c>
      <c r="R7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7" s="67" t="s">
        <v>2</v>
      </c>
      <c r="V757" s="62"/>
      <c r="W757" s="64">
        <v>42813</v>
      </c>
      <c r="X757" s="29">
        <f>DATE(YEAR(Table2[[#This Row],[Data attivazione]])+VLOOKUP(Table2[[#This Row],[Durata]],VALORE_DURATA,2,FALSE),MONTH(Table2[[#This Row],[Data attivazione]]),DAY(Table2[[#This Row],[Data attivazione]]))</f>
        <v>43178</v>
      </c>
      <c r="Y757" s="65"/>
      <c r="Z757" s="61"/>
      <c r="AA757" s="64" t="s">
        <v>85</v>
      </c>
      <c r="AB757" s="29" t="str">
        <f>IF(Table2[[#This Row],[Data ultimo versamento temp]]=0/1/1900,"-",Table2[[#This Row],[Data ultimo versamento temp]])</f>
        <v>-</v>
      </c>
      <c r="AC757" s="29">
        <f t="array" ref="AC757">MAX(IF(TableVersamenti[Polizza]=Table2[[#This Row],[Polizza]],TableVersamenti[Data prevista versamento],"-"))</f>
        <v>0</v>
      </c>
      <c r="AD757" s="62"/>
      <c r="AE757" s="106">
        <f>DATE(YEAR(Table2[[#This Row],[Data ultimo pagamento]]),MONTH(Table2[[#This Row],[Data ultimo pagamento]]), 1)</f>
        <v>42795</v>
      </c>
      <c r="AF757" s="106">
        <f>DATE(YEAR(Table2[[#This Row],[Data prossima scadenza]]),MONTH(Table2[[#This Row],[Data prossima scadenza]]), 1)</f>
        <v>43160</v>
      </c>
      <c r="AG757" s="33">
        <f>IFERROR(Table2[[#This Row],[Importo annuale]]*VLOOKUP(Table2[[#This Row],[Ramo]],RAMI_POLIZZA,2,FALSE),0)</f>
        <v>13</v>
      </c>
      <c r="AH757" s="65" t="s">
        <v>113</v>
      </c>
      <c r="AI757" s="63" t="str">
        <f>IFERROR(VLOOKUP(Table2[[#This Row],[Contraente]],Table1[[Nome/Ragione sociale]:[Checkbox selezionato]],2,FALSE),"-")</f>
        <v>SPESSA</v>
      </c>
      <c r="AJ757" s="63">
        <f>IFERROR(VLOOKUP(Table2[[#This Row],[Contraente]],Table1[[Nome/Ragione sociale]:[Checkbox selezionato]],3,FALSE),"-")</f>
        <v>3356574725</v>
      </c>
      <c r="AK757" s="63">
        <f>IFERROR(VLOOKUP(Table2[[#This Row],[Contraente]],Table1[[Nome/Ragione sociale]:[Checkbox selezionato]],4,FALSE),"-")</f>
        <v>0</v>
      </c>
      <c r="AL757" s="63" t="str">
        <f>IFERROR(VLOOKUP(Table2[[#This Row],[Contraente]],Table1[[Nome/Ragione sociale]:[Checkbox selezionato]],5,FALSE),"-")</f>
        <v>GIUSEPPE</v>
      </c>
      <c r="AM757" s="62">
        <f>IFERROR(VLOOKUP(Table2[[#This Row],[Contraente]],Table1[[Nome/Ragione sociale]:[Checkbox selezionato]],6,FALSE),"-")</f>
        <v>28297</v>
      </c>
      <c r="AN757" s="63" t="str">
        <f>IFERROR(VLOOKUP(Table2[[#This Row],[Contraente]],Table1[[Nome/Ragione sociale]:[Checkbox selezionato]],7,FALSE),"-")</f>
        <v>papies@libero.it</v>
      </c>
      <c r="AO757" s="63">
        <f>IFERROR(VLOOKUP(Table2[[#This Row],[Contraente]],Table1[[Nome/Ragione sociale]:[Checkbox selezionato]],8,FALSE),"-")</f>
        <v>0</v>
      </c>
      <c r="AP757" s="63">
        <f>IFERROR(VLOOKUP(Table2[[#This Row],[Contraente]],Table1[[Nome/Ragione sociale]:[Checkbox selezionato]],10,FALSE),"-")</f>
        <v>3356574725</v>
      </c>
      <c r="AQ757" s="63" t="str">
        <f>IFERROR(VLOOKUP(Table2[[#This Row],[Contraente]],Table1[[Nome/Ragione sociale]:[Checkbox selezionato]],11,FALSE),"-")</f>
        <v>SI</v>
      </c>
      <c r="AR757" s="63" t="str">
        <f>IFERROR(VLOOKUP(Table2[[#This Row],[Contraente]],Table1[[Nome/Ragione sociale]:[Checkbox selezionato]],12,FALSE),"-")</f>
        <v>SI</v>
      </c>
    </row>
    <row r="758" spans="1:44" ht="30" hidden="1" customHeight="1" x14ac:dyDescent="0.25">
      <c r="A758" s="60" t="str">
        <f>UPPER(LEFT(Table2[[#This Row],[Contraente]],1))</f>
        <v>M</v>
      </c>
      <c r="B758" s="60" t="s">
        <v>1634</v>
      </c>
      <c r="C758" s="81" t="s">
        <v>836</v>
      </c>
      <c r="D758" s="81" t="s">
        <v>37</v>
      </c>
      <c r="E758" s="86">
        <v>104490092</v>
      </c>
      <c r="F758" s="64">
        <v>42892</v>
      </c>
      <c r="G758" s="64">
        <f>IFERROR(CALCOLASCADENZA(Table2[[#This Row],[Data attivazione]],Table2[[#This Row],[Rateizzazione]],Table2[[#This Row],[Data ultimo pagamento]],Table2[[#This Row],[Data prossima scadenza manuale]]),"-")</f>
        <v>43074</v>
      </c>
      <c r="H758" s="67" t="s">
        <v>31</v>
      </c>
      <c r="I758" s="67" t="s">
        <v>1441</v>
      </c>
      <c r="J758" s="33">
        <f>IFERROR(Table2[[#This Row],[Importo annuale]]/(12/VLOOKUP(Table2[[#This Row],[Rateizzazione]],TIPI_RATEIZZAZIONI,2,FALSE)),"-")</f>
        <v>243</v>
      </c>
      <c r="K758" s="88">
        <v>243</v>
      </c>
      <c r="L758" s="88">
        <v>486</v>
      </c>
      <c r="M758" s="67" t="s">
        <v>43</v>
      </c>
      <c r="N758" s="67" t="s">
        <v>51</v>
      </c>
      <c r="O758" s="27" t="s">
        <v>1631</v>
      </c>
      <c r="P758" s="33" t="s">
        <v>22</v>
      </c>
      <c r="Q758" s="60">
        <f>IFERROR(IF(12 / VLOOKUP(Table2[[#This Row],[Rateizzazione]],TIPI_RATEIZZAZIONI,2,FALSE) &gt;=1,  IF(Table2[[#This Row],[Data attivazione]] = "","-",MONTH(Table2[[#This Row],[Data attivazione]])),"-"),"-")</f>
        <v>12</v>
      </c>
      <c r="R7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8" s="67" t="s">
        <v>2</v>
      </c>
      <c r="V758" s="62"/>
      <c r="W758" s="64">
        <v>42709</v>
      </c>
      <c r="X758" s="29">
        <f>DATE(YEAR(Table2[[#This Row],[Data attivazione]])+VLOOKUP(Table2[[#This Row],[Durata]],VALORE_DURATA,2,FALSE),MONTH(Table2[[#This Row],[Data attivazione]]),DAY(Table2[[#This Row],[Data attivazione]]))</f>
        <v>43074</v>
      </c>
      <c r="Y758" s="65"/>
      <c r="Z758" s="61"/>
      <c r="AA758" s="64" t="s">
        <v>85</v>
      </c>
      <c r="AB758" s="29" t="str">
        <f>IF(Table2[[#This Row],[Data ultimo versamento temp]]=0/1/1900,"-",Table2[[#This Row],[Data ultimo versamento temp]])</f>
        <v>-</v>
      </c>
      <c r="AC758" s="29">
        <f t="array" ref="AC758">MAX(IF(TableVersamenti[Polizza]=Table2[[#This Row],[Polizza]],TableVersamenti[Data prevista versamento],"-"))</f>
        <v>0</v>
      </c>
      <c r="AD758" s="62"/>
      <c r="AE758" s="106">
        <f>DATE(YEAR(Table2[[#This Row],[Data ultimo pagamento]]),MONTH(Table2[[#This Row],[Data ultimo pagamento]]), 1)</f>
        <v>42887</v>
      </c>
      <c r="AF758" s="106">
        <f>DATE(YEAR(Table2[[#This Row],[Data prossima scadenza]]),MONTH(Table2[[#This Row],[Data prossima scadenza]]), 1)</f>
        <v>43070</v>
      </c>
      <c r="AG758" s="33">
        <f>IFERROR(Table2[[#This Row],[Importo annuale]]*VLOOKUP(Table2[[#This Row],[Ramo]],RAMI_POLIZZA,2,FALSE),0)</f>
        <v>25.271999999999998</v>
      </c>
      <c r="AH758" s="65" t="s">
        <v>113</v>
      </c>
      <c r="AI758" s="63" t="str">
        <f>IFERROR(VLOOKUP(Table2[[#This Row],[Contraente]],Table1[[Nome/Ragione sociale]:[Checkbox selezionato]],2,FALSE),"-")</f>
        <v>SPESSA</v>
      </c>
      <c r="AJ758" s="63">
        <f>IFERROR(VLOOKUP(Table2[[#This Row],[Contraente]],Table1[[Nome/Ragione sociale]:[Checkbox selezionato]],3,FALSE),"-")</f>
        <v>3356574725</v>
      </c>
      <c r="AK758" s="63">
        <f>IFERROR(VLOOKUP(Table2[[#This Row],[Contraente]],Table1[[Nome/Ragione sociale]:[Checkbox selezionato]],4,FALSE),"-")</f>
        <v>0</v>
      </c>
      <c r="AL758" s="63" t="str">
        <f>IFERROR(VLOOKUP(Table2[[#This Row],[Contraente]],Table1[[Nome/Ragione sociale]:[Checkbox selezionato]],5,FALSE),"-")</f>
        <v>GIUSEPPE</v>
      </c>
      <c r="AM758" s="62">
        <f>IFERROR(VLOOKUP(Table2[[#This Row],[Contraente]],Table1[[Nome/Ragione sociale]:[Checkbox selezionato]],6,FALSE),"-")</f>
        <v>28297</v>
      </c>
      <c r="AN758" s="63" t="str">
        <f>IFERROR(VLOOKUP(Table2[[#This Row],[Contraente]],Table1[[Nome/Ragione sociale]:[Checkbox selezionato]],7,FALSE),"-")</f>
        <v>papies@libero.it</v>
      </c>
      <c r="AO758" s="63">
        <f>IFERROR(VLOOKUP(Table2[[#This Row],[Contraente]],Table1[[Nome/Ragione sociale]:[Checkbox selezionato]],8,FALSE),"-")</f>
        <v>0</v>
      </c>
      <c r="AP758" s="63">
        <f>IFERROR(VLOOKUP(Table2[[#This Row],[Contraente]],Table1[[Nome/Ragione sociale]:[Checkbox selezionato]],10,FALSE),"-")</f>
        <v>3356574725</v>
      </c>
      <c r="AQ758" s="63" t="str">
        <f>IFERROR(VLOOKUP(Table2[[#This Row],[Contraente]],Table1[[Nome/Ragione sociale]:[Checkbox selezionato]],11,FALSE),"-")</f>
        <v>SI</v>
      </c>
      <c r="AR758" s="63" t="str">
        <f>IFERROR(VLOOKUP(Table2[[#This Row],[Contraente]],Table1[[Nome/Ragione sociale]:[Checkbox selezionato]],12,FALSE),"-")</f>
        <v>SI</v>
      </c>
    </row>
    <row r="759" spans="1:44" ht="30" hidden="1" customHeight="1" x14ac:dyDescent="0.25">
      <c r="A759" s="60" t="str">
        <f>UPPER(LEFT(Table2[[#This Row],[Contraente]],1))</f>
        <v>M</v>
      </c>
      <c r="B759" s="60" t="s">
        <v>1634</v>
      </c>
      <c r="C759" s="81" t="s">
        <v>152</v>
      </c>
      <c r="D759" s="81" t="s">
        <v>37</v>
      </c>
      <c r="E759" s="86">
        <v>104092316</v>
      </c>
      <c r="F759" s="64">
        <v>42587</v>
      </c>
      <c r="G759" s="64">
        <f>IFERROR(CALCOLASCADENZA(Table2[[#This Row],[Data attivazione]],Table2[[#This Row],[Rateizzazione]],Table2[[#This Row],[Data ultimo pagamento]],Table2[[#This Row],[Data prossima scadenza manuale]]),"-")</f>
        <v>42587</v>
      </c>
      <c r="H759" s="67" t="s">
        <v>30</v>
      </c>
      <c r="I759" s="67" t="s">
        <v>113</v>
      </c>
      <c r="J759" s="33">
        <v>35</v>
      </c>
      <c r="K759" s="88"/>
      <c r="L759" s="88">
        <v>0</v>
      </c>
      <c r="M759" s="67" t="s">
        <v>43</v>
      </c>
      <c r="N759" s="67" t="s">
        <v>51</v>
      </c>
      <c r="O759" s="27" t="s">
        <v>1631</v>
      </c>
      <c r="P759" s="33" t="s">
        <v>24</v>
      </c>
      <c r="Q75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9" s="67" t="s">
        <v>2</v>
      </c>
      <c r="V759" s="62"/>
      <c r="W759" s="64">
        <v>42418</v>
      </c>
      <c r="X759" s="29">
        <f>DATE(YEAR(Table2[[#This Row],[Data attivazione]])+VLOOKUP(Table2[[#This Row],[Durata]],VALORE_DURATA,2,FALSE),MONTH(Table2[[#This Row],[Data attivazione]]),DAY(Table2[[#This Row],[Data attivazione]]))</f>
        <v>42784</v>
      </c>
      <c r="Y759" s="65"/>
      <c r="Z759" s="61"/>
      <c r="AA759" s="64" t="s">
        <v>88</v>
      </c>
      <c r="AB759" s="29" t="str">
        <f>IF(Table2[[#This Row],[Data ultimo versamento temp]]=0/1/1900,"-",Table2[[#This Row],[Data ultimo versamento temp]])</f>
        <v>-</v>
      </c>
      <c r="AC759" s="29">
        <f t="array" ref="AC759">MAX(IF(TableVersamenti[Polizza]=Table2[[#This Row],[Polizza]],TableVersamenti[Data prevista versamento],"-"))</f>
        <v>0</v>
      </c>
      <c r="AD759" s="62"/>
      <c r="AE759" s="106">
        <f>DATE(YEAR(Table2[[#This Row],[Data ultimo pagamento]]),MONTH(Table2[[#This Row],[Data ultimo pagamento]]), 1)</f>
        <v>42583</v>
      </c>
      <c r="AF759" s="106">
        <f>DATE(YEAR(Table2[[#This Row],[Data prossima scadenza]]),MONTH(Table2[[#This Row],[Data prossima scadenza]]), 1)</f>
        <v>42583</v>
      </c>
      <c r="AG759" s="33">
        <f>IFERROR(Table2[[#This Row],[Importo annuale]]*VLOOKUP(Table2[[#This Row],[Ramo]],RAMI_POLIZZA,2,FALSE),0)</f>
        <v>0</v>
      </c>
      <c r="AH759" s="65" t="s">
        <v>113</v>
      </c>
      <c r="AI759" s="63" t="str">
        <f>IFERROR(VLOOKUP(Table2[[#This Row],[Contraente]],Table1[[Nome/Ragione sociale]:[Checkbox selezionato]],2,FALSE),"-")</f>
        <v>SPESSA</v>
      </c>
      <c r="AJ759" s="63">
        <f>IFERROR(VLOOKUP(Table2[[#This Row],[Contraente]],Table1[[Nome/Ragione sociale]:[Checkbox selezionato]],3,FALSE),"-")</f>
        <v>3338323623</v>
      </c>
      <c r="AK759" s="63">
        <f>IFERROR(VLOOKUP(Table2[[#This Row],[Contraente]],Table1[[Nome/Ragione sociale]:[Checkbox selezionato]],4,FALSE),"-")</f>
        <v>0</v>
      </c>
      <c r="AL759" s="63" t="str">
        <f>IFERROR(VLOOKUP(Table2[[#This Row],[Contraente]],Table1[[Nome/Ragione sociale]:[Checkbox selezionato]],5,FALSE),"-")</f>
        <v>MARCO</v>
      </c>
      <c r="AM759" s="62">
        <f>IFERROR(VLOOKUP(Table2[[#This Row],[Contraente]],Table1[[Nome/Ragione sociale]:[Checkbox selezionato]],6,FALSE),"-")</f>
        <v>29581</v>
      </c>
      <c r="AN759" s="63" t="str">
        <f>IFERROR(VLOOKUP(Table2[[#This Row],[Contraente]],Table1[[Nome/Ragione sociale]:[Checkbox selezionato]],7,FALSE),"-")</f>
        <v>papies@libero.it</v>
      </c>
      <c r="AO759" s="63">
        <f>IFERROR(VLOOKUP(Table2[[#This Row],[Contraente]],Table1[[Nome/Ragione sociale]:[Checkbox selezionato]],8,FALSE),"-")</f>
        <v>0</v>
      </c>
      <c r="AP759" s="63">
        <f>IFERROR(VLOOKUP(Table2[[#This Row],[Contraente]],Table1[[Nome/Ragione sociale]:[Checkbox selezionato]],10,FALSE),"-")</f>
        <v>3338323623</v>
      </c>
      <c r="AQ759" s="63" t="str">
        <f>IFERROR(VLOOKUP(Table2[[#This Row],[Contraente]],Table1[[Nome/Ragione sociale]:[Checkbox selezionato]],11,FALSE),"-")</f>
        <v>SI</v>
      </c>
      <c r="AR759" s="63" t="str">
        <f>IFERROR(VLOOKUP(Table2[[#This Row],[Contraente]],Table1[[Nome/Ragione sociale]:[Checkbox selezionato]],12,FALSE),"-")</f>
        <v>SI</v>
      </c>
    </row>
    <row r="760" spans="1:44" ht="30" hidden="1" customHeight="1" x14ac:dyDescent="0.25">
      <c r="A760" s="60" t="str">
        <f>UPPER(LEFT(Table2[[#This Row],[Contraente]],1))</f>
        <v>M</v>
      </c>
      <c r="B760" s="60" t="s">
        <v>1634</v>
      </c>
      <c r="C760" s="81" t="s">
        <v>152</v>
      </c>
      <c r="D760" s="81" t="s">
        <v>37</v>
      </c>
      <c r="E760" s="86">
        <v>105313031</v>
      </c>
      <c r="F760" s="64">
        <v>42647</v>
      </c>
      <c r="G760" s="64" t="str">
        <f>IFERROR(CALCOLASCADENZA(Table2[[#This Row],[Data attivazione]],Table2[[#This Row],[Rateizzazione]],Table2[[#This Row],[Data ultimo pagamento]],Table2[[#This Row],[Data prossima scadenza manuale]]),"-")</f>
        <v>-</v>
      </c>
      <c r="H760" s="67" t="s">
        <v>31</v>
      </c>
      <c r="I760" s="67" t="s">
        <v>1442</v>
      </c>
      <c r="J760" s="33">
        <v>-83.13</v>
      </c>
      <c r="K760" s="88"/>
      <c r="L760" s="88">
        <v>0</v>
      </c>
      <c r="M760" s="67" t="s">
        <v>43</v>
      </c>
      <c r="N760" s="67" t="s">
        <v>51</v>
      </c>
      <c r="O760" s="27" t="s">
        <v>1631</v>
      </c>
      <c r="P760" s="33" t="s">
        <v>24</v>
      </c>
      <c r="Q76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0" s="67" t="s">
        <v>2</v>
      </c>
      <c r="V760" s="62"/>
      <c r="W760" s="64" t="e">
        <v>#VALUE!</v>
      </c>
      <c r="X76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60" s="65"/>
      <c r="Z760" s="61"/>
      <c r="AA760" s="64" t="s">
        <v>85</v>
      </c>
      <c r="AB760" s="29" t="str">
        <f>IF(Table2[[#This Row],[Data ultimo versamento temp]]=0/1/1900,"-",Table2[[#This Row],[Data ultimo versamento temp]])</f>
        <v>-</v>
      </c>
      <c r="AC760" s="29">
        <f t="array" ref="AC760">MAX(IF(TableVersamenti[Polizza]=Table2[[#This Row],[Polizza]],TableVersamenti[Data prevista versamento],"-"))</f>
        <v>0</v>
      </c>
      <c r="AD760" s="62"/>
      <c r="AE760" s="106">
        <f>DATE(YEAR(Table2[[#This Row],[Data ultimo pagamento]]),MONTH(Table2[[#This Row],[Data ultimo pagamento]]), 1)</f>
        <v>42644</v>
      </c>
      <c r="AF760" s="106" t="e">
        <f>DATE(YEAR(Table2[[#This Row],[Data prossima scadenza]]),MONTH(Table2[[#This Row],[Data prossima scadenza]]), 1)</f>
        <v>#VALUE!</v>
      </c>
      <c r="AG760" s="33">
        <f>IFERROR(Table2[[#This Row],[Importo annuale]]*VLOOKUP(Table2[[#This Row],[Ramo]],RAMI_POLIZZA,2,FALSE),0)</f>
        <v>0</v>
      </c>
      <c r="AH760" s="65" t="s">
        <v>113</v>
      </c>
      <c r="AI760" s="63" t="str">
        <f>IFERROR(VLOOKUP(Table2[[#This Row],[Contraente]],Table1[[Nome/Ragione sociale]:[Checkbox selezionato]],2,FALSE),"-")</f>
        <v>SPESSA</v>
      </c>
      <c r="AJ760" s="63">
        <f>IFERROR(VLOOKUP(Table2[[#This Row],[Contraente]],Table1[[Nome/Ragione sociale]:[Checkbox selezionato]],3,FALSE),"-")</f>
        <v>3338323623</v>
      </c>
      <c r="AK760" s="63">
        <f>IFERROR(VLOOKUP(Table2[[#This Row],[Contraente]],Table1[[Nome/Ragione sociale]:[Checkbox selezionato]],4,FALSE),"-")</f>
        <v>0</v>
      </c>
      <c r="AL760" s="63" t="str">
        <f>IFERROR(VLOOKUP(Table2[[#This Row],[Contraente]],Table1[[Nome/Ragione sociale]:[Checkbox selezionato]],5,FALSE),"-")</f>
        <v>MARCO</v>
      </c>
      <c r="AM760" s="62">
        <f>IFERROR(VLOOKUP(Table2[[#This Row],[Contraente]],Table1[[Nome/Ragione sociale]:[Checkbox selezionato]],6,FALSE),"-")</f>
        <v>29581</v>
      </c>
      <c r="AN760" s="63" t="str">
        <f>IFERROR(VLOOKUP(Table2[[#This Row],[Contraente]],Table1[[Nome/Ragione sociale]:[Checkbox selezionato]],7,FALSE),"-")</f>
        <v>papies@libero.it</v>
      </c>
      <c r="AO760" s="63">
        <f>IFERROR(VLOOKUP(Table2[[#This Row],[Contraente]],Table1[[Nome/Ragione sociale]:[Checkbox selezionato]],8,FALSE),"-")</f>
        <v>0</v>
      </c>
      <c r="AP760" s="63">
        <f>IFERROR(VLOOKUP(Table2[[#This Row],[Contraente]],Table1[[Nome/Ragione sociale]:[Checkbox selezionato]],10,FALSE),"-")</f>
        <v>3338323623</v>
      </c>
      <c r="AQ760" s="63" t="str">
        <f>IFERROR(VLOOKUP(Table2[[#This Row],[Contraente]],Table1[[Nome/Ragione sociale]:[Checkbox selezionato]],11,FALSE),"-")</f>
        <v>SI</v>
      </c>
      <c r="AR760" s="63" t="str">
        <f>IFERROR(VLOOKUP(Table2[[#This Row],[Contraente]],Table1[[Nome/Ragione sociale]:[Checkbox selezionato]],12,FALSE),"-")</f>
        <v>SI</v>
      </c>
    </row>
    <row r="761" spans="1:44" ht="30" hidden="1" customHeight="1" x14ac:dyDescent="0.25">
      <c r="A761" s="60" t="str">
        <f>UPPER(LEFT(Table2[[#This Row],[Contraente]],1))</f>
        <v>M</v>
      </c>
      <c r="B761" s="60" t="s">
        <v>1634</v>
      </c>
      <c r="C761" s="81" t="s">
        <v>837</v>
      </c>
      <c r="D761" s="81" t="s">
        <v>37</v>
      </c>
      <c r="E761" s="86">
        <v>105119953</v>
      </c>
      <c r="F761" s="64">
        <v>42898</v>
      </c>
      <c r="G761" s="64">
        <f>IFERROR(CALCOLASCADENZA(Table2[[#This Row],[Data attivazione]],Table2[[#This Row],[Rateizzazione]],Table2[[#This Row],[Data ultimo pagamento]],Table2[[#This Row],[Data prossima scadenza manuale]]),"-")</f>
        <v>43070</v>
      </c>
      <c r="H761" s="67" t="s">
        <v>30</v>
      </c>
      <c r="I761" s="67" t="s">
        <v>113</v>
      </c>
      <c r="J761" s="33">
        <f>IFERROR(Table2[[#This Row],[Importo annuale]]/(12/VLOOKUP(Table2[[#This Row],[Rateizzazione]],TIPI_RATEIZZAZIONI,2,FALSE)),"-")</f>
        <v>255</v>
      </c>
      <c r="K761" s="88">
        <v>255</v>
      </c>
      <c r="L761" s="88">
        <v>510</v>
      </c>
      <c r="M761" s="67" t="s">
        <v>44</v>
      </c>
      <c r="N761" s="67" t="s">
        <v>51</v>
      </c>
      <c r="O761" s="27" t="s">
        <v>1631</v>
      </c>
      <c r="P761" s="33" t="s">
        <v>22</v>
      </c>
      <c r="Q761" s="60">
        <f>IFERROR(IF(12 / VLOOKUP(Table2[[#This Row],[Rateizzazione]],TIPI_RATEIZZAZIONI,2,FALSE) &gt;=1,  IF(Table2[[#This Row],[Data attivazione]] = "","-",MONTH(Table2[[#This Row],[Data attivazione]])),"-"),"-")</f>
        <v>12</v>
      </c>
      <c r="R7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1" s="67" t="s">
        <v>2</v>
      </c>
      <c r="V761" s="62"/>
      <c r="W761" s="64">
        <v>42705</v>
      </c>
      <c r="X761" s="29">
        <f>DATE(YEAR(Table2[[#This Row],[Data attivazione]])+VLOOKUP(Table2[[#This Row],[Durata]],VALORE_DURATA,2,FALSE),MONTH(Table2[[#This Row],[Data attivazione]]),DAY(Table2[[#This Row],[Data attivazione]]))</f>
        <v>43070</v>
      </c>
      <c r="Y761" s="65"/>
      <c r="Z761" s="61"/>
      <c r="AA761" s="64" t="s">
        <v>85</v>
      </c>
      <c r="AB761" s="29" t="str">
        <f>IF(Table2[[#This Row],[Data ultimo versamento temp]]=0/1/1900,"-",Table2[[#This Row],[Data ultimo versamento temp]])</f>
        <v>-</v>
      </c>
      <c r="AC761" s="29">
        <f t="array" ref="AC761">MAX(IF(TableVersamenti[Polizza]=Table2[[#This Row],[Polizza]],TableVersamenti[Data prevista versamento],"-"))</f>
        <v>0</v>
      </c>
      <c r="AD761" s="62"/>
      <c r="AE761" s="106">
        <f>DATE(YEAR(Table2[[#This Row],[Data ultimo pagamento]]),MONTH(Table2[[#This Row],[Data ultimo pagamento]]), 1)</f>
        <v>42887</v>
      </c>
      <c r="AF761" s="106">
        <f>DATE(YEAR(Table2[[#This Row],[Data prossima scadenza]]),MONTH(Table2[[#This Row],[Data prossima scadenza]]), 1)</f>
        <v>43070</v>
      </c>
      <c r="AG761" s="33">
        <f>IFERROR(Table2[[#This Row],[Importo annuale]]*VLOOKUP(Table2[[#This Row],[Ramo]],RAMI_POLIZZA,2,FALSE),0)</f>
        <v>58.650000000000006</v>
      </c>
      <c r="AH761" s="65" t="s">
        <v>113</v>
      </c>
      <c r="AI761" s="63" t="str">
        <f>IFERROR(VLOOKUP(Table2[[#This Row],[Contraente]],Table1[[Nome/Ragione sociale]:[Checkbox selezionato]],2,FALSE),"-")</f>
        <v>SAN MARTINO SICCOMARIO</v>
      </c>
      <c r="AJ761" s="63">
        <f>IFERROR(VLOOKUP(Table2[[#This Row],[Contraente]],Table1[[Nome/Ragione sociale]:[Checkbox selezionato]],3,FALSE),"-")</f>
        <v>3315992468</v>
      </c>
      <c r="AK761" s="63">
        <f>IFERROR(VLOOKUP(Table2[[#This Row],[Contraente]],Table1[[Nome/Ragione sociale]:[Checkbox selezionato]],4,FALSE),"-")</f>
        <v>0</v>
      </c>
      <c r="AL761" s="63" t="str">
        <f>IFERROR(VLOOKUP(Table2[[#This Row],[Contraente]],Table1[[Nome/Ragione sociale]:[Checkbox selezionato]],5,FALSE),"-")</f>
        <v>BERNARDO</v>
      </c>
      <c r="AM761" s="62">
        <f>IFERROR(VLOOKUP(Table2[[#This Row],[Contraente]],Table1[[Nome/Ragione sociale]:[Checkbox selezionato]],6,FALSE),"-")</f>
        <v>27737</v>
      </c>
      <c r="AN761" s="63" t="str">
        <f>IFERROR(VLOOKUP(Table2[[#This Row],[Contraente]],Table1[[Nome/Ragione sociale]:[Checkbox selezionato]],7,FALSE),"-")</f>
        <v>papies@email.it</v>
      </c>
      <c r="AO761" s="63">
        <f>IFERROR(VLOOKUP(Table2[[#This Row],[Contraente]],Table1[[Nome/Ragione sociale]:[Checkbox selezionato]],8,FALSE),"-")</f>
        <v>0</v>
      </c>
      <c r="AP761" s="63">
        <f>IFERROR(VLOOKUP(Table2[[#This Row],[Contraente]],Table1[[Nome/Ragione sociale]:[Checkbox selezionato]],10,FALSE),"-")</f>
        <v>3315992468</v>
      </c>
      <c r="AQ761" s="63" t="str">
        <f>IFERROR(VLOOKUP(Table2[[#This Row],[Contraente]],Table1[[Nome/Ragione sociale]:[Checkbox selezionato]],11,FALSE),"-")</f>
        <v>SI</v>
      </c>
      <c r="AR761" s="63" t="str">
        <f>IFERROR(VLOOKUP(Table2[[#This Row],[Contraente]],Table1[[Nome/Ragione sociale]:[Checkbox selezionato]],12,FALSE),"-")</f>
        <v>SI</v>
      </c>
    </row>
    <row r="762" spans="1:44" ht="30" hidden="1" customHeight="1" x14ac:dyDescent="0.25">
      <c r="A762" s="60" t="str">
        <f>UPPER(LEFT(Table2[[#This Row],[Contraente]],1))</f>
        <v>M</v>
      </c>
      <c r="B762" s="60" t="s">
        <v>1634</v>
      </c>
      <c r="C762" s="47" t="s">
        <v>1785</v>
      </c>
      <c r="D762" s="98" t="s">
        <v>38</v>
      </c>
      <c r="E762" s="99" t="s">
        <v>1786</v>
      </c>
      <c r="F762" s="64">
        <v>42920</v>
      </c>
      <c r="G762" s="64">
        <f>IFERROR(CALCOLASCADENZA(Table2[[#This Row],[Data attivazione]],Table2[[#This Row],[Rateizzazione]],Table2[[#This Row],[Data ultimo pagamento]],Table2[[#This Row],[Data prossima scadenza manuale]]),"-")</f>
        <v>43285</v>
      </c>
      <c r="H762" s="67" t="s">
        <v>30</v>
      </c>
      <c r="I762" s="67" t="s">
        <v>113</v>
      </c>
      <c r="J762" s="92">
        <f>IFERROR(Table2[[#This Row],[Importo annuale]]/(12/VLOOKUP(Table2[[#This Row],[Rateizzazione]],TIPI_RATEIZZAZIONI,2,FALSE)),"-")</f>
        <v>279</v>
      </c>
      <c r="K762" s="102">
        <v>279</v>
      </c>
      <c r="L762" s="69">
        <v>279</v>
      </c>
      <c r="M762" s="67" t="s">
        <v>44</v>
      </c>
      <c r="N762" s="67" t="s">
        <v>52</v>
      </c>
      <c r="O762" s="27" t="s">
        <v>1631</v>
      </c>
      <c r="P762" s="92" t="s">
        <v>23</v>
      </c>
      <c r="Q762" s="60">
        <f>IFERROR(IF(12 / VLOOKUP(Table2[[#This Row],[Rateizzazione]],TIPI_RATEIZZAZIONI,2,FALSE) &gt;=1,  IF(Table2[[#This Row],[Data attivazione]] = "","-",MONTH(Table2[[#This Row],[Data attivazione]])),"-"),"-")</f>
        <v>7</v>
      </c>
      <c r="R7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2" s="67" t="s">
        <v>2</v>
      </c>
      <c r="V762" s="62"/>
      <c r="W762" s="64">
        <v>42920</v>
      </c>
      <c r="X762" s="29">
        <f>DATE(YEAR(Table2[[#This Row],[Data attivazione]])+VLOOKUP(Table2[[#This Row],[Durata]],VALORE_DURATA,2,FALSE),MONTH(Table2[[#This Row],[Data attivazione]]),DAY(Table2[[#This Row],[Data attivazione]]))</f>
        <v>43285</v>
      </c>
      <c r="Y762" s="65"/>
      <c r="Z762" s="61"/>
      <c r="AA762" s="64" t="s">
        <v>85</v>
      </c>
      <c r="AB762" s="29" t="str">
        <f>IF(Table2[[#This Row],[Data ultimo versamento temp]]=0/1/1900,"-",Table2[[#This Row],[Data ultimo versamento temp]])</f>
        <v>-</v>
      </c>
      <c r="AC762" s="29">
        <f t="array" ref="AC762">MAX(IF(TableVersamenti[Polizza]=Table2[[#This Row],[Polizza]],TableVersamenti[Data prevista versamento],"-"))</f>
        <v>0</v>
      </c>
      <c r="AD762" s="62"/>
      <c r="AE762" s="106">
        <f>DATE(YEAR(Table2[[#This Row],[Data ultimo pagamento]]),MONTH(Table2[[#This Row],[Data ultimo pagamento]]), 1)</f>
        <v>42917</v>
      </c>
      <c r="AF762" s="106">
        <f>DATE(YEAR(Table2[[#This Row],[Data prossima scadenza]]),MONTH(Table2[[#This Row],[Data prossima scadenza]]), 1)</f>
        <v>43282</v>
      </c>
      <c r="AG762" s="92">
        <f>IFERROR(Table2[[#This Row],[Importo annuale]]*VLOOKUP(Table2[[#This Row],[Ramo]],RAMI_POLIZZA,2,FALSE),0)</f>
        <v>32.085000000000001</v>
      </c>
      <c r="AH762" s="65" t="s">
        <v>113</v>
      </c>
      <c r="AI762" s="63" t="str">
        <f>IFERROR(VLOOKUP(Table2[[#This Row],[Contraente]],Table1[[Nome/Ragione sociale]:[Checkbox selezionato]],2,FALSE),"-")</f>
        <v>PAVIA</v>
      </c>
      <c r="AJ762" s="63">
        <f>IFERROR(VLOOKUP(Table2[[#This Row],[Contraente]],Table1[[Nome/Ragione sociale]:[Checkbox selezionato]],3,FALSE),"-")</f>
        <v>3315992468</v>
      </c>
      <c r="AK762" s="63">
        <f>IFERROR(VLOOKUP(Table2[[#This Row],[Contraente]],Table1[[Nome/Ragione sociale]:[Checkbox selezionato]],4,FALSE),"-")</f>
        <v>0</v>
      </c>
      <c r="AL762" s="63" t="str">
        <f>IFERROR(VLOOKUP(Table2[[#This Row],[Contraente]],Table1[[Nome/Ragione sociale]:[Checkbox selezionato]],5,FALSE),"-")</f>
        <v>BERNARDO</v>
      </c>
      <c r="AM762" s="62">
        <f>IFERROR(VLOOKUP(Table2[[#This Row],[Contraente]],Table1[[Nome/Ragione sociale]:[Checkbox selezionato]],6,FALSE),"-")</f>
        <v>0</v>
      </c>
      <c r="AN762" s="63" t="str">
        <f>IFERROR(VLOOKUP(Table2[[#This Row],[Contraente]],Table1[[Nome/Ragione sociale]:[Checkbox selezionato]],7,FALSE),"-")</f>
        <v>papies@libero.it</v>
      </c>
      <c r="AO762" s="63">
        <f>IFERROR(VLOOKUP(Table2[[#This Row],[Contraente]],Table1[[Nome/Ragione sociale]:[Checkbox selezionato]],8,FALSE),"-")</f>
        <v>0</v>
      </c>
      <c r="AP762" s="63">
        <f>IFERROR(VLOOKUP(Table2[[#This Row],[Contraente]],Table1[[Nome/Ragione sociale]:[Checkbox selezionato]],10,FALSE),"-")</f>
        <v>3315992468</v>
      </c>
      <c r="AQ762" s="63" t="str">
        <f>IFERROR(VLOOKUP(Table2[[#This Row],[Contraente]],Table1[[Nome/Ragione sociale]:[Checkbox selezionato]],11,FALSE),"-")</f>
        <v>SI</v>
      </c>
      <c r="AR762" s="63" t="str">
        <f>IFERROR(VLOOKUP(Table2[[#This Row],[Contraente]],Table1[[Nome/Ragione sociale]:[Checkbox selezionato]],12,FALSE),"-")</f>
        <v>SI</v>
      </c>
    </row>
    <row r="763" spans="1:44" ht="30" hidden="1" customHeight="1" x14ac:dyDescent="0.25">
      <c r="A763" s="60" t="str">
        <f>UPPER(LEFT(Table2[[#This Row],[Contraente]],1))</f>
        <v>M</v>
      </c>
      <c r="B763" s="60" t="s">
        <v>1634</v>
      </c>
      <c r="C763" s="47" t="s">
        <v>839</v>
      </c>
      <c r="D763" s="98" t="s">
        <v>37</v>
      </c>
      <c r="E763" s="99" t="s">
        <v>1787</v>
      </c>
      <c r="F763" s="64">
        <v>42920</v>
      </c>
      <c r="G763" s="64">
        <f>IFERROR(CALCOLASCADENZA(Table2[[#This Row],[Data attivazione]],Table2[[#This Row],[Rateizzazione]],Table2[[#This Row],[Data ultimo pagamento]],Table2[[#This Row],[Data prossima scadenza manuale]]),"-")</f>
        <v>43073</v>
      </c>
      <c r="H763" s="67" t="s">
        <v>31</v>
      </c>
      <c r="I763" s="67" t="s">
        <v>1788</v>
      </c>
      <c r="J763" s="92">
        <v>54</v>
      </c>
      <c r="K763" s="102">
        <v>54</v>
      </c>
      <c r="L763" s="69">
        <v>645</v>
      </c>
      <c r="M763" s="67" t="s">
        <v>43</v>
      </c>
      <c r="N763" s="67" t="s">
        <v>52</v>
      </c>
      <c r="O763" s="27" t="s">
        <v>1631</v>
      </c>
      <c r="P763" s="92" t="s">
        <v>21</v>
      </c>
      <c r="Q763" s="60">
        <f>IFERROR(IF(12 / VLOOKUP(Table2[[#This Row],[Rateizzazione]],TIPI_RATEIZZAZIONI,2,FALSE) &gt;=1,  IF(Table2[[#This Row],[Data attivazione]] = "","-",MONTH(Table2[[#This Row],[Data attivazione]])),"-"),"-")</f>
        <v>8</v>
      </c>
      <c r="R7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6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3" s="67" t="s">
        <v>2</v>
      </c>
      <c r="V763" s="62"/>
      <c r="W763" s="64">
        <v>42951</v>
      </c>
      <c r="X763" s="29">
        <f>DATE(YEAR(Table2[[#This Row],[Data attivazione]])+VLOOKUP(Table2[[#This Row],[Durata]],VALORE_DURATA,2,FALSE),MONTH(Table2[[#This Row],[Data attivazione]]),DAY(Table2[[#This Row],[Data attivazione]]))</f>
        <v>43316</v>
      </c>
      <c r="Y763" s="65"/>
      <c r="Z763" s="61"/>
      <c r="AA763" s="64" t="s">
        <v>85</v>
      </c>
      <c r="AB763" s="29" t="str">
        <f>IF(Table2[[#This Row],[Data ultimo versamento temp]]=0/1/1900,"-",Table2[[#This Row],[Data ultimo versamento temp]])</f>
        <v>-</v>
      </c>
      <c r="AC763" s="29">
        <f t="array" ref="AC763">MAX(IF(TableVersamenti[Polizza]=Table2[[#This Row],[Polizza]],TableVersamenti[Data prevista versamento],"-"))</f>
        <v>0</v>
      </c>
      <c r="AD763" s="62"/>
      <c r="AE763" s="106">
        <f>DATE(YEAR(Table2[[#This Row],[Data ultimo pagamento]]),MONTH(Table2[[#This Row],[Data ultimo pagamento]]), 1)</f>
        <v>42917</v>
      </c>
      <c r="AF763" s="106">
        <f>DATE(YEAR(Table2[[#This Row],[Data prossima scadenza]]),MONTH(Table2[[#This Row],[Data prossima scadenza]]), 1)</f>
        <v>43070</v>
      </c>
      <c r="AG763" s="92">
        <f>IFERROR(Table2[[#This Row],[Importo annuale]]*VLOOKUP(Table2[[#This Row],[Ramo]],RAMI_POLIZZA,2,FALSE),0)</f>
        <v>33.54</v>
      </c>
      <c r="AH763" s="65" t="s">
        <v>113</v>
      </c>
      <c r="AI763" s="63" t="str">
        <f>IFERROR(VLOOKUP(Table2[[#This Row],[Contraente]],Table1[[Nome/Ragione sociale]:[Checkbox selezionato]],2,FALSE),"-")</f>
        <v>BELGIOIOSO</v>
      </c>
      <c r="AJ763" s="63">
        <f>IFERROR(VLOOKUP(Table2[[#This Row],[Contraente]],Table1[[Nome/Ragione sociale]:[Checkbox selezionato]],3,FALSE),"-")</f>
        <v>3454529775</v>
      </c>
      <c r="AK763" s="63">
        <f>IFERROR(VLOOKUP(Table2[[#This Row],[Contraente]],Table1[[Nome/Ragione sociale]:[Checkbox selezionato]],4,FALSE),"-")</f>
        <v>0</v>
      </c>
      <c r="AL763" s="63" t="str">
        <f>IFERROR(VLOOKUP(Table2[[#This Row],[Contraente]],Table1[[Nome/Ragione sociale]:[Checkbox selezionato]],5,FALSE),"-")</f>
        <v>MAURIZIO</v>
      </c>
      <c r="AM763" s="62">
        <f>IFERROR(VLOOKUP(Table2[[#This Row],[Contraente]],Table1[[Nome/Ragione sociale]:[Checkbox selezionato]],6,FALSE),"-")</f>
        <v>21745</v>
      </c>
      <c r="AN763" s="63" t="str">
        <f>IFERROR(VLOOKUP(Table2[[#This Row],[Contraente]],Table1[[Nome/Ragione sociale]:[Checkbox selezionato]],7,FALSE),"-")</f>
        <v>papies@libero.it</v>
      </c>
      <c r="AO763" s="63">
        <f>IFERROR(VLOOKUP(Table2[[#This Row],[Contraente]],Table1[[Nome/Ragione sociale]:[Checkbox selezionato]],8,FALSE),"-")</f>
        <v>0</v>
      </c>
      <c r="AP763" s="63">
        <f>IFERROR(VLOOKUP(Table2[[#This Row],[Contraente]],Table1[[Nome/Ragione sociale]:[Checkbox selezionato]],10,FALSE),"-")</f>
        <v>3454529775</v>
      </c>
      <c r="AQ763" s="63" t="str">
        <f>IFERROR(VLOOKUP(Table2[[#This Row],[Contraente]],Table1[[Nome/Ragione sociale]:[Checkbox selezionato]],11,FALSE),"-")</f>
        <v>SI</v>
      </c>
      <c r="AR763" s="63" t="str">
        <f>IFERROR(VLOOKUP(Table2[[#This Row],[Contraente]],Table1[[Nome/Ragione sociale]:[Checkbox selezionato]],12,FALSE),"-")</f>
        <v>SI</v>
      </c>
    </row>
    <row r="764" spans="1:44" ht="30" hidden="1" customHeight="1" x14ac:dyDescent="0.25">
      <c r="A764" s="60" t="str">
        <f>UPPER(LEFT(Table2[[#This Row],[Contraente]],1))</f>
        <v>M</v>
      </c>
      <c r="B764" s="60" t="s">
        <v>1634</v>
      </c>
      <c r="C764" s="81" t="s">
        <v>839</v>
      </c>
      <c r="D764" s="81" t="s">
        <v>37</v>
      </c>
      <c r="E764" s="86">
        <v>105655993</v>
      </c>
      <c r="F764" s="64">
        <v>42573</v>
      </c>
      <c r="G764" s="64" t="str">
        <f>IFERROR(CALCOLASCADENZA(Table2[[#This Row],[Data attivazione]],Table2[[#This Row],[Rateizzazione]],Table2[[#This Row],[Data ultimo pagamento]],Table2[[#This Row],[Data prossima scadenza manuale]]),"-")</f>
        <v>-</v>
      </c>
      <c r="H764" s="67" t="s">
        <v>31</v>
      </c>
      <c r="I764" s="67" t="s">
        <v>1443</v>
      </c>
      <c r="J764" s="33">
        <v>0</v>
      </c>
      <c r="K764" s="88"/>
      <c r="L764" s="88">
        <v>750</v>
      </c>
      <c r="M764" s="67" t="s">
        <v>44</v>
      </c>
      <c r="N764" s="67" t="s">
        <v>51</v>
      </c>
      <c r="O764" s="27" t="s">
        <v>1631</v>
      </c>
      <c r="P764" s="33" t="s">
        <v>24</v>
      </c>
      <c r="Q76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4" s="67" t="s">
        <v>2</v>
      </c>
      <c r="V764" s="62"/>
      <c r="W764" s="64" t="e">
        <v>#VALUE!</v>
      </c>
      <c r="X76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64" s="65"/>
      <c r="Z764" s="61"/>
      <c r="AA764" s="64" t="s">
        <v>85</v>
      </c>
      <c r="AB764" s="29" t="str">
        <f>IF(Table2[[#This Row],[Data ultimo versamento temp]]=0/1/1900,"-",Table2[[#This Row],[Data ultimo versamento temp]])</f>
        <v>-</v>
      </c>
      <c r="AC764" s="29">
        <f t="array" ref="AC764">MAX(IF(TableVersamenti[Polizza]=Table2[[#This Row],[Polizza]],TableVersamenti[Data prevista versamento],"-"))</f>
        <v>0</v>
      </c>
      <c r="AD764" s="62"/>
      <c r="AE764" s="106">
        <f>DATE(YEAR(Table2[[#This Row],[Data ultimo pagamento]]),MONTH(Table2[[#This Row],[Data ultimo pagamento]]), 1)</f>
        <v>42552</v>
      </c>
      <c r="AF764" s="106" t="e">
        <f>DATE(YEAR(Table2[[#This Row],[Data prossima scadenza]]),MONTH(Table2[[#This Row],[Data prossima scadenza]]), 1)</f>
        <v>#VALUE!</v>
      </c>
      <c r="AG764" s="33">
        <f>IFERROR(Table2[[#This Row],[Importo annuale]]*VLOOKUP(Table2[[#This Row],[Ramo]],RAMI_POLIZZA,2,FALSE),0)</f>
        <v>39</v>
      </c>
      <c r="AH764" s="65" t="s">
        <v>113</v>
      </c>
      <c r="AI764" s="63" t="str">
        <f>IFERROR(VLOOKUP(Table2[[#This Row],[Contraente]],Table1[[Nome/Ragione sociale]:[Checkbox selezionato]],2,FALSE),"-")</f>
        <v>BELGIOIOSO</v>
      </c>
      <c r="AJ764" s="63">
        <f>IFERROR(VLOOKUP(Table2[[#This Row],[Contraente]],Table1[[Nome/Ragione sociale]:[Checkbox selezionato]],3,FALSE),"-")</f>
        <v>3454529775</v>
      </c>
      <c r="AK764" s="63">
        <f>IFERROR(VLOOKUP(Table2[[#This Row],[Contraente]],Table1[[Nome/Ragione sociale]:[Checkbox selezionato]],4,FALSE),"-")</f>
        <v>0</v>
      </c>
      <c r="AL764" s="63" t="str">
        <f>IFERROR(VLOOKUP(Table2[[#This Row],[Contraente]],Table1[[Nome/Ragione sociale]:[Checkbox selezionato]],5,FALSE),"-")</f>
        <v>MAURIZIO</v>
      </c>
      <c r="AM764" s="62">
        <f>IFERROR(VLOOKUP(Table2[[#This Row],[Contraente]],Table1[[Nome/Ragione sociale]:[Checkbox selezionato]],6,FALSE),"-")</f>
        <v>21745</v>
      </c>
      <c r="AN764" s="63" t="str">
        <f>IFERROR(VLOOKUP(Table2[[#This Row],[Contraente]],Table1[[Nome/Ragione sociale]:[Checkbox selezionato]],7,FALSE),"-")</f>
        <v>papies@libero.it</v>
      </c>
      <c r="AO764" s="63">
        <f>IFERROR(VLOOKUP(Table2[[#This Row],[Contraente]],Table1[[Nome/Ragione sociale]:[Checkbox selezionato]],8,FALSE),"-")</f>
        <v>0</v>
      </c>
      <c r="AP764" s="63">
        <f>IFERROR(VLOOKUP(Table2[[#This Row],[Contraente]],Table1[[Nome/Ragione sociale]:[Checkbox selezionato]],10,FALSE),"-")</f>
        <v>3454529775</v>
      </c>
      <c r="AQ764" s="63" t="str">
        <f>IFERROR(VLOOKUP(Table2[[#This Row],[Contraente]],Table1[[Nome/Ragione sociale]:[Checkbox selezionato]],11,FALSE),"-")</f>
        <v>SI</v>
      </c>
      <c r="AR764" s="63" t="str">
        <f>IFERROR(VLOOKUP(Table2[[#This Row],[Contraente]],Table1[[Nome/Ragione sociale]:[Checkbox selezionato]],12,FALSE),"-")</f>
        <v>SI</v>
      </c>
    </row>
    <row r="765" spans="1:44" ht="30" hidden="1" customHeight="1" x14ac:dyDescent="0.25">
      <c r="A765" s="60" t="str">
        <f>UPPER(LEFT(Table2[[#This Row],[Contraente]],1))</f>
        <v>M</v>
      </c>
      <c r="B765" s="60" t="s">
        <v>1634</v>
      </c>
      <c r="C765" s="81" t="s">
        <v>828</v>
      </c>
      <c r="D765" s="81" t="s">
        <v>37</v>
      </c>
      <c r="E765" s="86">
        <v>103619077</v>
      </c>
      <c r="F765" s="64">
        <v>42118</v>
      </c>
      <c r="G765" s="64">
        <f>IFERROR(CALCOLASCADENZA(Table2[[#This Row],[Data attivazione]],Table2[[#This Row],[Rateizzazione]],Table2[[#This Row],[Data ultimo pagamento]],Table2[[#This Row],[Data prossima scadenza manuale]]),"-")</f>
        <v>693778</v>
      </c>
      <c r="H765" s="67" t="s">
        <v>31</v>
      </c>
      <c r="I765" s="67" t="s">
        <v>1432</v>
      </c>
      <c r="J765" s="33">
        <f>IFERROR(Table2[[#This Row],[Importo annuale]]/(12/VLOOKUP(Table2[[#This Row],[Rateizzazione]],TIPI_RATEIZZAZIONI,2,FALSE)),"-")</f>
        <v>320</v>
      </c>
      <c r="K765" s="88"/>
      <c r="L765" s="88">
        <v>640</v>
      </c>
      <c r="M765" s="67" t="s">
        <v>43</v>
      </c>
      <c r="N765" s="67" t="s">
        <v>52</v>
      </c>
      <c r="O765" s="27" t="s">
        <v>1631</v>
      </c>
      <c r="P765" s="33" t="s">
        <v>22</v>
      </c>
      <c r="Q765" s="60">
        <f>IFERROR(IF(12 / VLOOKUP(Table2[[#This Row],[Rateizzazione]],TIPI_RATEIZZAZIONI,2,FALSE) &gt;=1,  IF(Table2[[#This Row],[Data attivazione]] = "","-",MONTH(Table2[[#This Row],[Data attivazione]])),"-"),"-")</f>
        <v>12</v>
      </c>
      <c r="R7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5" s="67" t="s">
        <v>2</v>
      </c>
      <c r="V765" s="62"/>
      <c r="W765" s="64">
        <v>693597</v>
      </c>
      <c r="X765" s="29">
        <f>DATE(YEAR(Table2[[#This Row],[Data attivazione]])+VLOOKUP(Table2[[#This Row],[Durata]],VALORE_DURATA,2,FALSE),MONTH(Table2[[#This Row],[Data attivazione]]),DAY(Table2[[#This Row],[Data attivazione]]))</f>
        <v>693962</v>
      </c>
      <c r="Y765" s="65"/>
      <c r="Z765" s="61"/>
      <c r="AA765" s="64" t="s">
        <v>88</v>
      </c>
      <c r="AB765" s="29" t="str">
        <f>IF(Table2[[#This Row],[Data ultimo versamento temp]]=0/1/1900,"-",Table2[[#This Row],[Data ultimo versamento temp]])</f>
        <v>-</v>
      </c>
      <c r="AC765" s="29">
        <f t="array" ref="AC765">MAX(IF(TableVersamenti[Polizza]=Table2[[#This Row],[Polizza]],TableVersamenti[Data prevista versamento],"-"))</f>
        <v>0</v>
      </c>
      <c r="AD765" s="62"/>
      <c r="AE765" s="106">
        <f>DATE(YEAR(Table2[[#This Row],[Data ultimo pagamento]]),MONTH(Table2[[#This Row],[Data ultimo pagamento]]), 1)</f>
        <v>42095</v>
      </c>
      <c r="AF765" s="106">
        <f>DATE(YEAR(Table2[[#This Row],[Data prossima scadenza]]),MONTH(Table2[[#This Row],[Data prossima scadenza]]), 1)</f>
        <v>693749</v>
      </c>
      <c r="AG765" s="33">
        <f>IFERROR(Table2[[#This Row],[Importo annuale]]*VLOOKUP(Table2[[#This Row],[Ramo]],RAMI_POLIZZA,2,FALSE),0)</f>
        <v>33.28</v>
      </c>
      <c r="AH765" s="65" t="s">
        <v>113</v>
      </c>
      <c r="AI765" s="63">
        <f>IFERROR(VLOOKUP(Table2[[#This Row],[Contraente]],Table1[[Nome/Ragione sociale]:[Checkbox selezionato]],2,FALSE),"-")</f>
        <v>0</v>
      </c>
      <c r="AJ765" s="63">
        <f>IFERROR(VLOOKUP(Table2[[#This Row],[Contraente]],Table1[[Nome/Ragione sociale]:[Checkbox selezionato]],3,FALSE),"-")</f>
        <v>3208154499</v>
      </c>
      <c r="AK765" s="63">
        <f>IFERROR(VLOOKUP(Table2[[#This Row],[Contraente]],Table1[[Nome/Ragione sociale]:[Checkbox selezionato]],4,FALSE),"-")</f>
        <v>0</v>
      </c>
      <c r="AL765" s="63" t="str">
        <f>IFERROR(VLOOKUP(Table2[[#This Row],[Contraente]],Table1[[Nome/Ragione sociale]:[Checkbox selezionato]],5,FALSE),"-")</f>
        <v>ASSIYA</v>
      </c>
      <c r="AM765" s="62">
        <f>IFERROR(VLOOKUP(Table2[[#This Row],[Contraente]],Table1[[Nome/Ragione sociale]:[Checkbox selezionato]],6,FALSE),"-")</f>
        <v>0</v>
      </c>
      <c r="AN765" s="63" t="str">
        <f>IFERROR(VLOOKUP(Table2[[#This Row],[Contraente]],Table1[[Nome/Ragione sociale]:[Checkbox selezionato]],7,FALSE),"-")</f>
        <v>papies@email.it</v>
      </c>
      <c r="AO765" s="63">
        <f>IFERROR(VLOOKUP(Table2[[#This Row],[Contraente]],Table1[[Nome/Ragione sociale]:[Checkbox selezionato]],8,FALSE),"-")</f>
        <v>0</v>
      </c>
      <c r="AP765" s="63">
        <f>IFERROR(VLOOKUP(Table2[[#This Row],[Contraente]],Table1[[Nome/Ragione sociale]:[Checkbox selezionato]],10,FALSE),"-")</f>
        <v>3208154499</v>
      </c>
      <c r="AQ765" s="63" t="str">
        <f>IFERROR(VLOOKUP(Table2[[#This Row],[Contraente]],Table1[[Nome/Ragione sociale]:[Checkbox selezionato]],11,FALSE),"-")</f>
        <v>SI</v>
      </c>
      <c r="AR765" s="63" t="str">
        <f>IFERROR(VLOOKUP(Table2[[#This Row],[Contraente]],Table1[[Nome/Ragione sociale]:[Checkbox selezionato]],12,FALSE),"-")</f>
        <v>SI</v>
      </c>
    </row>
    <row r="766" spans="1:44" ht="30" hidden="1" customHeight="1" x14ac:dyDescent="0.25">
      <c r="A766" s="60" t="str">
        <f>UPPER(LEFT(Table2[[#This Row],[Contraente]],1))</f>
        <v>M</v>
      </c>
      <c r="B766" s="60" t="s">
        <v>1634</v>
      </c>
      <c r="C766" s="81" t="s">
        <v>1731</v>
      </c>
      <c r="D766" s="81" t="s">
        <v>37</v>
      </c>
      <c r="E766" s="86">
        <v>107054045</v>
      </c>
      <c r="F766" s="64">
        <v>42916</v>
      </c>
      <c r="G766" s="64">
        <f>IFERROR(CALCOLASCADENZA(Table2[[#This Row],[Data attivazione]],Table2[[#This Row],[Rateizzazione]],Table2[[#This Row],[Data ultimo pagamento]],Table2[[#This Row],[Data prossima scadenza manuale]]),"-")</f>
        <v>43281</v>
      </c>
      <c r="H766" s="67" t="s">
        <v>31</v>
      </c>
      <c r="I766" s="67" t="s">
        <v>1779</v>
      </c>
      <c r="J766" s="33">
        <f>IFERROR(Table2[[#This Row],[Importo annuale]]/(12/VLOOKUP(Table2[[#This Row],[Rateizzazione]],TIPI_RATEIZZAZIONI,2,FALSE)),"-")</f>
        <v>100</v>
      </c>
      <c r="K766" s="88">
        <v>100</v>
      </c>
      <c r="L766" s="88">
        <v>100</v>
      </c>
      <c r="M766" s="67" t="s">
        <v>43</v>
      </c>
      <c r="N766" s="67" t="s">
        <v>52</v>
      </c>
      <c r="O766" s="27" t="s">
        <v>1631</v>
      </c>
      <c r="P766" s="33" t="s">
        <v>23</v>
      </c>
      <c r="Q766" s="60">
        <f>IFERROR(IF(12 / VLOOKUP(Table2[[#This Row],[Rateizzazione]],TIPI_RATEIZZAZIONI,2,FALSE) &gt;=1,  IF(Table2[[#This Row],[Data attivazione]] = "","-",MONTH(Table2[[#This Row],[Data attivazione]])),"-"),"-")</f>
        <v>6</v>
      </c>
      <c r="R7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6" s="67" t="s">
        <v>2</v>
      </c>
      <c r="V766" s="62"/>
      <c r="W766" s="64">
        <v>42916</v>
      </c>
      <c r="X766" s="29">
        <f>DATE(YEAR(Table2[[#This Row],[Data attivazione]])+VLOOKUP(Table2[[#This Row],[Durata]],VALORE_DURATA,2,FALSE),MONTH(Table2[[#This Row],[Data attivazione]]),DAY(Table2[[#This Row],[Data attivazione]]))</f>
        <v>43281</v>
      </c>
      <c r="Y766" s="65"/>
      <c r="Z766" s="61"/>
      <c r="AA766" s="64" t="s">
        <v>85</v>
      </c>
      <c r="AB766" s="29" t="str">
        <f>IF(Table2[[#This Row],[Data ultimo versamento temp]]=0/1/1900,"-",Table2[[#This Row],[Data ultimo versamento temp]])</f>
        <v>-</v>
      </c>
      <c r="AC766" s="29">
        <f t="array" ref="AC766">MAX(IF(TableVersamenti[Polizza]=Table2[[#This Row],[Polizza]],TableVersamenti[Data prevista versamento],"-"))</f>
        <v>0</v>
      </c>
      <c r="AD766" s="62"/>
      <c r="AE766" s="106">
        <f>DATE(YEAR(Table2[[#This Row],[Data ultimo pagamento]]),MONTH(Table2[[#This Row],[Data ultimo pagamento]]), 1)</f>
        <v>42887</v>
      </c>
      <c r="AF766" s="106">
        <f>DATE(YEAR(Table2[[#This Row],[Data prossima scadenza]]),MONTH(Table2[[#This Row],[Data prossima scadenza]]), 1)</f>
        <v>43252</v>
      </c>
      <c r="AG766" s="33">
        <f>IFERROR(Table2[[#This Row],[Importo annuale]]*VLOOKUP(Table2[[#This Row],[Ramo]],RAMI_POLIZZA,2,FALSE),0)</f>
        <v>5.2</v>
      </c>
      <c r="AH766" s="65" t="s">
        <v>113</v>
      </c>
      <c r="AI766" s="63" t="str">
        <f>IFERROR(VLOOKUP(Table2[[#This Row],[Contraente]],Table1[[Nome/Ragione sociale]:[Checkbox selezionato]],2,FALSE),"-")</f>
        <v>ROTTOFRENO</v>
      </c>
      <c r="AJ766" s="63">
        <f>IFERROR(VLOOKUP(Table2[[#This Row],[Contraente]],Table1[[Nome/Ragione sociale]:[Checkbox selezionato]],3,FALSE),"-")</f>
        <v>347870702</v>
      </c>
      <c r="AK766" s="63">
        <f>IFERROR(VLOOKUP(Table2[[#This Row],[Contraente]],Table1[[Nome/Ragione sociale]:[Checkbox selezionato]],4,FALSE),"-")</f>
        <v>0</v>
      </c>
      <c r="AL766" s="63" t="str">
        <f>IFERROR(VLOOKUP(Table2[[#This Row],[Contraente]],Table1[[Nome/Ragione sociale]:[Checkbox selezionato]],5,FALSE),"-")</f>
        <v>MARCO</v>
      </c>
      <c r="AM766" s="62">
        <f>IFERROR(VLOOKUP(Table2[[#This Row],[Contraente]],Table1[[Nome/Ragione sociale]:[Checkbox selezionato]],6,FALSE),"-")</f>
        <v>30585</v>
      </c>
      <c r="AN766" s="63" t="str">
        <f>IFERROR(VLOOKUP(Table2[[#This Row],[Contraente]],Table1[[Nome/Ragione sociale]:[Checkbox selezionato]],7,FALSE),"-")</f>
        <v>papies@libero.it</v>
      </c>
      <c r="AO766" s="63">
        <f>IFERROR(VLOOKUP(Table2[[#This Row],[Contraente]],Table1[[Nome/Ragione sociale]:[Checkbox selezionato]],8,FALSE),"-")</f>
        <v>0</v>
      </c>
      <c r="AP766" s="63">
        <f>IFERROR(VLOOKUP(Table2[[#This Row],[Contraente]],Table1[[Nome/Ragione sociale]:[Checkbox selezionato]],10,FALSE),"-")</f>
        <v>347870702</v>
      </c>
      <c r="AQ766" s="63" t="str">
        <f>IFERROR(VLOOKUP(Table2[[#This Row],[Contraente]],Table1[[Nome/Ragione sociale]:[Checkbox selezionato]],11,FALSE),"-")</f>
        <v>SI</v>
      </c>
      <c r="AR766" s="63" t="str">
        <f>IFERROR(VLOOKUP(Table2[[#This Row],[Contraente]],Table1[[Nome/Ragione sociale]:[Checkbox selezionato]],12,FALSE),"-")</f>
        <v>SI</v>
      </c>
    </row>
    <row r="767" spans="1:44" ht="30" hidden="1" customHeight="1" x14ac:dyDescent="0.25">
      <c r="A767" s="60" t="str">
        <f>UPPER(LEFT(Table2[[#This Row],[Contraente]],1))</f>
        <v>M</v>
      </c>
      <c r="B767" s="60" t="s">
        <v>1634</v>
      </c>
      <c r="C767" s="81" t="s">
        <v>1731</v>
      </c>
      <c r="D767" s="81" t="s">
        <v>37</v>
      </c>
      <c r="E767" s="86">
        <v>106886296</v>
      </c>
      <c r="F767" s="64">
        <v>42874</v>
      </c>
      <c r="G767" s="64">
        <f>IFERROR(CALCOLASCADENZA(Table2[[#This Row],[Data attivazione]],Table2[[#This Row],[Rateizzazione]],Table2[[#This Row],[Data ultimo pagamento]],Table2[[#This Row],[Data prossima scadenza manuale]]),"-")</f>
        <v>43239</v>
      </c>
      <c r="H767" s="67" t="s">
        <v>31</v>
      </c>
      <c r="I767" s="67" t="s">
        <v>1757</v>
      </c>
      <c r="J767" s="33">
        <f>IFERROR(Table2[[#This Row],[Importo annuale]]/(12/VLOOKUP(Table2[[#This Row],[Rateizzazione]],TIPI_RATEIZZAZIONI,2,FALSE)),"-")</f>
        <v>100</v>
      </c>
      <c r="K767" s="88">
        <v>100</v>
      </c>
      <c r="L767" s="88">
        <v>100</v>
      </c>
      <c r="M767" s="67" t="s">
        <v>43</v>
      </c>
      <c r="N767" s="67" t="s">
        <v>52</v>
      </c>
      <c r="O767" s="27" t="s">
        <v>1631</v>
      </c>
      <c r="P767" s="33" t="s">
        <v>23</v>
      </c>
      <c r="Q767" s="60">
        <f>IFERROR(IF(12 / VLOOKUP(Table2[[#This Row],[Rateizzazione]],TIPI_RATEIZZAZIONI,2,FALSE) &gt;=1,  IF(Table2[[#This Row],[Data attivazione]] = "","-",MONTH(Table2[[#This Row],[Data attivazione]])),"-"),"-")</f>
        <v>5</v>
      </c>
      <c r="R7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7" s="67" t="s">
        <v>2</v>
      </c>
      <c r="V767" s="62"/>
      <c r="W767" s="64">
        <v>42874</v>
      </c>
      <c r="X767" s="29">
        <f>DATE(YEAR(Table2[[#This Row],[Data attivazione]])+VLOOKUP(Table2[[#This Row],[Durata]],VALORE_DURATA,2,FALSE),MONTH(Table2[[#This Row],[Data attivazione]]),DAY(Table2[[#This Row],[Data attivazione]]))</f>
        <v>43239</v>
      </c>
      <c r="Y767" s="65"/>
      <c r="Z767" s="61"/>
      <c r="AA767" s="64" t="s">
        <v>85</v>
      </c>
      <c r="AB767" s="29" t="str">
        <f>IF(Table2[[#This Row],[Data ultimo versamento temp]]=0/1/1900,"-",Table2[[#This Row],[Data ultimo versamento temp]])</f>
        <v>-</v>
      </c>
      <c r="AC767" s="29">
        <f t="array" ref="AC767">MAX(IF(TableVersamenti[Polizza]=Table2[[#This Row],[Polizza]],TableVersamenti[Data prevista versamento],"-"))</f>
        <v>0</v>
      </c>
      <c r="AD767" s="62"/>
      <c r="AE767" s="106">
        <f>DATE(YEAR(Table2[[#This Row],[Data ultimo pagamento]]),MONTH(Table2[[#This Row],[Data ultimo pagamento]]), 1)</f>
        <v>42856</v>
      </c>
      <c r="AF767" s="106">
        <f>DATE(YEAR(Table2[[#This Row],[Data prossima scadenza]]),MONTH(Table2[[#This Row],[Data prossima scadenza]]), 1)</f>
        <v>43221</v>
      </c>
      <c r="AG767" s="33">
        <f>IFERROR(Table2[[#This Row],[Importo annuale]]*VLOOKUP(Table2[[#This Row],[Ramo]],RAMI_POLIZZA,2,FALSE),0)</f>
        <v>5.2</v>
      </c>
      <c r="AH767" s="65" t="s">
        <v>113</v>
      </c>
      <c r="AI767" s="63" t="str">
        <f>IFERROR(VLOOKUP(Table2[[#This Row],[Contraente]],Table1[[Nome/Ragione sociale]:[Checkbox selezionato]],2,FALSE),"-")</f>
        <v>ROTTOFRENO</v>
      </c>
      <c r="AJ767" s="63">
        <f>IFERROR(VLOOKUP(Table2[[#This Row],[Contraente]],Table1[[Nome/Ragione sociale]:[Checkbox selezionato]],3,FALSE),"-")</f>
        <v>347870702</v>
      </c>
      <c r="AK767" s="63">
        <f>IFERROR(VLOOKUP(Table2[[#This Row],[Contraente]],Table1[[Nome/Ragione sociale]:[Checkbox selezionato]],4,FALSE),"-")</f>
        <v>0</v>
      </c>
      <c r="AL767" s="63" t="str">
        <f>IFERROR(VLOOKUP(Table2[[#This Row],[Contraente]],Table1[[Nome/Ragione sociale]:[Checkbox selezionato]],5,FALSE),"-")</f>
        <v>MARCO</v>
      </c>
      <c r="AM767" s="62">
        <f>IFERROR(VLOOKUP(Table2[[#This Row],[Contraente]],Table1[[Nome/Ragione sociale]:[Checkbox selezionato]],6,FALSE),"-")</f>
        <v>30585</v>
      </c>
      <c r="AN767" s="63" t="str">
        <f>IFERROR(VLOOKUP(Table2[[#This Row],[Contraente]],Table1[[Nome/Ragione sociale]:[Checkbox selezionato]],7,FALSE),"-")</f>
        <v>papies@libero.it</v>
      </c>
      <c r="AO767" s="63">
        <f>IFERROR(VLOOKUP(Table2[[#This Row],[Contraente]],Table1[[Nome/Ragione sociale]:[Checkbox selezionato]],8,FALSE),"-")</f>
        <v>0</v>
      </c>
      <c r="AP767" s="63">
        <f>IFERROR(VLOOKUP(Table2[[#This Row],[Contraente]],Table1[[Nome/Ragione sociale]:[Checkbox selezionato]],10,FALSE),"-")</f>
        <v>347870702</v>
      </c>
      <c r="AQ767" s="63" t="str">
        <f>IFERROR(VLOOKUP(Table2[[#This Row],[Contraente]],Table1[[Nome/Ragione sociale]:[Checkbox selezionato]],11,FALSE),"-")</f>
        <v>SI</v>
      </c>
      <c r="AR767" s="63" t="str">
        <f>IFERROR(VLOOKUP(Table2[[#This Row],[Contraente]],Table1[[Nome/Ragione sociale]:[Checkbox selezionato]],12,FALSE),"-")</f>
        <v>SI</v>
      </c>
    </row>
    <row r="768" spans="1:44" ht="30" hidden="1" customHeight="1" x14ac:dyDescent="0.25">
      <c r="A768" s="60" t="str">
        <f>UPPER(LEFT(Table2[[#This Row],[Contraente]],1))</f>
        <v>M</v>
      </c>
      <c r="B768" s="60" t="s">
        <v>1634</v>
      </c>
      <c r="C768" s="83" t="s">
        <v>1731</v>
      </c>
      <c r="D768" s="81" t="s">
        <v>37</v>
      </c>
      <c r="E768" s="86">
        <v>106818328</v>
      </c>
      <c r="F768" s="64">
        <v>42859</v>
      </c>
      <c r="G768" s="64">
        <f>IFERROR(CALCOLASCADENZA(Table2[[#This Row],[Data attivazione]],Table2[[#This Row],[Rateizzazione]],Table2[[#This Row],[Data ultimo pagamento]],Table2[[#This Row],[Data prossima scadenza manuale]]),"-")</f>
        <v>43224</v>
      </c>
      <c r="H768" s="67" t="s">
        <v>31</v>
      </c>
      <c r="I768" s="67" t="s">
        <v>1758</v>
      </c>
      <c r="J768" s="33">
        <f>IFERROR(Table2[[#This Row],[Importo annuale]]/(12/VLOOKUP(Table2[[#This Row],[Rateizzazione]],TIPI_RATEIZZAZIONI,2,FALSE)),"-")</f>
        <v>750</v>
      </c>
      <c r="K768" s="88">
        <v>750</v>
      </c>
      <c r="L768" s="88">
        <v>750</v>
      </c>
      <c r="M768" s="67" t="s">
        <v>43</v>
      </c>
      <c r="N768" s="67" t="s">
        <v>52</v>
      </c>
      <c r="O768" s="27" t="s">
        <v>1631</v>
      </c>
      <c r="P768" s="33" t="s">
        <v>23</v>
      </c>
      <c r="Q768" s="60">
        <f>IFERROR(IF(12 / VLOOKUP(Table2[[#This Row],[Rateizzazione]],TIPI_RATEIZZAZIONI,2,FALSE) &gt;=1,  IF(Table2[[#This Row],[Data attivazione]] = "","-",MONTH(Table2[[#This Row],[Data attivazione]])),"-"),"-")</f>
        <v>5</v>
      </c>
      <c r="R7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8" s="67" t="s">
        <v>2</v>
      </c>
      <c r="V768" s="62"/>
      <c r="W768" s="64">
        <v>42859</v>
      </c>
      <c r="X768" s="29">
        <f>DATE(YEAR(Table2[[#This Row],[Data attivazione]])+VLOOKUP(Table2[[#This Row],[Durata]],VALORE_DURATA,2,FALSE),MONTH(Table2[[#This Row],[Data attivazione]]),DAY(Table2[[#This Row],[Data attivazione]]))</f>
        <v>43224</v>
      </c>
      <c r="Y768" s="65"/>
      <c r="Z768" s="61"/>
      <c r="AA768" s="64" t="s">
        <v>85</v>
      </c>
      <c r="AB768" s="29" t="str">
        <f>IF(Table2[[#This Row],[Data ultimo versamento temp]]=0/1/1900,"-",Table2[[#This Row],[Data ultimo versamento temp]])</f>
        <v>-</v>
      </c>
      <c r="AC768" s="29">
        <f t="array" ref="AC768">MAX(IF(TableVersamenti[Polizza]=Table2[[#This Row],[Polizza]],TableVersamenti[Data prevista versamento],"-"))</f>
        <v>0</v>
      </c>
      <c r="AD768" s="62"/>
      <c r="AE768" s="106">
        <f>DATE(YEAR(Table2[[#This Row],[Data ultimo pagamento]]),MONTH(Table2[[#This Row],[Data ultimo pagamento]]), 1)</f>
        <v>42856</v>
      </c>
      <c r="AF768" s="106">
        <f>DATE(YEAR(Table2[[#This Row],[Data prossima scadenza]]),MONTH(Table2[[#This Row],[Data prossima scadenza]]), 1)</f>
        <v>43221</v>
      </c>
      <c r="AG768" s="33">
        <f>IFERROR(Table2[[#This Row],[Importo annuale]]*VLOOKUP(Table2[[#This Row],[Ramo]],RAMI_POLIZZA,2,FALSE),0)</f>
        <v>39</v>
      </c>
      <c r="AH768" s="65" t="s">
        <v>113</v>
      </c>
      <c r="AI768" s="63" t="str">
        <f>IFERROR(VLOOKUP(Table2[[#This Row],[Contraente]],Table1[[Nome/Ragione sociale]:[Checkbox selezionato]],2,FALSE),"-")</f>
        <v>ROTTOFRENO</v>
      </c>
      <c r="AJ768" s="63">
        <f>IFERROR(VLOOKUP(Table2[[#This Row],[Contraente]],Table1[[Nome/Ragione sociale]:[Checkbox selezionato]],3,FALSE),"-")</f>
        <v>347870702</v>
      </c>
      <c r="AK768" s="63">
        <f>IFERROR(VLOOKUP(Table2[[#This Row],[Contraente]],Table1[[Nome/Ragione sociale]:[Checkbox selezionato]],4,FALSE),"-")</f>
        <v>0</v>
      </c>
      <c r="AL768" s="63" t="str">
        <f>IFERROR(VLOOKUP(Table2[[#This Row],[Contraente]],Table1[[Nome/Ragione sociale]:[Checkbox selezionato]],5,FALSE),"-")</f>
        <v>MARCO</v>
      </c>
      <c r="AM768" s="62">
        <f>IFERROR(VLOOKUP(Table2[[#This Row],[Contraente]],Table1[[Nome/Ragione sociale]:[Checkbox selezionato]],6,FALSE),"-")</f>
        <v>30585</v>
      </c>
      <c r="AN768" s="63" t="str">
        <f>IFERROR(VLOOKUP(Table2[[#This Row],[Contraente]],Table1[[Nome/Ragione sociale]:[Checkbox selezionato]],7,FALSE),"-")</f>
        <v>papies@libero.it</v>
      </c>
      <c r="AO768" s="63">
        <f>IFERROR(VLOOKUP(Table2[[#This Row],[Contraente]],Table1[[Nome/Ragione sociale]:[Checkbox selezionato]],8,FALSE),"-")</f>
        <v>0</v>
      </c>
      <c r="AP768" s="63">
        <f>IFERROR(VLOOKUP(Table2[[#This Row],[Contraente]],Table1[[Nome/Ragione sociale]:[Checkbox selezionato]],10,FALSE),"-")</f>
        <v>347870702</v>
      </c>
      <c r="AQ768" s="63" t="str">
        <f>IFERROR(VLOOKUP(Table2[[#This Row],[Contraente]],Table1[[Nome/Ragione sociale]:[Checkbox selezionato]],11,FALSE),"-")</f>
        <v>SI</v>
      </c>
      <c r="AR768" s="63" t="str">
        <f>IFERROR(VLOOKUP(Table2[[#This Row],[Contraente]],Table1[[Nome/Ragione sociale]:[Checkbox selezionato]],12,FALSE),"-")</f>
        <v>SI</v>
      </c>
    </row>
    <row r="769" spans="1:44" ht="30" hidden="1" customHeight="1" x14ac:dyDescent="0.25">
      <c r="A769" s="60" t="str">
        <f>UPPER(LEFT(Table2[[#This Row],[Contraente]],1))</f>
        <v>M</v>
      </c>
      <c r="B769" s="60" t="s">
        <v>1634</v>
      </c>
      <c r="C769" s="83" t="s">
        <v>827</v>
      </c>
      <c r="D769" s="81" t="s">
        <v>37</v>
      </c>
      <c r="E769" s="86">
        <v>103572490</v>
      </c>
      <c r="F769" s="64">
        <v>41907</v>
      </c>
      <c r="G769" s="64">
        <f>IFERROR(CALCOLASCADENZA(Table2[[#This Row],[Data attivazione]],Table2[[#This Row],[Rateizzazione]],Table2[[#This Row],[Data ultimo pagamento]],Table2[[#This Row],[Data prossima scadenza manuale]]),"-")</f>
        <v>693962</v>
      </c>
      <c r="H769" s="67" t="s">
        <v>31</v>
      </c>
      <c r="I769" s="67"/>
      <c r="J769" s="33">
        <f>IFERROR(Table2[[#This Row],[Importo annuale]]/(12/VLOOKUP(Table2[[#This Row],[Rateizzazione]],TIPI_RATEIZZAZIONI,2,FALSE)),"-")</f>
        <v>106</v>
      </c>
      <c r="K769" s="88"/>
      <c r="L769" s="88">
        <v>106</v>
      </c>
      <c r="M769" s="67" t="s">
        <v>43</v>
      </c>
      <c r="N769" s="67" t="s">
        <v>52</v>
      </c>
      <c r="O769" s="27" t="s">
        <v>1631</v>
      </c>
      <c r="P769" s="33" t="s">
        <v>23</v>
      </c>
      <c r="Q769" s="60">
        <f>IFERROR(IF(12 / VLOOKUP(Table2[[#This Row],[Rateizzazione]],TIPI_RATEIZZAZIONI,2,FALSE) &gt;=1,  IF(Table2[[#This Row],[Data attivazione]] = "","-",MONTH(Table2[[#This Row],[Data attivazione]])),"-"),"-")</f>
        <v>12</v>
      </c>
      <c r="R7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9" s="67" t="s">
        <v>2</v>
      </c>
      <c r="V769" s="62"/>
      <c r="W769" s="64">
        <v>693597</v>
      </c>
      <c r="X769" s="29">
        <f>DATE(YEAR(Table2[[#This Row],[Data attivazione]])+VLOOKUP(Table2[[#This Row],[Durata]],VALORE_DURATA,2,FALSE),MONTH(Table2[[#This Row],[Data attivazione]]),DAY(Table2[[#This Row],[Data attivazione]]))</f>
        <v>693962</v>
      </c>
      <c r="Y769" s="65"/>
      <c r="Z769" s="61"/>
      <c r="AA769" s="64" t="s">
        <v>88</v>
      </c>
      <c r="AB769" s="29" t="str">
        <f>IF(Table2[[#This Row],[Data ultimo versamento temp]]=0/1/1900,"-",Table2[[#This Row],[Data ultimo versamento temp]])</f>
        <v>-</v>
      </c>
      <c r="AC769" s="29">
        <f t="array" ref="AC769">MAX(IF(TableVersamenti[Polizza]=Table2[[#This Row],[Polizza]],TableVersamenti[Data prevista versamento],"-"))</f>
        <v>0</v>
      </c>
      <c r="AD769" s="62"/>
      <c r="AE769" s="106">
        <f>DATE(YEAR(Table2[[#This Row],[Data ultimo pagamento]]),MONTH(Table2[[#This Row],[Data ultimo pagamento]]), 1)</f>
        <v>41883</v>
      </c>
      <c r="AF769" s="106">
        <f>DATE(YEAR(Table2[[#This Row],[Data prossima scadenza]]),MONTH(Table2[[#This Row],[Data prossima scadenza]]), 1)</f>
        <v>693932</v>
      </c>
      <c r="AG769" s="33">
        <f>IFERROR(Table2[[#This Row],[Importo annuale]]*VLOOKUP(Table2[[#This Row],[Ramo]],RAMI_POLIZZA,2,FALSE),0)</f>
        <v>5.5119999999999996</v>
      </c>
      <c r="AH769" s="65" t="s">
        <v>113</v>
      </c>
      <c r="AI769" s="63">
        <f>IFERROR(VLOOKUP(Table2[[#This Row],[Contraente]],Table1[[Nome/Ragione sociale]:[Checkbox selezionato]],2,FALSE),"-")</f>
        <v>0</v>
      </c>
      <c r="AJ769" s="63">
        <f>IFERROR(VLOOKUP(Table2[[#This Row],[Contraente]],Table1[[Nome/Ragione sociale]:[Checkbox selezionato]],3,FALSE),"-")</f>
        <v>0</v>
      </c>
      <c r="AK769" s="63">
        <f>IFERROR(VLOOKUP(Table2[[#This Row],[Contraente]],Table1[[Nome/Ragione sociale]:[Checkbox selezionato]],4,FALSE),"-")</f>
        <v>0</v>
      </c>
      <c r="AL769" s="63">
        <f>IFERROR(VLOOKUP(Table2[[#This Row],[Contraente]],Table1[[Nome/Ragione sociale]:[Checkbox selezionato]],5,FALSE),"-")</f>
        <v>0</v>
      </c>
      <c r="AM769" s="62">
        <f>IFERROR(VLOOKUP(Table2[[#This Row],[Contraente]],Table1[[Nome/Ragione sociale]:[Checkbox selezionato]],6,FALSE),"-")</f>
        <v>0</v>
      </c>
      <c r="AN769" s="63" t="str">
        <f>IFERROR(VLOOKUP(Table2[[#This Row],[Contraente]],Table1[[Nome/Ragione sociale]:[Checkbox selezionato]],7,FALSE),"-")</f>
        <v>papies@libero.it</v>
      </c>
      <c r="AO769" s="63">
        <f>IFERROR(VLOOKUP(Table2[[#This Row],[Contraente]],Table1[[Nome/Ragione sociale]:[Checkbox selezionato]],8,FALSE),"-")</f>
        <v>0</v>
      </c>
      <c r="AP769" s="63">
        <f>IFERROR(VLOOKUP(Table2[[#This Row],[Contraente]],Table1[[Nome/Ragione sociale]:[Checkbox selezionato]],10,FALSE),"-")</f>
        <v>0</v>
      </c>
      <c r="AQ769" s="63" t="str">
        <f>IFERROR(VLOOKUP(Table2[[#This Row],[Contraente]],Table1[[Nome/Ragione sociale]:[Checkbox selezionato]],11,FALSE),"-")</f>
        <v>SI</v>
      </c>
      <c r="AR769" s="63" t="str">
        <f>IFERROR(VLOOKUP(Table2[[#This Row],[Contraente]],Table1[[Nome/Ragione sociale]:[Checkbox selezionato]],12,FALSE),"-")</f>
        <v>SI</v>
      </c>
    </row>
    <row r="770" spans="1:44" ht="30" hidden="1" customHeight="1" x14ac:dyDescent="0.25">
      <c r="A770" s="60" t="str">
        <f>UPPER(LEFT(Table2[[#This Row],[Contraente]],1))</f>
        <v>M</v>
      </c>
      <c r="B770" s="60" t="s">
        <v>1634</v>
      </c>
      <c r="C770" s="83" t="s">
        <v>840</v>
      </c>
      <c r="D770" s="81" t="s">
        <v>37</v>
      </c>
      <c r="E770" s="86">
        <v>106271458</v>
      </c>
      <c r="F770" s="64">
        <v>42885</v>
      </c>
      <c r="G770" s="64">
        <f>IFERROR(CALCOLASCADENZA(Table2[[#This Row],[Data attivazione]],Table2[[#This Row],[Rateizzazione]],Table2[[#This Row],[Data ultimo pagamento]],Table2[[#This Row],[Data prossima scadenza manuale]]),"-")</f>
        <v>43067</v>
      </c>
      <c r="H770" s="67" t="s">
        <v>31</v>
      </c>
      <c r="I770" s="67" t="s">
        <v>1444</v>
      </c>
      <c r="J770" s="33">
        <f>IFERROR(Table2[[#This Row],[Importo annuale]]/(12/VLOOKUP(Table2[[#This Row],[Rateizzazione]],TIPI_RATEIZZAZIONI,2,FALSE)),"-")</f>
        <v>240</v>
      </c>
      <c r="K770" s="88">
        <v>240</v>
      </c>
      <c r="L770" s="88">
        <v>480</v>
      </c>
      <c r="M770" s="67" t="s">
        <v>43</v>
      </c>
      <c r="N770" s="67" t="s">
        <v>52</v>
      </c>
      <c r="O770" s="27" t="s">
        <v>1631</v>
      </c>
      <c r="P770" s="33" t="s">
        <v>22</v>
      </c>
      <c r="Q770" s="60">
        <f>IFERROR(IF(12 / VLOOKUP(Table2[[#This Row],[Rateizzazione]],TIPI_RATEIZZAZIONI,2,FALSE) &gt;=1,  IF(Table2[[#This Row],[Data attivazione]] = "","-",MONTH(Table2[[#This Row],[Data attivazione]])),"-"),"-")</f>
        <v>11</v>
      </c>
      <c r="R7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0" s="67" t="s">
        <v>2</v>
      </c>
      <c r="V770" s="62"/>
      <c r="W770" s="64">
        <v>42702</v>
      </c>
      <c r="X770" s="29">
        <f>DATE(YEAR(Table2[[#This Row],[Data attivazione]])+VLOOKUP(Table2[[#This Row],[Durata]],VALORE_DURATA,2,FALSE),MONTH(Table2[[#This Row],[Data attivazione]]),DAY(Table2[[#This Row],[Data attivazione]]))</f>
        <v>43067</v>
      </c>
      <c r="Y770" s="65"/>
      <c r="Z770" s="61"/>
      <c r="AA770" s="64" t="s">
        <v>85</v>
      </c>
      <c r="AB770" s="29" t="str">
        <f>IF(Table2[[#This Row],[Data ultimo versamento temp]]=0/1/1900,"-",Table2[[#This Row],[Data ultimo versamento temp]])</f>
        <v>-</v>
      </c>
      <c r="AC770" s="29">
        <f t="array" ref="AC770">MAX(IF(TableVersamenti[Polizza]=Table2[[#This Row],[Polizza]],TableVersamenti[Data prevista versamento],"-"))</f>
        <v>0</v>
      </c>
      <c r="AD770" s="62"/>
      <c r="AE770" s="106">
        <f>DATE(YEAR(Table2[[#This Row],[Data ultimo pagamento]]),MONTH(Table2[[#This Row],[Data ultimo pagamento]]), 1)</f>
        <v>42856</v>
      </c>
      <c r="AF770" s="106">
        <f>DATE(YEAR(Table2[[#This Row],[Data prossima scadenza]]),MONTH(Table2[[#This Row],[Data prossima scadenza]]), 1)</f>
        <v>43040</v>
      </c>
      <c r="AG770" s="33">
        <f>IFERROR(Table2[[#This Row],[Importo annuale]]*VLOOKUP(Table2[[#This Row],[Ramo]],RAMI_POLIZZA,2,FALSE),0)</f>
        <v>24.959999999999997</v>
      </c>
      <c r="AH770" s="65" t="s">
        <v>113</v>
      </c>
      <c r="AI770" s="63" t="str">
        <f>IFERROR(VLOOKUP(Table2[[#This Row],[Contraente]],Table1[[Nome/Ragione sociale]:[Checkbox selezionato]],2,FALSE),"-")</f>
        <v>BELGIOIOSO</v>
      </c>
      <c r="AJ770" s="63">
        <f>IFERROR(VLOOKUP(Table2[[#This Row],[Contraente]],Table1[[Nome/Ragione sociale]:[Checkbox selezionato]],3,FALSE),"-")</f>
        <v>3200526004</v>
      </c>
      <c r="AK770" s="63">
        <f>IFERROR(VLOOKUP(Table2[[#This Row],[Contraente]],Table1[[Nome/Ragione sociale]:[Checkbox selezionato]],4,FALSE),"-")</f>
        <v>0</v>
      </c>
      <c r="AL770" s="63" t="str">
        <f>IFERROR(VLOOKUP(Table2[[#This Row],[Contraente]],Table1[[Nome/Ragione sociale]:[Checkbox selezionato]],5,FALSE),"-")</f>
        <v>KLODIAN</v>
      </c>
      <c r="AM770" s="62">
        <f>IFERROR(VLOOKUP(Table2[[#This Row],[Contraente]],Table1[[Nome/Ragione sociale]:[Checkbox selezionato]],6,FALSE),"-")</f>
        <v>28295</v>
      </c>
      <c r="AN770" s="63" t="str">
        <f>IFERROR(VLOOKUP(Table2[[#This Row],[Contraente]],Table1[[Nome/Ragione sociale]:[Checkbox selezionato]],7,FALSE),"-")</f>
        <v>papies@email.it</v>
      </c>
      <c r="AO770" s="63">
        <f>IFERROR(VLOOKUP(Table2[[#This Row],[Contraente]],Table1[[Nome/Ragione sociale]:[Checkbox selezionato]],8,FALSE),"-")</f>
        <v>0</v>
      </c>
      <c r="AP770" s="63">
        <f>IFERROR(VLOOKUP(Table2[[#This Row],[Contraente]],Table1[[Nome/Ragione sociale]:[Checkbox selezionato]],10,FALSE),"-")</f>
        <v>3200526004</v>
      </c>
      <c r="AQ770" s="63" t="str">
        <f>IFERROR(VLOOKUP(Table2[[#This Row],[Contraente]],Table1[[Nome/Ragione sociale]:[Checkbox selezionato]],11,FALSE),"-")</f>
        <v>SI</v>
      </c>
      <c r="AR770" s="63" t="str">
        <f>IFERROR(VLOOKUP(Table2[[#This Row],[Contraente]],Table1[[Nome/Ragione sociale]:[Checkbox selezionato]],12,FALSE),"-")</f>
        <v>SI</v>
      </c>
    </row>
    <row r="771" spans="1:44" ht="30" hidden="1" customHeight="1" x14ac:dyDescent="0.25">
      <c r="A771" s="60" t="str">
        <f>UPPER(LEFT(Table2[[#This Row],[Contraente]],1))</f>
        <v>M</v>
      </c>
      <c r="B771" s="60" t="s">
        <v>1634</v>
      </c>
      <c r="C771" s="83" t="s">
        <v>840</v>
      </c>
      <c r="D771" s="81" t="s">
        <v>37</v>
      </c>
      <c r="E771" s="86">
        <v>106414752</v>
      </c>
      <c r="F771" s="64">
        <v>42933</v>
      </c>
      <c r="G771" s="64">
        <f>IFERROR(CALCOLASCADENZA(Table2[[#This Row],[Data attivazione]],Table2[[#This Row],[Rateizzazione]],Table2[[#This Row],[Data ultimo pagamento]],Table2[[#This Row],[Data prossima scadenza manuale]]),"-")</f>
        <v>43111</v>
      </c>
      <c r="H771" s="67" t="s">
        <v>31</v>
      </c>
      <c r="I771" s="67" t="s">
        <v>1445</v>
      </c>
      <c r="J771" s="33">
        <f>IFERROR(Table2[[#This Row],[Importo annuale]]/(12/VLOOKUP(Table2[[#This Row],[Rateizzazione]],TIPI_RATEIZZAZIONI,2,FALSE)),"-")</f>
        <v>250</v>
      </c>
      <c r="K771" s="88">
        <v>500</v>
      </c>
      <c r="L771" s="88">
        <v>500</v>
      </c>
      <c r="M771" s="67" t="s">
        <v>43</v>
      </c>
      <c r="N771" s="67" t="s">
        <v>52</v>
      </c>
      <c r="O771" s="27" t="s">
        <v>1631</v>
      </c>
      <c r="P771" s="33" t="s">
        <v>22</v>
      </c>
      <c r="Q771" s="60">
        <f>IFERROR(IF(12 / VLOOKUP(Table2[[#This Row],[Rateizzazione]],TIPI_RATEIZZAZIONI,2,FALSE) &gt;=1,  IF(Table2[[#This Row],[Data attivazione]] = "","-",MONTH(Table2[[#This Row],[Data attivazione]])),"-"),"-")</f>
        <v>1</v>
      </c>
      <c r="R7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7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1" s="67" t="s">
        <v>2</v>
      </c>
      <c r="V771" s="62"/>
      <c r="W771" s="64">
        <v>42746</v>
      </c>
      <c r="X771" s="29">
        <f>DATE(YEAR(Table2[[#This Row],[Data attivazione]])+VLOOKUP(Table2[[#This Row],[Durata]],VALORE_DURATA,2,FALSE),MONTH(Table2[[#This Row],[Data attivazione]]),DAY(Table2[[#This Row],[Data attivazione]]))</f>
        <v>43111</v>
      </c>
      <c r="Y771" s="65"/>
      <c r="Z771" s="61"/>
      <c r="AA771" s="64" t="s">
        <v>85</v>
      </c>
      <c r="AB771" s="29">
        <f>IF(Table2[[#This Row],[Data ultimo versamento temp]]=0/1/1900,"-",Table2[[#This Row],[Data ultimo versamento temp]])</f>
        <v>42936</v>
      </c>
      <c r="AC771" s="29">
        <f t="array" ref="AC771">MAX(IF(TableVersamenti[Polizza]=Table2[[#This Row],[Polizza]],TableVersamenti[Data prevista versamento],"-"))</f>
        <v>42936</v>
      </c>
      <c r="AD771" s="62"/>
      <c r="AE771" s="106">
        <f>DATE(YEAR(Table2[[#This Row],[Data ultimo pagamento]]),MONTH(Table2[[#This Row],[Data ultimo pagamento]]), 1)</f>
        <v>42917</v>
      </c>
      <c r="AF771" s="106">
        <f>DATE(YEAR(Table2[[#This Row],[Data prossima scadenza]]),MONTH(Table2[[#This Row],[Data prossima scadenza]]), 1)</f>
        <v>43101</v>
      </c>
      <c r="AG771" s="33">
        <f>IFERROR(Table2[[#This Row],[Importo annuale]]*VLOOKUP(Table2[[#This Row],[Ramo]],RAMI_POLIZZA,2,FALSE),0)</f>
        <v>26</v>
      </c>
      <c r="AH771" s="65" t="s">
        <v>113</v>
      </c>
      <c r="AI771" s="63" t="str">
        <f>IFERROR(VLOOKUP(Table2[[#This Row],[Contraente]],Table1[[Nome/Ragione sociale]:[Checkbox selezionato]],2,FALSE),"-")</f>
        <v>BELGIOIOSO</v>
      </c>
      <c r="AJ771" s="63">
        <f>IFERROR(VLOOKUP(Table2[[#This Row],[Contraente]],Table1[[Nome/Ragione sociale]:[Checkbox selezionato]],3,FALSE),"-")</f>
        <v>3200526004</v>
      </c>
      <c r="AK771" s="63">
        <f>IFERROR(VLOOKUP(Table2[[#This Row],[Contraente]],Table1[[Nome/Ragione sociale]:[Checkbox selezionato]],4,FALSE),"-")</f>
        <v>0</v>
      </c>
      <c r="AL771" s="63" t="str">
        <f>IFERROR(VLOOKUP(Table2[[#This Row],[Contraente]],Table1[[Nome/Ragione sociale]:[Checkbox selezionato]],5,FALSE),"-")</f>
        <v>KLODIAN</v>
      </c>
      <c r="AM771" s="62">
        <f>IFERROR(VLOOKUP(Table2[[#This Row],[Contraente]],Table1[[Nome/Ragione sociale]:[Checkbox selezionato]],6,FALSE),"-")</f>
        <v>28295</v>
      </c>
      <c r="AN771" s="63" t="str">
        <f>IFERROR(VLOOKUP(Table2[[#This Row],[Contraente]],Table1[[Nome/Ragione sociale]:[Checkbox selezionato]],7,FALSE),"-")</f>
        <v>papies@email.it</v>
      </c>
      <c r="AO771" s="63">
        <f>IFERROR(VLOOKUP(Table2[[#This Row],[Contraente]],Table1[[Nome/Ragione sociale]:[Checkbox selezionato]],8,FALSE),"-")</f>
        <v>0</v>
      </c>
      <c r="AP771" s="63">
        <f>IFERROR(VLOOKUP(Table2[[#This Row],[Contraente]],Table1[[Nome/Ragione sociale]:[Checkbox selezionato]],10,FALSE),"-")</f>
        <v>3200526004</v>
      </c>
      <c r="AQ771" s="63" t="str">
        <f>IFERROR(VLOOKUP(Table2[[#This Row],[Contraente]],Table1[[Nome/Ragione sociale]:[Checkbox selezionato]],11,FALSE),"-")</f>
        <v>SI</v>
      </c>
      <c r="AR771" s="63" t="str">
        <f>IFERROR(VLOOKUP(Table2[[#This Row],[Contraente]],Table1[[Nome/Ragione sociale]:[Checkbox selezionato]],12,FALSE),"-")</f>
        <v>SI</v>
      </c>
    </row>
    <row r="772" spans="1:44" ht="30" hidden="1" customHeight="1" x14ac:dyDescent="0.25">
      <c r="A772" s="60" t="str">
        <f>UPPER(LEFT(Table2[[#This Row],[Contraente]],1))</f>
        <v>M</v>
      </c>
      <c r="B772" s="60" t="s">
        <v>1634</v>
      </c>
      <c r="C772" s="83" t="s">
        <v>842</v>
      </c>
      <c r="D772" s="81" t="s">
        <v>37</v>
      </c>
      <c r="E772" s="86">
        <v>105234873</v>
      </c>
      <c r="F772" s="64">
        <v>42754</v>
      </c>
      <c r="G772" s="64">
        <f>IFERROR(CALCOLASCADENZA(Table2[[#This Row],[Data attivazione]],Table2[[#This Row],[Rateizzazione]],Table2[[#This Row],[Data ultimo pagamento]],Table2[[#This Row],[Data prossima scadenza manuale]]),"-")</f>
        <v>42877</v>
      </c>
      <c r="H772" s="67" t="s">
        <v>31</v>
      </c>
      <c r="I772" s="67" t="s">
        <v>1446</v>
      </c>
      <c r="J772" s="33">
        <f>IFERROR(Table2[[#This Row],[Importo annuale]]/(12/VLOOKUP(Table2[[#This Row],[Rateizzazione]],TIPI_RATEIZZAZIONI,2,FALSE)),"-")</f>
        <v>360</v>
      </c>
      <c r="K772" s="88">
        <v>360</v>
      </c>
      <c r="L772" s="88">
        <v>1080</v>
      </c>
      <c r="M772" s="67" t="s">
        <v>44</v>
      </c>
      <c r="N772" s="67" t="s">
        <v>51</v>
      </c>
      <c r="O772" s="27" t="s">
        <v>1631</v>
      </c>
      <c r="P772" s="33" t="s">
        <v>21</v>
      </c>
      <c r="Q772" s="60">
        <f>IFERROR(IF(12 / VLOOKUP(Table2[[#This Row],[Rateizzazione]],TIPI_RATEIZZAZIONI,2,FALSE) &gt;=1,  IF(Table2[[#This Row],[Data attivazione]] = "","-",MONTH(Table2[[#This Row],[Data attivazione]])),"-"),"-")</f>
        <v>1</v>
      </c>
      <c r="R7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7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9</v>
      </c>
      <c r="T7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2" s="67" t="s">
        <v>2</v>
      </c>
      <c r="V772" s="62"/>
      <c r="W772" s="64">
        <v>42391</v>
      </c>
      <c r="X772" s="29">
        <f>DATE(YEAR(Table2[[#This Row],[Data attivazione]])+VLOOKUP(Table2[[#This Row],[Durata]],VALORE_DURATA,2,FALSE),MONTH(Table2[[#This Row],[Data attivazione]]),DAY(Table2[[#This Row],[Data attivazione]]))</f>
        <v>42757</v>
      </c>
      <c r="Y772" s="65"/>
      <c r="Z772" s="61"/>
      <c r="AA772" s="64" t="s">
        <v>88</v>
      </c>
      <c r="AB772" s="29" t="str">
        <f>IF(Table2[[#This Row],[Data ultimo versamento temp]]=0/1/1900,"-",Table2[[#This Row],[Data ultimo versamento temp]])</f>
        <v>-</v>
      </c>
      <c r="AC772" s="29">
        <f t="array" ref="AC772">MAX(IF(TableVersamenti[Polizza]=Table2[[#This Row],[Polizza]],TableVersamenti[Data prevista versamento],"-"))</f>
        <v>0</v>
      </c>
      <c r="AD772" s="62"/>
      <c r="AE772" s="106">
        <f>DATE(YEAR(Table2[[#This Row],[Data ultimo pagamento]]),MONTH(Table2[[#This Row],[Data ultimo pagamento]]), 1)</f>
        <v>42736</v>
      </c>
      <c r="AF772" s="106">
        <f>DATE(YEAR(Table2[[#This Row],[Data prossima scadenza]]),MONTH(Table2[[#This Row],[Data prossima scadenza]]), 1)</f>
        <v>42856</v>
      </c>
      <c r="AG772" s="33">
        <f>IFERROR(Table2[[#This Row],[Importo annuale]]*VLOOKUP(Table2[[#This Row],[Ramo]],RAMI_POLIZZA,2,FALSE),0)</f>
        <v>56.16</v>
      </c>
      <c r="AH772" s="65" t="s">
        <v>113</v>
      </c>
      <c r="AI772" s="63" t="str">
        <f>IFERROR(VLOOKUP(Table2[[#This Row],[Contraente]],Table1[[Nome/Ragione sociale]:[Checkbox selezionato]],2,FALSE),"-")</f>
        <v>BELGIOIOSO</v>
      </c>
      <c r="AJ772" s="63">
        <f>IFERROR(VLOOKUP(Table2[[#This Row],[Contraente]],Table1[[Nome/Ragione sociale]:[Checkbox selezionato]],3,FALSE),"-")</f>
        <v>3922051090</v>
      </c>
      <c r="AK772" s="63">
        <f>IFERROR(VLOOKUP(Table2[[#This Row],[Contraente]],Table1[[Nome/Ragione sociale]:[Checkbox selezionato]],4,FALSE),"-")</f>
        <v>0</v>
      </c>
      <c r="AL772" s="63" t="str">
        <f>IFERROR(VLOOKUP(Table2[[#This Row],[Contraente]],Table1[[Nome/Ragione sociale]:[Checkbox selezionato]],5,FALSE),"-")</f>
        <v>FEDERICA</v>
      </c>
      <c r="AM772" s="62">
        <f>IFERROR(VLOOKUP(Table2[[#This Row],[Contraente]],Table1[[Nome/Ragione sociale]:[Checkbox selezionato]],6,FALSE),"-")</f>
        <v>31140</v>
      </c>
      <c r="AN772" s="63" t="str">
        <f>IFERROR(VLOOKUP(Table2[[#This Row],[Contraente]],Table1[[Nome/Ragione sociale]:[Checkbox selezionato]],7,FALSE),"-")</f>
        <v>papies@libero.it</v>
      </c>
      <c r="AO772" s="63">
        <f>IFERROR(VLOOKUP(Table2[[#This Row],[Contraente]],Table1[[Nome/Ragione sociale]:[Checkbox selezionato]],8,FALSE),"-")</f>
        <v>0</v>
      </c>
      <c r="AP772" s="63">
        <f>IFERROR(VLOOKUP(Table2[[#This Row],[Contraente]],Table1[[Nome/Ragione sociale]:[Checkbox selezionato]],10,FALSE),"-")</f>
        <v>3922051090</v>
      </c>
      <c r="AQ772" s="63" t="str">
        <f>IFERROR(VLOOKUP(Table2[[#This Row],[Contraente]],Table1[[Nome/Ragione sociale]:[Checkbox selezionato]],11,FALSE),"-")</f>
        <v>SI</v>
      </c>
      <c r="AR772" s="63" t="str">
        <f>IFERROR(VLOOKUP(Table2[[#This Row],[Contraente]],Table1[[Nome/Ragione sociale]:[Checkbox selezionato]],12,FALSE),"-")</f>
        <v>SI</v>
      </c>
    </row>
    <row r="773" spans="1:44" ht="30" hidden="1" customHeight="1" x14ac:dyDescent="0.25">
      <c r="A773" s="60" t="str">
        <f>UPPER(LEFT(Table2[[#This Row],[Contraente]],1))</f>
        <v>M</v>
      </c>
      <c r="B773" s="60" t="s">
        <v>1634</v>
      </c>
      <c r="C773" s="81" t="s">
        <v>823</v>
      </c>
      <c r="D773" s="81" t="s">
        <v>37</v>
      </c>
      <c r="E773" s="86">
        <v>104360224</v>
      </c>
      <c r="F773" s="64">
        <v>42124</v>
      </c>
      <c r="G773" s="64">
        <f>IFERROR(CALCOLASCADENZA(Table2[[#This Row],[Data attivazione]],Table2[[#This Row],[Rateizzazione]],Table2[[#This Row],[Data ultimo pagamento]],Table2[[#This Row],[Data prossima scadenza manuale]]),"-")</f>
        <v>693962</v>
      </c>
      <c r="H773" s="67" t="s">
        <v>31</v>
      </c>
      <c r="I773" s="67" t="s">
        <v>1422</v>
      </c>
      <c r="J773" s="33">
        <f>IFERROR(Table2[[#This Row],[Importo annuale]]/(12/VLOOKUP(Table2[[#This Row],[Rateizzazione]],TIPI_RATEIZZAZIONI,2,FALSE)),"-")</f>
        <v>350</v>
      </c>
      <c r="K773" s="88"/>
      <c r="L773" s="88">
        <v>350</v>
      </c>
      <c r="M773" s="67" t="s">
        <v>43</v>
      </c>
      <c r="N773" s="67" t="s">
        <v>52</v>
      </c>
      <c r="O773" s="27" t="s">
        <v>1631</v>
      </c>
      <c r="P773" s="33" t="s">
        <v>23</v>
      </c>
      <c r="Q773" s="60">
        <f>IFERROR(IF(12 / VLOOKUP(Table2[[#This Row],[Rateizzazione]],TIPI_RATEIZZAZIONI,2,FALSE) &gt;=1,  IF(Table2[[#This Row],[Data attivazione]] = "","-",MONTH(Table2[[#This Row],[Data attivazione]])),"-"),"-")</f>
        <v>12</v>
      </c>
      <c r="R7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3" s="67" t="s">
        <v>2</v>
      </c>
      <c r="V773" s="62"/>
      <c r="W773" s="64">
        <v>693597</v>
      </c>
      <c r="X773" s="29">
        <f>DATE(YEAR(Table2[[#This Row],[Data attivazione]])+VLOOKUP(Table2[[#This Row],[Durata]],VALORE_DURATA,2,FALSE),MONTH(Table2[[#This Row],[Data attivazione]]),DAY(Table2[[#This Row],[Data attivazione]]))</f>
        <v>693962</v>
      </c>
      <c r="Y773" s="65"/>
      <c r="Z773" s="61"/>
      <c r="AA773" s="64" t="s">
        <v>88</v>
      </c>
      <c r="AB773" s="29" t="str">
        <f>IF(Table2[[#This Row],[Data ultimo versamento temp]]=0/1/1900,"-",Table2[[#This Row],[Data ultimo versamento temp]])</f>
        <v>-</v>
      </c>
      <c r="AC773" s="29">
        <f t="array" ref="AC773">MAX(IF(TableVersamenti[Polizza]=Table2[[#This Row],[Polizza]],TableVersamenti[Data prevista versamento],"-"))</f>
        <v>0</v>
      </c>
      <c r="AD773" s="62"/>
      <c r="AE773" s="106">
        <f>DATE(YEAR(Table2[[#This Row],[Data ultimo pagamento]]),MONTH(Table2[[#This Row],[Data ultimo pagamento]]), 1)</f>
        <v>42095</v>
      </c>
      <c r="AF773" s="106">
        <f>DATE(YEAR(Table2[[#This Row],[Data prossima scadenza]]),MONTH(Table2[[#This Row],[Data prossima scadenza]]), 1)</f>
        <v>693932</v>
      </c>
      <c r="AG773" s="33">
        <f>IFERROR(Table2[[#This Row],[Importo annuale]]*VLOOKUP(Table2[[#This Row],[Ramo]],RAMI_POLIZZA,2,FALSE),0)</f>
        <v>18.2</v>
      </c>
      <c r="AH773" s="65" t="s">
        <v>113</v>
      </c>
      <c r="AI773" s="63">
        <f>IFERROR(VLOOKUP(Table2[[#This Row],[Contraente]],Table1[[Nome/Ragione sociale]:[Checkbox selezionato]],2,FALSE),"-")</f>
        <v>0</v>
      </c>
      <c r="AJ773" s="63">
        <f>IFERROR(VLOOKUP(Table2[[#This Row],[Contraente]],Table1[[Nome/Ragione sociale]:[Checkbox selezionato]],3,FALSE),"-")</f>
        <v>0</v>
      </c>
      <c r="AK773" s="63">
        <f>IFERROR(VLOOKUP(Table2[[#This Row],[Contraente]],Table1[[Nome/Ragione sociale]:[Checkbox selezionato]],4,FALSE),"-")</f>
        <v>0</v>
      </c>
      <c r="AL773" s="63">
        <f>IFERROR(VLOOKUP(Table2[[#This Row],[Contraente]],Table1[[Nome/Ragione sociale]:[Checkbox selezionato]],5,FALSE),"-")</f>
        <v>0</v>
      </c>
      <c r="AM773" s="62">
        <f>IFERROR(VLOOKUP(Table2[[#This Row],[Contraente]],Table1[[Nome/Ragione sociale]:[Checkbox selezionato]],6,FALSE),"-")</f>
        <v>0</v>
      </c>
      <c r="AN773" s="63" t="str">
        <f>IFERROR(VLOOKUP(Table2[[#This Row],[Contraente]],Table1[[Nome/Ragione sociale]:[Checkbox selezionato]],7,FALSE),"-")</f>
        <v>papies@libero.it</v>
      </c>
      <c r="AO773" s="63">
        <f>IFERROR(VLOOKUP(Table2[[#This Row],[Contraente]],Table1[[Nome/Ragione sociale]:[Checkbox selezionato]],8,FALSE),"-")</f>
        <v>0</v>
      </c>
      <c r="AP773" s="63">
        <f>IFERROR(VLOOKUP(Table2[[#This Row],[Contraente]],Table1[[Nome/Ragione sociale]:[Checkbox selezionato]],10,FALSE),"-")</f>
        <v>0</v>
      </c>
      <c r="AQ773" s="63" t="str">
        <f>IFERROR(VLOOKUP(Table2[[#This Row],[Contraente]],Table1[[Nome/Ragione sociale]:[Checkbox selezionato]],11,FALSE),"-")</f>
        <v>SI</v>
      </c>
      <c r="AR773" s="63" t="str">
        <f>IFERROR(VLOOKUP(Table2[[#This Row],[Contraente]],Table1[[Nome/Ragione sociale]:[Checkbox selezionato]],12,FALSE),"-")</f>
        <v>SI</v>
      </c>
    </row>
    <row r="774" spans="1:44" ht="30" hidden="1" customHeight="1" x14ac:dyDescent="0.25">
      <c r="A774" s="60" t="str">
        <f>UPPER(LEFT(Table2[[#This Row],[Contraente]],1))</f>
        <v>N</v>
      </c>
      <c r="B774" s="60" t="s">
        <v>1634</v>
      </c>
      <c r="C774" s="83" t="s">
        <v>843</v>
      </c>
      <c r="D774" s="81" t="s">
        <v>37</v>
      </c>
      <c r="E774" s="86">
        <v>105581518</v>
      </c>
      <c r="F774" s="64">
        <v>42858</v>
      </c>
      <c r="G774" s="64">
        <f>IFERROR(CALCOLASCADENZA(Table2[[#This Row],[Data attivazione]],Table2[[#This Row],[Rateizzazione]],Table2[[#This Row],[Data ultimo pagamento]],Table2[[#This Row],[Data prossima scadenza manuale]]),"-")</f>
        <v>43230</v>
      </c>
      <c r="H774" s="67" t="s">
        <v>30</v>
      </c>
      <c r="I774" s="67" t="s">
        <v>113</v>
      </c>
      <c r="J774" s="33">
        <f>IFERROR(Table2[[#This Row],[Importo annuale]]/(12/VLOOKUP(Table2[[#This Row],[Rateizzazione]],TIPI_RATEIZZAZIONI,2,FALSE)),"-")</f>
        <v>443</v>
      </c>
      <c r="K774" s="88">
        <v>443</v>
      </c>
      <c r="L774" s="88">
        <v>443</v>
      </c>
      <c r="M774" s="67" t="s">
        <v>44</v>
      </c>
      <c r="N774" s="67" t="s">
        <v>51</v>
      </c>
      <c r="O774" s="27" t="s">
        <v>1631</v>
      </c>
      <c r="P774" s="33" t="s">
        <v>23</v>
      </c>
      <c r="Q774" s="60">
        <f>IFERROR(IF(12 / VLOOKUP(Table2[[#This Row],[Rateizzazione]],TIPI_RATEIZZAZIONI,2,FALSE) &gt;=1,  IF(Table2[[#This Row],[Data attivazione]] = "","-",MONTH(Table2[[#This Row],[Data attivazione]])),"-"),"-")</f>
        <v>5</v>
      </c>
      <c r="R7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4" s="67" t="s">
        <v>2</v>
      </c>
      <c r="V774" s="62"/>
      <c r="W774" s="64">
        <v>42865</v>
      </c>
      <c r="X774" s="29">
        <f>DATE(YEAR(Table2[[#This Row],[Data attivazione]])+VLOOKUP(Table2[[#This Row],[Durata]],VALORE_DURATA,2,FALSE),MONTH(Table2[[#This Row],[Data attivazione]]),DAY(Table2[[#This Row],[Data attivazione]]))</f>
        <v>43230</v>
      </c>
      <c r="Y774" s="65"/>
      <c r="Z774" s="61"/>
      <c r="AA774" s="64" t="s">
        <v>85</v>
      </c>
      <c r="AB774" s="29" t="str">
        <f>IF(Table2[[#This Row],[Data ultimo versamento temp]]=0/1/1900,"-",Table2[[#This Row],[Data ultimo versamento temp]])</f>
        <v>-</v>
      </c>
      <c r="AC774" s="29">
        <f t="array" ref="AC774">MAX(IF(TableVersamenti[Polizza]=Table2[[#This Row],[Polizza]],TableVersamenti[Data prevista versamento],"-"))</f>
        <v>0</v>
      </c>
      <c r="AD774" s="62"/>
      <c r="AE774" s="106">
        <f>DATE(YEAR(Table2[[#This Row],[Data ultimo pagamento]]),MONTH(Table2[[#This Row],[Data ultimo pagamento]]), 1)</f>
        <v>42856</v>
      </c>
      <c r="AF774" s="106">
        <f>DATE(YEAR(Table2[[#This Row],[Data prossima scadenza]]),MONTH(Table2[[#This Row],[Data prossima scadenza]]), 1)</f>
        <v>43221</v>
      </c>
      <c r="AG774" s="33">
        <f>IFERROR(Table2[[#This Row],[Importo annuale]]*VLOOKUP(Table2[[#This Row],[Ramo]],RAMI_POLIZZA,2,FALSE),0)</f>
        <v>50.945</v>
      </c>
      <c r="AH774" s="65" t="s">
        <v>113</v>
      </c>
      <c r="AI774" s="63" t="str">
        <f>IFERROR(VLOOKUP(Table2[[#This Row],[Contraente]],Table1[[Nome/Ragione sociale]:[Checkbox selezionato]],2,FALSE),"-")</f>
        <v>PRADO</v>
      </c>
      <c r="AJ774" s="63">
        <f>IFERROR(VLOOKUP(Table2[[#This Row],[Contraente]],Table1[[Nome/Ragione sociale]:[Checkbox selezionato]],3,FALSE),"-")</f>
        <v>3347981655</v>
      </c>
      <c r="AK774" s="63">
        <f>IFERROR(VLOOKUP(Table2[[#This Row],[Contraente]],Table1[[Nome/Ragione sociale]:[Checkbox selezionato]],4,FALSE),"-")</f>
        <v>0</v>
      </c>
      <c r="AL774" s="63" t="str">
        <f>IFERROR(VLOOKUP(Table2[[#This Row],[Contraente]],Table1[[Nome/Ragione sociale]:[Checkbox selezionato]],5,FALSE),"-")</f>
        <v>GIOVANNI</v>
      </c>
      <c r="AM774" s="62" t="str">
        <f>IFERROR(VLOOKUP(Table2[[#This Row],[Contraente]],Table1[[Nome/Ragione sociale]:[Checkbox selezionato]],6,FALSE),"-")</f>
        <v>-</v>
      </c>
      <c r="AN774" s="63" t="str">
        <f>IFERROR(VLOOKUP(Table2[[#This Row],[Contraente]],Table1[[Nome/Ragione sociale]:[Checkbox selezionato]],7,FALSE),"-")</f>
        <v>papies@email.it</v>
      </c>
      <c r="AO774" s="63">
        <f>IFERROR(VLOOKUP(Table2[[#This Row],[Contraente]],Table1[[Nome/Ragione sociale]:[Checkbox selezionato]],8,FALSE),"-")</f>
        <v>0</v>
      </c>
      <c r="AP774" s="63">
        <f>IFERROR(VLOOKUP(Table2[[#This Row],[Contraente]],Table1[[Nome/Ragione sociale]:[Checkbox selezionato]],10,FALSE),"-")</f>
        <v>3347981655</v>
      </c>
      <c r="AQ774" s="63" t="str">
        <f>IFERROR(VLOOKUP(Table2[[#This Row],[Contraente]],Table1[[Nome/Ragione sociale]:[Checkbox selezionato]],11,FALSE),"-")</f>
        <v>SI</v>
      </c>
      <c r="AR774" s="63" t="str">
        <f>IFERROR(VLOOKUP(Table2[[#This Row],[Contraente]],Table1[[Nome/Ragione sociale]:[Checkbox selezionato]],12,FALSE),"-")</f>
        <v>SI</v>
      </c>
    </row>
    <row r="775" spans="1:44" ht="30" hidden="1" customHeight="1" x14ac:dyDescent="0.25">
      <c r="A775" s="60" t="str">
        <f>UPPER(LEFT(Table2[[#This Row],[Contraente]],1))</f>
        <v>N</v>
      </c>
      <c r="B775" s="60" t="s">
        <v>1634</v>
      </c>
      <c r="C775" s="83" t="s">
        <v>845</v>
      </c>
      <c r="D775" s="81" t="s">
        <v>37</v>
      </c>
      <c r="E775" s="86">
        <v>102687454</v>
      </c>
      <c r="F775" s="64">
        <v>42898</v>
      </c>
      <c r="G775" s="64">
        <f>IFERROR(CALCOLASCADENZA(Table2[[#This Row],[Data attivazione]],Table2[[#This Row],[Rateizzazione]],Table2[[#This Row],[Data ultimo pagamento]],Table2[[#This Row],[Data prossima scadenza manuale]]),"-")</f>
        <v>43082</v>
      </c>
      <c r="H775" s="67" t="s">
        <v>30</v>
      </c>
      <c r="I775" s="67" t="s">
        <v>113</v>
      </c>
      <c r="J775" s="33">
        <f>IFERROR(Table2[[#This Row],[Importo annuale]]/(12/VLOOKUP(Table2[[#This Row],[Rateizzazione]],TIPI_RATEIZZAZIONI,2,FALSE)),"-")</f>
        <v>52</v>
      </c>
      <c r="K775" s="88">
        <v>52</v>
      </c>
      <c r="L775" s="88">
        <v>104</v>
      </c>
      <c r="M775" s="67" t="s">
        <v>44</v>
      </c>
      <c r="N775" s="67" t="s">
        <v>51</v>
      </c>
      <c r="O775" s="27" t="s">
        <v>1631</v>
      </c>
      <c r="P775" s="33" t="s">
        <v>22</v>
      </c>
      <c r="Q775" s="60">
        <f>IFERROR(IF(12 / VLOOKUP(Table2[[#This Row],[Rateizzazione]],TIPI_RATEIZZAZIONI,2,FALSE) &gt;=1,  IF(Table2[[#This Row],[Data attivazione]] = "","-",MONTH(Table2[[#This Row],[Data attivazione]])),"-"),"-")</f>
        <v>12</v>
      </c>
      <c r="R7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5" s="67" t="s">
        <v>2</v>
      </c>
      <c r="V775" s="62"/>
      <c r="W775" s="64">
        <v>42717</v>
      </c>
      <c r="X775" s="29">
        <f>DATE(YEAR(Table2[[#This Row],[Data attivazione]])+VLOOKUP(Table2[[#This Row],[Durata]],VALORE_DURATA,2,FALSE),MONTH(Table2[[#This Row],[Data attivazione]]),DAY(Table2[[#This Row],[Data attivazione]]))</f>
        <v>43082</v>
      </c>
      <c r="Y775" s="65"/>
      <c r="Z775" s="61"/>
      <c r="AA775" s="64" t="s">
        <v>85</v>
      </c>
      <c r="AB775" s="29" t="str">
        <f>IF(Table2[[#This Row],[Data ultimo versamento temp]]=0/1/1900,"-",Table2[[#This Row],[Data ultimo versamento temp]])</f>
        <v>-</v>
      </c>
      <c r="AC775" s="29">
        <f t="array" ref="AC775">MAX(IF(TableVersamenti[Polizza]=Table2[[#This Row],[Polizza]],TableVersamenti[Data prevista versamento],"-"))</f>
        <v>0</v>
      </c>
      <c r="AD775" s="62"/>
      <c r="AE775" s="106">
        <f>DATE(YEAR(Table2[[#This Row],[Data ultimo pagamento]]),MONTH(Table2[[#This Row],[Data ultimo pagamento]]), 1)</f>
        <v>42887</v>
      </c>
      <c r="AF775" s="106">
        <f>DATE(YEAR(Table2[[#This Row],[Data prossima scadenza]]),MONTH(Table2[[#This Row],[Data prossima scadenza]]), 1)</f>
        <v>43070</v>
      </c>
      <c r="AG775" s="33">
        <f>IFERROR(Table2[[#This Row],[Importo annuale]]*VLOOKUP(Table2[[#This Row],[Ramo]],RAMI_POLIZZA,2,FALSE),0)</f>
        <v>11.96</v>
      </c>
      <c r="AH775" s="65" t="s">
        <v>113</v>
      </c>
      <c r="AI775" s="63" t="str">
        <f>IFERROR(VLOOKUP(Table2[[#This Row],[Contraente]],Table1[[Nome/Ragione sociale]:[Checkbox selezionato]],2,FALSE),"-")</f>
        <v>PRADO</v>
      </c>
      <c r="AJ775" s="63">
        <f>IFERROR(VLOOKUP(Table2[[#This Row],[Contraente]],Table1[[Nome/Ragione sociale]:[Checkbox selezionato]],3,FALSE),"-")</f>
        <v>3347981655</v>
      </c>
      <c r="AK775" s="63">
        <f>IFERROR(VLOOKUP(Table2[[#This Row],[Contraente]],Table1[[Nome/Ragione sociale]:[Checkbox selezionato]],4,FALSE),"-")</f>
        <v>0</v>
      </c>
      <c r="AL775" s="63" t="str">
        <f>IFERROR(VLOOKUP(Table2[[#This Row],[Contraente]],Table1[[Nome/Ragione sociale]:[Checkbox selezionato]],5,FALSE),"-")</f>
        <v>GIOVANNI</v>
      </c>
      <c r="AM775" s="62" t="str">
        <f>IFERROR(VLOOKUP(Table2[[#This Row],[Contraente]],Table1[[Nome/Ragione sociale]:[Checkbox selezionato]],6,FALSE),"-")</f>
        <v>-</v>
      </c>
      <c r="AN775" s="63" t="str">
        <f>IFERROR(VLOOKUP(Table2[[#This Row],[Contraente]],Table1[[Nome/Ragione sociale]:[Checkbox selezionato]],7,FALSE),"-")</f>
        <v>papies@libero.it</v>
      </c>
      <c r="AO775" s="63">
        <f>IFERROR(VLOOKUP(Table2[[#This Row],[Contraente]],Table1[[Nome/Ragione sociale]:[Checkbox selezionato]],8,FALSE),"-")</f>
        <v>0</v>
      </c>
      <c r="AP775" s="63">
        <f>IFERROR(VLOOKUP(Table2[[#This Row],[Contraente]],Table1[[Nome/Ragione sociale]:[Checkbox selezionato]],10,FALSE),"-")</f>
        <v>3347981655</v>
      </c>
      <c r="AQ775" s="63" t="str">
        <f>IFERROR(VLOOKUP(Table2[[#This Row],[Contraente]],Table1[[Nome/Ragione sociale]:[Checkbox selezionato]],11,FALSE),"-")</f>
        <v>SI</v>
      </c>
      <c r="AR775" s="63" t="str">
        <f>IFERROR(VLOOKUP(Table2[[#This Row],[Contraente]],Table1[[Nome/Ragione sociale]:[Checkbox selezionato]],12,FALSE),"-")</f>
        <v>SI</v>
      </c>
    </row>
    <row r="776" spans="1:44" ht="30" hidden="1" customHeight="1" x14ac:dyDescent="0.25">
      <c r="A776" s="60" t="str">
        <f>UPPER(LEFT(Table2[[#This Row],[Contraente]],1))</f>
        <v>N</v>
      </c>
      <c r="B776" s="60" t="s">
        <v>1634</v>
      </c>
      <c r="C776" s="83" t="s">
        <v>845</v>
      </c>
      <c r="D776" s="81" t="s">
        <v>37</v>
      </c>
      <c r="E776" s="86">
        <v>105720212</v>
      </c>
      <c r="F776" s="64">
        <v>42898</v>
      </c>
      <c r="G776" s="64">
        <f>IFERROR(CALCOLASCADENZA(Table2[[#This Row],[Data attivazione]],Table2[[#This Row],[Rateizzazione]],Table2[[#This Row],[Data ultimo pagamento]],Table2[[#This Row],[Data prossima scadenza manuale]]),"-")</f>
        <v>43082</v>
      </c>
      <c r="H776" s="67" t="s">
        <v>31</v>
      </c>
      <c r="I776" s="67" t="s">
        <v>1447</v>
      </c>
      <c r="J776" s="33">
        <f>IFERROR(Table2[[#This Row],[Importo annuale]]/(12/VLOOKUP(Table2[[#This Row],[Rateizzazione]],TIPI_RATEIZZAZIONI,2,FALSE)),"-")</f>
        <v>493</v>
      </c>
      <c r="K776" s="88">
        <v>493</v>
      </c>
      <c r="L776" s="88">
        <v>986</v>
      </c>
      <c r="M776" s="67" t="s">
        <v>44</v>
      </c>
      <c r="N776" s="67" t="s">
        <v>51</v>
      </c>
      <c r="O776" s="27" t="s">
        <v>1631</v>
      </c>
      <c r="P776" s="33" t="s">
        <v>22</v>
      </c>
      <c r="Q776" s="60">
        <f>IFERROR(IF(12 / VLOOKUP(Table2[[#This Row],[Rateizzazione]],TIPI_RATEIZZAZIONI,2,FALSE) &gt;=1,  IF(Table2[[#This Row],[Data attivazione]] = "","-",MONTH(Table2[[#This Row],[Data attivazione]])),"-"),"-")</f>
        <v>12</v>
      </c>
      <c r="R7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6" s="67" t="s">
        <v>2</v>
      </c>
      <c r="V776" s="62"/>
      <c r="W776" s="64">
        <v>42717</v>
      </c>
      <c r="X776" s="29">
        <f>DATE(YEAR(Table2[[#This Row],[Data attivazione]])+VLOOKUP(Table2[[#This Row],[Durata]],VALORE_DURATA,2,FALSE),MONTH(Table2[[#This Row],[Data attivazione]]),DAY(Table2[[#This Row],[Data attivazione]]))</f>
        <v>43082</v>
      </c>
      <c r="Y776" s="65"/>
      <c r="Z776" s="61"/>
      <c r="AA776" s="64" t="s">
        <v>85</v>
      </c>
      <c r="AB776" s="29" t="str">
        <f>IF(Table2[[#This Row],[Data ultimo versamento temp]]=0/1/1900,"-",Table2[[#This Row],[Data ultimo versamento temp]])</f>
        <v>-</v>
      </c>
      <c r="AC776" s="29">
        <f t="array" ref="AC776">MAX(IF(TableVersamenti[Polizza]=Table2[[#This Row],[Polizza]],TableVersamenti[Data prevista versamento],"-"))</f>
        <v>0</v>
      </c>
      <c r="AD776" s="62"/>
      <c r="AE776" s="106">
        <f>DATE(YEAR(Table2[[#This Row],[Data ultimo pagamento]]),MONTH(Table2[[#This Row],[Data ultimo pagamento]]), 1)</f>
        <v>42887</v>
      </c>
      <c r="AF776" s="106">
        <f>DATE(YEAR(Table2[[#This Row],[Data prossima scadenza]]),MONTH(Table2[[#This Row],[Data prossima scadenza]]), 1)</f>
        <v>43070</v>
      </c>
      <c r="AG776" s="33">
        <f>IFERROR(Table2[[#This Row],[Importo annuale]]*VLOOKUP(Table2[[#This Row],[Ramo]],RAMI_POLIZZA,2,FALSE),0)</f>
        <v>51.271999999999998</v>
      </c>
      <c r="AH776" s="65" t="s">
        <v>113</v>
      </c>
      <c r="AI776" s="63" t="str">
        <f>IFERROR(VLOOKUP(Table2[[#This Row],[Contraente]],Table1[[Nome/Ragione sociale]:[Checkbox selezionato]],2,FALSE),"-")</f>
        <v>PRADO</v>
      </c>
      <c r="AJ776" s="63">
        <f>IFERROR(VLOOKUP(Table2[[#This Row],[Contraente]],Table1[[Nome/Ragione sociale]:[Checkbox selezionato]],3,FALSE),"-")</f>
        <v>3347981655</v>
      </c>
      <c r="AK776" s="63">
        <f>IFERROR(VLOOKUP(Table2[[#This Row],[Contraente]],Table1[[Nome/Ragione sociale]:[Checkbox selezionato]],4,FALSE),"-")</f>
        <v>0</v>
      </c>
      <c r="AL776" s="63" t="str">
        <f>IFERROR(VLOOKUP(Table2[[#This Row],[Contraente]],Table1[[Nome/Ragione sociale]:[Checkbox selezionato]],5,FALSE),"-")</f>
        <v>GIOVANNI</v>
      </c>
      <c r="AM776" s="62" t="str">
        <f>IFERROR(VLOOKUP(Table2[[#This Row],[Contraente]],Table1[[Nome/Ragione sociale]:[Checkbox selezionato]],6,FALSE),"-")</f>
        <v>-</v>
      </c>
      <c r="AN776" s="63" t="str">
        <f>IFERROR(VLOOKUP(Table2[[#This Row],[Contraente]],Table1[[Nome/Ragione sociale]:[Checkbox selezionato]],7,FALSE),"-")</f>
        <v>papies@libero.it</v>
      </c>
      <c r="AO776" s="63">
        <f>IFERROR(VLOOKUP(Table2[[#This Row],[Contraente]],Table1[[Nome/Ragione sociale]:[Checkbox selezionato]],8,FALSE),"-")</f>
        <v>0</v>
      </c>
      <c r="AP776" s="63">
        <f>IFERROR(VLOOKUP(Table2[[#This Row],[Contraente]],Table1[[Nome/Ragione sociale]:[Checkbox selezionato]],10,FALSE),"-")</f>
        <v>3347981655</v>
      </c>
      <c r="AQ776" s="63" t="str">
        <f>IFERROR(VLOOKUP(Table2[[#This Row],[Contraente]],Table1[[Nome/Ragione sociale]:[Checkbox selezionato]],11,FALSE),"-")</f>
        <v>SI</v>
      </c>
      <c r="AR776" s="63" t="str">
        <f>IFERROR(VLOOKUP(Table2[[#This Row],[Contraente]],Table1[[Nome/Ragione sociale]:[Checkbox selezionato]],12,FALSE),"-")</f>
        <v>SI</v>
      </c>
    </row>
    <row r="777" spans="1:44" ht="30" hidden="1" customHeight="1" x14ac:dyDescent="0.25">
      <c r="A777" s="60" t="str">
        <f>UPPER(LEFT(Table2[[#This Row],[Contraente]],1))</f>
        <v>N</v>
      </c>
      <c r="B777" s="60" t="s">
        <v>1634</v>
      </c>
      <c r="C777" s="81" t="s">
        <v>846</v>
      </c>
      <c r="D777" s="81" t="s">
        <v>37</v>
      </c>
      <c r="E777" s="86">
        <v>103590097</v>
      </c>
      <c r="F777" s="64">
        <v>42108</v>
      </c>
      <c r="G777" s="64">
        <f>IFERROR(CALCOLASCADENZA(Table2[[#This Row],[Data attivazione]],Table2[[#This Row],[Rateizzazione]],Table2[[#This Row],[Data ultimo pagamento]],Table2[[#This Row],[Data prossima scadenza manuale]]),"-")</f>
        <v>42108</v>
      </c>
      <c r="H777" s="67" t="s">
        <v>31</v>
      </c>
      <c r="I777" s="67" t="s">
        <v>1448</v>
      </c>
      <c r="J777" s="33">
        <v>0</v>
      </c>
      <c r="K777" s="88"/>
      <c r="L777" s="88">
        <v>0</v>
      </c>
      <c r="M777" s="67" t="s">
        <v>44</v>
      </c>
      <c r="N777" s="67" t="s">
        <v>52</v>
      </c>
      <c r="O777" s="27" t="s">
        <v>1631</v>
      </c>
      <c r="P777" s="33" t="s">
        <v>24</v>
      </c>
      <c r="Q77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7" s="67" t="s">
        <v>2</v>
      </c>
      <c r="V777" s="62"/>
      <c r="W777" s="64">
        <v>693597</v>
      </c>
      <c r="X777" s="29">
        <f>DATE(YEAR(Table2[[#This Row],[Data attivazione]])+VLOOKUP(Table2[[#This Row],[Durata]],VALORE_DURATA,2,FALSE),MONTH(Table2[[#This Row],[Data attivazione]]),DAY(Table2[[#This Row],[Data attivazione]]))</f>
        <v>693962</v>
      </c>
      <c r="Y777" s="65"/>
      <c r="Z777" s="61"/>
      <c r="AA777" s="64" t="s">
        <v>88</v>
      </c>
      <c r="AB777" s="29" t="str">
        <f>IF(Table2[[#This Row],[Data ultimo versamento temp]]=0/1/1900,"-",Table2[[#This Row],[Data ultimo versamento temp]])</f>
        <v>-</v>
      </c>
      <c r="AC777" s="29">
        <f t="array" ref="AC777">MAX(IF(TableVersamenti[Polizza]=Table2[[#This Row],[Polizza]],TableVersamenti[Data prevista versamento],"-"))</f>
        <v>0</v>
      </c>
      <c r="AD777" s="62"/>
      <c r="AE777" s="106">
        <f>DATE(YEAR(Table2[[#This Row],[Data ultimo pagamento]]),MONTH(Table2[[#This Row],[Data ultimo pagamento]]), 1)</f>
        <v>42095</v>
      </c>
      <c r="AF777" s="106">
        <f>DATE(YEAR(Table2[[#This Row],[Data prossima scadenza]]),MONTH(Table2[[#This Row],[Data prossima scadenza]]), 1)</f>
        <v>42095</v>
      </c>
      <c r="AG777" s="33">
        <f>IFERROR(Table2[[#This Row],[Importo annuale]]*VLOOKUP(Table2[[#This Row],[Ramo]],RAMI_POLIZZA,2,FALSE),0)</f>
        <v>0</v>
      </c>
      <c r="AH777" s="65" t="s">
        <v>113</v>
      </c>
      <c r="AI777" s="63" t="str">
        <f>IFERROR(VLOOKUP(Table2[[#This Row],[Contraente]],Table1[[Nome/Ragione sociale]:[Checkbox selezionato]],2,FALSE),"-")</f>
        <v>SAN ZENONE AL PO</v>
      </c>
      <c r="AJ777" s="63">
        <f>IFERROR(VLOOKUP(Table2[[#This Row],[Contraente]],Table1[[Nome/Ragione sociale]:[Checkbox selezionato]],3,FALSE),"-")</f>
        <v>3888344880</v>
      </c>
      <c r="AK777" s="63">
        <f>IFERROR(VLOOKUP(Table2[[#This Row],[Contraente]],Table1[[Nome/Ragione sociale]:[Checkbox selezionato]],4,FALSE),"-")</f>
        <v>0</v>
      </c>
      <c r="AL777" s="63" t="str">
        <f>IFERROR(VLOOKUP(Table2[[#This Row],[Contraente]],Table1[[Nome/Ragione sociale]:[Checkbox selezionato]],5,FALSE),"-")</f>
        <v>KARIMA</v>
      </c>
      <c r="AM777" s="62" t="str">
        <f>IFERROR(VLOOKUP(Table2[[#This Row],[Contraente]],Table1[[Nome/Ragione sociale]:[Checkbox selezionato]],6,FALSE),"-")</f>
        <v>-</v>
      </c>
      <c r="AN777" s="63" t="str">
        <f>IFERROR(VLOOKUP(Table2[[#This Row],[Contraente]],Table1[[Nome/Ragione sociale]:[Checkbox selezionato]],7,FALSE),"-")</f>
        <v>papies@libero.it</v>
      </c>
      <c r="AO777" s="63">
        <f>IFERROR(VLOOKUP(Table2[[#This Row],[Contraente]],Table1[[Nome/Ragione sociale]:[Checkbox selezionato]],8,FALSE),"-")</f>
        <v>0</v>
      </c>
      <c r="AP777" s="63">
        <f>IFERROR(VLOOKUP(Table2[[#This Row],[Contraente]],Table1[[Nome/Ragione sociale]:[Checkbox selezionato]],10,FALSE),"-")</f>
        <v>3888344880</v>
      </c>
      <c r="AQ777" s="63" t="str">
        <f>IFERROR(VLOOKUP(Table2[[#This Row],[Contraente]],Table1[[Nome/Ragione sociale]:[Checkbox selezionato]],11,FALSE),"-")</f>
        <v>SI</v>
      </c>
      <c r="AR777" s="63" t="str">
        <f>IFERROR(VLOOKUP(Table2[[#This Row],[Contraente]],Table1[[Nome/Ragione sociale]:[Checkbox selezionato]],12,FALSE),"-")</f>
        <v>SI</v>
      </c>
    </row>
    <row r="778" spans="1:44" ht="30" hidden="1" customHeight="1" x14ac:dyDescent="0.25">
      <c r="A778" s="60" t="str">
        <f>UPPER(LEFT(Table2[[#This Row],[Contraente]],1))</f>
        <v>N</v>
      </c>
      <c r="B778" s="60" t="s">
        <v>1634</v>
      </c>
      <c r="C778" s="81" t="s">
        <v>850</v>
      </c>
      <c r="D778" s="81" t="s">
        <v>37</v>
      </c>
      <c r="E778" s="86">
        <v>104149871</v>
      </c>
      <c r="F778" s="64">
        <v>42434</v>
      </c>
      <c r="G778" s="64">
        <f>IFERROR(CALCOLASCADENZA(Table2[[#This Row],[Data attivazione]],Table2[[#This Row],[Rateizzazione]],Table2[[#This Row],[Data ultimo pagamento]],Table2[[#This Row],[Data prossima scadenza manuale]]),"-")</f>
        <v>42799</v>
      </c>
      <c r="H778" s="67" t="s">
        <v>31</v>
      </c>
      <c r="I778" s="67" t="s">
        <v>1449</v>
      </c>
      <c r="J778" s="33">
        <f>IFERROR(Table2[[#This Row],[Importo annuale]]/(12/VLOOKUP(Table2[[#This Row],[Rateizzazione]],TIPI_RATEIZZAZIONI,2,FALSE)),"-")</f>
        <v>42.07</v>
      </c>
      <c r="K778" s="88"/>
      <c r="L778" s="88">
        <v>42.07</v>
      </c>
      <c r="M778" s="67" t="s">
        <v>44</v>
      </c>
      <c r="N778" s="67" t="s">
        <v>51</v>
      </c>
      <c r="O778" s="27" t="s">
        <v>1631</v>
      </c>
      <c r="P778" s="33" t="s">
        <v>23</v>
      </c>
      <c r="Q778" s="60">
        <f>IFERROR(IF(12 / VLOOKUP(Table2[[#This Row],[Rateizzazione]],TIPI_RATEIZZAZIONI,2,FALSE) &gt;=1,  IF(Table2[[#This Row],[Data attivazione]] = "","-",MONTH(Table2[[#This Row],[Data attivazione]])),"-"),"-")</f>
        <v>3</v>
      </c>
      <c r="R7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8" s="67" t="s">
        <v>2</v>
      </c>
      <c r="V778" s="62"/>
      <c r="W778" s="64">
        <v>42434</v>
      </c>
      <c r="X778" s="29">
        <f>DATE(YEAR(Table2[[#This Row],[Data attivazione]])+VLOOKUP(Table2[[#This Row],[Durata]],VALORE_DURATA,2,FALSE),MONTH(Table2[[#This Row],[Data attivazione]]),DAY(Table2[[#This Row],[Data attivazione]]))</f>
        <v>42799</v>
      </c>
      <c r="Y778" s="65"/>
      <c r="Z778" s="61"/>
      <c r="AA778" s="64" t="s">
        <v>88</v>
      </c>
      <c r="AB778" s="29" t="str">
        <f>IF(Table2[[#This Row],[Data ultimo versamento temp]]=0/1/1900,"-",Table2[[#This Row],[Data ultimo versamento temp]])</f>
        <v>-</v>
      </c>
      <c r="AC778" s="29">
        <f t="array" ref="AC778">MAX(IF(TableVersamenti[Polizza]=Table2[[#This Row],[Polizza]],TableVersamenti[Data prevista versamento],"-"))</f>
        <v>0</v>
      </c>
      <c r="AD778" s="62"/>
      <c r="AE778" s="106">
        <f>DATE(YEAR(Table2[[#This Row],[Data ultimo pagamento]]),MONTH(Table2[[#This Row],[Data ultimo pagamento]]), 1)</f>
        <v>42430</v>
      </c>
      <c r="AF778" s="106">
        <f>DATE(YEAR(Table2[[#This Row],[Data prossima scadenza]]),MONTH(Table2[[#This Row],[Data prossima scadenza]]), 1)</f>
        <v>42795</v>
      </c>
      <c r="AG778" s="33">
        <f>IFERROR(Table2[[#This Row],[Importo annuale]]*VLOOKUP(Table2[[#This Row],[Ramo]],RAMI_POLIZZA,2,FALSE),0)</f>
        <v>2.18764</v>
      </c>
      <c r="AH778" s="65" t="s">
        <v>113</v>
      </c>
      <c r="AI778" s="63" t="str">
        <f>IFERROR(VLOOKUP(Table2[[#This Row],[Contraente]],Table1[[Nome/Ragione sociale]:[Checkbox selezionato]],2,FALSE),"-")</f>
        <v>VALLE SALIMBENE</v>
      </c>
      <c r="AJ778" s="63">
        <f>IFERROR(VLOOKUP(Table2[[#This Row],[Contraente]],Table1[[Nome/Ragione sociale]:[Checkbox selezionato]],3,FALSE),"-")</f>
        <v>3395312532</v>
      </c>
      <c r="AK778" s="63">
        <f>IFERROR(VLOOKUP(Table2[[#This Row],[Contraente]],Table1[[Nome/Ragione sociale]:[Checkbox selezionato]],4,FALSE),"-")</f>
        <v>0</v>
      </c>
      <c r="AL778" s="63" t="str">
        <f>IFERROR(VLOOKUP(Table2[[#This Row],[Contraente]],Table1[[Nome/Ragione sociale]:[Checkbox selezionato]],5,FALSE),"-")</f>
        <v>MASSIMO</v>
      </c>
      <c r="AM778" s="62" t="str">
        <f>IFERROR(VLOOKUP(Table2[[#This Row],[Contraente]],Table1[[Nome/Ragione sociale]:[Checkbox selezionato]],6,FALSE),"-")</f>
        <v>-</v>
      </c>
      <c r="AN778" s="63" t="str">
        <f>IFERROR(VLOOKUP(Table2[[#This Row],[Contraente]],Table1[[Nome/Ragione sociale]:[Checkbox selezionato]],7,FALSE),"-")</f>
        <v>papies@email.it</v>
      </c>
      <c r="AO778" s="63">
        <f>IFERROR(VLOOKUP(Table2[[#This Row],[Contraente]],Table1[[Nome/Ragione sociale]:[Checkbox selezionato]],8,FALSE),"-")</f>
        <v>0</v>
      </c>
      <c r="AP778" s="63">
        <f>IFERROR(VLOOKUP(Table2[[#This Row],[Contraente]],Table1[[Nome/Ragione sociale]:[Checkbox selezionato]],10,FALSE),"-")</f>
        <v>3395312532</v>
      </c>
      <c r="AQ778" s="63" t="str">
        <f>IFERROR(VLOOKUP(Table2[[#This Row],[Contraente]],Table1[[Nome/Ragione sociale]:[Checkbox selezionato]],11,FALSE),"-")</f>
        <v>SI</v>
      </c>
      <c r="AR778" s="63" t="str">
        <f>IFERROR(VLOOKUP(Table2[[#This Row],[Contraente]],Table1[[Nome/Ragione sociale]:[Checkbox selezionato]],12,FALSE),"-")</f>
        <v>SI</v>
      </c>
    </row>
    <row r="779" spans="1:44" ht="30" hidden="1" customHeight="1" x14ac:dyDescent="0.25">
      <c r="A779" s="60" t="str">
        <f>UPPER(LEFT(Table2[[#This Row],[Contraente]],1))</f>
        <v>N</v>
      </c>
      <c r="B779" s="60" t="s">
        <v>1634</v>
      </c>
      <c r="C779" s="81" t="s">
        <v>855</v>
      </c>
      <c r="D779" s="81" t="s">
        <v>37</v>
      </c>
      <c r="E779" s="86">
        <v>105444700</v>
      </c>
      <c r="F779" s="64">
        <v>42653</v>
      </c>
      <c r="G779" s="64">
        <f>IFERROR(CALCOLASCADENZA(Table2[[#This Row],[Data attivazione]],Table2[[#This Row],[Rateizzazione]],Table2[[#This Row],[Data ultimo pagamento]],Table2[[#This Row],[Data prossima scadenza manuale]]),"-")</f>
        <v>42653</v>
      </c>
      <c r="H779" s="67" t="s">
        <v>31</v>
      </c>
      <c r="I779" s="67" t="s">
        <v>1451</v>
      </c>
      <c r="J779" s="33">
        <v>296</v>
      </c>
      <c r="K779" s="88"/>
      <c r="L779" s="88">
        <v>593</v>
      </c>
      <c r="M779" s="67" t="s">
        <v>45</v>
      </c>
      <c r="N779" s="67" t="s">
        <v>52</v>
      </c>
      <c r="O779" s="27" t="s">
        <v>1631</v>
      </c>
      <c r="P779" s="33" t="s">
        <v>24</v>
      </c>
      <c r="Q77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9" s="67" t="s">
        <v>2</v>
      </c>
      <c r="V779" s="62"/>
      <c r="W779" s="64">
        <v>42459</v>
      </c>
      <c r="X779" s="29">
        <f>DATE(YEAR(Table2[[#This Row],[Data attivazione]])+VLOOKUP(Table2[[#This Row],[Durata]],VALORE_DURATA,2,FALSE),MONTH(Table2[[#This Row],[Data attivazione]]),DAY(Table2[[#This Row],[Data attivazione]]))</f>
        <v>42824</v>
      </c>
      <c r="Y779" s="65"/>
      <c r="Z779" s="61"/>
      <c r="AA779" s="64" t="s">
        <v>88</v>
      </c>
      <c r="AB779" s="29" t="str">
        <f>IF(Table2[[#This Row],[Data ultimo versamento temp]]=0/1/1900,"-",Table2[[#This Row],[Data ultimo versamento temp]])</f>
        <v>-</v>
      </c>
      <c r="AC779" s="29">
        <f t="array" ref="AC779">MAX(IF(TableVersamenti[Polizza]=Table2[[#This Row],[Polizza]],TableVersamenti[Data prevista versamento],"-"))</f>
        <v>0</v>
      </c>
      <c r="AD779" s="62"/>
      <c r="AE779" s="106">
        <f>DATE(YEAR(Table2[[#This Row],[Data ultimo pagamento]]),MONTH(Table2[[#This Row],[Data ultimo pagamento]]), 1)</f>
        <v>42644</v>
      </c>
      <c r="AF779" s="106">
        <f>DATE(YEAR(Table2[[#This Row],[Data prossima scadenza]]),MONTH(Table2[[#This Row],[Data prossima scadenza]]), 1)</f>
        <v>42644</v>
      </c>
      <c r="AG779" s="33">
        <f>IFERROR(Table2[[#This Row],[Importo annuale]]*VLOOKUP(Table2[[#This Row],[Ramo]],RAMI_POLIZZA,2,FALSE),0)</f>
        <v>30.835999999999999</v>
      </c>
      <c r="AH779" s="65" t="s">
        <v>113</v>
      </c>
      <c r="AI779" s="63" t="str">
        <f>IFERROR(VLOOKUP(Table2[[#This Row],[Contraente]],Table1[[Nome/Ragione sociale]:[Checkbox selezionato]],2,FALSE),"-")</f>
        <v>MONTECALO'</v>
      </c>
      <c r="AJ779" s="63">
        <f>IFERROR(VLOOKUP(Table2[[#This Row],[Contraente]],Table1[[Nome/Ragione sociale]:[Checkbox selezionato]],3,FALSE),"-")</f>
        <v>3485248779</v>
      </c>
      <c r="AK779" s="63">
        <f>IFERROR(VLOOKUP(Table2[[#This Row],[Contraente]],Table1[[Nome/Ragione sociale]:[Checkbox selezionato]],4,FALSE),"-")</f>
        <v>0</v>
      </c>
      <c r="AL779" s="63" t="str">
        <f>IFERROR(VLOOKUP(Table2[[#This Row],[Contraente]],Table1[[Nome/Ragione sociale]:[Checkbox selezionato]],5,FALSE),"-")</f>
        <v>FRANCO</v>
      </c>
      <c r="AM779" s="62">
        <f>IFERROR(VLOOKUP(Table2[[#This Row],[Contraente]],Table1[[Nome/Ragione sociale]:[Checkbox selezionato]],6,FALSE),"-")</f>
        <v>20190</v>
      </c>
      <c r="AN779" s="63" t="str">
        <f>IFERROR(VLOOKUP(Table2[[#This Row],[Contraente]],Table1[[Nome/Ragione sociale]:[Checkbox selezionato]],7,FALSE),"-")</f>
        <v>papies@libero.it</v>
      </c>
      <c r="AO779" s="63">
        <f>IFERROR(VLOOKUP(Table2[[#This Row],[Contraente]],Table1[[Nome/Ragione sociale]:[Checkbox selezionato]],8,FALSE),"-")</f>
        <v>0</v>
      </c>
      <c r="AP779" s="63">
        <f>IFERROR(VLOOKUP(Table2[[#This Row],[Contraente]],Table1[[Nome/Ragione sociale]:[Checkbox selezionato]],10,FALSE),"-")</f>
        <v>3485248779</v>
      </c>
      <c r="AQ779" s="63" t="str">
        <f>IFERROR(VLOOKUP(Table2[[#This Row],[Contraente]],Table1[[Nome/Ragione sociale]:[Checkbox selezionato]],11,FALSE),"-")</f>
        <v>SI</v>
      </c>
      <c r="AR779" s="63" t="str">
        <f>IFERROR(VLOOKUP(Table2[[#This Row],[Contraente]],Table1[[Nome/Ragione sociale]:[Checkbox selezionato]],12,FALSE),"-")</f>
        <v>SI</v>
      </c>
    </row>
    <row r="780" spans="1:44" ht="30" hidden="1" customHeight="1" x14ac:dyDescent="0.25">
      <c r="A780" s="60" t="str">
        <f>UPPER(LEFT(Table2[[#This Row],[Contraente]],1))</f>
        <v>N</v>
      </c>
      <c r="B780" s="60" t="s">
        <v>1634</v>
      </c>
      <c r="C780" s="81" t="s">
        <v>855</v>
      </c>
      <c r="D780" s="81" t="s">
        <v>37</v>
      </c>
      <c r="E780" s="86">
        <v>104684846</v>
      </c>
      <c r="F780" s="64">
        <v>42769</v>
      </c>
      <c r="G780" s="64">
        <f>IFERROR(CALCOLASCADENZA(Table2[[#This Row],[Data attivazione]],Table2[[#This Row],[Rateizzazione]],Table2[[#This Row],[Data ultimo pagamento]],Table2[[#This Row],[Data prossima scadenza manuale]]),"-")</f>
        <v>42933</v>
      </c>
      <c r="H780" s="67" t="s">
        <v>31</v>
      </c>
      <c r="I780" s="67" t="s">
        <v>1452</v>
      </c>
      <c r="J780" s="33">
        <f>IFERROR(Table2[[#This Row],[Importo annuale]]/(12/VLOOKUP(Table2[[#This Row],[Rateizzazione]],TIPI_RATEIZZAZIONI,2,FALSE)),"-")</f>
        <v>113</v>
      </c>
      <c r="K780" s="88">
        <v>113</v>
      </c>
      <c r="L780" s="88">
        <v>226</v>
      </c>
      <c r="M780" s="67" t="s">
        <v>45</v>
      </c>
      <c r="N780" s="67" t="s">
        <v>51</v>
      </c>
      <c r="O780" s="27" t="s">
        <v>1631</v>
      </c>
      <c r="P780" s="33" t="s">
        <v>22</v>
      </c>
      <c r="Q780" s="60">
        <f>IFERROR(IF(12 / VLOOKUP(Table2[[#This Row],[Rateizzazione]],TIPI_RATEIZZAZIONI,2,FALSE) &gt;=1,  IF(Table2[[#This Row],[Data attivazione]] = "","-",MONTH(Table2[[#This Row],[Data attivazione]])),"-"),"-")</f>
        <v>7</v>
      </c>
      <c r="R7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0" s="67" t="s">
        <v>2</v>
      </c>
      <c r="V780" s="62"/>
      <c r="W780" s="64">
        <v>42568</v>
      </c>
      <c r="X780" s="29">
        <f>DATE(YEAR(Table2[[#This Row],[Data attivazione]])+VLOOKUP(Table2[[#This Row],[Durata]],VALORE_DURATA,2,FALSE),MONTH(Table2[[#This Row],[Data attivazione]]),DAY(Table2[[#This Row],[Data attivazione]]))</f>
        <v>42933</v>
      </c>
      <c r="Y780" s="65"/>
      <c r="Z780" s="61"/>
      <c r="AA780" s="64" t="s">
        <v>85</v>
      </c>
      <c r="AB780" s="29" t="str">
        <f>IF(Table2[[#This Row],[Data ultimo versamento temp]]=0/1/1900,"-",Table2[[#This Row],[Data ultimo versamento temp]])</f>
        <v>-</v>
      </c>
      <c r="AC780" s="29">
        <f t="array" ref="AC780">MAX(IF(TableVersamenti[Polizza]=Table2[[#This Row],[Polizza]],TableVersamenti[Data prevista versamento],"-"))</f>
        <v>0</v>
      </c>
      <c r="AD780" s="62"/>
      <c r="AE780" s="106">
        <f>DATE(YEAR(Table2[[#This Row],[Data ultimo pagamento]]),MONTH(Table2[[#This Row],[Data ultimo pagamento]]), 1)</f>
        <v>42767</v>
      </c>
      <c r="AF780" s="106">
        <f>DATE(YEAR(Table2[[#This Row],[Data prossima scadenza]]),MONTH(Table2[[#This Row],[Data prossima scadenza]]), 1)</f>
        <v>42917</v>
      </c>
      <c r="AG780" s="33">
        <f>IFERROR(Table2[[#This Row],[Importo annuale]]*VLOOKUP(Table2[[#This Row],[Ramo]],RAMI_POLIZZA,2,FALSE),0)</f>
        <v>11.751999999999999</v>
      </c>
      <c r="AH780" s="65" t="s">
        <v>113</v>
      </c>
      <c r="AI780" s="63" t="str">
        <f>IFERROR(VLOOKUP(Table2[[#This Row],[Contraente]],Table1[[Nome/Ragione sociale]:[Checkbox selezionato]],2,FALSE),"-")</f>
        <v>MONTECALO'</v>
      </c>
      <c r="AJ780" s="63">
        <f>IFERROR(VLOOKUP(Table2[[#This Row],[Contraente]],Table1[[Nome/Ragione sociale]:[Checkbox selezionato]],3,FALSE),"-")</f>
        <v>3485248779</v>
      </c>
      <c r="AK780" s="63">
        <f>IFERROR(VLOOKUP(Table2[[#This Row],[Contraente]],Table1[[Nome/Ragione sociale]:[Checkbox selezionato]],4,FALSE),"-")</f>
        <v>0</v>
      </c>
      <c r="AL780" s="63" t="str">
        <f>IFERROR(VLOOKUP(Table2[[#This Row],[Contraente]],Table1[[Nome/Ragione sociale]:[Checkbox selezionato]],5,FALSE),"-")</f>
        <v>FRANCO</v>
      </c>
      <c r="AM780" s="62">
        <f>IFERROR(VLOOKUP(Table2[[#This Row],[Contraente]],Table1[[Nome/Ragione sociale]:[Checkbox selezionato]],6,FALSE),"-")</f>
        <v>20190</v>
      </c>
      <c r="AN780" s="63" t="str">
        <f>IFERROR(VLOOKUP(Table2[[#This Row],[Contraente]],Table1[[Nome/Ragione sociale]:[Checkbox selezionato]],7,FALSE),"-")</f>
        <v>papies@libero.it</v>
      </c>
      <c r="AO780" s="63">
        <f>IFERROR(VLOOKUP(Table2[[#This Row],[Contraente]],Table1[[Nome/Ragione sociale]:[Checkbox selezionato]],8,FALSE),"-")</f>
        <v>0</v>
      </c>
      <c r="AP780" s="63">
        <f>IFERROR(VLOOKUP(Table2[[#This Row],[Contraente]],Table1[[Nome/Ragione sociale]:[Checkbox selezionato]],10,FALSE),"-")</f>
        <v>3485248779</v>
      </c>
      <c r="AQ780" s="63" t="str">
        <f>IFERROR(VLOOKUP(Table2[[#This Row],[Contraente]],Table1[[Nome/Ragione sociale]:[Checkbox selezionato]],11,FALSE),"-")</f>
        <v>SI</v>
      </c>
      <c r="AR780" s="63" t="str">
        <f>IFERROR(VLOOKUP(Table2[[#This Row],[Contraente]],Table1[[Nome/Ragione sociale]:[Checkbox selezionato]],12,FALSE),"-")</f>
        <v>SI</v>
      </c>
    </row>
    <row r="781" spans="1:44" ht="30" hidden="1" customHeight="1" x14ac:dyDescent="0.25">
      <c r="A781" s="60" t="str">
        <f>UPPER(LEFT(Table2[[#This Row],[Contraente]],1))</f>
        <v>N</v>
      </c>
      <c r="B781" s="60" t="s">
        <v>1634</v>
      </c>
      <c r="C781" s="81" t="s">
        <v>853</v>
      </c>
      <c r="D781" s="81" t="s">
        <v>37</v>
      </c>
      <c r="E781" s="86">
        <v>103524000</v>
      </c>
      <c r="F781" s="64">
        <v>42530</v>
      </c>
      <c r="G781" s="64" t="str">
        <f>IFERROR(CALCOLASCADENZA(Table2[[#This Row],[Data attivazione]],Table2[[#This Row],[Rateizzazione]],Table2[[#This Row],[Data ultimo pagamento]],Table2[[#This Row],[Data prossima scadenza manuale]]),"-")</f>
        <v>-</v>
      </c>
      <c r="H781" s="67" t="s">
        <v>31</v>
      </c>
      <c r="I781" s="67" t="s">
        <v>1450</v>
      </c>
      <c r="J781" s="33">
        <v>-123.29</v>
      </c>
      <c r="K781" s="88"/>
      <c r="L781" s="88">
        <v>0</v>
      </c>
      <c r="M781" s="67" t="s">
        <v>43</v>
      </c>
      <c r="N781" s="67" t="s">
        <v>51</v>
      </c>
      <c r="O781" s="27" t="s">
        <v>1631</v>
      </c>
      <c r="P781" s="33" t="s">
        <v>24</v>
      </c>
      <c r="Q78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1" s="67" t="s">
        <v>2</v>
      </c>
      <c r="V781" s="62"/>
      <c r="W781" s="64" t="e">
        <v>#VALUE!</v>
      </c>
      <c r="X78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81" s="65"/>
      <c r="Z781" s="61"/>
      <c r="AA781" s="64" t="s">
        <v>85</v>
      </c>
      <c r="AB781" s="29" t="str">
        <f>IF(Table2[[#This Row],[Data ultimo versamento temp]]=0/1/1900,"-",Table2[[#This Row],[Data ultimo versamento temp]])</f>
        <v>-</v>
      </c>
      <c r="AC781" s="29">
        <f t="array" ref="AC781">MAX(IF(TableVersamenti[Polizza]=Table2[[#This Row],[Polizza]],TableVersamenti[Data prevista versamento],"-"))</f>
        <v>0</v>
      </c>
      <c r="AD781" s="62"/>
      <c r="AE781" s="106">
        <f>DATE(YEAR(Table2[[#This Row],[Data ultimo pagamento]]),MONTH(Table2[[#This Row],[Data ultimo pagamento]]), 1)</f>
        <v>42522</v>
      </c>
      <c r="AF781" s="106" t="e">
        <f>DATE(YEAR(Table2[[#This Row],[Data prossima scadenza]]),MONTH(Table2[[#This Row],[Data prossima scadenza]]), 1)</f>
        <v>#VALUE!</v>
      </c>
      <c r="AG781" s="33">
        <f>IFERROR(Table2[[#This Row],[Importo annuale]]*VLOOKUP(Table2[[#This Row],[Ramo]],RAMI_POLIZZA,2,FALSE),0)</f>
        <v>0</v>
      </c>
      <c r="AH781" s="65" t="s">
        <v>113</v>
      </c>
      <c r="AI781" s="63" t="str">
        <f>IFERROR(VLOOKUP(Table2[[#This Row],[Contraente]],Table1[[Nome/Ragione sociale]:[Checkbox selezionato]],2,FALSE),"-")</f>
        <v>CERTOSA DI PAVIA</v>
      </c>
      <c r="AJ781" s="63">
        <f>IFERROR(VLOOKUP(Table2[[#This Row],[Contraente]],Table1[[Nome/Ragione sociale]:[Checkbox selezionato]],3,FALSE),"-")</f>
        <v>3493363382</v>
      </c>
      <c r="AK781" s="63">
        <f>IFERROR(VLOOKUP(Table2[[#This Row],[Contraente]],Table1[[Nome/Ragione sociale]:[Checkbox selezionato]],4,FALSE),"-")</f>
        <v>0</v>
      </c>
      <c r="AL781" s="63" t="str">
        <f>IFERROR(VLOOKUP(Table2[[#This Row],[Contraente]],Table1[[Nome/Ragione sociale]:[Checkbox selezionato]],5,FALSE),"-")</f>
        <v>FIGLIO</v>
      </c>
      <c r="AM781" s="62" t="str">
        <f>IFERROR(VLOOKUP(Table2[[#This Row],[Contraente]],Table1[[Nome/Ragione sociale]:[Checkbox selezionato]],6,FALSE),"-")</f>
        <v>-</v>
      </c>
      <c r="AN781" s="63" t="str">
        <f>IFERROR(VLOOKUP(Table2[[#This Row],[Contraente]],Table1[[Nome/Ragione sociale]:[Checkbox selezionato]],7,FALSE),"-")</f>
        <v>papies@libero.it</v>
      </c>
      <c r="AO781" s="63">
        <f>IFERROR(VLOOKUP(Table2[[#This Row],[Contraente]],Table1[[Nome/Ragione sociale]:[Checkbox selezionato]],8,FALSE),"-")</f>
        <v>0</v>
      </c>
      <c r="AP781" s="63">
        <f>IFERROR(VLOOKUP(Table2[[#This Row],[Contraente]],Table1[[Nome/Ragione sociale]:[Checkbox selezionato]],10,FALSE),"-")</f>
        <v>3493363382</v>
      </c>
      <c r="AQ781" s="63" t="str">
        <f>IFERROR(VLOOKUP(Table2[[#This Row],[Contraente]],Table1[[Nome/Ragione sociale]:[Checkbox selezionato]],11,FALSE),"-")</f>
        <v>SI</v>
      </c>
      <c r="AR781" s="63" t="str">
        <f>IFERROR(VLOOKUP(Table2[[#This Row],[Contraente]],Table1[[Nome/Ragione sociale]:[Checkbox selezionato]],12,FALSE),"-")</f>
        <v>SI</v>
      </c>
    </row>
    <row r="782" spans="1:44" ht="30" hidden="1" customHeight="1" x14ac:dyDescent="0.25">
      <c r="A782" s="60" t="str">
        <f>UPPER(LEFT(Table2[[#This Row],[Contraente]],1))</f>
        <v>N</v>
      </c>
      <c r="B782" s="60" t="s">
        <v>1634</v>
      </c>
      <c r="C782" s="81" t="s">
        <v>851</v>
      </c>
      <c r="D782" s="81" t="s">
        <v>37</v>
      </c>
      <c r="E782" s="86">
        <v>104692020</v>
      </c>
      <c r="F782" s="64">
        <v>42572</v>
      </c>
      <c r="G782" s="64">
        <f>IFERROR(CALCOLASCADENZA(Table2[[#This Row],[Data attivazione]],Table2[[#This Row],[Rateizzazione]],Table2[[#This Row],[Data ultimo pagamento]],Table2[[#This Row],[Data prossima scadenza manuale]]),"-")</f>
        <v>42943</v>
      </c>
      <c r="H782" s="67" t="s">
        <v>30</v>
      </c>
      <c r="I782" s="67" t="s">
        <v>113</v>
      </c>
      <c r="J782" s="33">
        <f>IFERROR(Table2[[#This Row],[Importo annuale]]/(12/VLOOKUP(Table2[[#This Row],[Rateizzazione]],TIPI_RATEIZZAZIONI,2,FALSE)),"-")</f>
        <v>150</v>
      </c>
      <c r="K782" s="88"/>
      <c r="L782" s="88">
        <v>150</v>
      </c>
      <c r="M782" s="67" t="s">
        <v>44</v>
      </c>
      <c r="N782" s="67" t="s">
        <v>51</v>
      </c>
      <c r="O782" s="27" t="s">
        <v>1631</v>
      </c>
      <c r="P782" s="33" t="s">
        <v>23</v>
      </c>
      <c r="Q782" s="60">
        <f>IFERROR(IF(12 / VLOOKUP(Table2[[#This Row],[Rateizzazione]],TIPI_RATEIZZAZIONI,2,FALSE) &gt;=1,  IF(Table2[[#This Row],[Data attivazione]] = "","-",MONTH(Table2[[#This Row],[Data attivazione]])),"-"),"-")</f>
        <v>7</v>
      </c>
      <c r="R7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2" s="67" t="s">
        <v>2</v>
      </c>
      <c r="V782" s="62"/>
      <c r="W782" s="64">
        <v>42578</v>
      </c>
      <c r="X782" s="29">
        <f>DATE(YEAR(Table2[[#This Row],[Data attivazione]])+VLOOKUP(Table2[[#This Row],[Durata]],VALORE_DURATA,2,FALSE),MONTH(Table2[[#This Row],[Data attivazione]]),DAY(Table2[[#This Row],[Data attivazione]]))</f>
        <v>42943</v>
      </c>
      <c r="Y782" s="65"/>
      <c r="Z782" s="61"/>
      <c r="AA782" s="64" t="s">
        <v>85</v>
      </c>
      <c r="AB782" s="29" t="str">
        <f>IF(Table2[[#This Row],[Data ultimo versamento temp]]=0/1/1900,"-",Table2[[#This Row],[Data ultimo versamento temp]])</f>
        <v>-</v>
      </c>
      <c r="AC782" s="29">
        <f t="array" ref="AC782">MAX(IF(TableVersamenti[Polizza]=Table2[[#This Row],[Polizza]],TableVersamenti[Data prevista versamento],"-"))</f>
        <v>0</v>
      </c>
      <c r="AD782" s="62"/>
      <c r="AE782" s="106">
        <f>DATE(YEAR(Table2[[#This Row],[Data ultimo pagamento]]),MONTH(Table2[[#This Row],[Data ultimo pagamento]]), 1)</f>
        <v>42552</v>
      </c>
      <c r="AF782" s="106">
        <f>DATE(YEAR(Table2[[#This Row],[Data prossima scadenza]]),MONTH(Table2[[#This Row],[Data prossima scadenza]]), 1)</f>
        <v>42917</v>
      </c>
      <c r="AG782" s="33">
        <f>IFERROR(Table2[[#This Row],[Importo annuale]]*VLOOKUP(Table2[[#This Row],[Ramo]],RAMI_POLIZZA,2,FALSE),0)</f>
        <v>17.25</v>
      </c>
      <c r="AH782" s="65" t="s">
        <v>113</v>
      </c>
      <c r="AI782" s="63" t="str">
        <f>IFERROR(VLOOKUP(Table2[[#This Row],[Contraente]],Table1[[Nome/Ragione sociale]:[Checkbox selezionato]],2,FALSE),"-")</f>
        <v>GARLASCO</v>
      </c>
      <c r="AJ782" s="63">
        <f>IFERROR(VLOOKUP(Table2[[#This Row],[Contraente]],Table1[[Nome/Ragione sociale]:[Checkbox selezionato]],3,FALSE),"-")</f>
        <v>3383760423</v>
      </c>
      <c r="AK782" s="63">
        <f>IFERROR(VLOOKUP(Table2[[#This Row],[Contraente]],Table1[[Nome/Ragione sociale]:[Checkbox selezionato]],4,FALSE),"-")</f>
        <v>0</v>
      </c>
      <c r="AL782" s="63" t="str">
        <f>IFERROR(VLOOKUP(Table2[[#This Row],[Contraente]],Table1[[Nome/Ragione sociale]:[Checkbox selezionato]],5,FALSE),"-")</f>
        <v>COLLA</v>
      </c>
      <c r="AM782" s="62" t="str">
        <f>IFERROR(VLOOKUP(Table2[[#This Row],[Contraente]],Table1[[Nome/Ragione sociale]:[Checkbox selezionato]],6,FALSE),"-")</f>
        <v>-</v>
      </c>
      <c r="AN782" s="63" t="str">
        <f>IFERROR(VLOOKUP(Table2[[#This Row],[Contraente]],Table1[[Nome/Ragione sociale]:[Checkbox selezionato]],7,FALSE),"-")</f>
        <v>papies@email.it</v>
      </c>
      <c r="AO782" s="63">
        <f>IFERROR(VLOOKUP(Table2[[#This Row],[Contraente]],Table1[[Nome/Ragione sociale]:[Checkbox selezionato]],8,FALSE),"-")</f>
        <v>0</v>
      </c>
      <c r="AP782" s="63">
        <f>IFERROR(VLOOKUP(Table2[[#This Row],[Contraente]],Table1[[Nome/Ragione sociale]:[Checkbox selezionato]],10,FALSE),"-")</f>
        <v>3383760423</v>
      </c>
      <c r="AQ782" s="63" t="str">
        <f>IFERROR(VLOOKUP(Table2[[#This Row],[Contraente]],Table1[[Nome/Ragione sociale]:[Checkbox selezionato]],11,FALSE),"-")</f>
        <v>SI</v>
      </c>
      <c r="AR782" s="63" t="str">
        <f>IFERROR(VLOOKUP(Table2[[#This Row],[Contraente]],Table1[[Nome/Ragione sociale]:[Checkbox selezionato]],12,FALSE),"-")</f>
        <v>SI</v>
      </c>
    </row>
    <row r="783" spans="1:44" ht="30" hidden="1" customHeight="1" x14ac:dyDescent="0.25">
      <c r="A783" s="60" t="str">
        <f>UPPER(LEFT(Table2[[#This Row],[Contraente]],1))</f>
        <v>N</v>
      </c>
      <c r="B783" s="60" t="s">
        <v>1634</v>
      </c>
      <c r="C783" s="81" t="s">
        <v>848</v>
      </c>
      <c r="D783" s="81" t="s">
        <v>37</v>
      </c>
      <c r="E783" s="86">
        <v>106661845</v>
      </c>
      <c r="F783" s="64">
        <v>42817</v>
      </c>
      <c r="G783" s="64">
        <f>IFERROR(CALCOLASCADENZA(Table2[[#This Row],[Data attivazione]],Table2[[#This Row],[Rateizzazione]],Table2[[#This Row],[Data ultimo pagamento]],Table2[[#This Row],[Data prossima scadenza manuale]]),"-")</f>
        <v>43182</v>
      </c>
      <c r="H783" s="67" t="s">
        <v>30</v>
      </c>
      <c r="I783" s="67" t="s">
        <v>113</v>
      </c>
      <c r="J783" s="33">
        <f>IFERROR(Table2[[#This Row],[Importo annuale]]/(12/VLOOKUP(Table2[[#This Row],[Rateizzazione]],TIPI_RATEIZZAZIONI,2,FALSE)),"-")</f>
        <v>1566</v>
      </c>
      <c r="K783" s="88">
        <v>1566</v>
      </c>
      <c r="L783" s="88">
        <v>1566</v>
      </c>
      <c r="M783" s="67" t="s">
        <v>44</v>
      </c>
      <c r="N783" s="67" t="s">
        <v>52</v>
      </c>
      <c r="O783" s="27" t="s">
        <v>1631</v>
      </c>
      <c r="P783" s="33" t="s">
        <v>23</v>
      </c>
      <c r="Q783" s="60">
        <f>IFERROR(IF(12 / VLOOKUP(Table2[[#This Row],[Rateizzazione]],TIPI_RATEIZZAZIONI,2,FALSE) &gt;=1,  IF(Table2[[#This Row],[Data attivazione]] = "","-",MONTH(Table2[[#This Row],[Data attivazione]])),"-"),"-")</f>
        <v>3</v>
      </c>
      <c r="R7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3" s="67" t="s">
        <v>2</v>
      </c>
      <c r="V783" s="62"/>
      <c r="W783" s="64">
        <v>42817</v>
      </c>
      <c r="X783" s="29">
        <f>DATE(YEAR(Table2[[#This Row],[Data attivazione]])+VLOOKUP(Table2[[#This Row],[Durata]],VALORE_DURATA,2,FALSE),MONTH(Table2[[#This Row],[Data attivazione]]),DAY(Table2[[#This Row],[Data attivazione]]))</f>
        <v>43182</v>
      </c>
      <c r="Y783" s="65"/>
      <c r="Z783" s="61"/>
      <c r="AA783" s="64" t="s">
        <v>85</v>
      </c>
      <c r="AB783" s="29" t="str">
        <f>IF(Table2[[#This Row],[Data ultimo versamento temp]]=0/1/1900,"-",Table2[[#This Row],[Data ultimo versamento temp]])</f>
        <v>-</v>
      </c>
      <c r="AC783" s="29">
        <f t="array" ref="AC783">MAX(IF(TableVersamenti[Polizza]=Table2[[#This Row],[Polizza]],TableVersamenti[Data prevista versamento],"-"))</f>
        <v>0</v>
      </c>
      <c r="AD783" s="62"/>
      <c r="AE783" s="106">
        <f>DATE(YEAR(Table2[[#This Row],[Data ultimo pagamento]]),MONTH(Table2[[#This Row],[Data ultimo pagamento]]), 1)</f>
        <v>42795</v>
      </c>
      <c r="AF783" s="106">
        <f>DATE(YEAR(Table2[[#This Row],[Data prossima scadenza]]),MONTH(Table2[[#This Row],[Data prossima scadenza]]), 1)</f>
        <v>43160</v>
      </c>
      <c r="AG783" s="33">
        <f>IFERROR(Table2[[#This Row],[Importo annuale]]*VLOOKUP(Table2[[#This Row],[Ramo]],RAMI_POLIZZA,2,FALSE),0)</f>
        <v>180.09</v>
      </c>
      <c r="AH783" s="65" t="s">
        <v>113</v>
      </c>
      <c r="AI783" s="63" t="str">
        <f>IFERROR(VLOOKUP(Table2[[#This Row],[Contraente]],Table1[[Nome/Ragione sociale]:[Checkbox selezionato]],2,FALSE),"-")</f>
        <v>MILANO</v>
      </c>
      <c r="AJ783" s="63">
        <f>IFERROR(VLOOKUP(Table2[[#This Row],[Contraente]],Table1[[Nome/Ragione sociale]:[Checkbox selezionato]],3,FALSE),"-")</f>
        <v>3389379156</v>
      </c>
      <c r="AK783" s="63">
        <f>IFERROR(VLOOKUP(Table2[[#This Row],[Contraente]],Table1[[Nome/Ragione sociale]:[Checkbox selezionato]],4,FALSE),"-")</f>
        <v>0</v>
      </c>
      <c r="AL783" s="63" t="str">
        <f>IFERROR(VLOOKUP(Table2[[#This Row],[Contraente]],Table1[[Nome/Ragione sociale]:[Checkbox selezionato]],5,FALSE),"-")</f>
        <v>SERRA NICOLAS</v>
      </c>
      <c r="AM783" s="62" t="str">
        <f>IFERROR(VLOOKUP(Table2[[#This Row],[Contraente]],Table1[[Nome/Ragione sociale]:[Checkbox selezionato]],6,FALSE),"-")</f>
        <v>-</v>
      </c>
      <c r="AN783" s="63" t="str">
        <f>IFERROR(VLOOKUP(Table2[[#This Row],[Contraente]],Table1[[Nome/Ragione sociale]:[Checkbox selezionato]],7,FALSE),"-")</f>
        <v>papies@libero.it</v>
      </c>
      <c r="AO783" s="63">
        <f>IFERROR(VLOOKUP(Table2[[#This Row],[Contraente]],Table1[[Nome/Ragione sociale]:[Checkbox selezionato]],8,FALSE),"-")</f>
        <v>0</v>
      </c>
      <c r="AP783" s="63">
        <f>IFERROR(VLOOKUP(Table2[[#This Row],[Contraente]],Table1[[Nome/Ragione sociale]:[Checkbox selezionato]],10,FALSE),"-")</f>
        <v>3389379156</v>
      </c>
      <c r="AQ783" s="63" t="str">
        <f>IFERROR(VLOOKUP(Table2[[#This Row],[Contraente]],Table1[[Nome/Ragione sociale]:[Checkbox selezionato]],11,FALSE),"-")</f>
        <v>SI</v>
      </c>
      <c r="AR783" s="63" t="str">
        <f>IFERROR(VLOOKUP(Table2[[#This Row],[Contraente]],Table1[[Nome/Ragione sociale]:[Checkbox selezionato]],12,FALSE),"-")</f>
        <v>SI</v>
      </c>
    </row>
    <row r="784" spans="1:44" ht="30" hidden="1" customHeight="1" x14ac:dyDescent="0.25">
      <c r="A784" s="60" t="str">
        <f>UPPER(LEFT(Table2[[#This Row],[Contraente]],1))</f>
        <v>O</v>
      </c>
      <c r="B784" s="60" t="s">
        <v>1634</v>
      </c>
      <c r="C784" s="81" t="s">
        <v>857</v>
      </c>
      <c r="D784" s="81" t="s">
        <v>37</v>
      </c>
      <c r="E784" s="86">
        <v>105886127</v>
      </c>
      <c r="F784" s="64">
        <v>42578</v>
      </c>
      <c r="G784" s="64">
        <f>IFERROR(CALCOLASCADENZA(Table2[[#This Row],[Data attivazione]],Table2[[#This Row],[Rateizzazione]],Table2[[#This Row],[Data ultimo pagamento]],Table2[[#This Row],[Data prossima scadenza manuale]]),"-")</f>
        <v>42944</v>
      </c>
      <c r="H784" s="67" t="s">
        <v>30</v>
      </c>
      <c r="I784" s="67" t="s">
        <v>113</v>
      </c>
      <c r="J784" s="33">
        <f>IFERROR(Table2[[#This Row],[Importo annuale]]/(12/VLOOKUP(Table2[[#This Row],[Rateizzazione]],TIPI_RATEIZZAZIONI,2,FALSE)),"-")</f>
        <v>1800</v>
      </c>
      <c r="K784" s="88"/>
      <c r="L784" s="88">
        <v>1800</v>
      </c>
      <c r="M784" s="67" t="s">
        <v>45</v>
      </c>
      <c r="N784" s="67" t="s">
        <v>52</v>
      </c>
      <c r="O784" s="27" t="s">
        <v>1631</v>
      </c>
      <c r="P784" s="33" t="s">
        <v>23</v>
      </c>
      <c r="Q784" s="60">
        <f>IFERROR(IF(12 / VLOOKUP(Table2[[#This Row],[Rateizzazione]],TIPI_RATEIZZAZIONI,2,FALSE) &gt;=1,  IF(Table2[[#This Row],[Data attivazione]] = "","-",MONTH(Table2[[#This Row],[Data attivazione]])),"-"),"-")</f>
        <v>7</v>
      </c>
      <c r="R7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4" s="67" t="s">
        <v>2</v>
      </c>
      <c r="V784" s="62"/>
      <c r="W784" s="64">
        <v>42579</v>
      </c>
      <c r="X784" s="29">
        <f>DATE(YEAR(Table2[[#This Row],[Data attivazione]])+VLOOKUP(Table2[[#This Row],[Durata]],VALORE_DURATA,2,FALSE),MONTH(Table2[[#This Row],[Data attivazione]]),DAY(Table2[[#This Row],[Data attivazione]]))</f>
        <v>42944</v>
      </c>
      <c r="Y784" s="65"/>
      <c r="Z784" s="61"/>
      <c r="AA784" s="64" t="s">
        <v>85</v>
      </c>
      <c r="AB784" s="29" t="str">
        <f>IF(Table2[[#This Row],[Data ultimo versamento temp]]=0/1/1900,"-",Table2[[#This Row],[Data ultimo versamento temp]])</f>
        <v>-</v>
      </c>
      <c r="AC784" s="29">
        <f t="array" ref="AC784">MAX(IF(TableVersamenti[Polizza]=Table2[[#This Row],[Polizza]],TableVersamenti[Data prevista versamento],"-"))</f>
        <v>0</v>
      </c>
      <c r="AD784" s="62"/>
      <c r="AE784" s="106">
        <f>DATE(YEAR(Table2[[#This Row],[Data ultimo pagamento]]),MONTH(Table2[[#This Row],[Data ultimo pagamento]]), 1)</f>
        <v>42552</v>
      </c>
      <c r="AF784" s="106">
        <f>DATE(YEAR(Table2[[#This Row],[Data prossima scadenza]]),MONTH(Table2[[#This Row],[Data prossima scadenza]]), 1)</f>
        <v>42917</v>
      </c>
      <c r="AG784" s="33">
        <f>IFERROR(Table2[[#This Row],[Importo annuale]]*VLOOKUP(Table2[[#This Row],[Ramo]],RAMI_POLIZZA,2,FALSE),0)</f>
        <v>207</v>
      </c>
      <c r="AH784" s="65" t="s">
        <v>113</v>
      </c>
      <c r="AI784" s="63" t="str">
        <f>IFERROR(VLOOKUP(Table2[[#This Row],[Contraente]],Table1[[Nome/Ragione sociale]:[Checkbox selezionato]],2,FALSE),"-")</f>
        <v>CERANOVA</v>
      </c>
      <c r="AJ784" s="63">
        <f>IFERROR(VLOOKUP(Table2[[#This Row],[Contraente]],Table1[[Nome/Ragione sociale]:[Checkbox selezionato]],3,FALSE),"-")</f>
        <v>3383386853</v>
      </c>
      <c r="AK784" s="63">
        <f>IFERROR(VLOOKUP(Table2[[#This Row],[Contraente]],Table1[[Nome/Ragione sociale]:[Checkbox selezionato]],4,FALSE),"-")</f>
        <v>0</v>
      </c>
      <c r="AL784" s="63" t="str">
        <f>IFERROR(VLOOKUP(Table2[[#This Row],[Contraente]],Table1[[Nome/Ragione sociale]:[Checkbox selezionato]],5,FALSE),"-")</f>
        <v>OMAR E MASSIMO</v>
      </c>
      <c r="AM784" s="62" t="str">
        <f>IFERROR(VLOOKUP(Table2[[#This Row],[Contraente]],Table1[[Nome/Ragione sociale]:[Checkbox selezionato]],6,FALSE),"-")</f>
        <v>-</v>
      </c>
      <c r="AN784" s="63" t="str">
        <f>IFERROR(VLOOKUP(Table2[[#This Row],[Contraente]],Table1[[Nome/Ragione sociale]:[Checkbox selezionato]],7,FALSE),"-")</f>
        <v>papies@libero.it</v>
      </c>
      <c r="AO784" s="63">
        <f>IFERROR(VLOOKUP(Table2[[#This Row],[Contraente]],Table1[[Nome/Ragione sociale]:[Checkbox selezionato]],8,FALSE),"-")</f>
        <v>0</v>
      </c>
      <c r="AP784" s="63">
        <f>IFERROR(VLOOKUP(Table2[[#This Row],[Contraente]],Table1[[Nome/Ragione sociale]:[Checkbox selezionato]],10,FALSE),"-")</f>
        <v>3383386853</v>
      </c>
      <c r="AQ784" s="63" t="str">
        <f>IFERROR(VLOOKUP(Table2[[#This Row],[Contraente]],Table1[[Nome/Ragione sociale]:[Checkbox selezionato]],11,FALSE),"-")</f>
        <v>SI</v>
      </c>
      <c r="AR784" s="63" t="str">
        <f>IFERROR(VLOOKUP(Table2[[#This Row],[Contraente]],Table1[[Nome/Ragione sociale]:[Checkbox selezionato]],12,FALSE),"-")</f>
        <v>SI</v>
      </c>
    </row>
    <row r="785" spans="1:44" ht="30" hidden="1" customHeight="1" x14ac:dyDescent="0.25">
      <c r="A785" s="60" t="str">
        <f>UPPER(LEFT(Table2[[#This Row],[Contraente]],1))</f>
        <v>O</v>
      </c>
      <c r="B785" s="60" t="s">
        <v>1634</v>
      </c>
      <c r="C785" s="81" t="s">
        <v>861</v>
      </c>
      <c r="D785" s="81" t="s">
        <v>37</v>
      </c>
      <c r="E785" s="86">
        <v>106198848</v>
      </c>
      <c r="F785" s="64">
        <v>42816</v>
      </c>
      <c r="G785" s="64">
        <f>IFERROR(CALCOLASCADENZA(Table2[[#This Row],[Data attivazione]],Table2[[#This Row],[Rateizzazione]],Table2[[#This Row],[Data ultimo pagamento]],Table2[[#This Row],[Data prossima scadenza manuale]]),"-")</f>
        <v>42923</v>
      </c>
      <c r="H785" s="67" t="s">
        <v>31</v>
      </c>
      <c r="I785" s="67" t="s">
        <v>1453</v>
      </c>
      <c r="J785" s="33">
        <f>IFERROR(Table2[[#This Row],[Importo annuale]]/(12/VLOOKUP(Table2[[#This Row],[Rateizzazione]],TIPI_RATEIZZAZIONI,2,FALSE)),"-")</f>
        <v>258</v>
      </c>
      <c r="K785" s="88">
        <v>258</v>
      </c>
      <c r="L785" s="88">
        <v>774</v>
      </c>
      <c r="M785" s="67" t="s">
        <v>43</v>
      </c>
      <c r="N785" s="67" t="s">
        <v>52</v>
      </c>
      <c r="O785" s="27" t="s">
        <v>1631</v>
      </c>
      <c r="P785" s="33" t="s">
        <v>21</v>
      </c>
      <c r="Q785" s="60">
        <f>IFERROR(IF(12 / VLOOKUP(Table2[[#This Row],[Rateizzazione]],TIPI_RATEIZZAZIONI,2,FALSE) &gt;=1,  IF(Table2[[#This Row],[Data attivazione]] = "","-",MONTH(Table2[[#This Row],[Data attivazione]])),"-"),"-")</f>
        <v>7</v>
      </c>
      <c r="R7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78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7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5" s="67" t="s">
        <v>2</v>
      </c>
      <c r="V785" s="62"/>
      <c r="W785" s="64">
        <v>42558</v>
      </c>
      <c r="X785" s="29">
        <f>DATE(YEAR(Table2[[#This Row],[Data attivazione]])+VLOOKUP(Table2[[#This Row],[Durata]],VALORE_DURATA,2,FALSE),MONTH(Table2[[#This Row],[Data attivazione]]),DAY(Table2[[#This Row],[Data attivazione]]))</f>
        <v>42923</v>
      </c>
      <c r="Y785" s="65"/>
      <c r="Z785" s="61"/>
      <c r="AA785" s="64" t="s">
        <v>85</v>
      </c>
      <c r="AB785" s="29" t="str">
        <f>IF(Table2[[#This Row],[Data ultimo versamento temp]]=0/1/1900,"-",Table2[[#This Row],[Data ultimo versamento temp]])</f>
        <v>-</v>
      </c>
      <c r="AC785" s="29">
        <f t="array" ref="AC785">MAX(IF(TableVersamenti[Polizza]=Table2[[#This Row],[Polizza]],TableVersamenti[Data prevista versamento],"-"))</f>
        <v>0</v>
      </c>
      <c r="AD785" s="62"/>
      <c r="AE785" s="106">
        <f>DATE(YEAR(Table2[[#This Row],[Data ultimo pagamento]]),MONTH(Table2[[#This Row],[Data ultimo pagamento]]), 1)</f>
        <v>42795</v>
      </c>
      <c r="AF785" s="106">
        <f>DATE(YEAR(Table2[[#This Row],[Data prossima scadenza]]),MONTH(Table2[[#This Row],[Data prossima scadenza]]), 1)</f>
        <v>42917</v>
      </c>
      <c r="AG785" s="33">
        <f>IFERROR(Table2[[#This Row],[Importo annuale]]*VLOOKUP(Table2[[#This Row],[Ramo]],RAMI_POLIZZA,2,FALSE),0)</f>
        <v>40.247999999999998</v>
      </c>
      <c r="AH785" s="65" t="s">
        <v>113</v>
      </c>
      <c r="AI785" s="63" t="str">
        <f>IFERROR(VLOOKUP(Table2[[#This Row],[Contraente]],Table1[[Nome/Ragione sociale]:[Checkbox selezionato]],2,FALSE),"-")</f>
        <v>CERTOSA DI PAVIA</v>
      </c>
      <c r="AJ785" s="63">
        <f>IFERROR(VLOOKUP(Table2[[#This Row],[Contraente]],Table1[[Nome/Ragione sociale]:[Checkbox selezionato]],3,FALSE),"-")</f>
        <v>3426812115</v>
      </c>
      <c r="AK785" s="63">
        <f>IFERROR(VLOOKUP(Table2[[#This Row],[Contraente]],Table1[[Nome/Ragione sociale]:[Checkbox selezionato]],4,FALSE),"-")</f>
        <v>0</v>
      </c>
      <c r="AL785" s="63" t="str">
        <f>IFERROR(VLOOKUP(Table2[[#This Row],[Contraente]],Table1[[Nome/Ragione sociale]:[Checkbox selezionato]],5,FALSE),"-")</f>
        <v>AMEDEO</v>
      </c>
      <c r="AM785" s="62" t="str">
        <f>IFERROR(VLOOKUP(Table2[[#This Row],[Contraente]],Table1[[Nome/Ragione sociale]:[Checkbox selezionato]],6,FALSE),"-")</f>
        <v>-</v>
      </c>
      <c r="AN785" s="63" t="str">
        <f>IFERROR(VLOOKUP(Table2[[#This Row],[Contraente]],Table1[[Nome/Ragione sociale]:[Checkbox selezionato]],7,FALSE),"-")</f>
        <v>papies@email.it</v>
      </c>
      <c r="AO785" s="63">
        <f>IFERROR(VLOOKUP(Table2[[#This Row],[Contraente]],Table1[[Nome/Ragione sociale]:[Checkbox selezionato]],8,FALSE),"-")</f>
        <v>0</v>
      </c>
      <c r="AP785" s="63">
        <f>IFERROR(VLOOKUP(Table2[[#This Row],[Contraente]],Table1[[Nome/Ragione sociale]:[Checkbox selezionato]],10,FALSE),"-")</f>
        <v>3426812115</v>
      </c>
      <c r="AQ785" s="63" t="str">
        <f>IFERROR(VLOOKUP(Table2[[#This Row],[Contraente]],Table1[[Nome/Ragione sociale]:[Checkbox selezionato]],11,FALSE),"-")</f>
        <v>SI</v>
      </c>
      <c r="AR785" s="63" t="str">
        <f>IFERROR(VLOOKUP(Table2[[#This Row],[Contraente]],Table1[[Nome/Ragione sociale]:[Checkbox selezionato]],12,FALSE),"-")</f>
        <v>SI</v>
      </c>
    </row>
    <row r="786" spans="1:44" ht="30" hidden="1" customHeight="1" x14ac:dyDescent="0.25">
      <c r="A786" s="60" t="str">
        <f>UPPER(LEFT(Table2[[#This Row],[Contraente]],1))</f>
        <v>O</v>
      </c>
      <c r="B786" s="60" t="s">
        <v>1634</v>
      </c>
      <c r="C786" s="81" t="s">
        <v>861</v>
      </c>
      <c r="D786" s="81" t="s">
        <v>37</v>
      </c>
      <c r="E786" s="86">
        <v>106658260</v>
      </c>
      <c r="F786" s="64">
        <v>42874</v>
      </c>
      <c r="G786" s="64">
        <f>IFERROR(CALCOLASCADENZA(Table2[[#This Row],[Data attivazione]],Table2[[#This Row],[Rateizzazione]],Table2[[#This Row],[Data ultimo pagamento]],Table2[[#This Row],[Data prossima scadenza manuale]]),"-")</f>
        <v>43046</v>
      </c>
      <c r="H786" s="67" t="s">
        <v>30</v>
      </c>
      <c r="I786" s="67" t="s">
        <v>113</v>
      </c>
      <c r="J786" s="33">
        <f>IFERROR(Table2[[#This Row],[Importo annuale]]/(12/VLOOKUP(Table2[[#This Row],[Rateizzazione]],TIPI_RATEIZZAZIONI,2,FALSE)),"-")</f>
        <v>687</v>
      </c>
      <c r="K786" s="88">
        <v>786</v>
      </c>
      <c r="L786" s="88">
        <v>1374</v>
      </c>
      <c r="M786" s="67" t="s">
        <v>45</v>
      </c>
      <c r="N786" s="67" t="s">
        <v>52</v>
      </c>
      <c r="O786" s="27" t="s">
        <v>1631</v>
      </c>
      <c r="P786" s="33" t="s">
        <v>22</v>
      </c>
      <c r="Q786" s="60">
        <f>IFERROR(IF(12 / VLOOKUP(Table2[[#This Row],[Rateizzazione]],TIPI_RATEIZZAZIONI,2,FALSE) &gt;=1,  IF(Table2[[#This Row],[Data attivazione]] = "","-",MONTH(Table2[[#This Row],[Data attivazione]])),"-"),"-")</f>
        <v>11</v>
      </c>
      <c r="R7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6" s="67" t="s">
        <v>2</v>
      </c>
      <c r="V786" s="62"/>
      <c r="W786" s="64">
        <v>42681</v>
      </c>
      <c r="X786" s="29">
        <f>DATE(YEAR(Table2[[#This Row],[Data attivazione]])+VLOOKUP(Table2[[#This Row],[Durata]],VALORE_DURATA,2,FALSE),MONTH(Table2[[#This Row],[Data attivazione]]),DAY(Table2[[#This Row],[Data attivazione]]))</f>
        <v>43046</v>
      </c>
      <c r="Y786" s="65"/>
      <c r="Z786" s="61"/>
      <c r="AA786" s="64" t="s">
        <v>85</v>
      </c>
      <c r="AB786" s="29" t="str">
        <f>IF(Table2[[#This Row],[Data ultimo versamento temp]]=0/1/1900,"-",Table2[[#This Row],[Data ultimo versamento temp]])</f>
        <v>-</v>
      </c>
      <c r="AC786" s="29">
        <f t="array" ref="AC786">MAX(IF(TableVersamenti[Polizza]=Table2[[#This Row],[Polizza]],TableVersamenti[Data prevista versamento],"-"))</f>
        <v>0</v>
      </c>
      <c r="AD786" s="62"/>
      <c r="AE786" s="106">
        <f>DATE(YEAR(Table2[[#This Row],[Data ultimo pagamento]]),MONTH(Table2[[#This Row],[Data ultimo pagamento]]), 1)</f>
        <v>42856</v>
      </c>
      <c r="AF786" s="106">
        <f>DATE(YEAR(Table2[[#This Row],[Data prossima scadenza]]),MONTH(Table2[[#This Row],[Data prossima scadenza]]), 1)</f>
        <v>43040</v>
      </c>
      <c r="AG786" s="33">
        <f>IFERROR(Table2[[#This Row],[Importo annuale]]*VLOOKUP(Table2[[#This Row],[Ramo]],RAMI_POLIZZA,2,FALSE),0)</f>
        <v>158.01000000000002</v>
      </c>
      <c r="AH786" s="65" t="s">
        <v>113</v>
      </c>
      <c r="AI786" s="63" t="str">
        <f>IFERROR(VLOOKUP(Table2[[#This Row],[Contraente]],Table1[[Nome/Ragione sociale]:[Checkbox selezionato]],2,FALSE),"-")</f>
        <v>CERTOSA DI PAVIA</v>
      </c>
      <c r="AJ786" s="63">
        <f>IFERROR(VLOOKUP(Table2[[#This Row],[Contraente]],Table1[[Nome/Ragione sociale]:[Checkbox selezionato]],3,FALSE),"-")</f>
        <v>3426812115</v>
      </c>
      <c r="AK786" s="63">
        <f>IFERROR(VLOOKUP(Table2[[#This Row],[Contraente]],Table1[[Nome/Ragione sociale]:[Checkbox selezionato]],4,FALSE),"-")</f>
        <v>0</v>
      </c>
      <c r="AL786" s="63" t="str">
        <f>IFERROR(VLOOKUP(Table2[[#This Row],[Contraente]],Table1[[Nome/Ragione sociale]:[Checkbox selezionato]],5,FALSE),"-")</f>
        <v>AMEDEO</v>
      </c>
      <c r="AM786" s="62" t="str">
        <f>IFERROR(VLOOKUP(Table2[[#This Row],[Contraente]],Table1[[Nome/Ragione sociale]:[Checkbox selezionato]],6,FALSE),"-")</f>
        <v>-</v>
      </c>
      <c r="AN786" s="63" t="str">
        <f>IFERROR(VLOOKUP(Table2[[#This Row],[Contraente]],Table1[[Nome/Ragione sociale]:[Checkbox selezionato]],7,FALSE),"-")</f>
        <v>papies@email.it</v>
      </c>
      <c r="AO786" s="63">
        <f>IFERROR(VLOOKUP(Table2[[#This Row],[Contraente]],Table1[[Nome/Ragione sociale]:[Checkbox selezionato]],8,FALSE),"-")</f>
        <v>0</v>
      </c>
      <c r="AP786" s="63">
        <f>IFERROR(VLOOKUP(Table2[[#This Row],[Contraente]],Table1[[Nome/Ragione sociale]:[Checkbox selezionato]],10,FALSE),"-")</f>
        <v>3426812115</v>
      </c>
      <c r="AQ786" s="63" t="str">
        <f>IFERROR(VLOOKUP(Table2[[#This Row],[Contraente]],Table1[[Nome/Ragione sociale]:[Checkbox selezionato]],11,FALSE),"-")</f>
        <v>SI</v>
      </c>
      <c r="AR786" s="63" t="str">
        <f>IFERROR(VLOOKUP(Table2[[#This Row],[Contraente]],Table1[[Nome/Ragione sociale]:[Checkbox selezionato]],12,FALSE),"-")</f>
        <v>SI</v>
      </c>
    </row>
    <row r="787" spans="1:44" ht="30" hidden="1" customHeight="1" x14ac:dyDescent="0.25">
      <c r="A787" s="60" t="str">
        <f>UPPER(LEFT(Table2[[#This Row],[Contraente]],1))</f>
        <v>O</v>
      </c>
      <c r="B787" s="60" t="s">
        <v>1634</v>
      </c>
      <c r="C787" s="81" t="s">
        <v>861</v>
      </c>
      <c r="D787" s="81" t="s">
        <v>37</v>
      </c>
      <c r="E787" s="86">
        <v>106521138</v>
      </c>
      <c r="F787" s="64">
        <v>42779</v>
      </c>
      <c r="G787" s="64">
        <f>IFERROR(CALCOLASCADENZA(Table2[[#This Row],[Data attivazione]],Table2[[#This Row],[Rateizzazione]],Table2[[#This Row],[Data ultimo pagamento]],Table2[[#This Row],[Data prossima scadenza manuale]]),"-")</f>
        <v>42960</v>
      </c>
      <c r="H787" s="67" t="s">
        <v>31</v>
      </c>
      <c r="I787" s="67" t="s">
        <v>1454</v>
      </c>
      <c r="J787" s="33">
        <f>IFERROR(Table2[[#This Row],[Importo annuale]]/(12/VLOOKUP(Table2[[#This Row],[Rateizzazione]],TIPI_RATEIZZAZIONI,2,FALSE)),"-")</f>
        <v>620.35</v>
      </c>
      <c r="K787" s="88">
        <v>620.35</v>
      </c>
      <c r="L787" s="88">
        <v>1240.7</v>
      </c>
      <c r="M787" s="67" t="s">
        <v>44</v>
      </c>
      <c r="N787" s="67" t="s">
        <v>52</v>
      </c>
      <c r="O787" s="27" t="s">
        <v>1631</v>
      </c>
      <c r="P787" s="33" t="s">
        <v>22</v>
      </c>
      <c r="Q787" s="60">
        <f>IFERROR(IF(12 / VLOOKUP(Table2[[#This Row],[Rateizzazione]],TIPI_RATEIZZAZIONI,2,FALSE) &gt;=1,  IF(Table2[[#This Row],[Data attivazione]] = "","-",MONTH(Table2[[#This Row],[Data attivazione]])),"-"),"-")</f>
        <v>8</v>
      </c>
      <c r="R7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7" s="67" t="s">
        <v>2</v>
      </c>
      <c r="V787" s="62"/>
      <c r="W787" s="64">
        <v>42595</v>
      </c>
      <c r="X787" s="29">
        <f>DATE(YEAR(Table2[[#This Row],[Data attivazione]])+VLOOKUP(Table2[[#This Row],[Durata]],VALORE_DURATA,2,FALSE),MONTH(Table2[[#This Row],[Data attivazione]]),DAY(Table2[[#This Row],[Data attivazione]]))</f>
        <v>42960</v>
      </c>
      <c r="Y787" s="65"/>
      <c r="Z787" s="61"/>
      <c r="AA787" s="64" t="s">
        <v>85</v>
      </c>
      <c r="AB787" s="29" t="str">
        <f>IF(Table2[[#This Row],[Data ultimo versamento temp]]=0/1/1900,"-",Table2[[#This Row],[Data ultimo versamento temp]])</f>
        <v>-</v>
      </c>
      <c r="AC787" s="29">
        <f t="array" ref="AC787">MAX(IF(TableVersamenti[Polizza]=Table2[[#This Row],[Polizza]],TableVersamenti[Data prevista versamento],"-"))</f>
        <v>0</v>
      </c>
      <c r="AD787" s="62"/>
      <c r="AE787" s="106">
        <f>DATE(YEAR(Table2[[#This Row],[Data ultimo pagamento]]),MONTH(Table2[[#This Row],[Data ultimo pagamento]]), 1)</f>
        <v>42767</v>
      </c>
      <c r="AF787" s="106">
        <f>DATE(YEAR(Table2[[#This Row],[Data prossima scadenza]]),MONTH(Table2[[#This Row],[Data prossima scadenza]]), 1)</f>
        <v>42948</v>
      </c>
      <c r="AG787" s="33">
        <f>IFERROR(Table2[[#This Row],[Importo annuale]]*VLOOKUP(Table2[[#This Row],[Ramo]],RAMI_POLIZZA,2,FALSE),0)</f>
        <v>64.516400000000004</v>
      </c>
      <c r="AH787" s="65" t="s">
        <v>113</v>
      </c>
      <c r="AI787" s="63" t="str">
        <f>IFERROR(VLOOKUP(Table2[[#This Row],[Contraente]],Table1[[Nome/Ragione sociale]:[Checkbox selezionato]],2,FALSE),"-")</f>
        <v>CERTOSA DI PAVIA</v>
      </c>
      <c r="AJ787" s="63">
        <f>IFERROR(VLOOKUP(Table2[[#This Row],[Contraente]],Table1[[Nome/Ragione sociale]:[Checkbox selezionato]],3,FALSE),"-")</f>
        <v>3426812115</v>
      </c>
      <c r="AK787" s="63">
        <f>IFERROR(VLOOKUP(Table2[[#This Row],[Contraente]],Table1[[Nome/Ragione sociale]:[Checkbox selezionato]],4,FALSE),"-")</f>
        <v>0</v>
      </c>
      <c r="AL787" s="63" t="str">
        <f>IFERROR(VLOOKUP(Table2[[#This Row],[Contraente]],Table1[[Nome/Ragione sociale]:[Checkbox selezionato]],5,FALSE),"-")</f>
        <v>AMEDEO</v>
      </c>
      <c r="AM787" s="62" t="str">
        <f>IFERROR(VLOOKUP(Table2[[#This Row],[Contraente]],Table1[[Nome/Ragione sociale]:[Checkbox selezionato]],6,FALSE),"-")</f>
        <v>-</v>
      </c>
      <c r="AN787" s="63" t="str">
        <f>IFERROR(VLOOKUP(Table2[[#This Row],[Contraente]],Table1[[Nome/Ragione sociale]:[Checkbox selezionato]],7,FALSE),"-")</f>
        <v>papies@email.it</v>
      </c>
      <c r="AO787" s="63">
        <f>IFERROR(VLOOKUP(Table2[[#This Row],[Contraente]],Table1[[Nome/Ragione sociale]:[Checkbox selezionato]],8,FALSE),"-")</f>
        <v>0</v>
      </c>
      <c r="AP787" s="63">
        <f>IFERROR(VLOOKUP(Table2[[#This Row],[Contraente]],Table1[[Nome/Ragione sociale]:[Checkbox selezionato]],10,FALSE),"-")</f>
        <v>3426812115</v>
      </c>
      <c r="AQ787" s="63" t="str">
        <f>IFERROR(VLOOKUP(Table2[[#This Row],[Contraente]],Table1[[Nome/Ragione sociale]:[Checkbox selezionato]],11,FALSE),"-")</f>
        <v>SI</v>
      </c>
      <c r="AR787" s="63" t="str">
        <f>IFERROR(VLOOKUP(Table2[[#This Row],[Contraente]],Table1[[Nome/Ragione sociale]:[Checkbox selezionato]],12,FALSE),"-")</f>
        <v>SI</v>
      </c>
    </row>
    <row r="788" spans="1:44" ht="30" hidden="1" customHeight="1" x14ac:dyDescent="0.25">
      <c r="A788" s="60" t="str">
        <f>UPPER(LEFT(Table2[[#This Row],[Contraente]],1))</f>
        <v>O</v>
      </c>
      <c r="B788" s="60" t="s">
        <v>1634</v>
      </c>
      <c r="C788" s="81" t="s">
        <v>863</v>
      </c>
      <c r="D788" s="81" t="s">
        <v>37</v>
      </c>
      <c r="E788" s="86">
        <v>106342796</v>
      </c>
      <c r="F788" s="64">
        <v>42920</v>
      </c>
      <c r="G788" s="64">
        <f>IFERROR(CALCOLASCADENZA(Table2[[#This Row],[Data attivazione]],Table2[[#This Row],[Rateizzazione]],Table2[[#This Row],[Data ultimo pagamento]],Table2[[#This Row],[Data prossima scadenza manuale]]),"-")</f>
        <v>43088</v>
      </c>
      <c r="H788" s="67" t="s">
        <v>31</v>
      </c>
      <c r="I788" s="67" t="s">
        <v>1455</v>
      </c>
      <c r="J788" s="33">
        <f>IFERROR(Table2[[#This Row],[Importo annuale]]/(12/VLOOKUP(Table2[[#This Row],[Rateizzazione]],TIPI_RATEIZZAZIONI,2,FALSE)),"-")</f>
        <v>239</v>
      </c>
      <c r="K788" s="88">
        <v>239</v>
      </c>
      <c r="L788" s="88">
        <v>478</v>
      </c>
      <c r="M788" s="67" t="s">
        <v>43</v>
      </c>
      <c r="N788" s="67" t="s">
        <v>52</v>
      </c>
      <c r="O788" s="27" t="s">
        <v>1631</v>
      </c>
      <c r="P788" s="33" t="s">
        <v>22</v>
      </c>
      <c r="Q788" s="60">
        <f>IFERROR(IF(12 / VLOOKUP(Table2[[#This Row],[Rateizzazione]],TIPI_RATEIZZAZIONI,2,FALSE) &gt;=1,  IF(Table2[[#This Row],[Data attivazione]] = "","-",MONTH(Table2[[#This Row],[Data attivazione]])),"-"),"-")</f>
        <v>12</v>
      </c>
      <c r="R7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8" s="67" t="s">
        <v>2</v>
      </c>
      <c r="V788" s="62"/>
      <c r="W788" s="64">
        <v>42723</v>
      </c>
      <c r="X788" s="29">
        <f>DATE(YEAR(Table2[[#This Row],[Data attivazione]])+VLOOKUP(Table2[[#This Row],[Durata]],VALORE_DURATA,2,FALSE),MONTH(Table2[[#This Row],[Data attivazione]]),DAY(Table2[[#This Row],[Data attivazione]]))</f>
        <v>43088</v>
      </c>
      <c r="Y788" s="65"/>
      <c r="Z788" s="61"/>
      <c r="AA788" s="64" t="s">
        <v>85</v>
      </c>
      <c r="AB788" s="29">
        <f>IF(Table2[[#This Row],[Data ultimo versamento temp]]=0/1/1900,"-",Table2[[#This Row],[Data ultimo versamento temp]])</f>
        <v>42923</v>
      </c>
      <c r="AC788" s="29">
        <f t="array" ref="AC788">MAX(IF(TableVersamenti[Polizza]=Table2[[#This Row],[Polizza]],TableVersamenti[Data prevista versamento],"-"))</f>
        <v>42923</v>
      </c>
      <c r="AD788" s="62"/>
      <c r="AE788" s="106">
        <f>DATE(YEAR(Table2[[#This Row],[Data ultimo pagamento]]),MONTH(Table2[[#This Row],[Data ultimo pagamento]]), 1)</f>
        <v>42917</v>
      </c>
      <c r="AF788" s="106">
        <f>DATE(YEAR(Table2[[#This Row],[Data prossima scadenza]]),MONTH(Table2[[#This Row],[Data prossima scadenza]]), 1)</f>
        <v>43070</v>
      </c>
      <c r="AG788" s="33">
        <f>IFERROR(Table2[[#This Row],[Importo annuale]]*VLOOKUP(Table2[[#This Row],[Ramo]],RAMI_POLIZZA,2,FALSE),0)</f>
        <v>24.855999999999998</v>
      </c>
      <c r="AH788" s="65" t="s">
        <v>113</v>
      </c>
      <c r="AI788" s="63" t="str">
        <f>IFERROR(VLOOKUP(Table2[[#This Row],[Contraente]],Table1[[Nome/Ragione sociale]:[Checkbox selezionato]],2,FALSE),"-")</f>
        <v>GRAGNANO TREBBIENSE</v>
      </c>
      <c r="AJ788" s="63">
        <f>IFERROR(VLOOKUP(Table2[[#This Row],[Contraente]],Table1[[Nome/Ragione sociale]:[Checkbox selezionato]],3,FALSE),"-")</f>
        <v>0</v>
      </c>
      <c r="AK788" s="63">
        <f>IFERROR(VLOOKUP(Table2[[#This Row],[Contraente]],Table1[[Nome/Ragione sociale]:[Checkbox selezionato]],4,FALSE),"-")</f>
        <v>0</v>
      </c>
      <c r="AL788" s="63" t="str">
        <f>IFERROR(VLOOKUP(Table2[[#This Row],[Contraente]],Table1[[Nome/Ragione sociale]:[Checkbox selezionato]],5,FALSE),"-")</f>
        <v>ALFREDO</v>
      </c>
      <c r="AM788" s="62" t="str">
        <f>IFERROR(VLOOKUP(Table2[[#This Row],[Contraente]],Table1[[Nome/Ragione sociale]:[Checkbox selezionato]],6,FALSE),"-")</f>
        <v>-</v>
      </c>
      <c r="AN788" s="63" t="str">
        <f>IFERROR(VLOOKUP(Table2[[#This Row],[Contraente]],Table1[[Nome/Ragione sociale]:[Checkbox selezionato]],7,FALSE),"-")</f>
        <v>papies@libero.it</v>
      </c>
      <c r="AO788" s="63">
        <f>IFERROR(VLOOKUP(Table2[[#This Row],[Contraente]],Table1[[Nome/Ragione sociale]:[Checkbox selezionato]],8,FALSE),"-")</f>
        <v>0</v>
      </c>
      <c r="AP788" s="63">
        <f>IFERROR(VLOOKUP(Table2[[#This Row],[Contraente]],Table1[[Nome/Ragione sociale]:[Checkbox selezionato]],10,FALSE),"-")</f>
        <v>0</v>
      </c>
      <c r="AQ788" s="63" t="str">
        <f>IFERROR(VLOOKUP(Table2[[#This Row],[Contraente]],Table1[[Nome/Ragione sociale]:[Checkbox selezionato]],11,FALSE),"-")</f>
        <v>SI</v>
      </c>
      <c r="AR788" s="63" t="str">
        <f>IFERROR(VLOOKUP(Table2[[#This Row],[Contraente]],Table1[[Nome/Ragione sociale]:[Checkbox selezionato]],12,FALSE),"-")</f>
        <v>SI</v>
      </c>
    </row>
    <row r="789" spans="1:44" ht="30" hidden="1" customHeight="1" x14ac:dyDescent="0.25">
      <c r="A789" s="60" t="str">
        <f>UPPER(LEFT(Table2[[#This Row],[Contraente]],1))</f>
        <v>O</v>
      </c>
      <c r="B789" s="60" t="s">
        <v>1634</v>
      </c>
      <c r="C789" s="81" t="s">
        <v>860</v>
      </c>
      <c r="D789" s="81" t="s">
        <v>37</v>
      </c>
      <c r="E789" s="86">
        <v>105411720</v>
      </c>
      <c r="F789" s="64">
        <v>42810</v>
      </c>
      <c r="G789" s="64">
        <f>IFERROR(CALCOLASCADENZA(Table2[[#This Row],[Data attivazione]],Table2[[#This Row],[Rateizzazione]],Table2[[#This Row],[Data ultimo pagamento]],Table2[[#This Row],[Data prossima scadenza manuale]]),"-")</f>
        <v>43177</v>
      </c>
      <c r="H789" s="67" t="s">
        <v>30</v>
      </c>
      <c r="I789" s="67" t="s">
        <v>113</v>
      </c>
      <c r="J789" s="33">
        <f>IFERROR(Table2[[#This Row],[Importo annuale]]/(12/VLOOKUP(Table2[[#This Row],[Rateizzazione]],TIPI_RATEIZZAZIONI,2,FALSE)),"-")</f>
        <v>250</v>
      </c>
      <c r="K789" s="88">
        <v>250</v>
      </c>
      <c r="L789" s="88">
        <v>250</v>
      </c>
      <c r="M789" s="67" t="s">
        <v>44</v>
      </c>
      <c r="N789" s="67" t="s">
        <v>51</v>
      </c>
      <c r="O789" s="27" t="s">
        <v>1631</v>
      </c>
      <c r="P789" s="33" t="s">
        <v>23</v>
      </c>
      <c r="Q789" s="60">
        <f>IFERROR(IF(12 / VLOOKUP(Table2[[#This Row],[Rateizzazione]],TIPI_RATEIZZAZIONI,2,FALSE) &gt;=1,  IF(Table2[[#This Row],[Data attivazione]] = "","-",MONTH(Table2[[#This Row],[Data attivazione]])),"-"),"-")</f>
        <v>3</v>
      </c>
      <c r="R7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9" s="67" t="s">
        <v>2</v>
      </c>
      <c r="V789" s="62"/>
      <c r="W789" s="64">
        <v>42812</v>
      </c>
      <c r="X789" s="29">
        <f>DATE(YEAR(Table2[[#This Row],[Data attivazione]])+VLOOKUP(Table2[[#This Row],[Durata]],VALORE_DURATA,2,FALSE),MONTH(Table2[[#This Row],[Data attivazione]]),DAY(Table2[[#This Row],[Data attivazione]]))</f>
        <v>43177</v>
      </c>
      <c r="Y789" s="65"/>
      <c r="Z789" s="61"/>
      <c r="AA789" s="64" t="s">
        <v>85</v>
      </c>
      <c r="AB789" s="29" t="str">
        <f>IF(Table2[[#This Row],[Data ultimo versamento temp]]=0/1/1900,"-",Table2[[#This Row],[Data ultimo versamento temp]])</f>
        <v>-</v>
      </c>
      <c r="AC789" s="29">
        <f t="array" ref="AC789">MAX(IF(TableVersamenti[Polizza]=Table2[[#This Row],[Polizza]],TableVersamenti[Data prevista versamento],"-"))</f>
        <v>0</v>
      </c>
      <c r="AD789" s="62"/>
      <c r="AE789" s="106">
        <f>DATE(YEAR(Table2[[#This Row],[Data ultimo pagamento]]),MONTH(Table2[[#This Row],[Data ultimo pagamento]]), 1)</f>
        <v>42795</v>
      </c>
      <c r="AF789" s="106">
        <f>DATE(YEAR(Table2[[#This Row],[Data prossima scadenza]]),MONTH(Table2[[#This Row],[Data prossima scadenza]]), 1)</f>
        <v>43160</v>
      </c>
      <c r="AG789" s="33">
        <f>IFERROR(Table2[[#This Row],[Importo annuale]]*VLOOKUP(Table2[[#This Row],[Ramo]],RAMI_POLIZZA,2,FALSE),0)</f>
        <v>28.75</v>
      </c>
      <c r="AH789" s="65" t="s">
        <v>113</v>
      </c>
      <c r="AI789" s="63" t="str">
        <f>IFERROR(VLOOKUP(Table2[[#This Row],[Contraente]],Table1[[Nome/Ragione sociale]:[Checkbox selezionato]],2,FALSE),"-")</f>
        <v>CORTEOLONA</v>
      </c>
      <c r="AJ789" s="63">
        <f>IFERROR(VLOOKUP(Table2[[#This Row],[Contraente]],Table1[[Nome/Ragione sociale]:[Checkbox selezionato]],3,FALSE),"-")</f>
        <v>3470111682</v>
      </c>
      <c r="AK789" s="63">
        <f>IFERROR(VLOOKUP(Table2[[#This Row],[Contraente]],Table1[[Nome/Ragione sociale]:[Checkbox selezionato]],4,FALSE),"-")</f>
        <v>3493841408</v>
      </c>
      <c r="AL789" s="63">
        <f>IFERROR(VLOOKUP(Table2[[#This Row],[Contraente]],Table1[[Nome/Ragione sociale]:[Checkbox selezionato]],5,FALSE),"-")</f>
        <v>0</v>
      </c>
      <c r="AM789" s="62">
        <f>IFERROR(VLOOKUP(Table2[[#This Row],[Contraente]],Table1[[Nome/Ragione sociale]:[Checkbox selezionato]],6,FALSE),"-")</f>
        <v>0</v>
      </c>
      <c r="AN789" s="63" t="str">
        <f>IFERROR(VLOOKUP(Table2[[#This Row],[Contraente]],Table1[[Nome/Ragione sociale]:[Checkbox selezionato]],7,FALSE),"-")</f>
        <v>papies@libero.it</v>
      </c>
      <c r="AO789" s="63">
        <f>IFERROR(VLOOKUP(Table2[[#This Row],[Contraente]],Table1[[Nome/Ragione sociale]:[Checkbox selezionato]],8,FALSE),"-")</f>
        <v>0</v>
      </c>
      <c r="AP789" s="63">
        <f>IFERROR(VLOOKUP(Table2[[#This Row],[Contraente]],Table1[[Nome/Ragione sociale]:[Checkbox selezionato]],10,FALSE),"-")</f>
        <v>3470111682</v>
      </c>
      <c r="AQ789" s="63" t="str">
        <f>IFERROR(VLOOKUP(Table2[[#This Row],[Contraente]],Table1[[Nome/Ragione sociale]:[Checkbox selezionato]],11,FALSE),"-")</f>
        <v>SI</v>
      </c>
      <c r="AR789" s="63" t="str">
        <f>IFERROR(VLOOKUP(Table2[[#This Row],[Contraente]],Table1[[Nome/Ragione sociale]:[Checkbox selezionato]],12,FALSE),"-")</f>
        <v>SI</v>
      </c>
    </row>
    <row r="790" spans="1:44" ht="30" hidden="1" customHeight="1" x14ac:dyDescent="0.25">
      <c r="A790" s="60" t="str">
        <f>UPPER(LEFT(Table2[[#This Row],[Contraente]],1))</f>
        <v>O</v>
      </c>
      <c r="B790" s="60" t="s">
        <v>1634</v>
      </c>
      <c r="C790" s="81" t="s">
        <v>860</v>
      </c>
      <c r="D790" s="81" t="s">
        <v>37</v>
      </c>
      <c r="E790" s="86">
        <v>105407952</v>
      </c>
      <c r="F790" s="64">
        <v>42810</v>
      </c>
      <c r="G790" s="64">
        <f>IFERROR(CALCOLASCADENZA(Table2[[#This Row],[Data attivazione]],Table2[[#This Row],[Rateizzazione]],Table2[[#This Row],[Data ultimo pagamento]],Table2[[#This Row],[Data prossima scadenza manuale]]),"-")</f>
        <v>43177</v>
      </c>
      <c r="H790" s="67" t="s">
        <v>30</v>
      </c>
      <c r="I790" s="67" t="s">
        <v>113</v>
      </c>
      <c r="J790" s="33">
        <f>IFERROR(Table2[[#This Row],[Importo annuale]]/(12/VLOOKUP(Table2[[#This Row],[Rateizzazione]],TIPI_RATEIZZAZIONI,2,FALSE)),"-")</f>
        <v>250</v>
      </c>
      <c r="K790" s="88">
        <v>250</v>
      </c>
      <c r="L790" s="88">
        <v>250</v>
      </c>
      <c r="M790" s="67" t="s">
        <v>44</v>
      </c>
      <c r="N790" s="67" t="s">
        <v>51</v>
      </c>
      <c r="O790" s="27" t="s">
        <v>1631</v>
      </c>
      <c r="P790" s="33" t="s">
        <v>23</v>
      </c>
      <c r="Q790" s="60">
        <f>IFERROR(IF(12 / VLOOKUP(Table2[[#This Row],[Rateizzazione]],TIPI_RATEIZZAZIONI,2,FALSE) &gt;=1,  IF(Table2[[#This Row],[Data attivazione]] = "","-",MONTH(Table2[[#This Row],[Data attivazione]])),"-"),"-")</f>
        <v>3</v>
      </c>
      <c r="R7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0" s="67" t="s">
        <v>2</v>
      </c>
      <c r="V790" s="62"/>
      <c r="W790" s="64">
        <v>42812</v>
      </c>
      <c r="X790" s="29">
        <f>DATE(YEAR(Table2[[#This Row],[Data attivazione]])+VLOOKUP(Table2[[#This Row],[Durata]],VALORE_DURATA,2,FALSE),MONTH(Table2[[#This Row],[Data attivazione]]),DAY(Table2[[#This Row],[Data attivazione]]))</f>
        <v>43177</v>
      </c>
      <c r="Y790" s="65"/>
      <c r="Z790" s="61"/>
      <c r="AA790" s="64" t="s">
        <v>85</v>
      </c>
      <c r="AB790" s="29" t="str">
        <f>IF(Table2[[#This Row],[Data ultimo versamento temp]]=0/1/1900,"-",Table2[[#This Row],[Data ultimo versamento temp]])</f>
        <v>-</v>
      </c>
      <c r="AC790" s="29">
        <f t="array" ref="AC790">MAX(IF(TableVersamenti[Polizza]=Table2[[#This Row],[Polizza]],TableVersamenti[Data prevista versamento],"-"))</f>
        <v>0</v>
      </c>
      <c r="AD790" s="62"/>
      <c r="AE790" s="106">
        <f>DATE(YEAR(Table2[[#This Row],[Data ultimo pagamento]]),MONTH(Table2[[#This Row],[Data ultimo pagamento]]), 1)</f>
        <v>42795</v>
      </c>
      <c r="AF790" s="106">
        <f>DATE(YEAR(Table2[[#This Row],[Data prossima scadenza]]),MONTH(Table2[[#This Row],[Data prossima scadenza]]), 1)</f>
        <v>43160</v>
      </c>
      <c r="AG790" s="33">
        <f>IFERROR(Table2[[#This Row],[Importo annuale]]*VLOOKUP(Table2[[#This Row],[Ramo]],RAMI_POLIZZA,2,FALSE),0)</f>
        <v>28.75</v>
      </c>
      <c r="AH790" s="65" t="s">
        <v>113</v>
      </c>
      <c r="AI790" s="63" t="str">
        <f>IFERROR(VLOOKUP(Table2[[#This Row],[Contraente]],Table1[[Nome/Ragione sociale]:[Checkbox selezionato]],2,FALSE),"-")</f>
        <v>CORTEOLONA</v>
      </c>
      <c r="AJ790" s="63">
        <f>IFERROR(VLOOKUP(Table2[[#This Row],[Contraente]],Table1[[Nome/Ragione sociale]:[Checkbox selezionato]],3,FALSE),"-")</f>
        <v>3470111682</v>
      </c>
      <c r="AK790" s="63">
        <f>IFERROR(VLOOKUP(Table2[[#This Row],[Contraente]],Table1[[Nome/Ragione sociale]:[Checkbox selezionato]],4,FALSE),"-")</f>
        <v>3493841408</v>
      </c>
      <c r="AL790" s="63">
        <f>IFERROR(VLOOKUP(Table2[[#This Row],[Contraente]],Table1[[Nome/Ragione sociale]:[Checkbox selezionato]],5,FALSE),"-")</f>
        <v>0</v>
      </c>
      <c r="AM790" s="62">
        <f>IFERROR(VLOOKUP(Table2[[#This Row],[Contraente]],Table1[[Nome/Ragione sociale]:[Checkbox selezionato]],6,FALSE),"-")</f>
        <v>0</v>
      </c>
      <c r="AN790" s="63" t="str">
        <f>IFERROR(VLOOKUP(Table2[[#This Row],[Contraente]],Table1[[Nome/Ragione sociale]:[Checkbox selezionato]],7,FALSE),"-")</f>
        <v>papies@libero.it</v>
      </c>
      <c r="AO790" s="63">
        <f>IFERROR(VLOOKUP(Table2[[#This Row],[Contraente]],Table1[[Nome/Ragione sociale]:[Checkbox selezionato]],8,FALSE),"-")</f>
        <v>0</v>
      </c>
      <c r="AP790" s="63">
        <f>IFERROR(VLOOKUP(Table2[[#This Row],[Contraente]],Table1[[Nome/Ragione sociale]:[Checkbox selezionato]],10,FALSE),"-")</f>
        <v>3470111682</v>
      </c>
      <c r="AQ790" s="63" t="str">
        <f>IFERROR(VLOOKUP(Table2[[#This Row],[Contraente]],Table1[[Nome/Ragione sociale]:[Checkbox selezionato]],11,FALSE),"-")</f>
        <v>SI</v>
      </c>
      <c r="AR790" s="63" t="str">
        <f>IFERROR(VLOOKUP(Table2[[#This Row],[Contraente]],Table1[[Nome/Ragione sociale]:[Checkbox selezionato]],12,FALSE),"-")</f>
        <v>SI</v>
      </c>
    </row>
    <row r="791" spans="1:44" ht="30" hidden="1" customHeight="1" x14ac:dyDescent="0.25">
      <c r="A791" s="60" t="str">
        <f>UPPER(LEFT(Table2[[#This Row],[Contraente]],1))</f>
        <v>P</v>
      </c>
      <c r="B791" s="60" t="s">
        <v>1634</v>
      </c>
      <c r="C791" s="81" t="s">
        <v>864</v>
      </c>
      <c r="D791" s="81" t="s">
        <v>37</v>
      </c>
      <c r="E791" s="86">
        <v>106533070</v>
      </c>
      <c r="F791" s="64">
        <v>42782</v>
      </c>
      <c r="G791" s="64">
        <f>IFERROR(CALCOLASCADENZA(Table2[[#This Row],[Data attivazione]],Table2[[#This Row],[Rateizzazione]],Table2[[#This Row],[Data ultimo pagamento]],Table2[[#This Row],[Data prossima scadenza manuale]]),"-")</f>
        <v>43147</v>
      </c>
      <c r="H791" s="67" t="s">
        <v>30</v>
      </c>
      <c r="I791" s="67" t="s">
        <v>113</v>
      </c>
      <c r="J791" s="33">
        <f>IFERROR(Table2[[#This Row],[Importo annuale]]/(12/VLOOKUP(Table2[[#This Row],[Rateizzazione]],TIPI_RATEIZZAZIONI,2,FALSE)),"-")</f>
        <v>849</v>
      </c>
      <c r="K791" s="88">
        <v>849</v>
      </c>
      <c r="L791" s="88">
        <v>849</v>
      </c>
      <c r="M791" s="67" t="s">
        <v>44</v>
      </c>
      <c r="N791" s="67" t="s">
        <v>51</v>
      </c>
      <c r="O791" s="27" t="s">
        <v>1631</v>
      </c>
      <c r="P791" s="33" t="s">
        <v>23</v>
      </c>
      <c r="Q791" s="60">
        <f>IFERROR(IF(12 / VLOOKUP(Table2[[#This Row],[Rateizzazione]],TIPI_RATEIZZAZIONI,2,FALSE) &gt;=1,  IF(Table2[[#This Row],[Data attivazione]] = "","-",MONTH(Table2[[#This Row],[Data attivazione]])),"-"),"-")</f>
        <v>2</v>
      </c>
      <c r="R7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1" s="67" t="s">
        <v>2</v>
      </c>
      <c r="V791" s="62"/>
      <c r="W791" s="64">
        <v>42782</v>
      </c>
      <c r="X791" s="29">
        <f>DATE(YEAR(Table2[[#This Row],[Data attivazione]])+VLOOKUP(Table2[[#This Row],[Durata]],VALORE_DURATA,2,FALSE),MONTH(Table2[[#This Row],[Data attivazione]]),DAY(Table2[[#This Row],[Data attivazione]]))</f>
        <v>43147</v>
      </c>
      <c r="Y791" s="65"/>
      <c r="Z791" s="61"/>
      <c r="AA791" s="64" t="s">
        <v>85</v>
      </c>
      <c r="AB791" s="29" t="str">
        <f>IF(Table2[[#This Row],[Data ultimo versamento temp]]=0/1/1900,"-",Table2[[#This Row],[Data ultimo versamento temp]])</f>
        <v>-</v>
      </c>
      <c r="AC791" s="29">
        <f t="array" ref="AC791">MAX(IF(TableVersamenti[Polizza]=Table2[[#This Row],[Polizza]],TableVersamenti[Data prevista versamento],"-"))</f>
        <v>0</v>
      </c>
      <c r="AD791" s="62"/>
      <c r="AE791" s="106">
        <f>DATE(YEAR(Table2[[#This Row],[Data ultimo pagamento]]),MONTH(Table2[[#This Row],[Data ultimo pagamento]]), 1)</f>
        <v>42767</v>
      </c>
      <c r="AF791" s="106">
        <f>DATE(YEAR(Table2[[#This Row],[Data prossima scadenza]]),MONTH(Table2[[#This Row],[Data prossima scadenza]]), 1)</f>
        <v>43132</v>
      </c>
      <c r="AG791" s="33">
        <f>IFERROR(Table2[[#This Row],[Importo annuale]]*VLOOKUP(Table2[[#This Row],[Ramo]],RAMI_POLIZZA,2,FALSE),0)</f>
        <v>97.635000000000005</v>
      </c>
      <c r="AH791" s="65" t="s">
        <v>113</v>
      </c>
      <c r="AI791" s="63" t="str">
        <f>IFERROR(VLOOKUP(Table2[[#This Row],[Contraente]],Table1[[Nome/Ragione sociale]:[Checkbox selezionato]],2,FALSE),"-")</f>
        <v>FILIGHERA</v>
      </c>
      <c r="AJ791" s="63" t="str">
        <f>IFERROR(VLOOKUP(Table2[[#This Row],[Contraente]],Table1[[Nome/Ragione sociale]:[Checkbox selezionato]],3,FALSE),"-")</f>
        <v>-</v>
      </c>
      <c r="AK791" s="63" t="str">
        <f>IFERROR(VLOOKUP(Table2[[#This Row],[Contraente]],Table1[[Nome/Ragione sociale]:[Checkbox selezionato]],4,FALSE),"-")</f>
        <v>.0382969336</v>
      </c>
      <c r="AL791" s="63" t="str">
        <f>IFERROR(VLOOKUP(Table2[[#This Row],[Contraente]],Table1[[Nome/Ragione sociale]:[Checkbox selezionato]],5,FALSE),"-")</f>
        <v>-</v>
      </c>
      <c r="AM791" s="62" t="str">
        <f>IFERROR(VLOOKUP(Table2[[#This Row],[Contraente]],Table1[[Nome/Ragione sociale]:[Checkbox selezionato]],6,FALSE),"-")</f>
        <v>-</v>
      </c>
      <c r="AN791" s="63" t="str">
        <f>IFERROR(VLOOKUP(Table2[[#This Row],[Contraente]],Table1[[Nome/Ragione sociale]:[Checkbox selezionato]],7,FALSE),"-")</f>
        <v>papies@email.it</v>
      </c>
      <c r="AO791" s="63">
        <f>IFERROR(VLOOKUP(Table2[[#This Row],[Contraente]],Table1[[Nome/Ragione sociale]:[Checkbox selezionato]],8,FALSE),"-")</f>
        <v>0</v>
      </c>
      <c r="AP791" s="63" t="str">
        <f>IFERROR(VLOOKUP(Table2[[#This Row],[Contraente]],Table1[[Nome/Ragione sociale]:[Checkbox selezionato]],10,FALSE),"-")</f>
        <v>-</v>
      </c>
      <c r="AQ791" s="63" t="str">
        <f>IFERROR(VLOOKUP(Table2[[#This Row],[Contraente]],Table1[[Nome/Ragione sociale]:[Checkbox selezionato]],11,FALSE),"-")</f>
        <v>SI</v>
      </c>
      <c r="AR791" s="63" t="str">
        <f>IFERROR(VLOOKUP(Table2[[#This Row],[Contraente]],Table1[[Nome/Ragione sociale]:[Checkbox selezionato]],12,FALSE),"-")</f>
        <v>SI</v>
      </c>
    </row>
    <row r="792" spans="1:44" ht="30" hidden="1" customHeight="1" x14ac:dyDescent="0.25">
      <c r="A792" s="60" t="str">
        <f>UPPER(LEFT(Table2[[#This Row],[Contraente]],1))</f>
        <v>P</v>
      </c>
      <c r="B792" s="60" t="s">
        <v>1634</v>
      </c>
      <c r="C792" s="81" t="s">
        <v>864</v>
      </c>
      <c r="D792" s="81" t="s">
        <v>37</v>
      </c>
      <c r="E792" s="86">
        <v>100714462</v>
      </c>
      <c r="F792" s="64">
        <v>42580</v>
      </c>
      <c r="G792" s="64">
        <f>IFERROR(CALCOLASCADENZA(Table2[[#This Row],[Data attivazione]],Table2[[#This Row],[Rateizzazione]],Table2[[#This Row],[Data ultimo pagamento]],Table2[[#This Row],[Data prossima scadenza manuale]]),"-")</f>
        <v>42946</v>
      </c>
      <c r="H792" s="67" t="s">
        <v>30</v>
      </c>
      <c r="I792" s="67" t="s">
        <v>113</v>
      </c>
      <c r="J792" s="33">
        <f>IFERROR(Table2[[#This Row],[Importo annuale]]/(12/VLOOKUP(Table2[[#This Row],[Rateizzazione]],TIPI_RATEIZZAZIONI,2,FALSE)),"-")</f>
        <v>1420</v>
      </c>
      <c r="K792" s="88"/>
      <c r="L792" s="88">
        <v>1420</v>
      </c>
      <c r="M792" s="67" t="s">
        <v>44</v>
      </c>
      <c r="N792" s="67" t="s">
        <v>51</v>
      </c>
      <c r="O792" s="27" t="s">
        <v>1631</v>
      </c>
      <c r="P792" s="33" t="s">
        <v>23</v>
      </c>
      <c r="Q792" s="60">
        <f>IFERROR(IF(12 / VLOOKUP(Table2[[#This Row],[Rateizzazione]],TIPI_RATEIZZAZIONI,2,FALSE) &gt;=1,  IF(Table2[[#This Row],[Data attivazione]] = "","-",MONTH(Table2[[#This Row],[Data attivazione]])),"-"),"-")</f>
        <v>7</v>
      </c>
      <c r="R7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2" s="67" t="s">
        <v>2</v>
      </c>
      <c r="V792" s="62"/>
      <c r="W792" s="64">
        <v>42581</v>
      </c>
      <c r="X792" s="29">
        <f>DATE(YEAR(Table2[[#This Row],[Data attivazione]])+VLOOKUP(Table2[[#This Row],[Durata]],VALORE_DURATA,2,FALSE),MONTH(Table2[[#This Row],[Data attivazione]]),DAY(Table2[[#This Row],[Data attivazione]]))</f>
        <v>42946</v>
      </c>
      <c r="Y792" s="65"/>
      <c r="Z792" s="61"/>
      <c r="AA792" s="64" t="s">
        <v>85</v>
      </c>
      <c r="AB792" s="29" t="str">
        <f>IF(Table2[[#This Row],[Data ultimo versamento temp]]=0/1/1900,"-",Table2[[#This Row],[Data ultimo versamento temp]])</f>
        <v>-</v>
      </c>
      <c r="AC792" s="29">
        <f t="array" ref="AC792">MAX(IF(TableVersamenti[Polizza]=Table2[[#This Row],[Polizza]],TableVersamenti[Data prevista versamento],"-"))</f>
        <v>0</v>
      </c>
      <c r="AD792" s="62"/>
      <c r="AE792" s="106">
        <f>DATE(YEAR(Table2[[#This Row],[Data ultimo pagamento]]),MONTH(Table2[[#This Row],[Data ultimo pagamento]]), 1)</f>
        <v>42552</v>
      </c>
      <c r="AF792" s="106">
        <f>DATE(YEAR(Table2[[#This Row],[Data prossima scadenza]]),MONTH(Table2[[#This Row],[Data prossima scadenza]]), 1)</f>
        <v>42917</v>
      </c>
      <c r="AG792" s="33">
        <f>IFERROR(Table2[[#This Row],[Importo annuale]]*VLOOKUP(Table2[[#This Row],[Ramo]],RAMI_POLIZZA,2,FALSE),0)</f>
        <v>163.30000000000001</v>
      </c>
      <c r="AH792" s="65" t="s">
        <v>113</v>
      </c>
      <c r="AI792" s="63" t="str">
        <f>IFERROR(VLOOKUP(Table2[[#This Row],[Contraente]],Table1[[Nome/Ragione sociale]:[Checkbox selezionato]],2,FALSE),"-")</f>
        <v>FILIGHERA</v>
      </c>
      <c r="AJ792" s="63" t="str">
        <f>IFERROR(VLOOKUP(Table2[[#This Row],[Contraente]],Table1[[Nome/Ragione sociale]:[Checkbox selezionato]],3,FALSE),"-")</f>
        <v>-</v>
      </c>
      <c r="AK792" s="63" t="str">
        <f>IFERROR(VLOOKUP(Table2[[#This Row],[Contraente]],Table1[[Nome/Ragione sociale]:[Checkbox selezionato]],4,FALSE),"-")</f>
        <v>.0382969336</v>
      </c>
      <c r="AL792" s="63" t="str">
        <f>IFERROR(VLOOKUP(Table2[[#This Row],[Contraente]],Table1[[Nome/Ragione sociale]:[Checkbox selezionato]],5,FALSE),"-")</f>
        <v>-</v>
      </c>
      <c r="AM792" s="62" t="str">
        <f>IFERROR(VLOOKUP(Table2[[#This Row],[Contraente]],Table1[[Nome/Ragione sociale]:[Checkbox selezionato]],6,FALSE),"-")</f>
        <v>-</v>
      </c>
      <c r="AN792" s="63" t="str">
        <f>IFERROR(VLOOKUP(Table2[[#This Row],[Contraente]],Table1[[Nome/Ragione sociale]:[Checkbox selezionato]],7,FALSE),"-")</f>
        <v>papies@email.it</v>
      </c>
      <c r="AO792" s="63">
        <f>IFERROR(VLOOKUP(Table2[[#This Row],[Contraente]],Table1[[Nome/Ragione sociale]:[Checkbox selezionato]],8,FALSE),"-")</f>
        <v>0</v>
      </c>
      <c r="AP792" s="63" t="str">
        <f>IFERROR(VLOOKUP(Table2[[#This Row],[Contraente]],Table1[[Nome/Ragione sociale]:[Checkbox selezionato]],10,FALSE),"-")</f>
        <v>-</v>
      </c>
      <c r="AQ792" s="63" t="str">
        <f>IFERROR(VLOOKUP(Table2[[#This Row],[Contraente]],Table1[[Nome/Ragione sociale]:[Checkbox selezionato]],11,FALSE),"-")</f>
        <v>SI</v>
      </c>
      <c r="AR792" s="63" t="str">
        <f>IFERROR(VLOOKUP(Table2[[#This Row],[Contraente]],Table1[[Nome/Ragione sociale]:[Checkbox selezionato]],12,FALSE),"-")</f>
        <v>SI</v>
      </c>
    </row>
    <row r="793" spans="1:44" ht="30" hidden="1" customHeight="1" x14ac:dyDescent="0.25">
      <c r="A793" s="60" t="str">
        <f>UPPER(LEFT(Table2[[#This Row],[Contraente]],1))</f>
        <v>P</v>
      </c>
      <c r="B793" s="60" t="s">
        <v>1634</v>
      </c>
      <c r="C793" s="81" t="s">
        <v>1733</v>
      </c>
      <c r="D793" s="81" t="s">
        <v>37</v>
      </c>
      <c r="E793" s="86">
        <v>106867389</v>
      </c>
      <c r="F793" s="64">
        <v>42872</v>
      </c>
      <c r="G793" s="64">
        <f>IFERROR(CALCOLASCADENZA(Table2[[#This Row],[Data attivazione]],Table2[[#This Row],[Rateizzazione]],Table2[[#This Row],[Data ultimo pagamento]],Table2[[#This Row],[Data prossima scadenza manuale]]),"-")</f>
        <v>43226</v>
      </c>
      <c r="H793" s="67" t="s">
        <v>31</v>
      </c>
      <c r="I793" s="67" t="s">
        <v>1759</v>
      </c>
      <c r="J793" s="33">
        <f>IFERROR(Table2[[#This Row],[Importo annuale]]/(12/VLOOKUP(Table2[[#This Row],[Rateizzazione]],TIPI_RATEIZZAZIONI,2,FALSE)),"-")</f>
        <v>297.68</v>
      </c>
      <c r="K793" s="88">
        <v>297.68</v>
      </c>
      <c r="L793" s="88">
        <v>297.68</v>
      </c>
      <c r="M793" s="67" t="s">
        <v>44</v>
      </c>
      <c r="N793" s="67" t="s">
        <v>52</v>
      </c>
      <c r="O793" s="27" t="s">
        <v>1631</v>
      </c>
      <c r="P793" s="33" t="s">
        <v>23</v>
      </c>
      <c r="Q793" s="60">
        <f>IFERROR(IF(12 / VLOOKUP(Table2[[#This Row],[Rateizzazione]],TIPI_RATEIZZAZIONI,2,FALSE) &gt;=1,  IF(Table2[[#This Row],[Data attivazione]] = "","-",MONTH(Table2[[#This Row],[Data attivazione]])),"-"),"-")</f>
        <v>5</v>
      </c>
      <c r="R7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3" s="67" t="s">
        <v>2</v>
      </c>
      <c r="V793" s="62"/>
      <c r="W793" s="64">
        <v>42861</v>
      </c>
      <c r="X793" s="29">
        <f>DATE(YEAR(Table2[[#This Row],[Data attivazione]])+VLOOKUP(Table2[[#This Row],[Durata]],VALORE_DURATA,2,FALSE),MONTH(Table2[[#This Row],[Data attivazione]]),DAY(Table2[[#This Row],[Data attivazione]]))</f>
        <v>43226</v>
      </c>
      <c r="Y793" s="65"/>
      <c r="Z793" s="61"/>
      <c r="AA793" s="64" t="s">
        <v>85</v>
      </c>
      <c r="AB793" s="29" t="str">
        <f>IF(Table2[[#This Row],[Data ultimo versamento temp]]=0/1/1900,"-",Table2[[#This Row],[Data ultimo versamento temp]])</f>
        <v>-</v>
      </c>
      <c r="AC793" s="29">
        <f t="array" ref="AC793">MAX(IF(TableVersamenti[Polizza]=Table2[[#This Row],[Polizza]],TableVersamenti[Data prevista versamento],"-"))</f>
        <v>0</v>
      </c>
      <c r="AD793" s="62"/>
      <c r="AE793" s="106">
        <f>DATE(YEAR(Table2[[#This Row],[Data ultimo pagamento]]),MONTH(Table2[[#This Row],[Data ultimo pagamento]]), 1)</f>
        <v>42856</v>
      </c>
      <c r="AF793" s="106">
        <f>DATE(YEAR(Table2[[#This Row],[Data prossima scadenza]]),MONTH(Table2[[#This Row],[Data prossima scadenza]]), 1)</f>
        <v>43221</v>
      </c>
      <c r="AG793" s="33">
        <f>IFERROR(Table2[[#This Row],[Importo annuale]]*VLOOKUP(Table2[[#This Row],[Ramo]],RAMI_POLIZZA,2,FALSE),0)</f>
        <v>15.47936</v>
      </c>
      <c r="AH793" s="65" t="s">
        <v>113</v>
      </c>
      <c r="AI793" s="63" t="str">
        <f>IFERROR(VLOOKUP(Table2[[#This Row],[Contraente]],Table1[[Nome/Ragione sociale]:[Checkbox selezionato]],2,FALSE),"-")</f>
        <v>GIUSSAGO</v>
      </c>
      <c r="AJ793" s="63">
        <f>IFERROR(VLOOKUP(Table2[[#This Row],[Contraente]],Table1[[Nome/Ragione sociale]:[Checkbox selezionato]],3,FALSE),"-")</f>
        <v>3492171354</v>
      </c>
      <c r="AK793" s="63">
        <f>IFERROR(VLOOKUP(Table2[[#This Row],[Contraente]],Table1[[Nome/Ragione sociale]:[Checkbox selezionato]],4,FALSE),"-")</f>
        <v>0</v>
      </c>
      <c r="AL793" s="63" t="str">
        <f>IFERROR(VLOOKUP(Table2[[#This Row],[Contraente]],Table1[[Nome/Ragione sociale]:[Checkbox selezionato]],5,FALSE),"-")</f>
        <v>ERNESTINO</v>
      </c>
      <c r="AM793" s="62" t="str">
        <f>IFERROR(VLOOKUP(Table2[[#This Row],[Contraente]],Table1[[Nome/Ragione sociale]:[Checkbox selezionato]],6,FALSE),"-")</f>
        <v>-</v>
      </c>
      <c r="AN793" s="63" t="str">
        <f>IFERROR(VLOOKUP(Table2[[#This Row],[Contraente]],Table1[[Nome/Ragione sociale]:[Checkbox selezionato]],7,FALSE),"-")</f>
        <v>papies@libero.it</v>
      </c>
      <c r="AO793" s="63">
        <f>IFERROR(VLOOKUP(Table2[[#This Row],[Contraente]],Table1[[Nome/Ragione sociale]:[Checkbox selezionato]],8,FALSE),"-")</f>
        <v>0</v>
      </c>
      <c r="AP793" s="63">
        <f>IFERROR(VLOOKUP(Table2[[#This Row],[Contraente]],Table1[[Nome/Ragione sociale]:[Checkbox selezionato]],10,FALSE),"-")</f>
        <v>3492171354</v>
      </c>
      <c r="AQ793" s="63" t="str">
        <f>IFERROR(VLOOKUP(Table2[[#This Row],[Contraente]],Table1[[Nome/Ragione sociale]:[Checkbox selezionato]],11,FALSE),"-")</f>
        <v>SI</v>
      </c>
      <c r="AR793" s="63" t="str">
        <f>IFERROR(VLOOKUP(Table2[[#This Row],[Contraente]],Table1[[Nome/Ragione sociale]:[Checkbox selezionato]],12,FALSE),"-")</f>
        <v>SI</v>
      </c>
    </row>
    <row r="794" spans="1:44" ht="30" hidden="1" customHeight="1" x14ac:dyDescent="0.25">
      <c r="A794" s="60" t="str">
        <f>UPPER(LEFT(Table2[[#This Row],[Contraente]],1))</f>
        <v>P</v>
      </c>
      <c r="B794" s="60" t="s">
        <v>1634</v>
      </c>
      <c r="C794" s="81" t="s">
        <v>866</v>
      </c>
      <c r="D794" s="81" t="s">
        <v>37</v>
      </c>
      <c r="E794" s="86">
        <v>106282613</v>
      </c>
      <c r="F794" s="64">
        <v>42886</v>
      </c>
      <c r="G794" s="64">
        <f>IFERROR(CALCOLASCADENZA(Table2[[#This Row],[Data attivazione]],Table2[[#This Row],[Rateizzazione]],Table2[[#This Row],[Data ultimo pagamento]],Table2[[#This Row],[Data prossima scadenza manuale]]),"-")</f>
        <v>43058</v>
      </c>
      <c r="H794" s="67" t="s">
        <v>31</v>
      </c>
      <c r="I794" s="67" t="s">
        <v>1456</v>
      </c>
      <c r="J794" s="33">
        <f>IFERROR(Table2[[#This Row],[Importo annuale]]/(12/VLOOKUP(Table2[[#This Row],[Rateizzazione]],TIPI_RATEIZZAZIONI,2,FALSE)),"-")</f>
        <v>244</v>
      </c>
      <c r="K794" s="88">
        <v>244</v>
      </c>
      <c r="L794" s="88">
        <v>488</v>
      </c>
      <c r="M794" s="67" t="s">
        <v>43</v>
      </c>
      <c r="N794" s="67" t="s">
        <v>51</v>
      </c>
      <c r="O794" s="27" t="s">
        <v>1631</v>
      </c>
      <c r="P794" s="33" t="s">
        <v>22</v>
      </c>
      <c r="Q794" s="60">
        <f>IFERROR(IF(12 / VLOOKUP(Table2[[#This Row],[Rateizzazione]],TIPI_RATEIZZAZIONI,2,FALSE) &gt;=1,  IF(Table2[[#This Row],[Data attivazione]] = "","-",MONTH(Table2[[#This Row],[Data attivazione]])),"-"),"-")</f>
        <v>11</v>
      </c>
      <c r="R7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4" s="67" t="s">
        <v>2</v>
      </c>
      <c r="V794" s="62"/>
      <c r="W794" s="64">
        <v>42693</v>
      </c>
      <c r="X794" s="29">
        <f>DATE(YEAR(Table2[[#This Row],[Data attivazione]])+VLOOKUP(Table2[[#This Row],[Durata]],VALORE_DURATA,2,FALSE),MONTH(Table2[[#This Row],[Data attivazione]]),DAY(Table2[[#This Row],[Data attivazione]]))</f>
        <v>43058</v>
      </c>
      <c r="Y794" s="65"/>
      <c r="Z794" s="61"/>
      <c r="AA794" s="64" t="s">
        <v>85</v>
      </c>
      <c r="AB794" s="29" t="str">
        <f>IF(Table2[[#This Row],[Data ultimo versamento temp]]=0/1/1900,"-",Table2[[#This Row],[Data ultimo versamento temp]])</f>
        <v>-</v>
      </c>
      <c r="AC794" s="29">
        <f t="array" ref="AC794">MAX(IF(TableVersamenti[Polizza]=Table2[[#This Row],[Polizza]],TableVersamenti[Data prevista versamento],"-"))</f>
        <v>0</v>
      </c>
      <c r="AD794" s="62"/>
      <c r="AE794" s="106">
        <f>DATE(YEAR(Table2[[#This Row],[Data ultimo pagamento]]),MONTH(Table2[[#This Row],[Data ultimo pagamento]]), 1)</f>
        <v>42856</v>
      </c>
      <c r="AF794" s="106">
        <f>DATE(YEAR(Table2[[#This Row],[Data prossima scadenza]]),MONTH(Table2[[#This Row],[Data prossima scadenza]]), 1)</f>
        <v>43040</v>
      </c>
      <c r="AG794" s="33">
        <f>IFERROR(Table2[[#This Row],[Importo annuale]]*VLOOKUP(Table2[[#This Row],[Ramo]],RAMI_POLIZZA,2,FALSE),0)</f>
        <v>25.375999999999998</v>
      </c>
      <c r="AH794" s="65" t="s">
        <v>113</v>
      </c>
      <c r="AI794" s="63" t="str">
        <f>IFERROR(VLOOKUP(Table2[[#This Row],[Contraente]],Table1[[Nome/Ragione sociale]:[Checkbox selezionato]],2,FALSE),"-")</f>
        <v>SANTA CRISTINA E BISSONE</v>
      </c>
      <c r="AJ794" s="63">
        <f>IFERROR(VLOOKUP(Table2[[#This Row],[Contraente]],Table1[[Nome/Ragione sociale]:[Checkbox selezionato]],3,FALSE),"-")</f>
        <v>3494312748</v>
      </c>
      <c r="AK794" s="63">
        <f>IFERROR(VLOOKUP(Table2[[#This Row],[Contraente]],Table1[[Nome/Ragione sociale]:[Checkbox selezionato]],4,FALSE),"-")</f>
        <v>0</v>
      </c>
      <c r="AL794" s="63" t="str">
        <f>IFERROR(VLOOKUP(Table2[[#This Row],[Contraente]],Table1[[Nome/Ragione sociale]:[Checkbox selezionato]],5,FALSE),"-")</f>
        <v>PAOLO</v>
      </c>
      <c r="AM794" s="62" t="str">
        <f>IFERROR(VLOOKUP(Table2[[#This Row],[Contraente]],Table1[[Nome/Ragione sociale]:[Checkbox selezionato]],6,FALSE),"-")</f>
        <v>-</v>
      </c>
      <c r="AN794" s="63" t="str">
        <f>IFERROR(VLOOKUP(Table2[[#This Row],[Contraente]],Table1[[Nome/Ragione sociale]:[Checkbox selezionato]],7,FALSE),"-")</f>
        <v>papies@libero.it</v>
      </c>
      <c r="AO794" s="63">
        <f>IFERROR(VLOOKUP(Table2[[#This Row],[Contraente]],Table1[[Nome/Ragione sociale]:[Checkbox selezionato]],8,FALSE),"-")</f>
        <v>0</v>
      </c>
      <c r="AP794" s="63">
        <f>IFERROR(VLOOKUP(Table2[[#This Row],[Contraente]],Table1[[Nome/Ragione sociale]:[Checkbox selezionato]],10,FALSE),"-")</f>
        <v>3494312748</v>
      </c>
      <c r="AQ794" s="63" t="str">
        <f>IFERROR(VLOOKUP(Table2[[#This Row],[Contraente]],Table1[[Nome/Ragione sociale]:[Checkbox selezionato]],11,FALSE),"-")</f>
        <v>SI</v>
      </c>
      <c r="AR794" s="63" t="str">
        <f>IFERROR(VLOOKUP(Table2[[#This Row],[Contraente]],Table1[[Nome/Ragione sociale]:[Checkbox selezionato]],12,FALSE),"-")</f>
        <v>SI</v>
      </c>
    </row>
    <row r="795" spans="1:44" ht="30" hidden="1" customHeight="1" x14ac:dyDescent="0.25">
      <c r="A795" s="60" t="str">
        <f>UPPER(LEFT(Table2[[#This Row],[Contraente]],1))</f>
        <v>P</v>
      </c>
      <c r="B795" s="60" t="s">
        <v>1634</v>
      </c>
      <c r="C795" s="81" t="s">
        <v>866</v>
      </c>
      <c r="D795" s="81" t="s">
        <v>37</v>
      </c>
      <c r="E795" s="86">
        <v>103765994</v>
      </c>
      <c r="F795" s="64">
        <v>42886</v>
      </c>
      <c r="G795" s="64">
        <f>IFERROR(CALCOLASCADENZA(Table2[[#This Row],[Data attivazione]],Table2[[#This Row],[Rateizzazione]],Table2[[#This Row],[Data ultimo pagamento]],Table2[[#This Row],[Data prossima scadenza manuale]]),"-")</f>
        <v>43058</v>
      </c>
      <c r="H795" s="67" t="s">
        <v>30</v>
      </c>
      <c r="I795" s="67" t="s">
        <v>113</v>
      </c>
      <c r="J795" s="33">
        <f>IFERROR(Table2[[#This Row],[Importo annuale]]/(12/VLOOKUP(Table2[[#This Row],[Rateizzazione]],TIPI_RATEIZZAZIONI,2,FALSE)),"-")</f>
        <v>31</v>
      </c>
      <c r="K795" s="88">
        <v>31</v>
      </c>
      <c r="L795" s="88">
        <v>62</v>
      </c>
      <c r="M795" s="67" t="s">
        <v>43</v>
      </c>
      <c r="N795" s="67" t="s">
        <v>51</v>
      </c>
      <c r="O795" s="27" t="s">
        <v>1631</v>
      </c>
      <c r="P795" s="33" t="s">
        <v>22</v>
      </c>
      <c r="Q795" s="60">
        <f>IFERROR(IF(12 / VLOOKUP(Table2[[#This Row],[Rateizzazione]],TIPI_RATEIZZAZIONI,2,FALSE) &gt;=1,  IF(Table2[[#This Row],[Data attivazione]] = "","-",MONTH(Table2[[#This Row],[Data attivazione]])),"-"),"-")</f>
        <v>11</v>
      </c>
      <c r="R7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5" s="67" t="s">
        <v>2</v>
      </c>
      <c r="V795" s="62"/>
      <c r="W795" s="64">
        <v>42693</v>
      </c>
      <c r="X795" s="29">
        <f>DATE(YEAR(Table2[[#This Row],[Data attivazione]])+VLOOKUP(Table2[[#This Row],[Durata]],VALORE_DURATA,2,FALSE),MONTH(Table2[[#This Row],[Data attivazione]]),DAY(Table2[[#This Row],[Data attivazione]]))</f>
        <v>43058</v>
      </c>
      <c r="Y795" s="65"/>
      <c r="Z795" s="61"/>
      <c r="AA795" s="64" t="s">
        <v>85</v>
      </c>
      <c r="AB795" s="29" t="str">
        <f>IF(Table2[[#This Row],[Data ultimo versamento temp]]=0/1/1900,"-",Table2[[#This Row],[Data ultimo versamento temp]])</f>
        <v>-</v>
      </c>
      <c r="AC795" s="29">
        <f t="array" ref="AC795">MAX(IF(TableVersamenti[Polizza]=Table2[[#This Row],[Polizza]],TableVersamenti[Data prevista versamento],"-"))</f>
        <v>0</v>
      </c>
      <c r="AD795" s="62"/>
      <c r="AE795" s="106">
        <f>DATE(YEAR(Table2[[#This Row],[Data ultimo pagamento]]),MONTH(Table2[[#This Row],[Data ultimo pagamento]]), 1)</f>
        <v>42856</v>
      </c>
      <c r="AF795" s="106">
        <f>DATE(YEAR(Table2[[#This Row],[Data prossima scadenza]]),MONTH(Table2[[#This Row],[Data prossima scadenza]]), 1)</f>
        <v>43040</v>
      </c>
      <c r="AG795" s="33">
        <f>IFERROR(Table2[[#This Row],[Importo annuale]]*VLOOKUP(Table2[[#This Row],[Ramo]],RAMI_POLIZZA,2,FALSE),0)</f>
        <v>7.13</v>
      </c>
      <c r="AH795" s="65" t="s">
        <v>113</v>
      </c>
      <c r="AI795" s="63" t="str">
        <f>IFERROR(VLOOKUP(Table2[[#This Row],[Contraente]],Table1[[Nome/Ragione sociale]:[Checkbox selezionato]],2,FALSE),"-")</f>
        <v>SANTA CRISTINA E BISSONE</v>
      </c>
      <c r="AJ795" s="63">
        <f>IFERROR(VLOOKUP(Table2[[#This Row],[Contraente]],Table1[[Nome/Ragione sociale]:[Checkbox selezionato]],3,FALSE),"-")</f>
        <v>3494312748</v>
      </c>
      <c r="AK795" s="63">
        <f>IFERROR(VLOOKUP(Table2[[#This Row],[Contraente]],Table1[[Nome/Ragione sociale]:[Checkbox selezionato]],4,FALSE),"-")</f>
        <v>0</v>
      </c>
      <c r="AL795" s="63" t="str">
        <f>IFERROR(VLOOKUP(Table2[[#This Row],[Contraente]],Table1[[Nome/Ragione sociale]:[Checkbox selezionato]],5,FALSE),"-")</f>
        <v>PAOLO</v>
      </c>
      <c r="AM795" s="62" t="str">
        <f>IFERROR(VLOOKUP(Table2[[#This Row],[Contraente]],Table1[[Nome/Ragione sociale]:[Checkbox selezionato]],6,FALSE),"-")</f>
        <v>-</v>
      </c>
      <c r="AN795" s="63" t="str">
        <f>IFERROR(VLOOKUP(Table2[[#This Row],[Contraente]],Table1[[Nome/Ragione sociale]:[Checkbox selezionato]],7,FALSE),"-")</f>
        <v>papies@libero.it</v>
      </c>
      <c r="AO795" s="63">
        <f>IFERROR(VLOOKUP(Table2[[#This Row],[Contraente]],Table1[[Nome/Ragione sociale]:[Checkbox selezionato]],8,FALSE),"-")</f>
        <v>0</v>
      </c>
      <c r="AP795" s="63">
        <f>IFERROR(VLOOKUP(Table2[[#This Row],[Contraente]],Table1[[Nome/Ragione sociale]:[Checkbox selezionato]],10,FALSE),"-")</f>
        <v>3494312748</v>
      </c>
      <c r="AQ795" s="63" t="str">
        <f>IFERROR(VLOOKUP(Table2[[#This Row],[Contraente]],Table1[[Nome/Ragione sociale]:[Checkbox selezionato]],11,FALSE),"-")</f>
        <v>SI</v>
      </c>
      <c r="AR795" s="63" t="str">
        <f>IFERROR(VLOOKUP(Table2[[#This Row],[Contraente]],Table1[[Nome/Ragione sociale]:[Checkbox selezionato]],12,FALSE),"-")</f>
        <v>SI</v>
      </c>
    </row>
    <row r="796" spans="1:44" ht="30" hidden="1" customHeight="1" x14ac:dyDescent="0.25">
      <c r="A796" s="60" t="str">
        <f>UPPER(LEFT(Table2[[#This Row],[Contraente]],1))</f>
        <v>P</v>
      </c>
      <c r="B796" s="60" t="s">
        <v>1634</v>
      </c>
      <c r="C796" s="81" t="s">
        <v>866</v>
      </c>
      <c r="D796" s="81" t="s">
        <v>37</v>
      </c>
      <c r="E796" s="86">
        <v>105391557</v>
      </c>
      <c r="F796" s="64">
        <v>42808</v>
      </c>
      <c r="G796" s="64">
        <f>IFERROR(CALCOLASCADENZA(Table2[[#This Row],[Data attivazione]],Table2[[#This Row],[Rateizzazione]],Table2[[#This Row],[Data ultimo pagamento]],Table2[[#This Row],[Data prossima scadenza manuale]]),"-")</f>
        <v>42974</v>
      </c>
      <c r="H796" s="67" t="s">
        <v>31</v>
      </c>
      <c r="I796" s="67" t="s">
        <v>1457</v>
      </c>
      <c r="J796" s="33">
        <f>IFERROR(Table2[[#This Row],[Importo annuale]]/(12/VLOOKUP(Table2[[#This Row],[Rateizzazione]],TIPI_RATEIZZAZIONI,2,FALSE)),"-")</f>
        <v>248</v>
      </c>
      <c r="K796" s="88">
        <v>248</v>
      </c>
      <c r="L796" s="88">
        <v>496</v>
      </c>
      <c r="M796" s="67" t="s">
        <v>44</v>
      </c>
      <c r="N796" s="67" t="s">
        <v>51</v>
      </c>
      <c r="O796" s="27" t="s">
        <v>1631</v>
      </c>
      <c r="P796" s="33" t="s">
        <v>22</v>
      </c>
      <c r="Q796" s="60">
        <f>IFERROR(IF(12 / VLOOKUP(Table2[[#This Row],[Rateizzazione]],TIPI_RATEIZZAZIONI,2,FALSE) &gt;=1,  IF(Table2[[#This Row],[Data attivazione]] = "","-",MONTH(Table2[[#This Row],[Data attivazione]])),"-"),"-")</f>
        <v>8</v>
      </c>
      <c r="R7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6" s="67" t="s">
        <v>2</v>
      </c>
      <c r="V796" s="62"/>
      <c r="W796" s="64">
        <v>42609</v>
      </c>
      <c r="X796" s="29">
        <f>DATE(YEAR(Table2[[#This Row],[Data attivazione]])+VLOOKUP(Table2[[#This Row],[Durata]],VALORE_DURATA,2,FALSE),MONTH(Table2[[#This Row],[Data attivazione]]),DAY(Table2[[#This Row],[Data attivazione]]))</f>
        <v>42974</v>
      </c>
      <c r="Y796" s="65"/>
      <c r="Z796" s="61"/>
      <c r="AA796" s="64" t="s">
        <v>85</v>
      </c>
      <c r="AB796" s="29" t="str">
        <f>IF(Table2[[#This Row],[Data ultimo versamento temp]]=0/1/1900,"-",Table2[[#This Row],[Data ultimo versamento temp]])</f>
        <v>-</v>
      </c>
      <c r="AC796" s="29">
        <f t="array" ref="AC796">MAX(IF(TableVersamenti[Polizza]=Table2[[#This Row],[Polizza]],TableVersamenti[Data prevista versamento],"-"))</f>
        <v>0</v>
      </c>
      <c r="AD796" s="62"/>
      <c r="AE796" s="106">
        <f>DATE(YEAR(Table2[[#This Row],[Data ultimo pagamento]]),MONTH(Table2[[#This Row],[Data ultimo pagamento]]), 1)</f>
        <v>42795</v>
      </c>
      <c r="AF796" s="106">
        <f>DATE(YEAR(Table2[[#This Row],[Data prossima scadenza]]),MONTH(Table2[[#This Row],[Data prossima scadenza]]), 1)</f>
        <v>42948</v>
      </c>
      <c r="AG796" s="33">
        <f>IFERROR(Table2[[#This Row],[Importo annuale]]*VLOOKUP(Table2[[#This Row],[Ramo]],RAMI_POLIZZA,2,FALSE),0)</f>
        <v>25.791999999999998</v>
      </c>
      <c r="AH796" s="65" t="s">
        <v>113</v>
      </c>
      <c r="AI796" s="63" t="str">
        <f>IFERROR(VLOOKUP(Table2[[#This Row],[Contraente]],Table1[[Nome/Ragione sociale]:[Checkbox selezionato]],2,FALSE),"-")</f>
        <v>SANTA CRISTINA E BISSONE</v>
      </c>
      <c r="AJ796" s="63">
        <f>IFERROR(VLOOKUP(Table2[[#This Row],[Contraente]],Table1[[Nome/Ragione sociale]:[Checkbox selezionato]],3,FALSE),"-")</f>
        <v>3494312748</v>
      </c>
      <c r="AK796" s="63">
        <f>IFERROR(VLOOKUP(Table2[[#This Row],[Contraente]],Table1[[Nome/Ragione sociale]:[Checkbox selezionato]],4,FALSE),"-")</f>
        <v>0</v>
      </c>
      <c r="AL796" s="63" t="str">
        <f>IFERROR(VLOOKUP(Table2[[#This Row],[Contraente]],Table1[[Nome/Ragione sociale]:[Checkbox selezionato]],5,FALSE),"-")</f>
        <v>PAOLO</v>
      </c>
      <c r="AM796" s="62" t="str">
        <f>IFERROR(VLOOKUP(Table2[[#This Row],[Contraente]],Table1[[Nome/Ragione sociale]:[Checkbox selezionato]],6,FALSE),"-")</f>
        <v>-</v>
      </c>
      <c r="AN796" s="63" t="str">
        <f>IFERROR(VLOOKUP(Table2[[#This Row],[Contraente]],Table1[[Nome/Ragione sociale]:[Checkbox selezionato]],7,FALSE),"-")</f>
        <v>papies@libero.it</v>
      </c>
      <c r="AO796" s="63">
        <f>IFERROR(VLOOKUP(Table2[[#This Row],[Contraente]],Table1[[Nome/Ragione sociale]:[Checkbox selezionato]],8,FALSE),"-")</f>
        <v>0</v>
      </c>
      <c r="AP796" s="63">
        <f>IFERROR(VLOOKUP(Table2[[#This Row],[Contraente]],Table1[[Nome/Ragione sociale]:[Checkbox selezionato]],10,FALSE),"-")</f>
        <v>3494312748</v>
      </c>
      <c r="AQ796" s="63" t="str">
        <f>IFERROR(VLOOKUP(Table2[[#This Row],[Contraente]],Table1[[Nome/Ragione sociale]:[Checkbox selezionato]],11,FALSE),"-")</f>
        <v>SI</v>
      </c>
      <c r="AR796" s="63" t="str">
        <f>IFERROR(VLOOKUP(Table2[[#This Row],[Contraente]],Table1[[Nome/Ragione sociale]:[Checkbox selezionato]],12,FALSE),"-")</f>
        <v>SI</v>
      </c>
    </row>
    <row r="797" spans="1:44" ht="30" hidden="1" customHeight="1" x14ac:dyDescent="0.25">
      <c r="A797" s="60" t="str">
        <f>UPPER(LEFT(Table2[[#This Row],[Contraente]],1))</f>
        <v>P</v>
      </c>
      <c r="B797" s="60" t="s">
        <v>1634</v>
      </c>
      <c r="C797" s="81" t="s">
        <v>866</v>
      </c>
      <c r="D797" s="81" t="s">
        <v>37</v>
      </c>
      <c r="E797" s="86">
        <v>104144615</v>
      </c>
      <c r="F797" s="64">
        <v>42808</v>
      </c>
      <c r="G797" s="64">
        <f>IFERROR(CALCOLASCADENZA(Table2[[#This Row],[Data attivazione]],Table2[[#This Row],[Rateizzazione]],Table2[[#This Row],[Data ultimo pagamento]],Table2[[#This Row],[Data prossima scadenza manuale]]),"-")</f>
        <v>42982</v>
      </c>
      <c r="H797" s="67" t="s">
        <v>30</v>
      </c>
      <c r="I797" s="67" t="s">
        <v>113</v>
      </c>
      <c r="J797" s="33">
        <f>IFERROR(Table2[[#This Row],[Importo annuale]]/(12/VLOOKUP(Table2[[#This Row],[Rateizzazione]],TIPI_RATEIZZAZIONI,2,FALSE)),"-")</f>
        <v>32</v>
      </c>
      <c r="K797" s="88">
        <v>32</v>
      </c>
      <c r="L797" s="88">
        <v>64</v>
      </c>
      <c r="M797" s="67" t="s">
        <v>43</v>
      </c>
      <c r="N797" s="67" t="s">
        <v>51</v>
      </c>
      <c r="O797" s="27" t="s">
        <v>1631</v>
      </c>
      <c r="P797" s="33" t="s">
        <v>22</v>
      </c>
      <c r="Q797" s="60">
        <f>IFERROR(IF(12 / VLOOKUP(Table2[[#This Row],[Rateizzazione]],TIPI_RATEIZZAZIONI,2,FALSE) &gt;=1,  IF(Table2[[#This Row],[Data attivazione]] = "","-",MONTH(Table2[[#This Row],[Data attivazione]])),"-"),"-")</f>
        <v>9</v>
      </c>
      <c r="R7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7" s="67" t="s">
        <v>2</v>
      </c>
      <c r="V797" s="62"/>
      <c r="W797" s="64">
        <v>42617</v>
      </c>
      <c r="X797" s="29">
        <f>DATE(YEAR(Table2[[#This Row],[Data attivazione]])+VLOOKUP(Table2[[#This Row],[Durata]],VALORE_DURATA,2,FALSE),MONTH(Table2[[#This Row],[Data attivazione]]),DAY(Table2[[#This Row],[Data attivazione]]))</f>
        <v>42982</v>
      </c>
      <c r="Y797" s="65"/>
      <c r="Z797" s="61"/>
      <c r="AA797" s="64" t="s">
        <v>85</v>
      </c>
      <c r="AB797" s="29" t="str">
        <f>IF(Table2[[#This Row],[Data ultimo versamento temp]]=0/1/1900,"-",Table2[[#This Row],[Data ultimo versamento temp]])</f>
        <v>-</v>
      </c>
      <c r="AC797" s="29">
        <f t="array" ref="AC797">MAX(IF(TableVersamenti[Polizza]=Table2[[#This Row],[Polizza]],TableVersamenti[Data prevista versamento],"-"))</f>
        <v>0</v>
      </c>
      <c r="AD797" s="62"/>
      <c r="AE797" s="106">
        <f>DATE(YEAR(Table2[[#This Row],[Data ultimo pagamento]]),MONTH(Table2[[#This Row],[Data ultimo pagamento]]), 1)</f>
        <v>42795</v>
      </c>
      <c r="AF797" s="106">
        <f>DATE(YEAR(Table2[[#This Row],[Data prossima scadenza]]),MONTH(Table2[[#This Row],[Data prossima scadenza]]), 1)</f>
        <v>42979</v>
      </c>
      <c r="AG797" s="33">
        <f>IFERROR(Table2[[#This Row],[Importo annuale]]*VLOOKUP(Table2[[#This Row],[Ramo]],RAMI_POLIZZA,2,FALSE),0)</f>
        <v>7.36</v>
      </c>
      <c r="AH797" s="65" t="s">
        <v>113</v>
      </c>
      <c r="AI797" s="63" t="str">
        <f>IFERROR(VLOOKUP(Table2[[#This Row],[Contraente]],Table1[[Nome/Ragione sociale]:[Checkbox selezionato]],2,FALSE),"-")</f>
        <v>SANTA CRISTINA E BISSONE</v>
      </c>
      <c r="AJ797" s="63">
        <f>IFERROR(VLOOKUP(Table2[[#This Row],[Contraente]],Table1[[Nome/Ragione sociale]:[Checkbox selezionato]],3,FALSE),"-")</f>
        <v>3494312748</v>
      </c>
      <c r="AK797" s="63">
        <f>IFERROR(VLOOKUP(Table2[[#This Row],[Contraente]],Table1[[Nome/Ragione sociale]:[Checkbox selezionato]],4,FALSE),"-")</f>
        <v>0</v>
      </c>
      <c r="AL797" s="63" t="str">
        <f>IFERROR(VLOOKUP(Table2[[#This Row],[Contraente]],Table1[[Nome/Ragione sociale]:[Checkbox selezionato]],5,FALSE),"-")</f>
        <v>PAOLO</v>
      </c>
      <c r="AM797" s="62" t="str">
        <f>IFERROR(VLOOKUP(Table2[[#This Row],[Contraente]],Table1[[Nome/Ragione sociale]:[Checkbox selezionato]],6,FALSE),"-")</f>
        <v>-</v>
      </c>
      <c r="AN797" s="63" t="str">
        <f>IFERROR(VLOOKUP(Table2[[#This Row],[Contraente]],Table1[[Nome/Ragione sociale]:[Checkbox selezionato]],7,FALSE),"-")</f>
        <v>papies@libero.it</v>
      </c>
      <c r="AO797" s="63">
        <f>IFERROR(VLOOKUP(Table2[[#This Row],[Contraente]],Table1[[Nome/Ragione sociale]:[Checkbox selezionato]],8,FALSE),"-")</f>
        <v>0</v>
      </c>
      <c r="AP797" s="63">
        <f>IFERROR(VLOOKUP(Table2[[#This Row],[Contraente]],Table1[[Nome/Ragione sociale]:[Checkbox selezionato]],10,FALSE),"-")</f>
        <v>3494312748</v>
      </c>
      <c r="AQ797" s="63" t="str">
        <f>IFERROR(VLOOKUP(Table2[[#This Row],[Contraente]],Table1[[Nome/Ragione sociale]:[Checkbox selezionato]],11,FALSE),"-")</f>
        <v>SI</v>
      </c>
      <c r="AR797" s="63" t="str">
        <f>IFERROR(VLOOKUP(Table2[[#This Row],[Contraente]],Table1[[Nome/Ragione sociale]:[Checkbox selezionato]],12,FALSE),"-")</f>
        <v>SI</v>
      </c>
    </row>
    <row r="798" spans="1:44" ht="30" hidden="1" customHeight="1" x14ac:dyDescent="0.25">
      <c r="A798" s="60" t="str">
        <f>UPPER(LEFT(Table2[[#This Row],[Contraente]],1))</f>
        <v>P</v>
      </c>
      <c r="B798" s="60" t="s">
        <v>1634</v>
      </c>
      <c r="C798" s="81" t="s">
        <v>867</v>
      </c>
      <c r="D798" s="81" t="s">
        <v>37</v>
      </c>
      <c r="E798" s="86">
        <v>106460837</v>
      </c>
      <c r="F798" s="64">
        <v>42761</v>
      </c>
      <c r="G798" s="64">
        <f>IFERROR(CALCOLASCADENZA(Table2[[#This Row],[Data attivazione]],Table2[[#This Row],[Rateizzazione]],Table2[[#This Row],[Data ultimo pagamento]],Table2[[#This Row],[Data prossima scadenza manuale]]),"-")</f>
        <v>43126</v>
      </c>
      <c r="H798" s="67" t="s">
        <v>30</v>
      </c>
      <c r="I798" s="67" t="s">
        <v>113</v>
      </c>
      <c r="J798" s="33">
        <f>IFERROR(Table2[[#This Row],[Importo annuale]]/(12/VLOOKUP(Table2[[#This Row],[Rateizzazione]],TIPI_RATEIZZAZIONI,2,FALSE)),"-")</f>
        <v>180</v>
      </c>
      <c r="K798" s="88">
        <v>180</v>
      </c>
      <c r="L798" s="88">
        <v>180</v>
      </c>
      <c r="M798" s="67" t="s">
        <v>44</v>
      </c>
      <c r="N798" s="67" t="s">
        <v>52</v>
      </c>
      <c r="O798" s="27" t="s">
        <v>1631</v>
      </c>
      <c r="P798" s="33" t="s">
        <v>23</v>
      </c>
      <c r="Q798" s="60">
        <f>IFERROR(IF(12 / VLOOKUP(Table2[[#This Row],[Rateizzazione]],TIPI_RATEIZZAZIONI,2,FALSE) &gt;=1,  IF(Table2[[#This Row],[Data attivazione]] = "","-",MONTH(Table2[[#This Row],[Data attivazione]])),"-"),"-")</f>
        <v>1</v>
      </c>
      <c r="R7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8" s="67" t="s">
        <v>2</v>
      </c>
      <c r="V798" s="62"/>
      <c r="W798" s="64">
        <v>42761</v>
      </c>
      <c r="X798" s="29">
        <f>DATE(YEAR(Table2[[#This Row],[Data attivazione]])+VLOOKUP(Table2[[#This Row],[Durata]],VALORE_DURATA,2,FALSE),MONTH(Table2[[#This Row],[Data attivazione]]),DAY(Table2[[#This Row],[Data attivazione]]))</f>
        <v>43126</v>
      </c>
      <c r="Y798" s="65"/>
      <c r="Z798" s="61"/>
      <c r="AA798" s="64" t="s">
        <v>85</v>
      </c>
      <c r="AB798" s="29" t="str">
        <f>IF(Table2[[#This Row],[Data ultimo versamento temp]]=0/1/1900,"-",Table2[[#This Row],[Data ultimo versamento temp]])</f>
        <v>-</v>
      </c>
      <c r="AC798" s="29">
        <f t="array" ref="AC798">MAX(IF(TableVersamenti[Polizza]=Table2[[#This Row],[Polizza]],TableVersamenti[Data prevista versamento],"-"))</f>
        <v>0</v>
      </c>
      <c r="AD798" s="62"/>
      <c r="AE798" s="106">
        <f>DATE(YEAR(Table2[[#This Row],[Data ultimo pagamento]]),MONTH(Table2[[#This Row],[Data ultimo pagamento]]), 1)</f>
        <v>42736</v>
      </c>
      <c r="AF798" s="106">
        <f>DATE(YEAR(Table2[[#This Row],[Data prossima scadenza]]),MONTH(Table2[[#This Row],[Data prossima scadenza]]), 1)</f>
        <v>43101</v>
      </c>
      <c r="AG798" s="33">
        <f>IFERROR(Table2[[#This Row],[Importo annuale]]*VLOOKUP(Table2[[#This Row],[Ramo]],RAMI_POLIZZA,2,FALSE),0)</f>
        <v>20.7</v>
      </c>
      <c r="AH798" s="65" t="s">
        <v>113</v>
      </c>
      <c r="AI798" s="63" t="str">
        <f>IFERROR(VLOOKUP(Table2[[#This Row],[Contraente]],Table1[[Nome/Ragione sociale]:[Checkbox selezionato]],2,FALSE),"-")</f>
        <v>PAVIA</v>
      </c>
      <c r="AJ798" s="63">
        <f>IFERROR(VLOOKUP(Table2[[#This Row],[Contraente]],Table1[[Nome/Ragione sociale]:[Checkbox selezionato]],3,FALSE),"-")</f>
        <v>3472547303</v>
      </c>
      <c r="AK798" s="63">
        <f>IFERROR(VLOOKUP(Table2[[#This Row],[Contraente]],Table1[[Nome/Ragione sociale]:[Checkbox selezionato]],4,FALSE),"-")</f>
        <v>0</v>
      </c>
      <c r="AL798" s="63" t="str">
        <f>IFERROR(VLOOKUP(Table2[[#This Row],[Contraente]],Table1[[Nome/Ragione sociale]:[Checkbox selezionato]],5,FALSE),"-")</f>
        <v>DENIS</v>
      </c>
      <c r="AM798" s="62">
        <f>IFERROR(VLOOKUP(Table2[[#This Row],[Contraente]],Table1[[Nome/Ragione sociale]:[Checkbox selezionato]],6,FALSE),"-")</f>
        <v>31245</v>
      </c>
      <c r="AN798" s="63" t="str">
        <f>IFERROR(VLOOKUP(Table2[[#This Row],[Contraente]],Table1[[Nome/Ragione sociale]:[Checkbox selezionato]],7,FALSE),"-")</f>
        <v>papies@email.it</v>
      </c>
      <c r="AO798" s="63">
        <f>IFERROR(VLOOKUP(Table2[[#This Row],[Contraente]],Table1[[Nome/Ragione sociale]:[Checkbox selezionato]],8,FALSE),"-")</f>
        <v>0</v>
      </c>
      <c r="AP798" s="63">
        <f>IFERROR(VLOOKUP(Table2[[#This Row],[Contraente]],Table1[[Nome/Ragione sociale]:[Checkbox selezionato]],10,FALSE),"-")</f>
        <v>3472547303</v>
      </c>
      <c r="AQ798" s="63" t="str">
        <f>IFERROR(VLOOKUP(Table2[[#This Row],[Contraente]],Table1[[Nome/Ragione sociale]:[Checkbox selezionato]],11,FALSE),"-")</f>
        <v>SI</v>
      </c>
      <c r="AR798" s="63" t="str">
        <f>IFERROR(VLOOKUP(Table2[[#This Row],[Contraente]],Table1[[Nome/Ragione sociale]:[Checkbox selezionato]],12,FALSE),"-")</f>
        <v>SI</v>
      </c>
    </row>
    <row r="799" spans="1:44" ht="30" hidden="1" customHeight="1" x14ac:dyDescent="0.25">
      <c r="A799" s="60" t="str">
        <f>UPPER(LEFT(Table2[[#This Row],[Contraente]],1))</f>
        <v>P</v>
      </c>
      <c r="B799" s="60" t="s">
        <v>1634</v>
      </c>
      <c r="C799" s="81" t="s">
        <v>867</v>
      </c>
      <c r="D799" s="81" t="s">
        <v>37</v>
      </c>
      <c r="E799" s="86">
        <v>106459897</v>
      </c>
      <c r="F799" s="64">
        <v>42761</v>
      </c>
      <c r="G799" s="64">
        <f>IFERROR(CALCOLASCADENZA(Table2[[#This Row],[Data attivazione]],Table2[[#This Row],[Rateizzazione]],Table2[[#This Row],[Data ultimo pagamento]],Table2[[#This Row],[Data prossima scadenza manuale]]),"-")</f>
        <v>43126</v>
      </c>
      <c r="H799" s="67" t="s">
        <v>31</v>
      </c>
      <c r="I799" s="67" t="s">
        <v>1458</v>
      </c>
      <c r="J799" s="33">
        <f>IFERROR(Table2[[#This Row],[Importo annuale]]/(12/VLOOKUP(Table2[[#This Row],[Rateizzazione]],TIPI_RATEIZZAZIONI,2,FALSE)),"-")</f>
        <v>1630.7</v>
      </c>
      <c r="K799" s="88">
        <v>1630.7</v>
      </c>
      <c r="L799" s="88">
        <v>1630.7</v>
      </c>
      <c r="M799" s="67" t="s">
        <v>43</v>
      </c>
      <c r="N799" s="67" t="s">
        <v>52</v>
      </c>
      <c r="O799" s="27" t="s">
        <v>1631</v>
      </c>
      <c r="P799" s="33" t="s">
        <v>23</v>
      </c>
      <c r="Q799" s="60">
        <f>IFERROR(IF(12 / VLOOKUP(Table2[[#This Row],[Rateizzazione]],TIPI_RATEIZZAZIONI,2,FALSE) &gt;=1,  IF(Table2[[#This Row],[Data attivazione]] = "","-",MONTH(Table2[[#This Row],[Data attivazione]])),"-"),"-")</f>
        <v>1</v>
      </c>
      <c r="R7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9" s="67" t="s">
        <v>2</v>
      </c>
      <c r="V799" s="62"/>
      <c r="W799" s="64">
        <v>42761</v>
      </c>
      <c r="X799" s="29">
        <f>DATE(YEAR(Table2[[#This Row],[Data attivazione]])+VLOOKUP(Table2[[#This Row],[Durata]],VALORE_DURATA,2,FALSE),MONTH(Table2[[#This Row],[Data attivazione]]),DAY(Table2[[#This Row],[Data attivazione]]))</f>
        <v>43126</v>
      </c>
      <c r="Y799" s="65"/>
      <c r="Z799" s="61"/>
      <c r="AA799" s="64" t="s">
        <v>85</v>
      </c>
      <c r="AB799" s="29" t="str">
        <f>IF(Table2[[#This Row],[Data ultimo versamento temp]]=0/1/1900,"-",Table2[[#This Row],[Data ultimo versamento temp]])</f>
        <v>-</v>
      </c>
      <c r="AC799" s="29">
        <f t="array" ref="AC799">MAX(IF(TableVersamenti[Polizza]=Table2[[#This Row],[Polizza]],TableVersamenti[Data prevista versamento],"-"))</f>
        <v>0</v>
      </c>
      <c r="AD799" s="62"/>
      <c r="AE799" s="106">
        <f>DATE(YEAR(Table2[[#This Row],[Data ultimo pagamento]]),MONTH(Table2[[#This Row],[Data ultimo pagamento]]), 1)</f>
        <v>42736</v>
      </c>
      <c r="AF799" s="106">
        <f>DATE(YEAR(Table2[[#This Row],[Data prossima scadenza]]),MONTH(Table2[[#This Row],[Data prossima scadenza]]), 1)</f>
        <v>43101</v>
      </c>
      <c r="AG799" s="33">
        <f>IFERROR(Table2[[#This Row],[Importo annuale]]*VLOOKUP(Table2[[#This Row],[Ramo]],RAMI_POLIZZA,2,FALSE),0)</f>
        <v>84.796400000000006</v>
      </c>
      <c r="AH799" s="65" t="s">
        <v>113</v>
      </c>
      <c r="AI799" s="63" t="str">
        <f>IFERROR(VLOOKUP(Table2[[#This Row],[Contraente]],Table1[[Nome/Ragione sociale]:[Checkbox selezionato]],2,FALSE),"-")</f>
        <v>PAVIA</v>
      </c>
      <c r="AJ799" s="63">
        <f>IFERROR(VLOOKUP(Table2[[#This Row],[Contraente]],Table1[[Nome/Ragione sociale]:[Checkbox selezionato]],3,FALSE),"-")</f>
        <v>3472547303</v>
      </c>
      <c r="AK799" s="63">
        <f>IFERROR(VLOOKUP(Table2[[#This Row],[Contraente]],Table1[[Nome/Ragione sociale]:[Checkbox selezionato]],4,FALSE),"-")</f>
        <v>0</v>
      </c>
      <c r="AL799" s="63" t="str">
        <f>IFERROR(VLOOKUP(Table2[[#This Row],[Contraente]],Table1[[Nome/Ragione sociale]:[Checkbox selezionato]],5,FALSE),"-")</f>
        <v>DENIS</v>
      </c>
      <c r="AM799" s="62">
        <f>IFERROR(VLOOKUP(Table2[[#This Row],[Contraente]],Table1[[Nome/Ragione sociale]:[Checkbox selezionato]],6,FALSE),"-")</f>
        <v>31245</v>
      </c>
      <c r="AN799" s="63" t="str">
        <f>IFERROR(VLOOKUP(Table2[[#This Row],[Contraente]],Table1[[Nome/Ragione sociale]:[Checkbox selezionato]],7,FALSE),"-")</f>
        <v>papies@email.it</v>
      </c>
      <c r="AO799" s="63">
        <f>IFERROR(VLOOKUP(Table2[[#This Row],[Contraente]],Table1[[Nome/Ragione sociale]:[Checkbox selezionato]],8,FALSE),"-")</f>
        <v>0</v>
      </c>
      <c r="AP799" s="63">
        <f>IFERROR(VLOOKUP(Table2[[#This Row],[Contraente]],Table1[[Nome/Ragione sociale]:[Checkbox selezionato]],10,FALSE),"-")</f>
        <v>3472547303</v>
      </c>
      <c r="AQ799" s="63" t="str">
        <f>IFERROR(VLOOKUP(Table2[[#This Row],[Contraente]],Table1[[Nome/Ragione sociale]:[Checkbox selezionato]],11,FALSE),"-")</f>
        <v>SI</v>
      </c>
      <c r="AR799" s="63" t="str">
        <f>IFERROR(VLOOKUP(Table2[[#This Row],[Contraente]],Table1[[Nome/Ragione sociale]:[Checkbox selezionato]],12,FALSE),"-")</f>
        <v>SI</v>
      </c>
    </row>
    <row r="800" spans="1:44" ht="30" hidden="1" customHeight="1" x14ac:dyDescent="0.25">
      <c r="A800" s="60" t="str">
        <f>UPPER(LEFT(Table2[[#This Row],[Contraente]],1))</f>
        <v>P</v>
      </c>
      <c r="B800" s="60" t="s">
        <v>1634</v>
      </c>
      <c r="C800" s="81" t="s">
        <v>867</v>
      </c>
      <c r="D800" s="81" t="s">
        <v>37</v>
      </c>
      <c r="E800" s="86">
        <v>106459917</v>
      </c>
      <c r="F800" s="64">
        <v>42761</v>
      </c>
      <c r="G800" s="64">
        <f>IFERROR(CALCOLASCADENZA(Table2[[#This Row],[Data attivazione]],Table2[[#This Row],[Rateizzazione]],Table2[[#This Row],[Data ultimo pagamento]],Table2[[#This Row],[Data prossima scadenza manuale]]),"-")</f>
        <v>43126</v>
      </c>
      <c r="H800" s="67" t="s">
        <v>30</v>
      </c>
      <c r="I800" s="67" t="s">
        <v>113</v>
      </c>
      <c r="J800" s="33">
        <f>IFERROR(Table2[[#This Row],[Importo annuale]]/(12/VLOOKUP(Table2[[#This Row],[Rateizzazione]],TIPI_RATEIZZAZIONI,2,FALSE)),"-")</f>
        <v>385</v>
      </c>
      <c r="K800" s="88">
        <v>385</v>
      </c>
      <c r="L800" s="88">
        <v>385</v>
      </c>
      <c r="M800" s="67" t="s">
        <v>44</v>
      </c>
      <c r="N800" s="67" t="s">
        <v>52</v>
      </c>
      <c r="O800" s="27" t="s">
        <v>1631</v>
      </c>
      <c r="P800" s="33" t="s">
        <v>23</v>
      </c>
      <c r="Q800" s="60">
        <f>IFERROR(IF(12 / VLOOKUP(Table2[[#This Row],[Rateizzazione]],TIPI_RATEIZZAZIONI,2,FALSE) &gt;=1,  IF(Table2[[#This Row],[Data attivazione]] = "","-",MONTH(Table2[[#This Row],[Data attivazione]])),"-"),"-")</f>
        <v>1</v>
      </c>
      <c r="R8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0" s="67" t="s">
        <v>2</v>
      </c>
      <c r="V800" s="62"/>
      <c r="W800" s="64">
        <v>42761</v>
      </c>
      <c r="X800" s="29">
        <f>DATE(YEAR(Table2[[#This Row],[Data attivazione]])+VLOOKUP(Table2[[#This Row],[Durata]],VALORE_DURATA,2,FALSE),MONTH(Table2[[#This Row],[Data attivazione]]),DAY(Table2[[#This Row],[Data attivazione]]))</f>
        <v>43126</v>
      </c>
      <c r="Y800" s="65"/>
      <c r="Z800" s="61"/>
      <c r="AA800" s="64" t="s">
        <v>85</v>
      </c>
      <c r="AB800" s="29" t="str">
        <f>IF(Table2[[#This Row],[Data ultimo versamento temp]]=0/1/1900,"-",Table2[[#This Row],[Data ultimo versamento temp]])</f>
        <v>-</v>
      </c>
      <c r="AC800" s="29">
        <f t="array" ref="AC800">MAX(IF(TableVersamenti[Polizza]=Table2[[#This Row],[Polizza]],TableVersamenti[Data prevista versamento],"-"))</f>
        <v>0</v>
      </c>
      <c r="AD800" s="62"/>
      <c r="AE800" s="106">
        <f>DATE(YEAR(Table2[[#This Row],[Data ultimo pagamento]]),MONTH(Table2[[#This Row],[Data ultimo pagamento]]), 1)</f>
        <v>42736</v>
      </c>
      <c r="AF800" s="106">
        <f>DATE(YEAR(Table2[[#This Row],[Data prossima scadenza]]),MONTH(Table2[[#This Row],[Data prossima scadenza]]), 1)</f>
        <v>43101</v>
      </c>
      <c r="AG800" s="33">
        <f>IFERROR(Table2[[#This Row],[Importo annuale]]*VLOOKUP(Table2[[#This Row],[Ramo]],RAMI_POLIZZA,2,FALSE),0)</f>
        <v>44.274999999999999</v>
      </c>
      <c r="AH800" s="65" t="s">
        <v>113</v>
      </c>
      <c r="AI800" s="63" t="str">
        <f>IFERROR(VLOOKUP(Table2[[#This Row],[Contraente]],Table1[[Nome/Ragione sociale]:[Checkbox selezionato]],2,FALSE),"-")</f>
        <v>PAVIA</v>
      </c>
      <c r="AJ800" s="63">
        <f>IFERROR(VLOOKUP(Table2[[#This Row],[Contraente]],Table1[[Nome/Ragione sociale]:[Checkbox selezionato]],3,FALSE),"-")</f>
        <v>3472547303</v>
      </c>
      <c r="AK800" s="63">
        <f>IFERROR(VLOOKUP(Table2[[#This Row],[Contraente]],Table1[[Nome/Ragione sociale]:[Checkbox selezionato]],4,FALSE),"-")</f>
        <v>0</v>
      </c>
      <c r="AL800" s="63" t="str">
        <f>IFERROR(VLOOKUP(Table2[[#This Row],[Contraente]],Table1[[Nome/Ragione sociale]:[Checkbox selezionato]],5,FALSE),"-")</f>
        <v>DENIS</v>
      </c>
      <c r="AM800" s="62">
        <f>IFERROR(VLOOKUP(Table2[[#This Row],[Contraente]],Table1[[Nome/Ragione sociale]:[Checkbox selezionato]],6,FALSE),"-")</f>
        <v>31245</v>
      </c>
      <c r="AN800" s="63" t="str">
        <f>IFERROR(VLOOKUP(Table2[[#This Row],[Contraente]],Table1[[Nome/Ragione sociale]:[Checkbox selezionato]],7,FALSE),"-")</f>
        <v>papies@email.it</v>
      </c>
      <c r="AO800" s="63">
        <f>IFERROR(VLOOKUP(Table2[[#This Row],[Contraente]],Table1[[Nome/Ragione sociale]:[Checkbox selezionato]],8,FALSE),"-")</f>
        <v>0</v>
      </c>
      <c r="AP800" s="63">
        <f>IFERROR(VLOOKUP(Table2[[#This Row],[Contraente]],Table1[[Nome/Ragione sociale]:[Checkbox selezionato]],10,FALSE),"-")</f>
        <v>3472547303</v>
      </c>
      <c r="AQ800" s="63" t="str">
        <f>IFERROR(VLOOKUP(Table2[[#This Row],[Contraente]],Table1[[Nome/Ragione sociale]:[Checkbox selezionato]],11,FALSE),"-")</f>
        <v>SI</v>
      </c>
      <c r="AR800" s="63" t="str">
        <f>IFERROR(VLOOKUP(Table2[[#This Row],[Contraente]],Table1[[Nome/Ragione sociale]:[Checkbox selezionato]],12,FALSE),"-")</f>
        <v>SI</v>
      </c>
    </row>
    <row r="801" spans="1:44" ht="30" hidden="1" customHeight="1" x14ac:dyDescent="0.25">
      <c r="A801" s="60" t="str">
        <f>UPPER(LEFT(Table2[[#This Row],[Contraente]],1))</f>
        <v>P</v>
      </c>
      <c r="B801" s="60" t="s">
        <v>1634</v>
      </c>
      <c r="C801" s="81" t="s">
        <v>867</v>
      </c>
      <c r="D801" s="81" t="s">
        <v>37</v>
      </c>
      <c r="E801" s="86">
        <v>106460070</v>
      </c>
      <c r="F801" s="64">
        <v>42761</v>
      </c>
      <c r="G801" s="64">
        <f>IFERROR(CALCOLASCADENZA(Table2[[#This Row],[Data attivazione]],Table2[[#This Row],[Rateizzazione]],Table2[[#This Row],[Data ultimo pagamento]],Table2[[#This Row],[Data prossima scadenza manuale]]),"-")</f>
        <v>43126</v>
      </c>
      <c r="H801" s="67" t="s">
        <v>30</v>
      </c>
      <c r="I801" s="67" t="s">
        <v>113</v>
      </c>
      <c r="J801" s="33">
        <f>IFERROR(Table2[[#This Row],[Importo annuale]]/(12/VLOOKUP(Table2[[#This Row],[Rateizzazione]],TIPI_RATEIZZAZIONI,2,FALSE)),"-")</f>
        <v>350</v>
      </c>
      <c r="K801" s="88">
        <v>350</v>
      </c>
      <c r="L801" s="88">
        <v>350</v>
      </c>
      <c r="M801" s="67" t="s">
        <v>44</v>
      </c>
      <c r="N801" s="67" t="s">
        <v>52</v>
      </c>
      <c r="O801" s="27" t="s">
        <v>1631</v>
      </c>
      <c r="P801" s="33" t="s">
        <v>23</v>
      </c>
      <c r="Q801" s="60">
        <f>IFERROR(IF(12 / VLOOKUP(Table2[[#This Row],[Rateizzazione]],TIPI_RATEIZZAZIONI,2,FALSE) &gt;=1,  IF(Table2[[#This Row],[Data attivazione]] = "","-",MONTH(Table2[[#This Row],[Data attivazione]])),"-"),"-")</f>
        <v>1</v>
      </c>
      <c r="R8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1" s="67" t="s">
        <v>2</v>
      </c>
      <c r="V801" s="62"/>
      <c r="W801" s="64">
        <v>42761</v>
      </c>
      <c r="X801" s="29">
        <f>DATE(YEAR(Table2[[#This Row],[Data attivazione]])+VLOOKUP(Table2[[#This Row],[Durata]],VALORE_DURATA,2,FALSE),MONTH(Table2[[#This Row],[Data attivazione]]),DAY(Table2[[#This Row],[Data attivazione]]))</f>
        <v>43126</v>
      </c>
      <c r="Y801" s="65"/>
      <c r="Z801" s="61"/>
      <c r="AA801" s="64" t="s">
        <v>85</v>
      </c>
      <c r="AB801" s="29" t="str">
        <f>IF(Table2[[#This Row],[Data ultimo versamento temp]]=0/1/1900,"-",Table2[[#This Row],[Data ultimo versamento temp]])</f>
        <v>-</v>
      </c>
      <c r="AC801" s="29">
        <f t="array" ref="AC801">MAX(IF(TableVersamenti[Polizza]=Table2[[#This Row],[Polizza]],TableVersamenti[Data prevista versamento],"-"))</f>
        <v>0</v>
      </c>
      <c r="AD801" s="62"/>
      <c r="AE801" s="106">
        <f>DATE(YEAR(Table2[[#This Row],[Data ultimo pagamento]]),MONTH(Table2[[#This Row],[Data ultimo pagamento]]), 1)</f>
        <v>42736</v>
      </c>
      <c r="AF801" s="106">
        <f>DATE(YEAR(Table2[[#This Row],[Data prossima scadenza]]),MONTH(Table2[[#This Row],[Data prossima scadenza]]), 1)</f>
        <v>43101</v>
      </c>
      <c r="AG801" s="33">
        <f>IFERROR(Table2[[#This Row],[Importo annuale]]*VLOOKUP(Table2[[#This Row],[Ramo]],RAMI_POLIZZA,2,FALSE),0)</f>
        <v>40.25</v>
      </c>
      <c r="AH801" s="65" t="s">
        <v>113</v>
      </c>
      <c r="AI801" s="63" t="str">
        <f>IFERROR(VLOOKUP(Table2[[#This Row],[Contraente]],Table1[[Nome/Ragione sociale]:[Checkbox selezionato]],2,FALSE),"-")</f>
        <v>PAVIA</v>
      </c>
      <c r="AJ801" s="63">
        <f>IFERROR(VLOOKUP(Table2[[#This Row],[Contraente]],Table1[[Nome/Ragione sociale]:[Checkbox selezionato]],3,FALSE),"-")</f>
        <v>3472547303</v>
      </c>
      <c r="AK801" s="63">
        <f>IFERROR(VLOOKUP(Table2[[#This Row],[Contraente]],Table1[[Nome/Ragione sociale]:[Checkbox selezionato]],4,FALSE),"-")</f>
        <v>0</v>
      </c>
      <c r="AL801" s="63" t="str">
        <f>IFERROR(VLOOKUP(Table2[[#This Row],[Contraente]],Table1[[Nome/Ragione sociale]:[Checkbox selezionato]],5,FALSE),"-")</f>
        <v>DENIS</v>
      </c>
      <c r="AM801" s="62">
        <f>IFERROR(VLOOKUP(Table2[[#This Row],[Contraente]],Table1[[Nome/Ragione sociale]:[Checkbox selezionato]],6,FALSE),"-")</f>
        <v>31245</v>
      </c>
      <c r="AN801" s="63" t="str">
        <f>IFERROR(VLOOKUP(Table2[[#This Row],[Contraente]],Table1[[Nome/Ragione sociale]:[Checkbox selezionato]],7,FALSE),"-")</f>
        <v>papies@email.it</v>
      </c>
      <c r="AO801" s="63">
        <f>IFERROR(VLOOKUP(Table2[[#This Row],[Contraente]],Table1[[Nome/Ragione sociale]:[Checkbox selezionato]],8,FALSE),"-")</f>
        <v>0</v>
      </c>
      <c r="AP801" s="63">
        <f>IFERROR(VLOOKUP(Table2[[#This Row],[Contraente]],Table1[[Nome/Ragione sociale]:[Checkbox selezionato]],10,FALSE),"-")</f>
        <v>3472547303</v>
      </c>
      <c r="AQ801" s="63" t="str">
        <f>IFERROR(VLOOKUP(Table2[[#This Row],[Contraente]],Table1[[Nome/Ragione sociale]:[Checkbox selezionato]],11,FALSE),"-")</f>
        <v>SI</v>
      </c>
      <c r="AR801" s="63" t="str">
        <f>IFERROR(VLOOKUP(Table2[[#This Row],[Contraente]],Table1[[Nome/Ragione sociale]:[Checkbox selezionato]],12,FALSE),"-")</f>
        <v>SI</v>
      </c>
    </row>
    <row r="802" spans="1:44" ht="30" hidden="1" customHeight="1" x14ac:dyDescent="0.25">
      <c r="A802" s="60" t="str">
        <f>UPPER(LEFT(Table2[[#This Row],[Contraente]],1))</f>
        <v>P</v>
      </c>
      <c r="B802" s="60" t="s">
        <v>1634</v>
      </c>
      <c r="C802" s="81" t="s">
        <v>867</v>
      </c>
      <c r="D802" s="81" t="s">
        <v>37</v>
      </c>
      <c r="E802" s="86">
        <v>1088419</v>
      </c>
      <c r="F802" s="64">
        <v>42852</v>
      </c>
      <c r="G802" s="64" t="str">
        <f>IFERROR(CALCOLASCADENZA(Table2[[#This Row],[Data attivazione]],Table2[[#This Row],[Rateizzazione]],Table2[[#This Row],[Data ultimo pagamento]],Table2[[#This Row],[Data prossima scadenza manuale]]),"-")</f>
        <v>-</v>
      </c>
      <c r="H802" s="67" t="s">
        <v>1763</v>
      </c>
      <c r="I802" s="67" t="s">
        <v>113</v>
      </c>
      <c r="J802" s="33">
        <f>IFERROR(Table2[[#This Row],[Importo annuale]]/(12/VLOOKUP(Table2[[#This Row],[Rateizzazione]],TIPI_RATEIZZAZIONI,2,FALSE)),"-")</f>
        <v>15000</v>
      </c>
      <c r="K802" s="88">
        <v>15000</v>
      </c>
      <c r="L802" s="88">
        <v>15000</v>
      </c>
      <c r="M802" s="67" t="s">
        <v>44</v>
      </c>
      <c r="N802" s="67" t="s">
        <v>52</v>
      </c>
      <c r="O802" s="27" t="s">
        <v>1631</v>
      </c>
      <c r="P802" s="33" t="s">
        <v>23</v>
      </c>
      <c r="Q80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2" s="67" t="s">
        <v>2</v>
      </c>
      <c r="V802" s="62"/>
      <c r="W802" s="64" t="e">
        <v>#VALUE!</v>
      </c>
      <c r="X802" s="29" t="e">
        <f>DATE(YEAR(Table2[[#This Row],[Data attivazione]])+VLOOKUP(Table2[[#This Row],[Durata]],VALORE_DURATA,2,FALSE),MONTH(Table2[[#This Row],[Data attivazione]]),DAY(Table2[[#This Row],[Data attivazione]]))</f>
        <v>#VALUE!</v>
      </c>
      <c r="Y802" s="65"/>
      <c r="Z802" s="61"/>
      <c r="AA802" s="64" t="s">
        <v>85</v>
      </c>
      <c r="AB802" s="29" t="str">
        <f>IF(Table2[[#This Row],[Data ultimo versamento temp]]=0/1/1900,"-",Table2[[#This Row],[Data ultimo versamento temp]])</f>
        <v>-</v>
      </c>
      <c r="AC802" s="29">
        <f t="array" ref="AC802">MAX(IF(TableVersamenti[Polizza]=Table2[[#This Row],[Polizza]],TableVersamenti[Data prevista versamento],"-"))</f>
        <v>0</v>
      </c>
      <c r="AD802" s="62"/>
      <c r="AE802" s="106">
        <f>DATE(YEAR(Table2[[#This Row],[Data ultimo pagamento]]),MONTH(Table2[[#This Row],[Data ultimo pagamento]]), 1)</f>
        <v>42826</v>
      </c>
      <c r="AF802" s="106" t="e">
        <f>DATE(YEAR(Table2[[#This Row],[Data prossima scadenza]]),MONTH(Table2[[#This Row],[Data prossima scadenza]]), 1)</f>
        <v>#VALUE!</v>
      </c>
      <c r="AG802" s="33">
        <f>IFERROR(Table2[[#This Row],[Importo annuale]]*VLOOKUP(Table2[[#This Row],[Ramo]],RAMI_POLIZZA,2,FALSE),0)</f>
        <v>0</v>
      </c>
      <c r="AH802" s="65" t="s">
        <v>113</v>
      </c>
      <c r="AI802" s="63" t="str">
        <f>IFERROR(VLOOKUP(Table2[[#This Row],[Contraente]],Table1[[Nome/Ragione sociale]:[Checkbox selezionato]],2,FALSE),"-")</f>
        <v>PAVIA</v>
      </c>
      <c r="AJ802" s="63">
        <f>IFERROR(VLOOKUP(Table2[[#This Row],[Contraente]],Table1[[Nome/Ragione sociale]:[Checkbox selezionato]],3,FALSE),"-")</f>
        <v>3472547303</v>
      </c>
      <c r="AK802" s="63">
        <f>IFERROR(VLOOKUP(Table2[[#This Row],[Contraente]],Table1[[Nome/Ragione sociale]:[Checkbox selezionato]],4,FALSE),"-")</f>
        <v>0</v>
      </c>
      <c r="AL802" s="63" t="str">
        <f>IFERROR(VLOOKUP(Table2[[#This Row],[Contraente]],Table1[[Nome/Ragione sociale]:[Checkbox selezionato]],5,FALSE),"-")</f>
        <v>DENIS</v>
      </c>
      <c r="AM802" s="62">
        <f>IFERROR(VLOOKUP(Table2[[#This Row],[Contraente]],Table1[[Nome/Ragione sociale]:[Checkbox selezionato]],6,FALSE),"-")</f>
        <v>31245</v>
      </c>
      <c r="AN802" s="63" t="str">
        <f>IFERROR(VLOOKUP(Table2[[#This Row],[Contraente]],Table1[[Nome/Ragione sociale]:[Checkbox selezionato]],7,FALSE),"-")</f>
        <v>papies@email.it</v>
      </c>
      <c r="AO802" s="63">
        <f>IFERROR(VLOOKUP(Table2[[#This Row],[Contraente]],Table1[[Nome/Ragione sociale]:[Checkbox selezionato]],8,FALSE),"-")</f>
        <v>0</v>
      </c>
      <c r="AP802" s="63">
        <f>IFERROR(VLOOKUP(Table2[[#This Row],[Contraente]],Table1[[Nome/Ragione sociale]:[Checkbox selezionato]],10,FALSE),"-")</f>
        <v>3472547303</v>
      </c>
      <c r="AQ802" s="63" t="str">
        <f>IFERROR(VLOOKUP(Table2[[#This Row],[Contraente]],Table1[[Nome/Ragione sociale]:[Checkbox selezionato]],11,FALSE),"-")</f>
        <v>SI</v>
      </c>
      <c r="AR802" s="63" t="str">
        <f>IFERROR(VLOOKUP(Table2[[#This Row],[Contraente]],Table1[[Nome/Ragione sociale]:[Checkbox selezionato]],12,FALSE),"-")</f>
        <v>SI</v>
      </c>
    </row>
    <row r="803" spans="1:44" ht="30" hidden="1" customHeight="1" x14ac:dyDescent="0.25">
      <c r="A803" s="60" t="str">
        <f>UPPER(LEFT(Table2[[#This Row],[Contraente]],1))</f>
        <v>P</v>
      </c>
      <c r="B803" s="60" t="s">
        <v>1634</v>
      </c>
      <c r="C803" s="81" t="s">
        <v>868</v>
      </c>
      <c r="D803" s="81" t="s">
        <v>37</v>
      </c>
      <c r="E803" s="86">
        <v>106646291</v>
      </c>
      <c r="F803" s="64">
        <v>42815</v>
      </c>
      <c r="G803" s="64">
        <f>IFERROR(CALCOLASCADENZA(Table2[[#This Row],[Data attivazione]],Table2[[#This Row],[Rateizzazione]],Table2[[#This Row],[Data ultimo pagamento]],Table2[[#This Row],[Data prossima scadenza manuale]]),"-")</f>
        <v>43180</v>
      </c>
      <c r="H803" s="67" t="s">
        <v>30</v>
      </c>
      <c r="I803" s="67" t="s">
        <v>113</v>
      </c>
      <c r="J803" s="33">
        <f>IFERROR(Table2[[#This Row],[Importo annuale]]/(12/VLOOKUP(Table2[[#This Row],[Rateizzazione]],TIPI_RATEIZZAZIONI,2,FALSE)),"-")</f>
        <v>210</v>
      </c>
      <c r="K803" s="88">
        <v>210</v>
      </c>
      <c r="L803" s="88">
        <v>210</v>
      </c>
      <c r="M803" s="67" t="s">
        <v>45</v>
      </c>
      <c r="N803" s="67" t="s">
        <v>52</v>
      </c>
      <c r="O803" s="27" t="s">
        <v>1631</v>
      </c>
      <c r="P803" s="33" t="s">
        <v>23</v>
      </c>
      <c r="Q803" s="60">
        <f>IFERROR(IF(12 / VLOOKUP(Table2[[#This Row],[Rateizzazione]],TIPI_RATEIZZAZIONI,2,FALSE) &gt;=1,  IF(Table2[[#This Row],[Data attivazione]] = "","-",MONTH(Table2[[#This Row],[Data attivazione]])),"-"),"-")</f>
        <v>3</v>
      </c>
      <c r="R8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3" s="67" t="s">
        <v>2</v>
      </c>
      <c r="V803" s="62"/>
      <c r="W803" s="64">
        <v>42815</v>
      </c>
      <c r="X803" s="29">
        <f>DATE(YEAR(Table2[[#This Row],[Data attivazione]])+VLOOKUP(Table2[[#This Row],[Durata]],VALORE_DURATA,2,FALSE),MONTH(Table2[[#This Row],[Data attivazione]]),DAY(Table2[[#This Row],[Data attivazione]]))</f>
        <v>43180</v>
      </c>
      <c r="Y803" s="65"/>
      <c r="Z803" s="61"/>
      <c r="AA803" s="64" t="s">
        <v>85</v>
      </c>
      <c r="AB803" s="29" t="str">
        <f>IF(Table2[[#This Row],[Data ultimo versamento temp]]=0/1/1900,"-",Table2[[#This Row],[Data ultimo versamento temp]])</f>
        <v>-</v>
      </c>
      <c r="AC803" s="29">
        <f t="array" ref="AC803">MAX(IF(TableVersamenti[Polizza]=Table2[[#This Row],[Polizza]],TableVersamenti[Data prevista versamento],"-"))</f>
        <v>0</v>
      </c>
      <c r="AD803" s="62"/>
      <c r="AE803" s="106">
        <f>DATE(YEAR(Table2[[#This Row],[Data ultimo pagamento]]),MONTH(Table2[[#This Row],[Data ultimo pagamento]]), 1)</f>
        <v>42795</v>
      </c>
      <c r="AF803" s="106">
        <f>DATE(YEAR(Table2[[#This Row],[Data prossima scadenza]]),MONTH(Table2[[#This Row],[Data prossima scadenza]]), 1)</f>
        <v>43160</v>
      </c>
      <c r="AG803" s="33">
        <f>IFERROR(Table2[[#This Row],[Importo annuale]]*VLOOKUP(Table2[[#This Row],[Ramo]],RAMI_POLIZZA,2,FALSE),0)</f>
        <v>24.150000000000002</v>
      </c>
      <c r="AH803" s="65" t="s">
        <v>113</v>
      </c>
      <c r="AI803" s="63" t="str">
        <f>IFERROR(VLOOKUP(Table2[[#This Row],[Contraente]],Table1[[Nome/Ragione sociale]:[Checkbox selezionato]],2,FALSE),"-")</f>
        <v>PAVIA</v>
      </c>
      <c r="AJ803" s="63">
        <f>IFERROR(VLOOKUP(Table2[[#This Row],[Contraente]],Table1[[Nome/Ragione sociale]:[Checkbox selezionato]],3,FALSE),"-")</f>
        <v>3201549885</v>
      </c>
      <c r="AK803" s="63">
        <f>IFERROR(VLOOKUP(Table2[[#This Row],[Contraente]],Table1[[Nome/Ragione sociale]:[Checkbox selezionato]],4,FALSE),"-")</f>
        <v>0</v>
      </c>
      <c r="AL803" s="63" t="str">
        <f>IFERROR(VLOOKUP(Table2[[#This Row],[Contraente]],Table1[[Nome/Ragione sociale]:[Checkbox selezionato]],5,FALSE),"-")</f>
        <v>VALERIA</v>
      </c>
      <c r="AM803" s="62">
        <f>IFERROR(VLOOKUP(Table2[[#This Row],[Contraente]],Table1[[Nome/Ragione sociale]:[Checkbox selezionato]],6,FALSE),"-")</f>
        <v>30935</v>
      </c>
      <c r="AN803" s="63" t="str">
        <f>IFERROR(VLOOKUP(Table2[[#This Row],[Contraente]],Table1[[Nome/Ragione sociale]:[Checkbox selezionato]],7,FALSE),"-")</f>
        <v>papies@libero.it</v>
      </c>
      <c r="AO803" s="63">
        <f>IFERROR(VLOOKUP(Table2[[#This Row],[Contraente]],Table1[[Nome/Ragione sociale]:[Checkbox selezionato]],8,FALSE),"-")</f>
        <v>0</v>
      </c>
      <c r="AP803" s="63">
        <f>IFERROR(VLOOKUP(Table2[[#This Row],[Contraente]],Table1[[Nome/Ragione sociale]:[Checkbox selezionato]],10,FALSE),"-")</f>
        <v>3201549885</v>
      </c>
      <c r="AQ803" s="63" t="str">
        <f>IFERROR(VLOOKUP(Table2[[#This Row],[Contraente]],Table1[[Nome/Ragione sociale]:[Checkbox selezionato]],11,FALSE),"-")</f>
        <v>SI</v>
      </c>
      <c r="AR803" s="63" t="str">
        <f>IFERROR(VLOOKUP(Table2[[#This Row],[Contraente]],Table1[[Nome/Ragione sociale]:[Checkbox selezionato]],12,FALSE),"-")</f>
        <v>SI</v>
      </c>
    </row>
    <row r="804" spans="1:44" ht="30" hidden="1" customHeight="1" x14ac:dyDescent="0.25">
      <c r="A804" s="60" t="str">
        <f>UPPER(LEFT(Table2[[#This Row],[Contraente]],1))</f>
        <v>P</v>
      </c>
      <c r="B804" s="60" t="s">
        <v>1634</v>
      </c>
      <c r="C804" s="81" t="s">
        <v>868</v>
      </c>
      <c r="D804" s="81" t="s">
        <v>37</v>
      </c>
      <c r="E804" s="86">
        <v>106646377</v>
      </c>
      <c r="F804" s="64">
        <v>42815</v>
      </c>
      <c r="G804" s="64">
        <f>IFERROR(CALCOLASCADENZA(Table2[[#This Row],[Data attivazione]],Table2[[#This Row],[Rateizzazione]],Table2[[#This Row],[Data ultimo pagamento]],Table2[[#This Row],[Data prossima scadenza manuale]]),"-")</f>
        <v>43180</v>
      </c>
      <c r="H804" s="67" t="s">
        <v>30</v>
      </c>
      <c r="I804" s="67" t="s">
        <v>113</v>
      </c>
      <c r="J804" s="33">
        <f>IFERROR(Table2[[#This Row],[Importo annuale]]/(12/VLOOKUP(Table2[[#This Row],[Rateizzazione]],TIPI_RATEIZZAZIONI,2,FALSE)),"-")</f>
        <v>214</v>
      </c>
      <c r="K804" s="88">
        <v>214</v>
      </c>
      <c r="L804" s="88">
        <v>214</v>
      </c>
      <c r="M804" s="67" t="s">
        <v>45</v>
      </c>
      <c r="N804" s="67" t="s">
        <v>52</v>
      </c>
      <c r="O804" s="27" t="s">
        <v>1631</v>
      </c>
      <c r="P804" s="33" t="s">
        <v>23</v>
      </c>
      <c r="Q804" s="60">
        <f>IFERROR(IF(12 / VLOOKUP(Table2[[#This Row],[Rateizzazione]],TIPI_RATEIZZAZIONI,2,FALSE) &gt;=1,  IF(Table2[[#This Row],[Data attivazione]] = "","-",MONTH(Table2[[#This Row],[Data attivazione]])),"-"),"-")</f>
        <v>3</v>
      </c>
      <c r="R8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4" s="67" t="s">
        <v>2</v>
      </c>
      <c r="V804" s="62"/>
      <c r="W804" s="64">
        <v>42815</v>
      </c>
      <c r="X804" s="29">
        <f>DATE(YEAR(Table2[[#This Row],[Data attivazione]])+VLOOKUP(Table2[[#This Row],[Durata]],VALORE_DURATA,2,FALSE),MONTH(Table2[[#This Row],[Data attivazione]]),DAY(Table2[[#This Row],[Data attivazione]]))</f>
        <v>43180</v>
      </c>
      <c r="Y804" s="65"/>
      <c r="Z804" s="61"/>
      <c r="AA804" s="64" t="s">
        <v>85</v>
      </c>
      <c r="AB804" s="29" t="str">
        <f>IF(Table2[[#This Row],[Data ultimo versamento temp]]=0/1/1900,"-",Table2[[#This Row],[Data ultimo versamento temp]])</f>
        <v>-</v>
      </c>
      <c r="AC804" s="29">
        <f t="array" ref="AC804">MAX(IF(TableVersamenti[Polizza]=Table2[[#This Row],[Polizza]],TableVersamenti[Data prevista versamento],"-"))</f>
        <v>0</v>
      </c>
      <c r="AD804" s="62"/>
      <c r="AE804" s="106">
        <f>DATE(YEAR(Table2[[#This Row],[Data ultimo pagamento]]),MONTH(Table2[[#This Row],[Data ultimo pagamento]]), 1)</f>
        <v>42795</v>
      </c>
      <c r="AF804" s="106">
        <f>DATE(YEAR(Table2[[#This Row],[Data prossima scadenza]]),MONTH(Table2[[#This Row],[Data prossima scadenza]]), 1)</f>
        <v>43160</v>
      </c>
      <c r="AG804" s="33">
        <f>IFERROR(Table2[[#This Row],[Importo annuale]]*VLOOKUP(Table2[[#This Row],[Ramo]],RAMI_POLIZZA,2,FALSE),0)</f>
        <v>24.61</v>
      </c>
      <c r="AH804" s="65" t="s">
        <v>113</v>
      </c>
      <c r="AI804" s="63" t="str">
        <f>IFERROR(VLOOKUP(Table2[[#This Row],[Contraente]],Table1[[Nome/Ragione sociale]:[Checkbox selezionato]],2,FALSE),"-")</f>
        <v>PAVIA</v>
      </c>
      <c r="AJ804" s="63">
        <f>IFERROR(VLOOKUP(Table2[[#This Row],[Contraente]],Table1[[Nome/Ragione sociale]:[Checkbox selezionato]],3,FALSE),"-")</f>
        <v>3201549885</v>
      </c>
      <c r="AK804" s="63">
        <f>IFERROR(VLOOKUP(Table2[[#This Row],[Contraente]],Table1[[Nome/Ragione sociale]:[Checkbox selezionato]],4,FALSE),"-")</f>
        <v>0</v>
      </c>
      <c r="AL804" s="63" t="str">
        <f>IFERROR(VLOOKUP(Table2[[#This Row],[Contraente]],Table1[[Nome/Ragione sociale]:[Checkbox selezionato]],5,FALSE),"-")</f>
        <v>VALERIA</v>
      </c>
      <c r="AM804" s="62">
        <f>IFERROR(VLOOKUP(Table2[[#This Row],[Contraente]],Table1[[Nome/Ragione sociale]:[Checkbox selezionato]],6,FALSE),"-")</f>
        <v>30935</v>
      </c>
      <c r="AN804" s="63" t="str">
        <f>IFERROR(VLOOKUP(Table2[[#This Row],[Contraente]],Table1[[Nome/Ragione sociale]:[Checkbox selezionato]],7,FALSE),"-")</f>
        <v>papies@libero.it</v>
      </c>
      <c r="AO804" s="63">
        <f>IFERROR(VLOOKUP(Table2[[#This Row],[Contraente]],Table1[[Nome/Ragione sociale]:[Checkbox selezionato]],8,FALSE),"-")</f>
        <v>0</v>
      </c>
      <c r="AP804" s="63">
        <f>IFERROR(VLOOKUP(Table2[[#This Row],[Contraente]],Table1[[Nome/Ragione sociale]:[Checkbox selezionato]],10,FALSE),"-")</f>
        <v>3201549885</v>
      </c>
      <c r="AQ804" s="63" t="str">
        <f>IFERROR(VLOOKUP(Table2[[#This Row],[Contraente]],Table1[[Nome/Ragione sociale]:[Checkbox selezionato]],11,FALSE),"-")</f>
        <v>SI</v>
      </c>
      <c r="AR804" s="63" t="str">
        <f>IFERROR(VLOOKUP(Table2[[#This Row],[Contraente]],Table1[[Nome/Ragione sociale]:[Checkbox selezionato]],12,FALSE),"-")</f>
        <v>SI</v>
      </c>
    </row>
    <row r="805" spans="1:44" ht="30" hidden="1" customHeight="1" x14ac:dyDescent="0.25">
      <c r="A805" s="60" t="str">
        <f>UPPER(LEFT(Table2[[#This Row],[Contraente]],1))</f>
        <v>P</v>
      </c>
      <c r="B805" s="60" t="s">
        <v>1634</v>
      </c>
      <c r="C805" s="81" t="s">
        <v>868</v>
      </c>
      <c r="D805" s="81" t="s">
        <v>37</v>
      </c>
      <c r="E805" s="86">
        <v>1086324</v>
      </c>
      <c r="F805" s="64">
        <v>42815</v>
      </c>
      <c r="G805" s="64">
        <f>IFERROR(CALCOLASCADENZA(Table2[[#This Row],[Data attivazione]],Table2[[#This Row],[Rateizzazione]],Table2[[#This Row],[Data ultimo pagamento]],Table2[[#This Row],[Data prossima scadenza manuale]]),"-")</f>
        <v>43179</v>
      </c>
      <c r="H805" s="67" t="s">
        <v>32</v>
      </c>
      <c r="I805" s="67" t="s">
        <v>113</v>
      </c>
      <c r="J805" s="33">
        <f>IFERROR(Table2[[#This Row],[Importo annuale]]/(12/VLOOKUP(Table2[[#This Row],[Rateizzazione]],TIPI_RATEIZZAZIONI,2,FALSE)),"-")</f>
        <v>80</v>
      </c>
      <c r="K805" s="88">
        <v>80</v>
      </c>
      <c r="L805" s="88">
        <v>80</v>
      </c>
      <c r="M805" s="67" t="s">
        <v>45</v>
      </c>
      <c r="N805" s="67" t="s">
        <v>52</v>
      </c>
      <c r="O805" s="27" t="s">
        <v>1631</v>
      </c>
      <c r="P805" s="33" t="s">
        <v>23</v>
      </c>
      <c r="Q805" s="60">
        <f>IFERROR(IF(12 / VLOOKUP(Table2[[#This Row],[Rateizzazione]],TIPI_RATEIZZAZIONI,2,FALSE) &gt;=1,  IF(Table2[[#This Row],[Data attivazione]] = "","-",MONTH(Table2[[#This Row],[Data attivazione]])),"-"),"-")</f>
        <v>3</v>
      </c>
      <c r="R8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5" s="67" t="s">
        <v>2</v>
      </c>
      <c r="V805" s="62"/>
      <c r="W805" s="64">
        <v>42814</v>
      </c>
      <c r="X805" s="29">
        <f>DATE(YEAR(Table2[[#This Row],[Data attivazione]])+VLOOKUP(Table2[[#This Row],[Durata]],VALORE_DURATA,2,FALSE),MONTH(Table2[[#This Row],[Data attivazione]]),DAY(Table2[[#This Row],[Data attivazione]]))</f>
        <v>43179</v>
      </c>
      <c r="Y805" s="65"/>
      <c r="Z805" s="61"/>
      <c r="AA805" s="64" t="s">
        <v>85</v>
      </c>
      <c r="AB805" s="29" t="str">
        <f>IF(Table2[[#This Row],[Data ultimo versamento temp]]=0/1/1900,"-",Table2[[#This Row],[Data ultimo versamento temp]])</f>
        <v>-</v>
      </c>
      <c r="AC805" s="29">
        <f t="array" ref="AC805">MAX(IF(TableVersamenti[Polizza]=Table2[[#This Row],[Polizza]],TableVersamenti[Data prevista versamento],"-"))</f>
        <v>0</v>
      </c>
      <c r="AD805" s="62"/>
      <c r="AE805" s="106">
        <f>DATE(YEAR(Table2[[#This Row],[Data ultimo pagamento]]),MONTH(Table2[[#This Row],[Data ultimo pagamento]]), 1)</f>
        <v>42795</v>
      </c>
      <c r="AF805" s="106">
        <f>DATE(YEAR(Table2[[#This Row],[Data prossima scadenza]]),MONTH(Table2[[#This Row],[Data prossima scadenza]]), 1)</f>
        <v>43160</v>
      </c>
      <c r="AG805" s="33">
        <f>IFERROR(Table2[[#This Row],[Importo annuale]]*VLOOKUP(Table2[[#This Row],[Ramo]],RAMI_POLIZZA,2,FALSE),0)</f>
        <v>1.2</v>
      </c>
      <c r="AH805" s="65" t="s">
        <v>113</v>
      </c>
      <c r="AI805" s="63" t="str">
        <f>IFERROR(VLOOKUP(Table2[[#This Row],[Contraente]],Table1[[Nome/Ragione sociale]:[Checkbox selezionato]],2,FALSE),"-")</f>
        <v>PAVIA</v>
      </c>
      <c r="AJ805" s="63">
        <f>IFERROR(VLOOKUP(Table2[[#This Row],[Contraente]],Table1[[Nome/Ragione sociale]:[Checkbox selezionato]],3,FALSE),"-")</f>
        <v>3201549885</v>
      </c>
      <c r="AK805" s="63">
        <f>IFERROR(VLOOKUP(Table2[[#This Row],[Contraente]],Table1[[Nome/Ragione sociale]:[Checkbox selezionato]],4,FALSE),"-")</f>
        <v>0</v>
      </c>
      <c r="AL805" s="63" t="str">
        <f>IFERROR(VLOOKUP(Table2[[#This Row],[Contraente]],Table1[[Nome/Ragione sociale]:[Checkbox selezionato]],5,FALSE),"-")</f>
        <v>VALERIA</v>
      </c>
      <c r="AM805" s="62">
        <f>IFERROR(VLOOKUP(Table2[[#This Row],[Contraente]],Table1[[Nome/Ragione sociale]:[Checkbox selezionato]],6,FALSE),"-")</f>
        <v>30935</v>
      </c>
      <c r="AN805" s="63" t="str">
        <f>IFERROR(VLOOKUP(Table2[[#This Row],[Contraente]],Table1[[Nome/Ragione sociale]:[Checkbox selezionato]],7,FALSE),"-")</f>
        <v>papies@libero.it</v>
      </c>
      <c r="AO805" s="63">
        <f>IFERROR(VLOOKUP(Table2[[#This Row],[Contraente]],Table1[[Nome/Ragione sociale]:[Checkbox selezionato]],8,FALSE),"-")</f>
        <v>0</v>
      </c>
      <c r="AP805" s="63">
        <f>IFERROR(VLOOKUP(Table2[[#This Row],[Contraente]],Table1[[Nome/Ragione sociale]:[Checkbox selezionato]],10,FALSE),"-")</f>
        <v>3201549885</v>
      </c>
      <c r="AQ805" s="63" t="str">
        <f>IFERROR(VLOOKUP(Table2[[#This Row],[Contraente]],Table1[[Nome/Ragione sociale]:[Checkbox selezionato]],11,FALSE),"-")</f>
        <v>SI</v>
      </c>
      <c r="AR805" s="63" t="str">
        <f>IFERROR(VLOOKUP(Table2[[#This Row],[Contraente]],Table1[[Nome/Ragione sociale]:[Checkbox selezionato]],12,FALSE),"-")</f>
        <v>SI</v>
      </c>
    </row>
    <row r="806" spans="1:44" ht="30" hidden="1" customHeight="1" x14ac:dyDescent="0.25">
      <c r="A806" s="60" t="str">
        <f>UPPER(LEFT(Table2[[#This Row],[Contraente]],1))</f>
        <v>P</v>
      </c>
      <c r="B806" s="60" t="s">
        <v>1634</v>
      </c>
      <c r="C806" s="81" t="s">
        <v>872</v>
      </c>
      <c r="D806" s="81" t="s">
        <v>37</v>
      </c>
      <c r="E806" s="86">
        <v>1079462</v>
      </c>
      <c r="F806" s="64">
        <v>42870</v>
      </c>
      <c r="G806" s="64">
        <f>IFERROR(CALCOLASCADENZA(Table2[[#This Row],[Data attivazione]],Table2[[#This Row],[Rateizzazione]],Table2[[#This Row],[Data ultimo pagamento]],Table2[[#This Row],[Data prossima scadenza manuale]]),"-")</f>
        <v>43054</v>
      </c>
      <c r="H806" s="67" t="s">
        <v>32</v>
      </c>
      <c r="I806" s="67" t="s">
        <v>113</v>
      </c>
      <c r="J806" s="33">
        <f>IFERROR(Table2[[#This Row],[Importo annuale]]/(12/VLOOKUP(Table2[[#This Row],[Rateizzazione]],TIPI_RATEIZZAZIONI,2,FALSE)),"-")</f>
        <v>71.89</v>
      </c>
      <c r="K806" s="88">
        <v>71.89</v>
      </c>
      <c r="L806" s="88">
        <v>143.78</v>
      </c>
      <c r="M806" s="67" t="s">
        <v>45</v>
      </c>
      <c r="N806" s="67" t="s">
        <v>52</v>
      </c>
      <c r="O806" s="27" t="s">
        <v>1631</v>
      </c>
      <c r="P806" s="33" t="s">
        <v>22</v>
      </c>
      <c r="Q806" s="60">
        <f>IFERROR(IF(12 / VLOOKUP(Table2[[#This Row],[Rateizzazione]],TIPI_RATEIZZAZIONI,2,FALSE) &gt;=1,  IF(Table2[[#This Row],[Data attivazione]] = "","-",MONTH(Table2[[#This Row],[Data attivazione]])),"-"),"-")</f>
        <v>11</v>
      </c>
      <c r="R8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6" s="67" t="s">
        <v>2</v>
      </c>
      <c r="V806" s="62"/>
      <c r="W806" s="64">
        <v>42689</v>
      </c>
      <c r="X806" s="29">
        <f>DATE(YEAR(Table2[[#This Row],[Data attivazione]])+VLOOKUP(Table2[[#This Row],[Durata]],VALORE_DURATA,2,FALSE),MONTH(Table2[[#This Row],[Data attivazione]]),DAY(Table2[[#This Row],[Data attivazione]]))</f>
        <v>43054</v>
      </c>
      <c r="Y806" s="65"/>
      <c r="Z806" s="61"/>
      <c r="AA806" s="64" t="s">
        <v>85</v>
      </c>
      <c r="AB806" s="29" t="str">
        <f>IF(Table2[[#This Row],[Data ultimo versamento temp]]=0/1/1900,"-",Table2[[#This Row],[Data ultimo versamento temp]])</f>
        <v>-</v>
      </c>
      <c r="AC806" s="29">
        <f t="array" ref="AC806">MAX(IF(TableVersamenti[Polizza]=Table2[[#This Row],[Polizza]],TableVersamenti[Data prevista versamento],"-"))</f>
        <v>0</v>
      </c>
      <c r="AD806" s="62"/>
      <c r="AE806" s="106">
        <f>DATE(YEAR(Table2[[#This Row],[Data ultimo pagamento]]),MONTH(Table2[[#This Row],[Data ultimo pagamento]]), 1)</f>
        <v>42856</v>
      </c>
      <c r="AF806" s="106">
        <f>DATE(YEAR(Table2[[#This Row],[Data prossima scadenza]]),MONTH(Table2[[#This Row],[Data prossima scadenza]]), 1)</f>
        <v>43040</v>
      </c>
      <c r="AG806" s="33">
        <f>IFERROR(Table2[[#This Row],[Importo annuale]]*VLOOKUP(Table2[[#This Row],[Ramo]],RAMI_POLIZZA,2,FALSE),0)</f>
        <v>2.1566999999999998</v>
      </c>
      <c r="AH806" s="65" t="s">
        <v>113</v>
      </c>
      <c r="AI806" s="63" t="str">
        <f>IFERROR(VLOOKUP(Table2[[#This Row],[Contraente]],Table1[[Nome/Ragione sociale]:[Checkbox selezionato]],2,FALSE),"-")</f>
        <v>BELGIOIOSO</v>
      </c>
      <c r="AJ806" s="63">
        <f>IFERROR(VLOOKUP(Table2[[#This Row],[Contraente]],Table1[[Nome/Ragione sociale]:[Checkbox selezionato]],3,FALSE),"-")</f>
        <v>3389247566</v>
      </c>
      <c r="AK806" s="63">
        <f>IFERROR(VLOOKUP(Table2[[#This Row],[Contraente]],Table1[[Nome/Ragione sociale]:[Checkbox selezionato]],4,FALSE),"-")</f>
        <v>0</v>
      </c>
      <c r="AL806" s="63" t="str">
        <f>IFERROR(VLOOKUP(Table2[[#This Row],[Contraente]],Table1[[Nome/Ragione sociale]:[Checkbox selezionato]],5,FALSE),"-")</f>
        <v>ANTONIO</v>
      </c>
      <c r="AM806" s="62">
        <f>IFERROR(VLOOKUP(Table2[[#This Row],[Contraente]],Table1[[Nome/Ragione sociale]:[Checkbox selezionato]],6,FALSE),"-")</f>
        <v>24008</v>
      </c>
      <c r="AN806" s="63" t="str">
        <f>IFERROR(VLOOKUP(Table2[[#This Row],[Contraente]],Table1[[Nome/Ragione sociale]:[Checkbox selezionato]],7,FALSE),"-")</f>
        <v>papies@libero.it</v>
      </c>
      <c r="AO806" s="63">
        <f>IFERROR(VLOOKUP(Table2[[#This Row],[Contraente]],Table1[[Nome/Ragione sociale]:[Checkbox selezionato]],8,FALSE),"-")</f>
        <v>0</v>
      </c>
      <c r="AP806" s="63">
        <f>IFERROR(VLOOKUP(Table2[[#This Row],[Contraente]],Table1[[Nome/Ragione sociale]:[Checkbox selezionato]],10,FALSE),"-")</f>
        <v>3389247566</v>
      </c>
      <c r="AQ806" s="63" t="str">
        <f>IFERROR(VLOOKUP(Table2[[#This Row],[Contraente]],Table1[[Nome/Ragione sociale]:[Checkbox selezionato]],11,FALSE),"-")</f>
        <v>SI</v>
      </c>
      <c r="AR806" s="63" t="str">
        <f>IFERROR(VLOOKUP(Table2[[#This Row],[Contraente]],Table1[[Nome/Ragione sociale]:[Checkbox selezionato]],12,FALSE),"-")</f>
        <v>SI</v>
      </c>
    </row>
    <row r="807" spans="1:44" ht="30" hidden="1" customHeight="1" x14ac:dyDescent="0.25">
      <c r="A807" s="60" t="str">
        <f>UPPER(LEFT(Table2[[#This Row],[Contraente]],1))</f>
        <v>P</v>
      </c>
      <c r="B807" s="60" t="s">
        <v>1634</v>
      </c>
      <c r="C807" s="81" t="s">
        <v>872</v>
      </c>
      <c r="D807" s="81" t="s">
        <v>37</v>
      </c>
      <c r="E807" s="86">
        <v>106226090</v>
      </c>
      <c r="F807" s="64">
        <v>42870</v>
      </c>
      <c r="G807" s="64">
        <f>IFERROR(CALCOLASCADENZA(Table2[[#This Row],[Data attivazione]],Table2[[#This Row],[Rateizzazione]],Table2[[#This Row],[Data ultimo pagamento]],Table2[[#This Row],[Data prossima scadenza manuale]]),"-")</f>
        <v>43054</v>
      </c>
      <c r="H807" s="67" t="s">
        <v>30</v>
      </c>
      <c r="I807" s="67" t="s">
        <v>113</v>
      </c>
      <c r="J807" s="33">
        <f>IFERROR(Table2[[#This Row],[Importo annuale]]/(12/VLOOKUP(Table2[[#This Row],[Rateizzazione]],TIPI_RATEIZZAZIONI,2,FALSE)),"-")</f>
        <v>104</v>
      </c>
      <c r="K807" s="88">
        <v>104</v>
      </c>
      <c r="L807" s="88">
        <v>208</v>
      </c>
      <c r="M807" s="67" t="s">
        <v>45</v>
      </c>
      <c r="N807" s="67" t="s">
        <v>52</v>
      </c>
      <c r="O807" s="27" t="s">
        <v>1631</v>
      </c>
      <c r="P807" s="33" t="s">
        <v>22</v>
      </c>
      <c r="Q807" s="60">
        <f>IFERROR(IF(12 / VLOOKUP(Table2[[#This Row],[Rateizzazione]],TIPI_RATEIZZAZIONI,2,FALSE) &gt;=1,  IF(Table2[[#This Row],[Data attivazione]] = "","-",MONTH(Table2[[#This Row],[Data attivazione]])),"-"),"-")</f>
        <v>11</v>
      </c>
      <c r="R8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7" s="67" t="s">
        <v>2</v>
      </c>
      <c r="V807" s="62"/>
      <c r="W807" s="64">
        <v>42689</v>
      </c>
      <c r="X807" s="29">
        <f>DATE(YEAR(Table2[[#This Row],[Data attivazione]])+VLOOKUP(Table2[[#This Row],[Durata]],VALORE_DURATA,2,FALSE),MONTH(Table2[[#This Row],[Data attivazione]]),DAY(Table2[[#This Row],[Data attivazione]]))</f>
        <v>43054</v>
      </c>
      <c r="Y807" s="65"/>
      <c r="Z807" s="61"/>
      <c r="AA807" s="64" t="s">
        <v>85</v>
      </c>
      <c r="AB807" s="29" t="str">
        <f>IF(Table2[[#This Row],[Data ultimo versamento temp]]=0/1/1900,"-",Table2[[#This Row],[Data ultimo versamento temp]])</f>
        <v>-</v>
      </c>
      <c r="AC807" s="29">
        <f t="array" ref="AC807">MAX(IF(TableVersamenti[Polizza]=Table2[[#This Row],[Polizza]],TableVersamenti[Data prevista versamento],"-"))</f>
        <v>0</v>
      </c>
      <c r="AD807" s="62"/>
      <c r="AE807" s="106">
        <f>DATE(YEAR(Table2[[#This Row],[Data ultimo pagamento]]),MONTH(Table2[[#This Row],[Data ultimo pagamento]]), 1)</f>
        <v>42856</v>
      </c>
      <c r="AF807" s="106">
        <f>DATE(YEAR(Table2[[#This Row],[Data prossima scadenza]]),MONTH(Table2[[#This Row],[Data prossima scadenza]]), 1)</f>
        <v>43040</v>
      </c>
      <c r="AG807" s="33">
        <f>IFERROR(Table2[[#This Row],[Importo annuale]]*VLOOKUP(Table2[[#This Row],[Ramo]],RAMI_POLIZZA,2,FALSE),0)</f>
        <v>23.92</v>
      </c>
      <c r="AH807" s="65" t="s">
        <v>113</v>
      </c>
      <c r="AI807" s="63" t="str">
        <f>IFERROR(VLOOKUP(Table2[[#This Row],[Contraente]],Table1[[Nome/Ragione sociale]:[Checkbox selezionato]],2,FALSE),"-")</f>
        <v>BELGIOIOSO</v>
      </c>
      <c r="AJ807" s="63">
        <f>IFERROR(VLOOKUP(Table2[[#This Row],[Contraente]],Table1[[Nome/Ragione sociale]:[Checkbox selezionato]],3,FALSE),"-")</f>
        <v>3389247566</v>
      </c>
      <c r="AK807" s="63">
        <f>IFERROR(VLOOKUP(Table2[[#This Row],[Contraente]],Table1[[Nome/Ragione sociale]:[Checkbox selezionato]],4,FALSE),"-")</f>
        <v>0</v>
      </c>
      <c r="AL807" s="63" t="str">
        <f>IFERROR(VLOOKUP(Table2[[#This Row],[Contraente]],Table1[[Nome/Ragione sociale]:[Checkbox selezionato]],5,FALSE),"-")</f>
        <v>ANTONIO</v>
      </c>
      <c r="AM807" s="62">
        <f>IFERROR(VLOOKUP(Table2[[#This Row],[Contraente]],Table1[[Nome/Ragione sociale]:[Checkbox selezionato]],6,FALSE),"-")</f>
        <v>24008</v>
      </c>
      <c r="AN807" s="63" t="str">
        <f>IFERROR(VLOOKUP(Table2[[#This Row],[Contraente]],Table1[[Nome/Ragione sociale]:[Checkbox selezionato]],7,FALSE),"-")</f>
        <v>papies@libero.it</v>
      </c>
      <c r="AO807" s="63">
        <f>IFERROR(VLOOKUP(Table2[[#This Row],[Contraente]],Table1[[Nome/Ragione sociale]:[Checkbox selezionato]],8,FALSE),"-")</f>
        <v>0</v>
      </c>
      <c r="AP807" s="63">
        <f>IFERROR(VLOOKUP(Table2[[#This Row],[Contraente]],Table1[[Nome/Ragione sociale]:[Checkbox selezionato]],10,FALSE),"-")</f>
        <v>3389247566</v>
      </c>
      <c r="AQ807" s="63" t="str">
        <f>IFERROR(VLOOKUP(Table2[[#This Row],[Contraente]],Table1[[Nome/Ragione sociale]:[Checkbox selezionato]],11,FALSE),"-")</f>
        <v>SI</v>
      </c>
      <c r="AR807" s="63" t="str">
        <f>IFERROR(VLOOKUP(Table2[[#This Row],[Contraente]],Table1[[Nome/Ragione sociale]:[Checkbox selezionato]],12,FALSE),"-")</f>
        <v>SI</v>
      </c>
    </row>
    <row r="808" spans="1:44" ht="30" hidden="1" customHeight="1" x14ac:dyDescent="0.25">
      <c r="A808" s="60" t="str">
        <f>UPPER(LEFT(Table2[[#This Row],[Contraente]],1))</f>
        <v>P</v>
      </c>
      <c r="B808" s="60" t="s">
        <v>1634</v>
      </c>
      <c r="C808" s="81" t="s">
        <v>155</v>
      </c>
      <c r="D808" s="81" t="s">
        <v>37</v>
      </c>
      <c r="E808" s="86">
        <v>105903531</v>
      </c>
      <c r="F808" s="64">
        <v>42762</v>
      </c>
      <c r="G808" s="64">
        <f>IFERROR(CALCOLASCADENZA(Table2[[#This Row],[Data attivazione]],Table2[[#This Row],[Rateizzazione]],Table2[[#This Row],[Data ultimo pagamento]],Table2[[#This Row],[Data prossima scadenza manuale]]),"-")</f>
        <v>42762</v>
      </c>
      <c r="H808" s="67" t="s">
        <v>30</v>
      </c>
      <c r="I808" s="67" t="s">
        <v>113</v>
      </c>
      <c r="J808" s="33">
        <v>67</v>
      </c>
      <c r="K808" s="88">
        <v>67</v>
      </c>
      <c r="L808" s="88">
        <v>181.58</v>
      </c>
      <c r="M808" s="67" t="s">
        <v>43</v>
      </c>
      <c r="N808" s="67" t="s">
        <v>52</v>
      </c>
      <c r="O808" s="27" t="s">
        <v>1631</v>
      </c>
      <c r="P808" s="33" t="s">
        <v>24</v>
      </c>
      <c r="Q80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8" s="67" t="s">
        <v>2</v>
      </c>
      <c r="V808" s="62"/>
      <c r="W808" s="64">
        <v>42580</v>
      </c>
      <c r="X808" s="29">
        <f>DATE(YEAR(Table2[[#This Row],[Data attivazione]])+VLOOKUP(Table2[[#This Row],[Durata]],VALORE_DURATA,2,FALSE),MONTH(Table2[[#This Row],[Data attivazione]]),DAY(Table2[[#This Row],[Data attivazione]]))</f>
        <v>42945</v>
      </c>
      <c r="Y808" s="65"/>
      <c r="Z808" s="61"/>
      <c r="AA808" s="64" t="s">
        <v>85</v>
      </c>
      <c r="AB808" s="29" t="str">
        <f>IF(Table2[[#This Row],[Data ultimo versamento temp]]=0/1/1900,"-",Table2[[#This Row],[Data ultimo versamento temp]])</f>
        <v>-</v>
      </c>
      <c r="AC808" s="29">
        <f t="array" ref="AC808">MAX(IF(TableVersamenti[Polizza]=Table2[[#This Row],[Polizza]],TableVersamenti[Data prevista versamento],"-"))</f>
        <v>0</v>
      </c>
      <c r="AD808" s="62"/>
      <c r="AE808" s="106">
        <f>DATE(YEAR(Table2[[#This Row],[Data ultimo pagamento]]),MONTH(Table2[[#This Row],[Data ultimo pagamento]]), 1)</f>
        <v>42736</v>
      </c>
      <c r="AF808" s="106">
        <f>DATE(YEAR(Table2[[#This Row],[Data prossima scadenza]]),MONTH(Table2[[#This Row],[Data prossima scadenza]]), 1)</f>
        <v>42736</v>
      </c>
      <c r="AG808" s="33">
        <f>IFERROR(Table2[[#This Row],[Importo annuale]]*VLOOKUP(Table2[[#This Row],[Ramo]],RAMI_POLIZZA,2,FALSE),0)</f>
        <v>20.881700000000002</v>
      </c>
      <c r="AH808" s="65" t="s">
        <v>113</v>
      </c>
      <c r="AI808" s="63" t="str">
        <f>IFERROR(VLOOKUP(Table2[[#This Row],[Contraente]],Table1[[Nome/Ragione sociale]:[Checkbox selezionato]],2,FALSE),"-")</f>
        <v xml:space="preserve">BELGIOIOSO </v>
      </c>
      <c r="AJ808" s="63">
        <f>IFERROR(VLOOKUP(Table2[[#This Row],[Contraente]],Table1[[Nome/Ragione sociale]:[Checkbox selezionato]],3,FALSE),"-")</f>
        <v>3384694699</v>
      </c>
      <c r="AK808" s="63">
        <f>IFERROR(VLOOKUP(Table2[[#This Row],[Contraente]],Table1[[Nome/Ragione sociale]:[Checkbox selezionato]],4,FALSE),"-")</f>
        <v>0</v>
      </c>
      <c r="AL808" s="63" t="str">
        <f>IFERROR(VLOOKUP(Table2[[#This Row],[Contraente]],Table1[[Nome/Ragione sociale]:[Checkbox selezionato]],5,FALSE),"-")</f>
        <v>ELISA</v>
      </c>
      <c r="AM808" s="62">
        <f>IFERROR(VLOOKUP(Table2[[#This Row],[Contraente]],Table1[[Nome/Ragione sociale]:[Checkbox selezionato]],6,FALSE),"-")</f>
        <v>32409</v>
      </c>
      <c r="AN808" s="63" t="str">
        <f>IFERROR(VLOOKUP(Table2[[#This Row],[Contraente]],Table1[[Nome/Ragione sociale]:[Checkbox selezionato]],7,FALSE),"-")</f>
        <v>papies@email.it</v>
      </c>
      <c r="AO808" s="63">
        <f>IFERROR(VLOOKUP(Table2[[#This Row],[Contraente]],Table1[[Nome/Ragione sociale]:[Checkbox selezionato]],8,FALSE),"-")</f>
        <v>0</v>
      </c>
      <c r="AP808" s="63">
        <f>IFERROR(VLOOKUP(Table2[[#This Row],[Contraente]],Table1[[Nome/Ragione sociale]:[Checkbox selezionato]],10,FALSE),"-")</f>
        <v>3384694699</v>
      </c>
      <c r="AQ808" s="63" t="str">
        <f>IFERROR(VLOOKUP(Table2[[#This Row],[Contraente]],Table1[[Nome/Ragione sociale]:[Checkbox selezionato]],11,FALSE),"-")</f>
        <v>SI</v>
      </c>
      <c r="AR808" s="63" t="str">
        <f>IFERROR(VLOOKUP(Table2[[#This Row],[Contraente]],Table1[[Nome/Ragione sociale]:[Checkbox selezionato]],12,FALSE),"-")</f>
        <v>SI</v>
      </c>
    </row>
    <row r="809" spans="1:44" ht="30" hidden="1" customHeight="1" x14ac:dyDescent="0.25">
      <c r="A809" s="60" t="str">
        <f>UPPER(LEFT(Table2[[#This Row],[Contraente]],1))</f>
        <v>P</v>
      </c>
      <c r="B809" s="60" t="s">
        <v>1634</v>
      </c>
      <c r="C809" s="81" t="s">
        <v>155</v>
      </c>
      <c r="D809" s="81" t="s">
        <v>37</v>
      </c>
      <c r="E809" s="86">
        <v>106846708</v>
      </c>
      <c r="F809" s="64">
        <v>42865</v>
      </c>
      <c r="G809" s="64">
        <f>IFERROR(CALCOLASCADENZA(Table2[[#This Row],[Data attivazione]],Table2[[#This Row],[Rateizzazione]],Table2[[#This Row],[Data ultimo pagamento]],Table2[[#This Row],[Data prossima scadenza manuale]]),"-")</f>
        <v>42981</v>
      </c>
      <c r="H809" s="67" t="s">
        <v>31</v>
      </c>
      <c r="I809" s="67" t="s">
        <v>1461</v>
      </c>
      <c r="J809" s="33">
        <f>IFERROR(Table2[[#This Row],[Importo annuale]]/(12/VLOOKUP(Table2[[#This Row],[Rateizzazione]],TIPI_RATEIZZAZIONI,2,FALSE)),"-")</f>
        <v>185</v>
      </c>
      <c r="K809" s="88">
        <v>475</v>
      </c>
      <c r="L809" s="88">
        <v>555</v>
      </c>
      <c r="M809" s="67" t="s">
        <v>43</v>
      </c>
      <c r="N809" s="67" t="s">
        <v>51</v>
      </c>
      <c r="O809" s="27" t="s">
        <v>1631</v>
      </c>
      <c r="P809" s="33" t="s">
        <v>21</v>
      </c>
      <c r="Q809" s="60">
        <f>IFERROR(IF(12 / VLOOKUP(Table2[[#This Row],[Rateizzazione]],TIPI_RATEIZZAZIONI,2,FALSE) &gt;=1,  IF(Table2[[#This Row],[Data attivazione]] = "","-",MONTH(Table2[[#This Row],[Data attivazione]])),"-"),"-")</f>
        <v>9</v>
      </c>
      <c r="R8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0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8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9" s="67" t="s">
        <v>2</v>
      </c>
      <c r="V809" s="62"/>
      <c r="W809" s="64">
        <v>42616</v>
      </c>
      <c r="X809" s="29">
        <f>DATE(YEAR(Table2[[#This Row],[Data attivazione]])+VLOOKUP(Table2[[#This Row],[Durata]],VALORE_DURATA,2,FALSE),MONTH(Table2[[#This Row],[Data attivazione]]),DAY(Table2[[#This Row],[Data attivazione]]))</f>
        <v>42981</v>
      </c>
      <c r="Y809" s="65"/>
      <c r="Z809" s="61"/>
      <c r="AA809" s="64" t="s">
        <v>85</v>
      </c>
      <c r="AB809" s="29" t="str">
        <f>IF(Table2[[#This Row],[Data ultimo versamento temp]]=0/1/1900,"-",Table2[[#This Row],[Data ultimo versamento temp]])</f>
        <v>-</v>
      </c>
      <c r="AC809" s="29">
        <f t="array" ref="AC809">MAX(IF(TableVersamenti[Polizza]=Table2[[#This Row],[Polizza]],TableVersamenti[Data prevista versamento],"-"))</f>
        <v>0</v>
      </c>
      <c r="AD809" s="62"/>
      <c r="AE809" s="106">
        <f>DATE(YEAR(Table2[[#This Row],[Data ultimo pagamento]]),MONTH(Table2[[#This Row],[Data ultimo pagamento]]), 1)</f>
        <v>42856</v>
      </c>
      <c r="AF809" s="106">
        <f>DATE(YEAR(Table2[[#This Row],[Data prossima scadenza]]),MONTH(Table2[[#This Row],[Data prossima scadenza]]), 1)</f>
        <v>42979</v>
      </c>
      <c r="AG809" s="33">
        <f>IFERROR(Table2[[#This Row],[Importo annuale]]*VLOOKUP(Table2[[#This Row],[Ramo]],RAMI_POLIZZA,2,FALSE),0)</f>
        <v>28.86</v>
      </c>
      <c r="AH809" s="65" t="s">
        <v>113</v>
      </c>
      <c r="AI809" s="63" t="str">
        <f>IFERROR(VLOOKUP(Table2[[#This Row],[Contraente]],Table1[[Nome/Ragione sociale]:[Checkbox selezionato]],2,FALSE),"-")</f>
        <v xml:space="preserve">BELGIOIOSO </v>
      </c>
      <c r="AJ809" s="63">
        <f>IFERROR(VLOOKUP(Table2[[#This Row],[Contraente]],Table1[[Nome/Ragione sociale]:[Checkbox selezionato]],3,FALSE),"-")</f>
        <v>3384694699</v>
      </c>
      <c r="AK809" s="63">
        <f>IFERROR(VLOOKUP(Table2[[#This Row],[Contraente]],Table1[[Nome/Ragione sociale]:[Checkbox selezionato]],4,FALSE),"-")</f>
        <v>0</v>
      </c>
      <c r="AL809" s="63" t="str">
        <f>IFERROR(VLOOKUP(Table2[[#This Row],[Contraente]],Table1[[Nome/Ragione sociale]:[Checkbox selezionato]],5,FALSE),"-")</f>
        <v>ELISA</v>
      </c>
      <c r="AM809" s="62">
        <f>IFERROR(VLOOKUP(Table2[[#This Row],[Contraente]],Table1[[Nome/Ragione sociale]:[Checkbox selezionato]],6,FALSE),"-")</f>
        <v>32409</v>
      </c>
      <c r="AN809" s="63" t="str">
        <f>IFERROR(VLOOKUP(Table2[[#This Row],[Contraente]],Table1[[Nome/Ragione sociale]:[Checkbox selezionato]],7,FALSE),"-")</f>
        <v>papies@email.it</v>
      </c>
      <c r="AO809" s="63">
        <f>IFERROR(VLOOKUP(Table2[[#This Row],[Contraente]],Table1[[Nome/Ragione sociale]:[Checkbox selezionato]],8,FALSE),"-")</f>
        <v>0</v>
      </c>
      <c r="AP809" s="63">
        <f>IFERROR(VLOOKUP(Table2[[#This Row],[Contraente]],Table1[[Nome/Ragione sociale]:[Checkbox selezionato]],10,FALSE),"-")</f>
        <v>3384694699</v>
      </c>
      <c r="AQ809" s="63" t="str">
        <f>IFERROR(VLOOKUP(Table2[[#This Row],[Contraente]],Table1[[Nome/Ragione sociale]:[Checkbox selezionato]],11,FALSE),"-")</f>
        <v>SI</v>
      </c>
      <c r="AR809" s="63" t="str">
        <f>IFERROR(VLOOKUP(Table2[[#This Row],[Contraente]],Table1[[Nome/Ragione sociale]:[Checkbox selezionato]],12,FALSE),"-")</f>
        <v>SI</v>
      </c>
    </row>
    <row r="810" spans="1:44" ht="30" hidden="1" customHeight="1" x14ac:dyDescent="0.25">
      <c r="A810" s="60" t="str">
        <f>UPPER(LEFT(Table2[[#This Row],[Contraente]],1))</f>
        <v>P</v>
      </c>
      <c r="B810" s="60" t="s">
        <v>1634</v>
      </c>
      <c r="C810" s="81" t="s">
        <v>874</v>
      </c>
      <c r="D810" s="81" t="s">
        <v>38</v>
      </c>
      <c r="E810" s="86">
        <v>7000092809</v>
      </c>
      <c r="F810" s="64">
        <v>42836</v>
      </c>
      <c r="G810" s="64">
        <f>IFERROR(CALCOLASCADENZA(Table2[[#This Row],[Data attivazione]],Table2[[#This Row],[Rateizzazione]],Table2[[#This Row],[Data ultimo pagamento]],Table2[[#This Row],[Data prossima scadenza manuale]]),"-")</f>
        <v>43201</v>
      </c>
      <c r="H810" s="67" t="s">
        <v>30</v>
      </c>
      <c r="I810" s="67" t="s">
        <v>113</v>
      </c>
      <c r="J810" s="33">
        <f>IFERROR(Table2[[#This Row],[Importo annuale]]/(12/VLOOKUP(Table2[[#This Row],[Rateizzazione]],TIPI_RATEIZZAZIONI,2,FALSE)),"-")</f>
        <v>121</v>
      </c>
      <c r="K810" s="88">
        <v>121</v>
      </c>
      <c r="L810" s="88">
        <v>121</v>
      </c>
      <c r="M810" s="67" t="s">
        <v>43</v>
      </c>
      <c r="N810" s="67" t="s">
        <v>52</v>
      </c>
      <c r="O810" s="27" t="s">
        <v>1631</v>
      </c>
      <c r="P810" s="33" t="s">
        <v>23</v>
      </c>
      <c r="Q810" s="60">
        <f>IFERROR(IF(12 / VLOOKUP(Table2[[#This Row],[Rateizzazione]],TIPI_RATEIZZAZIONI,2,FALSE) &gt;=1,  IF(Table2[[#This Row],[Data attivazione]] = "","-",MONTH(Table2[[#This Row],[Data attivazione]])),"-"),"-")</f>
        <v>4</v>
      </c>
      <c r="R8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0" s="67" t="s">
        <v>2</v>
      </c>
      <c r="V810" s="62"/>
      <c r="W810" s="64">
        <v>42836</v>
      </c>
      <c r="X810" s="29">
        <f>DATE(YEAR(Table2[[#This Row],[Data attivazione]])+VLOOKUP(Table2[[#This Row],[Durata]],VALORE_DURATA,2,FALSE),MONTH(Table2[[#This Row],[Data attivazione]]),DAY(Table2[[#This Row],[Data attivazione]]))</f>
        <v>43201</v>
      </c>
      <c r="Y810" s="65"/>
      <c r="Z810" s="61"/>
      <c r="AA810" s="64" t="s">
        <v>85</v>
      </c>
      <c r="AB810" s="29" t="str">
        <f>IF(Table2[[#This Row],[Data ultimo versamento temp]]=0/1/1900,"-",Table2[[#This Row],[Data ultimo versamento temp]])</f>
        <v>-</v>
      </c>
      <c r="AC810" s="29">
        <f t="array" ref="AC810">MAX(IF(TableVersamenti[Polizza]=Table2[[#This Row],[Polizza]],TableVersamenti[Data prevista versamento],"-"))</f>
        <v>0</v>
      </c>
      <c r="AD810" s="62"/>
      <c r="AE810" s="106">
        <f>DATE(YEAR(Table2[[#This Row],[Data ultimo pagamento]]),MONTH(Table2[[#This Row],[Data ultimo pagamento]]), 1)</f>
        <v>42826</v>
      </c>
      <c r="AF810" s="106">
        <f>DATE(YEAR(Table2[[#This Row],[Data prossima scadenza]]),MONTH(Table2[[#This Row],[Data prossima scadenza]]), 1)</f>
        <v>43191</v>
      </c>
      <c r="AG810" s="33">
        <f>IFERROR(Table2[[#This Row],[Importo annuale]]*VLOOKUP(Table2[[#This Row],[Ramo]],RAMI_POLIZZA,2,FALSE),0)</f>
        <v>13.915000000000001</v>
      </c>
      <c r="AH810" s="65" t="s">
        <v>113</v>
      </c>
      <c r="AI810" s="63" t="str">
        <f>IFERROR(VLOOKUP(Table2[[#This Row],[Contraente]],Table1[[Nome/Ragione sociale]:[Checkbox selezionato]],2,FALSE),"-")</f>
        <v>GENZONE</v>
      </c>
      <c r="AJ810" s="63" t="str">
        <f>IFERROR(VLOOKUP(Table2[[#This Row],[Contraente]],Table1[[Nome/Ragione sociale]:[Checkbox selezionato]],3,FALSE),"-")</f>
        <v>-</v>
      </c>
      <c r="AK810" s="63">
        <f>IFERROR(VLOOKUP(Table2[[#This Row],[Contraente]],Table1[[Nome/Ragione sociale]:[Checkbox selezionato]],4,FALSE),"-")</f>
        <v>0</v>
      </c>
      <c r="AL810" s="63" t="str">
        <f>IFERROR(VLOOKUP(Table2[[#This Row],[Contraente]],Table1[[Nome/Ragione sociale]:[Checkbox selezionato]],5,FALSE),"-")</f>
        <v>GRAZIANO</v>
      </c>
      <c r="AM810" s="62">
        <f>IFERROR(VLOOKUP(Table2[[#This Row],[Contraente]],Table1[[Nome/Ragione sociale]:[Checkbox selezionato]],6,FALSE),"-")</f>
        <v>22106</v>
      </c>
      <c r="AN810" s="63" t="str">
        <f>IFERROR(VLOOKUP(Table2[[#This Row],[Contraente]],Table1[[Nome/Ragione sociale]:[Checkbox selezionato]],7,FALSE),"-")</f>
        <v>papies@libero.it</v>
      </c>
      <c r="AO810" s="63">
        <f>IFERROR(VLOOKUP(Table2[[#This Row],[Contraente]],Table1[[Nome/Ragione sociale]:[Checkbox selezionato]],8,FALSE),"-")</f>
        <v>0</v>
      </c>
      <c r="AP810" s="63" t="str">
        <f>IFERROR(VLOOKUP(Table2[[#This Row],[Contraente]],Table1[[Nome/Ragione sociale]:[Checkbox selezionato]],10,FALSE),"-")</f>
        <v>-</v>
      </c>
      <c r="AQ810" s="63" t="str">
        <f>IFERROR(VLOOKUP(Table2[[#This Row],[Contraente]],Table1[[Nome/Ragione sociale]:[Checkbox selezionato]],11,FALSE),"-")</f>
        <v>SI</v>
      </c>
      <c r="AR810" s="63" t="str">
        <f>IFERROR(VLOOKUP(Table2[[#This Row],[Contraente]],Table1[[Nome/Ragione sociale]:[Checkbox selezionato]],12,FALSE),"-")</f>
        <v>SI</v>
      </c>
    </row>
    <row r="811" spans="1:44" ht="30" hidden="1" customHeight="1" x14ac:dyDescent="0.25">
      <c r="A811" s="60" t="str">
        <f>UPPER(LEFT(Table2[[#This Row],[Contraente]],1))</f>
        <v>P</v>
      </c>
      <c r="B811" s="60" t="s">
        <v>1634</v>
      </c>
      <c r="C811" s="81" t="s">
        <v>874</v>
      </c>
      <c r="D811" s="81" t="s">
        <v>37</v>
      </c>
      <c r="E811" s="86">
        <v>106660713</v>
      </c>
      <c r="F811" s="64">
        <v>42818</v>
      </c>
      <c r="G811" s="64">
        <f>IFERROR(CALCOLASCADENZA(Table2[[#This Row],[Data attivazione]],Table2[[#This Row],[Rateizzazione]],Table2[[#This Row],[Data ultimo pagamento]],Table2[[#This Row],[Data prossima scadenza manuale]]),"-")</f>
        <v>43180</v>
      </c>
      <c r="H811" s="67" t="s">
        <v>31</v>
      </c>
      <c r="I811" s="67" t="s">
        <v>1459</v>
      </c>
      <c r="J811" s="33">
        <f>IFERROR(Table2[[#This Row],[Importo annuale]]/(12/VLOOKUP(Table2[[#This Row],[Rateizzazione]],TIPI_RATEIZZAZIONI,2,FALSE)),"-")</f>
        <v>220</v>
      </c>
      <c r="K811" s="88">
        <v>220</v>
      </c>
      <c r="L811" s="88">
        <v>220</v>
      </c>
      <c r="M811" s="67" t="s">
        <v>43</v>
      </c>
      <c r="N811" s="67" t="s">
        <v>51</v>
      </c>
      <c r="O811" s="27" t="s">
        <v>1631</v>
      </c>
      <c r="P811" s="33" t="s">
        <v>23</v>
      </c>
      <c r="Q811" s="60">
        <f>IFERROR(IF(12 / VLOOKUP(Table2[[#This Row],[Rateizzazione]],TIPI_RATEIZZAZIONI,2,FALSE) &gt;=1,  IF(Table2[[#This Row],[Data attivazione]] = "","-",MONTH(Table2[[#This Row],[Data attivazione]])),"-"),"-")</f>
        <v>3</v>
      </c>
      <c r="R8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1" s="67" t="s">
        <v>2</v>
      </c>
      <c r="V811" s="62"/>
      <c r="W811" s="64">
        <v>42450</v>
      </c>
      <c r="X811" s="29">
        <f>DATE(YEAR(Table2[[#This Row],[Data attivazione]])+VLOOKUP(Table2[[#This Row],[Durata]],VALORE_DURATA,2,FALSE),MONTH(Table2[[#This Row],[Data attivazione]]),DAY(Table2[[#This Row],[Data attivazione]]))</f>
        <v>42815</v>
      </c>
      <c r="Y811" s="65"/>
      <c r="Z811" s="61"/>
      <c r="AA811" s="64" t="s">
        <v>88</v>
      </c>
      <c r="AB811" s="29" t="str">
        <f>IF(Table2[[#This Row],[Data ultimo versamento temp]]=0/1/1900,"-",Table2[[#This Row],[Data ultimo versamento temp]])</f>
        <v>-</v>
      </c>
      <c r="AC811" s="29">
        <f t="array" ref="AC811">MAX(IF(TableVersamenti[Polizza]=Table2[[#This Row],[Polizza]],TableVersamenti[Data prevista versamento],"-"))</f>
        <v>0</v>
      </c>
      <c r="AD811" s="62"/>
      <c r="AE811" s="106">
        <f>DATE(YEAR(Table2[[#This Row],[Data ultimo pagamento]]),MONTH(Table2[[#This Row],[Data ultimo pagamento]]), 1)</f>
        <v>42795</v>
      </c>
      <c r="AF811" s="106">
        <f>DATE(YEAR(Table2[[#This Row],[Data prossima scadenza]]),MONTH(Table2[[#This Row],[Data prossima scadenza]]), 1)</f>
        <v>43160</v>
      </c>
      <c r="AG811" s="33">
        <f>IFERROR(Table2[[#This Row],[Importo annuale]]*VLOOKUP(Table2[[#This Row],[Ramo]],RAMI_POLIZZA,2,FALSE),0)</f>
        <v>11.44</v>
      </c>
      <c r="AH811" s="65" t="s">
        <v>113</v>
      </c>
      <c r="AI811" s="63" t="str">
        <f>IFERROR(VLOOKUP(Table2[[#This Row],[Contraente]],Table1[[Nome/Ragione sociale]:[Checkbox selezionato]],2,FALSE),"-")</f>
        <v>GENZONE</v>
      </c>
      <c r="AJ811" s="63" t="str">
        <f>IFERROR(VLOOKUP(Table2[[#This Row],[Contraente]],Table1[[Nome/Ragione sociale]:[Checkbox selezionato]],3,FALSE),"-")</f>
        <v>-</v>
      </c>
      <c r="AK811" s="63">
        <f>IFERROR(VLOOKUP(Table2[[#This Row],[Contraente]],Table1[[Nome/Ragione sociale]:[Checkbox selezionato]],4,FALSE),"-")</f>
        <v>0</v>
      </c>
      <c r="AL811" s="63" t="str">
        <f>IFERROR(VLOOKUP(Table2[[#This Row],[Contraente]],Table1[[Nome/Ragione sociale]:[Checkbox selezionato]],5,FALSE),"-")</f>
        <v>GRAZIANO</v>
      </c>
      <c r="AM811" s="62">
        <f>IFERROR(VLOOKUP(Table2[[#This Row],[Contraente]],Table1[[Nome/Ragione sociale]:[Checkbox selezionato]],6,FALSE),"-")</f>
        <v>22106</v>
      </c>
      <c r="AN811" s="63" t="str">
        <f>IFERROR(VLOOKUP(Table2[[#This Row],[Contraente]],Table1[[Nome/Ragione sociale]:[Checkbox selezionato]],7,FALSE),"-")</f>
        <v>papies@libero.it</v>
      </c>
      <c r="AO811" s="63">
        <f>IFERROR(VLOOKUP(Table2[[#This Row],[Contraente]],Table1[[Nome/Ragione sociale]:[Checkbox selezionato]],8,FALSE),"-")</f>
        <v>0</v>
      </c>
      <c r="AP811" s="63" t="str">
        <f>IFERROR(VLOOKUP(Table2[[#This Row],[Contraente]],Table1[[Nome/Ragione sociale]:[Checkbox selezionato]],10,FALSE),"-")</f>
        <v>-</v>
      </c>
      <c r="AQ811" s="63" t="str">
        <f>IFERROR(VLOOKUP(Table2[[#This Row],[Contraente]],Table1[[Nome/Ragione sociale]:[Checkbox selezionato]],11,FALSE),"-")</f>
        <v>SI</v>
      </c>
      <c r="AR811" s="63" t="str">
        <f>IFERROR(VLOOKUP(Table2[[#This Row],[Contraente]],Table1[[Nome/Ragione sociale]:[Checkbox selezionato]],12,FALSE),"-")</f>
        <v>SI</v>
      </c>
    </row>
    <row r="812" spans="1:44" ht="30" hidden="1" customHeight="1" x14ac:dyDescent="0.25">
      <c r="A812" s="60" t="str">
        <f>UPPER(LEFT(Table2[[#This Row],[Contraente]],1))</f>
        <v>P</v>
      </c>
      <c r="B812" s="60" t="s">
        <v>1634</v>
      </c>
      <c r="C812" s="81" t="s">
        <v>874</v>
      </c>
      <c r="D812" s="81" t="s">
        <v>37</v>
      </c>
      <c r="E812" s="86">
        <v>104505952</v>
      </c>
      <c r="F812" s="64">
        <v>42534</v>
      </c>
      <c r="G812" s="64">
        <f>IFERROR(CALCOLASCADENZA(Table2[[#This Row],[Data attivazione]],Table2[[#This Row],[Rateizzazione]],Table2[[#This Row],[Data ultimo pagamento]],Table2[[#This Row],[Data prossima scadenza manuale]]),"-")</f>
        <v>42896</v>
      </c>
      <c r="H812" s="67" t="s">
        <v>30</v>
      </c>
      <c r="I812" s="67" t="s">
        <v>113</v>
      </c>
      <c r="J812" s="33">
        <f>IFERROR(Table2[[#This Row],[Importo annuale]]/(12/VLOOKUP(Table2[[#This Row],[Rateizzazione]],TIPI_RATEIZZAZIONI,2,FALSE)),"-")</f>
        <v>51</v>
      </c>
      <c r="K812" s="88"/>
      <c r="L812" s="88">
        <v>51</v>
      </c>
      <c r="M812" s="67" t="s">
        <v>43</v>
      </c>
      <c r="N812" s="67" t="s">
        <v>51</v>
      </c>
      <c r="O812" s="27" t="s">
        <v>1631</v>
      </c>
      <c r="P812" s="33" t="s">
        <v>23</v>
      </c>
      <c r="Q812" s="60">
        <f>IFERROR(IF(12 / VLOOKUP(Table2[[#This Row],[Rateizzazione]],TIPI_RATEIZZAZIONI,2,FALSE) &gt;=1,  IF(Table2[[#This Row],[Data attivazione]] = "","-",MONTH(Table2[[#This Row],[Data attivazione]])),"-"),"-")</f>
        <v>6</v>
      </c>
      <c r="R8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2" s="67" t="s">
        <v>2</v>
      </c>
      <c r="V812" s="62"/>
      <c r="W812" s="64">
        <v>42531</v>
      </c>
      <c r="X812" s="29">
        <f>DATE(YEAR(Table2[[#This Row],[Data attivazione]])+VLOOKUP(Table2[[#This Row],[Durata]],VALORE_DURATA,2,FALSE),MONTH(Table2[[#This Row],[Data attivazione]]),DAY(Table2[[#This Row],[Data attivazione]]))</f>
        <v>42896</v>
      </c>
      <c r="Y812" s="65"/>
      <c r="Z812" s="61"/>
      <c r="AA812" s="64" t="s">
        <v>88</v>
      </c>
      <c r="AB812" s="29" t="str">
        <f>IF(Table2[[#This Row],[Data ultimo versamento temp]]=0/1/1900,"-",Table2[[#This Row],[Data ultimo versamento temp]])</f>
        <v>-</v>
      </c>
      <c r="AC812" s="29">
        <f t="array" ref="AC812">MAX(IF(TableVersamenti[Polizza]=Table2[[#This Row],[Polizza]],TableVersamenti[Data prevista versamento],"-"))</f>
        <v>0</v>
      </c>
      <c r="AD812" s="62"/>
      <c r="AE812" s="106">
        <f>DATE(YEAR(Table2[[#This Row],[Data ultimo pagamento]]),MONTH(Table2[[#This Row],[Data ultimo pagamento]]), 1)</f>
        <v>42522</v>
      </c>
      <c r="AF812" s="106">
        <f>DATE(YEAR(Table2[[#This Row],[Data prossima scadenza]]),MONTH(Table2[[#This Row],[Data prossima scadenza]]), 1)</f>
        <v>42887</v>
      </c>
      <c r="AG812" s="33">
        <f>IFERROR(Table2[[#This Row],[Importo annuale]]*VLOOKUP(Table2[[#This Row],[Ramo]],RAMI_POLIZZA,2,FALSE),0)</f>
        <v>5.8650000000000002</v>
      </c>
      <c r="AH812" s="65" t="s">
        <v>113</v>
      </c>
      <c r="AI812" s="63" t="str">
        <f>IFERROR(VLOOKUP(Table2[[#This Row],[Contraente]],Table1[[Nome/Ragione sociale]:[Checkbox selezionato]],2,FALSE),"-")</f>
        <v>GENZONE</v>
      </c>
      <c r="AJ812" s="63" t="str">
        <f>IFERROR(VLOOKUP(Table2[[#This Row],[Contraente]],Table1[[Nome/Ragione sociale]:[Checkbox selezionato]],3,FALSE),"-")</f>
        <v>-</v>
      </c>
      <c r="AK812" s="63">
        <f>IFERROR(VLOOKUP(Table2[[#This Row],[Contraente]],Table1[[Nome/Ragione sociale]:[Checkbox selezionato]],4,FALSE),"-")</f>
        <v>0</v>
      </c>
      <c r="AL812" s="63" t="str">
        <f>IFERROR(VLOOKUP(Table2[[#This Row],[Contraente]],Table1[[Nome/Ragione sociale]:[Checkbox selezionato]],5,FALSE),"-")</f>
        <v>GRAZIANO</v>
      </c>
      <c r="AM812" s="62">
        <f>IFERROR(VLOOKUP(Table2[[#This Row],[Contraente]],Table1[[Nome/Ragione sociale]:[Checkbox selezionato]],6,FALSE),"-")</f>
        <v>22106</v>
      </c>
      <c r="AN812" s="63" t="str">
        <f>IFERROR(VLOOKUP(Table2[[#This Row],[Contraente]],Table1[[Nome/Ragione sociale]:[Checkbox selezionato]],7,FALSE),"-")</f>
        <v>papies@libero.it</v>
      </c>
      <c r="AO812" s="63">
        <f>IFERROR(VLOOKUP(Table2[[#This Row],[Contraente]],Table1[[Nome/Ragione sociale]:[Checkbox selezionato]],8,FALSE),"-")</f>
        <v>0</v>
      </c>
      <c r="AP812" s="63" t="str">
        <f>IFERROR(VLOOKUP(Table2[[#This Row],[Contraente]],Table1[[Nome/Ragione sociale]:[Checkbox selezionato]],10,FALSE),"-")</f>
        <v>-</v>
      </c>
      <c r="AQ812" s="63" t="str">
        <f>IFERROR(VLOOKUP(Table2[[#This Row],[Contraente]],Table1[[Nome/Ragione sociale]:[Checkbox selezionato]],11,FALSE),"-")</f>
        <v>SI</v>
      </c>
      <c r="AR812" s="63" t="str">
        <f>IFERROR(VLOOKUP(Table2[[#This Row],[Contraente]],Table1[[Nome/Ragione sociale]:[Checkbox selezionato]],12,FALSE),"-")</f>
        <v>SI</v>
      </c>
    </row>
    <row r="813" spans="1:44" ht="30" hidden="1" customHeight="1" x14ac:dyDescent="0.25">
      <c r="A813" s="60" t="str">
        <f>UPPER(LEFT(Table2[[#This Row],[Contraente]],1))</f>
        <v>P</v>
      </c>
      <c r="B813" s="60" t="s">
        <v>1634</v>
      </c>
      <c r="C813" s="81" t="s">
        <v>874</v>
      </c>
      <c r="D813" s="81" t="s">
        <v>37</v>
      </c>
      <c r="E813" s="86">
        <v>105537816</v>
      </c>
      <c r="F813" s="64">
        <v>42870</v>
      </c>
      <c r="G813" s="64">
        <f>IFERROR(CALCOLASCADENZA(Table2[[#This Row],[Data attivazione]],Table2[[#This Row],[Rateizzazione]],Table2[[#This Row],[Data ultimo pagamento]],Table2[[#This Row],[Data prossima scadenza manuale]]),"-")</f>
        <v>43034</v>
      </c>
      <c r="H813" s="67" t="s">
        <v>30</v>
      </c>
      <c r="I813" s="67" t="s">
        <v>113</v>
      </c>
      <c r="J813" s="33">
        <f>IFERROR(Table2[[#This Row],[Importo annuale]]/(12/VLOOKUP(Table2[[#This Row],[Rateizzazione]],TIPI_RATEIZZAZIONI,2,FALSE)),"-")</f>
        <v>144</v>
      </c>
      <c r="K813" s="88">
        <v>144</v>
      </c>
      <c r="L813" s="88">
        <v>288</v>
      </c>
      <c r="M813" s="67" t="s">
        <v>43</v>
      </c>
      <c r="N813" s="67" t="s">
        <v>51</v>
      </c>
      <c r="O813" s="27" t="s">
        <v>1631</v>
      </c>
      <c r="P813" s="33" t="s">
        <v>22</v>
      </c>
      <c r="Q813" s="60">
        <f>IFERROR(IF(12 / VLOOKUP(Table2[[#This Row],[Rateizzazione]],TIPI_RATEIZZAZIONI,2,FALSE) &gt;=1,  IF(Table2[[#This Row],[Data attivazione]] = "","-",MONTH(Table2[[#This Row],[Data attivazione]])),"-"),"-")</f>
        <v>10</v>
      </c>
      <c r="R8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3" s="67" t="s">
        <v>2</v>
      </c>
      <c r="V813" s="62"/>
      <c r="W813" s="64">
        <v>42669</v>
      </c>
      <c r="X813" s="29">
        <f>DATE(YEAR(Table2[[#This Row],[Data attivazione]])+VLOOKUP(Table2[[#This Row],[Durata]],VALORE_DURATA,2,FALSE),MONTH(Table2[[#This Row],[Data attivazione]]),DAY(Table2[[#This Row],[Data attivazione]]))</f>
        <v>43034</v>
      </c>
      <c r="Y813" s="65"/>
      <c r="Z813" s="61"/>
      <c r="AA813" s="64" t="s">
        <v>85</v>
      </c>
      <c r="AB813" s="29" t="str">
        <f>IF(Table2[[#This Row],[Data ultimo versamento temp]]=0/1/1900,"-",Table2[[#This Row],[Data ultimo versamento temp]])</f>
        <v>-</v>
      </c>
      <c r="AC813" s="29">
        <f t="array" ref="AC813">MAX(IF(TableVersamenti[Polizza]=Table2[[#This Row],[Polizza]],TableVersamenti[Data prevista versamento],"-"))</f>
        <v>0</v>
      </c>
      <c r="AD813" s="62"/>
      <c r="AE813" s="106">
        <f>DATE(YEAR(Table2[[#This Row],[Data ultimo pagamento]]),MONTH(Table2[[#This Row],[Data ultimo pagamento]]), 1)</f>
        <v>42856</v>
      </c>
      <c r="AF813" s="106">
        <f>DATE(YEAR(Table2[[#This Row],[Data prossima scadenza]]),MONTH(Table2[[#This Row],[Data prossima scadenza]]), 1)</f>
        <v>43009</v>
      </c>
      <c r="AG813" s="33">
        <f>IFERROR(Table2[[#This Row],[Importo annuale]]*VLOOKUP(Table2[[#This Row],[Ramo]],RAMI_POLIZZA,2,FALSE),0)</f>
        <v>33.120000000000005</v>
      </c>
      <c r="AH813" s="65" t="s">
        <v>113</v>
      </c>
      <c r="AI813" s="63" t="str">
        <f>IFERROR(VLOOKUP(Table2[[#This Row],[Contraente]],Table1[[Nome/Ragione sociale]:[Checkbox selezionato]],2,FALSE),"-")</f>
        <v>GENZONE</v>
      </c>
      <c r="AJ813" s="63" t="str">
        <f>IFERROR(VLOOKUP(Table2[[#This Row],[Contraente]],Table1[[Nome/Ragione sociale]:[Checkbox selezionato]],3,FALSE),"-")</f>
        <v>-</v>
      </c>
      <c r="AK813" s="63">
        <f>IFERROR(VLOOKUP(Table2[[#This Row],[Contraente]],Table1[[Nome/Ragione sociale]:[Checkbox selezionato]],4,FALSE),"-")</f>
        <v>0</v>
      </c>
      <c r="AL813" s="63" t="str">
        <f>IFERROR(VLOOKUP(Table2[[#This Row],[Contraente]],Table1[[Nome/Ragione sociale]:[Checkbox selezionato]],5,FALSE),"-")</f>
        <v>GRAZIANO</v>
      </c>
      <c r="AM813" s="62">
        <f>IFERROR(VLOOKUP(Table2[[#This Row],[Contraente]],Table1[[Nome/Ragione sociale]:[Checkbox selezionato]],6,FALSE),"-")</f>
        <v>22106</v>
      </c>
      <c r="AN813" s="63" t="str">
        <f>IFERROR(VLOOKUP(Table2[[#This Row],[Contraente]],Table1[[Nome/Ragione sociale]:[Checkbox selezionato]],7,FALSE),"-")</f>
        <v>papies@libero.it</v>
      </c>
      <c r="AO813" s="63">
        <f>IFERROR(VLOOKUP(Table2[[#This Row],[Contraente]],Table1[[Nome/Ragione sociale]:[Checkbox selezionato]],8,FALSE),"-")</f>
        <v>0</v>
      </c>
      <c r="AP813" s="63" t="str">
        <f>IFERROR(VLOOKUP(Table2[[#This Row],[Contraente]],Table1[[Nome/Ragione sociale]:[Checkbox selezionato]],10,FALSE),"-")</f>
        <v>-</v>
      </c>
      <c r="AQ813" s="63" t="str">
        <f>IFERROR(VLOOKUP(Table2[[#This Row],[Contraente]],Table1[[Nome/Ragione sociale]:[Checkbox selezionato]],11,FALSE),"-")</f>
        <v>SI</v>
      </c>
      <c r="AR813" s="63" t="str">
        <f>IFERROR(VLOOKUP(Table2[[#This Row],[Contraente]],Table1[[Nome/Ragione sociale]:[Checkbox selezionato]],12,FALSE),"-")</f>
        <v>SI</v>
      </c>
    </row>
    <row r="814" spans="1:44" ht="30" hidden="1" customHeight="1" x14ac:dyDescent="0.25">
      <c r="A814" s="60" t="str">
        <f>UPPER(LEFT(Table2[[#This Row],[Contraente]],1))</f>
        <v>P</v>
      </c>
      <c r="B814" s="60" t="s">
        <v>1634</v>
      </c>
      <c r="C814" s="81" t="s">
        <v>874</v>
      </c>
      <c r="D814" s="81" t="s">
        <v>37</v>
      </c>
      <c r="E814" s="86">
        <v>106996877</v>
      </c>
      <c r="F814" s="64">
        <v>42912</v>
      </c>
      <c r="G814" s="64">
        <f>IFERROR(CALCOLASCADENZA(Table2[[#This Row],[Data attivazione]],Table2[[#This Row],[Rateizzazione]],Table2[[#This Row],[Data ultimo pagamento]],Table2[[#This Row],[Data prossima scadenza manuale]]),"-")</f>
        <v>43091</v>
      </c>
      <c r="H814" s="67" t="s">
        <v>31</v>
      </c>
      <c r="I814" s="67" t="s">
        <v>1460</v>
      </c>
      <c r="J814" s="33">
        <f>IFERROR(Table2[[#This Row],[Importo annuale]]/(12/VLOOKUP(Table2[[#This Row],[Rateizzazione]],TIPI_RATEIZZAZIONI,2,FALSE)),"-")</f>
        <v>280</v>
      </c>
      <c r="K814" s="88">
        <v>280</v>
      </c>
      <c r="L814" s="88">
        <v>560</v>
      </c>
      <c r="M814" s="67" t="s">
        <v>43</v>
      </c>
      <c r="N814" s="67" t="s">
        <v>51</v>
      </c>
      <c r="O814" s="27" t="s">
        <v>1631</v>
      </c>
      <c r="P814" s="33" t="s">
        <v>22</v>
      </c>
      <c r="Q814" s="60">
        <f>IFERROR(IF(12 / VLOOKUP(Table2[[#This Row],[Rateizzazione]],TIPI_RATEIZZAZIONI,2,FALSE) &gt;=1,  IF(Table2[[#This Row],[Data attivazione]] = "","-",MONTH(Table2[[#This Row],[Data attivazione]])),"-"),"-")</f>
        <v>12</v>
      </c>
      <c r="R8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4" s="67" t="s">
        <v>2</v>
      </c>
      <c r="V814" s="62"/>
      <c r="W814" s="64">
        <v>42726</v>
      </c>
      <c r="X814" s="29">
        <f>DATE(YEAR(Table2[[#This Row],[Data attivazione]])+VLOOKUP(Table2[[#This Row],[Durata]],VALORE_DURATA,2,FALSE),MONTH(Table2[[#This Row],[Data attivazione]]),DAY(Table2[[#This Row],[Data attivazione]]))</f>
        <v>43091</v>
      </c>
      <c r="Y814" s="65"/>
      <c r="Z814" s="61"/>
      <c r="AA814" s="64" t="s">
        <v>85</v>
      </c>
      <c r="AB814" s="29" t="str">
        <f>IF(Table2[[#This Row],[Data ultimo versamento temp]]=0/1/1900,"-",Table2[[#This Row],[Data ultimo versamento temp]])</f>
        <v>-</v>
      </c>
      <c r="AC814" s="29">
        <f t="array" ref="AC814">MAX(IF(TableVersamenti[Polizza]=Table2[[#This Row],[Polizza]],TableVersamenti[Data prevista versamento],"-"))</f>
        <v>0</v>
      </c>
      <c r="AD814" s="62"/>
      <c r="AE814" s="106">
        <f>DATE(YEAR(Table2[[#This Row],[Data ultimo pagamento]]),MONTH(Table2[[#This Row],[Data ultimo pagamento]]), 1)</f>
        <v>42887</v>
      </c>
      <c r="AF814" s="106">
        <f>DATE(YEAR(Table2[[#This Row],[Data prossima scadenza]]),MONTH(Table2[[#This Row],[Data prossima scadenza]]), 1)</f>
        <v>43070</v>
      </c>
      <c r="AG814" s="33">
        <f>IFERROR(Table2[[#This Row],[Importo annuale]]*VLOOKUP(Table2[[#This Row],[Ramo]],RAMI_POLIZZA,2,FALSE),0)</f>
        <v>29.119999999999997</v>
      </c>
      <c r="AH814" s="65" t="s">
        <v>113</v>
      </c>
      <c r="AI814" s="63" t="str">
        <f>IFERROR(VLOOKUP(Table2[[#This Row],[Contraente]],Table1[[Nome/Ragione sociale]:[Checkbox selezionato]],2,FALSE),"-")</f>
        <v>GENZONE</v>
      </c>
      <c r="AJ814" s="63" t="str">
        <f>IFERROR(VLOOKUP(Table2[[#This Row],[Contraente]],Table1[[Nome/Ragione sociale]:[Checkbox selezionato]],3,FALSE),"-")</f>
        <v>-</v>
      </c>
      <c r="AK814" s="63">
        <f>IFERROR(VLOOKUP(Table2[[#This Row],[Contraente]],Table1[[Nome/Ragione sociale]:[Checkbox selezionato]],4,FALSE),"-")</f>
        <v>0</v>
      </c>
      <c r="AL814" s="63" t="str">
        <f>IFERROR(VLOOKUP(Table2[[#This Row],[Contraente]],Table1[[Nome/Ragione sociale]:[Checkbox selezionato]],5,FALSE),"-")</f>
        <v>GRAZIANO</v>
      </c>
      <c r="AM814" s="62">
        <f>IFERROR(VLOOKUP(Table2[[#This Row],[Contraente]],Table1[[Nome/Ragione sociale]:[Checkbox selezionato]],6,FALSE),"-")</f>
        <v>22106</v>
      </c>
      <c r="AN814" s="63" t="str">
        <f>IFERROR(VLOOKUP(Table2[[#This Row],[Contraente]],Table1[[Nome/Ragione sociale]:[Checkbox selezionato]],7,FALSE),"-")</f>
        <v>papies@libero.it</v>
      </c>
      <c r="AO814" s="63">
        <f>IFERROR(VLOOKUP(Table2[[#This Row],[Contraente]],Table1[[Nome/Ragione sociale]:[Checkbox selezionato]],8,FALSE),"-")</f>
        <v>0</v>
      </c>
      <c r="AP814" s="63" t="str">
        <f>IFERROR(VLOOKUP(Table2[[#This Row],[Contraente]],Table1[[Nome/Ragione sociale]:[Checkbox selezionato]],10,FALSE),"-")</f>
        <v>-</v>
      </c>
      <c r="AQ814" s="63" t="str">
        <f>IFERROR(VLOOKUP(Table2[[#This Row],[Contraente]],Table1[[Nome/Ragione sociale]:[Checkbox selezionato]],11,FALSE),"-")</f>
        <v>SI</v>
      </c>
      <c r="AR814" s="63" t="str">
        <f>IFERROR(VLOOKUP(Table2[[#This Row],[Contraente]],Table1[[Nome/Ragione sociale]:[Checkbox selezionato]],12,FALSE),"-")</f>
        <v>SI</v>
      </c>
    </row>
    <row r="815" spans="1:44" ht="30" hidden="1" customHeight="1" x14ac:dyDescent="0.25">
      <c r="A815" s="60" t="str">
        <f>UPPER(LEFT(Table2[[#This Row],[Contraente]],1))</f>
        <v>P</v>
      </c>
      <c r="B815" s="60" t="s">
        <v>1634</v>
      </c>
      <c r="C815" s="81" t="s">
        <v>874</v>
      </c>
      <c r="D815" s="81" t="s">
        <v>37</v>
      </c>
      <c r="E815" s="86">
        <v>104956587</v>
      </c>
      <c r="F815" s="64">
        <v>42870</v>
      </c>
      <c r="G815" s="64">
        <f>IFERROR(CALCOLASCADENZA(Table2[[#This Row],[Data attivazione]],Table2[[#This Row],[Rateizzazione]],Table2[[#This Row],[Data ultimo pagamento]],Table2[[#This Row],[Data prossima scadenza manuale]]),"-")</f>
        <v>43034</v>
      </c>
      <c r="H815" s="67" t="s">
        <v>31</v>
      </c>
      <c r="I815" s="67" t="s">
        <v>113</v>
      </c>
      <c r="J815" s="33">
        <f>IFERROR(Table2[[#This Row],[Importo annuale]]/(12/VLOOKUP(Table2[[#This Row],[Rateizzazione]],TIPI_RATEIZZAZIONI,2,FALSE)),"-")</f>
        <v>34</v>
      </c>
      <c r="K815" s="88">
        <v>34</v>
      </c>
      <c r="L815" s="88">
        <v>68</v>
      </c>
      <c r="M815" s="67" t="s">
        <v>43</v>
      </c>
      <c r="N815" s="67" t="s">
        <v>51</v>
      </c>
      <c r="O815" s="27" t="s">
        <v>1631</v>
      </c>
      <c r="P815" s="33" t="s">
        <v>22</v>
      </c>
      <c r="Q815" s="60">
        <f>IFERROR(IF(12 / VLOOKUP(Table2[[#This Row],[Rateizzazione]],TIPI_RATEIZZAZIONI,2,FALSE) &gt;=1,  IF(Table2[[#This Row],[Data attivazione]] = "","-",MONTH(Table2[[#This Row],[Data attivazione]])),"-"),"-")</f>
        <v>10</v>
      </c>
      <c r="R8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5" s="67" t="s">
        <v>2</v>
      </c>
      <c r="V815" s="62"/>
      <c r="W815" s="64">
        <v>42669</v>
      </c>
      <c r="X815" s="29">
        <f>DATE(YEAR(Table2[[#This Row],[Data attivazione]])+VLOOKUP(Table2[[#This Row],[Durata]],VALORE_DURATA,2,FALSE),MONTH(Table2[[#This Row],[Data attivazione]]),DAY(Table2[[#This Row],[Data attivazione]]))</f>
        <v>43034</v>
      </c>
      <c r="Y815" s="65"/>
      <c r="Z815" s="61"/>
      <c r="AA815" s="64" t="s">
        <v>85</v>
      </c>
      <c r="AB815" s="29" t="str">
        <f>IF(Table2[[#This Row],[Data ultimo versamento temp]]=0/1/1900,"-",Table2[[#This Row],[Data ultimo versamento temp]])</f>
        <v>-</v>
      </c>
      <c r="AC815" s="29">
        <f t="array" ref="AC815">MAX(IF(TableVersamenti[Polizza]=Table2[[#This Row],[Polizza]],TableVersamenti[Data prevista versamento],"-"))</f>
        <v>0</v>
      </c>
      <c r="AD815" s="62"/>
      <c r="AE815" s="106">
        <f>DATE(YEAR(Table2[[#This Row],[Data ultimo pagamento]]),MONTH(Table2[[#This Row],[Data ultimo pagamento]]), 1)</f>
        <v>42856</v>
      </c>
      <c r="AF815" s="106">
        <f>DATE(YEAR(Table2[[#This Row],[Data prossima scadenza]]),MONTH(Table2[[#This Row],[Data prossima scadenza]]), 1)</f>
        <v>43009</v>
      </c>
      <c r="AG815" s="33">
        <f>IFERROR(Table2[[#This Row],[Importo annuale]]*VLOOKUP(Table2[[#This Row],[Ramo]],RAMI_POLIZZA,2,FALSE),0)</f>
        <v>3.536</v>
      </c>
      <c r="AH815" s="65" t="s">
        <v>113</v>
      </c>
      <c r="AI815" s="63" t="str">
        <f>IFERROR(VLOOKUP(Table2[[#This Row],[Contraente]],Table1[[Nome/Ragione sociale]:[Checkbox selezionato]],2,FALSE),"-")</f>
        <v>GENZONE</v>
      </c>
      <c r="AJ815" s="63" t="str">
        <f>IFERROR(VLOOKUP(Table2[[#This Row],[Contraente]],Table1[[Nome/Ragione sociale]:[Checkbox selezionato]],3,FALSE),"-")</f>
        <v>-</v>
      </c>
      <c r="AK815" s="63">
        <f>IFERROR(VLOOKUP(Table2[[#This Row],[Contraente]],Table1[[Nome/Ragione sociale]:[Checkbox selezionato]],4,FALSE),"-")</f>
        <v>0</v>
      </c>
      <c r="AL815" s="63" t="str">
        <f>IFERROR(VLOOKUP(Table2[[#This Row],[Contraente]],Table1[[Nome/Ragione sociale]:[Checkbox selezionato]],5,FALSE),"-")</f>
        <v>GRAZIANO</v>
      </c>
      <c r="AM815" s="62">
        <f>IFERROR(VLOOKUP(Table2[[#This Row],[Contraente]],Table1[[Nome/Ragione sociale]:[Checkbox selezionato]],6,FALSE),"-")</f>
        <v>22106</v>
      </c>
      <c r="AN815" s="63" t="str">
        <f>IFERROR(VLOOKUP(Table2[[#This Row],[Contraente]],Table1[[Nome/Ragione sociale]:[Checkbox selezionato]],7,FALSE),"-")</f>
        <v>papies@libero.it</v>
      </c>
      <c r="AO815" s="63">
        <f>IFERROR(VLOOKUP(Table2[[#This Row],[Contraente]],Table1[[Nome/Ragione sociale]:[Checkbox selezionato]],8,FALSE),"-")</f>
        <v>0</v>
      </c>
      <c r="AP815" s="63" t="str">
        <f>IFERROR(VLOOKUP(Table2[[#This Row],[Contraente]],Table1[[Nome/Ragione sociale]:[Checkbox selezionato]],10,FALSE),"-")</f>
        <v>-</v>
      </c>
      <c r="AQ815" s="63" t="str">
        <f>IFERROR(VLOOKUP(Table2[[#This Row],[Contraente]],Table1[[Nome/Ragione sociale]:[Checkbox selezionato]],11,FALSE),"-")</f>
        <v>SI</v>
      </c>
      <c r="AR815" s="63" t="str">
        <f>IFERROR(VLOOKUP(Table2[[#This Row],[Contraente]],Table1[[Nome/Ragione sociale]:[Checkbox selezionato]],12,FALSE),"-")</f>
        <v>SI</v>
      </c>
    </row>
    <row r="816" spans="1:44" ht="30" hidden="1" customHeight="1" x14ac:dyDescent="0.25">
      <c r="A816" s="60" t="str">
        <f>UPPER(LEFT(Table2[[#This Row],[Contraente]],1))</f>
        <v>P</v>
      </c>
      <c r="B816" s="60" t="s">
        <v>1634</v>
      </c>
      <c r="C816" s="81" t="s">
        <v>877</v>
      </c>
      <c r="D816" s="81" t="s">
        <v>37</v>
      </c>
      <c r="E816" s="86">
        <v>1077682</v>
      </c>
      <c r="F816" s="64">
        <v>42643</v>
      </c>
      <c r="G816" s="64">
        <f>IFERROR(CALCOLASCADENZA(Table2[[#This Row],[Data attivazione]],Table2[[#This Row],[Rateizzazione]],Table2[[#This Row],[Data ultimo pagamento]],Table2[[#This Row],[Data prossima scadenza manuale]]),"-")</f>
        <v>43008</v>
      </c>
      <c r="H816" s="67" t="s">
        <v>32</v>
      </c>
      <c r="I816" s="67" t="s">
        <v>113</v>
      </c>
      <c r="J816" s="33">
        <f>IFERROR(Table2[[#This Row],[Importo annuale]]/(12/VLOOKUP(Table2[[#This Row],[Rateizzazione]],TIPI_RATEIZZAZIONI,2,FALSE)),"-")</f>
        <v>200</v>
      </c>
      <c r="K816" s="88"/>
      <c r="L816" s="88">
        <v>200</v>
      </c>
      <c r="M816" s="67" t="s">
        <v>45</v>
      </c>
      <c r="N816" s="67" t="s">
        <v>52</v>
      </c>
      <c r="O816" s="27" t="s">
        <v>1631</v>
      </c>
      <c r="P816" s="33" t="s">
        <v>23</v>
      </c>
      <c r="Q816" s="60">
        <f>IFERROR(IF(12 / VLOOKUP(Table2[[#This Row],[Rateizzazione]],TIPI_RATEIZZAZIONI,2,FALSE) &gt;=1,  IF(Table2[[#This Row],[Data attivazione]] = "","-",MONTH(Table2[[#This Row],[Data attivazione]])),"-"),"-")</f>
        <v>9</v>
      </c>
      <c r="R8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6" s="67" t="s">
        <v>2</v>
      </c>
      <c r="V816" s="62"/>
      <c r="W816" s="64">
        <v>42643</v>
      </c>
      <c r="X816" s="29">
        <f>DATE(YEAR(Table2[[#This Row],[Data attivazione]])+VLOOKUP(Table2[[#This Row],[Durata]],VALORE_DURATA,2,FALSE),MONTH(Table2[[#This Row],[Data attivazione]]),DAY(Table2[[#This Row],[Data attivazione]]))</f>
        <v>43008</v>
      </c>
      <c r="Y816" s="65"/>
      <c r="Z816" s="61"/>
      <c r="AA816" s="64" t="s">
        <v>85</v>
      </c>
      <c r="AB816" s="29" t="str">
        <f>IF(Table2[[#This Row],[Data ultimo versamento temp]]=0/1/1900,"-",Table2[[#This Row],[Data ultimo versamento temp]])</f>
        <v>-</v>
      </c>
      <c r="AC816" s="29">
        <f t="array" ref="AC816">MAX(IF(TableVersamenti[Polizza]=Table2[[#This Row],[Polizza]],TableVersamenti[Data prevista versamento],"-"))</f>
        <v>0</v>
      </c>
      <c r="AD816" s="62"/>
      <c r="AE816" s="106">
        <f>DATE(YEAR(Table2[[#This Row],[Data ultimo pagamento]]),MONTH(Table2[[#This Row],[Data ultimo pagamento]]), 1)</f>
        <v>42614</v>
      </c>
      <c r="AF816" s="106">
        <f>DATE(YEAR(Table2[[#This Row],[Data prossima scadenza]]),MONTH(Table2[[#This Row],[Data prossima scadenza]]), 1)</f>
        <v>42979</v>
      </c>
      <c r="AG816" s="33">
        <f>IFERROR(Table2[[#This Row],[Importo annuale]]*VLOOKUP(Table2[[#This Row],[Ramo]],RAMI_POLIZZA,2,FALSE),0)</f>
        <v>3</v>
      </c>
      <c r="AH816" s="65" t="s">
        <v>113</v>
      </c>
      <c r="AI816" s="63" t="str">
        <f>IFERROR(VLOOKUP(Table2[[#This Row],[Contraente]],Table1[[Nome/Ragione sociale]:[Checkbox selezionato]],2,FALSE),"-")</f>
        <v>PAVIA</v>
      </c>
      <c r="AJ816" s="63" t="str">
        <f>IFERROR(VLOOKUP(Table2[[#This Row],[Contraente]],Table1[[Nome/Ragione sociale]:[Checkbox selezionato]],3,FALSE),"-")</f>
        <v>-</v>
      </c>
      <c r="AK816" s="63">
        <f>IFERROR(VLOOKUP(Table2[[#This Row],[Contraente]],Table1[[Nome/Ragione sociale]:[Checkbox selezionato]],4,FALSE),"-")</f>
        <v>0</v>
      </c>
      <c r="AL816" s="63" t="str">
        <f>IFERROR(VLOOKUP(Table2[[#This Row],[Contraente]],Table1[[Nome/Ragione sociale]:[Checkbox selezionato]],5,FALSE),"-")</f>
        <v>SIMONE</v>
      </c>
      <c r="AM816" s="62">
        <f>IFERROR(VLOOKUP(Table2[[#This Row],[Contraente]],Table1[[Nome/Ragione sociale]:[Checkbox selezionato]],6,FALSE),"-")</f>
        <v>30282</v>
      </c>
      <c r="AN816" s="63" t="str">
        <f>IFERROR(VLOOKUP(Table2[[#This Row],[Contraente]],Table1[[Nome/Ragione sociale]:[Checkbox selezionato]],7,FALSE),"-")</f>
        <v>papies@libero.it</v>
      </c>
      <c r="AO816" s="63">
        <f>IFERROR(VLOOKUP(Table2[[#This Row],[Contraente]],Table1[[Nome/Ragione sociale]:[Checkbox selezionato]],8,FALSE),"-")</f>
        <v>0</v>
      </c>
      <c r="AP816" s="63" t="str">
        <f>IFERROR(VLOOKUP(Table2[[#This Row],[Contraente]],Table1[[Nome/Ragione sociale]:[Checkbox selezionato]],10,FALSE),"-")</f>
        <v>-</v>
      </c>
      <c r="AQ816" s="63" t="str">
        <f>IFERROR(VLOOKUP(Table2[[#This Row],[Contraente]],Table1[[Nome/Ragione sociale]:[Checkbox selezionato]],11,FALSE),"-")</f>
        <v>SI</v>
      </c>
      <c r="AR816" s="63" t="str">
        <f>IFERROR(VLOOKUP(Table2[[#This Row],[Contraente]],Table1[[Nome/Ragione sociale]:[Checkbox selezionato]],12,FALSE),"-")</f>
        <v>SI</v>
      </c>
    </row>
    <row r="817" spans="1:44" ht="30" hidden="1" customHeight="1" x14ac:dyDescent="0.25">
      <c r="A817" s="60" t="str">
        <f>UPPER(LEFT(Table2[[#This Row],[Contraente]],1))</f>
        <v>P</v>
      </c>
      <c r="B817" s="60" t="s">
        <v>1634</v>
      </c>
      <c r="C817" s="81" t="s">
        <v>877</v>
      </c>
      <c r="D817" s="81" t="s">
        <v>37</v>
      </c>
      <c r="E817" s="86">
        <v>104867311</v>
      </c>
      <c r="F817" s="64">
        <v>42643</v>
      </c>
      <c r="G817" s="64">
        <f>IFERROR(CALCOLASCADENZA(Table2[[#This Row],[Data attivazione]],Table2[[#This Row],[Rateizzazione]],Table2[[#This Row],[Data ultimo pagamento]],Table2[[#This Row],[Data prossima scadenza manuale]]),"-")</f>
        <v>43007</v>
      </c>
      <c r="H817" s="67" t="s">
        <v>31</v>
      </c>
      <c r="I817" s="67" t="s">
        <v>1462</v>
      </c>
      <c r="J817" s="33">
        <f>IFERROR(Table2[[#This Row],[Importo annuale]]/(12/VLOOKUP(Table2[[#This Row],[Rateizzazione]],TIPI_RATEIZZAZIONI,2,FALSE)),"-")</f>
        <v>307</v>
      </c>
      <c r="K817" s="88"/>
      <c r="L817" s="88">
        <v>307</v>
      </c>
      <c r="M817" s="67" t="s">
        <v>45</v>
      </c>
      <c r="N817" s="67" t="s">
        <v>51</v>
      </c>
      <c r="O817" s="27" t="s">
        <v>1631</v>
      </c>
      <c r="P817" s="33" t="s">
        <v>23</v>
      </c>
      <c r="Q817" s="60">
        <f>IFERROR(IF(12 / VLOOKUP(Table2[[#This Row],[Rateizzazione]],TIPI_RATEIZZAZIONI,2,FALSE) &gt;=1,  IF(Table2[[#This Row],[Data attivazione]] = "","-",MONTH(Table2[[#This Row],[Data attivazione]])),"-"),"-")</f>
        <v>9</v>
      </c>
      <c r="R8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7" s="67" t="s">
        <v>2</v>
      </c>
      <c r="V817" s="62"/>
      <c r="W817" s="64">
        <v>42642</v>
      </c>
      <c r="X817" s="29">
        <f>DATE(YEAR(Table2[[#This Row],[Data attivazione]])+VLOOKUP(Table2[[#This Row],[Durata]],VALORE_DURATA,2,FALSE),MONTH(Table2[[#This Row],[Data attivazione]]),DAY(Table2[[#This Row],[Data attivazione]]))</f>
        <v>43007</v>
      </c>
      <c r="Y817" s="65"/>
      <c r="Z817" s="61"/>
      <c r="AA817" s="64" t="s">
        <v>85</v>
      </c>
      <c r="AB817" s="29" t="str">
        <f>IF(Table2[[#This Row],[Data ultimo versamento temp]]=0/1/1900,"-",Table2[[#This Row],[Data ultimo versamento temp]])</f>
        <v>-</v>
      </c>
      <c r="AC817" s="29">
        <f t="array" ref="AC817">MAX(IF(TableVersamenti[Polizza]=Table2[[#This Row],[Polizza]],TableVersamenti[Data prevista versamento],"-"))</f>
        <v>0</v>
      </c>
      <c r="AD817" s="62"/>
      <c r="AE817" s="106">
        <f>DATE(YEAR(Table2[[#This Row],[Data ultimo pagamento]]),MONTH(Table2[[#This Row],[Data ultimo pagamento]]), 1)</f>
        <v>42614</v>
      </c>
      <c r="AF817" s="106">
        <f>DATE(YEAR(Table2[[#This Row],[Data prossima scadenza]]),MONTH(Table2[[#This Row],[Data prossima scadenza]]), 1)</f>
        <v>42979</v>
      </c>
      <c r="AG817" s="33">
        <f>IFERROR(Table2[[#This Row],[Importo annuale]]*VLOOKUP(Table2[[#This Row],[Ramo]],RAMI_POLIZZA,2,FALSE),0)</f>
        <v>15.963999999999999</v>
      </c>
      <c r="AH817" s="65" t="s">
        <v>113</v>
      </c>
      <c r="AI817" s="63" t="str">
        <f>IFERROR(VLOOKUP(Table2[[#This Row],[Contraente]],Table1[[Nome/Ragione sociale]:[Checkbox selezionato]],2,FALSE),"-")</f>
        <v>PAVIA</v>
      </c>
      <c r="AJ817" s="63" t="str">
        <f>IFERROR(VLOOKUP(Table2[[#This Row],[Contraente]],Table1[[Nome/Ragione sociale]:[Checkbox selezionato]],3,FALSE),"-")</f>
        <v>-</v>
      </c>
      <c r="AK817" s="63">
        <f>IFERROR(VLOOKUP(Table2[[#This Row],[Contraente]],Table1[[Nome/Ragione sociale]:[Checkbox selezionato]],4,FALSE),"-")</f>
        <v>0</v>
      </c>
      <c r="AL817" s="63" t="str">
        <f>IFERROR(VLOOKUP(Table2[[#This Row],[Contraente]],Table1[[Nome/Ragione sociale]:[Checkbox selezionato]],5,FALSE),"-")</f>
        <v>SIMONE</v>
      </c>
      <c r="AM817" s="62">
        <f>IFERROR(VLOOKUP(Table2[[#This Row],[Contraente]],Table1[[Nome/Ragione sociale]:[Checkbox selezionato]],6,FALSE),"-")</f>
        <v>30282</v>
      </c>
      <c r="AN817" s="63" t="str">
        <f>IFERROR(VLOOKUP(Table2[[#This Row],[Contraente]],Table1[[Nome/Ragione sociale]:[Checkbox selezionato]],7,FALSE),"-")</f>
        <v>papies@libero.it</v>
      </c>
      <c r="AO817" s="63">
        <f>IFERROR(VLOOKUP(Table2[[#This Row],[Contraente]],Table1[[Nome/Ragione sociale]:[Checkbox selezionato]],8,FALSE),"-")</f>
        <v>0</v>
      </c>
      <c r="AP817" s="63" t="str">
        <f>IFERROR(VLOOKUP(Table2[[#This Row],[Contraente]],Table1[[Nome/Ragione sociale]:[Checkbox selezionato]],10,FALSE),"-")</f>
        <v>-</v>
      </c>
      <c r="AQ817" s="63" t="str">
        <f>IFERROR(VLOOKUP(Table2[[#This Row],[Contraente]],Table1[[Nome/Ragione sociale]:[Checkbox selezionato]],11,FALSE),"-")</f>
        <v>SI</v>
      </c>
      <c r="AR817" s="63" t="str">
        <f>IFERROR(VLOOKUP(Table2[[#This Row],[Contraente]],Table1[[Nome/Ragione sociale]:[Checkbox selezionato]],12,FALSE),"-")</f>
        <v>SI</v>
      </c>
    </row>
    <row r="818" spans="1:44" ht="30" hidden="1" customHeight="1" x14ac:dyDescent="0.25">
      <c r="A818" s="60" t="str">
        <f>UPPER(LEFT(Table2[[#This Row],[Contraente]],1))</f>
        <v>P</v>
      </c>
      <c r="B818" s="60" t="s">
        <v>1634</v>
      </c>
      <c r="C818" s="81" t="s">
        <v>873</v>
      </c>
      <c r="D818" s="81" t="s">
        <v>37</v>
      </c>
      <c r="E818" s="86">
        <v>106358523</v>
      </c>
      <c r="F818" s="64">
        <v>42726</v>
      </c>
      <c r="G818" s="64">
        <f>IFERROR(CALCOLASCADENZA(Table2[[#This Row],[Data attivazione]],Table2[[#This Row],[Rateizzazione]],Table2[[#This Row],[Data ultimo pagamento]],Table2[[#This Row],[Data prossima scadenza manuale]]),"-")</f>
        <v>43091</v>
      </c>
      <c r="H818" s="67" t="s">
        <v>30</v>
      </c>
      <c r="I818" s="67" t="s">
        <v>113</v>
      </c>
      <c r="J818" s="33">
        <f>IFERROR(Table2[[#This Row],[Importo annuale]]/(12/VLOOKUP(Table2[[#This Row],[Rateizzazione]],TIPI_RATEIZZAZIONI,2,FALSE)),"-")</f>
        <v>345</v>
      </c>
      <c r="K818" s="88"/>
      <c r="L818" s="88">
        <v>345</v>
      </c>
      <c r="M818" s="67" t="s">
        <v>44</v>
      </c>
      <c r="N818" s="67" t="s">
        <v>52</v>
      </c>
      <c r="O818" s="27" t="s">
        <v>1631</v>
      </c>
      <c r="P818" s="33" t="s">
        <v>23</v>
      </c>
      <c r="Q818" s="60">
        <f>IFERROR(IF(12 / VLOOKUP(Table2[[#This Row],[Rateizzazione]],TIPI_RATEIZZAZIONI,2,FALSE) &gt;=1,  IF(Table2[[#This Row],[Data attivazione]] = "","-",MONTH(Table2[[#This Row],[Data attivazione]])),"-"),"-")</f>
        <v>12</v>
      </c>
      <c r="R8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8" s="67" t="s">
        <v>2</v>
      </c>
      <c r="V818" s="62"/>
      <c r="W818" s="64">
        <v>42726</v>
      </c>
      <c r="X818" s="29">
        <f>DATE(YEAR(Table2[[#This Row],[Data attivazione]])+VLOOKUP(Table2[[#This Row],[Durata]],VALORE_DURATA,2,FALSE),MONTH(Table2[[#This Row],[Data attivazione]]),DAY(Table2[[#This Row],[Data attivazione]]))</f>
        <v>43091</v>
      </c>
      <c r="Y818" s="65"/>
      <c r="Z818" s="61"/>
      <c r="AA818" s="64" t="s">
        <v>85</v>
      </c>
      <c r="AB818" s="29" t="str">
        <f>IF(Table2[[#This Row],[Data ultimo versamento temp]]=0/1/1900,"-",Table2[[#This Row],[Data ultimo versamento temp]])</f>
        <v>-</v>
      </c>
      <c r="AC818" s="29">
        <f t="array" ref="AC818">MAX(IF(TableVersamenti[Polizza]=Table2[[#This Row],[Polizza]],TableVersamenti[Data prevista versamento],"-"))</f>
        <v>0</v>
      </c>
      <c r="AD818" s="62"/>
      <c r="AE818" s="106">
        <f>DATE(YEAR(Table2[[#This Row],[Data ultimo pagamento]]),MONTH(Table2[[#This Row],[Data ultimo pagamento]]), 1)</f>
        <v>42705</v>
      </c>
      <c r="AF818" s="106">
        <f>DATE(YEAR(Table2[[#This Row],[Data prossima scadenza]]),MONTH(Table2[[#This Row],[Data prossima scadenza]]), 1)</f>
        <v>43070</v>
      </c>
      <c r="AG818" s="33">
        <f>IFERROR(Table2[[#This Row],[Importo annuale]]*VLOOKUP(Table2[[#This Row],[Ramo]],RAMI_POLIZZA,2,FALSE),0)</f>
        <v>39.675000000000004</v>
      </c>
      <c r="AH818" s="65" t="s">
        <v>113</v>
      </c>
      <c r="AI818" s="63" t="str">
        <f>IFERROR(VLOOKUP(Table2[[#This Row],[Contraente]],Table1[[Nome/Ragione sociale]:[Checkbox selezionato]],2,FALSE),"-")</f>
        <v>PAVIA</v>
      </c>
      <c r="AJ818" s="63">
        <f>IFERROR(VLOOKUP(Table2[[#This Row],[Contraente]],Table1[[Nome/Ragione sociale]:[Checkbox selezionato]],3,FALSE),"-")</f>
        <v>3388483676</v>
      </c>
      <c r="AK818" s="63">
        <f>IFERROR(VLOOKUP(Table2[[#This Row],[Contraente]],Table1[[Nome/Ragione sociale]:[Checkbox selezionato]],4,FALSE),"-")</f>
        <v>0</v>
      </c>
      <c r="AL818" s="63" t="str">
        <f>IFERROR(VLOOKUP(Table2[[#This Row],[Contraente]],Table1[[Nome/Ragione sociale]:[Checkbox selezionato]],5,FALSE),"-")</f>
        <v>COLLI ALBERTO</v>
      </c>
      <c r="AM818" s="62" t="str">
        <f>IFERROR(VLOOKUP(Table2[[#This Row],[Contraente]],Table1[[Nome/Ragione sociale]:[Checkbox selezionato]],6,FALSE),"-")</f>
        <v>-</v>
      </c>
      <c r="AN818" s="63" t="str">
        <f>IFERROR(VLOOKUP(Table2[[#This Row],[Contraente]],Table1[[Nome/Ragione sociale]:[Checkbox selezionato]],7,FALSE),"-")</f>
        <v>papies@email.it</v>
      </c>
      <c r="AO818" s="63">
        <f>IFERROR(VLOOKUP(Table2[[#This Row],[Contraente]],Table1[[Nome/Ragione sociale]:[Checkbox selezionato]],8,FALSE),"-")</f>
        <v>0</v>
      </c>
      <c r="AP818" s="63">
        <f>IFERROR(VLOOKUP(Table2[[#This Row],[Contraente]],Table1[[Nome/Ragione sociale]:[Checkbox selezionato]],10,FALSE),"-")</f>
        <v>3388483676</v>
      </c>
      <c r="AQ818" s="63" t="str">
        <f>IFERROR(VLOOKUP(Table2[[#This Row],[Contraente]],Table1[[Nome/Ragione sociale]:[Checkbox selezionato]],11,FALSE),"-")</f>
        <v>SI</v>
      </c>
      <c r="AR818" s="63" t="str">
        <f>IFERROR(VLOOKUP(Table2[[#This Row],[Contraente]],Table1[[Nome/Ragione sociale]:[Checkbox selezionato]],12,FALSE),"-")</f>
        <v>SI</v>
      </c>
    </row>
    <row r="819" spans="1:44" ht="30" hidden="1" customHeight="1" x14ac:dyDescent="0.25">
      <c r="A819" s="60" t="str">
        <f>UPPER(LEFT(Table2[[#This Row],[Contraente]],1))</f>
        <v>P</v>
      </c>
      <c r="B819" s="60" t="s">
        <v>1634</v>
      </c>
      <c r="C819" s="81" t="s">
        <v>870</v>
      </c>
      <c r="D819" s="81" t="s">
        <v>37</v>
      </c>
      <c r="E819" s="86">
        <v>105377482</v>
      </c>
      <c r="F819" s="64">
        <v>42776</v>
      </c>
      <c r="G819" s="64">
        <f>IFERROR(CALCOLASCADENZA(Table2[[#This Row],[Data attivazione]],Table2[[#This Row],[Rateizzazione]],Table2[[#This Row],[Data ultimo pagamento]],Table2[[#This Row],[Data prossima scadenza manuale]]),"-")</f>
        <v>43118</v>
      </c>
      <c r="H819" s="67" t="s">
        <v>30</v>
      </c>
      <c r="I819" s="67" t="s">
        <v>113</v>
      </c>
      <c r="J819" s="33">
        <f>IFERROR(Table2[[#This Row],[Importo annuale]]/(12/VLOOKUP(Table2[[#This Row],[Rateizzazione]],TIPI_RATEIZZAZIONI,2,FALSE)),"-")</f>
        <v>2619</v>
      </c>
      <c r="K819" s="88">
        <v>2619</v>
      </c>
      <c r="L819" s="88">
        <v>2619</v>
      </c>
      <c r="M819" s="67" t="s">
        <v>44</v>
      </c>
      <c r="N819" s="67" t="s">
        <v>51</v>
      </c>
      <c r="O819" s="27" t="s">
        <v>1631</v>
      </c>
      <c r="P819" s="33" t="s">
        <v>23</v>
      </c>
      <c r="Q819" s="60">
        <f>IFERROR(IF(12 / VLOOKUP(Table2[[#This Row],[Rateizzazione]],TIPI_RATEIZZAZIONI,2,FALSE) &gt;=1,  IF(Table2[[#This Row],[Data attivazione]] = "","-",MONTH(Table2[[#This Row],[Data attivazione]])),"-"),"-")</f>
        <v>1</v>
      </c>
      <c r="R8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9" s="67" t="s">
        <v>2</v>
      </c>
      <c r="V819" s="62"/>
      <c r="W819" s="64">
        <v>42753</v>
      </c>
      <c r="X819" s="29">
        <f>DATE(YEAR(Table2[[#This Row],[Data attivazione]])+VLOOKUP(Table2[[#This Row],[Durata]],VALORE_DURATA,2,FALSE),MONTH(Table2[[#This Row],[Data attivazione]]),DAY(Table2[[#This Row],[Data attivazione]]))</f>
        <v>43118</v>
      </c>
      <c r="Y819" s="65"/>
      <c r="Z819" s="61"/>
      <c r="AA819" s="64" t="s">
        <v>85</v>
      </c>
      <c r="AB819" s="29" t="str">
        <f>IF(Table2[[#This Row],[Data ultimo versamento temp]]=0/1/1900,"-",Table2[[#This Row],[Data ultimo versamento temp]])</f>
        <v>-</v>
      </c>
      <c r="AC819" s="29">
        <f t="array" ref="AC819">MAX(IF(TableVersamenti[Polizza]=Table2[[#This Row],[Polizza]],TableVersamenti[Data prevista versamento],"-"))</f>
        <v>0</v>
      </c>
      <c r="AD819" s="62"/>
      <c r="AE819" s="106">
        <f>DATE(YEAR(Table2[[#This Row],[Data ultimo pagamento]]),MONTH(Table2[[#This Row],[Data ultimo pagamento]]), 1)</f>
        <v>42767</v>
      </c>
      <c r="AF819" s="106">
        <f>DATE(YEAR(Table2[[#This Row],[Data prossima scadenza]]),MONTH(Table2[[#This Row],[Data prossima scadenza]]), 1)</f>
        <v>43101</v>
      </c>
      <c r="AG819" s="33">
        <f>IFERROR(Table2[[#This Row],[Importo annuale]]*VLOOKUP(Table2[[#This Row],[Ramo]],RAMI_POLIZZA,2,FALSE),0)</f>
        <v>301.185</v>
      </c>
      <c r="AH819" s="65" t="s">
        <v>113</v>
      </c>
      <c r="AI819" s="63" t="str">
        <f>IFERROR(VLOOKUP(Table2[[#This Row],[Contraente]],Table1[[Nome/Ragione sociale]:[Checkbox selezionato]],2,FALSE),"-")</f>
        <v>PAVIA</v>
      </c>
      <c r="AJ819" s="63">
        <f>IFERROR(VLOOKUP(Table2[[#This Row],[Contraente]],Table1[[Nome/Ragione sociale]:[Checkbox selezionato]],3,FALSE),"-")</f>
        <v>3356818133</v>
      </c>
      <c r="AK819" s="63">
        <f>IFERROR(VLOOKUP(Table2[[#This Row],[Contraente]],Table1[[Nome/Ragione sociale]:[Checkbox selezionato]],4,FALSE),"-")</f>
        <v>0</v>
      </c>
      <c r="AL819" s="63" t="str">
        <f>IFERROR(VLOOKUP(Table2[[#This Row],[Contraente]],Table1[[Nome/Ragione sociale]:[Checkbox selezionato]],5,FALSE),"-")</f>
        <v>TOSELLI</v>
      </c>
      <c r="AM819" s="62">
        <f>IFERROR(VLOOKUP(Table2[[#This Row],[Contraente]],Table1[[Nome/Ragione sociale]:[Checkbox selezionato]],6,FALSE),"-")</f>
        <v>15077</v>
      </c>
      <c r="AN819" s="63" t="str">
        <f>IFERROR(VLOOKUP(Table2[[#This Row],[Contraente]],Table1[[Nome/Ragione sociale]:[Checkbox selezionato]],7,FALSE),"-")</f>
        <v>papies@libero.it</v>
      </c>
      <c r="AO819" s="63">
        <f>IFERROR(VLOOKUP(Table2[[#This Row],[Contraente]],Table1[[Nome/Ragione sociale]:[Checkbox selezionato]],8,FALSE),"-")</f>
        <v>0</v>
      </c>
      <c r="AP819" s="63">
        <f>IFERROR(VLOOKUP(Table2[[#This Row],[Contraente]],Table1[[Nome/Ragione sociale]:[Checkbox selezionato]],10,FALSE),"-")</f>
        <v>3356818133</v>
      </c>
      <c r="AQ819" s="63" t="str">
        <f>IFERROR(VLOOKUP(Table2[[#This Row],[Contraente]],Table1[[Nome/Ragione sociale]:[Checkbox selezionato]],11,FALSE),"-")</f>
        <v>SI</v>
      </c>
      <c r="AR819" s="63" t="str">
        <f>IFERROR(VLOOKUP(Table2[[#This Row],[Contraente]],Table1[[Nome/Ragione sociale]:[Checkbox selezionato]],12,FALSE),"-")</f>
        <v>SI</v>
      </c>
    </row>
    <row r="820" spans="1:44" ht="30" hidden="1" customHeight="1" x14ac:dyDescent="0.25">
      <c r="A820" s="60" t="str">
        <f>UPPER(LEFT(Table2[[#This Row],[Contraente]],1))</f>
        <v>P</v>
      </c>
      <c r="B820" s="60" t="s">
        <v>1634</v>
      </c>
      <c r="C820" s="81" t="s">
        <v>1770</v>
      </c>
      <c r="D820" s="81" t="s">
        <v>37</v>
      </c>
      <c r="E820" s="86">
        <v>106390346</v>
      </c>
      <c r="F820" s="64">
        <v>42916</v>
      </c>
      <c r="G820" s="64">
        <f>IFERROR(CALCOLASCADENZA(Table2[[#This Row],[Data attivazione]],Table2[[#This Row],[Rateizzazione]],Table2[[#This Row],[Data ultimo pagamento]],Table2[[#This Row],[Data prossima scadenza manuale]]),"-")</f>
        <v>43102</v>
      </c>
      <c r="H820" s="67" t="s">
        <v>31</v>
      </c>
      <c r="I820" s="67" t="s">
        <v>1780</v>
      </c>
      <c r="J820" s="33">
        <f>IFERROR(Table2[[#This Row],[Importo annuale]]/(12/VLOOKUP(Table2[[#This Row],[Rateizzazione]],TIPI_RATEIZZAZIONI,2,FALSE)),"-")</f>
        <v>410.35</v>
      </c>
      <c r="K820" s="88">
        <v>410.35</v>
      </c>
      <c r="L820" s="88">
        <v>820.7</v>
      </c>
      <c r="M820" s="67" t="s">
        <v>43</v>
      </c>
      <c r="N820" s="67" t="s">
        <v>52</v>
      </c>
      <c r="O820" s="27" t="s">
        <v>1631</v>
      </c>
      <c r="P820" s="33" t="s">
        <v>22</v>
      </c>
      <c r="Q820" s="60">
        <f>IFERROR(IF(12 / VLOOKUP(Table2[[#This Row],[Rateizzazione]],TIPI_RATEIZZAZIONI,2,FALSE) &gt;=1,  IF(Table2[[#This Row],[Data attivazione]] = "","-",MONTH(Table2[[#This Row],[Data attivazione]])),"-"),"-")</f>
        <v>1</v>
      </c>
      <c r="R8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0" s="67" t="s">
        <v>1774</v>
      </c>
      <c r="V820" s="62"/>
      <c r="W820" s="64">
        <v>42737</v>
      </c>
      <c r="X820" s="29">
        <f>DATE(YEAR(Table2[[#This Row],[Data attivazione]])+VLOOKUP(Table2[[#This Row],[Durata]],VALORE_DURATA,2,FALSE),MONTH(Table2[[#This Row],[Data attivazione]]),DAY(Table2[[#This Row],[Data attivazione]]))</f>
        <v>43102</v>
      </c>
      <c r="Y820" s="65"/>
      <c r="Z820" s="61"/>
      <c r="AA820" s="64" t="s">
        <v>85</v>
      </c>
      <c r="AB820" s="29" t="str">
        <f>IF(Table2[[#This Row],[Data ultimo versamento temp]]=0/1/1900,"-",Table2[[#This Row],[Data ultimo versamento temp]])</f>
        <v>-</v>
      </c>
      <c r="AC820" s="29">
        <f t="array" ref="AC820">MAX(IF(TableVersamenti[Polizza]=Table2[[#This Row],[Polizza]],TableVersamenti[Data prevista versamento],"-"))</f>
        <v>0</v>
      </c>
      <c r="AD820" s="62"/>
      <c r="AE820" s="106">
        <f>DATE(YEAR(Table2[[#This Row],[Data ultimo pagamento]]),MONTH(Table2[[#This Row],[Data ultimo pagamento]]), 1)</f>
        <v>42887</v>
      </c>
      <c r="AF820" s="106">
        <f>DATE(YEAR(Table2[[#This Row],[Data prossima scadenza]]),MONTH(Table2[[#This Row],[Data prossima scadenza]]), 1)</f>
        <v>43101</v>
      </c>
      <c r="AG820" s="33">
        <f>IFERROR(Table2[[#This Row],[Importo annuale]]*VLOOKUP(Table2[[#This Row],[Ramo]],RAMI_POLIZZA,2,FALSE),0)</f>
        <v>42.676400000000001</v>
      </c>
      <c r="AH820" s="65" t="s">
        <v>113</v>
      </c>
      <c r="AI820" s="63" t="str">
        <f>IFERROR(VLOOKUP(Table2[[#This Row],[Contraente]],Table1[[Nome/Ragione sociale]:[Checkbox selezionato]],2,FALSE),"-")</f>
        <v>SANTA CRISTINA E BISSONE</v>
      </c>
      <c r="AJ820" s="63">
        <f>IFERROR(VLOOKUP(Table2[[#This Row],[Contraente]],Table1[[Nome/Ragione sociale]:[Checkbox selezionato]],3,FALSE),"-")</f>
        <v>0</v>
      </c>
      <c r="AK820" s="63">
        <f>IFERROR(VLOOKUP(Table2[[#This Row],[Contraente]],Table1[[Nome/Ragione sociale]:[Checkbox selezionato]],4,FALSE),"-")</f>
        <v>0</v>
      </c>
      <c r="AL820" s="63">
        <f>IFERROR(VLOOKUP(Table2[[#This Row],[Contraente]],Table1[[Nome/Ragione sociale]:[Checkbox selezionato]],5,FALSE),"-")</f>
        <v>0</v>
      </c>
      <c r="AM820" s="62" t="str">
        <f>IFERROR(VLOOKUP(Table2[[#This Row],[Contraente]],Table1[[Nome/Ragione sociale]:[Checkbox selezionato]],6,FALSE),"-")</f>
        <v>-</v>
      </c>
      <c r="AN820" s="63" t="str">
        <f>IFERROR(VLOOKUP(Table2[[#This Row],[Contraente]],Table1[[Nome/Ragione sociale]:[Checkbox selezionato]],7,FALSE),"-")</f>
        <v>papies@libero.it</v>
      </c>
      <c r="AO820" s="63">
        <f>IFERROR(VLOOKUP(Table2[[#This Row],[Contraente]],Table1[[Nome/Ragione sociale]:[Checkbox selezionato]],8,FALSE),"-")</f>
        <v>0</v>
      </c>
      <c r="AP820" s="63">
        <f>IFERROR(VLOOKUP(Table2[[#This Row],[Contraente]],Table1[[Nome/Ragione sociale]:[Checkbox selezionato]],10,FALSE),"-")</f>
        <v>0</v>
      </c>
      <c r="AQ820" s="63" t="str">
        <f>IFERROR(VLOOKUP(Table2[[#This Row],[Contraente]],Table1[[Nome/Ragione sociale]:[Checkbox selezionato]],11,FALSE),"-")</f>
        <v>SI</v>
      </c>
      <c r="AR820" s="63" t="str">
        <f>IFERROR(VLOOKUP(Table2[[#This Row],[Contraente]],Table1[[Nome/Ragione sociale]:[Checkbox selezionato]],12,FALSE),"-")</f>
        <v>SI</v>
      </c>
    </row>
    <row r="821" spans="1:44" ht="30" hidden="1" customHeight="1" x14ac:dyDescent="0.25">
      <c r="A821" s="60" t="str">
        <f>UPPER(LEFT(Table2[[#This Row],[Contraente]],1))</f>
        <v>P</v>
      </c>
      <c r="B821" s="60" t="s">
        <v>1634</v>
      </c>
      <c r="C821" s="81" t="s">
        <v>158</v>
      </c>
      <c r="D821" s="81" t="s">
        <v>37</v>
      </c>
      <c r="E821" s="86">
        <v>105226836</v>
      </c>
      <c r="F821" s="64">
        <v>42761</v>
      </c>
      <c r="G821" s="64">
        <f>IFERROR(CALCOLASCADENZA(Table2[[#This Row],[Data attivazione]],Table2[[#This Row],[Rateizzazione]],Table2[[#This Row],[Data ultimo pagamento]],Table2[[#This Row],[Data prossima scadenza manuale]]),"-")</f>
        <v>43121</v>
      </c>
      <c r="H821" s="67" t="s">
        <v>30</v>
      </c>
      <c r="I821" s="67" t="s">
        <v>113</v>
      </c>
      <c r="J821" s="33">
        <f>IFERROR(Table2[[#This Row],[Importo annuale]]/(12/VLOOKUP(Table2[[#This Row],[Rateizzazione]],TIPI_RATEIZZAZIONI,2,FALSE)),"-")</f>
        <v>227</v>
      </c>
      <c r="K821" s="88">
        <v>227</v>
      </c>
      <c r="L821" s="88">
        <v>227</v>
      </c>
      <c r="M821" s="67" t="s">
        <v>44</v>
      </c>
      <c r="N821" s="67" t="s">
        <v>51</v>
      </c>
      <c r="O821" s="27" t="s">
        <v>1631</v>
      </c>
      <c r="P821" s="33" t="s">
        <v>23</v>
      </c>
      <c r="Q821" s="60">
        <f>IFERROR(IF(12 / VLOOKUP(Table2[[#This Row],[Rateizzazione]],TIPI_RATEIZZAZIONI,2,FALSE) &gt;=1,  IF(Table2[[#This Row],[Data attivazione]] = "","-",MONTH(Table2[[#This Row],[Data attivazione]])),"-"),"-")</f>
        <v>1</v>
      </c>
      <c r="R8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1" s="67" t="s">
        <v>2</v>
      </c>
      <c r="V821" s="62"/>
      <c r="W821" s="64">
        <v>42756</v>
      </c>
      <c r="X821" s="29">
        <f>DATE(YEAR(Table2[[#This Row],[Data attivazione]])+VLOOKUP(Table2[[#This Row],[Durata]],VALORE_DURATA,2,FALSE),MONTH(Table2[[#This Row],[Data attivazione]]),DAY(Table2[[#This Row],[Data attivazione]]))</f>
        <v>43121</v>
      </c>
      <c r="Y821" s="65"/>
      <c r="Z821" s="61"/>
      <c r="AA821" s="64" t="s">
        <v>85</v>
      </c>
      <c r="AB821" s="29" t="str">
        <f>IF(Table2[[#This Row],[Data ultimo versamento temp]]=0/1/1900,"-",Table2[[#This Row],[Data ultimo versamento temp]])</f>
        <v>-</v>
      </c>
      <c r="AC821" s="29">
        <f t="array" ref="AC821">MAX(IF(TableVersamenti[Polizza]=Table2[[#This Row],[Polizza]],TableVersamenti[Data prevista versamento],"-"))</f>
        <v>0</v>
      </c>
      <c r="AD821" s="62"/>
      <c r="AE821" s="106">
        <f>DATE(YEAR(Table2[[#This Row],[Data ultimo pagamento]]),MONTH(Table2[[#This Row],[Data ultimo pagamento]]), 1)</f>
        <v>42736</v>
      </c>
      <c r="AF821" s="106">
        <f>DATE(YEAR(Table2[[#This Row],[Data prossima scadenza]]),MONTH(Table2[[#This Row],[Data prossima scadenza]]), 1)</f>
        <v>43101</v>
      </c>
      <c r="AG821" s="33">
        <f>IFERROR(Table2[[#This Row],[Importo annuale]]*VLOOKUP(Table2[[#This Row],[Ramo]],RAMI_POLIZZA,2,FALSE),0)</f>
        <v>26.105</v>
      </c>
      <c r="AH821" s="65" t="s">
        <v>113</v>
      </c>
      <c r="AI821" s="63" t="str">
        <f>IFERROR(VLOOKUP(Table2[[#This Row],[Contraente]],Table1[[Nome/Ragione sociale]:[Checkbox selezionato]],2,FALSE),"-")</f>
        <v>PIEVE PORTO MORONE</v>
      </c>
      <c r="AJ821" s="63">
        <f>IFERROR(VLOOKUP(Table2[[#This Row],[Contraente]],Table1[[Nome/Ragione sociale]:[Checkbox selezionato]],3,FALSE),"-")</f>
        <v>3477130975</v>
      </c>
      <c r="AK821" s="63">
        <f>IFERROR(VLOOKUP(Table2[[#This Row],[Contraente]],Table1[[Nome/Ragione sociale]:[Checkbox selezionato]],4,FALSE),"-")</f>
        <v>0</v>
      </c>
      <c r="AL821" s="63" t="str">
        <f>IFERROR(VLOOKUP(Table2[[#This Row],[Contraente]],Table1[[Nome/Ragione sociale]:[Checkbox selezionato]],5,FALSE),"-")</f>
        <v>MICHELE</v>
      </c>
      <c r="AM821" s="62">
        <f>IFERROR(VLOOKUP(Table2[[#This Row],[Contraente]],Table1[[Nome/Ragione sociale]:[Checkbox selezionato]],6,FALSE),"-")</f>
        <v>24814</v>
      </c>
      <c r="AN821" s="63" t="str">
        <f>IFERROR(VLOOKUP(Table2[[#This Row],[Contraente]],Table1[[Nome/Ragione sociale]:[Checkbox selezionato]],7,FALSE),"-")</f>
        <v>papies@email.it</v>
      </c>
      <c r="AO821" s="63">
        <f>IFERROR(VLOOKUP(Table2[[#This Row],[Contraente]],Table1[[Nome/Ragione sociale]:[Checkbox selezionato]],8,FALSE),"-")</f>
        <v>0</v>
      </c>
      <c r="AP821" s="63">
        <f>IFERROR(VLOOKUP(Table2[[#This Row],[Contraente]],Table1[[Nome/Ragione sociale]:[Checkbox selezionato]],10,FALSE),"-")</f>
        <v>3477130975</v>
      </c>
      <c r="AQ821" s="63" t="str">
        <f>IFERROR(VLOOKUP(Table2[[#This Row],[Contraente]],Table1[[Nome/Ragione sociale]:[Checkbox selezionato]],11,FALSE),"-")</f>
        <v>SI</v>
      </c>
      <c r="AR821" s="63" t="str">
        <f>IFERROR(VLOOKUP(Table2[[#This Row],[Contraente]],Table1[[Nome/Ragione sociale]:[Checkbox selezionato]],12,FALSE),"-")</f>
        <v>SI</v>
      </c>
    </row>
    <row r="822" spans="1:44" ht="30" hidden="1" customHeight="1" x14ac:dyDescent="0.25">
      <c r="A822" s="60" t="str">
        <f>UPPER(LEFT(Table2[[#This Row],[Contraente]],1))</f>
        <v>P</v>
      </c>
      <c r="B822" s="60" t="s">
        <v>1634</v>
      </c>
      <c r="C822" s="81" t="s">
        <v>158</v>
      </c>
      <c r="D822" s="81" t="s">
        <v>37</v>
      </c>
      <c r="E822" s="86">
        <v>105931463</v>
      </c>
      <c r="F822" s="64">
        <v>42767</v>
      </c>
      <c r="G822" s="64">
        <f>IFERROR(CALCOLASCADENZA(Table2[[#This Row],[Data attivazione]],Table2[[#This Row],[Rateizzazione]],Table2[[#This Row],[Data ultimo pagamento]],Table2[[#This Row],[Data prossima scadenza manuale]]),"-")</f>
        <v>42952</v>
      </c>
      <c r="H822" s="67" t="s">
        <v>30</v>
      </c>
      <c r="I822" s="67" t="s">
        <v>113</v>
      </c>
      <c r="J822" s="33">
        <f>IFERROR(Table2[[#This Row],[Importo annuale]]/(12/VLOOKUP(Table2[[#This Row],[Rateizzazione]],TIPI_RATEIZZAZIONI,2,FALSE)),"-")</f>
        <v>228</v>
      </c>
      <c r="K822" s="88">
        <v>228</v>
      </c>
      <c r="L822" s="88">
        <v>456</v>
      </c>
      <c r="M822" s="67" t="s">
        <v>44</v>
      </c>
      <c r="N822" s="67" t="s">
        <v>52</v>
      </c>
      <c r="O822" s="27" t="s">
        <v>1631</v>
      </c>
      <c r="P822" s="33" t="s">
        <v>22</v>
      </c>
      <c r="Q822" s="60">
        <f>IFERROR(IF(12 / VLOOKUP(Table2[[#This Row],[Rateizzazione]],TIPI_RATEIZZAZIONI,2,FALSE) &gt;=1,  IF(Table2[[#This Row],[Data attivazione]] = "","-",MONTH(Table2[[#This Row],[Data attivazione]])),"-"),"-")</f>
        <v>8</v>
      </c>
      <c r="R8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2" s="67" t="s">
        <v>2</v>
      </c>
      <c r="V822" s="62"/>
      <c r="W822" s="64">
        <v>42587</v>
      </c>
      <c r="X822" s="29">
        <f>DATE(YEAR(Table2[[#This Row],[Data attivazione]])+VLOOKUP(Table2[[#This Row],[Durata]],VALORE_DURATA,2,FALSE),MONTH(Table2[[#This Row],[Data attivazione]]),DAY(Table2[[#This Row],[Data attivazione]]))</f>
        <v>42952</v>
      </c>
      <c r="Y822" s="65"/>
      <c r="Z822" s="61"/>
      <c r="AA822" s="64" t="s">
        <v>85</v>
      </c>
      <c r="AB822" s="29" t="str">
        <f>IF(Table2[[#This Row],[Data ultimo versamento temp]]=0/1/1900,"-",Table2[[#This Row],[Data ultimo versamento temp]])</f>
        <v>-</v>
      </c>
      <c r="AC822" s="29">
        <f t="array" ref="AC822">MAX(IF(TableVersamenti[Polizza]=Table2[[#This Row],[Polizza]],TableVersamenti[Data prevista versamento],"-"))</f>
        <v>0</v>
      </c>
      <c r="AD822" s="62"/>
      <c r="AE822" s="106">
        <f>DATE(YEAR(Table2[[#This Row],[Data ultimo pagamento]]),MONTH(Table2[[#This Row],[Data ultimo pagamento]]), 1)</f>
        <v>42767</v>
      </c>
      <c r="AF822" s="106">
        <f>DATE(YEAR(Table2[[#This Row],[Data prossima scadenza]]),MONTH(Table2[[#This Row],[Data prossima scadenza]]), 1)</f>
        <v>42948</v>
      </c>
      <c r="AG822" s="33">
        <f>IFERROR(Table2[[#This Row],[Importo annuale]]*VLOOKUP(Table2[[#This Row],[Ramo]],RAMI_POLIZZA,2,FALSE),0)</f>
        <v>52.440000000000005</v>
      </c>
      <c r="AH822" s="65" t="s">
        <v>113</v>
      </c>
      <c r="AI822" s="63" t="str">
        <f>IFERROR(VLOOKUP(Table2[[#This Row],[Contraente]],Table1[[Nome/Ragione sociale]:[Checkbox selezionato]],2,FALSE),"-")</f>
        <v>PIEVE PORTO MORONE</v>
      </c>
      <c r="AJ822" s="63">
        <f>IFERROR(VLOOKUP(Table2[[#This Row],[Contraente]],Table1[[Nome/Ragione sociale]:[Checkbox selezionato]],3,FALSE),"-")</f>
        <v>3477130975</v>
      </c>
      <c r="AK822" s="63">
        <f>IFERROR(VLOOKUP(Table2[[#This Row],[Contraente]],Table1[[Nome/Ragione sociale]:[Checkbox selezionato]],4,FALSE),"-")</f>
        <v>0</v>
      </c>
      <c r="AL822" s="63" t="str">
        <f>IFERROR(VLOOKUP(Table2[[#This Row],[Contraente]],Table1[[Nome/Ragione sociale]:[Checkbox selezionato]],5,FALSE),"-")</f>
        <v>MICHELE</v>
      </c>
      <c r="AM822" s="62">
        <f>IFERROR(VLOOKUP(Table2[[#This Row],[Contraente]],Table1[[Nome/Ragione sociale]:[Checkbox selezionato]],6,FALSE),"-")</f>
        <v>24814</v>
      </c>
      <c r="AN822" s="63" t="str">
        <f>IFERROR(VLOOKUP(Table2[[#This Row],[Contraente]],Table1[[Nome/Ragione sociale]:[Checkbox selezionato]],7,FALSE),"-")</f>
        <v>papies@email.it</v>
      </c>
      <c r="AO822" s="63">
        <f>IFERROR(VLOOKUP(Table2[[#This Row],[Contraente]],Table1[[Nome/Ragione sociale]:[Checkbox selezionato]],8,FALSE),"-")</f>
        <v>0</v>
      </c>
      <c r="AP822" s="63">
        <f>IFERROR(VLOOKUP(Table2[[#This Row],[Contraente]],Table1[[Nome/Ragione sociale]:[Checkbox selezionato]],10,FALSE),"-")</f>
        <v>3477130975</v>
      </c>
      <c r="AQ822" s="63" t="str">
        <f>IFERROR(VLOOKUP(Table2[[#This Row],[Contraente]],Table1[[Nome/Ragione sociale]:[Checkbox selezionato]],11,FALSE),"-")</f>
        <v>SI</v>
      </c>
      <c r="AR822" s="63" t="str">
        <f>IFERROR(VLOOKUP(Table2[[#This Row],[Contraente]],Table1[[Nome/Ragione sociale]:[Checkbox selezionato]],12,FALSE),"-")</f>
        <v>SI</v>
      </c>
    </row>
    <row r="823" spans="1:44" ht="30" hidden="1" customHeight="1" x14ac:dyDescent="0.25">
      <c r="A823" s="60" t="str">
        <f>UPPER(LEFT(Table2[[#This Row],[Contraente]],1))</f>
        <v>P</v>
      </c>
      <c r="B823" s="60" t="s">
        <v>1634</v>
      </c>
      <c r="C823" s="81" t="s">
        <v>158</v>
      </c>
      <c r="D823" s="81" t="s">
        <v>37</v>
      </c>
      <c r="E823" s="86">
        <v>1076404</v>
      </c>
      <c r="F823" s="64">
        <v>42767</v>
      </c>
      <c r="G823" s="64">
        <f>IFERROR(CALCOLASCADENZA(Table2[[#This Row],[Data attivazione]],Table2[[#This Row],[Rateizzazione]],Table2[[#This Row],[Data ultimo pagamento]],Table2[[#This Row],[Data prossima scadenza manuale]]),"-")</f>
        <v>42952</v>
      </c>
      <c r="H823" s="67" t="s">
        <v>32</v>
      </c>
      <c r="I823" s="67" t="s">
        <v>113</v>
      </c>
      <c r="J823" s="33">
        <f>IFERROR(Table2[[#This Row],[Importo annuale]]/(12/VLOOKUP(Table2[[#This Row],[Rateizzazione]],TIPI_RATEIZZAZIONI,2,FALSE)),"-")</f>
        <v>71.89</v>
      </c>
      <c r="K823" s="88">
        <v>71.89</v>
      </c>
      <c r="L823" s="88">
        <v>143.78</v>
      </c>
      <c r="M823" s="67" t="s">
        <v>44</v>
      </c>
      <c r="N823" s="67" t="s">
        <v>52</v>
      </c>
      <c r="O823" s="27" t="s">
        <v>1631</v>
      </c>
      <c r="P823" s="33" t="s">
        <v>22</v>
      </c>
      <c r="Q823" s="60">
        <f>IFERROR(IF(12 / VLOOKUP(Table2[[#This Row],[Rateizzazione]],TIPI_RATEIZZAZIONI,2,FALSE) &gt;=1,  IF(Table2[[#This Row],[Data attivazione]] = "","-",MONTH(Table2[[#This Row],[Data attivazione]])),"-"),"-")</f>
        <v>8</v>
      </c>
      <c r="R8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3" s="67" t="s">
        <v>2</v>
      </c>
      <c r="V823" s="62"/>
      <c r="W823" s="64">
        <v>42587</v>
      </c>
      <c r="X823" s="29">
        <f>DATE(YEAR(Table2[[#This Row],[Data attivazione]])+VLOOKUP(Table2[[#This Row],[Durata]],VALORE_DURATA,2,FALSE),MONTH(Table2[[#This Row],[Data attivazione]]),DAY(Table2[[#This Row],[Data attivazione]]))</f>
        <v>42952</v>
      </c>
      <c r="Y823" s="65"/>
      <c r="Z823" s="61"/>
      <c r="AA823" s="64" t="s">
        <v>85</v>
      </c>
      <c r="AB823" s="29" t="str">
        <f>IF(Table2[[#This Row],[Data ultimo versamento temp]]=0/1/1900,"-",Table2[[#This Row],[Data ultimo versamento temp]])</f>
        <v>-</v>
      </c>
      <c r="AC823" s="29">
        <f t="array" ref="AC823">MAX(IF(TableVersamenti[Polizza]=Table2[[#This Row],[Polizza]],TableVersamenti[Data prevista versamento],"-"))</f>
        <v>0</v>
      </c>
      <c r="AD823" s="62"/>
      <c r="AE823" s="106">
        <f>DATE(YEAR(Table2[[#This Row],[Data ultimo pagamento]]),MONTH(Table2[[#This Row],[Data ultimo pagamento]]), 1)</f>
        <v>42767</v>
      </c>
      <c r="AF823" s="106">
        <f>DATE(YEAR(Table2[[#This Row],[Data prossima scadenza]]),MONTH(Table2[[#This Row],[Data prossima scadenza]]), 1)</f>
        <v>42948</v>
      </c>
      <c r="AG823" s="33">
        <f>IFERROR(Table2[[#This Row],[Importo annuale]]*VLOOKUP(Table2[[#This Row],[Ramo]],RAMI_POLIZZA,2,FALSE),0)</f>
        <v>2.1566999999999998</v>
      </c>
      <c r="AH823" s="65" t="s">
        <v>113</v>
      </c>
      <c r="AI823" s="63" t="str">
        <f>IFERROR(VLOOKUP(Table2[[#This Row],[Contraente]],Table1[[Nome/Ragione sociale]:[Checkbox selezionato]],2,FALSE),"-")</f>
        <v>PIEVE PORTO MORONE</v>
      </c>
      <c r="AJ823" s="63">
        <f>IFERROR(VLOOKUP(Table2[[#This Row],[Contraente]],Table1[[Nome/Ragione sociale]:[Checkbox selezionato]],3,FALSE),"-")</f>
        <v>3477130975</v>
      </c>
      <c r="AK823" s="63">
        <f>IFERROR(VLOOKUP(Table2[[#This Row],[Contraente]],Table1[[Nome/Ragione sociale]:[Checkbox selezionato]],4,FALSE),"-")</f>
        <v>0</v>
      </c>
      <c r="AL823" s="63" t="str">
        <f>IFERROR(VLOOKUP(Table2[[#This Row],[Contraente]],Table1[[Nome/Ragione sociale]:[Checkbox selezionato]],5,FALSE),"-")</f>
        <v>MICHELE</v>
      </c>
      <c r="AM823" s="62">
        <f>IFERROR(VLOOKUP(Table2[[#This Row],[Contraente]],Table1[[Nome/Ragione sociale]:[Checkbox selezionato]],6,FALSE),"-")</f>
        <v>24814</v>
      </c>
      <c r="AN823" s="63" t="str">
        <f>IFERROR(VLOOKUP(Table2[[#This Row],[Contraente]],Table1[[Nome/Ragione sociale]:[Checkbox selezionato]],7,FALSE),"-")</f>
        <v>papies@email.it</v>
      </c>
      <c r="AO823" s="63">
        <f>IFERROR(VLOOKUP(Table2[[#This Row],[Contraente]],Table1[[Nome/Ragione sociale]:[Checkbox selezionato]],8,FALSE),"-")</f>
        <v>0</v>
      </c>
      <c r="AP823" s="63">
        <f>IFERROR(VLOOKUP(Table2[[#This Row],[Contraente]],Table1[[Nome/Ragione sociale]:[Checkbox selezionato]],10,FALSE),"-")</f>
        <v>3477130975</v>
      </c>
      <c r="AQ823" s="63" t="str">
        <f>IFERROR(VLOOKUP(Table2[[#This Row],[Contraente]],Table1[[Nome/Ragione sociale]:[Checkbox selezionato]],11,FALSE),"-")</f>
        <v>SI</v>
      </c>
      <c r="AR823" s="63" t="str">
        <f>IFERROR(VLOOKUP(Table2[[#This Row],[Contraente]],Table1[[Nome/Ragione sociale]:[Checkbox selezionato]],12,FALSE),"-")</f>
        <v>SI</v>
      </c>
    </row>
    <row r="824" spans="1:44" ht="30" hidden="1" customHeight="1" x14ac:dyDescent="0.25">
      <c r="A824" s="60" t="str">
        <f>UPPER(LEFT(Table2[[#This Row],[Contraente]],1))</f>
        <v>P</v>
      </c>
      <c r="B824" s="60" t="s">
        <v>1634</v>
      </c>
      <c r="C824" s="81" t="s">
        <v>879</v>
      </c>
      <c r="D824" s="81" t="s">
        <v>37</v>
      </c>
      <c r="E824" s="86">
        <v>106287629</v>
      </c>
      <c r="F824" s="64">
        <v>42914</v>
      </c>
      <c r="G824" s="64">
        <f>IFERROR(CALCOLASCADENZA(Table2[[#This Row],[Data attivazione]],Table2[[#This Row],[Rateizzazione]],Table2[[#This Row],[Data ultimo pagamento]],Table2[[#This Row],[Data prossima scadenza manuale]]),"-")</f>
        <v>43087</v>
      </c>
      <c r="H824" s="67" t="s">
        <v>31</v>
      </c>
      <c r="I824" s="67" t="s">
        <v>1781</v>
      </c>
      <c r="J824" s="33">
        <f>IFERROR(Table2[[#This Row],[Importo annuale]]/(12/VLOOKUP(Table2[[#This Row],[Rateizzazione]],TIPI_RATEIZZAZIONI,2,FALSE)),"-")</f>
        <v>375</v>
      </c>
      <c r="K824" s="88">
        <v>375</v>
      </c>
      <c r="L824" s="88">
        <v>750</v>
      </c>
      <c r="M824" s="67" t="s">
        <v>43</v>
      </c>
      <c r="N824" s="67" t="s">
        <v>52</v>
      </c>
      <c r="O824" s="27" t="s">
        <v>1631</v>
      </c>
      <c r="P824" s="33" t="s">
        <v>22</v>
      </c>
      <c r="Q824" s="60">
        <f>IFERROR(IF(12 / VLOOKUP(Table2[[#This Row],[Rateizzazione]],TIPI_RATEIZZAZIONI,2,FALSE) &gt;=1,  IF(Table2[[#This Row],[Data attivazione]] = "","-",MONTH(Table2[[#This Row],[Data attivazione]])),"-"),"-")</f>
        <v>12</v>
      </c>
      <c r="R8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4" s="67" t="s">
        <v>2</v>
      </c>
      <c r="V824" s="62"/>
      <c r="W824" s="64">
        <v>42722</v>
      </c>
      <c r="X824" s="29">
        <f>DATE(YEAR(Table2[[#This Row],[Data attivazione]])+VLOOKUP(Table2[[#This Row],[Durata]],VALORE_DURATA,2,FALSE),MONTH(Table2[[#This Row],[Data attivazione]]),DAY(Table2[[#This Row],[Data attivazione]]))</f>
        <v>43087</v>
      </c>
      <c r="Y824" s="65"/>
      <c r="Z824" s="61"/>
      <c r="AA824" s="64" t="s">
        <v>85</v>
      </c>
      <c r="AB824" s="29" t="str">
        <f>IF(Table2[[#This Row],[Data ultimo versamento temp]]=0/1/1900,"-",Table2[[#This Row],[Data ultimo versamento temp]])</f>
        <v>-</v>
      </c>
      <c r="AC824" s="29">
        <f t="array" ref="AC824">MAX(IF(TableVersamenti[Polizza]=Table2[[#This Row],[Polizza]],TableVersamenti[Data prevista versamento],"-"))</f>
        <v>0</v>
      </c>
      <c r="AD824" s="62"/>
      <c r="AE824" s="106">
        <f>DATE(YEAR(Table2[[#This Row],[Data ultimo pagamento]]),MONTH(Table2[[#This Row],[Data ultimo pagamento]]), 1)</f>
        <v>42887</v>
      </c>
      <c r="AF824" s="106">
        <f>DATE(YEAR(Table2[[#This Row],[Data prossima scadenza]]),MONTH(Table2[[#This Row],[Data prossima scadenza]]), 1)</f>
        <v>43070</v>
      </c>
      <c r="AG824" s="33">
        <f>IFERROR(Table2[[#This Row],[Importo annuale]]*VLOOKUP(Table2[[#This Row],[Ramo]],RAMI_POLIZZA,2,FALSE),0)</f>
        <v>39</v>
      </c>
      <c r="AH824" s="65" t="s">
        <v>113</v>
      </c>
      <c r="AI824" s="63" t="str">
        <f>IFERROR(VLOOKUP(Table2[[#This Row],[Contraente]],Table1[[Nome/Ragione sociale]:[Checkbox selezionato]],2,FALSE),"-")</f>
        <v>BELGIOIOSO</v>
      </c>
      <c r="AJ824" s="63">
        <f>IFERROR(VLOOKUP(Table2[[#This Row],[Contraente]],Table1[[Nome/Ragione sociale]:[Checkbox selezionato]],3,FALSE),"-")</f>
        <v>3404617981</v>
      </c>
      <c r="AK824" s="63">
        <f>IFERROR(VLOOKUP(Table2[[#This Row],[Contraente]],Table1[[Nome/Ragione sociale]:[Checkbox selezionato]],4,FALSE),"-")</f>
        <v>0</v>
      </c>
      <c r="AL824" s="63" t="str">
        <f>IFERROR(VLOOKUP(Table2[[#This Row],[Contraente]],Table1[[Nome/Ragione sociale]:[Checkbox selezionato]],5,FALSE),"-")</f>
        <v>CARLO</v>
      </c>
      <c r="AM824" s="62">
        <f>IFERROR(VLOOKUP(Table2[[#This Row],[Contraente]],Table1[[Nome/Ragione sociale]:[Checkbox selezionato]],6,FALSE),"-")</f>
        <v>31423</v>
      </c>
      <c r="AN824" s="63" t="str">
        <f>IFERROR(VLOOKUP(Table2[[#This Row],[Contraente]],Table1[[Nome/Ragione sociale]:[Checkbox selezionato]],7,FALSE),"-")</f>
        <v>papies@libero.it</v>
      </c>
      <c r="AO824" s="63">
        <f>IFERROR(VLOOKUP(Table2[[#This Row],[Contraente]],Table1[[Nome/Ragione sociale]:[Checkbox selezionato]],8,FALSE),"-")</f>
        <v>0</v>
      </c>
      <c r="AP824" s="63">
        <f>IFERROR(VLOOKUP(Table2[[#This Row],[Contraente]],Table1[[Nome/Ragione sociale]:[Checkbox selezionato]],10,FALSE),"-")</f>
        <v>3404617981</v>
      </c>
      <c r="AQ824" s="63" t="str">
        <f>IFERROR(VLOOKUP(Table2[[#This Row],[Contraente]],Table1[[Nome/Ragione sociale]:[Checkbox selezionato]],11,FALSE),"-")</f>
        <v>SI</v>
      </c>
      <c r="AR824" s="63" t="str">
        <f>IFERROR(VLOOKUP(Table2[[#This Row],[Contraente]],Table1[[Nome/Ragione sociale]:[Checkbox selezionato]],12,FALSE),"-")</f>
        <v>SI</v>
      </c>
    </row>
    <row r="825" spans="1:44" ht="30" hidden="1" customHeight="1" x14ac:dyDescent="0.25">
      <c r="A825" s="60" t="str">
        <f>UPPER(LEFT(Table2[[#This Row],[Contraente]],1))</f>
        <v>P</v>
      </c>
      <c r="B825" s="60" t="s">
        <v>1634</v>
      </c>
      <c r="C825" s="81" t="s">
        <v>879</v>
      </c>
      <c r="D825" s="81" t="s">
        <v>37</v>
      </c>
      <c r="E825" s="86">
        <v>106408358</v>
      </c>
      <c r="F825" s="64">
        <v>42745</v>
      </c>
      <c r="G825" s="64">
        <f>IFERROR(CALCOLASCADENZA(Table2[[#This Row],[Data attivazione]],Table2[[#This Row],[Rateizzazione]],Table2[[#This Row],[Data ultimo pagamento]],Table2[[#This Row],[Data prossima scadenza manuale]]),"-")</f>
        <v>42926</v>
      </c>
      <c r="H825" s="67" t="s">
        <v>31</v>
      </c>
      <c r="I825" s="67" t="s">
        <v>1463</v>
      </c>
      <c r="J825" s="33">
        <f>IFERROR(Table2[[#This Row],[Importo annuale]]/(12/VLOOKUP(Table2[[#This Row],[Rateizzazione]],TIPI_RATEIZZAZIONI,2,FALSE)),"-")</f>
        <v>234.6</v>
      </c>
      <c r="K825" s="88">
        <v>234.6</v>
      </c>
      <c r="L825" s="88">
        <v>469.2</v>
      </c>
      <c r="M825" s="67" t="s">
        <v>43</v>
      </c>
      <c r="N825" s="67" t="s">
        <v>52</v>
      </c>
      <c r="O825" s="27" t="s">
        <v>1631</v>
      </c>
      <c r="P825" s="33" t="s">
        <v>22</v>
      </c>
      <c r="Q825" s="60">
        <f>IFERROR(IF(12 / VLOOKUP(Table2[[#This Row],[Rateizzazione]],TIPI_RATEIZZAZIONI,2,FALSE) &gt;=1,  IF(Table2[[#This Row],[Data attivazione]] = "","-",MONTH(Table2[[#This Row],[Data attivazione]])),"-"),"-")</f>
        <v>7</v>
      </c>
      <c r="R8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5" s="67" t="s">
        <v>2</v>
      </c>
      <c r="V825" s="62"/>
      <c r="W825" s="64">
        <v>42561</v>
      </c>
      <c r="X825" s="29">
        <f>DATE(YEAR(Table2[[#This Row],[Data attivazione]])+VLOOKUP(Table2[[#This Row],[Durata]],VALORE_DURATA,2,FALSE),MONTH(Table2[[#This Row],[Data attivazione]]),DAY(Table2[[#This Row],[Data attivazione]]))</f>
        <v>42926</v>
      </c>
      <c r="Y825" s="65"/>
      <c r="Z825" s="61"/>
      <c r="AA825" s="64" t="s">
        <v>85</v>
      </c>
      <c r="AB825" s="29" t="str">
        <f>IF(Table2[[#This Row],[Data ultimo versamento temp]]=0/1/1900,"-",Table2[[#This Row],[Data ultimo versamento temp]])</f>
        <v>-</v>
      </c>
      <c r="AC825" s="29">
        <f t="array" ref="AC825">MAX(IF(TableVersamenti[Polizza]=Table2[[#This Row],[Polizza]],TableVersamenti[Data prevista versamento],"-"))</f>
        <v>0</v>
      </c>
      <c r="AD825" s="62"/>
      <c r="AE825" s="106">
        <f>DATE(YEAR(Table2[[#This Row],[Data ultimo pagamento]]),MONTH(Table2[[#This Row],[Data ultimo pagamento]]), 1)</f>
        <v>42736</v>
      </c>
      <c r="AF825" s="106">
        <f>DATE(YEAR(Table2[[#This Row],[Data prossima scadenza]]),MONTH(Table2[[#This Row],[Data prossima scadenza]]), 1)</f>
        <v>42917</v>
      </c>
      <c r="AG825" s="33">
        <f>IFERROR(Table2[[#This Row],[Importo annuale]]*VLOOKUP(Table2[[#This Row],[Ramo]],RAMI_POLIZZA,2,FALSE),0)</f>
        <v>24.398399999999999</v>
      </c>
      <c r="AH825" s="65" t="s">
        <v>113</v>
      </c>
      <c r="AI825" s="63" t="str">
        <f>IFERROR(VLOOKUP(Table2[[#This Row],[Contraente]],Table1[[Nome/Ragione sociale]:[Checkbox selezionato]],2,FALSE),"-")</f>
        <v>BELGIOIOSO</v>
      </c>
      <c r="AJ825" s="63">
        <f>IFERROR(VLOOKUP(Table2[[#This Row],[Contraente]],Table1[[Nome/Ragione sociale]:[Checkbox selezionato]],3,FALSE),"-")</f>
        <v>3404617981</v>
      </c>
      <c r="AK825" s="63">
        <f>IFERROR(VLOOKUP(Table2[[#This Row],[Contraente]],Table1[[Nome/Ragione sociale]:[Checkbox selezionato]],4,FALSE),"-")</f>
        <v>0</v>
      </c>
      <c r="AL825" s="63" t="str">
        <f>IFERROR(VLOOKUP(Table2[[#This Row],[Contraente]],Table1[[Nome/Ragione sociale]:[Checkbox selezionato]],5,FALSE),"-")</f>
        <v>CARLO</v>
      </c>
      <c r="AM825" s="62">
        <f>IFERROR(VLOOKUP(Table2[[#This Row],[Contraente]],Table1[[Nome/Ragione sociale]:[Checkbox selezionato]],6,FALSE),"-")</f>
        <v>31423</v>
      </c>
      <c r="AN825" s="63" t="str">
        <f>IFERROR(VLOOKUP(Table2[[#This Row],[Contraente]],Table1[[Nome/Ragione sociale]:[Checkbox selezionato]],7,FALSE),"-")</f>
        <v>papies@libero.it</v>
      </c>
      <c r="AO825" s="63">
        <f>IFERROR(VLOOKUP(Table2[[#This Row],[Contraente]],Table1[[Nome/Ragione sociale]:[Checkbox selezionato]],8,FALSE),"-")</f>
        <v>0</v>
      </c>
      <c r="AP825" s="63">
        <f>IFERROR(VLOOKUP(Table2[[#This Row],[Contraente]],Table1[[Nome/Ragione sociale]:[Checkbox selezionato]],10,FALSE),"-")</f>
        <v>3404617981</v>
      </c>
      <c r="AQ825" s="63" t="str">
        <f>IFERROR(VLOOKUP(Table2[[#This Row],[Contraente]],Table1[[Nome/Ragione sociale]:[Checkbox selezionato]],11,FALSE),"-")</f>
        <v>SI</v>
      </c>
      <c r="AR825" s="63" t="str">
        <f>IFERROR(VLOOKUP(Table2[[#This Row],[Contraente]],Table1[[Nome/Ragione sociale]:[Checkbox selezionato]],12,FALSE),"-")</f>
        <v>SI</v>
      </c>
    </row>
    <row r="826" spans="1:44" ht="30" hidden="1" customHeight="1" x14ac:dyDescent="0.25">
      <c r="A826" s="60" t="str">
        <f>UPPER(LEFT(Table2[[#This Row],[Contraente]],1))</f>
        <v>P</v>
      </c>
      <c r="B826" s="60" t="s">
        <v>1634</v>
      </c>
      <c r="C826" s="47" t="s">
        <v>1809</v>
      </c>
      <c r="D826" s="98" t="s">
        <v>37</v>
      </c>
      <c r="E826" s="99" t="s">
        <v>1810</v>
      </c>
      <c r="F826" s="109">
        <v>42927</v>
      </c>
      <c r="G826" s="64">
        <f>IFERROR(CALCOLASCADENZA(Table2[[#This Row],[Data attivazione]],Table2[[#This Row],[Rateizzazione]],Table2[[#This Row],[Data ultimo pagamento]],Table2[[#This Row],[Data prossima scadenza manuale]]),"-")</f>
        <v>43043</v>
      </c>
      <c r="H826" s="64" t="s">
        <v>31</v>
      </c>
      <c r="I826" s="64" t="s">
        <v>1811</v>
      </c>
      <c r="J826" s="92">
        <f>IFERROR(Table2[[#This Row],[Importo annuale]]/(12/VLOOKUP(Table2[[#This Row],[Rateizzazione]],TIPI_RATEIZZAZIONI,2,FALSE)),"-")</f>
        <v>190</v>
      </c>
      <c r="K826" s="69">
        <v>190</v>
      </c>
      <c r="L826" s="69">
        <v>570</v>
      </c>
      <c r="M826" s="92" t="s">
        <v>43</v>
      </c>
      <c r="N826" s="92" t="s">
        <v>52</v>
      </c>
      <c r="O826" s="67" t="s">
        <v>1631</v>
      </c>
      <c r="P826" s="92" t="s">
        <v>21</v>
      </c>
      <c r="Q826" s="60">
        <f>IFERROR(IF(12 / VLOOKUP(Table2[[#This Row],[Rateizzazione]],TIPI_RATEIZZAZIONI,2,FALSE) &gt;=1,  IF(Table2[[#This Row],[Data attivazione]] = "","-",MONTH(Table2[[#This Row],[Data attivazione]])),"-"),"-")</f>
        <v>11</v>
      </c>
      <c r="R8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8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6" s="60" t="s">
        <v>1774</v>
      </c>
      <c r="V826" s="62"/>
      <c r="W826" s="64">
        <v>42678</v>
      </c>
      <c r="X826" s="29">
        <f>DATE(YEAR(Table2[[#This Row],[Data attivazione]])+VLOOKUP(Table2[[#This Row],[Durata]],VALORE_DURATA,2,FALSE),MONTH(Table2[[#This Row],[Data attivazione]]),DAY(Table2[[#This Row],[Data attivazione]]))</f>
        <v>43043</v>
      </c>
      <c r="Y826" s="65"/>
      <c r="Z826" s="61"/>
      <c r="AA826" s="64" t="s">
        <v>85</v>
      </c>
      <c r="AB826" s="29" t="str">
        <f>IF(Table2[[#This Row],[Data ultimo versamento temp]]=0/1/1900,"-",Table2[[#This Row],[Data ultimo versamento temp]])</f>
        <v>-</v>
      </c>
      <c r="AC826" s="29">
        <f t="array" ref="AC826">MAX(IF(TableVersamenti[Polizza]=Table2[[#This Row],[Polizza]],TableVersamenti[Data prevista versamento],"-"))</f>
        <v>0</v>
      </c>
      <c r="AD826" s="62"/>
      <c r="AE826" s="105">
        <f>DATE(YEAR(Table2[[#This Row],[Data ultimo pagamento]]),MONTH(Table2[[#This Row],[Data ultimo pagamento]]), 1)</f>
        <v>42917</v>
      </c>
      <c r="AF826" s="106">
        <f>DATE(YEAR(Table2[[#This Row],[Data prossima scadenza]]),MONTH(Table2[[#This Row],[Data prossima scadenza]]), 1)</f>
        <v>43040</v>
      </c>
      <c r="AG826" s="92">
        <f>IFERROR(Table2[[#This Row],[Importo annuale]]*VLOOKUP(Table2[[#This Row],[Ramo]],RAMI_POLIZZA,2,FALSE),0)</f>
        <v>29.639999999999997</v>
      </c>
      <c r="AH826" s="65"/>
      <c r="AI826" s="63" t="str">
        <f>IFERROR(VLOOKUP(Table2[[#This Row],[Contraente]],Table1[[Nome/Ragione sociale]:[Checkbox selezionato]],2,FALSE),"-")</f>
        <v>SPESSA</v>
      </c>
      <c r="AJ826" s="63">
        <f>IFERROR(VLOOKUP(Table2[[#This Row],[Contraente]],Table1[[Nome/Ragione sociale]:[Checkbox selezionato]],3,FALSE),"-")</f>
        <v>0</v>
      </c>
      <c r="AK826" s="63">
        <f>IFERROR(VLOOKUP(Table2[[#This Row],[Contraente]],Table1[[Nome/Ragione sociale]:[Checkbox selezionato]],4,FALSE),"-")</f>
        <v>0</v>
      </c>
      <c r="AL826" s="63">
        <f>IFERROR(VLOOKUP(Table2[[#This Row],[Contraente]],Table1[[Nome/Ragione sociale]:[Checkbox selezionato]],5,FALSE),"-")</f>
        <v>0</v>
      </c>
      <c r="AM826" s="62">
        <f>IFERROR(VLOOKUP(Table2[[#This Row],[Contraente]],Table1[[Nome/Ragione sociale]:[Checkbox selezionato]],6,FALSE),"-")</f>
        <v>0</v>
      </c>
      <c r="AN826" s="63" t="str">
        <f>IFERROR(VLOOKUP(Table2[[#This Row],[Contraente]],Table1[[Nome/Ragione sociale]:[Checkbox selezionato]],7,FALSE),"-")</f>
        <v>papies@libero.it</v>
      </c>
      <c r="AO826" s="63">
        <f>IFERROR(VLOOKUP(Table2[[#This Row],[Contraente]],Table1[[Nome/Ragione sociale]:[Checkbox selezionato]],8,FALSE),"-")</f>
        <v>0</v>
      </c>
      <c r="AP826" s="63">
        <f>IFERROR(VLOOKUP(Table2[[#This Row],[Contraente]],Table1[[Nome/Ragione sociale]:[Checkbox selezionato]],10,FALSE),"-")</f>
        <v>0</v>
      </c>
      <c r="AQ826" s="63" t="str">
        <f>IFERROR(VLOOKUP(Table2[[#This Row],[Contraente]],Table1[[Nome/Ragione sociale]:[Checkbox selezionato]],11,FALSE),"-")</f>
        <v>SI</v>
      </c>
      <c r="AR826" s="63" t="str">
        <f>IFERROR(VLOOKUP(Table2[[#This Row],[Contraente]],Table1[[Nome/Ragione sociale]:[Checkbox selezionato]],12,FALSE),"-")</f>
        <v>SI</v>
      </c>
    </row>
    <row r="827" spans="1:44" ht="30" hidden="1" customHeight="1" x14ac:dyDescent="0.25">
      <c r="A827" s="60" t="str">
        <f>UPPER(LEFT(Table2[[#This Row],[Contraente]],1))</f>
        <v>P</v>
      </c>
      <c r="B827" s="60" t="s">
        <v>1634</v>
      </c>
      <c r="C827" s="81" t="s">
        <v>883</v>
      </c>
      <c r="D827" s="81" t="s">
        <v>37</v>
      </c>
      <c r="E827" s="86">
        <v>106045965</v>
      </c>
      <c r="F827" s="64">
        <v>42898</v>
      </c>
      <c r="G827" s="64">
        <f>IFERROR(CALCOLASCADENZA(Table2[[#This Row],[Data attivazione]],Table2[[#This Row],[Rateizzazione]],Table2[[#This Row],[Data ultimo pagamento]],Table2[[#This Row],[Data prossima scadenza manuale]]),"-")</f>
        <v>43000</v>
      </c>
      <c r="H827" s="67" t="s">
        <v>31</v>
      </c>
      <c r="I827" s="67" t="s">
        <v>1466</v>
      </c>
      <c r="J827" s="33">
        <f>IFERROR(Table2[[#This Row],[Importo annuale]]/(12/VLOOKUP(Table2[[#This Row],[Rateizzazione]],TIPI_RATEIZZAZIONI,2,FALSE)),"-")</f>
        <v>330</v>
      </c>
      <c r="K827" s="88">
        <v>660</v>
      </c>
      <c r="L827" s="88">
        <v>990</v>
      </c>
      <c r="M827" s="67" t="s">
        <v>45</v>
      </c>
      <c r="N827" s="67" t="s">
        <v>51</v>
      </c>
      <c r="O827" s="27" t="s">
        <v>1631</v>
      </c>
      <c r="P827" s="33" t="s">
        <v>21</v>
      </c>
      <c r="Q827" s="60">
        <f>IFERROR(IF(12 / VLOOKUP(Table2[[#This Row],[Rateizzazione]],TIPI_RATEIZZAZIONI,2,FALSE) &gt;=1,  IF(Table2[[#This Row],[Data attivazione]] = "","-",MONTH(Table2[[#This Row],[Data attivazione]])),"-"),"-")</f>
        <v>9</v>
      </c>
      <c r="R8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2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8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7" s="67" t="s">
        <v>2</v>
      </c>
      <c r="V827" s="62"/>
      <c r="W827" s="64">
        <v>42635</v>
      </c>
      <c r="X827" s="29">
        <f>DATE(YEAR(Table2[[#This Row],[Data attivazione]])+VLOOKUP(Table2[[#This Row],[Durata]],VALORE_DURATA,2,FALSE),MONTH(Table2[[#This Row],[Data attivazione]]),DAY(Table2[[#This Row],[Data attivazione]]))</f>
        <v>43000</v>
      </c>
      <c r="Y827" s="65"/>
      <c r="Z827" s="61"/>
      <c r="AA827" s="64" t="s">
        <v>85</v>
      </c>
      <c r="AB827" s="29" t="str">
        <f>IF(Table2[[#This Row],[Data ultimo versamento temp]]=0/1/1900,"-",Table2[[#This Row],[Data ultimo versamento temp]])</f>
        <v>-</v>
      </c>
      <c r="AC827" s="29">
        <f t="array" ref="AC827">MAX(IF(TableVersamenti[Polizza]=Table2[[#This Row],[Polizza]],TableVersamenti[Data prevista versamento],"-"))</f>
        <v>0</v>
      </c>
      <c r="AD827" s="62"/>
      <c r="AE827" s="106">
        <f>DATE(YEAR(Table2[[#This Row],[Data ultimo pagamento]]),MONTH(Table2[[#This Row],[Data ultimo pagamento]]), 1)</f>
        <v>42887</v>
      </c>
      <c r="AF827" s="106">
        <f>DATE(YEAR(Table2[[#This Row],[Data prossima scadenza]]),MONTH(Table2[[#This Row],[Data prossima scadenza]]), 1)</f>
        <v>42979</v>
      </c>
      <c r="AG827" s="33">
        <f>IFERROR(Table2[[#This Row],[Importo annuale]]*VLOOKUP(Table2[[#This Row],[Ramo]],RAMI_POLIZZA,2,FALSE),0)</f>
        <v>51.48</v>
      </c>
      <c r="AH827" s="65" t="s">
        <v>113</v>
      </c>
      <c r="AI827" s="63" t="str">
        <f>IFERROR(VLOOKUP(Table2[[#This Row],[Contraente]],Table1[[Nome/Ragione sociale]:[Checkbox selezionato]],2,FALSE),"-")</f>
        <v>BELGIOIOSO</v>
      </c>
      <c r="AJ827" s="63">
        <f>IFERROR(VLOOKUP(Table2[[#This Row],[Contraente]],Table1[[Nome/Ragione sociale]:[Checkbox selezionato]],3,FALSE),"-")</f>
        <v>3398123635</v>
      </c>
      <c r="AK827" s="63">
        <f>IFERROR(VLOOKUP(Table2[[#This Row],[Contraente]],Table1[[Nome/Ragione sociale]:[Checkbox selezionato]],4,FALSE),"-")</f>
        <v>0</v>
      </c>
      <c r="AL827" s="63" t="str">
        <f>IFERROR(VLOOKUP(Table2[[#This Row],[Contraente]],Table1[[Nome/Ragione sociale]:[Checkbox selezionato]],5,FALSE),"-")</f>
        <v xml:space="preserve">IVANO </v>
      </c>
      <c r="AM827" s="62">
        <f>IFERROR(VLOOKUP(Table2[[#This Row],[Contraente]],Table1[[Nome/Ragione sociale]:[Checkbox selezionato]],6,FALSE),"-")</f>
        <v>26300</v>
      </c>
      <c r="AN827" s="63" t="str">
        <f>IFERROR(VLOOKUP(Table2[[#This Row],[Contraente]],Table1[[Nome/Ragione sociale]:[Checkbox selezionato]],7,FALSE),"-")</f>
        <v>papies@email.it</v>
      </c>
      <c r="AO827" s="63">
        <f>IFERROR(VLOOKUP(Table2[[#This Row],[Contraente]],Table1[[Nome/Ragione sociale]:[Checkbox selezionato]],8,FALSE),"-")</f>
        <v>0</v>
      </c>
      <c r="AP827" s="63">
        <f>IFERROR(VLOOKUP(Table2[[#This Row],[Contraente]],Table1[[Nome/Ragione sociale]:[Checkbox selezionato]],10,FALSE),"-")</f>
        <v>3398123635</v>
      </c>
      <c r="AQ827" s="63" t="str">
        <f>IFERROR(VLOOKUP(Table2[[#This Row],[Contraente]],Table1[[Nome/Ragione sociale]:[Checkbox selezionato]],11,FALSE),"-")</f>
        <v>SI</v>
      </c>
      <c r="AR827" s="63" t="str">
        <f>IFERROR(VLOOKUP(Table2[[#This Row],[Contraente]],Table1[[Nome/Ragione sociale]:[Checkbox selezionato]],12,FALSE),"-")</f>
        <v>SI</v>
      </c>
    </row>
    <row r="828" spans="1:44" ht="30" hidden="1" customHeight="1" x14ac:dyDescent="0.25">
      <c r="A828" s="60" t="str">
        <f>UPPER(LEFT(Table2[[#This Row],[Contraente]],1))</f>
        <v>P</v>
      </c>
      <c r="B828" s="60" t="s">
        <v>1634</v>
      </c>
      <c r="C828" s="81" t="s">
        <v>885</v>
      </c>
      <c r="D828" s="81" t="s">
        <v>37</v>
      </c>
      <c r="E828" s="86">
        <v>102687335</v>
      </c>
      <c r="F828" s="64">
        <v>42822</v>
      </c>
      <c r="G828" s="64">
        <f>IFERROR(CALCOLASCADENZA(Table2[[#This Row],[Data attivazione]],Table2[[#This Row],[Rateizzazione]],Table2[[#This Row],[Data ultimo pagamento]],Table2[[#This Row],[Data prossima scadenza manuale]]),"-")</f>
        <v>43085</v>
      </c>
      <c r="H828" s="67" t="s">
        <v>30</v>
      </c>
      <c r="I828" s="67" t="s">
        <v>113</v>
      </c>
      <c r="J828" s="33">
        <f>IFERROR(Table2[[#This Row],[Importo annuale]]/(12/VLOOKUP(Table2[[#This Row],[Rateizzazione]],TIPI_RATEIZZAZIONI,2,FALSE)),"-")</f>
        <v>106</v>
      </c>
      <c r="K828" s="88">
        <v>106</v>
      </c>
      <c r="L828" s="88">
        <v>106</v>
      </c>
      <c r="M828" s="67" t="s">
        <v>43</v>
      </c>
      <c r="N828" s="67" t="s">
        <v>51</v>
      </c>
      <c r="O828" s="27" t="s">
        <v>1631</v>
      </c>
      <c r="P828" s="33" t="s">
        <v>23</v>
      </c>
      <c r="Q828" s="60">
        <f>IFERROR(IF(12 / VLOOKUP(Table2[[#This Row],[Rateizzazione]],TIPI_RATEIZZAZIONI,2,FALSE) &gt;=1,  IF(Table2[[#This Row],[Data attivazione]] = "","-",MONTH(Table2[[#This Row],[Data attivazione]])),"-"),"-")</f>
        <v>12</v>
      </c>
      <c r="R8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8" s="67" t="s">
        <v>133</v>
      </c>
      <c r="V828" s="62"/>
      <c r="W828" s="64">
        <v>42720</v>
      </c>
      <c r="X828" s="29">
        <f>DATE(YEAR(Table2[[#This Row],[Data attivazione]])+VLOOKUP(Table2[[#This Row],[Durata]],VALORE_DURATA,2,FALSE),MONTH(Table2[[#This Row],[Data attivazione]]),DAY(Table2[[#This Row],[Data attivazione]]))</f>
        <v>43085</v>
      </c>
      <c r="Y828" s="65"/>
      <c r="Z828" s="61"/>
      <c r="AA828" s="64" t="s">
        <v>85</v>
      </c>
      <c r="AB828" s="29" t="str">
        <f>IF(Table2[[#This Row],[Data ultimo versamento temp]]=0/1/1900,"-",Table2[[#This Row],[Data ultimo versamento temp]])</f>
        <v>-</v>
      </c>
      <c r="AC828" s="29">
        <f t="array" ref="AC828">MAX(IF(TableVersamenti[Polizza]=Table2[[#This Row],[Polizza]],TableVersamenti[Data prevista versamento],"-"))</f>
        <v>0</v>
      </c>
      <c r="AD828" s="62"/>
      <c r="AE828" s="106">
        <f>DATE(YEAR(Table2[[#This Row],[Data ultimo pagamento]]),MONTH(Table2[[#This Row],[Data ultimo pagamento]]), 1)</f>
        <v>42795</v>
      </c>
      <c r="AF828" s="106">
        <f>DATE(YEAR(Table2[[#This Row],[Data prossima scadenza]]),MONTH(Table2[[#This Row],[Data prossima scadenza]]), 1)</f>
        <v>43070</v>
      </c>
      <c r="AG828" s="33">
        <f>IFERROR(Table2[[#This Row],[Importo annuale]]*VLOOKUP(Table2[[#This Row],[Ramo]],RAMI_POLIZZA,2,FALSE),0)</f>
        <v>12.190000000000001</v>
      </c>
      <c r="AH828" s="65" t="s">
        <v>113</v>
      </c>
      <c r="AI828" s="63" t="str">
        <f>IFERROR(VLOOKUP(Table2[[#This Row],[Contraente]],Table1[[Nome/Ragione sociale]:[Checkbox selezionato]],2,FALSE),"-")</f>
        <v>BRONI</v>
      </c>
      <c r="AJ828" s="63" t="str">
        <f>IFERROR(VLOOKUP(Table2[[#This Row],[Contraente]],Table1[[Nome/Ragione sociale]:[Checkbox selezionato]],3,FALSE),"-")</f>
        <v>-</v>
      </c>
      <c r="AK828" s="63">
        <f>IFERROR(VLOOKUP(Table2[[#This Row],[Contraente]],Table1[[Nome/Ragione sociale]:[Checkbox selezionato]],4,FALSE),"-")</f>
        <v>0</v>
      </c>
      <c r="AL828" s="63">
        <f>IFERROR(VLOOKUP(Table2[[#This Row],[Contraente]],Table1[[Nome/Ragione sociale]:[Checkbox selezionato]],5,FALSE),"-")</f>
        <v>0</v>
      </c>
      <c r="AM828" s="62" t="str">
        <f>IFERROR(VLOOKUP(Table2[[#This Row],[Contraente]],Table1[[Nome/Ragione sociale]:[Checkbox selezionato]],6,FALSE),"-")</f>
        <v>-</v>
      </c>
      <c r="AN828" s="63" t="str">
        <f>IFERROR(VLOOKUP(Table2[[#This Row],[Contraente]],Table1[[Nome/Ragione sociale]:[Checkbox selezionato]],7,FALSE),"-")</f>
        <v>papies@libero.it</v>
      </c>
      <c r="AO828" s="63">
        <f>IFERROR(VLOOKUP(Table2[[#This Row],[Contraente]],Table1[[Nome/Ragione sociale]:[Checkbox selezionato]],8,FALSE),"-")</f>
        <v>0</v>
      </c>
      <c r="AP828" s="63" t="str">
        <f>IFERROR(VLOOKUP(Table2[[#This Row],[Contraente]],Table1[[Nome/Ragione sociale]:[Checkbox selezionato]],10,FALSE),"-")</f>
        <v>-</v>
      </c>
      <c r="AQ828" s="63" t="str">
        <f>IFERROR(VLOOKUP(Table2[[#This Row],[Contraente]],Table1[[Nome/Ragione sociale]:[Checkbox selezionato]],11,FALSE),"-")</f>
        <v>SI</v>
      </c>
      <c r="AR828" s="63" t="str">
        <f>IFERROR(VLOOKUP(Table2[[#This Row],[Contraente]],Table1[[Nome/Ragione sociale]:[Checkbox selezionato]],12,FALSE),"-")</f>
        <v>SI</v>
      </c>
    </row>
    <row r="829" spans="1:44" ht="30" hidden="1" customHeight="1" x14ac:dyDescent="0.25">
      <c r="A829" s="60" t="str">
        <f>UPPER(LEFT(Table2[[#This Row],[Contraente]],1))</f>
        <v>P</v>
      </c>
      <c r="B829" s="60" t="s">
        <v>1634</v>
      </c>
      <c r="C829" s="81" t="s">
        <v>889</v>
      </c>
      <c r="D829" s="81" t="s">
        <v>37</v>
      </c>
      <c r="E829" s="86">
        <v>105160577</v>
      </c>
      <c r="F829" s="64">
        <v>42724</v>
      </c>
      <c r="G829" s="64">
        <f>IFERROR(CALCOLASCADENZA(Table2[[#This Row],[Data attivazione]],Table2[[#This Row],[Rateizzazione]],Table2[[#This Row],[Data ultimo pagamento]],Table2[[#This Row],[Data prossima scadenza manuale]]),"-")</f>
        <v>43100</v>
      </c>
      <c r="H829" s="67" t="s">
        <v>30</v>
      </c>
      <c r="I829" s="67" t="s">
        <v>113</v>
      </c>
      <c r="J829" s="33">
        <f>IFERROR(Table2[[#This Row],[Importo annuale]]/(12/VLOOKUP(Table2[[#This Row],[Rateizzazione]],TIPI_RATEIZZAZIONI,2,FALSE)),"-")</f>
        <v>500</v>
      </c>
      <c r="K829" s="88"/>
      <c r="L829" s="88">
        <v>500</v>
      </c>
      <c r="M829" s="67" t="s">
        <v>44</v>
      </c>
      <c r="N829" s="67" t="s">
        <v>52</v>
      </c>
      <c r="O829" s="27" t="s">
        <v>1631</v>
      </c>
      <c r="P829" s="33" t="s">
        <v>23</v>
      </c>
      <c r="Q829" s="60">
        <f>IFERROR(IF(12 / VLOOKUP(Table2[[#This Row],[Rateizzazione]],TIPI_RATEIZZAZIONI,2,FALSE) &gt;=1,  IF(Table2[[#This Row],[Data attivazione]] = "","-",MONTH(Table2[[#This Row],[Data attivazione]])),"-"),"-")</f>
        <v>12</v>
      </c>
      <c r="R8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9" s="67" t="s">
        <v>2</v>
      </c>
      <c r="V829" s="62"/>
      <c r="W829" s="64">
        <v>42735</v>
      </c>
      <c r="X829" s="29">
        <f>DATE(YEAR(Table2[[#This Row],[Data attivazione]])+VLOOKUP(Table2[[#This Row],[Durata]],VALORE_DURATA,2,FALSE),MONTH(Table2[[#This Row],[Data attivazione]]),DAY(Table2[[#This Row],[Data attivazione]]))</f>
        <v>43100</v>
      </c>
      <c r="Y829" s="65"/>
      <c r="Z829" s="61"/>
      <c r="AA829" s="64" t="s">
        <v>85</v>
      </c>
      <c r="AB829" s="29" t="str">
        <f>IF(Table2[[#This Row],[Data ultimo versamento temp]]=0/1/1900,"-",Table2[[#This Row],[Data ultimo versamento temp]])</f>
        <v>-</v>
      </c>
      <c r="AC829" s="29">
        <f t="array" ref="AC829">MAX(IF(TableVersamenti[Polizza]=Table2[[#This Row],[Polizza]],TableVersamenti[Data prevista versamento],"-"))</f>
        <v>0</v>
      </c>
      <c r="AD829" s="62"/>
      <c r="AE829" s="106">
        <f>DATE(YEAR(Table2[[#This Row],[Data ultimo pagamento]]),MONTH(Table2[[#This Row],[Data ultimo pagamento]]), 1)</f>
        <v>42705</v>
      </c>
      <c r="AF829" s="106">
        <f>DATE(YEAR(Table2[[#This Row],[Data prossima scadenza]]),MONTH(Table2[[#This Row],[Data prossima scadenza]]), 1)</f>
        <v>43070</v>
      </c>
      <c r="AG829" s="33">
        <f>IFERROR(Table2[[#This Row],[Importo annuale]]*VLOOKUP(Table2[[#This Row],[Ramo]],RAMI_POLIZZA,2,FALSE),0)</f>
        <v>57.5</v>
      </c>
      <c r="AH829" s="65" t="s">
        <v>113</v>
      </c>
      <c r="AI829" s="63" t="str">
        <f>IFERROR(VLOOKUP(Table2[[#This Row],[Contraente]],Table1[[Nome/Ragione sociale]:[Checkbox selezionato]],2,FALSE),"-")</f>
        <v>BELGIOIOSO</v>
      </c>
      <c r="AJ829" s="63" t="str">
        <f>IFERROR(VLOOKUP(Table2[[#This Row],[Contraente]],Table1[[Nome/Ragione sociale]:[Checkbox selezionato]],3,FALSE),"-")</f>
        <v>-</v>
      </c>
      <c r="AK829" s="63">
        <f>IFERROR(VLOOKUP(Table2[[#This Row],[Contraente]],Table1[[Nome/Ragione sociale]:[Checkbox selezionato]],4,FALSE),"-")</f>
        <v>0</v>
      </c>
      <c r="AL829" s="63" t="str">
        <f>IFERROR(VLOOKUP(Table2[[#This Row],[Contraente]],Table1[[Nome/Ragione sociale]:[Checkbox selezionato]],5,FALSE),"-")</f>
        <v>XING XING</v>
      </c>
      <c r="AM829" s="62" t="str">
        <f>IFERROR(VLOOKUP(Table2[[#This Row],[Contraente]],Table1[[Nome/Ragione sociale]:[Checkbox selezionato]],6,FALSE),"-")</f>
        <v>-</v>
      </c>
      <c r="AN829" s="63" t="str">
        <f>IFERROR(VLOOKUP(Table2[[#This Row],[Contraente]],Table1[[Nome/Ragione sociale]:[Checkbox selezionato]],7,FALSE),"-")</f>
        <v>papies@libero.it</v>
      </c>
      <c r="AO829" s="63">
        <f>IFERROR(VLOOKUP(Table2[[#This Row],[Contraente]],Table1[[Nome/Ragione sociale]:[Checkbox selezionato]],8,FALSE),"-")</f>
        <v>0</v>
      </c>
      <c r="AP829" s="63" t="str">
        <f>IFERROR(VLOOKUP(Table2[[#This Row],[Contraente]],Table1[[Nome/Ragione sociale]:[Checkbox selezionato]],10,FALSE),"-")</f>
        <v>-</v>
      </c>
      <c r="AQ829" s="63" t="str">
        <f>IFERROR(VLOOKUP(Table2[[#This Row],[Contraente]],Table1[[Nome/Ragione sociale]:[Checkbox selezionato]],11,FALSE),"-")</f>
        <v>SI</v>
      </c>
      <c r="AR829" s="63" t="str">
        <f>IFERROR(VLOOKUP(Table2[[#This Row],[Contraente]],Table1[[Nome/Ragione sociale]:[Checkbox selezionato]],12,FALSE),"-")</f>
        <v>SI</v>
      </c>
    </row>
    <row r="830" spans="1:44" ht="30" hidden="1" customHeight="1" x14ac:dyDescent="0.25">
      <c r="A830" s="60" t="str">
        <f>UPPER(LEFT(Table2[[#This Row],[Contraente]],1))</f>
        <v>P</v>
      </c>
      <c r="B830" s="60" t="s">
        <v>1634</v>
      </c>
      <c r="C830" s="81" t="s">
        <v>161</v>
      </c>
      <c r="D830" s="81" t="s">
        <v>37</v>
      </c>
      <c r="E830" s="86">
        <v>104630373</v>
      </c>
      <c r="F830" s="64">
        <v>42762</v>
      </c>
      <c r="G830" s="64">
        <f>IFERROR(CALCOLASCADENZA(Table2[[#This Row],[Data attivazione]],Table2[[#This Row],[Rateizzazione]],Table2[[#This Row],[Data ultimo pagamento]],Table2[[#This Row],[Data prossima scadenza manuale]]),"-")</f>
        <v>42932</v>
      </c>
      <c r="H830" s="67" t="s">
        <v>30</v>
      </c>
      <c r="I830" s="67" t="s">
        <v>113</v>
      </c>
      <c r="J830" s="33">
        <f>IFERROR(Table2[[#This Row],[Importo annuale]]/(12/VLOOKUP(Table2[[#This Row],[Rateizzazione]],TIPI_RATEIZZAZIONI,2,FALSE)),"-")</f>
        <v>301</v>
      </c>
      <c r="K830" s="88">
        <v>301</v>
      </c>
      <c r="L830" s="88">
        <v>602</v>
      </c>
      <c r="M830" s="67" t="s">
        <v>44</v>
      </c>
      <c r="N830" s="67" t="s">
        <v>51</v>
      </c>
      <c r="O830" s="27" t="s">
        <v>1631</v>
      </c>
      <c r="P830" s="33" t="s">
        <v>22</v>
      </c>
      <c r="Q830" s="60">
        <f>IFERROR(IF(12 / VLOOKUP(Table2[[#This Row],[Rateizzazione]],TIPI_RATEIZZAZIONI,2,FALSE) &gt;=1,  IF(Table2[[#This Row],[Data attivazione]] = "","-",MONTH(Table2[[#This Row],[Data attivazione]])),"-"),"-")</f>
        <v>7</v>
      </c>
      <c r="R8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0" s="67" t="s">
        <v>133</v>
      </c>
      <c r="V830" s="62"/>
      <c r="W830" s="64">
        <v>42567</v>
      </c>
      <c r="X830" s="29">
        <f>DATE(YEAR(Table2[[#This Row],[Data attivazione]])+VLOOKUP(Table2[[#This Row],[Durata]],VALORE_DURATA,2,FALSE),MONTH(Table2[[#This Row],[Data attivazione]]),DAY(Table2[[#This Row],[Data attivazione]]))</f>
        <v>42932</v>
      </c>
      <c r="Y830" s="65"/>
      <c r="Z830" s="61"/>
      <c r="AA830" s="64" t="s">
        <v>85</v>
      </c>
      <c r="AB830" s="29" t="str">
        <f>IF(Table2[[#This Row],[Data ultimo versamento temp]]=0/1/1900,"-",Table2[[#This Row],[Data ultimo versamento temp]])</f>
        <v>-</v>
      </c>
      <c r="AC830" s="29">
        <f t="array" ref="AC830">MAX(IF(TableVersamenti[Polizza]=Table2[[#This Row],[Polizza]],TableVersamenti[Data prevista versamento],"-"))</f>
        <v>0</v>
      </c>
      <c r="AD830" s="62"/>
      <c r="AE830" s="106">
        <f>DATE(YEAR(Table2[[#This Row],[Data ultimo pagamento]]),MONTH(Table2[[#This Row],[Data ultimo pagamento]]), 1)</f>
        <v>42736</v>
      </c>
      <c r="AF830" s="106">
        <f>DATE(YEAR(Table2[[#This Row],[Data prossima scadenza]]),MONTH(Table2[[#This Row],[Data prossima scadenza]]), 1)</f>
        <v>42917</v>
      </c>
      <c r="AG830" s="33">
        <f>IFERROR(Table2[[#This Row],[Importo annuale]]*VLOOKUP(Table2[[#This Row],[Ramo]],RAMI_POLIZZA,2,FALSE),0)</f>
        <v>69.23</v>
      </c>
      <c r="AH830" s="65" t="s">
        <v>113</v>
      </c>
      <c r="AI830" s="63" t="str">
        <f>IFERROR(VLOOKUP(Table2[[#This Row],[Contraente]],Table1[[Nome/Ragione sociale]:[Checkbox selezionato]],2,FALSE),"-")</f>
        <v>BOSNASCO</v>
      </c>
      <c r="AJ830" s="63" t="str">
        <f>IFERROR(VLOOKUP(Table2[[#This Row],[Contraente]],Table1[[Nome/Ragione sociale]:[Checkbox selezionato]],3,FALSE),"-")</f>
        <v>-</v>
      </c>
      <c r="AK830" s="63">
        <f>IFERROR(VLOOKUP(Table2[[#This Row],[Contraente]],Table1[[Nome/Ragione sociale]:[Checkbox selezionato]],4,FALSE),"-")</f>
        <v>0</v>
      </c>
      <c r="AL830" s="63">
        <f>IFERROR(VLOOKUP(Table2[[#This Row],[Contraente]],Table1[[Nome/Ragione sociale]:[Checkbox selezionato]],5,FALSE),"-")</f>
        <v>0</v>
      </c>
      <c r="AM830" s="62">
        <f>IFERROR(VLOOKUP(Table2[[#This Row],[Contraente]],Table1[[Nome/Ragione sociale]:[Checkbox selezionato]],6,FALSE),"-")</f>
        <v>23287</v>
      </c>
      <c r="AN830" s="63" t="str">
        <f>IFERROR(VLOOKUP(Table2[[#This Row],[Contraente]],Table1[[Nome/Ragione sociale]:[Checkbox selezionato]],7,FALSE),"-")</f>
        <v>papies@email.it</v>
      </c>
      <c r="AO830" s="63">
        <f>IFERROR(VLOOKUP(Table2[[#This Row],[Contraente]],Table1[[Nome/Ragione sociale]:[Checkbox selezionato]],8,FALSE),"-")</f>
        <v>0</v>
      </c>
      <c r="AP830" s="63" t="str">
        <f>IFERROR(VLOOKUP(Table2[[#This Row],[Contraente]],Table1[[Nome/Ragione sociale]:[Checkbox selezionato]],10,FALSE),"-")</f>
        <v>-</v>
      </c>
      <c r="AQ830" s="63" t="str">
        <f>IFERROR(VLOOKUP(Table2[[#This Row],[Contraente]],Table1[[Nome/Ragione sociale]:[Checkbox selezionato]],11,FALSE),"-")</f>
        <v>SI</v>
      </c>
      <c r="AR830" s="63" t="str">
        <f>IFERROR(VLOOKUP(Table2[[#This Row],[Contraente]],Table1[[Nome/Ragione sociale]:[Checkbox selezionato]],12,FALSE),"-")</f>
        <v>SI</v>
      </c>
    </row>
    <row r="831" spans="1:44" ht="30" hidden="1" customHeight="1" x14ac:dyDescent="0.25">
      <c r="A831" s="60" t="str">
        <f>UPPER(LEFT(Table2[[#This Row],[Contraente]],1))</f>
        <v>P</v>
      </c>
      <c r="B831" s="60" t="s">
        <v>1634</v>
      </c>
      <c r="C831" s="81" t="s">
        <v>161</v>
      </c>
      <c r="D831" s="81" t="s">
        <v>37</v>
      </c>
      <c r="E831" s="86">
        <v>104854719</v>
      </c>
      <c r="F831" s="64">
        <v>42823</v>
      </c>
      <c r="G831" s="64">
        <f>IFERROR(CALCOLASCADENZA(Table2[[#This Row],[Data attivazione]],Table2[[#This Row],[Rateizzazione]],Table2[[#This Row],[Data ultimo pagamento]],Table2[[#This Row],[Data prossima scadenza manuale]]),"-")</f>
        <v>43002</v>
      </c>
      <c r="H831" s="67" t="s">
        <v>31</v>
      </c>
      <c r="I831" s="67" t="s">
        <v>1472</v>
      </c>
      <c r="J831" s="33">
        <f>IFERROR(Table2[[#This Row],[Importo annuale]]/(12/VLOOKUP(Table2[[#This Row],[Rateizzazione]],TIPI_RATEIZZAZIONI,2,FALSE)),"-")</f>
        <v>365</v>
      </c>
      <c r="K831" s="88">
        <v>365</v>
      </c>
      <c r="L831" s="88">
        <v>730</v>
      </c>
      <c r="M831" s="67" t="s">
        <v>44</v>
      </c>
      <c r="N831" s="67" t="s">
        <v>51</v>
      </c>
      <c r="O831" s="27" t="s">
        <v>1631</v>
      </c>
      <c r="P831" s="33" t="s">
        <v>22</v>
      </c>
      <c r="Q831" s="60">
        <f>IFERROR(IF(12 / VLOOKUP(Table2[[#This Row],[Rateizzazione]],TIPI_RATEIZZAZIONI,2,FALSE) &gt;=1,  IF(Table2[[#This Row],[Data attivazione]] = "","-",MONTH(Table2[[#This Row],[Data attivazione]])),"-"),"-")</f>
        <v>9</v>
      </c>
      <c r="R8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1" s="67" t="s">
        <v>133</v>
      </c>
      <c r="V831" s="62"/>
      <c r="W831" s="64">
        <v>42637</v>
      </c>
      <c r="X831" s="29">
        <f>DATE(YEAR(Table2[[#This Row],[Data attivazione]])+VLOOKUP(Table2[[#This Row],[Durata]],VALORE_DURATA,2,FALSE),MONTH(Table2[[#This Row],[Data attivazione]]),DAY(Table2[[#This Row],[Data attivazione]]))</f>
        <v>43002</v>
      </c>
      <c r="Y831" s="65"/>
      <c r="Z831" s="61"/>
      <c r="AA831" s="64" t="s">
        <v>85</v>
      </c>
      <c r="AB831" s="29" t="str">
        <f>IF(Table2[[#This Row],[Data ultimo versamento temp]]=0/1/1900,"-",Table2[[#This Row],[Data ultimo versamento temp]])</f>
        <v>-</v>
      </c>
      <c r="AC831" s="29">
        <f t="array" ref="AC831">MAX(IF(TableVersamenti[Polizza]=Table2[[#This Row],[Polizza]],TableVersamenti[Data prevista versamento],"-"))</f>
        <v>0</v>
      </c>
      <c r="AD831" s="62"/>
      <c r="AE831" s="106">
        <f>DATE(YEAR(Table2[[#This Row],[Data ultimo pagamento]]),MONTH(Table2[[#This Row],[Data ultimo pagamento]]), 1)</f>
        <v>42795</v>
      </c>
      <c r="AF831" s="106">
        <f>DATE(YEAR(Table2[[#This Row],[Data prossima scadenza]]),MONTH(Table2[[#This Row],[Data prossima scadenza]]), 1)</f>
        <v>42979</v>
      </c>
      <c r="AG831" s="33">
        <f>IFERROR(Table2[[#This Row],[Importo annuale]]*VLOOKUP(Table2[[#This Row],[Ramo]],RAMI_POLIZZA,2,FALSE),0)</f>
        <v>37.96</v>
      </c>
      <c r="AH831" s="65" t="s">
        <v>113</v>
      </c>
      <c r="AI831" s="63" t="str">
        <f>IFERROR(VLOOKUP(Table2[[#This Row],[Contraente]],Table1[[Nome/Ragione sociale]:[Checkbox selezionato]],2,FALSE),"-")</f>
        <v>BOSNASCO</v>
      </c>
      <c r="AJ831" s="63" t="str">
        <f>IFERROR(VLOOKUP(Table2[[#This Row],[Contraente]],Table1[[Nome/Ragione sociale]:[Checkbox selezionato]],3,FALSE),"-")</f>
        <v>-</v>
      </c>
      <c r="AK831" s="63">
        <f>IFERROR(VLOOKUP(Table2[[#This Row],[Contraente]],Table1[[Nome/Ragione sociale]:[Checkbox selezionato]],4,FALSE),"-")</f>
        <v>0</v>
      </c>
      <c r="AL831" s="63">
        <f>IFERROR(VLOOKUP(Table2[[#This Row],[Contraente]],Table1[[Nome/Ragione sociale]:[Checkbox selezionato]],5,FALSE),"-")</f>
        <v>0</v>
      </c>
      <c r="AM831" s="62">
        <f>IFERROR(VLOOKUP(Table2[[#This Row],[Contraente]],Table1[[Nome/Ragione sociale]:[Checkbox selezionato]],6,FALSE),"-")</f>
        <v>23287</v>
      </c>
      <c r="AN831" s="63" t="str">
        <f>IFERROR(VLOOKUP(Table2[[#This Row],[Contraente]],Table1[[Nome/Ragione sociale]:[Checkbox selezionato]],7,FALSE),"-")</f>
        <v>papies@email.it</v>
      </c>
      <c r="AO831" s="63">
        <f>IFERROR(VLOOKUP(Table2[[#This Row],[Contraente]],Table1[[Nome/Ragione sociale]:[Checkbox selezionato]],8,FALSE),"-")</f>
        <v>0</v>
      </c>
      <c r="AP831" s="63" t="str">
        <f>IFERROR(VLOOKUP(Table2[[#This Row],[Contraente]],Table1[[Nome/Ragione sociale]:[Checkbox selezionato]],10,FALSE),"-")</f>
        <v>-</v>
      </c>
      <c r="AQ831" s="63" t="str">
        <f>IFERROR(VLOOKUP(Table2[[#This Row],[Contraente]],Table1[[Nome/Ragione sociale]:[Checkbox selezionato]],11,FALSE),"-")</f>
        <v>SI</v>
      </c>
      <c r="AR831" s="63" t="str">
        <f>IFERROR(VLOOKUP(Table2[[#This Row],[Contraente]],Table1[[Nome/Ragione sociale]:[Checkbox selezionato]],12,FALSE),"-")</f>
        <v>SI</v>
      </c>
    </row>
    <row r="832" spans="1:44" ht="30" hidden="1" customHeight="1" x14ac:dyDescent="0.25">
      <c r="A832" s="60" t="str">
        <f>UPPER(LEFT(Table2[[#This Row],[Contraente]],1))</f>
        <v>P</v>
      </c>
      <c r="B832" s="60" t="s">
        <v>1634</v>
      </c>
      <c r="C832" s="81" t="s">
        <v>161</v>
      </c>
      <c r="D832" s="81" t="s">
        <v>37</v>
      </c>
      <c r="E832" s="86">
        <v>105595529</v>
      </c>
      <c r="F832" s="64">
        <v>42503</v>
      </c>
      <c r="G832" s="64">
        <f>IFERROR(CALCOLASCADENZA(Table2[[#This Row],[Data attivazione]],Table2[[#This Row],[Rateizzazione]],Table2[[#This Row],[Data ultimo pagamento]],Table2[[#This Row],[Data prossima scadenza manuale]]),"-")</f>
        <v>42687</v>
      </c>
      <c r="H832" s="67" t="s">
        <v>31</v>
      </c>
      <c r="I832" s="67" t="s">
        <v>1473</v>
      </c>
      <c r="J832" s="33">
        <f>IFERROR(Table2[[#This Row],[Importo annuale]]/(12/VLOOKUP(Table2[[#This Row],[Rateizzazione]],TIPI_RATEIZZAZIONI,2,FALSE)),"-")</f>
        <v>234.53</v>
      </c>
      <c r="K832" s="88"/>
      <c r="L832" s="88">
        <v>469.06</v>
      </c>
      <c r="M832" s="67" t="s">
        <v>44</v>
      </c>
      <c r="N832" s="67" t="s">
        <v>52</v>
      </c>
      <c r="O832" s="27" t="s">
        <v>1631</v>
      </c>
      <c r="P832" s="33" t="s">
        <v>22</v>
      </c>
      <c r="Q832" s="60">
        <f>IFERROR(IF(12 / VLOOKUP(Table2[[#This Row],[Rateizzazione]],TIPI_RATEIZZAZIONI,2,FALSE) &gt;=1,  IF(Table2[[#This Row],[Data attivazione]] = "","-",MONTH(Table2[[#This Row],[Data attivazione]])),"-"),"-")</f>
        <v>11</v>
      </c>
      <c r="R8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2" s="67" t="s">
        <v>133</v>
      </c>
      <c r="V832" s="62"/>
      <c r="W832" s="64">
        <v>42321</v>
      </c>
      <c r="X832" s="29">
        <f>DATE(YEAR(Table2[[#This Row],[Data attivazione]])+VLOOKUP(Table2[[#This Row],[Durata]],VALORE_DURATA,2,FALSE),MONTH(Table2[[#This Row],[Data attivazione]]),DAY(Table2[[#This Row],[Data attivazione]]))</f>
        <v>42687</v>
      </c>
      <c r="Y832" s="65"/>
      <c r="Z832" s="61"/>
      <c r="AA832" s="64" t="s">
        <v>88</v>
      </c>
      <c r="AB832" s="29" t="str">
        <f>IF(Table2[[#This Row],[Data ultimo versamento temp]]=0/1/1900,"-",Table2[[#This Row],[Data ultimo versamento temp]])</f>
        <v>-</v>
      </c>
      <c r="AC832" s="29">
        <f t="array" ref="AC832">MAX(IF(TableVersamenti[Polizza]=Table2[[#This Row],[Polizza]],TableVersamenti[Data prevista versamento],"-"))</f>
        <v>0</v>
      </c>
      <c r="AD832" s="62"/>
      <c r="AE832" s="106">
        <f>DATE(YEAR(Table2[[#This Row],[Data ultimo pagamento]]),MONTH(Table2[[#This Row],[Data ultimo pagamento]]), 1)</f>
        <v>42491</v>
      </c>
      <c r="AF832" s="106">
        <f>DATE(YEAR(Table2[[#This Row],[Data prossima scadenza]]),MONTH(Table2[[#This Row],[Data prossima scadenza]]), 1)</f>
        <v>42675</v>
      </c>
      <c r="AG832" s="33">
        <f>IFERROR(Table2[[#This Row],[Importo annuale]]*VLOOKUP(Table2[[#This Row],[Ramo]],RAMI_POLIZZA,2,FALSE),0)</f>
        <v>24.391119999999997</v>
      </c>
      <c r="AH832" s="65" t="s">
        <v>113</v>
      </c>
      <c r="AI832" s="63" t="str">
        <f>IFERROR(VLOOKUP(Table2[[#This Row],[Contraente]],Table1[[Nome/Ragione sociale]:[Checkbox selezionato]],2,FALSE),"-")</f>
        <v>BOSNASCO</v>
      </c>
      <c r="AJ832" s="63" t="str">
        <f>IFERROR(VLOOKUP(Table2[[#This Row],[Contraente]],Table1[[Nome/Ragione sociale]:[Checkbox selezionato]],3,FALSE),"-")</f>
        <v>-</v>
      </c>
      <c r="AK832" s="63">
        <f>IFERROR(VLOOKUP(Table2[[#This Row],[Contraente]],Table1[[Nome/Ragione sociale]:[Checkbox selezionato]],4,FALSE),"-")</f>
        <v>0</v>
      </c>
      <c r="AL832" s="63">
        <f>IFERROR(VLOOKUP(Table2[[#This Row],[Contraente]],Table1[[Nome/Ragione sociale]:[Checkbox selezionato]],5,FALSE),"-")</f>
        <v>0</v>
      </c>
      <c r="AM832" s="62">
        <f>IFERROR(VLOOKUP(Table2[[#This Row],[Contraente]],Table1[[Nome/Ragione sociale]:[Checkbox selezionato]],6,FALSE),"-")</f>
        <v>23287</v>
      </c>
      <c r="AN832" s="63" t="str">
        <f>IFERROR(VLOOKUP(Table2[[#This Row],[Contraente]],Table1[[Nome/Ragione sociale]:[Checkbox selezionato]],7,FALSE),"-")</f>
        <v>papies@email.it</v>
      </c>
      <c r="AO832" s="63">
        <f>IFERROR(VLOOKUP(Table2[[#This Row],[Contraente]],Table1[[Nome/Ragione sociale]:[Checkbox selezionato]],8,FALSE),"-")</f>
        <v>0</v>
      </c>
      <c r="AP832" s="63" t="str">
        <f>IFERROR(VLOOKUP(Table2[[#This Row],[Contraente]],Table1[[Nome/Ragione sociale]:[Checkbox selezionato]],10,FALSE),"-")</f>
        <v>-</v>
      </c>
      <c r="AQ832" s="63" t="str">
        <f>IFERROR(VLOOKUP(Table2[[#This Row],[Contraente]],Table1[[Nome/Ragione sociale]:[Checkbox selezionato]],11,FALSE),"-")</f>
        <v>SI</v>
      </c>
      <c r="AR832" s="63" t="str">
        <f>IFERROR(VLOOKUP(Table2[[#This Row],[Contraente]],Table1[[Nome/Ragione sociale]:[Checkbox selezionato]],12,FALSE),"-")</f>
        <v>SI</v>
      </c>
    </row>
    <row r="833" spans="1:44" ht="30" hidden="1" customHeight="1" x14ac:dyDescent="0.25">
      <c r="A833" s="60" t="str">
        <f>UPPER(LEFT(Table2[[#This Row],[Contraente]],1))</f>
        <v>P</v>
      </c>
      <c r="B833" s="60" t="s">
        <v>1634</v>
      </c>
      <c r="C833" s="81" t="s">
        <v>893</v>
      </c>
      <c r="D833" s="81" t="s">
        <v>37</v>
      </c>
      <c r="E833" s="86">
        <v>1063197</v>
      </c>
      <c r="F833" s="64">
        <v>42590</v>
      </c>
      <c r="G833" s="64">
        <f>IFERROR(CALCOLASCADENZA(Table2[[#This Row],[Data attivazione]],Table2[[#This Row],[Rateizzazione]],Table2[[#This Row],[Data ultimo pagamento]],Table2[[#This Row],[Data prossima scadenza manuale]]),"-")</f>
        <v>42680</v>
      </c>
      <c r="H833" s="67" t="s">
        <v>32</v>
      </c>
      <c r="I833" s="67" t="s">
        <v>113</v>
      </c>
      <c r="J833" s="33">
        <f>IFERROR(Table2[[#This Row],[Importo annuale]]/(12/VLOOKUP(Table2[[#This Row],[Rateizzazione]],TIPI_RATEIZZAZIONI,2,FALSE)),"-")</f>
        <v>200</v>
      </c>
      <c r="K833" s="88"/>
      <c r="L833" s="88">
        <v>600</v>
      </c>
      <c r="M833" s="67" t="s">
        <v>45</v>
      </c>
      <c r="N833" s="67" t="s">
        <v>52</v>
      </c>
      <c r="O833" s="27" t="s">
        <v>1632</v>
      </c>
      <c r="P833" s="33" t="s">
        <v>21</v>
      </c>
      <c r="Q833" s="60">
        <f>IFERROR(IF(12 / VLOOKUP(Table2[[#This Row],[Rateizzazione]],TIPI_RATEIZZAZIONI,2,FALSE) &gt;=1,  IF(Table2[[#This Row],[Data attivazione]] = "","-",MONTH(Table2[[#This Row],[Data attivazione]])),"-"),"-")</f>
        <v>11</v>
      </c>
      <c r="R8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8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3" s="67" t="s">
        <v>2</v>
      </c>
      <c r="V833" s="62"/>
      <c r="W833" s="64">
        <v>39027</v>
      </c>
      <c r="X833" s="29">
        <f>DATE(YEAR(Table2[[#This Row],[Data attivazione]])+VLOOKUP(Table2[[#This Row],[Durata]],VALORE_DURATA,2,FALSE),MONTH(Table2[[#This Row],[Data attivazione]]),DAY(Table2[[#This Row],[Data attivazione]]))</f>
        <v>42680</v>
      </c>
      <c r="Y833" s="65"/>
      <c r="Z833" s="61"/>
      <c r="AA833" s="64" t="s">
        <v>88</v>
      </c>
      <c r="AB833" s="29" t="str">
        <f>IF(Table2[[#This Row],[Data ultimo versamento temp]]=0/1/1900,"-",Table2[[#This Row],[Data ultimo versamento temp]])</f>
        <v>-</v>
      </c>
      <c r="AC833" s="29">
        <f t="array" ref="AC833">MAX(IF(TableVersamenti[Polizza]=Table2[[#This Row],[Polizza]],TableVersamenti[Data prevista versamento],"-"))</f>
        <v>0</v>
      </c>
      <c r="AD833" s="62"/>
      <c r="AE833" s="106">
        <f>DATE(YEAR(Table2[[#This Row],[Data ultimo pagamento]]),MONTH(Table2[[#This Row],[Data ultimo pagamento]]), 1)</f>
        <v>42583</v>
      </c>
      <c r="AF833" s="106">
        <f>DATE(YEAR(Table2[[#This Row],[Data prossima scadenza]]),MONTH(Table2[[#This Row],[Data prossima scadenza]]), 1)</f>
        <v>42675</v>
      </c>
      <c r="AG833" s="33">
        <f>IFERROR(Table2[[#This Row],[Importo annuale]]*VLOOKUP(Table2[[#This Row],[Ramo]],RAMI_POLIZZA,2,FALSE),0)</f>
        <v>9</v>
      </c>
      <c r="AH833" s="65" t="s">
        <v>113</v>
      </c>
      <c r="AI833" s="63" t="str">
        <f>IFERROR(VLOOKUP(Table2[[#This Row],[Contraente]],Table1[[Nome/Ragione sociale]:[Checkbox selezionato]],2,FALSE),"-")</f>
        <v>LINAROLO</v>
      </c>
      <c r="AJ833" s="63">
        <f>IFERROR(VLOOKUP(Table2[[#This Row],[Contraente]],Table1[[Nome/Ragione sociale]:[Checkbox selezionato]],3,FALSE),"-")</f>
        <v>3665928426</v>
      </c>
      <c r="AK833" s="63">
        <f>IFERROR(VLOOKUP(Table2[[#This Row],[Contraente]],Table1[[Nome/Ragione sociale]:[Checkbox selezionato]],4,FALSE),"-")</f>
        <v>0</v>
      </c>
      <c r="AL833" s="63" t="str">
        <f>IFERROR(VLOOKUP(Table2[[#This Row],[Contraente]],Table1[[Nome/Ragione sociale]:[Checkbox selezionato]],5,FALSE),"-")</f>
        <v>EMANUELA</v>
      </c>
      <c r="AM833" s="62">
        <f>IFERROR(VLOOKUP(Table2[[#This Row],[Contraente]],Table1[[Nome/Ragione sociale]:[Checkbox selezionato]],6,FALSE),"-")</f>
        <v>27162</v>
      </c>
      <c r="AN833" s="63" t="str">
        <f>IFERROR(VLOOKUP(Table2[[#This Row],[Contraente]],Table1[[Nome/Ragione sociale]:[Checkbox selezionato]],7,FALSE),"-")</f>
        <v>papies@libero.it</v>
      </c>
      <c r="AO833" s="63">
        <f>IFERROR(VLOOKUP(Table2[[#This Row],[Contraente]],Table1[[Nome/Ragione sociale]:[Checkbox selezionato]],8,FALSE),"-")</f>
        <v>0</v>
      </c>
      <c r="AP833" s="63">
        <f>IFERROR(VLOOKUP(Table2[[#This Row],[Contraente]],Table1[[Nome/Ragione sociale]:[Checkbox selezionato]],10,FALSE),"-")</f>
        <v>3665928426</v>
      </c>
      <c r="AQ833" s="63" t="str">
        <f>IFERROR(VLOOKUP(Table2[[#This Row],[Contraente]],Table1[[Nome/Ragione sociale]:[Checkbox selezionato]],11,FALSE),"-")</f>
        <v>SI</v>
      </c>
      <c r="AR833" s="63" t="str">
        <f>IFERROR(VLOOKUP(Table2[[#This Row],[Contraente]],Table1[[Nome/Ragione sociale]:[Checkbox selezionato]],12,FALSE),"-")</f>
        <v>SI</v>
      </c>
    </row>
    <row r="834" spans="1:44" ht="30" hidden="1" customHeight="1" x14ac:dyDescent="0.25">
      <c r="A834" s="60" t="str">
        <f>UPPER(LEFT(Table2[[#This Row],[Contraente]],1))</f>
        <v>P</v>
      </c>
      <c r="B834" s="60" t="s">
        <v>1634</v>
      </c>
      <c r="C834" s="81" t="s">
        <v>893</v>
      </c>
      <c r="D834" s="81" t="s">
        <v>37</v>
      </c>
      <c r="E834" s="86">
        <v>105387618</v>
      </c>
      <c r="F834" s="64">
        <v>42632</v>
      </c>
      <c r="G834" s="64">
        <f>IFERROR(CALCOLASCADENZA(Table2[[#This Row],[Data attivazione]],Table2[[#This Row],[Rateizzazione]],Table2[[#This Row],[Data ultimo pagamento]],Table2[[#This Row],[Data prossima scadenza manuale]]),"-")</f>
        <v>42805</v>
      </c>
      <c r="H834" s="67" t="s">
        <v>30</v>
      </c>
      <c r="I834" s="67" t="s">
        <v>113</v>
      </c>
      <c r="J834" s="33">
        <f>IFERROR(Table2[[#This Row],[Importo annuale]]/(12/VLOOKUP(Table2[[#This Row],[Rateizzazione]],TIPI_RATEIZZAZIONI,2,FALSE)),"-")</f>
        <v>32</v>
      </c>
      <c r="K834" s="88"/>
      <c r="L834" s="88">
        <v>64</v>
      </c>
      <c r="M834" s="67" t="s">
        <v>43</v>
      </c>
      <c r="N834" s="67" t="s">
        <v>52</v>
      </c>
      <c r="O834" s="27" t="s">
        <v>1631</v>
      </c>
      <c r="P834" s="33" t="s">
        <v>22</v>
      </c>
      <c r="Q834" s="60">
        <f>IFERROR(IF(12 / VLOOKUP(Table2[[#This Row],[Rateizzazione]],TIPI_RATEIZZAZIONI,2,FALSE) &gt;=1,  IF(Table2[[#This Row],[Data attivazione]] = "","-",MONTH(Table2[[#This Row],[Data attivazione]])),"-"),"-")</f>
        <v>3</v>
      </c>
      <c r="R8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4" s="67" t="s">
        <v>2</v>
      </c>
      <c r="V834" s="62"/>
      <c r="W834" s="64">
        <v>42440</v>
      </c>
      <c r="X834" s="29">
        <f>DATE(YEAR(Table2[[#This Row],[Data attivazione]])+VLOOKUP(Table2[[#This Row],[Durata]],VALORE_DURATA,2,FALSE),MONTH(Table2[[#This Row],[Data attivazione]]),DAY(Table2[[#This Row],[Data attivazione]]))</f>
        <v>42805</v>
      </c>
      <c r="Y834" s="65"/>
      <c r="Z834" s="61"/>
      <c r="AA834" s="64" t="s">
        <v>88</v>
      </c>
      <c r="AB834" s="29" t="str">
        <f>IF(Table2[[#This Row],[Data ultimo versamento temp]]=0/1/1900,"-",Table2[[#This Row],[Data ultimo versamento temp]])</f>
        <v>-</v>
      </c>
      <c r="AC834" s="29">
        <f t="array" ref="AC834">MAX(IF(TableVersamenti[Polizza]=Table2[[#This Row],[Polizza]],TableVersamenti[Data prevista versamento],"-"))</f>
        <v>0</v>
      </c>
      <c r="AD834" s="62"/>
      <c r="AE834" s="106">
        <f>DATE(YEAR(Table2[[#This Row],[Data ultimo pagamento]]),MONTH(Table2[[#This Row],[Data ultimo pagamento]]), 1)</f>
        <v>42614</v>
      </c>
      <c r="AF834" s="106">
        <f>DATE(YEAR(Table2[[#This Row],[Data prossima scadenza]]),MONTH(Table2[[#This Row],[Data prossima scadenza]]), 1)</f>
        <v>42795</v>
      </c>
      <c r="AG834" s="33">
        <f>IFERROR(Table2[[#This Row],[Importo annuale]]*VLOOKUP(Table2[[#This Row],[Ramo]],RAMI_POLIZZA,2,FALSE),0)</f>
        <v>7.36</v>
      </c>
      <c r="AH834" s="65" t="s">
        <v>113</v>
      </c>
      <c r="AI834" s="63" t="str">
        <f>IFERROR(VLOOKUP(Table2[[#This Row],[Contraente]],Table1[[Nome/Ragione sociale]:[Checkbox selezionato]],2,FALSE),"-")</f>
        <v>LINAROLO</v>
      </c>
      <c r="AJ834" s="63">
        <f>IFERROR(VLOOKUP(Table2[[#This Row],[Contraente]],Table1[[Nome/Ragione sociale]:[Checkbox selezionato]],3,FALSE),"-")</f>
        <v>3665928426</v>
      </c>
      <c r="AK834" s="63">
        <f>IFERROR(VLOOKUP(Table2[[#This Row],[Contraente]],Table1[[Nome/Ragione sociale]:[Checkbox selezionato]],4,FALSE),"-")</f>
        <v>0</v>
      </c>
      <c r="AL834" s="63" t="str">
        <f>IFERROR(VLOOKUP(Table2[[#This Row],[Contraente]],Table1[[Nome/Ragione sociale]:[Checkbox selezionato]],5,FALSE),"-")</f>
        <v>EMANUELA</v>
      </c>
      <c r="AM834" s="62">
        <f>IFERROR(VLOOKUP(Table2[[#This Row],[Contraente]],Table1[[Nome/Ragione sociale]:[Checkbox selezionato]],6,FALSE),"-")</f>
        <v>27162</v>
      </c>
      <c r="AN834" s="63" t="str">
        <f>IFERROR(VLOOKUP(Table2[[#This Row],[Contraente]],Table1[[Nome/Ragione sociale]:[Checkbox selezionato]],7,FALSE),"-")</f>
        <v>papies@libero.it</v>
      </c>
      <c r="AO834" s="63">
        <f>IFERROR(VLOOKUP(Table2[[#This Row],[Contraente]],Table1[[Nome/Ragione sociale]:[Checkbox selezionato]],8,FALSE),"-")</f>
        <v>0</v>
      </c>
      <c r="AP834" s="63">
        <f>IFERROR(VLOOKUP(Table2[[#This Row],[Contraente]],Table1[[Nome/Ragione sociale]:[Checkbox selezionato]],10,FALSE),"-")</f>
        <v>3665928426</v>
      </c>
      <c r="AQ834" s="63" t="str">
        <f>IFERROR(VLOOKUP(Table2[[#This Row],[Contraente]],Table1[[Nome/Ragione sociale]:[Checkbox selezionato]],11,FALSE),"-")</f>
        <v>SI</v>
      </c>
      <c r="AR834" s="63" t="str">
        <f>IFERROR(VLOOKUP(Table2[[#This Row],[Contraente]],Table1[[Nome/Ragione sociale]:[Checkbox selezionato]],12,FALSE),"-")</f>
        <v>SI</v>
      </c>
    </row>
    <row r="835" spans="1:44" ht="30" hidden="1" customHeight="1" x14ac:dyDescent="0.25">
      <c r="A835" s="60" t="str">
        <f>UPPER(LEFT(Table2[[#This Row],[Contraente]],1))</f>
        <v>P</v>
      </c>
      <c r="B835" s="60" t="s">
        <v>1634</v>
      </c>
      <c r="C835" s="81" t="s">
        <v>893</v>
      </c>
      <c r="D835" s="81" t="s">
        <v>37</v>
      </c>
      <c r="E835" s="86">
        <v>106615388</v>
      </c>
      <c r="F835" s="64">
        <v>42807</v>
      </c>
      <c r="G835" s="64">
        <f>IFERROR(CALCOLASCADENZA(Table2[[#This Row],[Data attivazione]],Table2[[#This Row],[Rateizzazione]],Table2[[#This Row],[Data ultimo pagamento]],Table2[[#This Row],[Data prossima scadenza manuale]]),"-")</f>
        <v>42989</v>
      </c>
      <c r="H835" s="67" t="s">
        <v>31</v>
      </c>
      <c r="I835" s="67" t="s">
        <v>1477</v>
      </c>
      <c r="J835" s="33">
        <f>IFERROR(Table2[[#This Row],[Importo annuale]]/(12/VLOOKUP(Table2[[#This Row],[Rateizzazione]],TIPI_RATEIZZAZIONI,2,FALSE)),"-")</f>
        <v>230</v>
      </c>
      <c r="K835" s="88">
        <v>230</v>
      </c>
      <c r="L835" s="88">
        <v>460</v>
      </c>
      <c r="M835" s="67" t="s">
        <v>43</v>
      </c>
      <c r="N835" s="67" t="s">
        <v>52</v>
      </c>
      <c r="O835" s="27" t="s">
        <v>1631</v>
      </c>
      <c r="P835" s="33" t="s">
        <v>22</v>
      </c>
      <c r="Q835" s="60">
        <f>IFERROR(IF(12 / VLOOKUP(Table2[[#This Row],[Rateizzazione]],TIPI_RATEIZZAZIONI,2,FALSE) &gt;=1,  IF(Table2[[#This Row],[Data attivazione]] = "","-",MONTH(Table2[[#This Row],[Data attivazione]])),"-"),"-")</f>
        <v>9</v>
      </c>
      <c r="R8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5" s="67" t="s">
        <v>2</v>
      </c>
      <c r="V835" s="62"/>
      <c r="W835" s="64">
        <v>42624</v>
      </c>
      <c r="X835" s="29">
        <f>DATE(YEAR(Table2[[#This Row],[Data attivazione]])+VLOOKUP(Table2[[#This Row],[Durata]],VALORE_DURATA,2,FALSE),MONTH(Table2[[#This Row],[Data attivazione]]),DAY(Table2[[#This Row],[Data attivazione]]))</f>
        <v>42989</v>
      </c>
      <c r="Y835" s="65"/>
      <c r="Z835" s="61"/>
      <c r="AA835" s="64" t="s">
        <v>85</v>
      </c>
      <c r="AB835" s="29" t="str">
        <f>IF(Table2[[#This Row],[Data ultimo versamento temp]]=0/1/1900,"-",Table2[[#This Row],[Data ultimo versamento temp]])</f>
        <v>-</v>
      </c>
      <c r="AC835" s="29">
        <f t="array" ref="AC835">MAX(IF(TableVersamenti[Polizza]=Table2[[#This Row],[Polizza]],TableVersamenti[Data prevista versamento],"-"))</f>
        <v>0</v>
      </c>
      <c r="AD835" s="62"/>
      <c r="AE835" s="106">
        <f>DATE(YEAR(Table2[[#This Row],[Data ultimo pagamento]]),MONTH(Table2[[#This Row],[Data ultimo pagamento]]), 1)</f>
        <v>42795</v>
      </c>
      <c r="AF835" s="106">
        <f>DATE(YEAR(Table2[[#This Row],[Data prossima scadenza]]),MONTH(Table2[[#This Row],[Data prossima scadenza]]), 1)</f>
        <v>42979</v>
      </c>
      <c r="AG835" s="33">
        <f>IFERROR(Table2[[#This Row],[Importo annuale]]*VLOOKUP(Table2[[#This Row],[Ramo]],RAMI_POLIZZA,2,FALSE),0)</f>
        <v>23.919999999999998</v>
      </c>
      <c r="AH835" s="65" t="s">
        <v>113</v>
      </c>
      <c r="AI835" s="63" t="str">
        <f>IFERROR(VLOOKUP(Table2[[#This Row],[Contraente]],Table1[[Nome/Ragione sociale]:[Checkbox selezionato]],2,FALSE),"-")</f>
        <v>LINAROLO</v>
      </c>
      <c r="AJ835" s="63">
        <f>IFERROR(VLOOKUP(Table2[[#This Row],[Contraente]],Table1[[Nome/Ragione sociale]:[Checkbox selezionato]],3,FALSE),"-")</f>
        <v>3665928426</v>
      </c>
      <c r="AK835" s="63">
        <f>IFERROR(VLOOKUP(Table2[[#This Row],[Contraente]],Table1[[Nome/Ragione sociale]:[Checkbox selezionato]],4,FALSE),"-")</f>
        <v>0</v>
      </c>
      <c r="AL835" s="63" t="str">
        <f>IFERROR(VLOOKUP(Table2[[#This Row],[Contraente]],Table1[[Nome/Ragione sociale]:[Checkbox selezionato]],5,FALSE),"-")</f>
        <v>EMANUELA</v>
      </c>
      <c r="AM835" s="62">
        <f>IFERROR(VLOOKUP(Table2[[#This Row],[Contraente]],Table1[[Nome/Ragione sociale]:[Checkbox selezionato]],6,FALSE),"-")</f>
        <v>27162</v>
      </c>
      <c r="AN835" s="63" t="str">
        <f>IFERROR(VLOOKUP(Table2[[#This Row],[Contraente]],Table1[[Nome/Ragione sociale]:[Checkbox selezionato]],7,FALSE),"-")</f>
        <v>papies@libero.it</v>
      </c>
      <c r="AO835" s="63">
        <f>IFERROR(VLOOKUP(Table2[[#This Row],[Contraente]],Table1[[Nome/Ragione sociale]:[Checkbox selezionato]],8,FALSE),"-")</f>
        <v>0</v>
      </c>
      <c r="AP835" s="63">
        <f>IFERROR(VLOOKUP(Table2[[#This Row],[Contraente]],Table1[[Nome/Ragione sociale]:[Checkbox selezionato]],10,FALSE),"-")</f>
        <v>3665928426</v>
      </c>
      <c r="AQ835" s="63" t="str">
        <f>IFERROR(VLOOKUP(Table2[[#This Row],[Contraente]],Table1[[Nome/Ragione sociale]:[Checkbox selezionato]],11,FALSE),"-")</f>
        <v>SI</v>
      </c>
      <c r="AR835" s="63" t="str">
        <f>IFERROR(VLOOKUP(Table2[[#This Row],[Contraente]],Table1[[Nome/Ragione sociale]:[Checkbox selezionato]],12,FALSE),"-")</f>
        <v>SI</v>
      </c>
    </row>
    <row r="836" spans="1:44" ht="30" hidden="1" customHeight="1" x14ac:dyDescent="0.25">
      <c r="A836" s="60" t="str">
        <f>UPPER(LEFT(Table2[[#This Row],[Contraente]],1))</f>
        <v>P</v>
      </c>
      <c r="B836" s="60" t="s">
        <v>1634</v>
      </c>
      <c r="C836" s="81" t="s">
        <v>892</v>
      </c>
      <c r="D836" s="81" t="s">
        <v>37</v>
      </c>
      <c r="E836" s="86">
        <v>105802353</v>
      </c>
      <c r="F836" s="64">
        <v>42556</v>
      </c>
      <c r="G836" s="64">
        <f>IFERROR(CALCOLASCADENZA(Table2[[#This Row],[Data attivazione]],Table2[[#This Row],[Rateizzazione]],Table2[[#This Row],[Data ultimo pagamento]],Table2[[#This Row],[Data prossima scadenza manuale]]),"-")</f>
        <v>42648</v>
      </c>
      <c r="H836" s="67" t="s">
        <v>31</v>
      </c>
      <c r="I836" s="67" t="s">
        <v>1475</v>
      </c>
      <c r="J836" s="33">
        <f>IFERROR(Table2[[#This Row],[Importo annuale]]/(12/VLOOKUP(Table2[[#This Row],[Rateizzazione]],TIPI_RATEIZZAZIONI,2,FALSE)),"-")</f>
        <v>50</v>
      </c>
      <c r="K836" s="88"/>
      <c r="L836" s="88">
        <v>50</v>
      </c>
      <c r="M836" s="67" t="s">
        <v>43</v>
      </c>
      <c r="N836" s="67" t="s">
        <v>51</v>
      </c>
      <c r="O836" s="27" t="s">
        <v>1631</v>
      </c>
      <c r="P836" s="33" t="s">
        <v>23</v>
      </c>
      <c r="Q836" s="60">
        <f>IFERROR(IF(12 / VLOOKUP(Table2[[#This Row],[Rateizzazione]],TIPI_RATEIZZAZIONI,2,FALSE) &gt;=1,  IF(Table2[[#This Row],[Data attivazione]] = "","-",MONTH(Table2[[#This Row],[Data attivazione]])),"-"),"-")</f>
        <v>10</v>
      </c>
      <c r="R8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6" s="67" t="s">
        <v>2</v>
      </c>
      <c r="V836" s="62"/>
      <c r="W836" s="64">
        <v>42282</v>
      </c>
      <c r="X836" s="29">
        <f>DATE(YEAR(Table2[[#This Row],[Data attivazione]])+VLOOKUP(Table2[[#This Row],[Durata]],VALORE_DURATA,2,FALSE),MONTH(Table2[[#This Row],[Data attivazione]]),DAY(Table2[[#This Row],[Data attivazione]]))</f>
        <v>42648</v>
      </c>
      <c r="Y836" s="65"/>
      <c r="Z836" s="61"/>
      <c r="AA836" s="64" t="s">
        <v>88</v>
      </c>
      <c r="AB836" s="29" t="str">
        <f>IF(Table2[[#This Row],[Data ultimo versamento temp]]=0/1/1900,"-",Table2[[#This Row],[Data ultimo versamento temp]])</f>
        <v>-</v>
      </c>
      <c r="AC836" s="29">
        <f t="array" ref="AC836">MAX(IF(TableVersamenti[Polizza]=Table2[[#This Row],[Polizza]],TableVersamenti[Data prevista versamento],"-"))</f>
        <v>0</v>
      </c>
      <c r="AD836" s="62"/>
      <c r="AE836" s="106">
        <f>DATE(YEAR(Table2[[#This Row],[Data ultimo pagamento]]),MONTH(Table2[[#This Row],[Data ultimo pagamento]]), 1)</f>
        <v>42552</v>
      </c>
      <c r="AF836" s="106">
        <f>DATE(YEAR(Table2[[#This Row],[Data prossima scadenza]]),MONTH(Table2[[#This Row],[Data prossima scadenza]]), 1)</f>
        <v>42644</v>
      </c>
      <c r="AG836" s="33">
        <f>IFERROR(Table2[[#This Row],[Importo annuale]]*VLOOKUP(Table2[[#This Row],[Ramo]],RAMI_POLIZZA,2,FALSE),0)</f>
        <v>2.6</v>
      </c>
      <c r="AH836" s="65" t="s">
        <v>113</v>
      </c>
      <c r="AI836" s="63" t="str">
        <f>IFERROR(VLOOKUP(Table2[[#This Row],[Contraente]],Table1[[Nome/Ragione sociale]:[Checkbox selezionato]],2,FALSE),"-")</f>
        <v>GENZONE</v>
      </c>
      <c r="AJ836" s="63">
        <f>IFERROR(VLOOKUP(Table2[[#This Row],[Contraente]],Table1[[Nome/Ragione sociale]:[Checkbox selezionato]],3,FALSE),"-")</f>
        <v>3451234568</v>
      </c>
      <c r="AK836" s="63">
        <f>IFERROR(VLOOKUP(Table2[[#This Row],[Contraente]],Table1[[Nome/Ragione sociale]:[Checkbox selezionato]],4,FALSE),"-")</f>
        <v>0</v>
      </c>
      <c r="AL836" s="63" t="str">
        <f>IFERROR(VLOOKUP(Table2[[#This Row],[Contraente]],Table1[[Nome/Ragione sociale]:[Checkbox selezionato]],5,FALSE),"-")</f>
        <v>FABIO</v>
      </c>
      <c r="AM836" s="62">
        <f>IFERROR(VLOOKUP(Table2[[#This Row],[Contraente]],Table1[[Nome/Ragione sociale]:[Checkbox selezionato]],6,FALSE),"-")</f>
        <v>28909</v>
      </c>
      <c r="AN836" s="63" t="str">
        <f>IFERROR(VLOOKUP(Table2[[#This Row],[Contraente]],Table1[[Nome/Ragione sociale]:[Checkbox selezionato]],7,FALSE),"-")</f>
        <v>papies@libero.it</v>
      </c>
      <c r="AO836" s="63">
        <f>IFERROR(VLOOKUP(Table2[[#This Row],[Contraente]],Table1[[Nome/Ragione sociale]:[Checkbox selezionato]],8,FALSE),"-")</f>
        <v>0</v>
      </c>
      <c r="AP836" s="63">
        <f>IFERROR(VLOOKUP(Table2[[#This Row],[Contraente]],Table1[[Nome/Ragione sociale]:[Checkbox selezionato]],10,FALSE),"-")</f>
        <v>3451234568</v>
      </c>
      <c r="AQ836" s="63" t="str">
        <f>IFERROR(VLOOKUP(Table2[[#This Row],[Contraente]],Table1[[Nome/Ragione sociale]:[Checkbox selezionato]],11,FALSE),"-")</f>
        <v>SI</v>
      </c>
      <c r="AR836" s="63" t="str">
        <f>IFERROR(VLOOKUP(Table2[[#This Row],[Contraente]],Table1[[Nome/Ragione sociale]:[Checkbox selezionato]],12,FALSE),"-")</f>
        <v>SI</v>
      </c>
    </row>
    <row r="837" spans="1:44" ht="30" hidden="1" customHeight="1" x14ac:dyDescent="0.25">
      <c r="A837" s="60" t="str">
        <f>UPPER(LEFT(Table2[[#This Row],[Contraente]],1))</f>
        <v>P</v>
      </c>
      <c r="B837" s="60" t="s">
        <v>1634</v>
      </c>
      <c r="C837" s="81" t="s">
        <v>892</v>
      </c>
      <c r="D837" s="81" t="s">
        <v>37</v>
      </c>
      <c r="E837" s="86">
        <v>106160249</v>
      </c>
      <c r="F837" s="64">
        <v>42909</v>
      </c>
      <c r="G837" s="64">
        <f>IFERROR(CALCOLASCADENZA(Table2[[#This Row],[Data attivazione]],Table2[[#This Row],[Rateizzazione]],Table2[[#This Row],[Data ultimo pagamento]],Table2[[#This Row],[Data prossima scadenza manuale]]),"-")</f>
        <v>43261</v>
      </c>
      <c r="H837" s="67" t="s">
        <v>30</v>
      </c>
      <c r="I837" s="67" t="s">
        <v>113</v>
      </c>
      <c r="J837" s="33">
        <f>IFERROR(Table2[[#This Row],[Importo annuale]]/(12/VLOOKUP(Table2[[#This Row],[Rateizzazione]],TIPI_RATEIZZAZIONI,2,FALSE)),"-")</f>
        <v>71</v>
      </c>
      <c r="K837" s="88">
        <v>71</v>
      </c>
      <c r="L837" s="88">
        <v>71</v>
      </c>
      <c r="M837" s="67" t="s">
        <v>43</v>
      </c>
      <c r="N837" s="67" t="s">
        <v>51</v>
      </c>
      <c r="O837" s="27" t="s">
        <v>1631</v>
      </c>
      <c r="P837" s="33" t="s">
        <v>23</v>
      </c>
      <c r="Q837" s="60">
        <f>IFERROR(IF(12 / VLOOKUP(Table2[[#This Row],[Rateizzazione]],TIPI_RATEIZZAZIONI,2,FALSE) &gt;=1,  IF(Table2[[#This Row],[Data attivazione]] = "","-",MONTH(Table2[[#This Row],[Data attivazione]])),"-"),"-")</f>
        <v>6</v>
      </c>
      <c r="R8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7" s="67" t="s">
        <v>2</v>
      </c>
      <c r="V837" s="62"/>
      <c r="W837" s="64">
        <v>42896</v>
      </c>
      <c r="X837" s="29">
        <f>DATE(YEAR(Table2[[#This Row],[Data attivazione]])+VLOOKUP(Table2[[#This Row],[Durata]],VALORE_DURATA,2,FALSE),MONTH(Table2[[#This Row],[Data attivazione]]),DAY(Table2[[#This Row],[Data attivazione]]))</f>
        <v>43261</v>
      </c>
      <c r="Y837" s="65"/>
      <c r="Z837" s="61"/>
      <c r="AA837" s="64" t="s">
        <v>85</v>
      </c>
      <c r="AB837" s="29" t="str">
        <f>IF(Table2[[#This Row],[Data ultimo versamento temp]]=0/1/1900,"-",Table2[[#This Row],[Data ultimo versamento temp]])</f>
        <v>-</v>
      </c>
      <c r="AC837" s="29">
        <f t="array" ref="AC837">MAX(IF(TableVersamenti[Polizza]=Table2[[#This Row],[Polizza]],TableVersamenti[Data prevista versamento],"-"))</f>
        <v>0</v>
      </c>
      <c r="AD837" s="62"/>
      <c r="AE837" s="106">
        <f>DATE(YEAR(Table2[[#This Row],[Data ultimo pagamento]]),MONTH(Table2[[#This Row],[Data ultimo pagamento]]), 1)</f>
        <v>42887</v>
      </c>
      <c r="AF837" s="106">
        <f>DATE(YEAR(Table2[[#This Row],[Data prossima scadenza]]),MONTH(Table2[[#This Row],[Data prossima scadenza]]), 1)</f>
        <v>43252</v>
      </c>
      <c r="AG837" s="33">
        <f>IFERROR(Table2[[#This Row],[Importo annuale]]*VLOOKUP(Table2[[#This Row],[Ramo]],RAMI_POLIZZA,2,FALSE),0)</f>
        <v>8.1650000000000009</v>
      </c>
      <c r="AH837" s="65" t="s">
        <v>113</v>
      </c>
      <c r="AI837" s="63" t="str">
        <f>IFERROR(VLOOKUP(Table2[[#This Row],[Contraente]],Table1[[Nome/Ragione sociale]:[Checkbox selezionato]],2,FALSE),"-")</f>
        <v>GENZONE</v>
      </c>
      <c r="AJ837" s="63">
        <f>IFERROR(VLOOKUP(Table2[[#This Row],[Contraente]],Table1[[Nome/Ragione sociale]:[Checkbox selezionato]],3,FALSE),"-")</f>
        <v>3451234568</v>
      </c>
      <c r="AK837" s="63">
        <f>IFERROR(VLOOKUP(Table2[[#This Row],[Contraente]],Table1[[Nome/Ragione sociale]:[Checkbox selezionato]],4,FALSE),"-")</f>
        <v>0</v>
      </c>
      <c r="AL837" s="63" t="str">
        <f>IFERROR(VLOOKUP(Table2[[#This Row],[Contraente]],Table1[[Nome/Ragione sociale]:[Checkbox selezionato]],5,FALSE),"-")</f>
        <v>FABIO</v>
      </c>
      <c r="AM837" s="62">
        <f>IFERROR(VLOOKUP(Table2[[#This Row],[Contraente]],Table1[[Nome/Ragione sociale]:[Checkbox selezionato]],6,FALSE),"-")</f>
        <v>28909</v>
      </c>
      <c r="AN837" s="63" t="str">
        <f>IFERROR(VLOOKUP(Table2[[#This Row],[Contraente]],Table1[[Nome/Ragione sociale]:[Checkbox selezionato]],7,FALSE),"-")</f>
        <v>papies@libero.it</v>
      </c>
      <c r="AO837" s="63">
        <f>IFERROR(VLOOKUP(Table2[[#This Row],[Contraente]],Table1[[Nome/Ragione sociale]:[Checkbox selezionato]],8,FALSE),"-")</f>
        <v>0</v>
      </c>
      <c r="AP837" s="63">
        <f>IFERROR(VLOOKUP(Table2[[#This Row],[Contraente]],Table1[[Nome/Ragione sociale]:[Checkbox selezionato]],10,FALSE),"-")</f>
        <v>3451234568</v>
      </c>
      <c r="AQ837" s="63" t="str">
        <f>IFERROR(VLOOKUP(Table2[[#This Row],[Contraente]],Table1[[Nome/Ragione sociale]:[Checkbox selezionato]],11,FALSE),"-")</f>
        <v>SI</v>
      </c>
      <c r="AR837" s="63" t="str">
        <f>IFERROR(VLOOKUP(Table2[[#This Row],[Contraente]],Table1[[Nome/Ragione sociale]:[Checkbox selezionato]],12,FALSE),"-")</f>
        <v>SI</v>
      </c>
    </row>
    <row r="838" spans="1:44" ht="30" hidden="1" customHeight="1" x14ac:dyDescent="0.25">
      <c r="A838" s="60" t="str">
        <f>UPPER(LEFT(Table2[[#This Row],[Contraente]],1))</f>
        <v>P</v>
      </c>
      <c r="B838" s="60" t="s">
        <v>1634</v>
      </c>
      <c r="C838" s="81" t="s">
        <v>892</v>
      </c>
      <c r="D838" s="81" t="s">
        <v>37</v>
      </c>
      <c r="E838" s="86">
        <v>104502477</v>
      </c>
      <c r="F838" s="64">
        <v>42368</v>
      </c>
      <c r="G838" s="64">
        <f>IFERROR(CALCOLASCADENZA(Table2[[#This Row],[Data attivazione]],Table2[[#This Row],[Rateizzazione]],Table2[[#This Row],[Data ultimo pagamento]],Table2[[#This Row],[Data prossima scadenza manuale]]),"-")</f>
        <v>42368</v>
      </c>
      <c r="H838" s="67" t="s">
        <v>31</v>
      </c>
      <c r="I838" s="67" t="s">
        <v>1476</v>
      </c>
      <c r="J838" s="33">
        <v>-35.35</v>
      </c>
      <c r="K838" s="88"/>
      <c r="L838" s="88">
        <v>0</v>
      </c>
      <c r="M838" s="67" t="s">
        <v>43</v>
      </c>
      <c r="N838" s="67" t="s">
        <v>52</v>
      </c>
      <c r="O838" s="27" t="s">
        <v>1631</v>
      </c>
      <c r="P838" s="33" t="s">
        <v>24</v>
      </c>
      <c r="Q83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8" s="67" t="s">
        <v>2</v>
      </c>
      <c r="V838" s="62"/>
      <c r="W838" s="64">
        <v>42165</v>
      </c>
      <c r="X838" s="29">
        <f>DATE(YEAR(Table2[[#This Row],[Data attivazione]])+VLOOKUP(Table2[[#This Row],[Durata]],VALORE_DURATA,2,FALSE),MONTH(Table2[[#This Row],[Data attivazione]]),DAY(Table2[[#This Row],[Data attivazione]]))</f>
        <v>42531</v>
      </c>
      <c r="Y838" s="65"/>
      <c r="Z838" s="61"/>
      <c r="AA838" s="64" t="s">
        <v>88</v>
      </c>
      <c r="AB838" s="29" t="str">
        <f>IF(Table2[[#This Row],[Data ultimo versamento temp]]=0/1/1900,"-",Table2[[#This Row],[Data ultimo versamento temp]])</f>
        <v>-</v>
      </c>
      <c r="AC838" s="29">
        <f t="array" ref="AC838">MAX(IF(TableVersamenti[Polizza]=Table2[[#This Row],[Polizza]],TableVersamenti[Data prevista versamento],"-"))</f>
        <v>0</v>
      </c>
      <c r="AD838" s="62"/>
      <c r="AE838" s="106">
        <f>DATE(YEAR(Table2[[#This Row],[Data ultimo pagamento]]),MONTH(Table2[[#This Row],[Data ultimo pagamento]]), 1)</f>
        <v>42339</v>
      </c>
      <c r="AF838" s="106">
        <f>DATE(YEAR(Table2[[#This Row],[Data prossima scadenza]]),MONTH(Table2[[#This Row],[Data prossima scadenza]]), 1)</f>
        <v>42339</v>
      </c>
      <c r="AG838" s="33">
        <f>IFERROR(Table2[[#This Row],[Importo annuale]]*VLOOKUP(Table2[[#This Row],[Ramo]],RAMI_POLIZZA,2,FALSE),0)</f>
        <v>0</v>
      </c>
      <c r="AH838" s="65" t="s">
        <v>113</v>
      </c>
      <c r="AI838" s="63" t="str">
        <f>IFERROR(VLOOKUP(Table2[[#This Row],[Contraente]],Table1[[Nome/Ragione sociale]:[Checkbox selezionato]],2,FALSE),"-")</f>
        <v>GENZONE</v>
      </c>
      <c r="AJ838" s="63">
        <f>IFERROR(VLOOKUP(Table2[[#This Row],[Contraente]],Table1[[Nome/Ragione sociale]:[Checkbox selezionato]],3,FALSE),"-")</f>
        <v>3451234568</v>
      </c>
      <c r="AK838" s="63">
        <f>IFERROR(VLOOKUP(Table2[[#This Row],[Contraente]],Table1[[Nome/Ragione sociale]:[Checkbox selezionato]],4,FALSE),"-")</f>
        <v>0</v>
      </c>
      <c r="AL838" s="63" t="str">
        <f>IFERROR(VLOOKUP(Table2[[#This Row],[Contraente]],Table1[[Nome/Ragione sociale]:[Checkbox selezionato]],5,FALSE),"-")</f>
        <v>FABIO</v>
      </c>
      <c r="AM838" s="62">
        <f>IFERROR(VLOOKUP(Table2[[#This Row],[Contraente]],Table1[[Nome/Ragione sociale]:[Checkbox selezionato]],6,FALSE),"-")</f>
        <v>28909</v>
      </c>
      <c r="AN838" s="63" t="str">
        <f>IFERROR(VLOOKUP(Table2[[#This Row],[Contraente]],Table1[[Nome/Ragione sociale]:[Checkbox selezionato]],7,FALSE),"-")</f>
        <v>papies@libero.it</v>
      </c>
      <c r="AO838" s="63">
        <f>IFERROR(VLOOKUP(Table2[[#This Row],[Contraente]],Table1[[Nome/Ragione sociale]:[Checkbox selezionato]],8,FALSE),"-")</f>
        <v>0</v>
      </c>
      <c r="AP838" s="63">
        <f>IFERROR(VLOOKUP(Table2[[#This Row],[Contraente]],Table1[[Nome/Ragione sociale]:[Checkbox selezionato]],10,FALSE),"-")</f>
        <v>3451234568</v>
      </c>
      <c r="AQ838" s="63" t="str">
        <f>IFERROR(VLOOKUP(Table2[[#This Row],[Contraente]],Table1[[Nome/Ragione sociale]:[Checkbox selezionato]],11,FALSE),"-")</f>
        <v>SI</v>
      </c>
      <c r="AR838" s="63" t="str">
        <f>IFERROR(VLOOKUP(Table2[[#This Row],[Contraente]],Table1[[Nome/Ragione sociale]:[Checkbox selezionato]],12,FALSE),"-")</f>
        <v>SI</v>
      </c>
    </row>
    <row r="839" spans="1:44" ht="30" hidden="1" customHeight="1" x14ac:dyDescent="0.25">
      <c r="A839" s="60" t="str">
        <f>UPPER(LEFT(Table2[[#This Row],[Contraente]],1))</f>
        <v>P</v>
      </c>
      <c r="B839" s="60" t="s">
        <v>1634</v>
      </c>
      <c r="C839" s="81" t="s">
        <v>888</v>
      </c>
      <c r="D839" s="81" t="s">
        <v>37</v>
      </c>
      <c r="E839" s="86">
        <v>105222577</v>
      </c>
      <c r="F839" s="64">
        <v>42389</v>
      </c>
      <c r="G839" s="64">
        <f>IFERROR(CALCOLASCADENZA(Table2[[#This Row],[Data attivazione]],Table2[[#This Row],[Rateizzazione]],Table2[[#This Row],[Data ultimo pagamento]],Table2[[#This Row],[Data prossima scadenza manuale]]),"-")</f>
        <v>42755</v>
      </c>
      <c r="H839" s="67" t="s">
        <v>31</v>
      </c>
      <c r="I839" s="67" t="s">
        <v>1468</v>
      </c>
      <c r="J839" s="33">
        <f>IFERROR(Table2[[#This Row],[Importo annuale]]/(12/VLOOKUP(Table2[[#This Row],[Rateizzazione]],TIPI_RATEIZZAZIONI,2,FALSE)),"-")</f>
        <v>480</v>
      </c>
      <c r="K839" s="88"/>
      <c r="L839" s="88">
        <v>480</v>
      </c>
      <c r="M839" s="67" t="s">
        <v>45</v>
      </c>
      <c r="N839" s="67" t="s">
        <v>52</v>
      </c>
      <c r="O839" s="27" t="s">
        <v>1631</v>
      </c>
      <c r="P839" s="33" t="s">
        <v>23</v>
      </c>
      <c r="Q839" s="60">
        <f>IFERROR(IF(12 / VLOOKUP(Table2[[#This Row],[Rateizzazione]],TIPI_RATEIZZAZIONI,2,FALSE) &gt;=1,  IF(Table2[[#This Row],[Data attivazione]] = "","-",MONTH(Table2[[#This Row],[Data attivazione]])),"-"),"-")</f>
        <v>1</v>
      </c>
      <c r="R8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9" s="67" t="s">
        <v>2</v>
      </c>
      <c r="V839" s="62"/>
      <c r="W839" s="64">
        <v>42389</v>
      </c>
      <c r="X839" s="29">
        <f>DATE(YEAR(Table2[[#This Row],[Data attivazione]])+VLOOKUP(Table2[[#This Row],[Durata]],VALORE_DURATA,2,FALSE),MONTH(Table2[[#This Row],[Data attivazione]]),DAY(Table2[[#This Row],[Data attivazione]]))</f>
        <v>42755</v>
      </c>
      <c r="Y839" s="65"/>
      <c r="Z839" s="61"/>
      <c r="AA839" s="64" t="s">
        <v>88</v>
      </c>
      <c r="AB839" s="29" t="str">
        <f>IF(Table2[[#This Row],[Data ultimo versamento temp]]=0/1/1900,"-",Table2[[#This Row],[Data ultimo versamento temp]])</f>
        <v>-</v>
      </c>
      <c r="AC839" s="29">
        <f t="array" ref="AC839">MAX(IF(TableVersamenti[Polizza]=Table2[[#This Row],[Polizza]],TableVersamenti[Data prevista versamento],"-"))</f>
        <v>0</v>
      </c>
      <c r="AD839" s="62"/>
      <c r="AE839" s="106">
        <f>DATE(YEAR(Table2[[#This Row],[Data ultimo pagamento]]),MONTH(Table2[[#This Row],[Data ultimo pagamento]]), 1)</f>
        <v>42370</v>
      </c>
      <c r="AF839" s="106">
        <f>DATE(YEAR(Table2[[#This Row],[Data prossima scadenza]]),MONTH(Table2[[#This Row],[Data prossima scadenza]]), 1)</f>
        <v>42736</v>
      </c>
      <c r="AG839" s="33">
        <f>IFERROR(Table2[[#This Row],[Importo annuale]]*VLOOKUP(Table2[[#This Row],[Ramo]],RAMI_POLIZZA,2,FALSE),0)</f>
        <v>24.959999999999997</v>
      </c>
      <c r="AH839" s="65" t="s">
        <v>113</v>
      </c>
      <c r="AI839" s="63" t="str">
        <f>IFERROR(VLOOKUP(Table2[[#This Row],[Contraente]],Table1[[Nome/Ragione sociale]:[Checkbox selezionato]],2,FALSE),"-")</f>
        <v>SORESINA</v>
      </c>
      <c r="AJ839" s="63">
        <f>IFERROR(VLOOKUP(Table2[[#This Row],[Contraente]],Table1[[Nome/Ragione sociale]:[Checkbox selezionato]],3,FALSE),"-")</f>
        <v>3355341894</v>
      </c>
      <c r="AK839" s="63">
        <f>IFERROR(VLOOKUP(Table2[[#This Row],[Contraente]],Table1[[Nome/Ragione sociale]:[Checkbox selezionato]],4,FALSE),"-")</f>
        <v>0</v>
      </c>
      <c r="AL839" s="63" t="str">
        <f>IFERROR(VLOOKUP(Table2[[#This Row],[Contraente]],Table1[[Nome/Ragione sociale]:[Checkbox selezionato]],5,FALSE),"-")</f>
        <v>CEO</v>
      </c>
      <c r="AM839" s="62">
        <f>IFERROR(VLOOKUP(Table2[[#This Row],[Contraente]],Table1[[Nome/Ragione sociale]:[Checkbox selezionato]],6,FALSE),"-")</f>
        <v>21544</v>
      </c>
      <c r="AN839" s="63" t="str">
        <f>IFERROR(VLOOKUP(Table2[[#This Row],[Contraente]],Table1[[Nome/Ragione sociale]:[Checkbox selezionato]],7,FALSE),"-")</f>
        <v>papies@email.it</v>
      </c>
      <c r="AO839" s="63">
        <f>IFERROR(VLOOKUP(Table2[[#This Row],[Contraente]],Table1[[Nome/Ragione sociale]:[Checkbox selezionato]],8,FALSE),"-")</f>
        <v>0</v>
      </c>
      <c r="AP839" s="63">
        <f>IFERROR(VLOOKUP(Table2[[#This Row],[Contraente]],Table1[[Nome/Ragione sociale]:[Checkbox selezionato]],10,FALSE),"-")</f>
        <v>3355341894</v>
      </c>
      <c r="AQ839" s="63" t="str">
        <f>IFERROR(VLOOKUP(Table2[[#This Row],[Contraente]],Table1[[Nome/Ragione sociale]:[Checkbox selezionato]],11,FALSE),"-")</f>
        <v>SI</v>
      </c>
      <c r="AR839" s="63" t="str">
        <f>IFERROR(VLOOKUP(Table2[[#This Row],[Contraente]],Table1[[Nome/Ragione sociale]:[Checkbox selezionato]],12,FALSE),"-")</f>
        <v>SI</v>
      </c>
    </row>
    <row r="840" spans="1:44" ht="30" hidden="1" customHeight="1" x14ac:dyDescent="0.25">
      <c r="A840" s="60" t="str">
        <f>UPPER(LEFT(Table2[[#This Row],[Contraente]],1))</f>
        <v>P</v>
      </c>
      <c r="B840" s="60" t="s">
        <v>1634</v>
      </c>
      <c r="C840" s="81" t="s">
        <v>888</v>
      </c>
      <c r="D840" s="81" t="s">
        <v>37</v>
      </c>
      <c r="E840" s="86">
        <v>106397085</v>
      </c>
      <c r="F840" s="64">
        <v>42740</v>
      </c>
      <c r="G840" s="64">
        <f>IFERROR(CALCOLASCADENZA(Table2[[#This Row],[Data attivazione]],Table2[[#This Row],[Rateizzazione]],Table2[[#This Row],[Data ultimo pagamento]],Table2[[#This Row],[Data prossima scadenza manuale]]),"-")</f>
        <v>43100</v>
      </c>
      <c r="H840" s="67" t="s">
        <v>31</v>
      </c>
      <c r="I840" s="67" t="s">
        <v>1469</v>
      </c>
      <c r="J840" s="33">
        <f>IFERROR(Table2[[#This Row],[Importo annuale]]/(12/VLOOKUP(Table2[[#This Row],[Rateizzazione]],TIPI_RATEIZZAZIONI,2,FALSE)),"-")</f>
        <v>724</v>
      </c>
      <c r="K840" s="88">
        <v>724</v>
      </c>
      <c r="L840" s="88">
        <v>724</v>
      </c>
      <c r="M840" s="67" t="s">
        <v>45</v>
      </c>
      <c r="N840" s="67" t="s">
        <v>52</v>
      </c>
      <c r="O840" s="27" t="s">
        <v>1631</v>
      </c>
      <c r="P840" s="33" t="s">
        <v>23</v>
      </c>
      <c r="Q840" s="60">
        <f>IFERROR(IF(12 / VLOOKUP(Table2[[#This Row],[Rateizzazione]],TIPI_RATEIZZAZIONI,2,FALSE) &gt;=1,  IF(Table2[[#This Row],[Data attivazione]] = "","-",MONTH(Table2[[#This Row],[Data attivazione]])),"-"),"-")</f>
        <v>12</v>
      </c>
      <c r="R8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0" s="67" t="s">
        <v>2</v>
      </c>
      <c r="V840" s="62"/>
      <c r="W840" s="64">
        <v>42735</v>
      </c>
      <c r="X840" s="29">
        <f>DATE(YEAR(Table2[[#This Row],[Data attivazione]])+VLOOKUP(Table2[[#This Row],[Durata]],VALORE_DURATA,2,FALSE),MONTH(Table2[[#This Row],[Data attivazione]]),DAY(Table2[[#This Row],[Data attivazione]]))</f>
        <v>43100</v>
      </c>
      <c r="Y840" s="65"/>
      <c r="Z840" s="61"/>
      <c r="AA840" s="64" t="s">
        <v>85</v>
      </c>
      <c r="AB840" s="29" t="str">
        <f>IF(Table2[[#This Row],[Data ultimo versamento temp]]=0/1/1900,"-",Table2[[#This Row],[Data ultimo versamento temp]])</f>
        <v>-</v>
      </c>
      <c r="AC840" s="29">
        <f t="array" ref="AC840">MAX(IF(TableVersamenti[Polizza]=Table2[[#This Row],[Polizza]],TableVersamenti[Data prevista versamento],"-"))</f>
        <v>0</v>
      </c>
      <c r="AD840" s="62"/>
      <c r="AE840" s="106">
        <f>DATE(YEAR(Table2[[#This Row],[Data ultimo pagamento]]),MONTH(Table2[[#This Row],[Data ultimo pagamento]]), 1)</f>
        <v>42736</v>
      </c>
      <c r="AF840" s="106">
        <f>DATE(YEAR(Table2[[#This Row],[Data prossima scadenza]]),MONTH(Table2[[#This Row],[Data prossima scadenza]]), 1)</f>
        <v>43070</v>
      </c>
      <c r="AG840" s="33">
        <f>IFERROR(Table2[[#This Row],[Importo annuale]]*VLOOKUP(Table2[[#This Row],[Ramo]],RAMI_POLIZZA,2,FALSE),0)</f>
        <v>37.647999999999996</v>
      </c>
      <c r="AH840" s="65" t="s">
        <v>113</v>
      </c>
      <c r="AI840" s="63" t="str">
        <f>IFERROR(VLOOKUP(Table2[[#This Row],[Contraente]],Table1[[Nome/Ragione sociale]:[Checkbox selezionato]],2,FALSE),"-")</f>
        <v>SORESINA</v>
      </c>
      <c r="AJ840" s="63">
        <f>IFERROR(VLOOKUP(Table2[[#This Row],[Contraente]],Table1[[Nome/Ragione sociale]:[Checkbox selezionato]],3,FALSE),"-")</f>
        <v>3355341894</v>
      </c>
      <c r="AK840" s="63">
        <f>IFERROR(VLOOKUP(Table2[[#This Row],[Contraente]],Table1[[Nome/Ragione sociale]:[Checkbox selezionato]],4,FALSE),"-")</f>
        <v>0</v>
      </c>
      <c r="AL840" s="63" t="str">
        <f>IFERROR(VLOOKUP(Table2[[#This Row],[Contraente]],Table1[[Nome/Ragione sociale]:[Checkbox selezionato]],5,FALSE),"-")</f>
        <v>CEO</v>
      </c>
      <c r="AM840" s="62">
        <f>IFERROR(VLOOKUP(Table2[[#This Row],[Contraente]],Table1[[Nome/Ragione sociale]:[Checkbox selezionato]],6,FALSE),"-")</f>
        <v>21544</v>
      </c>
      <c r="AN840" s="63" t="str">
        <f>IFERROR(VLOOKUP(Table2[[#This Row],[Contraente]],Table1[[Nome/Ragione sociale]:[Checkbox selezionato]],7,FALSE),"-")</f>
        <v>papies@email.it</v>
      </c>
      <c r="AO840" s="63">
        <f>IFERROR(VLOOKUP(Table2[[#This Row],[Contraente]],Table1[[Nome/Ragione sociale]:[Checkbox selezionato]],8,FALSE),"-")</f>
        <v>0</v>
      </c>
      <c r="AP840" s="63">
        <f>IFERROR(VLOOKUP(Table2[[#This Row],[Contraente]],Table1[[Nome/Ragione sociale]:[Checkbox selezionato]],10,FALSE),"-")</f>
        <v>3355341894</v>
      </c>
      <c r="AQ840" s="63" t="str">
        <f>IFERROR(VLOOKUP(Table2[[#This Row],[Contraente]],Table1[[Nome/Ragione sociale]:[Checkbox selezionato]],11,FALSE),"-")</f>
        <v>SI</v>
      </c>
      <c r="AR840" s="63" t="str">
        <f>IFERROR(VLOOKUP(Table2[[#This Row],[Contraente]],Table1[[Nome/Ragione sociale]:[Checkbox selezionato]],12,FALSE),"-")</f>
        <v>SI</v>
      </c>
    </row>
    <row r="841" spans="1:44" ht="30" hidden="1" customHeight="1" x14ac:dyDescent="0.25">
      <c r="A841" s="60" t="str">
        <f>UPPER(LEFT(Table2[[#This Row],[Contraente]],1))</f>
        <v>P</v>
      </c>
      <c r="B841" s="60" t="s">
        <v>1634</v>
      </c>
      <c r="C841" s="81" t="s">
        <v>888</v>
      </c>
      <c r="D841" s="81" t="s">
        <v>37</v>
      </c>
      <c r="E841" s="86">
        <v>106397054</v>
      </c>
      <c r="F841" s="64">
        <v>42740</v>
      </c>
      <c r="G841" s="64">
        <f>IFERROR(CALCOLASCADENZA(Table2[[#This Row],[Data attivazione]],Table2[[#This Row],[Rateizzazione]],Table2[[#This Row],[Data ultimo pagamento]],Table2[[#This Row],[Data prossima scadenza manuale]]),"-")</f>
        <v>43100</v>
      </c>
      <c r="H841" s="67" t="s">
        <v>31</v>
      </c>
      <c r="I841" s="67" t="s">
        <v>1470</v>
      </c>
      <c r="J841" s="33">
        <f>IFERROR(Table2[[#This Row],[Importo annuale]]/(12/VLOOKUP(Table2[[#This Row],[Rateizzazione]],TIPI_RATEIZZAZIONI,2,FALSE)),"-")</f>
        <v>330</v>
      </c>
      <c r="K841" s="88">
        <v>330</v>
      </c>
      <c r="L841" s="88">
        <v>330</v>
      </c>
      <c r="M841" s="67" t="s">
        <v>45</v>
      </c>
      <c r="N841" s="67" t="s">
        <v>52</v>
      </c>
      <c r="O841" s="27" t="s">
        <v>1631</v>
      </c>
      <c r="P841" s="33" t="s">
        <v>23</v>
      </c>
      <c r="Q841" s="60">
        <f>IFERROR(IF(12 / VLOOKUP(Table2[[#This Row],[Rateizzazione]],TIPI_RATEIZZAZIONI,2,FALSE) &gt;=1,  IF(Table2[[#This Row],[Data attivazione]] = "","-",MONTH(Table2[[#This Row],[Data attivazione]])),"-"),"-")</f>
        <v>12</v>
      </c>
      <c r="R8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1" s="67" t="s">
        <v>2</v>
      </c>
      <c r="V841" s="62"/>
      <c r="W841" s="64">
        <v>42735</v>
      </c>
      <c r="X841" s="29">
        <f>DATE(YEAR(Table2[[#This Row],[Data attivazione]])+VLOOKUP(Table2[[#This Row],[Durata]],VALORE_DURATA,2,FALSE),MONTH(Table2[[#This Row],[Data attivazione]]),DAY(Table2[[#This Row],[Data attivazione]]))</f>
        <v>43100</v>
      </c>
      <c r="Y841" s="65"/>
      <c r="Z841" s="61"/>
      <c r="AA841" s="64" t="s">
        <v>85</v>
      </c>
      <c r="AB841" s="29" t="str">
        <f>IF(Table2[[#This Row],[Data ultimo versamento temp]]=0/1/1900,"-",Table2[[#This Row],[Data ultimo versamento temp]])</f>
        <v>-</v>
      </c>
      <c r="AC841" s="29">
        <f t="array" ref="AC841">MAX(IF(TableVersamenti[Polizza]=Table2[[#This Row],[Polizza]],TableVersamenti[Data prevista versamento],"-"))</f>
        <v>0</v>
      </c>
      <c r="AD841" s="62"/>
      <c r="AE841" s="106">
        <f>DATE(YEAR(Table2[[#This Row],[Data ultimo pagamento]]),MONTH(Table2[[#This Row],[Data ultimo pagamento]]), 1)</f>
        <v>42736</v>
      </c>
      <c r="AF841" s="106">
        <f>DATE(YEAR(Table2[[#This Row],[Data prossima scadenza]]),MONTH(Table2[[#This Row],[Data prossima scadenza]]), 1)</f>
        <v>43070</v>
      </c>
      <c r="AG841" s="33">
        <f>IFERROR(Table2[[#This Row],[Importo annuale]]*VLOOKUP(Table2[[#This Row],[Ramo]],RAMI_POLIZZA,2,FALSE),0)</f>
        <v>17.16</v>
      </c>
      <c r="AH841" s="65" t="s">
        <v>113</v>
      </c>
      <c r="AI841" s="63" t="str">
        <f>IFERROR(VLOOKUP(Table2[[#This Row],[Contraente]],Table1[[Nome/Ragione sociale]:[Checkbox selezionato]],2,FALSE),"-")</f>
        <v>SORESINA</v>
      </c>
      <c r="AJ841" s="63">
        <f>IFERROR(VLOOKUP(Table2[[#This Row],[Contraente]],Table1[[Nome/Ragione sociale]:[Checkbox selezionato]],3,FALSE),"-")</f>
        <v>3355341894</v>
      </c>
      <c r="AK841" s="63">
        <f>IFERROR(VLOOKUP(Table2[[#This Row],[Contraente]],Table1[[Nome/Ragione sociale]:[Checkbox selezionato]],4,FALSE),"-")</f>
        <v>0</v>
      </c>
      <c r="AL841" s="63" t="str">
        <f>IFERROR(VLOOKUP(Table2[[#This Row],[Contraente]],Table1[[Nome/Ragione sociale]:[Checkbox selezionato]],5,FALSE),"-")</f>
        <v>CEO</v>
      </c>
      <c r="AM841" s="62">
        <f>IFERROR(VLOOKUP(Table2[[#This Row],[Contraente]],Table1[[Nome/Ragione sociale]:[Checkbox selezionato]],6,FALSE),"-")</f>
        <v>21544</v>
      </c>
      <c r="AN841" s="63" t="str">
        <f>IFERROR(VLOOKUP(Table2[[#This Row],[Contraente]],Table1[[Nome/Ragione sociale]:[Checkbox selezionato]],7,FALSE),"-")</f>
        <v>papies@email.it</v>
      </c>
      <c r="AO841" s="63">
        <f>IFERROR(VLOOKUP(Table2[[#This Row],[Contraente]],Table1[[Nome/Ragione sociale]:[Checkbox selezionato]],8,FALSE),"-")</f>
        <v>0</v>
      </c>
      <c r="AP841" s="63">
        <f>IFERROR(VLOOKUP(Table2[[#This Row],[Contraente]],Table1[[Nome/Ragione sociale]:[Checkbox selezionato]],10,FALSE),"-")</f>
        <v>3355341894</v>
      </c>
      <c r="AQ841" s="63" t="str">
        <f>IFERROR(VLOOKUP(Table2[[#This Row],[Contraente]],Table1[[Nome/Ragione sociale]:[Checkbox selezionato]],11,FALSE),"-")</f>
        <v>SI</v>
      </c>
      <c r="AR841" s="63" t="str">
        <f>IFERROR(VLOOKUP(Table2[[#This Row],[Contraente]],Table1[[Nome/Ragione sociale]:[Checkbox selezionato]],12,FALSE),"-")</f>
        <v>SI</v>
      </c>
    </row>
    <row r="842" spans="1:44" ht="30" hidden="1" customHeight="1" x14ac:dyDescent="0.25">
      <c r="A842" s="60" t="str">
        <f>UPPER(LEFT(Table2[[#This Row],[Contraente]],1))</f>
        <v>P</v>
      </c>
      <c r="B842" s="60" t="s">
        <v>1634</v>
      </c>
      <c r="C842" s="81" t="s">
        <v>888</v>
      </c>
      <c r="D842" s="81" t="s">
        <v>37</v>
      </c>
      <c r="E842" s="86">
        <v>106756005</v>
      </c>
      <c r="F842" s="64">
        <v>42846</v>
      </c>
      <c r="G842" s="64">
        <f>IFERROR(CALCOLASCADENZA(Table2[[#This Row],[Data attivazione]],Table2[[#This Row],[Rateizzazione]],Table2[[#This Row],[Data ultimo pagamento]],Table2[[#This Row],[Data prossima scadenza manuale]]),"-")</f>
        <v>43200</v>
      </c>
      <c r="H842" s="67" t="s">
        <v>31</v>
      </c>
      <c r="I842" s="67" t="s">
        <v>1471</v>
      </c>
      <c r="J842" s="33">
        <f>IFERROR(Table2[[#This Row],[Importo annuale]]/(12/VLOOKUP(Table2[[#This Row],[Rateizzazione]],TIPI_RATEIZZAZIONI,2,FALSE)),"-")</f>
        <v>584</v>
      </c>
      <c r="K842" s="88">
        <v>584</v>
      </c>
      <c r="L842" s="88">
        <v>584</v>
      </c>
      <c r="M842" s="67" t="s">
        <v>45</v>
      </c>
      <c r="N842" s="67" t="s">
        <v>51</v>
      </c>
      <c r="O842" s="27" t="s">
        <v>1631</v>
      </c>
      <c r="P842" s="33" t="s">
        <v>23</v>
      </c>
      <c r="Q842" s="60">
        <f>IFERROR(IF(12 / VLOOKUP(Table2[[#This Row],[Rateizzazione]],TIPI_RATEIZZAZIONI,2,FALSE) &gt;=1,  IF(Table2[[#This Row],[Data attivazione]] = "","-",MONTH(Table2[[#This Row],[Data attivazione]])),"-"),"-")</f>
        <v>4</v>
      </c>
      <c r="R8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2" s="67" t="s">
        <v>2</v>
      </c>
      <c r="V842" s="62"/>
      <c r="W842" s="64">
        <v>42835</v>
      </c>
      <c r="X842" s="29">
        <f>DATE(YEAR(Table2[[#This Row],[Data attivazione]])+VLOOKUP(Table2[[#This Row],[Durata]],VALORE_DURATA,2,FALSE),MONTH(Table2[[#This Row],[Data attivazione]]),DAY(Table2[[#This Row],[Data attivazione]]))</f>
        <v>43200</v>
      </c>
      <c r="Y842" s="65"/>
      <c r="Z842" s="61"/>
      <c r="AA842" s="64" t="s">
        <v>85</v>
      </c>
      <c r="AB842" s="29" t="str">
        <f>IF(Table2[[#This Row],[Data ultimo versamento temp]]=0/1/1900,"-",Table2[[#This Row],[Data ultimo versamento temp]])</f>
        <v>-</v>
      </c>
      <c r="AC842" s="29">
        <f t="array" ref="AC842">MAX(IF(TableVersamenti[Polizza]=Table2[[#This Row],[Polizza]],TableVersamenti[Data prevista versamento],"-"))</f>
        <v>0</v>
      </c>
      <c r="AD842" s="62"/>
      <c r="AE842" s="106">
        <f>DATE(YEAR(Table2[[#This Row],[Data ultimo pagamento]]),MONTH(Table2[[#This Row],[Data ultimo pagamento]]), 1)</f>
        <v>42826</v>
      </c>
      <c r="AF842" s="106">
        <f>DATE(YEAR(Table2[[#This Row],[Data prossima scadenza]]),MONTH(Table2[[#This Row],[Data prossima scadenza]]), 1)</f>
        <v>43191</v>
      </c>
      <c r="AG842" s="33">
        <f>IFERROR(Table2[[#This Row],[Importo annuale]]*VLOOKUP(Table2[[#This Row],[Ramo]],RAMI_POLIZZA,2,FALSE),0)</f>
        <v>30.367999999999999</v>
      </c>
      <c r="AH842" s="65" t="s">
        <v>113</v>
      </c>
      <c r="AI842" s="63" t="str">
        <f>IFERROR(VLOOKUP(Table2[[#This Row],[Contraente]],Table1[[Nome/Ragione sociale]:[Checkbox selezionato]],2,FALSE),"-")</f>
        <v>SORESINA</v>
      </c>
      <c r="AJ842" s="63">
        <f>IFERROR(VLOOKUP(Table2[[#This Row],[Contraente]],Table1[[Nome/Ragione sociale]:[Checkbox selezionato]],3,FALSE),"-")</f>
        <v>3355341894</v>
      </c>
      <c r="AK842" s="63">
        <f>IFERROR(VLOOKUP(Table2[[#This Row],[Contraente]],Table1[[Nome/Ragione sociale]:[Checkbox selezionato]],4,FALSE),"-")</f>
        <v>0</v>
      </c>
      <c r="AL842" s="63" t="str">
        <f>IFERROR(VLOOKUP(Table2[[#This Row],[Contraente]],Table1[[Nome/Ragione sociale]:[Checkbox selezionato]],5,FALSE),"-")</f>
        <v>CEO</v>
      </c>
      <c r="AM842" s="62">
        <f>IFERROR(VLOOKUP(Table2[[#This Row],[Contraente]],Table1[[Nome/Ragione sociale]:[Checkbox selezionato]],6,FALSE),"-")</f>
        <v>21544</v>
      </c>
      <c r="AN842" s="63" t="str">
        <f>IFERROR(VLOOKUP(Table2[[#This Row],[Contraente]],Table1[[Nome/Ragione sociale]:[Checkbox selezionato]],7,FALSE),"-")</f>
        <v>papies@email.it</v>
      </c>
      <c r="AO842" s="63">
        <f>IFERROR(VLOOKUP(Table2[[#This Row],[Contraente]],Table1[[Nome/Ragione sociale]:[Checkbox selezionato]],8,FALSE),"-")</f>
        <v>0</v>
      </c>
      <c r="AP842" s="63">
        <f>IFERROR(VLOOKUP(Table2[[#This Row],[Contraente]],Table1[[Nome/Ragione sociale]:[Checkbox selezionato]],10,FALSE),"-")</f>
        <v>3355341894</v>
      </c>
      <c r="AQ842" s="63" t="str">
        <f>IFERROR(VLOOKUP(Table2[[#This Row],[Contraente]],Table1[[Nome/Ragione sociale]:[Checkbox selezionato]],11,FALSE),"-")</f>
        <v>SI</v>
      </c>
      <c r="AR842" s="63" t="str">
        <f>IFERROR(VLOOKUP(Table2[[#This Row],[Contraente]],Table1[[Nome/Ragione sociale]:[Checkbox selezionato]],12,FALSE),"-")</f>
        <v>SI</v>
      </c>
    </row>
    <row r="843" spans="1:44" ht="30" hidden="1" customHeight="1" x14ac:dyDescent="0.25">
      <c r="A843" s="60" t="str">
        <f>UPPER(LEFT(Table2[[#This Row],[Contraente]],1))</f>
        <v>P</v>
      </c>
      <c r="B843" s="60" t="s">
        <v>1634</v>
      </c>
      <c r="C843" s="81" t="s">
        <v>888</v>
      </c>
      <c r="D843" s="81" t="s">
        <v>38</v>
      </c>
      <c r="E843" s="86">
        <v>7000063009</v>
      </c>
      <c r="F843" s="64">
        <v>42846</v>
      </c>
      <c r="G843" s="64">
        <f>IFERROR(CALCOLASCADENZA(Table2[[#This Row],[Data attivazione]],Table2[[#This Row],[Rateizzazione]],Table2[[#This Row],[Data ultimo pagamento]],Table2[[#This Row],[Data prossima scadenza manuale]]),"-")</f>
        <v>43205</v>
      </c>
      <c r="H843" s="67" t="s">
        <v>1628</v>
      </c>
      <c r="I843" s="67" t="s">
        <v>113</v>
      </c>
      <c r="J843" s="33">
        <f>IFERROR(Table2[[#This Row],[Importo annuale]]/(12/VLOOKUP(Table2[[#This Row],[Rateizzazione]],TIPI_RATEIZZAZIONI,2,FALSE)),"-")</f>
        <v>146</v>
      </c>
      <c r="K843" s="88">
        <v>146</v>
      </c>
      <c r="L843" s="88">
        <v>146</v>
      </c>
      <c r="M843" s="67" t="s">
        <v>45</v>
      </c>
      <c r="N843" s="67" t="s">
        <v>51</v>
      </c>
      <c r="O843" s="27" t="s">
        <v>1631</v>
      </c>
      <c r="P843" s="33" t="s">
        <v>23</v>
      </c>
      <c r="Q843" s="60">
        <f>IFERROR(IF(12 / VLOOKUP(Table2[[#This Row],[Rateizzazione]],TIPI_RATEIZZAZIONI,2,FALSE) &gt;=1,  IF(Table2[[#This Row],[Data attivazione]] = "","-",MONTH(Table2[[#This Row],[Data attivazione]])),"-"),"-")</f>
        <v>4</v>
      </c>
      <c r="R8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3" s="67" t="s">
        <v>2</v>
      </c>
      <c r="V843" s="62"/>
      <c r="W843" s="64">
        <v>42840</v>
      </c>
      <c r="X843" s="29">
        <f>DATE(YEAR(Table2[[#This Row],[Data attivazione]])+VLOOKUP(Table2[[#This Row],[Durata]],VALORE_DURATA,2,FALSE),MONTH(Table2[[#This Row],[Data attivazione]]),DAY(Table2[[#This Row],[Data attivazione]]))</f>
        <v>43205</v>
      </c>
      <c r="Y843" s="65"/>
      <c r="Z843" s="61"/>
      <c r="AA843" s="64" t="s">
        <v>85</v>
      </c>
      <c r="AB843" s="29" t="str">
        <f>IF(Table2[[#This Row],[Data ultimo versamento temp]]=0/1/1900,"-",Table2[[#This Row],[Data ultimo versamento temp]])</f>
        <v>-</v>
      </c>
      <c r="AC843" s="29">
        <f t="array" ref="AC843">MAX(IF(TableVersamenti[Polizza]=Table2[[#This Row],[Polizza]],TableVersamenti[Data prevista versamento],"-"))</f>
        <v>0</v>
      </c>
      <c r="AD843" s="62"/>
      <c r="AE843" s="106">
        <f>DATE(YEAR(Table2[[#This Row],[Data ultimo pagamento]]),MONTH(Table2[[#This Row],[Data ultimo pagamento]]), 1)</f>
        <v>42826</v>
      </c>
      <c r="AF843" s="106">
        <f>DATE(YEAR(Table2[[#This Row],[Data prossima scadenza]]),MONTH(Table2[[#This Row],[Data prossima scadenza]]), 1)</f>
        <v>43191</v>
      </c>
      <c r="AG843" s="33">
        <f>IFERROR(Table2[[#This Row],[Importo annuale]]*VLOOKUP(Table2[[#This Row],[Ramo]],RAMI_POLIZZA,2,FALSE),0)</f>
        <v>0</v>
      </c>
      <c r="AH843" s="65" t="s">
        <v>113</v>
      </c>
      <c r="AI843" s="63" t="str">
        <f>IFERROR(VLOOKUP(Table2[[#This Row],[Contraente]],Table1[[Nome/Ragione sociale]:[Checkbox selezionato]],2,FALSE),"-")</f>
        <v>SORESINA</v>
      </c>
      <c r="AJ843" s="63">
        <f>IFERROR(VLOOKUP(Table2[[#This Row],[Contraente]],Table1[[Nome/Ragione sociale]:[Checkbox selezionato]],3,FALSE),"-")</f>
        <v>3355341894</v>
      </c>
      <c r="AK843" s="63">
        <f>IFERROR(VLOOKUP(Table2[[#This Row],[Contraente]],Table1[[Nome/Ragione sociale]:[Checkbox selezionato]],4,FALSE),"-")</f>
        <v>0</v>
      </c>
      <c r="AL843" s="63" t="str">
        <f>IFERROR(VLOOKUP(Table2[[#This Row],[Contraente]],Table1[[Nome/Ragione sociale]:[Checkbox selezionato]],5,FALSE),"-")</f>
        <v>CEO</v>
      </c>
      <c r="AM843" s="62">
        <f>IFERROR(VLOOKUP(Table2[[#This Row],[Contraente]],Table1[[Nome/Ragione sociale]:[Checkbox selezionato]],6,FALSE),"-")</f>
        <v>21544</v>
      </c>
      <c r="AN843" s="63" t="str">
        <f>IFERROR(VLOOKUP(Table2[[#This Row],[Contraente]],Table1[[Nome/Ragione sociale]:[Checkbox selezionato]],7,FALSE),"-")</f>
        <v>papies@email.it</v>
      </c>
      <c r="AO843" s="63">
        <f>IFERROR(VLOOKUP(Table2[[#This Row],[Contraente]],Table1[[Nome/Ragione sociale]:[Checkbox selezionato]],8,FALSE),"-")</f>
        <v>0</v>
      </c>
      <c r="AP843" s="63">
        <f>IFERROR(VLOOKUP(Table2[[#This Row],[Contraente]],Table1[[Nome/Ragione sociale]:[Checkbox selezionato]],10,FALSE),"-")</f>
        <v>3355341894</v>
      </c>
      <c r="AQ843" s="63" t="str">
        <f>IFERROR(VLOOKUP(Table2[[#This Row],[Contraente]],Table1[[Nome/Ragione sociale]:[Checkbox selezionato]],11,FALSE),"-")</f>
        <v>SI</v>
      </c>
      <c r="AR843" s="63" t="str">
        <f>IFERROR(VLOOKUP(Table2[[#This Row],[Contraente]],Table1[[Nome/Ragione sociale]:[Checkbox selezionato]],12,FALSE),"-")</f>
        <v>SI</v>
      </c>
    </row>
    <row r="844" spans="1:44" ht="30" hidden="1" customHeight="1" x14ac:dyDescent="0.25">
      <c r="A844" s="60" t="str">
        <f>UPPER(LEFT(Table2[[#This Row],[Contraente]],1))</f>
        <v>P</v>
      </c>
      <c r="B844" s="60" t="s">
        <v>1634</v>
      </c>
      <c r="C844" s="81" t="s">
        <v>888</v>
      </c>
      <c r="D844" s="81" t="s">
        <v>37</v>
      </c>
      <c r="E844" s="86">
        <v>106755954</v>
      </c>
      <c r="F844" s="64">
        <v>42846</v>
      </c>
      <c r="G844" s="64">
        <f>IFERROR(CALCOLASCADENZA(Table2[[#This Row],[Data attivazione]],Table2[[#This Row],[Rateizzazione]],Table2[[#This Row],[Data ultimo pagamento]],Table2[[#This Row],[Data prossima scadenza manuale]]),"-")</f>
        <v>43200</v>
      </c>
      <c r="H844" s="67" t="s">
        <v>30</v>
      </c>
      <c r="I844" s="67" t="s">
        <v>113</v>
      </c>
      <c r="J844" s="33">
        <f>IFERROR(Table2[[#This Row],[Importo annuale]]/(12/VLOOKUP(Table2[[#This Row],[Rateizzazione]],TIPI_RATEIZZAZIONI,2,FALSE)),"-")</f>
        <v>220</v>
      </c>
      <c r="K844" s="88">
        <v>220</v>
      </c>
      <c r="L844" s="88">
        <v>220</v>
      </c>
      <c r="M844" s="67" t="s">
        <v>45</v>
      </c>
      <c r="N844" s="67" t="s">
        <v>51</v>
      </c>
      <c r="O844" s="27" t="s">
        <v>1631</v>
      </c>
      <c r="P844" s="33" t="s">
        <v>23</v>
      </c>
      <c r="Q844" s="60">
        <f>IFERROR(IF(12 / VLOOKUP(Table2[[#This Row],[Rateizzazione]],TIPI_RATEIZZAZIONI,2,FALSE) &gt;=1,  IF(Table2[[#This Row],[Data attivazione]] = "","-",MONTH(Table2[[#This Row],[Data attivazione]])),"-"),"-")</f>
        <v>4</v>
      </c>
      <c r="R8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4" s="67" t="s">
        <v>2</v>
      </c>
      <c r="V844" s="62"/>
      <c r="W844" s="64">
        <v>42835</v>
      </c>
      <c r="X844" s="29">
        <f>DATE(YEAR(Table2[[#This Row],[Data attivazione]])+VLOOKUP(Table2[[#This Row],[Durata]],VALORE_DURATA,2,FALSE),MONTH(Table2[[#This Row],[Data attivazione]]),DAY(Table2[[#This Row],[Data attivazione]]))</f>
        <v>43200</v>
      </c>
      <c r="Y844" s="65"/>
      <c r="Z844" s="61"/>
      <c r="AA844" s="64" t="s">
        <v>85</v>
      </c>
      <c r="AB844" s="29" t="str">
        <f>IF(Table2[[#This Row],[Data ultimo versamento temp]]=0/1/1900,"-",Table2[[#This Row],[Data ultimo versamento temp]])</f>
        <v>-</v>
      </c>
      <c r="AC844" s="29">
        <f t="array" ref="AC844">MAX(IF(TableVersamenti[Polizza]=Table2[[#This Row],[Polizza]],TableVersamenti[Data prevista versamento],"-"))</f>
        <v>0</v>
      </c>
      <c r="AD844" s="62"/>
      <c r="AE844" s="106">
        <f>DATE(YEAR(Table2[[#This Row],[Data ultimo pagamento]]),MONTH(Table2[[#This Row],[Data ultimo pagamento]]), 1)</f>
        <v>42826</v>
      </c>
      <c r="AF844" s="106">
        <f>DATE(YEAR(Table2[[#This Row],[Data prossima scadenza]]),MONTH(Table2[[#This Row],[Data prossima scadenza]]), 1)</f>
        <v>43191</v>
      </c>
      <c r="AG844" s="33">
        <f>IFERROR(Table2[[#This Row],[Importo annuale]]*VLOOKUP(Table2[[#This Row],[Ramo]],RAMI_POLIZZA,2,FALSE),0)</f>
        <v>25.3</v>
      </c>
      <c r="AH844" s="65" t="s">
        <v>113</v>
      </c>
      <c r="AI844" s="63" t="str">
        <f>IFERROR(VLOOKUP(Table2[[#This Row],[Contraente]],Table1[[Nome/Ragione sociale]:[Checkbox selezionato]],2,FALSE),"-")</f>
        <v>SORESINA</v>
      </c>
      <c r="AJ844" s="63">
        <f>IFERROR(VLOOKUP(Table2[[#This Row],[Contraente]],Table1[[Nome/Ragione sociale]:[Checkbox selezionato]],3,FALSE),"-")</f>
        <v>3355341894</v>
      </c>
      <c r="AK844" s="63">
        <f>IFERROR(VLOOKUP(Table2[[#This Row],[Contraente]],Table1[[Nome/Ragione sociale]:[Checkbox selezionato]],4,FALSE),"-")</f>
        <v>0</v>
      </c>
      <c r="AL844" s="63" t="str">
        <f>IFERROR(VLOOKUP(Table2[[#This Row],[Contraente]],Table1[[Nome/Ragione sociale]:[Checkbox selezionato]],5,FALSE),"-")</f>
        <v>CEO</v>
      </c>
      <c r="AM844" s="62">
        <f>IFERROR(VLOOKUP(Table2[[#This Row],[Contraente]],Table1[[Nome/Ragione sociale]:[Checkbox selezionato]],6,FALSE),"-")</f>
        <v>21544</v>
      </c>
      <c r="AN844" s="63" t="str">
        <f>IFERROR(VLOOKUP(Table2[[#This Row],[Contraente]],Table1[[Nome/Ragione sociale]:[Checkbox selezionato]],7,FALSE),"-")</f>
        <v>papies@email.it</v>
      </c>
      <c r="AO844" s="63">
        <f>IFERROR(VLOOKUP(Table2[[#This Row],[Contraente]],Table1[[Nome/Ragione sociale]:[Checkbox selezionato]],8,FALSE),"-")</f>
        <v>0</v>
      </c>
      <c r="AP844" s="63">
        <f>IFERROR(VLOOKUP(Table2[[#This Row],[Contraente]],Table1[[Nome/Ragione sociale]:[Checkbox selezionato]],10,FALSE),"-")</f>
        <v>3355341894</v>
      </c>
      <c r="AQ844" s="63" t="str">
        <f>IFERROR(VLOOKUP(Table2[[#This Row],[Contraente]],Table1[[Nome/Ragione sociale]:[Checkbox selezionato]],11,FALSE),"-")</f>
        <v>SI</v>
      </c>
      <c r="AR844" s="63" t="str">
        <f>IFERROR(VLOOKUP(Table2[[#This Row],[Contraente]],Table1[[Nome/Ragione sociale]:[Checkbox selezionato]],12,FALSE),"-")</f>
        <v>SI</v>
      </c>
    </row>
    <row r="845" spans="1:44" ht="30" hidden="1" customHeight="1" x14ac:dyDescent="0.25">
      <c r="A845" s="60" t="str">
        <f>UPPER(LEFT(Table2[[#This Row],[Contraente]],1))</f>
        <v>P</v>
      </c>
      <c r="B845" s="60" t="s">
        <v>1634</v>
      </c>
      <c r="C845" s="81" t="s">
        <v>886</v>
      </c>
      <c r="D845" s="81" t="s">
        <v>37</v>
      </c>
      <c r="E845" s="86">
        <v>105183579</v>
      </c>
      <c r="F845" s="64">
        <v>42740</v>
      </c>
      <c r="G845" s="64">
        <f>IFERROR(CALCOLASCADENZA(Table2[[#This Row],[Data attivazione]],Table2[[#This Row],[Rateizzazione]],Table2[[#This Row],[Data ultimo pagamento]],Table2[[#This Row],[Data prossima scadenza manuale]]),"-")</f>
        <v>43100</v>
      </c>
      <c r="H845" s="67" t="s">
        <v>30</v>
      </c>
      <c r="I845" s="67" t="s">
        <v>113</v>
      </c>
      <c r="J845" s="33">
        <f>IFERROR(Table2[[#This Row],[Importo annuale]]/(12/VLOOKUP(Table2[[#This Row],[Rateizzazione]],TIPI_RATEIZZAZIONI,2,FALSE)),"-")</f>
        <v>61</v>
      </c>
      <c r="K845" s="88">
        <v>61</v>
      </c>
      <c r="L845" s="88">
        <v>61</v>
      </c>
      <c r="M845" s="67" t="s">
        <v>45</v>
      </c>
      <c r="N845" s="67" t="s">
        <v>51</v>
      </c>
      <c r="O845" s="27" t="s">
        <v>1631</v>
      </c>
      <c r="P845" s="33" t="s">
        <v>23</v>
      </c>
      <c r="Q845" s="60">
        <f>IFERROR(IF(12 / VLOOKUP(Table2[[#This Row],[Rateizzazione]],TIPI_RATEIZZAZIONI,2,FALSE) &gt;=1,  IF(Table2[[#This Row],[Data attivazione]] = "","-",MONTH(Table2[[#This Row],[Data attivazione]])),"-"),"-")</f>
        <v>12</v>
      </c>
      <c r="R8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5" s="67" t="s">
        <v>2</v>
      </c>
      <c r="V845" s="62"/>
      <c r="W845" s="64">
        <v>42735</v>
      </c>
      <c r="X845" s="29">
        <f>DATE(YEAR(Table2[[#This Row],[Data attivazione]])+VLOOKUP(Table2[[#This Row],[Durata]],VALORE_DURATA,2,FALSE),MONTH(Table2[[#This Row],[Data attivazione]]),DAY(Table2[[#This Row],[Data attivazione]]))</f>
        <v>43100</v>
      </c>
      <c r="Y845" s="65"/>
      <c r="Z845" s="61"/>
      <c r="AA845" s="64" t="s">
        <v>85</v>
      </c>
      <c r="AB845" s="29" t="str">
        <f>IF(Table2[[#This Row],[Data ultimo versamento temp]]=0/1/1900,"-",Table2[[#This Row],[Data ultimo versamento temp]])</f>
        <v>-</v>
      </c>
      <c r="AC845" s="29">
        <f t="array" ref="AC845">MAX(IF(TableVersamenti[Polizza]=Table2[[#This Row],[Polizza]],TableVersamenti[Data prevista versamento],"-"))</f>
        <v>0</v>
      </c>
      <c r="AD845" s="62"/>
      <c r="AE845" s="106">
        <f>DATE(YEAR(Table2[[#This Row],[Data ultimo pagamento]]),MONTH(Table2[[#This Row],[Data ultimo pagamento]]), 1)</f>
        <v>42736</v>
      </c>
      <c r="AF845" s="106">
        <f>DATE(YEAR(Table2[[#This Row],[Data prossima scadenza]]),MONTH(Table2[[#This Row],[Data prossima scadenza]]), 1)</f>
        <v>43070</v>
      </c>
      <c r="AG845" s="33">
        <f>IFERROR(Table2[[#This Row],[Importo annuale]]*VLOOKUP(Table2[[#This Row],[Ramo]],RAMI_POLIZZA,2,FALSE),0)</f>
        <v>7.0150000000000006</v>
      </c>
      <c r="AH845" s="65" t="s">
        <v>113</v>
      </c>
      <c r="AI845" s="63" t="str">
        <f>IFERROR(VLOOKUP(Table2[[#This Row],[Contraente]],Table1[[Nome/Ragione sociale]:[Checkbox selezionato]],2,FALSE),"-")</f>
        <v>SORESINA</v>
      </c>
      <c r="AJ845" s="63">
        <f>IFERROR(VLOOKUP(Table2[[#This Row],[Contraente]],Table1[[Nome/Ragione sociale]:[Checkbox selezionato]],3,FALSE),"-")</f>
        <v>3355341894</v>
      </c>
      <c r="AK845" s="63">
        <f>IFERROR(VLOOKUP(Table2[[#This Row],[Contraente]],Table1[[Nome/Ragione sociale]:[Checkbox selezionato]],4,FALSE),"-")</f>
        <v>0</v>
      </c>
      <c r="AL845" s="63" t="str">
        <f>IFERROR(VLOOKUP(Table2[[#This Row],[Contraente]],Table1[[Nome/Ragione sociale]:[Checkbox selezionato]],5,FALSE),"-")</f>
        <v>CEO</v>
      </c>
      <c r="AM845" s="62" t="str">
        <f>IFERROR(VLOOKUP(Table2[[#This Row],[Contraente]],Table1[[Nome/Ragione sociale]:[Checkbox selezionato]],6,FALSE),"-")</f>
        <v>-</v>
      </c>
      <c r="AN845" s="63" t="str">
        <f>IFERROR(VLOOKUP(Table2[[#This Row],[Contraente]],Table1[[Nome/Ragione sociale]:[Checkbox selezionato]],7,FALSE),"-")</f>
        <v>papies@libero.it</v>
      </c>
      <c r="AO845" s="63">
        <f>IFERROR(VLOOKUP(Table2[[#This Row],[Contraente]],Table1[[Nome/Ragione sociale]:[Checkbox selezionato]],8,FALSE),"-")</f>
        <v>0</v>
      </c>
      <c r="AP845" s="63">
        <f>IFERROR(VLOOKUP(Table2[[#This Row],[Contraente]],Table1[[Nome/Ragione sociale]:[Checkbox selezionato]],10,FALSE),"-")</f>
        <v>3355341894</v>
      </c>
      <c r="AQ845" s="63" t="str">
        <f>IFERROR(VLOOKUP(Table2[[#This Row],[Contraente]],Table1[[Nome/Ragione sociale]:[Checkbox selezionato]],11,FALSE),"-")</f>
        <v>SI</v>
      </c>
      <c r="AR845" s="63" t="str">
        <f>IFERROR(VLOOKUP(Table2[[#This Row],[Contraente]],Table1[[Nome/Ragione sociale]:[Checkbox selezionato]],12,FALSE),"-")</f>
        <v>SI</v>
      </c>
    </row>
    <row r="846" spans="1:44" ht="30" hidden="1" customHeight="1" x14ac:dyDescent="0.25">
      <c r="A846" s="60" t="str">
        <f>UPPER(LEFT(Table2[[#This Row],[Contraente]],1))</f>
        <v>P</v>
      </c>
      <c r="B846" s="60" t="s">
        <v>1634</v>
      </c>
      <c r="C846" s="81" t="s">
        <v>886</v>
      </c>
      <c r="D846" s="81" t="s">
        <v>37</v>
      </c>
      <c r="E846" s="86">
        <v>106397134</v>
      </c>
      <c r="F846" s="64">
        <v>42740</v>
      </c>
      <c r="G846" s="64">
        <f>IFERROR(CALCOLASCADENZA(Table2[[#This Row],[Data attivazione]],Table2[[#This Row],[Rateizzazione]],Table2[[#This Row],[Data ultimo pagamento]],Table2[[#This Row],[Data prossima scadenza manuale]]),"-")</f>
        <v>43100</v>
      </c>
      <c r="H846" s="67" t="s">
        <v>31</v>
      </c>
      <c r="I846" s="67" t="s">
        <v>1467</v>
      </c>
      <c r="J846" s="33">
        <f>IFERROR(Table2[[#This Row],[Importo annuale]]/(12/VLOOKUP(Table2[[#This Row],[Rateizzazione]],TIPI_RATEIZZAZIONI,2,FALSE)),"-")</f>
        <v>720</v>
      </c>
      <c r="K846" s="88">
        <v>720</v>
      </c>
      <c r="L846" s="88">
        <v>720</v>
      </c>
      <c r="M846" s="67" t="s">
        <v>45</v>
      </c>
      <c r="N846" s="67" t="s">
        <v>52</v>
      </c>
      <c r="O846" s="27" t="s">
        <v>1631</v>
      </c>
      <c r="P846" s="33" t="s">
        <v>23</v>
      </c>
      <c r="Q846" s="60">
        <f>IFERROR(IF(12 / VLOOKUP(Table2[[#This Row],[Rateizzazione]],TIPI_RATEIZZAZIONI,2,FALSE) &gt;=1,  IF(Table2[[#This Row],[Data attivazione]] = "","-",MONTH(Table2[[#This Row],[Data attivazione]])),"-"),"-")</f>
        <v>12</v>
      </c>
      <c r="R8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6" s="67" t="s">
        <v>2</v>
      </c>
      <c r="V846" s="62"/>
      <c r="W846" s="64">
        <v>42735</v>
      </c>
      <c r="X846" s="29">
        <f>DATE(YEAR(Table2[[#This Row],[Data attivazione]])+VLOOKUP(Table2[[#This Row],[Durata]],VALORE_DURATA,2,FALSE),MONTH(Table2[[#This Row],[Data attivazione]]),DAY(Table2[[#This Row],[Data attivazione]]))</f>
        <v>43100</v>
      </c>
      <c r="Y846" s="65"/>
      <c r="Z846" s="61"/>
      <c r="AA846" s="64" t="s">
        <v>85</v>
      </c>
      <c r="AB846" s="29" t="str">
        <f>IF(Table2[[#This Row],[Data ultimo versamento temp]]=0/1/1900,"-",Table2[[#This Row],[Data ultimo versamento temp]])</f>
        <v>-</v>
      </c>
      <c r="AC846" s="29">
        <f t="array" ref="AC846">MAX(IF(TableVersamenti[Polizza]=Table2[[#This Row],[Polizza]],TableVersamenti[Data prevista versamento],"-"))</f>
        <v>0</v>
      </c>
      <c r="AD846" s="62"/>
      <c r="AE846" s="106">
        <f>DATE(YEAR(Table2[[#This Row],[Data ultimo pagamento]]),MONTH(Table2[[#This Row],[Data ultimo pagamento]]), 1)</f>
        <v>42736</v>
      </c>
      <c r="AF846" s="106">
        <f>DATE(YEAR(Table2[[#This Row],[Data prossima scadenza]]),MONTH(Table2[[#This Row],[Data prossima scadenza]]), 1)</f>
        <v>43070</v>
      </c>
      <c r="AG846" s="33">
        <f>IFERROR(Table2[[#This Row],[Importo annuale]]*VLOOKUP(Table2[[#This Row],[Ramo]],RAMI_POLIZZA,2,FALSE),0)</f>
        <v>37.44</v>
      </c>
      <c r="AH846" s="65" t="s">
        <v>113</v>
      </c>
      <c r="AI846" s="63" t="str">
        <f>IFERROR(VLOOKUP(Table2[[#This Row],[Contraente]],Table1[[Nome/Ragione sociale]:[Checkbox selezionato]],2,FALSE),"-")</f>
        <v>SORESINA</v>
      </c>
      <c r="AJ846" s="63">
        <f>IFERROR(VLOOKUP(Table2[[#This Row],[Contraente]],Table1[[Nome/Ragione sociale]:[Checkbox selezionato]],3,FALSE),"-")</f>
        <v>3355341894</v>
      </c>
      <c r="AK846" s="63">
        <f>IFERROR(VLOOKUP(Table2[[#This Row],[Contraente]],Table1[[Nome/Ragione sociale]:[Checkbox selezionato]],4,FALSE),"-")</f>
        <v>0</v>
      </c>
      <c r="AL846" s="63" t="str">
        <f>IFERROR(VLOOKUP(Table2[[#This Row],[Contraente]],Table1[[Nome/Ragione sociale]:[Checkbox selezionato]],5,FALSE),"-")</f>
        <v>CEO</v>
      </c>
      <c r="AM846" s="62" t="str">
        <f>IFERROR(VLOOKUP(Table2[[#This Row],[Contraente]],Table1[[Nome/Ragione sociale]:[Checkbox selezionato]],6,FALSE),"-")</f>
        <v>-</v>
      </c>
      <c r="AN846" s="63" t="str">
        <f>IFERROR(VLOOKUP(Table2[[#This Row],[Contraente]],Table1[[Nome/Ragione sociale]:[Checkbox selezionato]],7,FALSE),"-")</f>
        <v>papies@libero.it</v>
      </c>
      <c r="AO846" s="63">
        <f>IFERROR(VLOOKUP(Table2[[#This Row],[Contraente]],Table1[[Nome/Ragione sociale]:[Checkbox selezionato]],8,FALSE),"-")</f>
        <v>0</v>
      </c>
      <c r="AP846" s="63">
        <f>IFERROR(VLOOKUP(Table2[[#This Row],[Contraente]],Table1[[Nome/Ragione sociale]:[Checkbox selezionato]],10,FALSE),"-")</f>
        <v>3355341894</v>
      </c>
      <c r="AQ846" s="63" t="str">
        <f>IFERROR(VLOOKUP(Table2[[#This Row],[Contraente]],Table1[[Nome/Ragione sociale]:[Checkbox selezionato]],11,FALSE),"-")</f>
        <v>SI</v>
      </c>
      <c r="AR846" s="63" t="str">
        <f>IFERROR(VLOOKUP(Table2[[#This Row],[Contraente]],Table1[[Nome/Ragione sociale]:[Checkbox selezionato]],12,FALSE),"-")</f>
        <v>SI</v>
      </c>
    </row>
    <row r="847" spans="1:44" ht="30" hidden="1" customHeight="1" x14ac:dyDescent="0.25">
      <c r="A847" s="60" t="str">
        <f>UPPER(LEFT(Table2[[#This Row],[Contraente]],1))</f>
        <v>P</v>
      </c>
      <c r="B847" s="60" t="s">
        <v>1634</v>
      </c>
      <c r="C847" s="81" t="s">
        <v>898</v>
      </c>
      <c r="D847" s="81" t="s">
        <v>37</v>
      </c>
      <c r="E847" s="86">
        <v>106540640</v>
      </c>
      <c r="F847" s="64">
        <v>42786</v>
      </c>
      <c r="G847" s="64">
        <f>IFERROR(CALCOLASCADENZA(Table2[[#This Row],[Data attivazione]],Table2[[#This Row],[Rateizzazione]],Table2[[#This Row],[Data ultimo pagamento]],Table2[[#This Row],[Data prossima scadenza manuale]]),"-")</f>
        <v>42959</v>
      </c>
      <c r="H847" s="67" t="s">
        <v>31</v>
      </c>
      <c r="I847" s="67" t="s">
        <v>1482</v>
      </c>
      <c r="J847" s="33">
        <f>IFERROR(Table2[[#This Row],[Importo annuale]]/(12/VLOOKUP(Table2[[#This Row],[Rateizzazione]],TIPI_RATEIZZAZIONI,2,FALSE)),"-")</f>
        <v>400</v>
      </c>
      <c r="K847" s="88">
        <v>400</v>
      </c>
      <c r="L847" s="88">
        <v>800</v>
      </c>
      <c r="M847" s="67" t="s">
        <v>43</v>
      </c>
      <c r="N847" s="67" t="s">
        <v>51</v>
      </c>
      <c r="O847" s="27" t="s">
        <v>1631</v>
      </c>
      <c r="P847" s="33" t="s">
        <v>22</v>
      </c>
      <c r="Q847" s="60">
        <f>IFERROR(IF(12 / VLOOKUP(Table2[[#This Row],[Rateizzazione]],TIPI_RATEIZZAZIONI,2,FALSE) &gt;=1,  IF(Table2[[#This Row],[Data attivazione]] = "","-",MONTH(Table2[[#This Row],[Data attivazione]])),"-"),"-")</f>
        <v>8</v>
      </c>
      <c r="R8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7" s="67" t="s">
        <v>2</v>
      </c>
      <c r="V847" s="62"/>
      <c r="W847" s="64">
        <v>42594</v>
      </c>
      <c r="X847" s="29">
        <f>DATE(YEAR(Table2[[#This Row],[Data attivazione]])+VLOOKUP(Table2[[#This Row],[Durata]],VALORE_DURATA,2,FALSE),MONTH(Table2[[#This Row],[Data attivazione]]),DAY(Table2[[#This Row],[Data attivazione]]))</f>
        <v>42959</v>
      </c>
      <c r="Y847" s="65"/>
      <c r="Z847" s="61"/>
      <c r="AA847" s="64" t="s">
        <v>85</v>
      </c>
      <c r="AB847" s="29" t="str">
        <f>IF(Table2[[#This Row],[Data ultimo versamento temp]]=0/1/1900,"-",Table2[[#This Row],[Data ultimo versamento temp]])</f>
        <v>-</v>
      </c>
      <c r="AC847" s="29">
        <f t="array" ref="AC847">MAX(IF(TableVersamenti[Polizza]=Table2[[#This Row],[Polizza]],TableVersamenti[Data prevista versamento],"-"))</f>
        <v>0</v>
      </c>
      <c r="AD847" s="62"/>
      <c r="AE847" s="106">
        <f>DATE(YEAR(Table2[[#This Row],[Data ultimo pagamento]]),MONTH(Table2[[#This Row],[Data ultimo pagamento]]), 1)</f>
        <v>42767</v>
      </c>
      <c r="AF847" s="106">
        <f>DATE(YEAR(Table2[[#This Row],[Data prossima scadenza]]),MONTH(Table2[[#This Row],[Data prossima scadenza]]), 1)</f>
        <v>42948</v>
      </c>
      <c r="AG847" s="33">
        <f>IFERROR(Table2[[#This Row],[Importo annuale]]*VLOOKUP(Table2[[#This Row],[Ramo]],RAMI_POLIZZA,2,FALSE),0)</f>
        <v>41.6</v>
      </c>
      <c r="AH847" s="65" t="s">
        <v>113</v>
      </c>
      <c r="AI847" s="63" t="str">
        <f>IFERROR(VLOOKUP(Table2[[#This Row],[Contraente]],Table1[[Nome/Ragione sociale]:[Checkbox selezionato]],2,FALSE),"-")</f>
        <v>CORTEOLONA</v>
      </c>
      <c r="AJ847" s="63">
        <f>IFERROR(VLOOKUP(Table2[[#This Row],[Contraente]],Table1[[Nome/Ragione sociale]:[Checkbox selezionato]],3,FALSE),"-")</f>
        <v>3280018061</v>
      </c>
      <c r="AK847" s="63">
        <f>IFERROR(VLOOKUP(Table2[[#This Row],[Contraente]],Table1[[Nome/Ragione sociale]:[Checkbox selezionato]],4,FALSE),"-")</f>
        <v>0</v>
      </c>
      <c r="AL847" s="63" t="str">
        <f>IFERROR(VLOOKUP(Table2[[#This Row],[Contraente]],Table1[[Nome/Ragione sociale]:[Checkbox selezionato]],5,FALSE),"-")</f>
        <v>ILARION</v>
      </c>
      <c r="AM847" s="62">
        <f>IFERROR(VLOOKUP(Table2[[#This Row],[Contraente]],Table1[[Nome/Ragione sociale]:[Checkbox selezionato]],6,FALSE),"-")</f>
        <v>24664</v>
      </c>
      <c r="AN847" s="63" t="str">
        <f>IFERROR(VLOOKUP(Table2[[#This Row],[Contraente]],Table1[[Nome/Ragione sociale]:[Checkbox selezionato]],7,FALSE),"-")</f>
        <v>papies@libero.it</v>
      </c>
      <c r="AO847" s="63">
        <f>IFERROR(VLOOKUP(Table2[[#This Row],[Contraente]],Table1[[Nome/Ragione sociale]:[Checkbox selezionato]],8,FALSE),"-")</f>
        <v>0</v>
      </c>
      <c r="AP847" s="63">
        <f>IFERROR(VLOOKUP(Table2[[#This Row],[Contraente]],Table1[[Nome/Ragione sociale]:[Checkbox selezionato]],10,FALSE),"-")</f>
        <v>3280018061</v>
      </c>
      <c r="AQ847" s="63" t="str">
        <f>IFERROR(VLOOKUP(Table2[[#This Row],[Contraente]],Table1[[Nome/Ragione sociale]:[Checkbox selezionato]],11,FALSE),"-")</f>
        <v>SI</v>
      </c>
      <c r="AR847" s="63" t="str">
        <f>IFERROR(VLOOKUP(Table2[[#This Row],[Contraente]],Table1[[Nome/Ragione sociale]:[Checkbox selezionato]],12,FALSE),"-")</f>
        <v>SI</v>
      </c>
    </row>
    <row r="848" spans="1:44" ht="30" hidden="1" customHeight="1" x14ac:dyDescent="0.25">
      <c r="A848" s="60" t="str">
        <f>UPPER(LEFT(Table2[[#This Row],[Contraente]],1))</f>
        <v>P</v>
      </c>
      <c r="B848" s="60" t="s">
        <v>1634</v>
      </c>
      <c r="C848" s="81" t="s">
        <v>1735</v>
      </c>
      <c r="D848" s="81" t="s">
        <v>37</v>
      </c>
      <c r="E848" s="86">
        <v>107014622</v>
      </c>
      <c r="F848" s="64">
        <v>42906</v>
      </c>
      <c r="G848" s="64">
        <f>IFERROR(CALCOLASCADENZA(Table2[[#This Row],[Data attivazione]],Table2[[#This Row],[Rateizzazione]],Table2[[#This Row],[Data ultimo pagamento]],Table2[[#This Row],[Data prossima scadenza manuale]]),"-")</f>
        <v>43089</v>
      </c>
      <c r="H848" s="67" t="s">
        <v>31</v>
      </c>
      <c r="I848" s="67" t="s">
        <v>1760</v>
      </c>
      <c r="J848" s="33">
        <f>IFERROR(Table2[[#This Row],[Importo annuale]]/(12/VLOOKUP(Table2[[#This Row],[Rateizzazione]],TIPI_RATEIZZAZIONI,2,FALSE)),"-")</f>
        <v>490</v>
      </c>
      <c r="K848" s="88">
        <v>490</v>
      </c>
      <c r="L848" s="88">
        <v>980</v>
      </c>
      <c r="M848" s="67" t="s">
        <v>43</v>
      </c>
      <c r="N848" s="67" t="s">
        <v>52</v>
      </c>
      <c r="O848" s="27" t="s">
        <v>1631</v>
      </c>
      <c r="P848" s="33" t="s">
        <v>22</v>
      </c>
      <c r="Q848" s="60">
        <f>IFERROR(IF(12 / VLOOKUP(Table2[[#This Row],[Rateizzazione]],TIPI_RATEIZZAZIONI,2,FALSE) &gt;=1,  IF(Table2[[#This Row],[Data attivazione]] = "","-",MONTH(Table2[[#This Row],[Data attivazione]])),"-"),"-")</f>
        <v>12</v>
      </c>
      <c r="R8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8" s="67" t="s">
        <v>2</v>
      </c>
      <c r="V848" s="62"/>
      <c r="W848" s="64">
        <v>42724</v>
      </c>
      <c r="X848" s="29">
        <f>DATE(YEAR(Table2[[#This Row],[Data attivazione]])+VLOOKUP(Table2[[#This Row],[Durata]],VALORE_DURATA,2,FALSE),MONTH(Table2[[#This Row],[Data attivazione]]),DAY(Table2[[#This Row],[Data attivazione]]))</f>
        <v>43089</v>
      </c>
      <c r="Y848" s="65"/>
      <c r="Z848" s="61"/>
      <c r="AA848" s="64" t="s">
        <v>85</v>
      </c>
      <c r="AB848" s="29" t="str">
        <f>IF(Table2[[#This Row],[Data ultimo versamento temp]]=0/1/1900,"-",Table2[[#This Row],[Data ultimo versamento temp]])</f>
        <v>-</v>
      </c>
      <c r="AC848" s="29">
        <f t="array" ref="AC848">MAX(IF(TableVersamenti[Polizza]=Table2[[#This Row],[Polizza]],TableVersamenti[Data prevista versamento],"-"))</f>
        <v>0</v>
      </c>
      <c r="AD848" s="62"/>
      <c r="AE848" s="106">
        <f>DATE(YEAR(Table2[[#This Row],[Data ultimo pagamento]]),MONTH(Table2[[#This Row],[Data ultimo pagamento]]), 1)</f>
        <v>42887</v>
      </c>
      <c r="AF848" s="106">
        <f>DATE(YEAR(Table2[[#This Row],[Data prossima scadenza]]),MONTH(Table2[[#This Row],[Data prossima scadenza]]), 1)</f>
        <v>43070</v>
      </c>
      <c r="AG848" s="33">
        <f>IFERROR(Table2[[#This Row],[Importo annuale]]*VLOOKUP(Table2[[#This Row],[Ramo]],RAMI_POLIZZA,2,FALSE),0)</f>
        <v>50.96</v>
      </c>
      <c r="AH848" s="65" t="s">
        <v>113</v>
      </c>
      <c r="AI848" s="63" t="str">
        <f>IFERROR(VLOOKUP(Table2[[#This Row],[Contraente]],Table1[[Nome/Ragione sociale]:[Checkbox selezionato]],2,FALSE),"-")</f>
        <v>CORTEOLONA</v>
      </c>
      <c r="AJ848" s="63">
        <f>IFERROR(VLOOKUP(Table2[[#This Row],[Contraente]],Table1[[Nome/Ragione sociale]:[Checkbox selezionato]],3,FALSE),"-")</f>
        <v>3280018061</v>
      </c>
      <c r="AK848" s="63">
        <f>IFERROR(VLOOKUP(Table2[[#This Row],[Contraente]],Table1[[Nome/Ragione sociale]:[Checkbox selezionato]],4,FALSE),"-")</f>
        <v>3208829057</v>
      </c>
      <c r="AL848" s="63" t="str">
        <f>IFERROR(VLOOKUP(Table2[[#This Row],[Contraente]],Table1[[Nome/Ragione sociale]:[Checkbox selezionato]],5,FALSE),"-")</f>
        <v>ILARION</v>
      </c>
      <c r="AM848" s="62">
        <f>IFERROR(VLOOKUP(Table2[[#This Row],[Contraente]],Table1[[Nome/Ragione sociale]:[Checkbox selezionato]],6,FALSE),"-")</f>
        <v>25900</v>
      </c>
      <c r="AN848" s="63" t="str">
        <f>IFERROR(VLOOKUP(Table2[[#This Row],[Contraente]],Table1[[Nome/Ragione sociale]:[Checkbox selezionato]],7,FALSE),"-")</f>
        <v>papies@email.it</v>
      </c>
      <c r="AO848" s="63">
        <f>IFERROR(VLOOKUP(Table2[[#This Row],[Contraente]],Table1[[Nome/Ragione sociale]:[Checkbox selezionato]],8,FALSE),"-")</f>
        <v>0</v>
      </c>
      <c r="AP848" s="63">
        <f>IFERROR(VLOOKUP(Table2[[#This Row],[Contraente]],Table1[[Nome/Ragione sociale]:[Checkbox selezionato]],10,FALSE),"-")</f>
        <v>3280018061</v>
      </c>
      <c r="AQ848" s="63" t="str">
        <f>IFERROR(VLOOKUP(Table2[[#This Row],[Contraente]],Table1[[Nome/Ragione sociale]:[Checkbox selezionato]],11,FALSE),"-")</f>
        <v>SI</v>
      </c>
      <c r="AR848" s="63" t="str">
        <f>IFERROR(VLOOKUP(Table2[[#This Row],[Contraente]],Table1[[Nome/Ragione sociale]:[Checkbox selezionato]],12,FALSE),"-")</f>
        <v>SI</v>
      </c>
    </row>
    <row r="849" spans="1:44" ht="30" hidden="1" customHeight="1" x14ac:dyDescent="0.25">
      <c r="A849" s="60" t="str">
        <f>UPPER(LEFT(Table2[[#This Row],[Contraente]],1))</f>
        <v>P</v>
      </c>
      <c r="B849" s="60" t="s">
        <v>1634</v>
      </c>
      <c r="C849" s="81" t="s">
        <v>897</v>
      </c>
      <c r="D849" s="81" t="s">
        <v>37</v>
      </c>
      <c r="E849" s="86">
        <v>106399942</v>
      </c>
      <c r="F849" s="64">
        <v>42934</v>
      </c>
      <c r="G849" s="64">
        <f>IFERROR(CALCOLASCADENZA(Table2[[#This Row],[Data attivazione]],Table2[[#This Row],[Rateizzazione]],Table2[[#This Row],[Data ultimo pagamento]],Table2[[#This Row],[Data prossima scadenza manuale]]),"-")</f>
        <v>43105</v>
      </c>
      <c r="H849" s="67" t="s">
        <v>31</v>
      </c>
      <c r="I849" s="67" t="s">
        <v>1481</v>
      </c>
      <c r="J849" s="33">
        <f>IFERROR(Table2[[#This Row],[Importo annuale]]/(12/VLOOKUP(Table2[[#This Row],[Rateizzazione]],TIPI_RATEIZZAZIONI,2,FALSE)),"-")</f>
        <v>829.35</v>
      </c>
      <c r="K849" s="88">
        <v>1658.7</v>
      </c>
      <c r="L849" s="88">
        <v>1658.7</v>
      </c>
      <c r="M849" s="67" t="s">
        <v>43</v>
      </c>
      <c r="N849" s="67" t="s">
        <v>52</v>
      </c>
      <c r="O849" s="27" t="s">
        <v>1631</v>
      </c>
      <c r="P849" s="33" t="s">
        <v>22</v>
      </c>
      <c r="Q849" s="60">
        <f>IFERROR(IF(12 / VLOOKUP(Table2[[#This Row],[Rateizzazione]],TIPI_RATEIZZAZIONI,2,FALSE) &gt;=1,  IF(Table2[[#This Row],[Data attivazione]] = "","-",MONTH(Table2[[#This Row],[Data attivazione]])),"-"),"-")</f>
        <v>1</v>
      </c>
      <c r="R8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9" s="67" t="s">
        <v>2</v>
      </c>
      <c r="V849" s="62"/>
      <c r="W849" s="64">
        <v>42740</v>
      </c>
      <c r="X849" s="29">
        <f>DATE(YEAR(Table2[[#This Row],[Data attivazione]])+VLOOKUP(Table2[[#This Row],[Durata]],VALORE_DURATA,2,FALSE),MONTH(Table2[[#This Row],[Data attivazione]]),DAY(Table2[[#This Row],[Data attivazione]]))</f>
        <v>43105</v>
      </c>
      <c r="Y849" s="65"/>
      <c r="Z849" s="61"/>
      <c r="AA849" s="64" t="s">
        <v>85</v>
      </c>
      <c r="AB849" s="29">
        <f>IF(Table2[[#This Row],[Data ultimo versamento temp]]=0/1/1900,"-",Table2[[#This Row],[Data ultimo versamento temp]])</f>
        <v>42937</v>
      </c>
      <c r="AC849" s="29">
        <f t="array" ref="AC849">MAX(IF(TableVersamenti[Polizza]=Table2[[#This Row],[Polizza]],TableVersamenti[Data prevista versamento],"-"))</f>
        <v>42937</v>
      </c>
      <c r="AD849" s="62"/>
      <c r="AE849" s="106">
        <f>DATE(YEAR(Table2[[#This Row],[Data ultimo pagamento]]),MONTH(Table2[[#This Row],[Data ultimo pagamento]]), 1)</f>
        <v>42917</v>
      </c>
      <c r="AF849" s="106">
        <f>DATE(YEAR(Table2[[#This Row],[Data prossima scadenza]]),MONTH(Table2[[#This Row],[Data prossima scadenza]]), 1)</f>
        <v>43101</v>
      </c>
      <c r="AG849" s="33">
        <f>IFERROR(Table2[[#This Row],[Importo annuale]]*VLOOKUP(Table2[[#This Row],[Ramo]],RAMI_POLIZZA,2,FALSE),0)</f>
        <v>86.252399999999994</v>
      </c>
      <c r="AH849" s="65" t="s">
        <v>113</v>
      </c>
      <c r="AI849" s="63" t="str">
        <f>IFERROR(VLOOKUP(Table2[[#This Row],[Contraente]],Table1[[Nome/Ragione sociale]:[Checkbox selezionato]],2,FALSE),"-")</f>
        <v>CORTEOLONA</v>
      </c>
      <c r="AJ849" s="63">
        <f>IFERROR(VLOOKUP(Table2[[#This Row],[Contraente]],Table1[[Nome/Ragione sociale]:[Checkbox selezionato]],3,FALSE),"-")</f>
        <v>3452341918</v>
      </c>
      <c r="AK849" s="63">
        <f>IFERROR(VLOOKUP(Table2[[#This Row],[Contraente]],Table1[[Nome/Ragione sociale]:[Checkbox selezionato]],4,FALSE),"-")</f>
        <v>0</v>
      </c>
      <c r="AL849" s="63" t="str">
        <f>IFERROR(VLOOKUP(Table2[[#This Row],[Contraente]],Table1[[Nome/Ragione sociale]:[Checkbox selezionato]],5,FALSE),"-")</f>
        <v>VASILE</v>
      </c>
      <c r="AM849" s="62">
        <f>IFERROR(VLOOKUP(Table2[[#This Row],[Contraente]],Table1[[Nome/Ragione sociale]:[Checkbox selezionato]],6,FALSE),"-")</f>
        <v>35488</v>
      </c>
      <c r="AN849" s="63" t="str">
        <f>IFERROR(VLOOKUP(Table2[[#This Row],[Contraente]],Table1[[Nome/Ragione sociale]:[Checkbox selezionato]],7,FALSE),"-")</f>
        <v>papies@libero.it</v>
      </c>
      <c r="AO849" s="63">
        <f>IFERROR(VLOOKUP(Table2[[#This Row],[Contraente]],Table1[[Nome/Ragione sociale]:[Checkbox selezionato]],8,FALSE),"-")</f>
        <v>0</v>
      </c>
      <c r="AP849" s="63">
        <f>IFERROR(VLOOKUP(Table2[[#This Row],[Contraente]],Table1[[Nome/Ragione sociale]:[Checkbox selezionato]],10,FALSE),"-")</f>
        <v>3452341918</v>
      </c>
      <c r="AQ849" s="63" t="str">
        <f>IFERROR(VLOOKUP(Table2[[#This Row],[Contraente]],Table1[[Nome/Ragione sociale]:[Checkbox selezionato]],11,FALSE),"-")</f>
        <v>SI</v>
      </c>
      <c r="AR849" s="63" t="str">
        <f>IFERROR(VLOOKUP(Table2[[#This Row],[Contraente]],Table1[[Nome/Ragione sociale]:[Checkbox selezionato]],12,FALSE),"-")</f>
        <v>SI</v>
      </c>
    </row>
    <row r="850" spans="1:44" ht="30" hidden="1" customHeight="1" x14ac:dyDescent="0.25">
      <c r="A850" s="60" t="str">
        <f>UPPER(LEFT(Table2[[#This Row],[Contraente]],1))</f>
        <v>P</v>
      </c>
      <c r="B850" s="60" t="s">
        <v>1634</v>
      </c>
      <c r="C850" s="81" t="s">
        <v>891</v>
      </c>
      <c r="D850" s="81" t="s">
        <v>37</v>
      </c>
      <c r="E850" s="86">
        <v>103703300</v>
      </c>
      <c r="F850" s="64">
        <v>42159</v>
      </c>
      <c r="G850" s="64">
        <f>IFERROR(CALCOLASCADENZA(Table2[[#This Row],[Data attivazione]],Table2[[#This Row],[Rateizzazione]],Table2[[#This Row],[Data ultimo pagamento]],Table2[[#This Row],[Data prossima scadenza manuale]]),"-")</f>
        <v>42159</v>
      </c>
      <c r="H850" s="67" t="s">
        <v>31</v>
      </c>
      <c r="I850" s="67" t="s">
        <v>1474</v>
      </c>
      <c r="J850" s="33">
        <v>240.02</v>
      </c>
      <c r="K850" s="88"/>
      <c r="L850" s="88">
        <v>480</v>
      </c>
      <c r="M850" s="67" t="s">
        <v>43</v>
      </c>
      <c r="N850" s="67" t="s">
        <v>52</v>
      </c>
      <c r="O850" s="27" t="s">
        <v>1631</v>
      </c>
      <c r="P850" s="33" t="s">
        <v>24</v>
      </c>
      <c r="Q8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0" s="67" t="s">
        <v>133</v>
      </c>
      <c r="V850" s="62"/>
      <c r="W850" s="64">
        <v>693597</v>
      </c>
      <c r="X850" s="29">
        <f>DATE(YEAR(Table2[[#This Row],[Data attivazione]])+VLOOKUP(Table2[[#This Row],[Durata]],VALORE_DURATA,2,FALSE),MONTH(Table2[[#This Row],[Data attivazione]]),DAY(Table2[[#This Row],[Data attivazione]]))</f>
        <v>693962</v>
      </c>
      <c r="Y850" s="65"/>
      <c r="Z850" s="61"/>
      <c r="AA850" s="64" t="s">
        <v>88</v>
      </c>
      <c r="AB850" s="29" t="str">
        <f>IF(Table2[[#This Row],[Data ultimo versamento temp]]=0/1/1900,"-",Table2[[#This Row],[Data ultimo versamento temp]])</f>
        <v>-</v>
      </c>
      <c r="AC850" s="29">
        <f t="array" ref="AC850">MAX(IF(TableVersamenti[Polizza]=Table2[[#This Row],[Polizza]],TableVersamenti[Data prevista versamento],"-"))</f>
        <v>0</v>
      </c>
      <c r="AD850" s="62"/>
      <c r="AE850" s="106">
        <f>DATE(YEAR(Table2[[#This Row],[Data ultimo pagamento]]),MONTH(Table2[[#This Row],[Data ultimo pagamento]]), 1)</f>
        <v>42156</v>
      </c>
      <c r="AF850" s="106">
        <f>DATE(YEAR(Table2[[#This Row],[Data prossima scadenza]]),MONTH(Table2[[#This Row],[Data prossima scadenza]]), 1)</f>
        <v>42156</v>
      </c>
      <c r="AG850" s="33">
        <f>IFERROR(Table2[[#This Row],[Importo annuale]]*VLOOKUP(Table2[[#This Row],[Ramo]],RAMI_POLIZZA,2,FALSE),0)</f>
        <v>24.959999999999997</v>
      </c>
      <c r="AH850" s="65" t="s">
        <v>113</v>
      </c>
      <c r="AI850" s="63">
        <f>IFERROR(VLOOKUP(Table2[[#This Row],[Contraente]],Table1[[Nome/Ragione sociale]:[Checkbox selezionato]],2,FALSE),"-")</f>
        <v>0</v>
      </c>
      <c r="AJ850" s="63" t="str">
        <f>IFERROR(VLOOKUP(Table2[[#This Row],[Contraente]],Table1[[Nome/Ragione sociale]:[Checkbox selezionato]],3,FALSE),"-")</f>
        <v>-</v>
      </c>
      <c r="AK850" s="63">
        <f>IFERROR(VLOOKUP(Table2[[#This Row],[Contraente]],Table1[[Nome/Ragione sociale]:[Checkbox selezionato]],4,FALSE),"-")</f>
        <v>0</v>
      </c>
      <c r="AL850" s="63">
        <f>IFERROR(VLOOKUP(Table2[[#This Row],[Contraente]],Table1[[Nome/Ragione sociale]:[Checkbox selezionato]],5,FALSE),"-")</f>
        <v>0</v>
      </c>
      <c r="AM850" s="62">
        <f>IFERROR(VLOOKUP(Table2[[#This Row],[Contraente]],Table1[[Nome/Ragione sociale]:[Checkbox selezionato]],6,FALSE),"-")</f>
        <v>23287</v>
      </c>
      <c r="AN850" s="63" t="str">
        <f>IFERROR(VLOOKUP(Table2[[#This Row],[Contraente]],Table1[[Nome/Ragione sociale]:[Checkbox selezionato]],7,FALSE),"-")</f>
        <v>papies@libero.it</v>
      </c>
      <c r="AO850" s="63">
        <f>IFERROR(VLOOKUP(Table2[[#This Row],[Contraente]],Table1[[Nome/Ragione sociale]:[Checkbox selezionato]],8,FALSE),"-")</f>
        <v>0</v>
      </c>
      <c r="AP850" s="63" t="str">
        <f>IFERROR(VLOOKUP(Table2[[#This Row],[Contraente]],Table1[[Nome/Ragione sociale]:[Checkbox selezionato]],10,FALSE),"-")</f>
        <v>-</v>
      </c>
      <c r="AQ850" s="63" t="str">
        <f>IFERROR(VLOOKUP(Table2[[#This Row],[Contraente]],Table1[[Nome/Ragione sociale]:[Checkbox selezionato]],11,FALSE),"-")</f>
        <v>SI</v>
      </c>
      <c r="AR850" s="63" t="str">
        <f>IFERROR(VLOOKUP(Table2[[#This Row],[Contraente]],Table1[[Nome/Ragione sociale]:[Checkbox selezionato]],12,FALSE),"-")</f>
        <v>SI</v>
      </c>
    </row>
    <row r="851" spans="1:44" ht="30" hidden="1" customHeight="1" x14ac:dyDescent="0.25">
      <c r="A851" s="60" t="str">
        <f>UPPER(LEFT(Table2[[#This Row],[Contraente]],1))</f>
        <v>P</v>
      </c>
      <c r="B851" s="60" t="s">
        <v>1634</v>
      </c>
      <c r="C851" s="81" t="s">
        <v>881</v>
      </c>
      <c r="D851" s="81" t="s">
        <v>37</v>
      </c>
      <c r="E851" s="86">
        <v>105664936</v>
      </c>
      <c r="F851" s="64">
        <v>42642</v>
      </c>
      <c r="G851" s="64">
        <f>IFERROR(CALCOLASCADENZA(Table2[[#This Row],[Data attivazione]],Table2[[#This Row],[Rateizzazione]],Table2[[#This Row],[Data ultimo pagamento]],Table2[[#This Row],[Data prossima scadenza manuale]]),"-")</f>
        <v>42642</v>
      </c>
      <c r="H851" s="67" t="s">
        <v>31</v>
      </c>
      <c r="I851" s="67" t="s">
        <v>1465</v>
      </c>
      <c r="J851" s="33">
        <v>-81.489999999999995</v>
      </c>
      <c r="K851" s="88"/>
      <c r="L851" s="88">
        <v>0</v>
      </c>
      <c r="M851" s="67" t="s">
        <v>45</v>
      </c>
      <c r="N851" s="67" t="s">
        <v>52</v>
      </c>
      <c r="O851" s="27" t="s">
        <v>1631</v>
      </c>
      <c r="P851" s="33" t="s">
        <v>24</v>
      </c>
      <c r="Q85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1" s="67" t="s">
        <v>2</v>
      </c>
      <c r="V851" s="62"/>
      <c r="W851" s="64">
        <v>42338</v>
      </c>
      <c r="X851" s="29">
        <f>DATE(YEAR(Table2[[#This Row],[Data attivazione]])+VLOOKUP(Table2[[#This Row],[Durata]],VALORE_DURATA,2,FALSE),MONTH(Table2[[#This Row],[Data attivazione]]),DAY(Table2[[#This Row],[Data attivazione]]))</f>
        <v>42704</v>
      </c>
      <c r="Y851" s="65"/>
      <c r="Z851" s="61"/>
      <c r="AA851" s="64" t="s">
        <v>88</v>
      </c>
      <c r="AB851" s="29" t="str">
        <f>IF(Table2[[#This Row],[Data ultimo versamento temp]]=0/1/1900,"-",Table2[[#This Row],[Data ultimo versamento temp]])</f>
        <v>-</v>
      </c>
      <c r="AC851" s="29">
        <f t="array" ref="AC851">MAX(IF(TableVersamenti[Polizza]=Table2[[#This Row],[Polizza]],TableVersamenti[Data prevista versamento],"-"))</f>
        <v>0</v>
      </c>
      <c r="AD851" s="62"/>
      <c r="AE851" s="106">
        <f>DATE(YEAR(Table2[[#This Row],[Data ultimo pagamento]]),MONTH(Table2[[#This Row],[Data ultimo pagamento]]), 1)</f>
        <v>42614</v>
      </c>
      <c r="AF851" s="106">
        <f>DATE(YEAR(Table2[[#This Row],[Data prossima scadenza]]),MONTH(Table2[[#This Row],[Data prossima scadenza]]), 1)</f>
        <v>42614</v>
      </c>
      <c r="AG851" s="33">
        <f>IFERROR(Table2[[#This Row],[Importo annuale]]*VLOOKUP(Table2[[#This Row],[Ramo]],RAMI_POLIZZA,2,FALSE),0)</f>
        <v>0</v>
      </c>
      <c r="AH851" s="65" t="s">
        <v>113</v>
      </c>
      <c r="AI851" s="63" t="str">
        <f>IFERROR(VLOOKUP(Table2[[#This Row],[Contraente]],Table1[[Nome/Ragione sociale]:[Checkbox selezionato]],2,FALSE),"-")</f>
        <v>BRONI</v>
      </c>
      <c r="AJ851" s="63">
        <f>IFERROR(VLOOKUP(Table2[[#This Row],[Contraente]],Table1[[Nome/Ragione sociale]:[Checkbox selezionato]],3,FALSE),"-")</f>
        <v>3286195300</v>
      </c>
      <c r="AK851" s="63">
        <f>IFERROR(VLOOKUP(Table2[[#This Row],[Contraente]],Table1[[Nome/Ragione sociale]:[Checkbox selezionato]],4,FALSE),"-")</f>
        <v>0</v>
      </c>
      <c r="AL851" s="63" t="str">
        <f>IFERROR(VLOOKUP(Table2[[#This Row],[Contraente]],Table1[[Nome/Ragione sociale]:[Checkbox selezionato]],5,FALSE),"-")</f>
        <v>LEDA</v>
      </c>
      <c r="AM851" s="62">
        <f>IFERROR(VLOOKUP(Table2[[#This Row],[Contraente]],Table1[[Nome/Ragione sociale]:[Checkbox selezionato]],6,FALSE),"-")</f>
        <v>33245</v>
      </c>
      <c r="AN851" s="63" t="str">
        <f>IFERROR(VLOOKUP(Table2[[#This Row],[Contraente]],Table1[[Nome/Ragione sociale]:[Checkbox selezionato]],7,FALSE),"-")</f>
        <v>papies@email.it</v>
      </c>
      <c r="AO851" s="63">
        <f>IFERROR(VLOOKUP(Table2[[#This Row],[Contraente]],Table1[[Nome/Ragione sociale]:[Checkbox selezionato]],8,FALSE),"-")</f>
        <v>0</v>
      </c>
      <c r="AP851" s="63">
        <f>IFERROR(VLOOKUP(Table2[[#This Row],[Contraente]],Table1[[Nome/Ragione sociale]:[Checkbox selezionato]],10,FALSE),"-")</f>
        <v>3286195300</v>
      </c>
      <c r="AQ851" s="63" t="str">
        <f>IFERROR(VLOOKUP(Table2[[#This Row],[Contraente]],Table1[[Nome/Ragione sociale]:[Checkbox selezionato]],11,FALSE),"-")</f>
        <v>SI</v>
      </c>
      <c r="AR851" s="63" t="str">
        <f>IFERROR(VLOOKUP(Table2[[#This Row],[Contraente]],Table1[[Nome/Ragione sociale]:[Checkbox selezionato]],12,FALSE),"-")</f>
        <v>SI</v>
      </c>
    </row>
    <row r="852" spans="1:44" ht="30" hidden="1" customHeight="1" x14ac:dyDescent="0.25">
      <c r="A852" s="60" t="str">
        <f>UPPER(LEFT(Table2[[#This Row],[Contraente]],1))</f>
        <v>P</v>
      </c>
      <c r="B852" s="60" t="s">
        <v>1634</v>
      </c>
      <c r="C852" s="81" t="s">
        <v>881</v>
      </c>
      <c r="D852" s="81" t="s">
        <v>37</v>
      </c>
      <c r="E852" s="86">
        <v>106124840</v>
      </c>
      <c r="F852" s="64">
        <v>42895</v>
      </c>
      <c r="G852" s="64">
        <f>IFERROR(CALCOLASCADENZA(Table2[[#This Row],[Data attivazione]],Table2[[#This Row],[Rateizzazione]],Table2[[#This Row],[Data ultimo pagamento]],Table2[[#This Row],[Data prossima scadenza manuale]]),"-")</f>
        <v>43069</v>
      </c>
      <c r="H852" s="67" t="s">
        <v>31</v>
      </c>
      <c r="I852" s="67" t="s">
        <v>1464</v>
      </c>
      <c r="J852" s="33">
        <f>IFERROR(Table2[[#This Row],[Importo annuale]]/(12/VLOOKUP(Table2[[#This Row],[Rateizzazione]],TIPI_RATEIZZAZIONI,2,FALSE)),"-")</f>
        <v>512</v>
      </c>
      <c r="K852" s="88">
        <v>512</v>
      </c>
      <c r="L852" s="88">
        <v>1024</v>
      </c>
      <c r="M852" s="67" t="s">
        <v>45</v>
      </c>
      <c r="N852" s="67" t="s">
        <v>52</v>
      </c>
      <c r="O852" s="27" t="s">
        <v>1631</v>
      </c>
      <c r="P852" s="33" t="s">
        <v>22</v>
      </c>
      <c r="Q852" s="60">
        <f>IFERROR(IF(12 / VLOOKUP(Table2[[#This Row],[Rateizzazione]],TIPI_RATEIZZAZIONI,2,FALSE) &gt;=1,  IF(Table2[[#This Row],[Data attivazione]] = "","-",MONTH(Table2[[#This Row],[Data attivazione]])),"-"),"-")</f>
        <v>11</v>
      </c>
      <c r="R8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2" s="67" t="s">
        <v>2</v>
      </c>
      <c r="V852" s="62"/>
      <c r="W852" s="64">
        <v>42704</v>
      </c>
      <c r="X852" s="29">
        <f>DATE(YEAR(Table2[[#This Row],[Data attivazione]])+VLOOKUP(Table2[[#This Row],[Durata]],VALORE_DURATA,2,FALSE),MONTH(Table2[[#This Row],[Data attivazione]]),DAY(Table2[[#This Row],[Data attivazione]]))</f>
        <v>43069</v>
      </c>
      <c r="Y852" s="65"/>
      <c r="Z852" s="61"/>
      <c r="AA852" s="64" t="s">
        <v>85</v>
      </c>
      <c r="AB852" s="29" t="str">
        <f>IF(Table2[[#This Row],[Data ultimo versamento temp]]=0/1/1900,"-",Table2[[#This Row],[Data ultimo versamento temp]])</f>
        <v>-</v>
      </c>
      <c r="AC852" s="29">
        <f t="array" ref="AC852">MAX(IF(TableVersamenti[Polizza]=Table2[[#This Row],[Polizza]],TableVersamenti[Data prevista versamento],"-"))</f>
        <v>0</v>
      </c>
      <c r="AD852" s="62"/>
      <c r="AE852" s="106">
        <f>DATE(YEAR(Table2[[#This Row],[Data ultimo pagamento]]),MONTH(Table2[[#This Row],[Data ultimo pagamento]]), 1)</f>
        <v>42887</v>
      </c>
      <c r="AF852" s="106">
        <f>DATE(YEAR(Table2[[#This Row],[Data prossima scadenza]]),MONTH(Table2[[#This Row],[Data prossima scadenza]]), 1)</f>
        <v>43040</v>
      </c>
      <c r="AG852" s="33">
        <f>IFERROR(Table2[[#This Row],[Importo annuale]]*VLOOKUP(Table2[[#This Row],[Ramo]],RAMI_POLIZZA,2,FALSE),0)</f>
        <v>53.247999999999998</v>
      </c>
      <c r="AH852" s="65" t="s">
        <v>113</v>
      </c>
      <c r="AI852" s="63" t="str">
        <f>IFERROR(VLOOKUP(Table2[[#This Row],[Contraente]],Table1[[Nome/Ragione sociale]:[Checkbox selezionato]],2,FALSE),"-")</f>
        <v>BRONI</v>
      </c>
      <c r="AJ852" s="63">
        <f>IFERROR(VLOOKUP(Table2[[#This Row],[Contraente]],Table1[[Nome/Ragione sociale]:[Checkbox selezionato]],3,FALSE),"-")</f>
        <v>3286195300</v>
      </c>
      <c r="AK852" s="63">
        <f>IFERROR(VLOOKUP(Table2[[#This Row],[Contraente]],Table1[[Nome/Ragione sociale]:[Checkbox selezionato]],4,FALSE),"-")</f>
        <v>0</v>
      </c>
      <c r="AL852" s="63" t="str">
        <f>IFERROR(VLOOKUP(Table2[[#This Row],[Contraente]],Table1[[Nome/Ragione sociale]:[Checkbox selezionato]],5,FALSE),"-")</f>
        <v>LEDA</v>
      </c>
      <c r="AM852" s="62">
        <f>IFERROR(VLOOKUP(Table2[[#This Row],[Contraente]],Table1[[Nome/Ragione sociale]:[Checkbox selezionato]],6,FALSE),"-")</f>
        <v>33245</v>
      </c>
      <c r="AN852" s="63" t="str">
        <f>IFERROR(VLOOKUP(Table2[[#This Row],[Contraente]],Table1[[Nome/Ragione sociale]:[Checkbox selezionato]],7,FALSE),"-")</f>
        <v>papies@email.it</v>
      </c>
      <c r="AO852" s="63">
        <f>IFERROR(VLOOKUP(Table2[[#This Row],[Contraente]],Table1[[Nome/Ragione sociale]:[Checkbox selezionato]],8,FALSE),"-")</f>
        <v>0</v>
      </c>
      <c r="AP852" s="63">
        <f>IFERROR(VLOOKUP(Table2[[#This Row],[Contraente]],Table1[[Nome/Ragione sociale]:[Checkbox selezionato]],10,FALSE),"-")</f>
        <v>3286195300</v>
      </c>
      <c r="AQ852" s="63" t="str">
        <f>IFERROR(VLOOKUP(Table2[[#This Row],[Contraente]],Table1[[Nome/Ragione sociale]:[Checkbox selezionato]],11,FALSE),"-")</f>
        <v>SI</v>
      </c>
      <c r="AR852" s="63" t="str">
        <f>IFERROR(VLOOKUP(Table2[[#This Row],[Contraente]],Table1[[Nome/Ragione sociale]:[Checkbox selezionato]],12,FALSE),"-")</f>
        <v>SI</v>
      </c>
    </row>
    <row r="853" spans="1:44" ht="30" hidden="1" customHeight="1" x14ac:dyDescent="0.25">
      <c r="A853" s="60" t="str">
        <f>UPPER(LEFT(Table2[[#This Row],[Contraente]],1))</f>
        <v>P</v>
      </c>
      <c r="B853" s="60" t="s">
        <v>1634</v>
      </c>
      <c r="C853" s="81" t="s">
        <v>881</v>
      </c>
      <c r="D853" s="81" t="s">
        <v>38</v>
      </c>
      <c r="E853" s="86">
        <v>7000077638</v>
      </c>
      <c r="F853" s="64">
        <v>42895</v>
      </c>
      <c r="G853" s="64">
        <f>IFERROR(CALCOLASCADENZA(Table2[[#This Row],[Data attivazione]],Table2[[#This Row],[Rateizzazione]],Table2[[#This Row],[Data ultimo pagamento]],Table2[[#This Row],[Data prossima scadenza manuale]]),"-")</f>
        <v>43069</v>
      </c>
      <c r="H853" s="67" t="s">
        <v>30</v>
      </c>
      <c r="I853" s="67" t="s">
        <v>113</v>
      </c>
      <c r="J853" s="33">
        <f>IFERROR(Table2[[#This Row],[Importo annuale]]/(12/VLOOKUP(Table2[[#This Row],[Rateizzazione]],TIPI_RATEIZZAZIONI,2,FALSE)),"-")</f>
        <v>59.5</v>
      </c>
      <c r="K853" s="88">
        <v>59.5</v>
      </c>
      <c r="L853" s="88">
        <v>119</v>
      </c>
      <c r="M853" s="67" t="s">
        <v>45</v>
      </c>
      <c r="N853" s="67" t="s">
        <v>52</v>
      </c>
      <c r="O853" s="27" t="s">
        <v>1631</v>
      </c>
      <c r="P853" s="33" t="s">
        <v>22</v>
      </c>
      <c r="Q853" s="60">
        <f>IFERROR(IF(12 / VLOOKUP(Table2[[#This Row],[Rateizzazione]],TIPI_RATEIZZAZIONI,2,FALSE) &gt;=1,  IF(Table2[[#This Row],[Data attivazione]] = "","-",MONTH(Table2[[#This Row],[Data attivazione]])),"-"),"-")</f>
        <v>11</v>
      </c>
      <c r="R8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3" s="67" t="s">
        <v>2</v>
      </c>
      <c r="V853" s="62"/>
      <c r="W853" s="64">
        <v>42704</v>
      </c>
      <c r="X853" s="29">
        <f>DATE(YEAR(Table2[[#This Row],[Data attivazione]])+VLOOKUP(Table2[[#This Row],[Durata]],VALORE_DURATA,2,FALSE),MONTH(Table2[[#This Row],[Data attivazione]]),DAY(Table2[[#This Row],[Data attivazione]]))</f>
        <v>43069</v>
      </c>
      <c r="Y853" s="65"/>
      <c r="Z853" s="61"/>
      <c r="AA853" s="64" t="s">
        <v>85</v>
      </c>
      <c r="AB853" s="29" t="str">
        <f>IF(Table2[[#This Row],[Data ultimo versamento temp]]=0/1/1900,"-",Table2[[#This Row],[Data ultimo versamento temp]])</f>
        <v>-</v>
      </c>
      <c r="AC853" s="29">
        <f t="array" ref="AC853">MAX(IF(TableVersamenti[Polizza]=Table2[[#This Row],[Polizza]],TableVersamenti[Data prevista versamento],"-"))</f>
        <v>0</v>
      </c>
      <c r="AD853" s="62"/>
      <c r="AE853" s="106">
        <f>DATE(YEAR(Table2[[#This Row],[Data ultimo pagamento]]),MONTH(Table2[[#This Row],[Data ultimo pagamento]]), 1)</f>
        <v>42887</v>
      </c>
      <c r="AF853" s="106">
        <f>DATE(YEAR(Table2[[#This Row],[Data prossima scadenza]]),MONTH(Table2[[#This Row],[Data prossima scadenza]]), 1)</f>
        <v>43040</v>
      </c>
      <c r="AG853" s="33">
        <f>IFERROR(Table2[[#This Row],[Importo annuale]]*VLOOKUP(Table2[[#This Row],[Ramo]],RAMI_POLIZZA,2,FALSE),0)</f>
        <v>13.685</v>
      </c>
      <c r="AH853" s="65" t="s">
        <v>113</v>
      </c>
      <c r="AI853" s="63" t="str">
        <f>IFERROR(VLOOKUP(Table2[[#This Row],[Contraente]],Table1[[Nome/Ragione sociale]:[Checkbox selezionato]],2,FALSE),"-")</f>
        <v>BRONI</v>
      </c>
      <c r="AJ853" s="63">
        <f>IFERROR(VLOOKUP(Table2[[#This Row],[Contraente]],Table1[[Nome/Ragione sociale]:[Checkbox selezionato]],3,FALSE),"-")</f>
        <v>3286195300</v>
      </c>
      <c r="AK853" s="63">
        <f>IFERROR(VLOOKUP(Table2[[#This Row],[Contraente]],Table1[[Nome/Ragione sociale]:[Checkbox selezionato]],4,FALSE),"-")</f>
        <v>0</v>
      </c>
      <c r="AL853" s="63" t="str">
        <f>IFERROR(VLOOKUP(Table2[[#This Row],[Contraente]],Table1[[Nome/Ragione sociale]:[Checkbox selezionato]],5,FALSE),"-")</f>
        <v>LEDA</v>
      </c>
      <c r="AM853" s="62">
        <f>IFERROR(VLOOKUP(Table2[[#This Row],[Contraente]],Table1[[Nome/Ragione sociale]:[Checkbox selezionato]],6,FALSE),"-")</f>
        <v>33245</v>
      </c>
      <c r="AN853" s="63" t="str">
        <f>IFERROR(VLOOKUP(Table2[[#This Row],[Contraente]],Table1[[Nome/Ragione sociale]:[Checkbox selezionato]],7,FALSE),"-")</f>
        <v>papies@email.it</v>
      </c>
      <c r="AO853" s="63">
        <f>IFERROR(VLOOKUP(Table2[[#This Row],[Contraente]],Table1[[Nome/Ragione sociale]:[Checkbox selezionato]],8,FALSE),"-")</f>
        <v>0</v>
      </c>
      <c r="AP853" s="63">
        <f>IFERROR(VLOOKUP(Table2[[#This Row],[Contraente]],Table1[[Nome/Ragione sociale]:[Checkbox selezionato]],10,FALSE),"-")</f>
        <v>3286195300</v>
      </c>
      <c r="AQ853" s="63" t="str">
        <f>IFERROR(VLOOKUP(Table2[[#This Row],[Contraente]],Table1[[Nome/Ragione sociale]:[Checkbox selezionato]],11,FALSE),"-")</f>
        <v>SI</v>
      </c>
      <c r="AR853" s="63" t="str">
        <f>IFERROR(VLOOKUP(Table2[[#This Row],[Contraente]],Table1[[Nome/Ragione sociale]:[Checkbox selezionato]],12,FALSE),"-")</f>
        <v>SI</v>
      </c>
    </row>
    <row r="854" spans="1:44" ht="30" hidden="1" customHeight="1" x14ac:dyDescent="0.25">
      <c r="A854" s="60" t="str">
        <f>UPPER(LEFT(Table2[[#This Row],[Contraente]],1))</f>
        <v>P</v>
      </c>
      <c r="B854" s="60" t="s">
        <v>1634</v>
      </c>
      <c r="C854" s="81" t="s">
        <v>163</v>
      </c>
      <c r="D854" s="81" t="s">
        <v>37</v>
      </c>
      <c r="E854" s="86">
        <v>1079957</v>
      </c>
      <c r="F854" s="64">
        <v>42698</v>
      </c>
      <c r="G854" s="64">
        <f>IFERROR(CALCOLASCADENZA(Table2[[#This Row],[Data attivazione]],Table2[[#This Row],[Rateizzazione]],Table2[[#This Row],[Data ultimo pagamento]],Table2[[#This Row],[Data prossima scadenza manuale]]),"-")</f>
        <v>43063</v>
      </c>
      <c r="H854" s="67" t="s">
        <v>32</v>
      </c>
      <c r="I854" s="67" t="s">
        <v>113</v>
      </c>
      <c r="J854" s="33">
        <f>IFERROR(Table2[[#This Row],[Importo annuale]]/(12/VLOOKUP(Table2[[#This Row],[Rateizzazione]],TIPI_RATEIZZAZIONI,2,FALSE)),"-")</f>
        <v>200</v>
      </c>
      <c r="K854" s="88"/>
      <c r="L854" s="88">
        <v>200</v>
      </c>
      <c r="M854" s="67" t="s">
        <v>44</v>
      </c>
      <c r="N854" s="67" t="s">
        <v>52</v>
      </c>
      <c r="O854" s="27" t="s">
        <v>1631</v>
      </c>
      <c r="P854" s="33" t="s">
        <v>23</v>
      </c>
      <c r="Q854" s="60">
        <f>IFERROR(IF(12 / VLOOKUP(Table2[[#This Row],[Rateizzazione]],TIPI_RATEIZZAZIONI,2,FALSE) &gt;=1,  IF(Table2[[#This Row],[Data attivazione]] = "","-",MONTH(Table2[[#This Row],[Data attivazione]])),"-"),"-")</f>
        <v>11</v>
      </c>
      <c r="R8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4" s="67" t="s">
        <v>2</v>
      </c>
      <c r="V854" s="62"/>
      <c r="W854" s="64">
        <v>42698</v>
      </c>
      <c r="X854" s="29">
        <f>DATE(YEAR(Table2[[#This Row],[Data attivazione]])+VLOOKUP(Table2[[#This Row],[Durata]],VALORE_DURATA,2,FALSE),MONTH(Table2[[#This Row],[Data attivazione]]),DAY(Table2[[#This Row],[Data attivazione]]))</f>
        <v>43063</v>
      </c>
      <c r="Y854" s="65"/>
      <c r="Z854" s="61"/>
      <c r="AA854" s="64" t="s">
        <v>85</v>
      </c>
      <c r="AB854" s="29" t="str">
        <f>IF(Table2[[#This Row],[Data ultimo versamento temp]]=0/1/1900,"-",Table2[[#This Row],[Data ultimo versamento temp]])</f>
        <v>-</v>
      </c>
      <c r="AC854" s="29">
        <f t="array" ref="AC854">MAX(IF(TableVersamenti[Polizza]=Table2[[#This Row],[Polizza]],TableVersamenti[Data prevista versamento],"-"))</f>
        <v>0</v>
      </c>
      <c r="AD854" s="62"/>
      <c r="AE854" s="106">
        <f>DATE(YEAR(Table2[[#This Row],[Data ultimo pagamento]]),MONTH(Table2[[#This Row],[Data ultimo pagamento]]), 1)</f>
        <v>42675</v>
      </c>
      <c r="AF854" s="106">
        <f>DATE(YEAR(Table2[[#This Row],[Data prossima scadenza]]),MONTH(Table2[[#This Row],[Data prossima scadenza]]), 1)</f>
        <v>43040</v>
      </c>
      <c r="AG854" s="33">
        <f>IFERROR(Table2[[#This Row],[Importo annuale]]*VLOOKUP(Table2[[#This Row],[Ramo]],RAMI_POLIZZA,2,FALSE),0)</f>
        <v>3</v>
      </c>
      <c r="AH854" s="65" t="s">
        <v>113</v>
      </c>
      <c r="AI854" s="63" t="str">
        <f>IFERROR(VLOOKUP(Table2[[#This Row],[Contraente]],Table1[[Nome/Ragione sociale]:[Checkbox selezionato]],2,FALSE),"-")</f>
        <v>VILLANTERIO</v>
      </c>
      <c r="AJ854" s="63">
        <f>IFERROR(VLOOKUP(Table2[[#This Row],[Contraente]],Table1[[Nome/Ragione sociale]:[Checkbox selezionato]],3,FALSE),"-")</f>
        <v>3393050453</v>
      </c>
      <c r="AK854" s="63" t="str">
        <f>IFERROR(VLOOKUP(Table2[[#This Row],[Contraente]],Table1[[Nome/Ragione sociale]:[Checkbox selezionato]],4,FALSE),"-")</f>
        <v>.0382967372</v>
      </c>
      <c r="AL854" s="63" t="str">
        <f>IFERROR(VLOOKUP(Table2[[#This Row],[Contraente]],Table1[[Nome/Ragione sociale]:[Checkbox selezionato]],5,FALSE),"-")</f>
        <v>BASSANINI DANILA</v>
      </c>
      <c r="AM854" s="62">
        <f>IFERROR(VLOOKUP(Table2[[#This Row],[Contraente]],Table1[[Nome/Ragione sociale]:[Checkbox selezionato]],6,FALSE),"-")</f>
        <v>28731</v>
      </c>
      <c r="AN854" s="63" t="str">
        <f>IFERROR(VLOOKUP(Table2[[#This Row],[Contraente]],Table1[[Nome/Ragione sociale]:[Checkbox selezionato]],7,FALSE),"-")</f>
        <v>papies@libero.it</v>
      </c>
      <c r="AO854" s="63">
        <f>IFERROR(VLOOKUP(Table2[[#This Row],[Contraente]],Table1[[Nome/Ragione sociale]:[Checkbox selezionato]],8,FALSE),"-")</f>
        <v>0</v>
      </c>
      <c r="AP854" s="63">
        <f>IFERROR(VLOOKUP(Table2[[#This Row],[Contraente]],Table1[[Nome/Ragione sociale]:[Checkbox selezionato]],10,FALSE),"-")</f>
        <v>3393050453</v>
      </c>
      <c r="AQ854" s="63" t="str">
        <f>IFERROR(VLOOKUP(Table2[[#This Row],[Contraente]],Table1[[Nome/Ragione sociale]:[Checkbox selezionato]],11,FALSE),"-")</f>
        <v>SI</v>
      </c>
      <c r="AR854" s="63" t="str">
        <f>IFERROR(VLOOKUP(Table2[[#This Row],[Contraente]],Table1[[Nome/Ragione sociale]:[Checkbox selezionato]],12,FALSE),"-")</f>
        <v>SI</v>
      </c>
    </row>
    <row r="855" spans="1:44" ht="30" hidden="1" customHeight="1" x14ac:dyDescent="0.25">
      <c r="A855" s="60" t="str">
        <f>UPPER(LEFT(Table2[[#This Row],[Contraente]],1))</f>
        <v>P</v>
      </c>
      <c r="B855" s="60" t="s">
        <v>1634</v>
      </c>
      <c r="C855" s="81" t="s">
        <v>163</v>
      </c>
      <c r="D855" s="81" t="s">
        <v>37</v>
      </c>
      <c r="E855" s="86">
        <v>102687513</v>
      </c>
      <c r="F855" s="64">
        <v>42725</v>
      </c>
      <c r="G855" s="64">
        <f>IFERROR(CALCOLASCADENZA(Table2[[#This Row],[Data attivazione]],Table2[[#This Row],[Rateizzazione]],Table2[[#This Row],[Data ultimo pagamento]],Table2[[#This Row],[Data prossima scadenza manuale]]),"-")</f>
        <v>43088</v>
      </c>
      <c r="H855" s="67" t="s">
        <v>31</v>
      </c>
      <c r="I855" s="67" t="s">
        <v>1483</v>
      </c>
      <c r="J855" s="33">
        <f>IFERROR(Table2[[#This Row],[Importo annuale]]/(12/VLOOKUP(Table2[[#This Row],[Rateizzazione]],TIPI_RATEIZZAZIONI,2,FALSE)),"-")</f>
        <v>197</v>
      </c>
      <c r="K855" s="88"/>
      <c r="L855" s="88">
        <v>197</v>
      </c>
      <c r="M855" s="67" t="s">
        <v>44</v>
      </c>
      <c r="N855" s="67" t="s">
        <v>51</v>
      </c>
      <c r="O855" s="27" t="s">
        <v>1631</v>
      </c>
      <c r="P855" s="33" t="s">
        <v>23</v>
      </c>
      <c r="Q855" s="60">
        <f>IFERROR(IF(12 / VLOOKUP(Table2[[#This Row],[Rateizzazione]],TIPI_RATEIZZAZIONI,2,FALSE) &gt;=1,  IF(Table2[[#This Row],[Data attivazione]] = "","-",MONTH(Table2[[#This Row],[Data attivazione]])),"-"),"-")</f>
        <v>12</v>
      </c>
      <c r="R8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5" s="67" t="s">
        <v>2</v>
      </c>
      <c r="V855" s="62"/>
      <c r="W855" s="64">
        <v>42723</v>
      </c>
      <c r="X855" s="29">
        <f>DATE(YEAR(Table2[[#This Row],[Data attivazione]])+VLOOKUP(Table2[[#This Row],[Durata]],VALORE_DURATA,2,FALSE),MONTH(Table2[[#This Row],[Data attivazione]]),DAY(Table2[[#This Row],[Data attivazione]]))</f>
        <v>43088</v>
      </c>
      <c r="Y855" s="65"/>
      <c r="Z855" s="61"/>
      <c r="AA855" s="64" t="s">
        <v>85</v>
      </c>
      <c r="AB855" s="29" t="str">
        <f>IF(Table2[[#This Row],[Data ultimo versamento temp]]=0/1/1900,"-",Table2[[#This Row],[Data ultimo versamento temp]])</f>
        <v>-</v>
      </c>
      <c r="AC855" s="29">
        <f t="array" ref="AC855">MAX(IF(TableVersamenti[Polizza]=Table2[[#This Row],[Polizza]],TableVersamenti[Data prevista versamento],"-"))</f>
        <v>0</v>
      </c>
      <c r="AD855" s="62"/>
      <c r="AE855" s="106">
        <f>DATE(YEAR(Table2[[#This Row],[Data ultimo pagamento]]),MONTH(Table2[[#This Row],[Data ultimo pagamento]]), 1)</f>
        <v>42705</v>
      </c>
      <c r="AF855" s="106">
        <f>DATE(YEAR(Table2[[#This Row],[Data prossima scadenza]]),MONTH(Table2[[#This Row],[Data prossima scadenza]]), 1)</f>
        <v>43070</v>
      </c>
      <c r="AG855" s="33">
        <f>IFERROR(Table2[[#This Row],[Importo annuale]]*VLOOKUP(Table2[[#This Row],[Ramo]],RAMI_POLIZZA,2,FALSE),0)</f>
        <v>10.244</v>
      </c>
      <c r="AH855" s="65" t="s">
        <v>113</v>
      </c>
      <c r="AI855" s="63" t="str">
        <f>IFERROR(VLOOKUP(Table2[[#This Row],[Contraente]],Table1[[Nome/Ragione sociale]:[Checkbox selezionato]],2,FALSE),"-")</f>
        <v>VILLANTERIO</v>
      </c>
      <c r="AJ855" s="63">
        <f>IFERROR(VLOOKUP(Table2[[#This Row],[Contraente]],Table1[[Nome/Ragione sociale]:[Checkbox selezionato]],3,FALSE),"-")</f>
        <v>3393050453</v>
      </c>
      <c r="AK855" s="63" t="str">
        <f>IFERROR(VLOOKUP(Table2[[#This Row],[Contraente]],Table1[[Nome/Ragione sociale]:[Checkbox selezionato]],4,FALSE),"-")</f>
        <v>.0382967372</v>
      </c>
      <c r="AL855" s="63" t="str">
        <f>IFERROR(VLOOKUP(Table2[[#This Row],[Contraente]],Table1[[Nome/Ragione sociale]:[Checkbox selezionato]],5,FALSE),"-")</f>
        <v>BASSANINI DANILA</v>
      </c>
      <c r="AM855" s="62">
        <f>IFERROR(VLOOKUP(Table2[[#This Row],[Contraente]],Table1[[Nome/Ragione sociale]:[Checkbox selezionato]],6,FALSE),"-")</f>
        <v>28731</v>
      </c>
      <c r="AN855" s="63" t="str">
        <f>IFERROR(VLOOKUP(Table2[[#This Row],[Contraente]],Table1[[Nome/Ragione sociale]:[Checkbox selezionato]],7,FALSE),"-")</f>
        <v>papies@libero.it</v>
      </c>
      <c r="AO855" s="63">
        <f>IFERROR(VLOOKUP(Table2[[#This Row],[Contraente]],Table1[[Nome/Ragione sociale]:[Checkbox selezionato]],8,FALSE),"-")</f>
        <v>0</v>
      </c>
      <c r="AP855" s="63">
        <f>IFERROR(VLOOKUP(Table2[[#This Row],[Contraente]],Table1[[Nome/Ragione sociale]:[Checkbox selezionato]],10,FALSE),"-")</f>
        <v>3393050453</v>
      </c>
      <c r="AQ855" s="63" t="str">
        <f>IFERROR(VLOOKUP(Table2[[#This Row],[Contraente]],Table1[[Nome/Ragione sociale]:[Checkbox selezionato]],11,FALSE),"-")</f>
        <v>SI</v>
      </c>
      <c r="AR855" s="63" t="str">
        <f>IFERROR(VLOOKUP(Table2[[#This Row],[Contraente]],Table1[[Nome/Ragione sociale]:[Checkbox selezionato]],12,FALSE),"-")</f>
        <v>SI</v>
      </c>
    </row>
    <row r="856" spans="1:44" ht="30" hidden="1" customHeight="1" x14ac:dyDescent="0.25">
      <c r="A856" s="60" t="str">
        <f>UPPER(LEFT(Table2[[#This Row],[Contraente]],1))</f>
        <v>P</v>
      </c>
      <c r="B856" s="60" t="s">
        <v>1634</v>
      </c>
      <c r="C856" s="81" t="s">
        <v>163</v>
      </c>
      <c r="D856" s="81" t="s">
        <v>37</v>
      </c>
      <c r="E856" s="86">
        <v>103767556</v>
      </c>
      <c r="F856" s="64">
        <v>42697</v>
      </c>
      <c r="G856" s="64">
        <f>IFERROR(CALCOLASCADENZA(Table2[[#This Row],[Data attivazione]],Table2[[#This Row],[Rateizzazione]],Table2[[#This Row],[Data ultimo pagamento]],Table2[[#This Row],[Data prossima scadenza manuale]]),"-")</f>
        <v>43059</v>
      </c>
      <c r="H856" s="67" t="s">
        <v>31</v>
      </c>
      <c r="I856" s="67" t="s">
        <v>1484</v>
      </c>
      <c r="J856" s="33">
        <f>IFERROR(Table2[[#This Row],[Importo annuale]]/(12/VLOOKUP(Table2[[#This Row],[Rateizzazione]],TIPI_RATEIZZAZIONI,2,FALSE)),"-")</f>
        <v>156.74</v>
      </c>
      <c r="K856" s="88"/>
      <c r="L856" s="88">
        <v>156.74</v>
      </c>
      <c r="M856" s="67" t="s">
        <v>44</v>
      </c>
      <c r="N856" s="67" t="s">
        <v>51</v>
      </c>
      <c r="O856" s="27" t="s">
        <v>1631</v>
      </c>
      <c r="P856" s="33" t="s">
        <v>23</v>
      </c>
      <c r="Q856" s="60">
        <f>IFERROR(IF(12 / VLOOKUP(Table2[[#This Row],[Rateizzazione]],TIPI_RATEIZZAZIONI,2,FALSE) &gt;=1,  IF(Table2[[#This Row],[Data attivazione]] = "","-",MONTH(Table2[[#This Row],[Data attivazione]])),"-"),"-")</f>
        <v>11</v>
      </c>
      <c r="R8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6" s="67" t="s">
        <v>2</v>
      </c>
      <c r="V856" s="62"/>
      <c r="W856" s="64">
        <v>42694</v>
      </c>
      <c r="X856" s="29">
        <f>DATE(YEAR(Table2[[#This Row],[Data attivazione]])+VLOOKUP(Table2[[#This Row],[Durata]],VALORE_DURATA,2,FALSE),MONTH(Table2[[#This Row],[Data attivazione]]),DAY(Table2[[#This Row],[Data attivazione]]))</f>
        <v>43059</v>
      </c>
      <c r="Y856" s="65"/>
      <c r="Z856" s="61"/>
      <c r="AA856" s="64" t="s">
        <v>85</v>
      </c>
      <c r="AB856" s="29" t="str">
        <f>IF(Table2[[#This Row],[Data ultimo versamento temp]]=0/1/1900,"-",Table2[[#This Row],[Data ultimo versamento temp]])</f>
        <v>-</v>
      </c>
      <c r="AC856" s="29">
        <f t="array" ref="AC856">MAX(IF(TableVersamenti[Polizza]=Table2[[#This Row],[Polizza]],TableVersamenti[Data prevista versamento],"-"))</f>
        <v>0</v>
      </c>
      <c r="AD856" s="62"/>
      <c r="AE856" s="106">
        <f>DATE(YEAR(Table2[[#This Row],[Data ultimo pagamento]]),MONTH(Table2[[#This Row],[Data ultimo pagamento]]), 1)</f>
        <v>42675</v>
      </c>
      <c r="AF856" s="106">
        <f>DATE(YEAR(Table2[[#This Row],[Data prossima scadenza]]),MONTH(Table2[[#This Row],[Data prossima scadenza]]), 1)</f>
        <v>43040</v>
      </c>
      <c r="AG856" s="33">
        <f>IFERROR(Table2[[#This Row],[Importo annuale]]*VLOOKUP(Table2[[#This Row],[Ramo]],RAMI_POLIZZA,2,FALSE),0)</f>
        <v>8.1504799999999999</v>
      </c>
      <c r="AH856" s="65" t="s">
        <v>113</v>
      </c>
      <c r="AI856" s="63" t="str">
        <f>IFERROR(VLOOKUP(Table2[[#This Row],[Contraente]],Table1[[Nome/Ragione sociale]:[Checkbox selezionato]],2,FALSE),"-")</f>
        <v>VILLANTERIO</v>
      </c>
      <c r="AJ856" s="63">
        <f>IFERROR(VLOOKUP(Table2[[#This Row],[Contraente]],Table1[[Nome/Ragione sociale]:[Checkbox selezionato]],3,FALSE),"-")</f>
        <v>3393050453</v>
      </c>
      <c r="AK856" s="63" t="str">
        <f>IFERROR(VLOOKUP(Table2[[#This Row],[Contraente]],Table1[[Nome/Ragione sociale]:[Checkbox selezionato]],4,FALSE),"-")</f>
        <v>.0382967372</v>
      </c>
      <c r="AL856" s="63" t="str">
        <f>IFERROR(VLOOKUP(Table2[[#This Row],[Contraente]],Table1[[Nome/Ragione sociale]:[Checkbox selezionato]],5,FALSE),"-")</f>
        <v>BASSANINI DANILA</v>
      </c>
      <c r="AM856" s="62">
        <f>IFERROR(VLOOKUP(Table2[[#This Row],[Contraente]],Table1[[Nome/Ragione sociale]:[Checkbox selezionato]],6,FALSE),"-")</f>
        <v>28731</v>
      </c>
      <c r="AN856" s="63" t="str">
        <f>IFERROR(VLOOKUP(Table2[[#This Row],[Contraente]],Table1[[Nome/Ragione sociale]:[Checkbox selezionato]],7,FALSE),"-")</f>
        <v>papies@libero.it</v>
      </c>
      <c r="AO856" s="63">
        <f>IFERROR(VLOOKUP(Table2[[#This Row],[Contraente]],Table1[[Nome/Ragione sociale]:[Checkbox selezionato]],8,FALSE),"-")</f>
        <v>0</v>
      </c>
      <c r="AP856" s="63">
        <f>IFERROR(VLOOKUP(Table2[[#This Row],[Contraente]],Table1[[Nome/Ragione sociale]:[Checkbox selezionato]],10,FALSE),"-")</f>
        <v>3393050453</v>
      </c>
      <c r="AQ856" s="63" t="str">
        <f>IFERROR(VLOOKUP(Table2[[#This Row],[Contraente]],Table1[[Nome/Ragione sociale]:[Checkbox selezionato]],11,FALSE),"-")</f>
        <v>SI</v>
      </c>
      <c r="AR856" s="63" t="str">
        <f>IFERROR(VLOOKUP(Table2[[#This Row],[Contraente]],Table1[[Nome/Ragione sociale]:[Checkbox selezionato]],12,FALSE),"-")</f>
        <v>SI</v>
      </c>
    </row>
    <row r="857" spans="1:44" ht="30" hidden="1" customHeight="1" x14ac:dyDescent="0.25">
      <c r="A857" s="60" t="str">
        <f>UPPER(LEFT(Table2[[#This Row],[Contraente]],1))</f>
        <v>P</v>
      </c>
      <c r="B857" s="60" t="s">
        <v>1634</v>
      </c>
      <c r="C857" s="81" t="s">
        <v>163</v>
      </c>
      <c r="D857" s="81" t="s">
        <v>37</v>
      </c>
      <c r="E857" s="86">
        <v>104141857</v>
      </c>
      <c r="F857" s="64">
        <v>42808</v>
      </c>
      <c r="G857" s="64">
        <f>IFERROR(CALCOLASCADENZA(Table2[[#This Row],[Data attivazione]],Table2[[#This Row],[Rateizzazione]],Table2[[#This Row],[Data ultimo pagamento]],Table2[[#This Row],[Data prossima scadenza manuale]]),"-")</f>
        <v>43162</v>
      </c>
      <c r="H857" s="67" t="s">
        <v>31</v>
      </c>
      <c r="I857" s="67" t="s">
        <v>1485</v>
      </c>
      <c r="J857" s="33">
        <f>IFERROR(Table2[[#This Row],[Importo annuale]]/(12/VLOOKUP(Table2[[#This Row],[Rateizzazione]],TIPI_RATEIZZAZIONI,2,FALSE)),"-")</f>
        <v>164.57</v>
      </c>
      <c r="K857" s="88">
        <v>164.57</v>
      </c>
      <c r="L857" s="88">
        <v>164.57</v>
      </c>
      <c r="M857" s="67" t="s">
        <v>44</v>
      </c>
      <c r="N857" s="67" t="s">
        <v>51</v>
      </c>
      <c r="O857" s="27" t="s">
        <v>1631</v>
      </c>
      <c r="P857" s="33" t="s">
        <v>23</v>
      </c>
      <c r="Q857" s="60">
        <f>IFERROR(IF(12 / VLOOKUP(Table2[[#This Row],[Rateizzazione]],TIPI_RATEIZZAZIONI,2,FALSE) &gt;=1,  IF(Table2[[#This Row],[Data attivazione]] = "","-",MONTH(Table2[[#This Row],[Data attivazione]])),"-"),"-")</f>
        <v>3</v>
      </c>
      <c r="R8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7" s="67" t="s">
        <v>2</v>
      </c>
      <c r="V857" s="62"/>
      <c r="W857" s="64">
        <v>42797</v>
      </c>
      <c r="X857" s="29">
        <f>DATE(YEAR(Table2[[#This Row],[Data attivazione]])+VLOOKUP(Table2[[#This Row],[Durata]],VALORE_DURATA,2,FALSE),MONTH(Table2[[#This Row],[Data attivazione]]),DAY(Table2[[#This Row],[Data attivazione]]))</f>
        <v>43162</v>
      </c>
      <c r="Y857" s="65"/>
      <c r="Z857" s="61"/>
      <c r="AA857" s="64" t="s">
        <v>85</v>
      </c>
      <c r="AB857" s="29" t="str">
        <f>IF(Table2[[#This Row],[Data ultimo versamento temp]]=0/1/1900,"-",Table2[[#This Row],[Data ultimo versamento temp]])</f>
        <v>-</v>
      </c>
      <c r="AC857" s="29">
        <f t="array" ref="AC857">MAX(IF(TableVersamenti[Polizza]=Table2[[#This Row],[Polizza]],TableVersamenti[Data prevista versamento],"-"))</f>
        <v>0</v>
      </c>
      <c r="AD857" s="62"/>
      <c r="AE857" s="106">
        <f>DATE(YEAR(Table2[[#This Row],[Data ultimo pagamento]]),MONTH(Table2[[#This Row],[Data ultimo pagamento]]), 1)</f>
        <v>42795</v>
      </c>
      <c r="AF857" s="106">
        <f>DATE(YEAR(Table2[[#This Row],[Data prossima scadenza]]),MONTH(Table2[[#This Row],[Data prossima scadenza]]), 1)</f>
        <v>43160</v>
      </c>
      <c r="AG857" s="33">
        <f>IFERROR(Table2[[#This Row],[Importo annuale]]*VLOOKUP(Table2[[#This Row],[Ramo]],RAMI_POLIZZA,2,FALSE),0)</f>
        <v>8.5576399999999992</v>
      </c>
      <c r="AH857" s="65" t="s">
        <v>113</v>
      </c>
      <c r="AI857" s="63" t="str">
        <f>IFERROR(VLOOKUP(Table2[[#This Row],[Contraente]],Table1[[Nome/Ragione sociale]:[Checkbox selezionato]],2,FALSE),"-")</f>
        <v>VILLANTERIO</v>
      </c>
      <c r="AJ857" s="63">
        <f>IFERROR(VLOOKUP(Table2[[#This Row],[Contraente]],Table1[[Nome/Ragione sociale]:[Checkbox selezionato]],3,FALSE),"-")</f>
        <v>3393050453</v>
      </c>
      <c r="AK857" s="63" t="str">
        <f>IFERROR(VLOOKUP(Table2[[#This Row],[Contraente]],Table1[[Nome/Ragione sociale]:[Checkbox selezionato]],4,FALSE),"-")</f>
        <v>.0382967372</v>
      </c>
      <c r="AL857" s="63" t="str">
        <f>IFERROR(VLOOKUP(Table2[[#This Row],[Contraente]],Table1[[Nome/Ragione sociale]:[Checkbox selezionato]],5,FALSE),"-")</f>
        <v>BASSANINI DANILA</v>
      </c>
      <c r="AM857" s="62">
        <f>IFERROR(VLOOKUP(Table2[[#This Row],[Contraente]],Table1[[Nome/Ragione sociale]:[Checkbox selezionato]],6,FALSE),"-")</f>
        <v>28731</v>
      </c>
      <c r="AN857" s="63" t="str">
        <f>IFERROR(VLOOKUP(Table2[[#This Row],[Contraente]],Table1[[Nome/Ragione sociale]:[Checkbox selezionato]],7,FALSE),"-")</f>
        <v>papies@libero.it</v>
      </c>
      <c r="AO857" s="63">
        <f>IFERROR(VLOOKUP(Table2[[#This Row],[Contraente]],Table1[[Nome/Ragione sociale]:[Checkbox selezionato]],8,FALSE),"-")</f>
        <v>0</v>
      </c>
      <c r="AP857" s="63">
        <f>IFERROR(VLOOKUP(Table2[[#This Row],[Contraente]],Table1[[Nome/Ragione sociale]:[Checkbox selezionato]],10,FALSE),"-")</f>
        <v>3393050453</v>
      </c>
      <c r="AQ857" s="63" t="str">
        <f>IFERROR(VLOOKUP(Table2[[#This Row],[Contraente]],Table1[[Nome/Ragione sociale]:[Checkbox selezionato]],11,FALSE),"-")</f>
        <v>SI</v>
      </c>
      <c r="AR857" s="63" t="str">
        <f>IFERROR(VLOOKUP(Table2[[#This Row],[Contraente]],Table1[[Nome/Ragione sociale]:[Checkbox selezionato]],12,FALSE),"-")</f>
        <v>SI</v>
      </c>
    </row>
    <row r="858" spans="1:44" ht="30" hidden="1" customHeight="1" x14ac:dyDescent="0.25">
      <c r="A858" s="60" t="str">
        <f>UPPER(LEFT(Table2[[#This Row],[Contraente]],1))</f>
        <v>P</v>
      </c>
      <c r="B858" s="60" t="s">
        <v>1634</v>
      </c>
      <c r="C858" s="81" t="s">
        <v>163</v>
      </c>
      <c r="D858" s="81" t="s">
        <v>37</v>
      </c>
      <c r="E858" s="86">
        <v>103981694</v>
      </c>
      <c r="F858" s="64">
        <v>42760</v>
      </c>
      <c r="G858" s="64">
        <f>IFERROR(CALCOLASCADENZA(Table2[[#This Row],[Data attivazione]],Table2[[#This Row],[Rateizzazione]],Table2[[#This Row],[Data ultimo pagamento]],Table2[[#This Row],[Data prossima scadenza manuale]]),"-")</f>
        <v>43129</v>
      </c>
      <c r="H858" s="67" t="s">
        <v>31</v>
      </c>
      <c r="I858" s="67" t="s">
        <v>1486</v>
      </c>
      <c r="J858" s="33">
        <f>IFERROR(Table2[[#This Row],[Importo annuale]]/(12/VLOOKUP(Table2[[#This Row],[Rateizzazione]],TIPI_RATEIZZAZIONI,2,FALSE)),"-")</f>
        <v>259.54000000000002</v>
      </c>
      <c r="K858" s="88">
        <v>259.54000000000002</v>
      </c>
      <c r="L858" s="88">
        <v>259.54000000000002</v>
      </c>
      <c r="M858" s="67" t="s">
        <v>44</v>
      </c>
      <c r="N858" s="67" t="s">
        <v>51</v>
      </c>
      <c r="O858" s="27" t="s">
        <v>1631</v>
      </c>
      <c r="P858" s="33" t="s">
        <v>23</v>
      </c>
      <c r="Q858" s="60">
        <f>IFERROR(IF(12 / VLOOKUP(Table2[[#This Row],[Rateizzazione]],TIPI_RATEIZZAZIONI,2,FALSE) &gt;=1,  IF(Table2[[#This Row],[Data attivazione]] = "","-",MONTH(Table2[[#This Row],[Data attivazione]])),"-"),"-")</f>
        <v>1</v>
      </c>
      <c r="R8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8" s="67" t="s">
        <v>2</v>
      </c>
      <c r="V858" s="62"/>
      <c r="W858" s="64">
        <v>42764</v>
      </c>
      <c r="X858" s="29">
        <f>DATE(YEAR(Table2[[#This Row],[Data attivazione]])+VLOOKUP(Table2[[#This Row],[Durata]],VALORE_DURATA,2,FALSE),MONTH(Table2[[#This Row],[Data attivazione]]),DAY(Table2[[#This Row],[Data attivazione]]))</f>
        <v>43129</v>
      </c>
      <c r="Y858" s="65"/>
      <c r="Z858" s="61"/>
      <c r="AA858" s="64" t="s">
        <v>85</v>
      </c>
      <c r="AB858" s="29" t="str">
        <f>IF(Table2[[#This Row],[Data ultimo versamento temp]]=0/1/1900,"-",Table2[[#This Row],[Data ultimo versamento temp]])</f>
        <v>-</v>
      </c>
      <c r="AC858" s="29">
        <f t="array" ref="AC858">MAX(IF(TableVersamenti[Polizza]=Table2[[#This Row],[Polizza]],TableVersamenti[Data prevista versamento],"-"))</f>
        <v>0</v>
      </c>
      <c r="AD858" s="62"/>
      <c r="AE858" s="106">
        <f>DATE(YEAR(Table2[[#This Row],[Data ultimo pagamento]]),MONTH(Table2[[#This Row],[Data ultimo pagamento]]), 1)</f>
        <v>42736</v>
      </c>
      <c r="AF858" s="106">
        <f>DATE(YEAR(Table2[[#This Row],[Data prossima scadenza]]),MONTH(Table2[[#This Row],[Data prossima scadenza]]), 1)</f>
        <v>43101</v>
      </c>
      <c r="AG858" s="33">
        <f>IFERROR(Table2[[#This Row],[Importo annuale]]*VLOOKUP(Table2[[#This Row],[Ramo]],RAMI_POLIZZA,2,FALSE),0)</f>
        <v>13.496080000000001</v>
      </c>
      <c r="AH858" s="65" t="s">
        <v>113</v>
      </c>
      <c r="AI858" s="63" t="str">
        <f>IFERROR(VLOOKUP(Table2[[#This Row],[Contraente]],Table1[[Nome/Ragione sociale]:[Checkbox selezionato]],2,FALSE),"-")</f>
        <v>VILLANTERIO</v>
      </c>
      <c r="AJ858" s="63">
        <f>IFERROR(VLOOKUP(Table2[[#This Row],[Contraente]],Table1[[Nome/Ragione sociale]:[Checkbox selezionato]],3,FALSE),"-")</f>
        <v>3393050453</v>
      </c>
      <c r="AK858" s="63" t="str">
        <f>IFERROR(VLOOKUP(Table2[[#This Row],[Contraente]],Table1[[Nome/Ragione sociale]:[Checkbox selezionato]],4,FALSE),"-")</f>
        <v>.0382967372</v>
      </c>
      <c r="AL858" s="63" t="str">
        <f>IFERROR(VLOOKUP(Table2[[#This Row],[Contraente]],Table1[[Nome/Ragione sociale]:[Checkbox selezionato]],5,FALSE),"-")</f>
        <v>BASSANINI DANILA</v>
      </c>
      <c r="AM858" s="62">
        <f>IFERROR(VLOOKUP(Table2[[#This Row],[Contraente]],Table1[[Nome/Ragione sociale]:[Checkbox selezionato]],6,FALSE),"-")</f>
        <v>28731</v>
      </c>
      <c r="AN858" s="63" t="str">
        <f>IFERROR(VLOOKUP(Table2[[#This Row],[Contraente]],Table1[[Nome/Ragione sociale]:[Checkbox selezionato]],7,FALSE),"-")</f>
        <v>papies@libero.it</v>
      </c>
      <c r="AO858" s="63">
        <f>IFERROR(VLOOKUP(Table2[[#This Row],[Contraente]],Table1[[Nome/Ragione sociale]:[Checkbox selezionato]],8,FALSE),"-")</f>
        <v>0</v>
      </c>
      <c r="AP858" s="63">
        <f>IFERROR(VLOOKUP(Table2[[#This Row],[Contraente]],Table1[[Nome/Ragione sociale]:[Checkbox selezionato]],10,FALSE),"-")</f>
        <v>3393050453</v>
      </c>
      <c r="AQ858" s="63" t="str">
        <f>IFERROR(VLOOKUP(Table2[[#This Row],[Contraente]],Table1[[Nome/Ragione sociale]:[Checkbox selezionato]],11,FALSE),"-")</f>
        <v>SI</v>
      </c>
      <c r="AR858" s="63" t="str">
        <f>IFERROR(VLOOKUP(Table2[[#This Row],[Contraente]],Table1[[Nome/Ragione sociale]:[Checkbox selezionato]],12,FALSE),"-")</f>
        <v>SI</v>
      </c>
    </row>
    <row r="859" spans="1:44" ht="30" hidden="1" customHeight="1" x14ac:dyDescent="0.25">
      <c r="A859" s="60" t="str">
        <f>UPPER(LEFT(Table2[[#This Row],[Contraente]],1))</f>
        <v>P</v>
      </c>
      <c r="B859" s="60" t="s">
        <v>1634</v>
      </c>
      <c r="C859" s="81" t="s">
        <v>163</v>
      </c>
      <c r="D859" s="81" t="s">
        <v>37</v>
      </c>
      <c r="E859" s="86">
        <v>104740715</v>
      </c>
      <c r="F859" s="64">
        <v>42906</v>
      </c>
      <c r="G859" s="64">
        <f>IFERROR(CALCOLASCADENZA(Table2[[#This Row],[Data attivazione]],Table2[[#This Row],[Rateizzazione]],Table2[[#This Row],[Data ultimo pagamento]],Table2[[#This Row],[Data prossima scadenza manuale]]),"-")</f>
        <v>43281</v>
      </c>
      <c r="H859" s="67" t="s">
        <v>31</v>
      </c>
      <c r="I859" s="67" t="s">
        <v>1487</v>
      </c>
      <c r="J859" s="33">
        <f>IFERROR(Table2[[#This Row],[Importo annuale]]/(12/VLOOKUP(Table2[[#This Row],[Rateizzazione]],TIPI_RATEIZZAZIONI,2,FALSE)),"-")</f>
        <v>164.57</v>
      </c>
      <c r="K859" s="88">
        <v>164.57</v>
      </c>
      <c r="L859" s="88">
        <v>164.57</v>
      </c>
      <c r="M859" s="67" t="s">
        <v>44</v>
      </c>
      <c r="N859" s="67" t="s">
        <v>51</v>
      </c>
      <c r="O859" s="27" t="s">
        <v>1631</v>
      </c>
      <c r="P859" s="33" t="s">
        <v>23</v>
      </c>
      <c r="Q859" s="60">
        <f>IFERROR(IF(12 / VLOOKUP(Table2[[#This Row],[Rateizzazione]],TIPI_RATEIZZAZIONI,2,FALSE) &gt;=1,  IF(Table2[[#This Row],[Data attivazione]] = "","-",MONTH(Table2[[#This Row],[Data attivazione]])),"-"),"-")</f>
        <v>6</v>
      </c>
      <c r="R8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9" s="67" t="s">
        <v>2</v>
      </c>
      <c r="V859" s="62"/>
      <c r="W859" s="64">
        <v>42916</v>
      </c>
      <c r="X859" s="29">
        <f>DATE(YEAR(Table2[[#This Row],[Data attivazione]])+VLOOKUP(Table2[[#This Row],[Durata]],VALORE_DURATA,2,FALSE),MONTH(Table2[[#This Row],[Data attivazione]]),DAY(Table2[[#This Row],[Data attivazione]]))</f>
        <v>43281</v>
      </c>
      <c r="Y859" s="65"/>
      <c r="Z859" s="61"/>
      <c r="AA859" s="64" t="s">
        <v>85</v>
      </c>
      <c r="AB859" s="29" t="str">
        <f>IF(Table2[[#This Row],[Data ultimo versamento temp]]=0/1/1900,"-",Table2[[#This Row],[Data ultimo versamento temp]])</f>
        <v>-</v>
      </c>
      <c r="AC859" s="29">
        <f t="array" ref="AC859">MAX(IF(TableVersamenti[Polizza]=Table2[[#This Row],[Polizza]],TableVersamenti[Data prevista versamento],"-"))</f>
        <v>0</v>
      </c>
      <c r="AD859" s="62"/>
      <c r="AE859" s="106">
        <f>DATE(YEAR(Table2[[#This Row],[Data ultimo pagamento]]),MONTH(Table2[[#This Row],[Data ultimo pagamento]]), 1)</f>
        <v>42887</v>
      </c>
      <c r="AF859" s="106">
        <f>DATE(YEAR(Table2[[#This Row],[Data prossima scadenza]]),MONTH(Table2[[#This Row],[Data prossima scadenza]]), 1)</f>
        <v>43252</v>
      </c>
      <c r="AG859" s="33">
        <f>IFERROR(Table2[[#This Row],[Importo annuale]]*VLOOKUP(Table2[[#This Row],[Ramo]],RAMI_POLIZZA,2,FALSE),0)</f>
        <v>8.5576399999999992</v>
      </c>
      <c r="AH859" s="65" t="s">
        <v>113</v>
      </c>
      <c r="AI859" s="63" t="str">
        <f>IFERROR(VLOOKUP(Table2[[#This Row],[Contraente]],Table1[[Nome/Ragione sociale]:[Checkbox selezionato]],2,FALSE),"-")</f>
        <v>VILLANTERIO</v>
      </c>
      <c r="AJ859" s="63">
        <f>IFERROR(VLOOKUP(Table2[[#This Row],[Contraente]],Table1[[Nome/Ragione sociale]:[Checkbox selezionato]],3,FALSE),"-")</f>
        <v>3393050453</v>
      </c>
      <c r="AK859" s="63" t="str">
        <f>IFERROR(VLOOKUP(Table2[[#This Row],[Contraente]],Table1[[Nome/Ragione sociale]:[Checkbox selezionato]],4,FALSE),"-")</f>
        <v>.0382967372</v>
      </c>
      <c r="AL859" s="63" t="str">
        <f>IFERROR(VLOOKUP(Table2[[#This Row],[Contraente]],Table1[[Nome/Ragione sociale]:[Checkbox selezionato]],5,FALSE),"-")</f>
        <v>BASSANINI DANILA</v>
      </c>
      <c r="AM859" s="62">
        <f>IFERROR(VLOOKUP(Table2[[#This Row],[Contraente]],Table1[[Nome/Ragione sociale]:[Checkbox selezionato]],6,FALSE),"-")</f>
        <v>28731</v>
      </c>
      <c r="AN859" s="63" t="str">
        <f>IFERROR(VLOOKUP(Table2[[#This Row],[Contraente]],Table1[[Nome/Ragione sociale]:[Checkbox selezionato]],7,FALSE),"-")</f>
        <v>papies@libero.it</v>
      </c>
      <c r="AO859" s="63">
        <f>IFERROR(VLOOKUP(Table2[[#This Row],[Contraente]],Table1[[Nome/Ragione sociale]:[Checkbox selezionato]],8,FALSE),"-")</f>
        <v>0</v>
      </c>
      <c r="AP859" s="63">
        <f>IFERROR(VLOOKUP(Table2[[#This Row],[Contraente]],Table1[[Nome/Ragione sociale]:[Checkbox selezionato]],10,FALSE),"-")</f>
        <v>3393050453</v>
      </c>
      <c r="AQ859" s="63" t="str">
        <f>IFERROR(VLOOKUP(Table2[[#This Row],[Contraente]],Table1[[Nome/Ragione sociale]:[Checkbox selezionato]],11,FALSE),"-")</f>
        <v>SI</v>
      </c>
      <c r="AR859" s="63" t="str">
        <f>IFERROR(VLOOKUP(Table2[[#This Row],[Contraente]],Table1[[Nome/Ragione sociale]:[Checkbox selezionato]],12,FALSE),"-")</f>
        <v>SI</v>
      </c>
    </row>
    <row r="860" spans="1:44" ht="30" hidden="1" customHeight="1" x14ac:dyDescent="0.25">
      <c r="A860" s="60" t="str">
        <f>UPPER(LEFT(Table2[[#This Row],[Contraente]],1))</f>
        <v>P</v>
      </c>
      <c r="B860" s="60" t="s">
        <v>1634</v>
      </c>
      <c r="C860" s="81" t="s">
        <v>163</v>
      </c>
      <c r="D860" s="81" t="s">
        <v>37</v>
      </c>
      <c r="E860" s="86">
        <v>105906673</v>
      </c>
      <c r="F860" s="64">
        <v>42583</v>
      </c>
      <c r="G860" s="64">
        <f>IFERROR(CALCOLASCADENZA(Table2[[#This Row],[Data attivazione]],Table2[[#This Row],[Rateizzazione]],Table2[[#This Row],[Data ultimo pagamento]],Table2[[#This Row],[Data prossima scadenza manuale]]),"-")</f>
        <v>42952</v>
      </c>
      <c r="H860" s="67" t="s">
        <v>31</v>
      </c>
      <c r="I860" s="67" t="s">
        <v>1488</v>
      </c>
      <c r="J860" s="33">
        <f>IFERROR(Table2[[#This Row],[Importo annuale]]/(12/VLOOKUP(Table2[[#This Row],[Rateizzazione]],TIPI_RATEIZZAZIONI,2,FALSE)),"-")</f>
        <v>1030</v>
      </c>
      <c r="K860" s="88"/>
      <c r="L860" s="88">
        <v>1030</v>
      </c>
      <c r="M860" s="67" t="s">
        <v>44</v>
      </c>
      <c r="N860" s="67" t="s">
        <v>51</v>
      </c>
      <c r="O860" s="27" t="s">
        <v>1631</v>
      </c>
      <c r="P860" s="33" t="s">
        <v>23</v>
      </c>
      <c r="Q860" s="60">
        <f>IFERROR(IF(12 / VLOOKUP(Table2[[#This Row],[Rateizzazione]],TIPI_RATEIZZAZIONI,2,FALSE) &gt;=1,  IF(Table2[[#This Row],[Data attivazione]] = "","-",MONTH(Table2[[#This Row],[Data attivazione]])),"-"),"-")</f>
        <v>8</v>
      </c>
      <c r="R8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0" s="67" t="s">
        <v>2</v>
      </c>
      <c r="V860" s="62"/>
      <c r="W860" s="64">
        <v>42587</v>
      </c>
      <c r="X860" s="29">
        <f>DATE(YEAR(Table2[[#This Row],[Data attivazione]])+VLOOKUP(Table2[[#This Row],[Durata]],VALORE_DURATA,2,FALSE),MONTH(Table2[[#This Row],[Data attivazione]]),DAY(Table2[[#This Row],[Data attivazione]]))</f>
        <v>42952</v>
      </c>
      <c r="Y860" s="65"/>
      <c r="Z860" s="61"/>
      <c r="AA860" s="64" t="s">
        <v>85</v>
      </c>
      <c r="AB860" s="29" t="str">
        <f>IF(Table2[[#This Row],[Data ultimo versamento temp]]=0/1/1900,"-",Table2[[#This Row],[Data ultimo versamento temp]])</f>
        <v>-</v>
      </c>
      <c r="AC860" s="29">
        <f t="array" ref="AC860">MAX(IF(TableVersamenti[Polizza]=Table2[[#This Row],[Polizza]],TableVersamenti[Data prevista versamento],"-"))</f>
        <v>0</v>
      </c>
      <c r="AD860" s="62"/>
      <c r="AE860" s="106">
        <f>DATE(YEAR(Table2[[#This Row],[Data ultimo pagamento]]),MONTH(Table2[[#This Row],[Data ultimo pagamento]]), 1)</f>
        <v>42583</v>
      </c>
      <c r="AF860" s="106">
        <f>DATE(YEAR(Table2[[#This Row],[Data prossima scadenza]]),MONTH(Table2[[#This Row],[Data prossima scadenza]]), 1)</f>
        <v>42948</v>
      </c>
      <c r="AG860" s="33">
        <f>IFERROR(Table2[[#This Row],[Importo annuale]]*VLOOKUP(Table2[[#This Row],[Ramo]],RAMI_POLIZZA,2,FALSE),0)</f>
        <v>53.559999999999995</v>
      </c>
      <c r="AH860" s="65" t="s">
        <v>113</v>
      </c>
      <c r="AI860" s="63" t="str">
        <f>IFERROR(VLOOKUP(Table2[[#This Row],[Contraente]],Table1[[Nome/Ragione sociale]:[Checkbox selezionato]],2,FALSE),"-")</f>
        <v>VILLANTERIO</v>
      </c>
      <c r="AJ860" s="63">
        <f>IFERROR(VLOOKUP(Table2[[#This Row],[Contraente]],Table1[[Nome/Ragione sociale]:[Checkbox selezionato]],3,FALSE),"-")</f>
        <v>3393050453</v>
      </c>
      <c r="AK860" s="63" t="str">
        <f>IFERROR(VLOOKUP(Table2[[#This Row],[Contraente]],Table1[[Nome/Ragione sociale]:[Checkbox selezionato]],4,FALSE),"-")</f>
        <v>.0382967372</v>
      </c>
      <c r="AL860" s="63" t="str">
        <f>IFERROR(VLOOKUP(Table2[[#This Row],[Contraente]],Table1[[Nome/Ragione sociale]:[Checkbox selezionato]],5,FALSE),"-")</f>
        <v>BASSANINI DANILA</v>
      </c>
      <c r="AM860" s="62">
        <f>IFERROR(VLOOKUP(Table2[[#This Row],[Contraente]],Table1[[Nome/Ragione sociale]:[Checkbox selezionato]],6,FALSE),"-")</f>
        <v>28731</v>
      </c>
      <c r="AN860" s="63" t="str">
        <f>IFERROR(VLOOKUP(Table2[[#This Row],[Contraente]],Table1[[Nome/Ragione sociale]:[Checkbox selezionato]],7,FALSE),"-")</f>
        <v>papies@libero.it</v>
      </c>
      <c r="AO860" s="63">
        <f>IFERROR(VLOOKUP(Table2[[#This Row],[Contraente]],Table1[[Nome/Ragione sociale]:[Checkbox selezionato]],8,FALSE),"-")</f>
        <v>0</v>
      </c>
      <c r="AP860" s="63">
        <f>IFERROR(VLOOKUP(Table2[[#This Row],[Contraente]],Table1[[Nome/Ragione sociale]:[Checkbox selezionato]],10,FALSE),"-")</f>
        <v>3393050453</v>
      </c>
      <c r="AQ860" s="63" t="str">
        <f>IFERROR(VLOOKUP(Table2[[#This Row],[Contraente]],Table1[[Nome/Ragione sociale]:[Checkbox selezionato]],11,FALSE),"-")</f>
        <v>SI</v>
      </c>
      <c r="AR860" s="63" t="str">
        <f>IFERROR(VLOOKUP(Table2[[#This Row],[Contraente]],Table1[[Nome/Ragione sociale]:[Checkbox selezionato]],12,FALSE),"-")</f>
        <v>SI</v>
      </c>
    </row>
    <row r="861" spans="1:44" ht="30" hidden="1" customHeight="1" x14ac:dyDescent="0.25">
      <c r="A861" s="60" t="str">
        <f>UPPER(LEFT(Table2[[#This Row],[Contraente]],1))</f>
        <v>P</v>
      </c>
      <c r="B861" s="60" t="s">
        <v>1634</v>
      </c>
      <c r="C861" s="81" t="s">
        <v>900</v>
      </c>
      <c r="D861" s="81" t="s">
        <v>37</v>
      </c>
      <c r="E861" s="86">
        <v>102687659</v>
      </c>
      <c r="F861" s="64">
        <v>42906</v>
      </c>
      <c r="G861" s="64">
        <f>IFERROR(CALCOLASCADENZA(Table2[[#This Row],[Data attivazione]],Table2[[#This Row],[Rateizzazione]],Table2[[#This Row],[Data ultimo pagamento]],Table2[[#This Row],[Data prossima scadenza manuale]]),"-")</f>
        <v>43276</v>
      </c>
      <c r="H861" s="67" t="s">
        <v>31</v>
      </c>
      <c r="I861" s="67" t="s">
        <v>1489</v>
      </c>
      <c r="J861" s="33">
        <f>IFERROR(Table2[[#This Row],[Importo annuale]]/(12/VLOOKUP(Table2[[#This Row],[Rateizzazione]],TIPI_RATEIZZAZIONI,2,FALSE)),"-")</f>
        <v>164.57</v>
      </c>
      <c r="K861" s="88">
        <v>164.57</v>
      </c>
      <c r="L861" s="88">
        <v>164.57</v>
      </c>
      <c r="M861" s="67" t="s">
        <v>44</v>
      </c>
      <c r="N861" s="67" t="s">
        <v>51</v>
      </c>
      <c r="O861" s="27" t="s">
        <v>1631</v>
      </c>
      <c r="P861" s="33" t="s">
        <v>23</v>
      </c>
      <c r="Q861" s="60">
        <f>IFERROR(IF(12 / VLOOKUP(Table2[[#This Row],[Rateizzazione]],TIPI_RATEIZZAZIONI,2,FALSE) &gt;=1,  IF(Table2[[#This Row],[Data attivazione]] = "","-",MONTH(Table2[[#This Row],[Data attivazione]])),"-"),"-")</f>
        <v>6</v>
      </c>
      <c r="R8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1" s="67" t="s">
        <v>2</v>
      </c>
      <c r="V861" s="62"/>
      <c r="W861" s="64">
        <v>42911</v>
      </c>
      <c r="X861" s="29">
        <f>DATE(YEAR(Table2[[#This Row],[Data attivazione]])+VLOOKUP(Table2[[#This Row],[Durata]],VALORE_DURATA,2,FALSE),MONTH(Table2[[#This Row],[Data attivazione]]),DAY(Table2[[#This Row],[Data attivazione]]))</f>
        <v>43276</v>
      </c>
      <c r="Y861" s="65"/>
      <c r="Z861" s="61"/>
      <c r="AA861" s="64" t="s">
        <v>85</v>
      </c>
      <c r="AB861" s="29" t="str">
        <f>IF(Table2[[#This Row],[Data ultimo versamento temp]]=0/1/1900,"-",Table2[[#This Row],[Data ultimo versamento temp]])</f>
        <v>-</v>
      </c>
      <c r="AC861" s="29">
        <f t="array" ref="AC861">MAX(IF(TableVersamenti[Polizza]=Table2[[#This Row],[Polizza]],TableVersamenti[Data prevista versamento],"-"))</f>
        <v>0</v>
      </c>
      <c r="AD861" s="62"/>
      <c r="AE861" s="106">
        <f>DATE(YEAR(Table2[[#This Row],[Data ultimo pagamento]]),MONTH(Table2[[#This Row],[Data ultimo pagamento]]), 1)</f>
        <v>42887</v>
      </c>
      <c r="AF861" s="106">
        <f>DATE(YEAR(Table2[[#This Row],[Data prossima scadenza]]),MONTH(Table2[[#This Row],[Data prossima scadenza]]), 1)</f>
        <v>43252</v>
      </c>
      <c r="AG861" s="33">
        <f>IFERROR(Table2[[#This Row],[Importo annuale]]*VLOOKUP(Table2[[#This Row],[Ramo]],RAMI_POLIZZA,2,FALSE),0)</f>
        <v>8.5576399999999992</v>
      </c>
      <c r="AH861" s="65" t="s">
        <v>113</v>
      </c>
      <c r="AI861" s="63" t="str">
        <f>IFERROR(VLOOKUP(Table2[[#This Row],[Contraente]],Table1[[Nome/Ragione sociale]:[Checkbox selezionato]],2,FALSE),"-")</f>
        <v>VILLANTERIO</v>
      </c>
      <c r="AJ861" s="63">
        <f>IFERROR(VLOOKUP(Table2[[#This Row],[Contraente]],Table1[[Nome/Ragione sociale]:[Checkbox selezionato]],3,FALSE),"-")</f>
        <v>3393050453</v>
      </c>
      <c r="AK861" s="63" t="str">
        <f>IFERROR(VLOOKUP(Table2[[#This Row],[Contraente]],Table1[[Nome/Ragione sociale]:[Checkbox selezionato]],4,FALSE),"-")</f>
        <v>.0382967372</v>
      </c>
      <c r="AL861" s="63" t="str">
        <f>IFERROR(VLOOKUP(Table2[[#This Row],[Contraente]],Table1[[Nome/Ragione sociale]:[Checkbox selezionato]],5,FALSE),"-")</f>
        <v>BASSANINI DANILA</v>
      </c>
      <c r="AM861" s="62">
        <f>IFERROR(VLOOKUP(Table2[[#This Row],[Contraente]],Table1[[Nome/Ragione sociale]:[Checkbox selezionato]],6,FALSE),"-")</f>
        <v>28731</v>
      </c>
      <c r="AN861" s="63" t="str">
        <f>IFERROR(VLOOKUP(Table2[[#This Row],[Contraente]],Table1[[Nome/Ragione sociale]:[Checkbox selezionato]],7,FALSE),"-")</f>
        <v>papies@libero.it</v>
      </c>
      <c r="AO861" s="63">
        <f>IFERROR(VLOOKUP(Table2[[#This Row],[Contraente]],Table1[[Nome/Ragione sociale]:[Checkbox selezionato]],8,FALSE),"-")</f>
        <v>0</v>
      </c>
      <c r="AP861" s="63">
        <f>IFERROR(VLOOKUP(Table2[[#This Row],[Contraente]],Table1[[Nome/Ragione sociale]:[Checkbox selezionato]],10,FALSE),"-")</f>
        <v>3393050453</v>
      </c>
      <c r="AQ861" s="63" t="str">
        <f>IFERROR(VLOOKUP(Table2[[#This Row],[Contraente]],Table1[[Nome/Ragione sociale]:[Checkbox selezionato]],11,FALSE),"-")</f>
        <v>SI</v>
      </c>
      <c r="AR861" s="63" t="str">
        <f>IFERROR(VLOOKUP(Table2[[#This Row],[Contraente]],Table1[[Nome/Ragione sociale]:[Checkbox selezionato]],12,FALSE),"-")</f>
        <v>SI</v>
      </c>
    </row>
    <row r="862" spans="1:44" ht="30" hidden="1" customHeight="1" x14ac:dyDescent="0.25">
      <c r="A862" s="60" t="str">
        <f>UPPER(LEFT(Table2[[#This Row],[Contraente]],1))</f>
        <v>P</v>
      </c>
      <c r="B862" s="60" t="s">
        <v>1634</v>
      </c>
      <c r="C862" s="81" t="s">
        <v>901</v>
      </c>
      <c r="D862" s="81" t="s">
        <v>37</v>
      </c>
      <c r="E862" s="86">
        <v>105569437</v>
      </c>
      <c r="F862" s="64">
        <v>42859</v>
      </c>
      <c r="G862" s="64">
        <f>IFERROR(CALCOLASCADENZA(Table2[[#This Row],[Data attivazione]],Table2[[#This Row],[Rateizzazione]],Table2[[#This Row],[Data ultimo pagamento]],Table2[[#This Row],[Data prossima scadenza manuale]]),"-")</f>
        <v>43227</v>
      </c>
      <c r="H862" s="67" t="s">
        <v>31</v>
      </c>
      <c r="I862" s="67" t="s">
        <v>1490</v>
      </c>
      <c r="J862" s="33">
        <f>IFERROR(Table2[[#This Row],[Importo annuale]]/(12/VLOOKUP(Table2[[#This Row],[Rateizzazione]],TIPI_RATEIZZAZIONI,2,FALSE)),"-")</f>
        <v>905</v>
      </c>
      <c r="K862" s="88">
        <v>905</v>
      </c>
      <c r="L862" s="88">
        <v>905</v>
      </c>
      <c r="M862" s="67" t="s">
        <v>44</v>
      </c>
      <c r="N862" s="67" t="s">
        <v>51</v>
      </c>
      <c r="O862" s="27" t="s">
        <v>1631</v>
      </c>
      <c r="P862" s="33" t="s">
        <v>23</v>
      </c>
      <c r="Q862" s="60">
        <f>IFERROR(IF(12 / VLOOKUP(Table2[[#This Row],[Rateizzazione]],TIPI_RATEIZZAZIONI,2,FALSE) &gt;=1,  IF(Table2[[#This Row],[Data attivazione]] = "","-",MONTH(Table2[[#This Row],[Data attivazione]])),"-"),"-")</f>
        <v>5</v>
      </c>
      <c r="R8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2" s="67" t="s">
        <v>2</v>
      </c>
      <c r="V862" s="62"/>
      <c r="W862" s="64">
        <v>42862</v>
      </c>
      <c r="X862" s="29">
        <f>DATE(YEAR(Table2[[#This Row],[Data attivazione]])+VLOOKUP(Table2[[#This Row],[Durata]],VALORE_DURATA,2,FALSE),MONTH(Table2[[#This Row],[Data attivazione]]),DAY(Table2[[#This Row],[Data attivazione]]))</f>
        <v>43227</v>
      </c>
      <c r="Y862" s="65"/>
      <c r="Z862" s="61"/>
      <c r="AA862" s="64" t="s">
        <v>85</v>
      </c>
      <c r="AB862" s="29" t="str">
        <f>IF(Table2[[#This Row],[Data ultimo versamento temp]]=0/1/1900,"-",Table2[[#This Row],[Data ultimo versamento temp]])</f>
        <v>-</v>
      </c>
      <c r="AC862" s="29">
        <f t="array" ref="AC862">MAX(IF(TableVersamenti[Polizza]=Table2[[#This Row],[Polizza]],TableVersamenti[Data prevista versamento],"-"))</f>
        <v>0</v>
      </c>
      <c r="AD862" s="62"/>
      <c r="AE862" s="106">
        <f>DATE(YEAR(Table2[[#This Row],[Data ultimo pagamento]]),MONTH(Table2[[#This Row],[Data ultimo pagamento]]), 1)</f>
        <v>42856</v>
      </c>
      <c r="AF862" s="106">
        <f>DATE(YEAR(Table2[[#This Row],[Data prossima scadenza]]),MONTH(Table2[[#This Row],[Data prossima scadenza]]), 1)</f>
        <v>43221</v>
      </c>
      <c r="AG862" s="33">
        <f>IFERROR(Table2[[#This Row],[Importo annuale]]*VLOOKUP(Table2[[#This Row],[Ramo]],RAMI_POLIZZA,2,FALSE),0)</f>
        <v>47.059999999999995</v>
      </c>
      <c r="AH862" s="65" t="s">
        <v>113</v>
      </c>
      <c r="AI862" s="63" t="str">
        <f>IFERROR(VLOOKUP(Table2[[#This Row],[Contraente]],Table1[[Nome/Ragione sociale]:[Checkbox selezionato]],2,FALSE),"-")</f>
        <v>VILLANTERIO</v>
      </c>
      <c r="AJ862" s="63">
        <f>IFERROR(VLOOKUP(Table2[[#This Row],[Contraente]],Table1[[Nome/Ragione sociale]:[Checkbox selezionato]],3,FALSE),"-")</f>
        <v>3393050453</v>
      </c>
      <c r="AK862" s="63" t="str">
        <f>IFERROR(VLOOKUP(Table2[[#This Row],[Contraente]],Table1[[Nome/Ragione sociale]:[Checkbox selezionato]],4,FALSE),"-")</f>
        <v>.0382967372</v>
      </c>
      <c r="AL862" s="63" t="str">
        <f>IFERROR(VLOOKUP(Table2[[#This Row],[Contraente]],Table1[[Nome/Ragione sociale]:[Checkbox selezionato]],5,FALSE),"-")</f>
        <v>BASSANINI DANILA</v>
      </c>
      <c r="AM862" s="62">
        <f>IFERROR(VLOOKUP(Table2[[#This Row],[Contraente]],Table1[[Nome/Ragione sociale]:[Checkbox selezionato]],6,FALSE),"-")</f>
        <v>28731</v>
      </c>
      <c r="AN862" s="63" t="str">
        <f>IFERROR(VLOOKUP(Table2[[#This Row],[Contraente]],Table1[[Nome/Ragione sociale]:[Checkbox selezionato]],7,FALSE),"-")</f>
        <v>papies@email.it</v>
      </c>
      <c r="AO862" s="63">
        <f>IFERROR(VLOOKUP(Table2[[#This Row],[Contraente]],Table1[[Nome/Ragione sociale]:[Checkbox selezionato]],8,FALSE),"-")</f>
        <v>0</v>
      </c>
      <c r="AP862" s="63">
        <f>IFERROR(VLOOKUP(Table2[[#This Row],[Contraente]],Table1[[Nome/Ragione sociale]:[Checkbox selezionato]],10,FALSE),"-")</f>
        <v>3393050453</v>
      </c>
      <c r="AQ862" s="63" t="str">
        <f>IFERROR(VLOOKUP(Table2[[#This Row],[Contraente]],Table1[[Nome/Ragione sociale]:[Checkbox selezionato]],11,FALSE),"-")</f>
        <v>SI</v>
      </c>
      <c r="AR862" s="63" t="str">
        <f>IFERROR(VLOOKUP(Table2[[#This Row],[Contraente]],Table1[[Nome/Ragione sociale]:[Checkbox selezionato]],12,FALSE),"-")</f>
        <v>SI</v>
      </c>
    </row>
    <row r="863" spans="1:44" ht="30" hidden="1" customHeight="1" x14ac:dyDescent="0.25">
      <c r="A863" s="60" t="str">
        <f>UPPER(LEFT(Table2[[#This Row],[Contraente]],1))</f>
        <v>P</v>
      </c>
      <c r="B863" s="60" t="s">
        <v>1634</v>
      </c>
      <c r="C863" s="81" t="s">
        <v>909</v>
      </c>
      <c r="D863" s="81" t="s">
        <v>37</v>
      </c>
      <c r="E863" s="86">
        <v>105589562</v>
      </c>
      <c r="F863" s="64">
        <v>42870</v>
      </c>
      <c r="G863" s="64">
        <f>IFERROR(CALCOLASCADENZA(Table2[[#This Row],[Data attivazione]],Table2[[#This Row],[Rateizzazione]],Table2[[#This Row],[Data ultimo pagamento]],Table2[[#This Row],[Data prossima scadenza manuale]]),"-")</f>
        <v>43226</v>
      </c>
      <c r="H863" s="67" t="s">
        <v>30</v>
      </c>
      <c r="I863" s="67" t="s">
        <v>113</v>
      </c>
      <c r="J863" s="33">
        <f>IFERROR(Table2[[#This Row],[Importo annuale]]/(12/VLOOKUP(Table2[[#This Row],[Rateizzazione]],TIPI_RATEIZZAZIONI,2,FALSE)),"-")</f>
        <v>185</v>
      </c>
      <c r="K863" s="88">
        <v>185</v>
      </c>
      <c r="L863" s="88">
        <v>185</v>
      </c>
      <c r="M863" s="67" t="s">
        <v>44</v>
      </c>
      <c r="N863" s="67" t="s">
        <v>51</v>
      </c>
      <c r="O863" s="27" t="s">
        <v>1631</v>
      </c>
      <c r="P863" s="33" t="s">
        <v>23</v>
      </c>
      <c r="Q863" s="60">
        <f>IFERROR(IF(12 / VLOOKUP(Table2[[#This Row],[Rateizzazione]],TIPI_RATEIZZAZIONI,2,FALSE) &gt;=1,  IF(Table2[[#This Row],[Data attivazione]] = "","-",MONTH(Table2[[#This Row],[Data attivazione]])),"-"),"-")</f>
        <v>5</v>
      </c>
      <c r="R8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3" s="67" t="s">
        <v>2</v>
      </c>
      <c r="V863" s="62"/>
      <c r="W863" s="64">
        <v>42861</v>
      </c>
      <c r="X863" s="29">
        <f>DATE(YEAR(Table2[[#This Row],[Data attivazione]])+VLOOKUP(Table2[[#This Row],[Durata]],VALORE_DURATA,2,FALSE),MONTH(Table2[[#This Row],[Data attivazione]]),DAY(Table2[[#This Row],[Data attivazione]]))</f>
        <v>43226</v>
      </c>
      <c r="Y863" s="65"/>
      <c r="Z863" s="61"/>
      <c r="AA863" s="64" t="s">
        <v>85</v>
      </c>
      <c r="AB863" s="29" t="str">
        <f>IF(Table2[[#This Row],[Data ultimo versamento temp]]=0/1/1900,"-",Table2[[#This Row],[Data ultimo versamento temp]])</f>
        <v>-</v>
      </c>
      <c r="AC863" s="29">
        <f t="array" ref="AC863">MAX(IF(TableVersamenti[Polizza]=Table2[[#This Row],[Polizza]],TableVersamenti[Data prevista versamento],"-"))</f>
        <v>0</v>
      </c>
      <c r="AD863" s="62"/>
      <c r="AE863" s="106">
        <f>DATE(YEAR(Table2[[#This Row],[Data ultimo pagamento]]),MONTH(Table2[[#This Row],[Data ultimo pagamento]]), 1)</f>
        <v>42856</v>
      </c>
      <c r="AF863" s="106">
        <f>DATE(YEAR(Table2[[#This Row],[Data prossima scadenza]]),MONTH(Table2[[#This Row],[Data prossima scadenza]]), 1)</f>
        <v>43221</v>
      </c>
      <c r="AG863" s="33">
        <f>IFERROR(Table2[[#This Row],[Importo annuale]]*VLOOKUP(Table2[[#This Row],[Ramo]],RAMI_POLIZZA,2,FALSE),0)</f>
        <v>21.275000000000002</v>
      </c>
      <c r="AH863" s="65" t="s">
        <v>113</v>
      </c>
      <c r="AI863" s="63" t="str">
        <f>IFERROR(VLOOKUP(Table2[[#This Row],[Contraente]],Table1[[Nome/Ragione sociale]:[Checkbox selezionato]],2,FALSE),"-")</f>
        <v>PAVIA</v>
      </c>
      <c r="AJ863" s="63">
        <f>IFERROR(VLOOKUP(Table2[[#This Row],[Contraente]],Table1[[Nome/Ragione sociale]:[Checkbox selezionato]],3,FALSE),"-")</f>
        <v>3338345412</v>
      </c>
      <c r="AK863" s="63">
        <f>IFERROR(VLOOKUP(Table2[[#This Row],[Contraente]],Table1[[Nome/Ragione sociale]:[Checkbox selezionato]],4,FALSE),"-")</f>
        <v>0</v>
      </c>
      <c r="AL863" s="63" t="str">
        <f>IFERROR(VLOOKUP(Table2[[#This Row],[Contraente]],Table1[[Nome/Ragione sociale]:[Checkbox selezionato]],5,FALSE),"-")</f>
        <v>MARIA LUISA</v>
      </c>
      <c r="AM863" s="62">
        <f>IFERROR(VLOOKUP(Table2[[#This Row],[Contraente]],Table1[[Nome/Ragione sociale]:[Checkbox selezionato]],6,FALSE),"-")</f>
        <v>12944</v>
      </c>
      <c r="AN863" s="63" t="str">
        <f>IFERROR(VLOOKUP(Table2[[#This Row],[Contraente]],Table1[[Nome/Ragione sociale]:[Checkbox selezionato]],7,FALSE),"-")</f>
        <v>papies@libero.it</v>
      </c>
      <c r="AO863" s="63">
        <f>IFERROR(VLOOKUP(Table2[[#This Row],[Contraente]],Table1[[Nome/Ragione sociale]:[Checkbox selezionato]],8,FALSE),"-")</f>
        <v>0</v>
      </c>
      <c r="AP863" s="63">
        <f>IFERROR(VLOOKUP(Table2[[#This Row],[Contraente]],Table1[[Nome/Ragione sociale]:[Checkbox selezionato]],10,FALSE),"-")</f>
        <v>3338345412</v>
      </c>
      <c r="AQ863" s="63" t="str">
        <f>IFERROR(VLOOKUP(Table2[[#This Row],[Contraente]],Table1[[Nome/Ragione sociale]:[Checkbox selezionato]],11,FALSE),"-")</f>
        <v>SI</v>
      </c>
      <c r="AR863" s="63" t="str">
        <f>IFERROR(VLOOKUP(Table2[[#This Row],[Contraente]],Table1[[Nome/Ragione sociale]:[Checkbox selezionato]],12,FALSE),"-")</f>
        <v>SI</v>
      </c>
    </row>
    <row r="864" spans="1:44" ht="30" hidden="1" customHeight="1" x14ac:dyDescent="0.25">
      <c r="A864" s="60" t="str">
        <f>UPPER(LEFT(Table2[[#This Row],[Contraente]],1))</f>
        <v>P</v>
      </c>
      <c r="B864" s="60" t="s">
        <v>1634</v>
      </c>
      <c r="C864" s="81" t="s">
        <v>911</v>
      </c>
      <c r="D864" s="81" t="s">
        <v>37</v>
      </c>
      <c r="E864" s="86">
        <v>105602680</v>
      </c>
      <c r="F864" s="64">
        <v>42872</v>
      </c>
      <c r="G864" s="64">
        <f>IFERROR(CALCOLASCADENZA(Table2[[#This Row],[Data attivazione]],Table2[[#This Row],[Rateizzazione]],Table2[[#This Row],[Data ultimo pagamento]],Table2[[#This Row],[Data prossima scadenza manuale]]),"-")</f>
        <v>43234</v>
      </c>
      <c r="H864" s="67" t="s">
        <v>31</v>
      </c>
      <c r="I864" s="67" t="s">
        <v>1493</v>
      </c>
      <c r="J864" s="33">
        <f>IFERROR(Table2[[#This Row],[Importo annuale]]/(12/VLOOKUP(Table2[[#This Row],[Rateizzazione]],TIPI_RATEIZZAZIONI,2,FALSE)),"-")</f>
        <v>468</v>
      </c>
      <c r="K864" s="88">
        <v>468</v>
      </c>
      <c r="L864" s="88">
        <v>468</v>
      </c>
      <c r="M864" s="67" t="s">
        <v>44</v>
      </c>
      <c r="N864" s="67" t="s">
        <v>51</v>
      </c>
      <c r="O864" s="27" t="s">
        <v>1631</v>
      </c>
      <c r="P864" s="33" t="s">
        <v>23</v>
      </c>
      <c r="Q864" s="60">
        <f>IFERROR(IF(12 / VLOOKUP(Table2[[#This Row],[Rateizzazione]],TIPI_RATEIZZAZIONI,2,FALSE) &gt;=1,  IF(Table2[[#This Row],[Data attivazione]] = "","-",MONTH(Table2[[#This Row],[Data attivazione]])),"-"),"-")</f>
        <v>5</v>
      </c>
      <c r="R8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4" s="67" t="s">
        <v>2</v>
      </c>
      <c r="V864" s="62"/>
      <c r="W864" s="64">
        <v>42869</v>
      </c>
      <c r="X864" s="29">
        <f>DATE(YEAR(Table2[[#This Row],[Data attivazione]])+VLOOKUP(Table2[[#This Row],[Durata]],VALORE_DURATA,2,FALSE),MONTH(Table2[[#This Row],[Data attivazione]]),DAY(Table2[[#This Row],[Data attivazione]]))</f>
        <v>43234</v>
      </c>
      <c r="Y864" s="65"/>
      <c r="Z864" s="61"/>
      <c r="AA864" s="64" t="s">
        <v>85</v>
      </c>
      <c r="AB864" s="29" t="str">
        <f>IF(Table2[[#This Row],[Data ultimo versamento temp]]=0/1/1900,"-",Table2[[#This Row],[Data ultimo versamento temp]])</f>
        <v>-</v>
      </c>
      <c r="AC864" s="29">
        <f t="array" ref="AC864">MAX(IF(TableVersamenti[Polizza]=Table2[[#This Row],[Polizza]],TableVersamenti[Data prevista versamento],"-"))</f>
        <v>0</v>
      </c>
      <c r="AD864" s="62"/>
      <c r="AE864" s="106">
        <f>DATE(YEAR(Table2[[#This Row],[Data ultimo pagamento]]),MONTH(Table2[[#This Row],[Data ultimo pagamento]]), 1)</f>
        <v>42856</v>
      </c>
      <c r="AF864" s="106">
        <f>DATE(YEAR(Table2[[#This Row],[Data prossima scadenza]]),MONTH(Table2[[#This Row],[Data prossima scadenza]]), 1)</f>
        <v>43221</v>
      </c>
      <c r="AG864" s="33">
        <f>IFERROR(Table2[[#This Row],[Importo annuale]]*VLOOKUP(Table2[[#This Row],[Ramo]],RAMI_POLIZZA,2,FALSE),0)</f>
        <v>24.335999999999999</v>
      </c>
      <c r="AH864" s="65" t="s">
        <v>113</v>
      </c>
      <c r="AI864" s="63" t="str">
        <f>IFERROR(VLOOKUP(Table2[[#This Row],[Contraente]],Table1[[Nome/Ragione sociale]:[Checkbox selezionato]],2,FALSE),"-")</f>
        <v>PAVIA</v>
      </c>
      <c r="AJ864" s="63">
        <f>IFERROR(VLOOKUP(Table2[[#This Row],[Contraente]],Table1[[Nome/Ragione sociale]:[Checkbox selezionato]],3,FALSE),"-")</f>
        <v>3336287794</v>
      </c>
      <c r="AK864" s="63">
        <f>IFERROR(VLOOKUP(Table2[[#This Row],[Contraente]],Table1[[Nome/Ragione sociale]:[Checkbox selezionato]],4,FALSE),"-")</f>
        <v>0</v>
      </c>
      <c r="AL864" s="63" t="str">
        <f>IFERROR(VLOOKUP(Table2[[#This Row],[Contraente]],Table1[[Nome/Ragione sociale]:[Checkbox selezionato]],5,FALSE),"-")</f>
        <v>PAOLO PARADISI</v>
      </c>
      <c r="AM864" s="62" t="str">
        <f>IFERROR(VLOOKUP(Table2[[#This Row],[Contraente]],Table1[[Nome/Ragione sociale]:[Checkbox selezionato]],6,FALSE),"-")</f>
        <v>-</v>
      </c>
      <c r="AN864" s="63" t="str">
        <f>IFERROR(VLOOKUP(Table2[[#This Row],[Contraente]],Table1[[Nome/Ragione sociale]:[Checkbox selezionato]],7,FALSE),"-")</f>
        <v>papies@libero.it</v>
      </c>
      <c r="AO864" s="63">
        <f>IFERROR(VLOOKUP(Table2[[#This Row],[Contraente]],Table1[[Nome/Ragione sociale]:[Checkbox selezionato]],8,FALSE),"-")</f>
        <v>0</v>
      </c>
      <c r="AP864" s="63">
        <f>IFERROR(VLOOKUP(Table2[[#This Row],[Contraente]],Table1[[Nome/Ragione sociale]:[Checkbox selezionato]],10,FALSE),"-")</f>
        <v>3336287794</v>
      </c>
      <c r="AQ864" s="63" t="str">
        <f>IFERROR(VLOOKUP(Table2[[#This Row],[Contraente]],Table1[[Nome/Ragione sociale]:[Checkbox selezionato]],11,FALSE),"-")</f>
        <v>SI</v>
      </c>
      <c r="AR864" s="63" t="str">
        <f>IFERROR(VLOOKUP(Table2[[#This Row],[Contraente]],Table1[[Nome/Ragione sociale]:[Checkbox selezionato]],12,FALSE),"-")</f>
        <v>SI</v>
      </c>
    </row>
    <row r="865" spans="1:44" ht="30" hidden="1" customHeight="1" x14ac:dyDescent="0.25">
      <c r="A865" s="60" t="str">
        <f>UPPER(LEFT(Table2[[#This Row],[Contraente]],1))</f>
        <v>P</v>
      </c>
      <c r="B865" s="60" t="s">
        <v>1634</v>
      </c>
      <c r="C865" s="81" t="s">
        <v>905</v>
      </c>
      <c r="D865" s="81" t="s">
        <v>37</v>
      </c>
      <c r="E865" s="86">
        <v>105493211</v>
      </c>
      <c r="F865" s="64">
        <v>42769</v>
      </c>
      <c r="G865" s="64">
        <f>IFERROR(CALCOLASCADENZA(Table2[[#This Row],[Data attivazione]],Table2[[#This Row],[Rateizzazione]],Table2[[#This Row],[Data ultimo pagamento]],Table2[[#This Row],[Data prossima scadenza manuale]]),"-")</f>
        <v>42838</v>
      </c>
      <c r="H865" s="67" t="s">
        <v>31</v>
      </c>
      <c r="I865" s="67" t="s">
        <v>1491</v>
      </c>
      <c r="J865" s="33">
        <f>IFERROR(Table2[[#This Row],[Importo annuale]]/(12/VLOOKUP(Table2[[#This Row],[Rateizzazione]],TIPI_RATEIZZAZIONI,2,FALSE)),"-")</f>
        <v>260.38</v>
      </c>
      <c r="K865" s="88">
        <v>260.38</v>
      </c>
      <c r="L865" s="88">
        <v>781.14</v>
      </c>
      <c r="M865" s="67" t="s">
        <v>44</v>
      </c>
      <c r="N865" s="67" t="s">
        <v>52</v>
      </c>
      <c r="O865" s="27" t="s">
        <v>1631</v>
      </c>
      <c r="P865" s="33" t="s">
        <v>21</v>
      </c>
      <c r="Q865" s="60">
        <f>IFERROR(IF(12 / VLOOKUP(Table2[[#This Row],[Rateizzazione]],TIPI_RATEIZZAZIONI,2,FALSE) &gt;=1,  IF(Table2[[#This Row],[Data attivazione]] = "","-",MONTH(Table2[[#This Row],[Data attivazione]])),"-"),"-")</f>
        <v>4</v>
      </c>
      <c r="R8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86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8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5" s="67" t="s">
        <v>2</v>
      </c>
      <c r="V865" s="62"/>
      <c r="W865" s="64">
        <v>42473</v>
      </c>
      <c r="X865" s="29">
        <f>DATE(YEAR(Table2[[#This Row],[Data attivazione]])+VLOOKUP(Table2[[#This Row],[Durata]],VALORE_DURATA,2,FALSE),MONTH(Table2[[#This Row],[Data attivazione]]),DAY(Table2[[#This Row],[Data attivazione]]))</f>
        <v>42838</v>
      </c>
      <c r="Y865" s="65"/>
      <c r="Z865" s="61"/>
      <c r="AA865" s="64" t="s">
        <v>88</v>
      </c>
      <c r="AB865" s="29" t="str">
        <f>IF(Table2[[#This Row],[Data ultimo versamento temp]]=0/1/1900,"-",Table2[[#This Row],[Data ultimo versamento temp]])</f>
        <v>-</v>
      </c>
      <c r="AC865" s="29">
        <f t="array" ref="AC865">MAX(IF(TableVersamenti[Polizza]=Table2[[#This Row],[Polizza]],TableVersamenti[Data prevista versamento],"-"))</f>
        <v>0</v>
      </c>
      <c r="AD865" s="62"/>
      <c r="AE865" s="106">
        <f>DATE(YEAR(Table2[[#This Row],[Data ultimo pagamento]]),MONTH(Table2[[#This Row],[Data ultimo pagamento]]), 1)</f>
        <v>42767</v>
      </c>
      <c r="AF865" s="106">
        <f>DATE(YEAR(Table2[[#This Row],[Data prossima scadenza]]),MONTH(Table2[[#This Row],[Data prossima scadenza]]), 1)</f>
        <v>42826</v>
      </c>
      <c r="AG865" s="33">
        <f>IFERROR(Table2[[#This Row],[Importo annuale]]*VLOOKUP(Table2[[#This Row],[Ramo]],RAMI_POLIZZA,2,FALSE),0)</f>
        <v>40.619279999999996</v>
      </c>
      <c r="AH865" s="65" t="s">
        <v>113</v>
      </c>
      <c r="AI865" s="63" t="str">
        <f>IFERROR(VLOOKUP(Table2[[#This Row],[Contraente]],Table1[[Nome/Ragione sociale]:[Checkbox selezionato]],2,FALSE),"-")</f>
        <v>MARZANO</v>
      </c>
      <c r="AJ865" s="63">
        <f>IFERROR(VLOOKUP(Table2[[#This Row],[Contraente]],Table1[[Nome/Ragione sociale]:[Checkbox selezionato]],3,FALSE),"-")</f>
        <v>3209337768</v>
      </c>
      <c r="AK865" s="63">
        <f>IFERROR(VLOOKUP(Table2[[#This Row],[Contraente]],Table1[[Nome/Ragione sociale]:[Checkbox selezionato]],4,FALSE),"-")</f>
        <v>0</v>
      </c>
      <c r="AL865" s="63" t="str">
        <f>IFERROR(VLOOKUP(Table2[[#This Row],[Contraente]],Table1[[Nome/Ragione sociale]:[Checkbox selezionato]],5,FALSE),"-")</f>
        <v>EMILIO</v>
      </c>
      <c r="AM865" s="62">
        <f>IFERROR(VLOOKUP(Table2[[#This Row],[Contraente]],Table1[[Nome/Ragione sociale]:[Checkbox selezionato]],6,FALSE),"-")</f>
        <v>27648</v>
      </c>
      <c r="AN865" s="63" t="str">
        <f>IFERROR(VLOOKUP(Table2[[#This Row],[Contraente]],Table1[[Nome/Ragione sociale]:[Checkbox selezionato]],7,FALSE),"-")</f>
        <v>papies@email.it</v>
      </c>
      <c r="AO865" s="63">
        <f>IFERROR(VLOOKUP(Table2[[#This Row],[Contraente]],Table1[[Nome/Ragione sociale]:[Checkbox selezionato]],8,FALSE),"-")</f>
        <v>0</v>
      </c>
      <c r="AP865" s="63">
        <f>IFERROR(VLOOKUP(Table2[[#This Row],[Contraente]],Table1[[Nome/Ragione sociale]:[Checkbox selezionato]],10,FALSE),"-")</f>
        <v>3209337768</v>
      </c>
      <c r="AQ865" s="63" t="str">
        <f>IFERROR(VLOOKUP(Table2[[#This Row],[Contraente]],Table1[[Nome/Ragione sociale]:[Checkbox selezionato]],11,FALSE),"-")</f>
        <v>SI</v>
      </c>
      <c r="AR865" s="63" t="str">
        <f>IFERROR(VLOOKUP(Table2[[#This Row],[Contraente]],Table1[[Nome/Ragione sociale]:[Checkbox selezionato]],12,FALSE),"-")</f>
        <v>SI</v>
      </c>
    </row>
    <row r="866" spans="1:44" ht="30" hidden="1" customHeight="1" x14ac:dyDescent="0.25">
      <c r="A866" s="60" t="str">
        <f>UPPER(LEFT(Table2[[#This Row],[Contraente]],1))</f>
        <v>P</v>
      </c>
      <c r="B866" s="60" t="s">
        <v>1634</v>
      </c>
      <c r="C866" s="81" t="s">
        <v>902</v>
      </c>
      <c r="D866" s="81" t="s">
        <v>37</v>
      </c>
      <c r="E866" s="86">
        <v>105493135</v>
      </c>
      <c r="F866" s="64">
        <v>42769</v>
      </c>
      <c r="G866" s="64">
        <f>IFERROR(CALCOLASCADENZA(Table2[[#This Row],[Data attivazione]],Table2[[#This Row],[Rateizzazione]],Table2[[#This Row],[Data ultimo pagamento]],Table2[[#This Row],[Data prossima scadenza manuale]]),"-")</f>
        <v>42838</v>
      </c>
      <c r="H866" s="67" t="s">
        <v>30</v>
      </c>
      <c r="I866" s="67" t="s">
        <v>113</v>
      </c>
      <c r="J866" s="33">
        <f>IFERROR(Table2[[#This Row],[Importo annuale]]/(12/VLOOKUP(Table2[[#This Row],[Rateizzazione]],TIPI_RATEIZZAZIONI,2,FALSE)),"-")</f>
        <v>300</v>
      </c>
      <c r="K866" s="88">
        <v>300</v>
      </c>
      <c r="L866" s="88">
        <v>900</v>
      </c>
      <c r="M866" s="67" t="s">
        <v>44</v>
      </c>
      <c r="N866" s="67" t="s">
        <v>52</v>
      </c>
      <c r="O866" s="27" t="s">
        <v>1631</v>
      </c>
      <c r="P866" s="33" t="s">
        <v>21</v>
      </c>
      <c r="Q866" s="60">
        <f>IFERROR(IF(12 / VLOOKUP(Table2[[#This Row],[Rateizzazione]],TIPI_RATEIZZAZIONI,2,FALSE) &gt;=1,  IF(Table2[[#This Row],[Data attivazione]] = "","-",MONTH(Table2[[#This Row],[Data attivazione]])),"-"),"-")</f>
        <v>4</v>
      </c>
      <c r="R8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86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8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6" s="67" t="s">
        <v>2</v>
      </c>
      <c r="V866" s="62"/>
      <c r="W866" s="64">
        <v>42473</v>
      </c>
      <c r="X866" s="29">
        <f>DATE(YEAR(Table2[[#This Row],[Data attivazione]])+VLOOKUP(Table2[[#This Row],[Durata]],VALORE_DURATA,2,FALSE),MONTH(Table2[[#This Row],[Data attivazione]]),DAY(Table2[[#This Row],[Data attivazione]]))</f>
        <v>42838</v>
      </c>
      <c r="Y866" s="65"/>
      <c r="Z866" s="61"/>
      <c r="AA866" s="64" t="s">
        <v>88</v>
      </c>
      <c r="AB866" s="29" t="str">
        <f>IF(Table2[[#This Row],[Data ultimo versamento temp]]=0/1/1900,"-",Table2[[#This Row],[Data ultimo versamento temp]])</f>
        <v>-</v>
      </c>
      <c r="AC866" s="29">
        <f t="array" ref="AC866">MAX(IF(TableVersamenti[Polizza]=Table2[[#This Row],[Polizza]],TableVersamenti[Data prevista versamento],"-"))</f>
        <v>0</v>
      </c>
      <c r="AD866" s="62"/>
      <c r="AE866" s="106">
        <f>DATE(YEAR(Table2[[#This Row],[Data ultimo pagamento]]),MONTH(Table2[[#This Row],[Data ultimo pagamento]]), 1)</f>
        <v>42767</v>
      </c>
      <c r="AF866" s="106">
        <f>DATE(YEAR(Table2[[#This Row],[Data prossima scadenza]]),MONTH(Table2[[#This Row],[Data prossima scadenza]]), 1)</f>
        <v>42826</v>
      </c>
      <c r="AG866" s="33">
        <f>IFERROR(Table2[[#This Row],[Importo annuale]]*VLOOKUP(Table2[[#This Row],[Ramo]],RAMI_POLIZZA,2,FALSE),0)</f>
        <v>103.5</v>
      </c>
      <c r="AH866" s="65" t="s">
        <v>113</v>
      </c>
      <c r="AI866" s="63" t="str">
        <f>IFERROR(VLOOKUP(Table2[[#This Row],[Contraente]],Table1[[Nome/Ragione sociale]:[Checkbox selezionato]],2,FALSE),"-")</f>
        <v>MARZANO</v>
      </c>
      <c r="AJ866" s="63">
        <f>IFERROR(VLOOKUP(Table2[[#This Row],[Contraente]],Table1[[Nome/Ragione sociale]:[Checkbox selezionato]],3,FALSE),"-")</f>
        <v>3209337768</v>
      </c>
      <c r="AK866" s="63">
        <f>IFERROR(VLOOKUP(Table2[[#This Row],[Contraente]],Table1[[Nome/Ragione sociale]:[Checkbox selezionato]],4,FALSE),"-")</f>
        <v>0</v>
      </c>
      <c r="AL866" s="63" t="str">
        <f>IFERROR(VLOOKUP(Table2[[#This Row],[Contraente]],Table1[[Nome/Ragione sociale]:[Checkbox selezionato]],5,FALSE),"-")</f>
        <v>EMILIO</v>
      </c>
      <c r="AM866" s="62">
        <f>IFERROR(VLOOKUP(Table2[[#This Row],[Contraente]],Table1[[Nome/Ragione sociale]:[Checkbox selezionato]],6,FALSE),"-")</f>
        <v>27648</v>
      </c>
      <c r="AN866" s="63" t="str">
        <f>IFERROR(VLOOKUP(Table2[[#This Row],[Contraente]],Table1[[Nome/Ragione sociale]:[Checkbox selezionato]],7,FALSE),"-")</f>
        <v>papies@libero.it</v>
      </c>
      <c r="AO866" s="63">
        <f>IFERROR(VLOOKUP(Table2[[#This Row],[Contraente]],Table1[[Nome/Ragione sociale]:[Checkbox selezionato]],8,FALSE),"-")</f>
        <v>0</v>
      </c>
      <c r="AP866" s="63">
        <f>IFERROR(VLOOKUP(Table2[[#This Row],[Contraente]],Table1[[Nome/Ragione sociale]:[Checkbox selezionato]],10,FALSE),"-")</f>
        <v>3209337768</v>
      </c>
      <c r="AQ866" s="63" t="str">
        <f>IFERROR(VLOOKUP(Table2[[#This Row],[Contraente]],Table1[[Nome/Ragione sociale]:[Checkbox selezionato]],11,FALSE),"-")</f>
        <v>SI</v>
      </c>
      <c r="AR866" s="63" t="str">
        <f>IFERROR(VLOOKUP(Table2[[#This Row],[Contraente]],Table1[[Nome/Ragione sociale]:[Checkbox selezionato]],12,FALSE),"-")</f>
        <v>SI</v>
      </c>
    </row>
    <row r="867" spans="1:44" ht="30" hidden="1" customHeight="1" x14ac:dyDescent="0.25">
      <c r="A867" s="60" t="str">
        <f>UPPER(LEFT(Table2[[#This Row],[Contraente]],1))</f>
        <v>P</v>
      </c>
      <c r="B867" s="60" t="s">
        <v>1634</v>
      </c>
      <c r="C867" s="81" t="s">
        <v>913</v>
      </c>
      <c r="D867" s="81" t="s">
        <v>37</v>
      </c>
      <c r="E867" s="86">
        <v>103928817</v>
      </c>
      <c r="F867" s="64">
        <v>42927</v>
      </c>
      <c r="G867" s="64">
        <f>IFERROR(CALCOLASCADENZA(Table2[[#This Row],[Data attivazione]],Table2[[#This Row],[Rateizzazione]],Table2[[#This Row],[Data ultimo pagamento]],Table2[[#This Row],[Data prossima scadenza manuale]]),"-")</f>
        <v>43114</v>
      </c>
      <c r="H867" s="67" t="s">
        <v>30</v>
      </c>
      <c r="I867" s="67" t="s">
        <v>113</v>
      </c>
      <c r="J867" s="33">
        <f>IFERROR(Table2[[#This Row],[Importo annuale]]/(12/VLOOKUP(Table2[[#This Row],[Rateizzazione]],TIPI_RATEIZZAZIONI,2,FALSE)),"-")</f>
        <v>32</v>
      </c>
      <c r="K867" s="88">
        <v>64</v>
      </c>
      <c r="L867" s="88">
        <v>64</v>
      </c>
      <c r="M867" s="67" t="s">
        <v>44</v>
      </c>
      <c r="N867" s="67" t="s">
        <v>51</v>
      </c>
      <c r="O867" s="27" t="s">
        <v>1631</v>
      </c>
      <c r="P867" s="33" t="s">
        <v>22</v>
      </c>
      <c r="Q867" s="60">
        <f>IFERROR(IF(12 / VLOOKUP(Table2[[#This Row],[Rateizzazione]],TIPI_RATEIZZAZIONI,2,FALSE) &gt;=1,  IF(Table2[[#This Row],[Data attivazione]] = "","-",MONTH(Table2[[#This Row],[Data attivazione]])),"-"),"-")</f>
        <v>1</v>
      </c>
      <c r="R8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7" s="67" t="s">
        <v>2</v>
      </c>
      <c r="V867" s="62"/>
      <c r="W867" s="64">
        <v>42749</v>
      </c>
      <c r="X867" s="29">
        <f>DATE(YEAR(Table2[[#This Row],[Data attivazione]])+VLOOKUP(Table2[[#This Row],[Durata]],VALORE_DURATA,2,FALSE),MONTH(Table2[[#This Row],[Data attivazione]]),DAY(Table2[[#This Row],[Data attivazione]]))</f>
        <v>43114</v>
      </c>
      <c r="Y867" s="65"/>
      <c r="Z867" s="61"/>
      <c r="AA867" s="64" t="s">
        <v>85</v>
      </c>
      <c r="AB867" s="29">
        <f>IF(Table2[[#This Row],[Data ultimo versamento temp]]=0/1/1900,"-",Table2[[#This Row],[Data ultimo versamento temp]])</f>
        <v>42930</v>
      </c>
      <c r="AC867" s="29">
        <f t="array" ref="AC867">MAX(IF(TableVersamenti[Polizza]=Table2[[#This Row],[Polizza]],TableVersamenti[Data prevista versamento],"-"))</f>
        <v>42930</v>
      </c>
      <c r="AD867" s="62"/>
      <c r="AE867" s="106">
        <f>DATE(YEAR(Table2[[#This Row],[Data ultimo pagamento]]),MONTH(Table2[[#This Row],[Data ultimo pagamento]]), 1)</f>
        <v>42917</v>
      </c>
      <c r="AF867" s="106">
        <f>DATE(YEAR(Table2[[#This Row],[Data prossima scadenza]]),MONTH(Table2[[#This Row],[Data prossima scadenza]]), 1)</f>
        <v>43101</v>
      </c>
      <c r="AG867" s="33">
        <f>IFERROR(Table2[[#This Row],[Importo annuale]]*VLOOKUP(Table2[[#This Row],[Ramo]],RAMI_POLIZZA,2,FALSE),0)</f>
        <v>7.36</v>
      </c>
      <c r="AH867" s="65" t="s">
        <v>113</v>
      </c>
      <c r="AI867" s="63" t="str">
        <f>IFERROR(VLOOKUP(Table2[[#This Row],[Contraente]],Table1[[Nome/Ragione sociale]:[Checkbox selezionato]],2,FALSE),"-")</f>
        <v>CORTEOLONA</v>
      </c>
      <c r="AJ867" s="63">
        <f>IFERROR(VLOOKUP(Table2[[#This Row],[Contraente]],Table1[[Nome/Ragione sociale]:[Checkbox selezionato]],3,FALSE),"-")</f>
        <v>3337139436</v>
      </c>
      <c r="AK867" s="63">
        <f>IFERROR(VLOOKUP(Table2[[#This Row],[Contraente]],Table1[[Nome/Ragione sociale]:[Checkbox selezionato]],4,FALSE),"-")</f>
        <v>0</v>
      </c>
      <c r="AL867" s="63" t="str">
        <f>IFERROR(VLOOKUP(Table2[[#This Row],[Contraente]],Table1[[Nome/Ragione sociale]:[Checkbox selezionato]],5,FALSE),"-")</f>
        <v>MASSIMO</v>
      </c>
      <c r="AM867" s="62">
        <f>IFERROR(VLOOKUP(Table2[[#This Row],[Contraente]],Table1[[Nome/Ragione sociale]:[Checkbox selezionato]],6,FALSE),"-")</f>
        <v>26776</v>
      </c>
      <c r="AN867" s="63" t="str">
        <f>IFERROR(VLOOKUP(Table2[[#This Row],[Contraente]],Table1[[Nome/Ragione sociale]:[Checkbox selezionato]],7,FALSE),"-")</f>
        <v>papies@libero.it</v>
      </c>
      <c r="AO867" s="63">
        <f>IFERROR(VLOOKUP(Table2[[#This Row],[Contraente]],Table1[[Nome/Ragione sociale]:[Checkbox selezionato]],8,FALSE),"-")</f>
        <v>0</v>
      </c>
      <c r="AP867" s="63">
        <f>IFERROR(VLOOKUP(Table2[[#This Row],[Contraente]],Table1[[Nome/Ragione sociale]:[Checkbox selezionato]],10,FALSE),"-")</f>
        <v>3337139436</v>
      </c>
      <c r="AQ867" s="63" t="str">
        <f>IFERROR(VLOOKUP(Table2[[#This Row],[Contraente]],Table1[[Nome/Ragione sociale]:[Checkbox selezionato]],11,FALSE),"-")</f>
        <v>SI</v>
      </c>
      <c r="AR867" s="63" t="str">
        <f>IFERROR(VLOOKUP(Table2[[#This Row],[Contraente]],Table1[[Nome/Ragione sociale]:[Checkbox selezionato]],12,FALSE),"-")</f>
        <v>SI</v>
      </c>
    </row>
    <row r="868" spans="1:44" ht="30" hidden="1" customHeight="1" x14ac:dyDescent="0.25">
      <c r="A868" s="60" t="str">
        <f>UPPER(LEFT(Table2[[#This Row],[Contraente]],1))</f>
        <v>P</v>
      </c>
      <c r="B868" s="60" t="s">
        <v>1634</v>
      </c>
      <c r="C868" s="81" t="s">
        <v>913</v>
      </c>
      <c r="D868" s="81" t="s">
        <v>37</v>
      </c>
      <c r="E868" s="86">
        <v>106416406</v>
      </c>
      <c r="F868" s="64">
        <v>42927</v>
      </c>
      <c r="G868" s="64">
        <f>IFERROR(CALCOLASCADENZA(Table2[[#This Row],[Data attivazione]],Table2[[#This Row],[Rateizzazione]],Table2[[#This Row],[Data ultimo pagamento]],Table2[[#This Row],[Data prossima scadenza manuale]]),"-")</f>
        <v>43110</v>
      </c>
      <c r="H868" s="67" t="s">
        <v>31</v>
      </c>
      <c r="I868" s="67" t="s">
        <v>1494</v>
      </c>
      <c r="J868" s="33">
        <f>IFERROR(Table2[[#This Row],[Importo annuale]]/(12/VLOOKUP(Table2[[#This Row],[Rateizzazione]],TIPI_RATEIZZAZIONI,2,FALSE)),"-")</f>
        <v>275</v>
      </c>
      <c r="K868" s="88">
        <v>550</v>
      </c>
      <c r="L868" s="88">
        <v>550</v>
      </c>
      <c r="M868" s="67" t="s">
        <v>44</v>
      </c>
      <c r="N868" s="67" t="s">
        <v>51</v>
      </c>
      <c r="O868" s="27" t="s">
        <v>1631</v>
      </c>
      <c r="P868" s="33" t="s">
        <v>22</v>
      </c>
      <c r="Q868" s="60">
        <f>IFERROR(IF(12 / VLOOKUP(Table2[[#This Row],[Rateizzazione]],TIPI_RATEIZZAZIONI,2,FALSE) &gt;=1,  IF(Table2[[#This Row],[Data attivazione]] = "","-",MONTH(Table2[[#This Row],[Data attivazione]])),"-"),"-")</f>
        <v>1</v>
      </c>
      <c r="R8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8" s="67" t="s">
        <v>2</v>
      </c>
      <c r="V868" s="62"/>
      <c r="W868" s="64">
        <v>42745</v>
      </c>
      <c r="X868" s="29">
        <f>DATE(YEAR(Table2[[#This Row],[Data attivazione]])+VLOOKUP(Table2[[#This Row],[Durata]],VALORE_DURATA,2,FALSE),MONTH(Table2[[#This Row],[Data attivazione]]),DAY(Table2[[#This Row],[Data attivazione]]))</f>
        <v>43110</v>
      </c>
      <c r="Y868" s="65"/>
      <c r="Z868" s="61"/>
      <c r="AA868" s="64" t="s">
        <v>85</v>
      </c>
      <c r="AB868" s="29">
        <f>IF(Table2[[#This Row],[Data ultimo versamento temp]]=0/1/1900,"-",Table2[[#This Row],[Data ultimo versamento temp]])</f>
        <v>42930</v>
      </c>
      <c r="AC868" s="29">
        <f t="array" ref="AC868">MAX(IF(TableVersamenti[Polizza]=Table2[[#This Row],[Polizza]],TableVersamenti[Data prevista versamento],"-"))</f>
        <v>42930</v>
      </c>
      <c r="AD868" s="62"/>
      <c r="AE868" s="106">
        <f>DATE(YEAR(Table2[[#This Row],[Data ultimo pagamento]]),MONTH(Table2[[#This Row],[Data ultimo pagamento]]), 1)</f>
        <v>42917</v>
      </c>
      <c r="AF868" s="106">
        <f>DATE(YEAR(Table2[[#This Row],[Data prossima scadenza]]),MONTH(Table2[[#This Row],[Data prossima scadenza]]), 1)</f>
        <v>43101</v>
      </c>
      <c r="AG868" s="33">
        <f>IFERROR(Table2[[#This Row],[Importo annuale]]*VLOOKUP(Table2[[#This Row],[Ramo]],RAMI_POLIZZA,2,FALSE),0)</f>
        <v>28.599999999999998</v>
      </c>
      <c r="AH868" s="65" t="s">
        <v>113</v>
      </c>
      <c r="AI868" s="63" t="str">
        <f>IFERROR(VLOOKUP(Table2[[#This Row],[Contraente]],Table1[[Nome/Ragione sociale]:[Checkbox selezionato]],2,FALSE),"-")</f>
        <v>CORTEOLONA</v>
      </c>
      <c r="AJ868" s="63">
        <f>IFERROR(VLOOKUP(Table2[[#This Row],[Contraente]],Table1[[Nome/Ragione sociale]:[Checkbox selezionato]],3,FALSE),"-")</f>
        <v>3337139436</v>
      </c>
      <c r="AK868" s="63">
        <f>IFERROR(VLOOKUP(Table2[[#This Row],[Contraente]],Table1[[Nome/Ragione sociale]:[Checkbox selezionato]],4,FALSE),"-")</f>
        <v>0</v>
      </c>
      <c r="AL868" s="63" t="str">
        <f>IFERROR(VLOOKUP(Table2[[#This Row],[Contraente]],Table1[[Nome/Ragione sociale]:[Checkbox selezionato]],5,FALSE),"-")</f>
        <v>MASSIMO</v>
      </c>
      <c r="AM868" s="62">
        <f>IFERROR(VLOOKUP(Table2[[#This Row],[Contraente]],Table1[[Nome/Ragione sociale]:[Checkbox selezionato]],6,FALSE),"-")</f>
        <v>26776</v>
      </c>
      <c r="AN868" s="63" t="str">
        <f>IFERROR(VLOOKUP(Table2[[#This Row],[Contraente]],Table1[[Nome/Ragione sociale]:[Checkbox selezionato]],7,FALSE),"-")</f>
        <v>papies@libero.it</v>
      </c>
      <c r="AO868" s="63">
        <f>IFERROR(VLOOKUP(Table2[[#This Row],[Contraente]],Table1[[Nome/Ragione sociale]:[Checkbox selezionato]],8,FALSE),"-")</f>
        <v>0</v>
      </c>
      <c r="AP868" s="63">
        <f>IFERROR(VLOOKUP(Table2[[#This Row],[Contraente]],Table1[[Nome/Ragione sociale]:[Checkbox selezionato]],10,FALSE),"-")</f>
        <v>3337139436</v>
      </c>
      <c r="AQ868" s="63" t="str">
        <f>IFERROR(VLOOKUP(Table2[[#This Row],[Contraente]],Table1[[Nome/Ragione sociale]:[Checkbox selezionato]],11,FALSE),"-")</f>
        <v>SI</v>
      </c>
      <c r="AR868" s="63" t="str">
        <f>IFERROR(VLOOKUP(Table2[[#This Row],[Contraente]],Table1[[Nome/Ragione sociale]:[Checkbox selezionato]],12,FALSE),"-")</f>
        <v>SI</v>
      </c>
    </row>
    <row r="869" spans="1:44" ht="30" hidden="1" customHeight="1" x14ac:dyDescent="0.25">
      <c r="A869" s="60" t="str">
        <f>UPPER(LEFT(Table2[[#This Row],[Contraente]],1))</f>
        <v>P</v>
      </c>
      <c r="B869" s="60" t="s">
        <v>1634</v>
      </c>
      <c r="C869" s="81" t="s">
        <v>913</v>
      </c>
      <c r="D869" s="81" t="s">
        <v>37</v>
      </c>
      <c r="E869" s="86">
        <v>104852870</v>
      </c>
      <c r="F869" s="64">
        <v>42270</v>
      </c>
      <c r="G869" s="64">
        <f>IFERROR(CALCOLASCADENZA(Table2[[#This Row],[Data attivazione]],Table2[[#This Row],[Rateizzazione]],Table2[[#This Row],[Data ultimo pagamento]],Table2[[#This Row],[Data prossima scadenza manuale]]),"-")</f>
        <v>693778</v>
      </c>
      <c r="H869" s="67" t="s">
        <v>31</v>
      </c>
      <c r="I869" s="67" t="s">
        <v>1495</v>
      </c>
      <c r="J869" s="33">
        <f>IFERROR(Table2[[#This Row],[Importo annuale]]/(12/VLOOKUP(Table2[[#This Row],[Rateizzazione]],TIPI_RATEIZZAZIONI,2,FALSE)),"-")</f>
        <v>245</v>
      </c>
      <c r="K869" s="88"/>
      <c r="L869" s="88">
        <v>490</v>
      </c>
      <c r="M869" s="67" t="s">
        <v>43</v>
      </c>
      <c r="N869" s="67" t="s">
        <v>52</v>
      </c>
      <c r="O869" s="27" t="s">
        <v>1631</v>
      </c>
      <c r="P869" s="33" t="s">
        <v>22</v>
      </c>
      <c r="Q869" s="60">
        <f>IFERROR(IF(12 / VLOOKUP(Table2[[#This Row],[Rateizzazione]],TIPI_RATEIZZAZIONI,2,FALSE) &gt;=1,  IF(Table2[[#This Row],[Data attivazione]] = "","-",MONTH(Table2[[#This Row],[Data attivazione]])),"-"),"-")</f>
        <v>12</v>
      </c>
      <c r="R8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9" s="67" t="s">
        <v>2</v>
      </c>
      <c r="V869" s="62"/>
      <c r="W869" s="64">
        <v>693597</v>
      </c>
      <c r="X869" s="29">
        <f>DATE(YEAR(Table2[[#This Row],[Data attivazione]])+VLOOKUP(Table2[[#This Row],[Durata]],VALORE_DURATA,2,FALSE),MONTH(Table2[[#This Row],[Data attivazione]]),DAY(Table2[[#This Row],[Data attivazione]]))</f>
        <v>693962</v>
      </c>
      <c r="Y869" s="65"/>
      <c r="Z869" s="61"/>
      <c r="AA869" s="64" t="s">
        <v>88</v>
      </c>
      <c r="AB869" s="29" t="str">
        <f>IF(Table2[[#This Row],[Data ultimo versamento temp]]=0/1/1900,"-",Table2[[#This Row],[Data ultimo versamento temp]])</f>
        <v>-</v>
      </c>
      <c r="AC869" s="29">
        <f t="array" ref="AC869">MAX(IF(TableVersamenti[Polizza]=Table2[[#This Row],[Polizza]],TableVersamenti[Data prevista versamento],"-"))</f>
        <v>0</v>
      </c>
      <c r="AD869" s="62"/>
      <c r="AE869" s="106">
        <f>DATE(YEAR(Table2[[#This Row],[Data ultimo pagamento]]),MONTH(Table2[[#This Row],[Data ultimo pagamento]]), 1)</f>
        <v>42248</v>
      </c>
      <c r="AF869" s="106">
        <f>DATE(YEAR(Table2[[#This Row],[Data prossima scadenza]]),MONTH(Table2[[#This Row],[Data prossima scadenza]]), 1)</f>
        <v>693749</v>
      </c>
      <c r="AG869" s="33">
        <f>IFERROR(Table2[[#This Row],[Importo annuale]]*VLOOKUP(Table2[[#This Row],[Ramo]],RAMI_POLIZZA,2,FALSE),0)</f>
        <v>25.48</v>
      </c>
      <c r="AH869" s="65" t="s">
        <v>113</v>
      </c>
      <c r="AI869" s="63" t="str">
        <f>IFERROR(VLOOKUP(Table2[[#This Row],[Contraente]],Table1[[Nome/Ragione sociale]:[Checkbox selezionato]],2,FALSE),"-")</f>
        <v>CORTEOLONA</v>
      </c>
      <c r="AJ869" s="63">
        <f>IFERROR(VLOOKUP(Table2[[#This Row],[Contraente]],Table1[[Nome/Ragione sociale]:[Checkbox selezionato]],3,FALSE),"-")</f>
        <v>3337139436</v>
      </c>
      <c r="AK869" s="63">
        <f>IFERROR(VLOOKUP(Table2[[#This Row],[Contraente]],Table1[[Nome/Ragione sociale]:[Checkbox selezionato]],4,FALSE),"-")</f>
        <v>0</v>
      </c>
      <c r="AL869" s="63" t="str">
        <f>IFERROR(VLOOKUP(Table2[[#This Row],[Contraente]],Table1[[Nome/Ragione sociale]:[Checkbox selezionato]],5,FALSE),"-")</f>
        <v>MASSIMO</v>
      </c>
      <c r="AM869" s="62">
        <f>IFERROR(VLOOKUP(Table2[[#This Row],[Contraente]],Table1[[Nome/Ragione sociale]:[Checkbox selezionato]],6,FALSE),"-")</f>
        <v>26776</v>
      </c>
      <c r="AN869" s="63" t="str">
        <f>IFERROR(VLOOKUP(Table2[[#This Row],[Contraente]],Table1[[Nome/Ragione sociale]:[Checkbox selezionato]],7,FALSE),"-")</f>
        <v>papies@libero.it</v>
      </c>
      <c r="AO869" s="63">
        <f>IFERROR(VLOOKUP(Table2[[#This Row],[Contraente]],Table1[[Nome/Ragione sociale]:[Checkbox selezionato]],8,FALSE),"-")</f>
        <v>0</v>
      </c>
      <c r="AP869" s="63">
        <f>IFERROR(VLOOKUP(Table2[[#This Row],[Contraente]],Table1[[Nome/Ragione sociale]:[Checkbox selezionato]],10,FALSE),"-")</f>
        <v>3337139436</v>
      </c>
      <c r="AQ869" s="63" t="str">
        <f>IFERROR(VLOOKUP(Table2[[#This Row],[Contraente]],Table1[[Nome/Ragione sociale]:[Checkbox selezionato]],11,FALSE),"-")</f>
        <v>SI</v>
      </c>
      <c r="AR869" s="63" t="str">
        <f>IFERROR(VLOOKUP(Table2[[#This Row],[Contraente]],Table1[[Nome/Ragione sociale]:[Checkbox selezionato]],12,FALSE),"-")</f>
        <v>SI</v>
      </c>
    </row>
    <row r="870" spans="1:44" ht="30" hidden="1" customHeight="1" x14ac:dyDescent="0.25">
      <c r="A870" s="60" t="str">
        <f>UPPER(LEFT(Table2[[#This Row],[Contraente]],1))</f>
        <v>P</v>
      </c>
      <c r="B870" s="60" t="s">
        <v>1634</v>
      </c>
      <c r="C870" s="81" t="s">
        <v>906</v>
      </c>
      <c r="D870" s="81" t="s">
        <v>37</v>
      </c>
      <c r="E870" s="86">
        <v>106604789</v>
      </c>
      <c r="F870" s="64">
        <v>42802</v>
      </c>
      <c r="G870" s="64">
        <f>IFERROR(CALCOLASCADENZA(Table2[[#This Row],[Data attivazione]],Table2[[#This Row],[Rateizzazione]],Table2[[#This Row],[Data ultimo pagamento]],Table2[[#This Row],[Data prossima scadenza manuale]]),"-")</f>
        <v>43155</v>
      </c>
      <c r="H870" s="67" t="s">
        <v>31</v>
      </c>
      <c r="I870" s="67" t="s">
        <v>1492</v>
      </c>
      <c r="J870" s="33">
        <f>IFERROR(Table2[[#This Row],[Importo annuale]]/(12/VLOOKUP(Table2[[#This Row],[Rateizzazione]],TIPI_RATEIZZAZIONI,2,FALSE)),"-")</f>
        <v>210</v>
      </c>
      <c r="K870" s="88">
        <v>210</v>
      </c>
      <c r="L870" s="88">
        <v>210</v>
      </c>
      <c r="M870" s="67" t="s">
        <v>43</v>
      </c>
      <c r="N870" s="67" t="s">
        <v>51</v>
      </c>
      <c r="O870" s="27" t="s">
        <v>1631</v>
      </c>
      <c r="P870" s="33" t="s">
        <v>23</v>
      </c>
      <c r="Q870" s="60">
        <f>IFERROR(IF(12 / VLOOKUP(Table2[[#This Row],[Rateizzazione]],TIPI_RATEIZZAZIONI,2,FALSE) &gt;=1,  IF(Table2[[#This Row],[Data attivazione]] = "","-",MONTH(Table2[[#This Row],[Data attivazione]])),"-"),"-")</f>
        <v>2</v>
      </c>
      <c r="R8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0" s="67" t="s">
        <v>2</v>
      </c>
      <c r="V870" s="62"/>
      <c r="W870" s="64">
        <v>42790</v>
      </c>
      <c r="X870" s="29">
        <f>DATE(YEAR(Table2[[#This Row],[Data attivazione]])+VLOOKUP(Table2[[#This Row],[Durata]],VALORE_DURATA,2,FALSE),MONTH(Table2[[#This Row],[Data attivazione]]),DAY(Table2[[#This Row],[Data attivazione]]))</f>
        <v>43155</v>
      </c>
      <c r="Y870" s="65"/>
      <c r="Z870" s="61"/>
      <c r="AA870" s="64" t="s">
        <v>85</v>
      </c>
      <c r="AB870" s="29" t="str">
        <f>IF(Table2[[#This Row],[Data ultimo versamento temp]]=0/1/1900,"-",Table2[[#This Row],[Data ultimo versamento temp]])</f>
        <v>-</v>
      </c>
      <c r="AC870" s="29">
        <f t="array" ref="AC870">MAX(IF(TableVersamenti[Polizza]=Table2[[#This Row],[Polizza]],TableVersamenti[Data prevista versamento],"-"))</f>
        <v>0</v>
      </c>
      <c r="AD870" s="62"/>
      <c r="AE870" s="106">
        <f>DATE(YEAR(Table2[[#This Row],[Data ultimo pagamento]]),MONTH(Table2[[#This Row],[Data ultimo pagamento]]), 1)</f>
        <v>42795</v>
      </c>
      <c r="AF870" s="106">
        <f>DATE(YEAR(Table2[[#This Row],[Data prossima scadenza]]),MONTH(Table2[[#This Row],[Data prossima scadenza]]), 1)</f>
        <v>43132</v>
      </c>
      <c r="AG870" s="33">
        <f>IFERROR(Table2[[#This Row],[Importo annuale]]*VLOOKUP(Table2[[#This Row],[Ramo]],RAMI_POLIZZA,2,FALSE),0)</f>
        <v>10.92</v>
      </c>
      <c r="AH870" s="65" t="s">
        <v>113</v>
      </c>
      <c r="AI870" s="63" t="str">
        <f>IFERROR(VLOOKUP(Table2[[#This Row],[Contraente]],Table1[[Nome/Ragione sociale]:[Checkbox selezionato]],2,FALSE),"-")</f>
        <v>BELGIOIOSO</v>
      </c>
      <c r="AJ870" s="63">
        <f>IFERROR(VLOOKUP(Table2[[#This Row],[Contraente]],Table1[[Nome/Ragione sociale]:[Checkbox selezionato]],3,FALSE),"-")</f>
        <v>0</v>
      </c>
      <c r="AK870" s="63" t="str">
        <f>IFERROR(VLOOKUP(Table2[[#This Row],[Contraente]],Table1[[Nome/Ragione sociale]:[Checkbox selezionato]],4,FALSE),"-")</f>
        <v>.0382969439</v>
      </c>
      <c r="AL870" s="63" t="str">
        <f>IFERROR(VLOOKUP(Table2[[#This Row],[Contraente]],Table1[[Nome/Ragione sociale]:[Checkbox selezionato]],5,FALSE),"-")</f>
        <v>RACHELE</v>
      </c>
      <c r="AM870" s="62">
        <f>IFERROR(VLOOKUP(Table2[[#This Row],[Contraente]],Table1[[Nome/Ragione sociale]:[Checkbox selezionato]],6,FALSE),"-")</f>
        <v>23502</v>
      </c>
      <c r="AN870" s="63" t="str">
        <f>IFERROR(VLOOKUP(Table2[[#This Row],[Contraente]],Table1[[Nome/Ragione sociale]:[Checkbox selezionato]],7,FALSE),"-")</f>
        <v>papies@email.it</v>
      </c>
      <c r="AO870" s="63">
        <f>IFERROR(VLOOKUP(Table2[[#This Row],[Contraente]],Table1[[Nome/Ragione sociale]:[Checkbox selezionato]],8,FALSE),"-")</f>
        <v>0</v>
      </c>
      <c r="AP870" s="63">
        <f>IFERROR(VLOOKUP(Table2[[#This Row],[Contraente]],Table1[[Nome/Ragione sociale]:[Checkbox selezionato]],10,FALSE),"-")</f>
        <v>0</v>
      </c>
      <c r="AQ870" s="63" t="str">
        <f>IFERROR(VLOOKUP(Table2[[#This Row],[Contraente]],Table1[[Nome/Ragione sociale]:[Checkbox selezionato]],11,FALSE),"-")</f>
        <v>SI</v>
      </c>
      <c r="AR870" s="63" t="str">
        <f>IFERROR(VLOOKUP(Table2[[#This Row],[Contraente]],Table1[[Nome/Ragione sociale]:[Checkbox selezionato]],12,FALSE),"-")</f>
        <v>SI</v>
      </c>
    </row>
    <row r="871" spans="1:44" ht="30" hidden="1" customHeight="1" x14ac:dyDescent="0.25">
      <c r="A871" s="60" t="str">
        <f>UPPER(LEFT(Table2[[#This Row],[Contraente]],1))</f>
        <v>P</v>
      </c>
      <c r="B871" s="60" t="s">
        <v>1634</v>
      </c>
      <c r="C871" s="81" t="s">
        <v>914</v>
      </c>
      <c r="D871" s="81" t="s">
        <v>37</v>
      </c>
      <c r="E871" s="86">
        <v>105466547</v>
      </c>
      <c r="F871" s="64">
        <v>42465</v>
      </c>
      <c r="G871" s="64">
        <f>IFERROR(CALCOLASCADENZA(Table2[[#This Row],[Data attivazione]],Table2[[#This Row],[Rateizzazione]],Table2[[#This Row],[Data ultimo pagamento]],Table2[[#This Row],[Data prossima scadenza manuale]]),"-")</f>
        <v>42465</v>
      </c>
      <c r="H871" s="67" t="s">
        <v>31</v>
      </c>
      <c r="I871" s="67" t="s">
        <v>1496</v>
      </c>
      <c r="J871" s="33">
        <v>401.68</v>
      </c>
      <c r="K871" s="88"/>
      <c r="L871" s="88">
        <v>696</v>
      </c>
      <c r="M871" s="67" t="s">
        <v>43</v>
      </c>
      <c r="N871" s="67" t="s">
        <v>51</v>
      </c>
      <c r="O871" s="27" t="s">
        <v>1631</v>
      </c>
      <c r="P871" s="33" t="s">
        <v>24</v>
      </c>
      <c r="Q8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1" s="67" t="s">
        <v>2</v>
      </c>
      <c r="V871" s="62"/>
      <c r="W871" s="64">
        <v>42268</v>
      </c>
      <c r="X871" s="29">
        <f>DATE(YEAR(Table2[[#This Row],[Data attivazione]])+VLOOKUP(Table2[[#This Row],[Durata]],VALORE_DURATA,2,FALSE),MONTH(Table2[[#This Row],[Data attivazione]]),DAY(Table2[[#This Row],[Data attivazione]]))</f>
        <v>42634</v>
      </c>
      <c r="Y871" s="65"/>
      <c r="Z871" s="61"/>
      <c r="AA871" s="64" t="s">
        <v>88</v>
      </c>
      <c r="AB871" s="29" t="str">
        <f>IF(Table2[[#This Row],[Data ultimo versamento temp]]=0/1/1900,"-",Table2[[#This Row],[Data ultimo versamento temp]])</f>
        <v>-</v>
      </c>
      <c r="AC871" s="29">
        <f t="array" ref="AC871">MAX(IF(TableVersamenti[Polizza]=Table2[[#This Row],[Polizza]],TableVersamenti[Data prevista versamento],"-"))</f>
        <v>0</v>
      </c>
      <c r="AD871" s="62"/>
      <c r="AE871" s="106">
        <f>DATE(YEAR(Table2[[#This Row],[Data ultimo pagamento]]),MONTH(Table2[[#This Row],[Data ultimo pagamento]]), 1)</f>
        <v>42461</v>
      </c>
      <c r="AF871" s="106">
        <f>DATE(YEAR(Table2[[#This Row],[Data prossima scadenza]]),MONTH(Table2[[#This Row],[Data prossima scadenza]]), 1)</f>
        <v>42461</v>
      </c>
      <c r="AG871" s="33">
        <f>IFERROR(Table2[[#This Row],[Importo annuale]]*VLOOKUP(Table2[[#This Row],[Ramo]],RAMI_POLIZZA,2,FALSE),0)</f>
        <v>36.192</v>
      </c>
      <c r="AH871" s="65" t="s">
        <v>113</v>
      </c>
      <c r="AI871" s="63" t="str">
        <f>IFERROR(VLOOKUP(Table2[[#This Row],[Contraente]],Table1[[Nome/Ragione sociale]:[Checkbox selezionato]],2,FALSE),"-")</f>
        <v>BELGIOIOSO</v>
      </c>
      <c r="AJ871" s="63">
        <f>IFERROR(VLOOKUP(Table2[[#This Row],[Contraente]],Table1[[Nome/Ragione sociale]:[Checkbox selezionato]],3,FALSE),"-")</f>
        <v>3271711044</v>
      </c>
      <c r="AK871" s="63">
        <f>IFERROR(VLOOKUP(Table2[[#This Row],[Contraente]],Table1[[Nome/Ragione sociale]:[Checkbox selezionato]],4,FALSE),"-")</f>
        <v>3428948004</v>
      </c>
      <c r="AL871" s="63" t="str">
        <f>IFERROR(VLOOKUP(Table2[[#This Row],[Contraente]],Table1[[Nome/Ragione sociale]:[Checkbox selezionato]],5,FALSE),"-")</f>
        <v>RAPHAEL</v>
      </c>
      <c r="AM871" s="62">
        <f>IFERROR(VLOOKUP(Table2[[#This Row],[Contraente]],Table1[[Nome/Ragione sociale]:[Checkbox selezionato]],6,FALSE),"-")</f>
        <v>25856</v>
      </c>
      <c r="AN871" s="63" t="str">
        <f>IFERROR(VLOOKUP(Table2[[#This Row],[Contraente]],Table1[[Nome/Ragione sociale]:[Checkbox selezionato]],7,FALSE),"-")</f>
        <v>papies@libero.it</v>
      </c>
      <c r="AO871" s="63">
        <f>IFERROR(VLOOKUP(Table2[[#This Row],[Contraente]],Table1[[Nome/Ragione sociale]:[Checkbox selezionato]],8,FALSE),"-")</f>
        <v>0</v>
      </c>
      <c r="AP871" s="63">
        <f>IFERROR(VLOOKUP(Table2[[#This Row],[Contraente]],Table1[[Nome/Ragione sociale]:[Checkbox selezionato]],10,FALSE),"-")</f>
        <v>3271711044</v>
      </c>
      <c r="AQ871" s="63" t="str">
        <f>IFERROR(VLOOKUP(Table2[[#This Row],[Contraente]],Table1[[Nome/Ragione sociale]:[Checkbox selezionato]],11,FALSE),"-")</f>
        <v>SI</v>
      </c>
      <c r="AR871" s="63" t="str">
        <f>IFERROR(VLOOKUP(Table2[[#This Row],[Contraente]],Table1[[Nome/Ragione sociale]:[Checkbox selezionato]],12,FALSE),"-")</f>
        <v>SI</v>
      </c>
    </row>
    <row r="872" spans="1:44" ht="30" hidden="1" customHeight="1" x14ac:dyDescent="0.25">
      <c r="A872" s="60" t="str">
        <f>UPPER(LEFT(Table2[[#This Row],[Contraente]],1))</f>
        <v>P</v>
      </c>
      <c r="B872" s="60" t="s">
        <v>1634</v>
      </c>
      <c r="C872" s="81" t="s">
        <v>914</v>
      </c>
      <c r="D872" s="81" t="s">
        <v>37</v>
      </c>
      <c r="E872" s="86">
        <v>106575855</v>
      </c>
      <c r="F872" s="64">
        <v>42800</v>
      </c>
      <c r="G872" s="64">
        <f>IFERROR(CALCOLASCADENZA(Table2[[#This Row],[Data attivazione]],Table2[[#This Row],[Rateizzazione]],Table2[[#This Row],[Data ultimo pagamento]],Table2[[#This Row],[Data prossima scadenza manuale]]),"-")</f>
        <v>42981</v>
      </c>
      <c r="H872" s="67" t="s">
        <v>31</v>
      </c>
      <c r="I872" s="67" t="s">
        <v>1497</v>
      </c>
      <c r="J872" s="33">
        <f>IFERROR(Table2[[#This Row],[Importo annuale]]/(12/VLOOKUP(Table2[[#This Row],[Rateizzazione]],TIPI_RATEIZZAZIONI,2,FALSE)),"-")</f>
        <v>340</v>
      </c>
      <c r="K872" s="88">
        <v>340</v>
      </c>
      <c r="L872" s="88">
        <v>680</v>
      </c>
      <c r="M872" s="67" t="s">
        <v>43</v>
      </c>
      <c r="N872" s="67" t="s">
        <v>51</v>
      </c>
      <c r="O872" s="27" t="s">
        <v>1631</v>
      </c>
      <c r="P872" s="33" t="s">
        <v>22</v>
      </c>
      <c r="Q872" s="60">
        <f>IFERROR(IF(12 / VLOOKUP(Table2[[#This Row],[Rateizzazione]],TIPI_RATEIZZAZIONI,2,FALSE) &gt;=1,  IF(Table2[[#This Row],[Data attivazione]] = "","-",MONTH(Table2[[#This Row],[Data attivazione]])),"-"),"-")</f>
        <v>9</v>
      </c>
      <c r="R8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2" s="67" t="s">
        <v>2</v>
      </c>
      <c r="V872" s="62"/>
      <c r="W872" s="64">
        <v>42616</v>
      </c>
      <c r="X872" s="29">
        <f>DATE(YEAR(Table2[[#This Row],[Data attivazione]])+VLOOKUP(Table2[[#This Row],[Durata]],VALORE_DURATA,2,FALSE),MONTH(Table2[[#This Row],[Data attivazione]]),DAY(Table2[[#This Row],[Data attivazione]]))</f>
        <v>42981</v>
      </c>
      <c r="Y872" s="65"/>
      <c r="Z872" s="61"/>
      <c r="AA872" s="64" t="s">
        <v>85</v>
      </c>
      <c r="AB872" s="29" t="str">
        <f>IF(Table2[[#This Row],[Data ultimo versamento temp]]=0/1/1900,"-",Table2[[#This Row],[Data ultimo versamento temp]])</f>
        <v>-</v>
      </c>
      <c r="AC872" s="29">
        <f t="array" ref="AC872">MAX(IF(TableVersamenti[Polizza]=Table2[[#This Row],[Polizza]],TableVersamenti[Data prevista versamento],"-"))</f>
        <v>0</v>
      </c>
      <c r="AD872" s="62"/>
      <c r="AE872" s="106">
        <f>DATE(YEAR(Table2[[#This Row],[Data ultimo pagamento]]),MONTH(Table2[[#This Row],[Data ultimo pagamento]]), 1)</f>
        <v>42795</v>
      </c>
      <c r="AF872" s="106">
        <f>DATE(YEAR(Table2[[#This Row],[Data prossima scadenza]]),MONTH(Table2[[#This Row],[Data prossima scadenza]]), 1)</f>
        <v>42979</v>
      </c>
      <c r="AG872" s="33">
        <f>IFERROR(Table2[[#This Row],[Importo annuale]]*VLOOKUP(Table2[[#This Row],[Ramo]],RAMI_POLIZZA,2,FALSE),0)</f>
        <v>35.36</v>
      </c>
      <c r="AH872" s="65" t="s">
        <v>113</v>
      </c>
      <c r="AI872" s="63" t="str">
        <f>IFERROR(VLOOKUP(Table2[[#This Row],[Contraente]],Table1[[Nome/Ragione sociale]:[Checkbox selezionato]],2,FALSE),"-")</f>
        <v>BELGIOIOSO</v>
      </c>
      <c r="AJ872" s="63">
        <f>IFERROR(VLOOKUP(Table2[[#This Row],[Contraente]],Table1[[Nome/Ragione sociale]:[Checkbox selezionato]],3,FALSE),"-")</f>
        <v>3271711044</v>
      </c>
      <c r="AK872" s="63">
        <f>IFERROR(VLOOKUP(Table2[[#This Row],[Contraente]],Table1[[Nome/Ragione sociale]:[Checkbox selezionato]],4,FALSE),"-")</f>
        <v>3428948004</v>
      </c>
      <c r="AL872" s="63" t="str">
        <f>IFERROR(VLOOKUP(Table2[[#This Row],[Contraente]],Table1[[Nome/Ragione sociale]:[Checkbox selezionato]],5,FALSE),"-")</f>
        <v>RAPHAEL</v>
      </c>
      <c r="AM872" s="62">
        <f>IFERROR(VLOOKUP(Table2[[#This Row],[Contraente]],Table1[[Nome/Ragione sociale]:[Checkbox selezionato]],6,FALSE),"-")</f>
        <v>25856</v>
      </c>
      <c r="AN872" s="63" t="str">
        <f>IFERROR(VLOOKUP(Table2[[#This Row],[Contraente]],Table1[[Nome/Ragione sociale]:[Checkbox selezionato]],7,FALSE),"-")</f>
        <v>papies@libero.it</v>
      </c>
      <c r="AO872" s="63">
        <f>IFERROR(VLOOKUP(Table2[[#This Row],[Contraente]],Table1[[Nome/Ragione sociale]:[Checkbox selezionato]],8,FALSE),"-")</f>
        <v>0</v>
      </c>
      <c r="AP872" s="63">
        <f>IFERROR(VLOOKUP(Table2[[#This Row],[Contraente]],Table1[[Nome/Ragione sociale]:[Checkbox selezionato]],10,FALSE),"-")</f>
        <v>3271711044</v>
      </c>
      <c r="AQ872" s="63" t="str">
        <f>IFERROR(VLOOKUP(Table2[[#This Row],[Contraente]],Table1[[Nome/Ragione sociale]:[Checkbox selezionato]],11,FALSE),"-")</f>
        <v>SI</v>
      </c>
      <c r="AR872" s="63" t="str">
        <f>IFERROR(VLOOKUP(Table2[[#This Row],[Contraente]],Table1[[Nome/Ragione sociale]:[Checkbox selezionato]],12,FALSE),"-")</f>
        <v>SI</v>
      </c>
    </row>
    <row r="873" spans="1:44" ht="30" hidden="1" customHeight="1" x14ac:dyDescent="0.25">
      <c r="A873" s="60" t="str">
        <f>UPPER(LEFT(Table2[[#This Row],[Contraente]],1))</f>
        <v>P</v>
      </c>
      <c r="B873" s="60" t="s">
        <v>1634</v>
      </c>
      <c r="C873" s="81" t="s">
        <v>1121</v>
      </c>
      <c r="D873" s="81" t="s">
        <v>37</v>
      </c>
      <c r="E873" s="86">
        <v>104794769</v>
      </c>
      <c r="F873" s="64">
        <v>42803</v>
      </c>
      <c r="G873" s="64">
        <f>IFERROR(CALCOLASCADENZA(Table2[[#This Row],[Data attivazione]],Table2[[#This Row],[Rateizzazione]],Table2[[#This Row],[Data ultimo pagamento]],Table2[[#This Row],[Data prossima scadenza manuale]]),"-")</f>
        <v>42803</v>
      </c>
      <c r="H873" s="67" t="s">
        <v>31</v>
      </c>
      <c r="I873" s="67" t="s">
        <v>1499</v>
      </c>
      <c r="J873" s="33">
        <v>127.39</v>
      </c>
      <c r="K873" s="88">
        <v>127.39</v>
      </c>
      <c r="L873" s="88">
        <v>260</v>
      </c>
      <c r="M873" s="67" t="s">
        <v>43</v>
      </c>
      <c r="N873" s="67" t="s">
        <v>51</v>
      </c>
      <c r="O873" s="27" t="s">
        <v>1631</v>
      </c>
      <c r="P873" s="33" t="s">
        <v>24</v>
      </c>
      <c r="Q87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3" s="67" t="s">
        <v>2</v>
      </c>
      <c r="V873" s="62"/>
      <c r="W873" s="64">
        <v>42622</v>
      </c>
      <c r="X873" s="29">
        <f>DATE(YEAR(Table2[[#This Row],[Data attivazione]])+VLOOKUP(Table2[[#This Row],[Durata]],VALORE_DURATA,2,FALSE),MONTH(Table2[[#This Row],[Data attivazione]]),DAY(Table2[[#This Row],[Data attivazione]]))</f>
        <v>42987</v>
      </c>
      <c r="Y873" s="65"/>
      <c r="Z873" s="61"/>
      <c r="AA873" s="64" t="s">
        <v>85</v>
      </c>
      <c r="AB873" s="29" t="str">
        <f>IF(Table2[[#This Row],[Data ultimo versamento temp]]=0/1/1900,"-",Table2[[#This Row],[Data ultimo versamento temp]])</f>
        <v>-</v>
      </c>
      <c r="AC873" s="29">
        <f t="array" ref="AC873">MAX(IF(TableVersamenti[Polizza]=Table2[[#This Row],[Polizza]],TableVersamenti[Data prevista versamento],"-"))</f>
        <v>0</v>
      </c>
      <c r="AD873" s="62"/>
      <c r="AE873" s="106">
        <f>DATE(YEAR(Table2[[#This Row],[Data ultimo pagamento]]),MONTH(Table2[[#This Row],[Data ultimo pagamento]]), 1)</f>
        <v>42795</v>
      </c>
      <c r="AF873" s="106">
        <f>DATE(YEAR(Table2[[#This Row],[Data prossima scadenza]]),MONTH(Table2[[#This Row],[Data prossima scadenza]]), 1)</f>
        <v>42795</v>
      </c>
      <c r="AG873" s="33">
        <f>IFERROR(Table2[[#This Row],[Importo annuale]]*VLOOKUP(Table2[[#This Row],[Ramo]],RAMI_POLIZZA,2,FALSE),0)</f>
        <v>13.52</v>
      </c>
      <c r="AH873" s="65" t="s">
        <v>113</v>
      </c>
      <c r="AI873" s="63" t="str">
        <f>IFERROR(VLOOKUP(Table2[[#This Row],[Contraente]],Table1[[Nome/Ragione sociale]:[Checkbox selezionato]],2,FALSE),"-")</f>
        <v>CORTEOLONA</v>
      </c>
      <c r="AJ873" s="63">
        <f>IFERROR(VLOOKUP(Table2[[#This Row],[Contraente]],Table1[[Nome/Ragione sociale]:[Checkbox selezionato]],3,FALSE),"-")</f>
        <v>3356099850</v>
      </c>
      <c r="AK873" s="63" t="str">
        <f>IFERROR(VLOOKUP(Table2[[#This Row],[Contraente]],Table1[[Nome/Ragione sociale]:[Checkbox selezionato]],4,FALSE),"-")</f>
        <v>.038270412</v>
      </c>
      <c r="AL873" s="63" t="str">
        <f>IFERROR(VLOOKUP(Table2[[#This Row],[Contraente]],Table1[[Nome/Ragione sociale]:[Checkbox selezionato]],5,FALSE),"-")</f>
        <v>CARNAGHI RENATO</v>
      </c>
      <c r="AM873" s="62">
        <f>IFERROR(VLOOKUP(Table2[[#This Row],[Contraente]],Table1[[Nome/Ragione sociale]:[Checkbox selezionato]],6,FALSE),"-")</f>
        <v>14481</v>
      </c>
      <c r="AN873" s="63" t="str">
        <f>IFERROR(VLOOKUP(Table2[[#This Row],[Contraente]],Table1[[Nome/Ragione sociale]:[Checkbox selezionato]],7,FALSE),"-")</f>
        <v>papies@libero.it</v>
      </c>
      <c r="AO873" s="63">
        <f>IFERROR(VLOOKUP(Table2[[#This Row],[Contraente]],Table1[[Nome/Ragione sociale]:[Checkbox selezionato]],8,FALSE),"-")</f>
        <v>0</v>
      </c>
      <c r="AP873" s="63">
        <f>IFERROR(VLOOKUP(Table2[[#This Row],[Contraente]],Table1[[Nome/Ragione sociale]:[Checkbox selezionato]],10,FALSE),"-")</f>
        <v>3356099850</v>
      </c>
      <c r="AQ873" s="63" t="str">
        <f>IFERROR(VLOOKUP(Table2[[#This Row],[Contraente]],Table1[[Nome/Ragione sociale]:[Checkbox selezionato]],11,FALSE),"-")</f>
        <v>SI</v>
      </c>
      <c r="AR873" s="63" t="str">
        <f>IFERROR(VLOOKUP(Table2[[#This Row],[Contraente]],Table1[[Nome/Ragione sociale]:[Checkbox selezionato]],12,FALSE),"-")</f>
        <v>SI</v>
      </c>
    </row>
    <row r="874" spans="1:44" ht="30" hidden="1" customHeight="1" x14ac:dyDescent="0.25">
      <c r="A874" s="60" t="str">
        <f>UPPER(LEFT(Table2[[#This Row],[Contraente]],1))</f>
        <v>P</v>
      </c>
      <c r="B874" s="60" t="s">
        <v>1634</v>
      </c>
      <c r="C874" s="81" t="s">
        <v>1121</v>
      </c>
      <c r="D874" s="81" t="s">
        <v>37</v>
      </c>
      <c r="E874" s="86">
        <v>106733478</v>
      </c>
      <c r="F874" s="64">
        <v>42836</v>
      </c>
      <c r="G874" s="64">
        <f>IFERROR(CALCOLASCADENZA(Table2[[#This Row],[Data attivazione]],Table2[[#This Row],[Rateizzazione]],Table2[[#This Row],[Data ultimo pagamento]],Table2[[#This Row],[Data prossima scadenza manuale]]),"-")</f>
        <v>43015</v>
      </c>
      <c r="H874" s="67" t="s">
        <v>31</v>
      </c>
      <c r="I874" s="67" t="s">
        <v>1498</v>
      </c>
      <c r="J874" s="33">
        <f>IFERROR(Table2[[#This Row],[Importo annuale]]/(12/VLOOKUP(Table2[[#This Row],[Rateizzazione]],TIPI_RATEIZZAZIONI,2,FALSE)),"-")</f>
        <v>279.83999999999997</v>
      </c>
      <c r="K874" s="88">
        <v>279.83999999999997</v>
      </c>
      <c r="L874" s="88">
        <v>559.67999999999995</v>
      </c>
      <c r="M874" s="67" t="s">
        <v>43</v>
      </c>
      <c r="N874" s="67" t="s">
        <v>51</v>
      </c>
      <c r="O874" s="27" t="s">
        <v>1631</v>
      </c>
      <c r="P874" s="33" t="s">
        <v>22</v>
      </c>
      <c r="Q874" s="60">
        <f>IFERROR(IF(12 / VLOOKUP(Table2[[#This Row],[Rateizzazione]],TIPI_RATEIZZAZIONI,2,FALSE) &gt;=1,  IF(Table2[[#This Row],[Data attivazione]] = "","-",MONTH(Table2[[#This Row],[Data attivazione]])),"-"),"-")</f>
        <v>10</v>
      </c>
      <c r="R8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4" s="67" t="s">
        <v>2</v>
      </c>
      <c r="V874" s="62"/>
      <c r="W874" s="64">
        <v>42650</v>
      </c>
      <c r="X874" s="29">
        <f>DATE(YEAR(Table2[[#This Row],[Data attivazione]])+VLOOKUP(Table2[[#This Row],[Durata]],VALORE_DURATA,2,FALSE),MONTH(Table2[[#This Row],[Data attivazione]]),DAY(Table2[[#This Row],[Data attivazione]]))</f>
        <v>43015</v>
      </c>
      <c r="Y874" s="65"/>
      <c r="Z874" s="61"/>
      <c r="AA874" s="64" t="s">
        <v>85</v>
      </c>
      <c r="AB874" s="29" t="str">
        <f>IF(Table2[[#This Row],[Data ultimo versamento temp]]=0/1/1900,"-",Table2[[#This Row],[Data ultimo versamento temp]])</f>
        <v>-</v>
      </c>
      <c r="AC874" s="29">
        <f t="array" ref="AC874">MAX(IF(TableVersamenti[Polizza]=Table2[[#This Row],[Polizza]],TableVersamenti[Data prevista versamento],"-"))</f>
        <v>0</v>
      </c>
      <c r="AD874" s="62"/>
      <c r="AE874" s="106">
        <f>DATE(YEAR(Table2[[#This Row],[Data ultimo pagamento]]),MONTH(Table2[[#This Row],[Data ultimo pagamento]]), 1)</f>
        <v>42826</v>
      </c>
      <c r="AF874" s="106">
        <f>DATE(YEAR(Table2[[#This Row],[Data prossima scadenza]]),MONTH(Table2[[#This Row],[Data prossima scadenza]]), 1)</f>
        <v>43009</v>
      </c>
      <c r="AG874" s="33">
        <f>IFERROR(Table2[[#This Row],[Importo annuale]]*VLOOKUP(Table2[[#This Row],[Ramo]],RAMI_POLIZZA,2,FALSE),0)</f>
        <v>29.103359999999995</v>
      </c>
      <c r="AH874" s="65" t="s">
        <v>113</v>
      </c>
      <c r="AI874" s="63" t="str">
        <f>IFERROR(VLOOKUP(Table2[[#This Row],[Contraente]],Table1[[Nome/Ragione sociale]:[Checkbox selezionato]],2,FALSE),"-")</f>
        <v>CORTEOLONA</v>
      </c>
      <c r="AJ874" s="63">
        <f>IFERROR(VLOOKUP(Table2[[#This Row],[Contraente]],Table1[[Nome/Ragione sociale]:[Checkbox selezionato]],3,FALSE),"-")</f>
        <v>3356099850</v>
      </c>
      <c r="AK874" s="63" t="str">
        <f>IFERROR(VLOOKUP(Table2[[#This Row],[Contraente]],Table1[[Nome/Ragione sociale]:[Checkbox selezionato]],4,FALSE),"-")</f>
        <v>.038270412</v>
      </c>
      <c r="AL874" s="63" t="str">
        <f>IFERROR(VLOOKUP(Table2[[#This Row],[Contraente]],Table1[[Nome/Ragione sociale]:[Checkbox selezionato]],5,FALSE),"-")</f>
        <v>CARNAGHI RENATO</v>
      </c>
      <c r="AM874" s="62">
        <f>IFERROR(VLOOKUP(Table2[[#This Row],[Contraente]],Table1[[Nome/Ragione sociale]:[Checkbox selezionato]],6,FALSE),"-")</f>
        <v>14481</v>
      </c>
      <c r="AN874" s="63" t="str">
        <f>IFERROR(VLOOKUP(Table2[[#This Row],[Contraente]],Table1[[Nome/Ragione sociale]:[Checkbox selezionato]],7,FALSE),"-")</f>
        <v>papies@libero.it</v>
      </c>
      <c r="AO874" s="63">
        <f>IFERROR(VLOOKUP(Table2[[#This Row],[Contraente]],Table1[[Nome/Ragione sociale]:[Checkbox selezionato]],8,FALSE),"-")</f>
        <v>0</v>
      </c>
      <c r="AP874" s="63">
        <f>IFERROR(VLOOKUP(Table2[[#This Row],[Contraente]],Table1[[Nome/Ragione sociale]:[Checkbox selezionato]],10,FALSE),"-")</f>
        <v>3356099850</v>
      </c>
      <c r="AQ874" s="63" t="str">
        <f>IFERROR(VLOOKUP(Table2[[#This Row],[Contraente]],Table1[[Nome/Ragione sociale]:[Checkbox selezionato]],11,FALSE),"-")</f>
        <v>SI</v>
      </c>
      <c r="AR874" s="63" t="str">
        <f>IFERROR(VLOOKUP(Table2[[#This Row],[Contraente]],Table1[[Nome/Ragione sociale]:[Checkbox selezionato]],12,FALSE),"-")</f>
        <v>SI</v>
      </c>
    </row>
    <row r="875" spans="1:44" ht="30" hidden="1" customHeight="1" x14ac:dyDescent="0.25">
      <c r="A875" s="60" t="str">
        <f>UPPER(LEFT(Table2[[#This Row],[Contraente]],1))</f>
        <v>P</v>
      </c>
      <c r="B875" s="60" t="s">
        <v>1634</v>
      </c>
      <c r="C875" s="81" t="s">
        <v>1121</v>
      </c>
      <c r="D875" s="81" t="s">
        <v>37</v>
      </c>
      <c r="E875" s="86">
        <v>104372564</v>
      </c>
      <c r="F875" s="64">
        <v>42803</v>
      </c>
      <c r="G875" s="64">
        <f>IFERROR(CALCOLASCADENZA(Table2[[#This Row],[Data attivazione]],Table2[[#This Row],[Rateizzazione]],Table2[[#This Row],[Data ultimo pagamento]],Table2[[#This Row],[Data prossima scadenza manuale]]),"-")</f>
        <v>42841</v>
      </c>
      <c r="H875" s="67" t="s">
        <v>30</v>
      </c>
      <c r="I875" s="67" t="s">
        <v>113</v>
      </c>
      <c r="J875" s="33">
        <f>IFERROR(Table2[[#This Row],[Importo annuale]]/(12/VLOOKUP(Table2[[#This Row],[Rateizzazione]],TIPI_RATEIZZAZIONI,2,FALSE)),"-")</f>
        <v>32</v>
      </c>
      <c r="K875" s="88">
        <v>32</v>
      </c>
      <c r="L875" s="88">
        <v>64</v>
      </c>
      <c r="M875" s="67" t="s">
        <v>43</v>
      </c>
      <c r="N875" s="67" t="s">
        <v>51</v>
      </c>
      <c r="O875" s="27" t="s">
        <v>1631</v>
      </c>
      <c r="P875" s="33" t="s">
        <v>22</v>
      </c>
      <c r="Q875" s="60">
        <f>IFERROR(IF(12 / VLOOKUP(Table2[[#This Row],[Rateizzazione]],TIPI_RATEIZZAZIONI,2,FALSE) &gt;=1,  IF(Table2[[#This Row],[Data attivazione]] = "","-",MONTH(Table2[[#This Row],[Data attivazione]])),"-"),"-")</f>
        <v>10</v>
      </c>
      <c r="R8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5" s="67" t="s">
        <v>2</v>
      </c>
      <c r="V875" s="62"/>
      <c r="W875" s="64">
        <v>42659</v>
      </c>
      <c r="X875" s="29">
        <f>DATE(YEAR(Table2[[#This Row],[Data attivazione]])+VLOOKUP(Table2[[#This Row],[Durata]],VALORE_DURATA,2,FALSE),MONTH(Table2[[#This Row],[Data attivazione]]),DAY(Table2[[#This Row],[Data attivazione]]))</f>
        <v>43024</v>
      </c>
      <c r="Y875" s="65"/>
      <c r="Z875" s="61"/>
      <c r="AA875" s="64" t="s">
        <v>85</v>
      </c>
      <c r="AB875" s="29" t="str">
        <f>IF(Table2[[#This Row],[Data ultimo versamento temp]]=0/1/1900,"-",Table2[[#This Row],[Data ultimo versamento temp]])</f>
        <v>-</v>
      </c>
      <c r="AC875" s="29">
        <f t="array" ref="AC875">MAX(IF(TableVersamenti[Polizza]=Table2[[#This Row],[Polizza]],TableVersamenti[Data prevista versamento],"-"))</f>
        <v>0</v>
      </c>
      <c r="AD875" s="62"/>
      <c r="AE875" s="106">
        <f>DATE(YEAR(Table2[[#This Row],[Data ultimo pagamento]]),MONTH(Table2[[#This Row],[Data ultimo pagamento]]), 1)</f>
        <v>42795</v>
      </c>
      <c r="AF875" s="106">
        <f>DATE(YEAR(Table2[[#This Row],[Data prossima scadenza]]),MONTH(Table2[[#This Row],[Data prossima scadenza]]), 1)</f>
        <v>42826</v>
      </c>
      <c r="AG875" s="33">
        <f>IFERROR(Table2[[#This Row],[Importo annuale]]*VLOOKUP(Table2[[#This Row],[Ramo]],RAMI_POLIZZA,2,FALSE),0)</f>
        <v>7.36</v>
      </c>
      <c r="AH875" s="65" t="s">
        <v>113</v>
      </c>
      <c r="AI875" s="63" t="str">
        <f>IFERROR(VLOOKUP(Table2[[#This Row],[Contraente]],Table1[[Nome/Ragione sociale]:[Checkbox selezionato]],2,FALSE),"-")</f>
        <v>CORTEOLONA</v>
      </c>
      <c r="AJ875" s="63">
        <f>IFERROR(VLOOKUP(Table2[[#This Row],[Contraente]],Table1[[Nome/Ragione sociale]:[Checkbox selezionato]],3,FALSE),"-")</f>
        <v>3356099850</v>
      </c>
      <c r="AK875" s="63" t="str">
        <f>IFERROR(VLOOKUP(Table2[[#This Row],[Contraente]],Table1[[Nome/Ragione sociale]:[Checkbox selezionato]],4,FALSE),"-")</f>
        <v>.038270412</v>
      </c>
      <c r="AL875" s="63" t="str">
        <f>IFERROR(VLOOKUP(Table2[[#This Row],[Contraente]],Table1[[Nome/Ragione sociale]:[Checkbox selezionato]],5,FALSE),"-")</f>
        <v>CARNAGHI RENATO</v>
      </c>
      <c r="AM875" s="62">
        <f>IFERROR(VLOOKUP(Table2[[#This Row],[Contraente]],Table1[[Nome/Ragione sociale]:[Checkbox selezionato]],6,FALSE),"-")</f>
        <v>14481</v>
      </c>
      <c r="AN875" s="63" t="str">
        <f>IFERROR(VLOOKUP(Table2[[#This Row],[Contraente]],Table1[[Nome/Ragione sociale]:[Checkbox selezionato]],7,FALSE),"-")</f>
        <v>papies@libero.it</v>
      </c>
      <c r="AO875" s="63">
        <f>IFERROR(VLOOKUP(Table2[[#This Row],[Contraente]],Table1[[Nome/Ragione sociale]:[Checkbox selezionato]],8,FALSE),"-")</f>
        <v>0</v>
      </c>
      <c r="AP875" s="63">
        <f>IFERROR(VLOOKUP(Table2[[#This Row],[Contraente]],Table1[[Nome/Ragione sociale]:[Checkbox selezionato]],10,FALSE),"-")</f>
        <v>3356099850</v>
      </c>
      <c r="AQ875" s="63" t="str">
        <f>IFERROR(VLOOKUP(Table2[[#This Row],[Contraente]],Table1[[Nome/Ragione sociale]:[Checkbox selezionato]],11,FALSE),"-")</f>
        <v>SI</v>
      </c>
      <c r="AR875" s="63" t="str">
        <f>IFERROR(VLOOKUP(Table2[[#This Row],[Contraente]],Table1[[Nome/Ragione sociale]:[Checkbox selezionato]],12,FALSE),"-")</f>
        <v>SI</v>
      </c>
    </row>
    <row r="876" spans="1:44" ht="30" hidden="1" customHeight="1" x14ac:dyDescent="0.25">
      <c r="A876" s="60" t="str">
        <f>UPPER(LEFT(Table2[[#This Row],[Contraente]],1))</f>
        <v>P</v>
      </c>
      <c r="B876" s="60" t="s">
        <v>1634</v>
      </c>
      <c r="C876" s="81" t="s">
        <v>916</v>
      </c>
      <c r="D876" s="81" t="s">
        <v>37</v>
      </c>
      <c r="E876" s="86">
        <v>102687582</v>
      </c>
      <c r="F876" s="64">
        <v>42877</v>
      </c>
      <c r="G876" s="64">
        <f>IFERROR(CALCOLASCADENZA(Table2[[#This Row],[Data attivazione]],Table2[[#This Row],[Rateizzazione]],Table2[[#This Row],[Data ultimo pagamento]],Table2[[#This Row],[Data prossima scadenza manuale]]),"-")</f>
        <v>43244</v>
      </c>
      <c r="H876" s="67" t="s">
        <v>30</v>
      </c>
      <c r="I876" s="67" t="s">
        <v>113</v>
      </c>
      <c r="J876" s="33">
        <f>IFERROR(Table2[[#This Row],[Importo annuale]]/(12/VLOOKUP(Table2[[#This Row],[Rateizzazione]],TIPI_RATEIZZAZIONI,2,FALSE)),"-")</f>
        <v>793.33</v>
      </c>
      <c r="K876" s="88">
        <v>793.33</v>
      </c>
      <c r="L876" s="88">
        <v>793.33</v>
      </c>
      <c r="M876" s="67" t="s">
        <v>45</v>
      </c>
      <c r="N876" s="67" t="s">
        <v>51</v>
      </c>
      <c r="O876" s="27" t="s">
        <v>1631</v>
      </c>
      <c r="P876" s="33" t="s">
        <v>23</v>
      </c>
      <c r="Q876" s="60">
        <f>IFERROR(IF(12 / VLOOKUP(Table2[[#This Row],[Rateizzazione]],TIPI_RATEIZZAZIONI,2,FALSE) &gt;=1,  IF(Table2[[#This Row],[Data attivazione]] = "","-",MONTH(Table2[[#This Row],[Data attivazione]])),"-"),"-")</f>
        <v>5</v>
      </c>
      <c r="R8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6" s="67" t="s">
        <v>2</v>
      </c>
      <c r="V876" s="62"/>
      <c r="W876" s="64">
        <v>42879</v>
      </c>
      <c r="X876" s="29">
        <f>DATE(YEAR(Table2[[#This Row],[Data attivazione]])+VLOOKUP(Table2[[#This Row],[Durata]],VALORE_DURATA,2,FALSE),MONTH(Table2[[#This Row],[Data attivazione]]),DAY(Table2[[#This Row],[Data attivazione]]))</f>
        <v>43244</v>
      </c>
      <c r="Y876" s="65"/>
      <c r="Z876" s="61"/>
      <c r="AA876" s="64" t="s">
        <v>85</v>
      </c>
      <c r="AB876" s="29" t="str">
        <f>IF(Table2[[#This Row],[Data ultimo versamento temp]]=0/1/1900,"-",Table2[[#This Row],[Data ultimo versamento temp]])</f>
        <v>-</v>
      </c>
      <c r="AC876" s="29">
        <f t="array" ref="AC876">MAX(IF(TableVersamenti[Polizza]=Table2[[#This Row],[Polizza]],TableVersamenti[Data prevista versamento],"-"))</f>
        <v>0</v>
      </c>
      <c r="AD876" s="62"/>
      <c r="AE876" s="106">
        <f>DATE(YEAR(Table2[[#This Row],[Data ultimo pagamento]]),MONTH(Table2[[#This Row],[Data ultimo pagamento]]), 1)</f>
        <v>42856</v>
      </c>
      <c r="AF876" s="106">
        <f>DATE(YEAR(Table2[[#This Row],[Data prossima scadenza]]),MONTH(Table2[[#This Row],[Data prossima scadenza]]), 1)</f>
        <v>43221</v>
      </c>
      <c r="AG876" s="33">
        <f>IFERROR(Table2[[#This Row],[Importo annuale]]*VLOOKUP(Table2[[#This Row],[Ramo]],RAMI_POLIZZA,2,FALSE),0)</f>
        <v>91.232950000000002</v>
      </c>
      <c r="AH876" s="65" t="s">
        <v>113</v>
      </c>
      <c r="AI876" s="63" t="str">
        <f>IFERROR(VLOOKUP(Table2[[#This Row],[Contraente]],Table1[[Nome/Ragione sociale]:[Checkbox selezionato]],2,FALSE),"-")</f>
        <v>MILANO</v>
      </c>
      <c r="AJ876" s="63">
        <f>IFERROR(VLOOKUP(Table2[[#This Row],[Contraente]],Table1[[Nome/Ragione sociale]:[Checkbox selezionato]],3,FALSE),"-")</f>
        <v>3381718553</v>
      </c>
      <c r="AK876" s="63">
        <f>IFERROR(VLOOKUP(Table2[[#This Row],[Contraente]],Table1[[Nome/Ragione sociale]:[Checkbox selezionato]],4,FALSE),"-")</f>
        <v>0</v>
      </c>
      <c r="AL876" s="63" t="str">
        <f>IFERROR(VLOOKUP(Table2[[#This Row],[Contraente]],Table1[[Nome/Ragione sociale]:[Checkbox selezionato]],5,FALSE),"-")</f>
        <v>CAROLA MARIA</v>
      </c>
      <c r="AM876" s="62">
        <f>IFERROR(VLOOKUP(Table2[[#This Row],[Contraente]],Table1[[Nome/Ragione sociale]:[Checkbox selezionato]],6,FALSE),"-")</f>
        <v>28976</v>
      </c>
      <c r="AN876" s="63" t="str">
        <f>IFERROR(VLOOKUP(Table2[[#This Row],[Contraente]],Table1[[Nome/Ragione sociale]:[Checkbox selezionato]],7,FALSE),"-")</f>
        <v>papies@email.it</v>
      </c>
      <c r="AO876" s="63">
        <f>IFERROR(VLOOKUP(Table2[[#This Row],[Contraente]],Table1[[Nome/Ragione sociale]:[Checkbox selezionato]],8,FALSE),"-")</f>
        <v>0</v>
      </c>
      <c r="AP876" s="63">
        <f>IFERROR(VLOOKUP(Table2[[#This Row],[Contraente]],Table1[[Nome/Ragione sociale]:[Checkbox selezionato]],10,FALSE),"-")</f>
        <v>3381718553</v>
      </c>
      <c r="AQ876" s="63" t="str">
        <f>IFERROR(VLOOKUP(Table2[[#This Row],[Contraente]],Table1[[Nome/Ragione sociale]:[Checkbox selezionato]],11,FALSE),"-")</f>
        <v>SI</v>
      </c>
      <c r="AR876" s="63" t="str">
        <f>IFERROR(VLOOKUP(Table2[[#This Row],[Contraente]],Table1[[Nome/Ragione sociale]:[Checkbox selezionato]],12,FALSE),"-")</f>
        <v>SI</v>
      </c>
    </row>
    <row r="877" spans="1:44" ht="30" hidden="1" customHeight="1" x14ac:dyDescent="0.25">
      <c r="A877" s="60" t="str">
        <f>UPPER(LEFT(Table2[[#This Row],[Contraente]],1))</f>
        <v>P</v>
      </c>
      <c r="B877" s="60" t="s">
        <v>1634</v>
      </c>
      <c r="C877" s="81" t="s">
        <v>918</v>
      </c>
      <c r="D877" s="81" t="s">
        <v>37</v>
      </c>
      <c r="E877" s="86">
        <v>104964992</v>
      </c>
      <c r="F877" s="64">
        <v>42324</v>
      </c>
      <c r="G877" s="64">
        <f>IFERROR(CALCOLASCADENZA(Table2[[#This Row],[Data attivazione]],Table2[[#This Row],[Rateizzazione]],Table2[[#This Row],[Data ultimo pagamento]],Table2[[#This Row],[Data prossima scadenza manuale]]),"-")</f>
        <v>42673</v>
      </c>
      <c r="H877" s="67" t="s">
        <v>31</v>
      </c>
      <c r="I877" s="67" t="s">
        <v>1500</v>
      </c>
      <c r="J877" s="33">
        <f>IFERROR(Table2[[#This Row],[Importo annuale]]/(12/VLOOKUP(Table2[[#This Row],[Rateizzazione]],TIPI_RATEIZZAZIONI,2,FALSE)),"-")</f>
        <v>455</v>
      </c>
      <c r="K877" s="88"/>
      <c r="L877" s="88">
        <v>455</v>
      </c>
      <c r="M877" s="67" t="s">
        <v>44</v>
      </c>
      <c r="N877" s="67" t="s">
        <v>51</v>
      </c>
      <c r="O877" s="27" t="s">
        <v>1631</v>
      </c>
      <c r="P877" s="33" t="s">
        <v>23</v>
      </c>
      <c r="Q877" s="60">
        <f>IFERROR(IF(12 / VLOOKUP(Table2[[#This Row],[Rateizzazione]],TIPI_RATEIZZAZIONI,2,FALSE) &gt;=1,  IF(Table2[[#This Row],[Data attivazione]] = "","-",MONTH(Table2[[#This Row],[Data attivazione]])),"-"),"-")</f>
        <v>10</v>
      </c>
      <c r="R8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7" s="67" t="s">
        <v>2</v>
      </c>
      <c r="V877" s="62"/>
      <c r="W877" s="64">
        <v>42307</v>
      </c>
      <c r="X877" s="29">
        <f>DATE(YEAR(Table2[[#This Row],[Data attivazione]])+VLOOKUP(Table2[[#This Row],[Durata]],VALORE_DURATA,2,FALSE),MONTH(Table2[[#This Row],[Data attivazione]]),DAY(Table2[[#This Row],[Data attivazione]]))</f>
        <v>42673</v>
      </c>
      <c r="Y877" s="65"/>
      <c r="Z877" s="61"/>
      <c r="AA877" s="64" t="s">
        <v>88</v>
      </c>
      <c r="AB877" s="29" t="str">
        <f>IF(Table2[[#This Row],[Data ultimo versamento temp]]=0/1/1900,"-",Table2[[#This Row],[Data ultimo versamento temp]])</f>
        <v>-</v>
      </c>
      <c r="AC877" s="29">
        <f t="array" ref="AC877">MAX(IF(TableVersamenti[Polizza]=Table2[[#This Row],[Polizza]],TableVersamenti[Data prevista versamento],"-"))</f>
        <v>0</v>
      </c>
      <c r="AD877" s="62"/>
      <c r="AE877" s="106">
        <f>DATE(YEAR(Table2[[#This Row],[Data ultimo pagamento]]),MONTH(Table2[[#This Row],[Data ultimo pagamento]]), 1)</f>
        <v>42309</v>
      </c>
      <c r="AF877" s="106">
        <f>DATE(YEAR(Table2[[#This Row],[Data prossima scadenza]]),MONTH(Table2[[#This Row],[Data prossima scadenza]]), 1)</f>
        <v>42644</v>
      </c>
      <c r="AG877" s="33">
        <f>IFERROR(Table2[[#This Row],[Importo annuale]]*VLOOKUP(Table2[[#This Row],[Ramo]],RAMI_POLIZZA,2,FALSE),0)</f>
        <v>23.66</v>
      </c>
      <c r="AH877" s="65" t="s">
        <v>113</v>
      </c>
      <c r="AI877" s="63" t="str">
        <f>IFERROR(VLOOKUP(Table2[[#This Row],[Contraente]],Table1[[Nome/Ragione sociale]:[Checkbox selezionato]],2,FALSE),"-")</f>
        <v>PAVIA</v>
      </c>
      <c r="AJ877" s="63">
        <f>IFERROR(VLOOKUP(Table2[[#This Row],[Contraente]],Table1[[Nome/Ragione sociale]:[Checkbox selezionato]],3,FALSE),"-")</f>
        <v>3386065179</v>
      </c>
      <c r="AK877" s="63">
        <f>IFERROR(VLOOKUP(Table2[[#This Row],[Contraente]],Table1[[Nome/Ragione sociale]:[Checkbox selezionato]],4,FALSE),"-")</f>
        <v>0</v>
      </c>
      <c r="AL877" s="63" t="str">
        <f>IFERROR(VLOOKUP(Table2[[#This Row],[Contraente]],Table1[[Nome/Ragione sociale]:[Checkbox selezionato]],5,FALSE),"-")</f>
        <v>ELENA</v>
      </c>
      <c r="AM877" s="62">
        <f>IFERROR(VLOOKUP(Table2[[#This Row],[Contraente]],Table1[[Nome/Ragione sociale]:[Checkbox selezionato]],6,FALSE),"-")</f>
        <v>26240</v>
      </c>
      <c r="AN877" s="63" t="str">
        <f>IFERROR(VLOOKUP(Table2[[#This Row],[Contraente]],Table1[[Nome/Ragione sociale]:[Checkbox selezionato]],7,FALSE),"-")</f>
        <v>papies@libero.it</v>
      </c>
      <c r="AO877" s="63">
        <f>IFERROR(VLOOKUP(Table2[[#This Row],[Contraente]],Table1[[Nome/Ragione sociale]:[Checkbox selezionato]],8,FALSE),"-")</f>
        <v>0</v>
      </c>
      <c r="AP877" s="63">
        <f>IFERROR(VLOOKUP(Table2[[#This Row],[Contraente]],Table1[[Nome/Ragione sociale]:[Checkbox selezionato]],10,FALSE),"-")</f>
        <v>3386065179</v>
      </c>
      <c r="AQ877" s="63" t="str">
        <f>IFERROR(VLOOKUP(Table2[[#This Row],[Contraente]],Table1[[Nome/Ragione sociale]:[Checkbox selezionato]],11,FALSE),"-")</f>
        <v>SI</v>
      </c>
      <c r="AR877" s="63" t="str">
        <f>IFERROR(VLOOKUP(Table2[[#This Row],[Contraente]],Table1[[Nome/Ragione sociale]:[Checkbox selezionato]],12,FALSE),"-")</f>
        <v>SI</v>
      </c>
    </row>
    <row r="878" spans="1:44" ht="30" hidden="1" customHeight="1" x14ac:dyDescent="0.25">
      <c r="A878" s="60" t="str">
        <f>UPPER(LEFT(Table2[[#This Row],[Contraente]],1))</f>
        <v>P</v>
      </c>
      <c r="B878" s="60" t="s">
        <v>1634</v>
      </c>
      <c r="C878" s="81" t="s">
        <v>919</v>
      </c>
      <c r="D878" s="81" t="s">
        <v>37</v>
      </c>
      <c r="E878" s="86">
        <v>107094606</v>
      </c>
      <c r="F878" s="64">
        <v>42927</v>
      </c>
      <c r="G878" s="64">
        <f>IFERROR(CALCOLASCADENZA(Table2[[#This Row],[Data attivazione]],Table2[[#This Row],[Rateizzazione]],Table2[[#This Row],[Data ultimo pagamento]],Table2[[#This Row],[Data prossima scadenza manuale]]),"-")</f>
        <v>43294</v>
      </c>
      <c r="H878" s="67" t="s">
        <v>30</v>
      </c>
      <c r="I878" s="67" t="s">
        <v>113</v>
      </c>
      <c r="J878" s="33">
        <v>80</v>
      </c>
      <c r="K878" s="88">
        <v>80</v>
      </c>
      <c r="L878" s="88">
        <v>80</v>
      </c>
      <c r="M878" s="67" t="s">
        <v>44</v>
      </c>
      <c r="N878" s="67" t="s">
        <v>51</v>
      </c>
      <c r="O878" s="27" t="s">
        <v>1631</v>
      </c>
      <c r="P878" s="33" t="s">
        <v>23</v>
      </c>
      <c r="Q878" s="60">
        <f>IFERROR(IF(12 / VLOOKUP(Table2[[#This Row],[Rateizzazione]],TIPI_RATEIZZAZIONI,2,FALSE) &gt;=1,  IF(Table2[[#This Row],[Data attivazione]] = "","-",MONTH(Table2[[#This Row],[Data attivazione]])),"-"),"-")</f>
        <v>7</v>
      </c>
      <c r="R8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8" s="67" t="s">
        <v>2</v>
      </c>
      <c r="V878" s="62"/>
      <c r="W878" s="64">
        <v>42929</v>
      </c>
      <c r="X878" s="29">
        <f>DATE(YEAR(Table2[[#This Row],[Data attivazione]])+VLOOKUP(Table2[[#This Row],[Durata]],VALORE_DURATA,2,FALSE),MONTH(Table2[[#This Row],[Data attivazione]]),DAY(Table2[[#This Row],[Data attivazione]]))</f>
        <v>43294</v>
      </c>
      <c r="Y878" s="65"/>
      <c r="Z878" s="61"/>
      <c r="AA878" s="64" t="s">
        <v>85</v>
      </c>
      <c r="AB878" s="29">
        <f>IF(Table2[[#This Row],[Data ultimo versamento temp]]=0/1/1900,"-",Table2[[#This Row],[Data ultimo versamento temp]])</f>
        <v>42930</v>
      </c>
      <c r="AC878" s="29">
        <v>42930</v>
      </c>
      <c r="AD878" s="62"/>
      <c r="AE878" s="106">
        <f>DATE(YEAR(Table2[[#This Row],[Data ultimo pagamento]]),MONTH(Table2[[#This Row],[Data ultimo pagamento]]), 1)</f>
        <v>42917</v>
      </c>
      <c r="AF878" s="106">
        <f>DATE(YEAR(Table2[[#This Row],[Data prossima scadenza]]),MONTH(Table2[[#This Row],[Data prossima scadenza]]), 1)</f>
        <v>43282</v>
      </c>
      <c r="AG878" s="33">
        <f>IFERROR(Table2[[#This Row],[Importo annuale]]*VLOOKUP(Table2[[#This Row],[Ramo]],RAMI_POLIZZA,2,FALSE),0)</f>
        <v>9.2000000000000011</v>
      </c>
      <c r="AH878" s="65" t="s">
        <v>113</v>
      </c>
      <c r="AI878" s="63" t="str">
        <f>IFERROR(VLOOKUP(Table2[[#This Row],[Contraente]],Table1[[Nome/Ragione sociale]:[Checkbox selezionato]],2,FALSE),"-")</f>
        <v>BELGIOIOSO</v>
      </c>
      <c r="AJ878" s="63">
        <f>IFERROR(VLOOKUP(Table2[[#This Row],[Contraente]],Table1[[Nome/Ragione sociale]:[Checkbox selezionato]],3,FALSE),"-")</f>
        <v>3357223808</v>
      </c>
      <c r="AK878" s="63">
        <f>IFERROR(VLOOKUP(Table2[[#This Row],[Contraente]],Table1[[Nome/Ragione sociale]:[Checkbox selezionato]],4,FALSE),"-")</f>
        <v>0</v>
      </c>
      <c r="AL878" s="63" t="str">
        <f>IFERROR(VLOOKUP(Table2[[#This Row],[Contraente]],Table1[[Nome/Ragione sociale]:[Checkbox selezionato]],5,FALSE),"-")</f>
        <v>MICHELINA</v>
      </c>
      <c r="AM878" s="62">
        <f>IFERROR(VLOOKUP(Table2[[#This Row],[Contraente]],Table1[[Nome/Ragione sociale]:[Checkbox selezionato]],6,FALSE),"-")</f>
        <v>18259</v>
      </c>
      <c r="AN878" s="63" t="str">
        <f>IFERROR(VLOOKUP(Table2[[#This Row],[Contraente]],Table1[[Nome/Ragione sociale]:[Checkbox selezionato]],7,FALSE),"-")</f>
        <v>papies@libero.it</v>
      </c>
      <c r="AO878" s="63">
        <f>IFERROR(VLOOKUP(Table2[[#This Row],[Contraente]],Table1[[Nome/Ragione sociale]:[Checkbox selezionato]],8,FALSE),"-")</f>
        <v>0</v>
      </c>
      <c r="AP878" s="63">
        <f>IFERROR(VLOOKUP(Table2[[#This Row],[Contraente]],Table1[[Nome/Ragione sociale]:[Checkbox selezionato]],10,FALSE),"-")</f>
        <v>3357223808</v>
      </c>
      <c r="AQ878" s="63" t="str">
        <f>IFERROR(VLOOKUP(Table2[[#This Row],[Contraente]],Table1[[Nome/Ragione sociale]:[Checkbox selezionato]],11,FALSE),"-")</f>
        <v>SI</v>
      </c>
      <c r="AR878" s="63" t="str">
        <f>IFERROR(VLOOKUP(Table2[[#This Row],[Contraente]],Table1[[Nome/Ragione sociale]:[Checkbox selezionato]],12,FALSE),"-")</f>
        <v>SI</v>
      </c>
    </row>
    <row r="879" spans="1:44" ht="30" hidden="1" customHeight="1" x14ac:dyDescent="0.25">
      <c r="A879" s="60" t="str">
        <f>UPPER(LEFT(Table2[[#This Row],[Contraente]],1))</f>
        <v>P</v>
      </c>
      <c r="B879" s="60" t="s">
        <v>1634</v>
      </c>
      <c r="C879" s="81" t="s">
        <v>919</v>
      </c>
      <c r="D879" s="81" t="s">
        <v>37</v>
      </c>
      <c r="E879" s="86">
        <v>107094506</v>
      </c>
      <c r="F879" s="64">
        <v>42927</v>
      </c>
      <c r="G879" s="64">
        <f>IFERROR(CALCOLASCADENZA(Table2[[#This Row],[Data attivazione]],Table2[[#This Row],[Rateizzazione]],Table2[[#This Row],[Data ultimo pagamento]],Table2[[#This Row],[Data prossima scadenza manuale]]),"-")</f>
        <v>43294</v>
      </c>
      <c r="H879" s="67" t="s">
        <v>31</v>
      </c>
      <c r="I879" s="67" t="s">
        <v>1501</v>
      </c>
      <c r="J879" s="33">
        <f>IFERROR(Table2[[#This Row],[Importo annuale]]/(12/VLOOKUP(Table2[[#This Row],[Rateizzazione]],TIPI_RATEIZZAZIONI,2,FALSE)),"-")</f>
        <v>444</v>
      </c>
      <c r="K879" s="88">
        <v>444</v>
      </c>
      <c r="L879" s="88">
        <v>444</v>
      </c>
      <c r="M879" s="67" t="s">
        <v>44</v>
      </c>
      <c r="N879" s="67" t="s">
        <v>51</v>
      </c>
      <c r="O879" s="27" t="s">
        <v>1631</v>
      </c>
      <c r="P879" s="33" t="s">
        <v>23</v>
      </c>
      <c r="Q879" s="60">
        <f>IFERROR(IF(12 / VLOOKUP(Table2[[#This Row],[Rateizzazione]],TIPI_RATEIZZAZIONI,2,FALSE) &gt;=1,  IF(Table2[[#This Row],[Data attivazione]] = "","-",MONTH(Table2[[#This Row],[Data attivazione]])),"-"),"-")</f>
        <v>7</v>
      </c>
      <c r="R8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9" s="67" t="s">
        <v>2</v>
      </c>
      <c r="V879" s="62"/>
      <c r="W879" s="64">
        <v>42929</v>
      </c>
      <c r="X879" s="29">
        <f>DATE(YEAR(Table2[[#This Row],[Data attivazione]])+VLOOKUP(Table2[[#This Row],[Durata]],VALORE_DURATA,2,FALSE),MONTH(Table2[[#This Row],[Data attivazione]]),DAY(Table2[[#This Row],[Data attivazione]]))</f>
        <v>43294</v>
      </c>
      <c r="Y879" s="65"/>
      <c r="Z879" s="61"/>
      <c r="AA879" s="64" t="s">
        <v>85</v>
      </c>
      <c r="AB879" s="29">
        <f>IF(Table2[[#This Row],[Data ultimo versamento temp]]=0/1/1900,"-",Table2[[#This Row],[Data ultimo versamento temp]])</f>
        <v>42930</v>
      </c>
      <c r="AC879" s="29">
        <f t="array" ref="AC879">MAX(IF(TableVersamenti[Polizza]=Table2[[#This Row],[Polizza]],TableVersamenti[Data prevista versamento],"-"))</f>
        <v>42930</v>
      </c>
      <c r="AD879" s="62"/>
      <c r="AE879" s="106">
        <f>DATE(YEAR(Table2[[#This Row],[Data ultimo pagamento]]),MONTH(Table2[[#This Row],[Data ultimo pagamento]]), 1)</f>
        <v>42917</v>
      </c>
      <c r="AF879" s="106">
        <f>DATE(YEAR(Table2[[#This Row],[Data prossima scadenza]]),MONTH(Table2[[#This Row],[Data prossima scadenza]]), 1)</f>
        <v>43282</v>
      </c>
      <c r="AG879" s="33">
        <f>IFERROR(Table2[[#This Row],[Importo annuale]]*VLOOKUP(Table2[[#This Row],[Ramo]],RAMI_POLIZZA,2,FALSE),0)</f>
        <v>23.087999999999997</v>
      </c>
      <c r="AH879" s="65" t="s">
        <v>113</v>
      </c>
      <c r="AI879" s="63" t="str">
        <f>IFERROR(VLOOKUP(Table2[[#This Row],[Contraente]],Table1[[Nome/Ragione sociale]:[Checkbox selezionato]],2,FALSE),"-")</f>
        <v>BELGIOIOSO</v>
      </c>
      <c r="AJ879" s="63">
        <f>IFERROR(VLOOKUP(Table2[[#This Row],[Contraente]],Table1[[Nome/Ragione sociale]:[Checkbox selezionato]],3,FALSE),"-")</f>
        <v>3357223808</v>
      </c>
      <c r="AK879" s="63">
        <f>IFERROR(VLOOKUP(Table2[[#This Row],[Contraente]],Table1[[Nome/Ragione sociale]:[Checkbox selezionato]],4,FALSE),"-")</f>
        <v>0</v>
      </c>
      <c r="AL879" s="63" t="str">
        <f>IFERROR(VLOOKUP(Table2[[#This Row],[Contraente]],Table1[[Nome/Ragione sociale]:[Checkbox selezionato]],5,FALSE),"-")</f>
        <v>MICHELINA</v>
      </c>
      <c r="AM879" s="62">
        <f>IFERROR(VLOOKUP(Table2[[#This Row],[Contraente]],Table1[[Nome/Ragione sociale]:[Checkbox selezionato]],6,FALSE),"-")</f>
        <v>18259</v>
      </c>
      <c r="AN879" s="63" t="str">
        <f>IFERROR(VLOOKUP(Table2[[#This Row],[Contraente]],Table1[[Nome/Ragione sociale]:[Checkbox selezionato]],7,FALSE),"-")</f>
        <v>papies@libero.it</v>
      </c>
      <c r="AO879" s="63">
        <f>IFERROR(VLOOKUP(Table2[[#This Row],[Contraente]],Table1[[Nome/Ragione sociale]:[Checkbox selezionato]],8,FALSE),"-")</f>
        <v>0</v>
      </c>
      <c r="AP879" s="63">
        <f>IFERROR(VLOOKUP(Table2[[#This Row],[Contraente]],Table1[[Nome/Ragione sociale]:[Checkbox selezionato]],10,FALSE),"-")</f>
        <v>3357223808</v>
      </c>
      <c r="AQ879" s="63" t="str">
        <f>IFERROR(VLOOKUP(Table2[[#This Row],[Contraente]],Table1[[Nome/Ragione sociale]:[Checkbox selezionato]],11,FALSE),"-")</f>
        <v>SI</v>
      </c>
      <c r="AR879" s="63" t="str">
        <f>IFERROR(VLOOKUP(Table2[[#This Row],[Contraente]],Table1[[Nome/Ragione sociale]:[Checkbox selezionato]],12,FALSE),"-")</f>
        <v>SI</v>
      </c>
    </row>
    <row r="880" spans="1:44" ht="30" hidden="1" customHeight="1" x14ac:dyDescent="0.25">
      <c r="A880" s="60" t="str">
        <f>UPPER(LEFT(Table2[[#This Row],[Contraente]],1))</f>
        <v>P</v>
      </c>
      <c r="B880" s="60" t="s">
        <v>1634</v>
      </c>
      <c r="C880" s="81" t="s">
        <v>927</v>
      </c>
      <c r="D880" s="81" t="s">
        <v>37</v>
      </c>
      <c r="E880" s="86">
        <v>105363523</v>
      </c>
      <c r="F880" s="64">
        <v>42635</v>
      </c>
      <c r="G880" s="64">
        <f>IFERROR(CALCOLASCADENZA(Table2[[#This Row],[Data attivazione]],Table2[[#This Row],[Rateizzazione]],Table2[[#This Row],[Data ultimo pagamento]],Table2[[#This Row],[Data prossima scadenza manuale]]),"-")</f>
        <v>42798</v>
      </c>
      <c r="H880" s="67" t="s">
        <v>31</v>
      </c>
      <c r="I880" s="67" t="s">
        <v>1503</v>
      </c>
      <c r="J880" s="33">
        <f>IFERROR(Table2[[#This Row],[Importo annuale]]/(12/VLOOKUP(Table2[[#This Row],[Rateizzazione]],TIPI_RATEIZZAZIONI,2,FALSE)),"-")</f>
        <v>150</v>
      </c>
      <c r="K880" s="88"/>
      <c r="L880" s="88">
        <v>300</v>
      </c>
      <c r="M880" s="67" t="s">
        <v>43</v>
      </c>
      <c r="N880" s="67" t="s">
        <v>52</v>
      </c>
      <c r="O880" s="27" t="s">
        <v>1631</v>
      </c>
      <c r="P880" s="33" t="s">
        <v>22</v>
      </c>
      <c r="Q880" s="60">
        <f>IFERROR(IF(12 / VLOOKUP(Table2[[#This Row],[Rateizzazione]],TIPI_RATEIZZAZIONI,2,FALSE) &gt;=1,  IF(Table2[[#This Row],[Data attivazione]] = "","-",MONTH(Table2[[#This Row],[Data attivazione]])),"-"),"-")</f>
        <v>3</v>
      </c>
      <c r="R8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0" s="67" t="s">
        <v>2</v>
      </c>
      <c r="V880" s="62"/>
      <c r="W880" s="64">
        <v>42433</v>
      </c>
      <c r="X880" s="29">
        <f>DATE(YEAR(Table2[[#This Row],[Data attivazione]])+VLOOKUP(Table2[[#This Row],[Durata]],VALORE_DURATA,2,FALSE),MONTH(Table2[[#This Row],[Data attivazione]]),DAY(Table2[[#This Row],[Data attivazione]]))</f>
        <v>42798</v>
      </c>
      <c r="Y880" s="65"/>
      <c r="Z880" s="61"/>
      <c r="AA880" s="64" t="s">
        <v>88</v>
      </c>
      <c r="AB880" s="29" t="str">
        <f>IF(Table2[[#This Row],[Data ultimo versamento temp]]=0/1/1900,"-",Table2[[#This Row],[Data ultimo versamento temp]])</f>
        <v>-</v>
      </c>
      <c r="AC880" s="29">
        <f t="array" ref="AC880">MAX(IF(TableVersamenti[Polizza]=Table2[[#This Row],[Polizza]],TableVersamenti[Data prevista versamento],"-"))</f>
        <v>0</v>
      </c>
      <c r="AD880" s="62"/>
      <c r="AE880" s="106">
        <f>DATE(YEAR(Table2[[#This Row],[Data ultimo pagamento]]),MONTH(Table2[[#This Row],[Data ultimo pagamento]]), 1)</f>
        <v>42614</v>
      </c>
      <c r="AF880" s="106">
        <f>DATE(YEAR(Table2[[#This Row],[Data prossima scadenza]]),MONTH(Table2[[#This Row],[Data prossima scadenza]]), 1)</f>
        <v>42795</v>
      </c>
      <c r="AG880" s="33">
        <f>IFERROR(Table2[[#This Row],[Importo annuale]]*VLOOKUP(Table2[[#This Row],[Ramo]],RAMI_POLIZZA,2,FALSE),0)</f>
        <v>15.6</v>
      </c>
      <c r="AH880" s="65" t="s">
        <v>113</v>
      </c>
      <c r="AI880" s="63" t="str">
        <f>IFERROR(VLOOKUP(Table2[[#This Row],[Contraente]],Table1[[Nome/Ragione sociale]:[Checkbox selezionato]],2,FALSE),"-")</f>
        <v>ZECCONE</v>
      </c>
      <c r="AJ880" s="63">
        <f>IFERROR(VLOOKUP(Table2[[#This Row],[Contraente]],Table1[[Nome/Ragione sociale]:[Checkbox selezionato]],3,FALSE),"-")</f>
        <v>3392875306</v>
      </c>
      <c r="AK880" s="63">
        <f>IFERROR(VLOOKUP(Table2[[#This Row],[Contraente]],Table1[[Nome/Ragione sociale]:[Checkbox selezionato]],4,FALSE),"-")</f>
        <v>0</v>
      </c>
      <c r="AL880" s="63" t="str">
        <f>IFERROR(VLOOKUP(Table2[[#This Row],[Contraente]],Table1[[Nome/Ragione sociale]:[Checkbox selezionato]],5,FALSE),"-")</f>
        <v>LUCA</v>
      </c>
      <c r="AM880" s="62">
        <f>IFERROR(VLOOKUP(Table2[[#This Row],[Contraente]],Table1[[Nome/Ragione sociale]:[Checkbox selezionato]],6,FALSE),"-")</f>
        <v>28217</v>
      </c>
      <c r="AN880" s="63" t="str">
        <f>IFERROR(VLOOKUP(Table2[[#This Row],[Contraente]],Table1[[Nome/Ragione sociale]:[Checkbox selezionato]],7,FALSE),"-")</f>
        <v>papies@email.it</v>
      </c>
      <c r="AO880" s="63">
        <f>IFERROR(VLOOKUP(Table2[[#This Row],[Contraente]],Table1[[Nome/Ragione sociale]:[Checkbox selezionato]],8,FALSE),"-")</f>
        <v>0</v>
      </c>
      <c r="AP880" s="63">
        <f>IFERROR(VLOOKUP(Table2[[#This Row],[Contraente]],Table1[[Nome/Ragione sociale]:[Checkbox selezionato]],10,FALSE),"-")</f>
        <v>3392875306</v>
      </c>
      <c r="AQ880" s="63" t="str">
        <f>IFERROR(VLOOKUP(Table2[[#This Row],[Contraente]],Table1[[Nome/Ragione sociale]:[Checkbox selezionato]],11,FALSE),"-")</f>
        <v>SI</v>
      </c>
      <c r="AR880" s="63" t="str">
        <f>IFERROR(VLOOKUP(Table2[[#This Row],[Contraente]],Table1[[Nome/Ragione sociale]:[Checkbox selezionato]],12,FALSE),"-")</f>
        <v>SI</v>
      </c>
    </row>
    <row r="881" spans="1:44" ht="30" hidden="1" customHeight="1" x14ac:dyDescent="0.25">
      <c r="A881" s="60" t="str">
        <f>UPPER(LEFT(Table2[[#This Row],[Contraente]],1))</f>
        <v>P</v>
      </c>
      <c r="B881" s="60" t="s">
        <v>1634</v>
      </c>
      <c r="C881" s="81" t="s">
        <v>929</v>
      </c>
      <c r="D881" s="81" t="s">
        <v>37</v>
      </c>
      <c r="E881" s="86">
        <v>106250825</v>
      </c>
      <c r="F881" s="64">
        <v>42696</v>
      </c>
      <c r="G881" s="64">
        <f>IFERROR(CALCOLASCADENZA(Table2[[#This Row],[Data attivazione]],Table2[[#This Row],[Rateizzazione]],Table2[[#This Row],[Data ultimo pagamento]],Table2[[#This Row],[Data prossima scadenza manuale]]),"-")</f>
        <v>43061</v>
      </c>
      <c r="H881" s="67" t="s">
        <v>30</v>
      </c>
      <c r="I881" s="67" t="s">
        <v>113</v>
      </c>
      <c r="J881" s="33">
        <f>IFERROR(Table2[[#This Row],[Importo annuale]]/(12/VLOOKUP(Table2[[#This Row],[Rateizzazione]],TIPI_RATEIZZAZIONI,2,FALSE)),"-")</f>
        <v>315</v>
      </c>
      <c r="K881" s="88"/>
      <c r="L881" s="88">
        <v>315</v>
      </c>
      <c r="M881" s="67" t="s">
        <v>44</v>
      </c>
      <c r="N881" s="67" t="s">
        <v>52</v>
      </c>
      <c r="O881" s="27" t="s">
        <v>1631</v>
      </c>
      <c r="P881" s="33" t="s">
        <v>23</v>
      </c>
      <c r="Q881" s="60">
        <f>IFERROR(IF(12 / VLOOKUP(Table2[[#This Row],[Rateizzazione]],TIPI_RATEIZZAZIONI,2,FALSE) &gt;=1,  IF(Table2[[#This Row],[Data attivazione]] = "","-",MONTH(Table2[[#This Row],[Data attivazione]])),"-"),"-")</f>
        <v>11</v>
      </c>
      <c r="R8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1" s="67" t="s">
        <v>2</v>
      </c>
      <c r="V881" s="62"/>
      <c r="W881" s="64">
        <v>42696</v>
      </c>
      <c r="X881" s="29">
        <f>DATE(YEAR(Table2[[#This Row],[Data attivazione]])+VLOOKUP(Table2[[#This Row],[Durata]],VALORE_DURATA,2,FALSE),MONTH(Table2[[#This Row],[Data attivazione]]),DAY(Table2[[#This Row],[Data attivazione]]))</f>
        <v>43061</v>
      </c>
      <c r="Y881" s="65"/>
      <c r="Z881" s="61"/>
      <c r="AA881" s="64" t="s">
        <v>85</v>
      </c>
      <c r="AB881" s="29" t="str">
        <f>IF(Table2[[#This Row],[Data ultimo versamento temp]]=0/1/1900,"-",Table2[[#This Row],[Data ultimo versamento temp]])</f>
        <v>-</v>
      </c>
      <c r="AC881" s="29">
        <f t="array" ref="AC881">MAX(IF(TableVersamenti[Polizza]=Table2[[#This Row],[Polizza]],TableVersamenti[Data prevista versamento],"-"))</f>
        <v>0</v>
      </c>
      <c r="AD881" s="62"/>
      <c r="AE881" s="106">
        <f>DATE(YEAR(Table2[[#This Row],[Data ultimo pagamento]]),MONTH(Table2[[#This Row],[Data ultimo pagamento]]), 1)</f>
        <v>42675</v>
      </c>
      <c r="AF881" s="106">
        <f>DATE(YEAR(Table2[[#This Row],[Data prossima scadenza]]),MONTH(Table2[[#This Row],[Data prossima scadenza]]), 1)</f>
        <v>43040</v>
      </c>
      <c r="AG881" s="33">
        <f>IFERROR(Table2[[#This Row],[Importo annuale]]*VLOOKUP(Table2[[#This Row],[Ramo]],RAMI_POLIZZA,2,FALSE),0)</f>
        <v>36.225000000000001</v>
      </c>
      <c r="AH881" s="65" t="s">
        <v>113</v>
      </c>
      <c r="AI881" s="63" t="str">
        <f>IFERROR(VLOOKUP(Table2[[#This Row],[Contraente]],Table1[[Nome/Ragione sociale]:[Checkbox selezionato]],2,FALSE),"-")</f>
        <v>VELLEZZO BELLINI</v>
      </c>
      <c r="AJ881" s="63">
        <f>IFERROR(VLOOKUP(Table2[[#This Row],[Contraente]],Table1[[Nome/Ragione sociale]:[Checkbox selezionato]],3,FALSE),"-")</f>
        <v>3498511216</v>
      </c>
      <c r="AK881" s="63">
        <f>IFERROR(VLOOKUP(Table2[[#This Row],[Contraente]],Table1[[Nome/Ragione sociale]:[Checkbox selezionato]],4,FALSE),"-")</f>
        <v>0</v>
      </c>
      <c r="AL881" s="63" t="str">
        <f>IFERROR(VLOOKUP(Table2[[#This Row],[Contraente]],Table1[[Nome/Ragione sociale]:[Checkbox selezionato]],5,FALSE),"-")</f>
        <v>PRESTI</v>
      </c>
      <c r="AM881" s="62">
        <f>IFERROR(VLOOKUP(Table2[[#This Row],[Contraente]],Table1[[Nome/Ragione sociale]:[Checkbox selezionato]],6,FALSE),"-")</f>
        <v>20884</v>
      </c>
      <c r="AN881" s="63" t="str">
        <f>IFERROR(VLOOKUP(Table2[[#This Row],[Contraente]],Table1[[Nome/Ragione sociale]:[Checkbox selezionato]],7,FALSE),"-")</f>
        <v>papies@libero.it</v>
      </c>
      <c r="AO881" s="63">
        <f>IFERROR(VLOOKUP(Table2[[#This Row],[Contraente]],Table1[[Nome/Ragione sociale]:[Checkbox selezionato]],8,FALSE),"-")</f>
        <v>0</v>
      </c>
      <c r="AP881" s="63">
        <f>IFERROR(VLOOKUP(Table2[[#This Row],[Contraente]],Table1[[Nome/Ragione sociale]:[Checkbox selezionato]],10,FALSE),"-")</f>
        <v>3498511216</v>
      </c>
      <c r="AQ881" s="63" t="str">
        <f>IFERROR(VLOOKUP(Table2[[#This Row],[Contraente]],Table1[[Nome/Ragione sociale]:[Checkbox selezionato]],11,FALSE),"-")</f>
        <v>SI</v>
      </c>
      <c r="AR881" s="63" t="str">
        <f>IFERROR(VLOOKUP(Table2[[#This Row],[Contraente]],Table1[[Nome/Ragione sociale]:[Checkbox selezionato]],12,FALSE),"-")</f>
        <v>SI</v>
      </c>
    </row>
    <row r="882" spans="1:44" ht="30" hidden="1" customHeight="1" x14ac:dyDescent="0.25">
      <c r="A882" s="60" t="str">
        <f>UPPER(LEFT(Table2[[#This Row],[Contraente]],1))</f>
        <v>P</v>
      </c>
      <c r="B882" s="60" t="s">
        <v>1634</v>
      </c>
      <c r="C882" s="81" t="s">
        <v>921</v>
      </c>
      <c r="D882" s="81" t="s">
        <v>37</v>
      </c>
      <c r="E882" s="86">
        <v>104006386</v>
      </c>
      <c r="F882" s="64">
        <v>42041</v>
      </c>
      <c r="G882" s="64">
        <f>IFERROR(CALCOLASCADENZA(Table2[[#This Row],[Data attivazione]],Table2[[#This Row],[Rateizzazione]],Table2[[#This Row],[Data ultimo pagamento]],Table2[[#This Row],[Data prossima scadenza manuale]]),"-")</f>
        <v>693962</v>
      </c>
      <c r="H882" s="67" t="s">
        <v>30</v>
      </c>
      <c r="I882" s="67"/>
      <c r="J882" s="33">
        <f>IFERROR(Table2[[#This Row],[Importo annuale]]/(12/VLOOKUP(Table2[[#This Row],[Rateizzazione]],TIPI_RATEIZZAZIONI,2,FALSE)),"-")</f>
        <v>500</v>
      </c>
      <c r="K882" s="88"/>
      <c r="L882" s="88">
        <v>500</v>
      </c>
      <c r="M882" s="67" t="s">
        <v>45</v>
      </c>
      <c r="N882" s="67" t="s">
        <v>52</v>
      </c>
      <c r="O882" s="27" t="s">
        <v>1631</v>
      </c>
      <c r="P882" s="33" t="s">
        <v>23</v>
      </c>
      <c r="Q882" s="60">
        <f>IFERROR(IF(12 / VLOOKUP(Table2[[#This Row],[Rateizzazione]],TIPI_RATEIZZAZIONI,2,FALSE) &gt;=1,  IF(Table2[[#This Row],[Data attivazione]] = "","-",MONTH(Table2[[#This Row],[Data attivazione]])),"-"),"-")</f>
        <v>12</v>
      </c>
      <c r="R8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2" s="67" t="s">
        <v>2</v>
      </c>
      <c r="V882" s="62"/>
      <c r="W882" s="64">
        <v>693597</v>
      </c>
      <c r="X882" s="29">
        <f>DATE(YEAR(Table2[[#This Row],[Data attivazione]])+VLOOKUP(Table2[[#This Row],[Durata]],VALORE_DURATA,2,FALSE),MONTH(Table2[[#This Row],[Data attivazione]]),DAY(Table2[[#This Row],[Data attivazione]]))</f>
        <v>693962</v>
      </c>
      <c r="Y882" s="65"/>
      <c r="Z882" s="61"/>
      <c r="AA882" s="64" t="s">
        <v>88</v>
      </c>
      <c r="AB882" s="29" t="str">
        <f>IF(Table2[[#This Row],[Data ultimo versamento temp]]=0/1/1900,"-",Table2[[#This Row],[Data ultimo versamento temp]])</f>
        <v>-</v>
      </c>
      <c r="AC882" s="29">
        <f t="array" ref="AC882">MAX(IF(TableVersamenti[Polizza]=Table2[[#This Row],[Polizza]],TableVersamenti[Data prevista versamento],"-"))</f>
        <v>0</v>
      </c>
      <c r="AD882" s="62"/>
      <c r="AE882" s="106">
        <f>DATE(YEAR(Table2[[#This Row],[Data ultimo pagamento]]),MONTH(Table2[[#This Row],[Data ultimo pagamento]]), 1)</f>
        <v>42036</v>
      </c>
      <c r="AF882" s="106">
        <f>DATE(YEAR(Table2[[#This Row],[Data prossima scadenza]]),MONTH(Table2[[#This Row],[Data prossima scadenza]]), 1)</f>
        <v>693932</v>
      </c>
      <c r="AG882" s="33">
        <f>IFERROR(Table2[[#This Row],[Importo annuale]]*VLOOKUP(Table2[[#This Row],[Ramo]],RAMI_POLIZZA,2,FALSE),0)</f>
        <v>57.5</v>
      </c>
      <c r="AH882" s="65" t="s">
        <v>113</v>
      </c>
      <c r="AI882" s="63" t="str">
        <f>IFERROR(VLOOKUP(Table2[[#This Row],[Contraente]],Table1[[Nome/Ragione sociale]:[Checkbox selezionato]],2,FALSE),"-")</f>
        <v>LUNGAVILLA</v>
      </c>
      <c r="AJ882" s="63">
        <f>IFERROR(VLOOKUP(Table2[[#This Row],[Contraente]],Table1[[Nome/Ragione sociale]:[Checkbox selezionato]],3,FALSE),"-")</f>
        <v>3207542472</v>
      </c>
      <c r="AK882" s="63">
        <f>IFERROR(VLOOKUP(Table2[[#This Row],[Contraente]],Table1[[Nome/Ragione sociale]:[Checkbox selezionato]],4,FALSE),"-")</f>
        <v>0</v>
      </c>
      <c r="AL882" s="63" t="str">
        <f>IFERROR(VLOOKUP(Table2[[#This Row],[Contraente]],Table1[[Nome/Ragione sociale]:[Checkbox selezionato]],5,FALSE),"-")</f>
        <v>NICOLA</v>
      </c>
      <c r="AM882" s="62" t="str">
        <f>IFERROR(VLOOKUP(Table2[[#This Row],[Contraente]],Table1[[Nome/Ragione sociale]:[Checkbox selezionato]],6,FALSE),"-")</f>
        <v>-</v>
      </c>
      <c r="AN882" s="63" t="str">
        <f>IFERROR(VLOOKUP(Table2[[#This Row],[Contraente]],Table1[[Nome/Ragione sociale]:[Checkbox selezionato]],7,FALSE),"-")</f>
        <v>papies@libero.it</v>
      </c>
      <c r="AO882" s="63">
        <f>IFERROR(VLOOKUP(Table2[[#This Row],[Contraente]],Table1[[Nome/Ragione sociale]:[Checkbox selezionato]],8,FALSE),"-")</f>
        <v>0</v>
      </c>
      <c r="AP882" s="63">
        <f>IFERROR(VLOOKUP(Table2[[#This Row],[Contraente]],Table1[[Nome/Ragione sociale]:[Checkbox selezionato]],10,FALSE),"-")</f>
        <v>3207542472</v>
      </c>
      <c r="AQ882" s="63" t="str">
        <f>IFERROR(VLOOKUP(Table2[[#This Row],[Contraente]],Table1[[Nome/Ragione sociale]:[Checkbox selezionato]],11,FALSE),"-")</f>
        <v>SI</v>
      </c>
      <c r="AR882" s="63" t="str">
        <f>IFERROR(VLOOKUP(Table2[[#This Row],[Contraente]],Table1[[Nome/Ragione sociale]:[Checkbox selezionato]],12,FALSE),"-")</f>
        <v>SI</v>
      </c>
    </row>
    <row r="883" spans="1:44" ht="30" hidden="1" customHeight="1" x14ac:dyDescent="0.25">
      <c r="A883" s="60" t="str">
        <f>UPPER(LEFT(Table2[[#This Row],[Contraente]],1))</f>
        <v>P</v>
      </c>
      <c r="B883" s="60" t="s">
        <v>1634</v>
      </c>
      <c r="C883" s="81" t="s">
        <v>921</v>
      </c>
      <c r="D883" s="81" t="s">
        <v>37</v>
      </c>
      <c r="E883" s="86">
        <v>103715379</v>
      </c>
      <c r="F883" s="64">
        <v>41949</v>
      </c>
      <c r="G883" s="64">
        <f>IFERROR(CALCOLASCADENZA(Table2[[#This Row],[Data attivazione]],Table2[[#This Row],[Rateizzazione]],Table2[[#This Row],[Data ultimo pagamento]],Table2[[#This Row],[Data prossima scadenza manuale]]),"-")</f>
        <v>41949</v>
      </c>
      <c r="H883" s="67" t="s">
        <v>30</v>
      </c>
      <c r="I883" s="67"/>
      <c r="J883" s="33">
        <v>400</v>
      </c>
      <c r="K883" s="88"/>
      <c r="L883" s="88">
        <v>0</v>
      </c>
      <c r="M883" s="67" t="s">
        <v>45</v>
      </c>
      <c r="N883" s="67" t="s">
        <v>52</v>
      </c>
      <c r="O883" s="27" t="s">
        <v>1631</v>
      </c>
      <c r="P883" s="33" t="s">
        <v>24</v>
      </c>
      <c r="Q88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3" s="67" t="s">
        <v>2</v>
      </c>
      <c r="V883" s="62"/>
      <c r="W883" s="64">
        <v>693597</v>
      </c>
      <c r="X883" s="29">
        <f>DATE(YEAR(Table2[[#This Row],[Data attivazione]])+VLOOKUP(Table2[[#This Row],[Durata]],VALORE_DURATA,2,FALSE),MONTH(Table2[[#This Row],[Data attivazione]]),DAY(Table2[[#This Row],[Data attivazione]]))</f>
        <v>693962</v>
      </c>
      <c r="Y883" s="65"/>
      <c r="Z883" s="61"/>
      <c r="AA883" s="64" t="s">
        <v>88</v>
      </c>
      <c r="AB883" s="29" t="str">
        <f>IF(Table2[[#This Row],[Data ultimo versamento temp]]=0/1/1900,"-",Table2[[#This Row],[Data ultimo versamento temp]])</f>
        <v>-</v>
      </c>
      <c r="AC883" s="29">
        <f t="array" ref="AC883">MAX(IF(TableVersamenti[Polizza]=Table2[[#This Row],[Polizza]],TableVersamenti[Data prevista versamento],"-"))</f>
        <v>0</v>
      </c>
      <c r="AD883" s="62"/>
      <c r="AE883" s="106">
        <f>DATE(YEAR(Table2[[#This Row],[Data ultimo pagamento]]),MONTH(Table2[[#This Row],[Data ultimo pagamento]]), 1)</f>
        <v>41944</v>
      </c>
      <c r="AF883" s="106">
        <f>DATE(YEAR(Table2[[#This Row],[Data prossima scadenza]]),MONTH(Table2[[#This Row],[Data prossima scadenza]]), 1)</f>
        <v>41944</v>
      </c>
      <c r="AG883" s="33">
        <f>IFERROR(Table2[[#This Row],[Importo annuale]]*VLOOKUP(Table2[[#This Row],[Ramo]],RAMI_POLIZZA,2,FALSE),0)</f>
        <v>0</v>
      </c>
      <c r="AH883" s="65" t="s">
        <v>113</v>
      </c>
      <c r="AI883" s="63" t="str">
        <f>IFERROR(VLOOKUP(Table2[[#This Row],[Contraente]],Table1[[Nome/Ragione sociale]:[Checkbox selezionato]],2,FALSE),"-")</f>
        <v>LUNGAVILLA</v>
      </c>
      <c r="AJ883" s="63">
        <f>IFERROR(VLOOKUP(Table2[[#This Row],[Contraente]],Table1[[Nome/Ragione sociale]:[Checkbox selezionato]],3,FALSE),"-")</f>
        <v>3207542472</v>
      </c>
      <c r="AK883" s="63">
        <f>IFERROR(VLOOKUP(Table2[[#This Row],[Contraente]],Table1[[Nome/Ragione sociale]:[Checkbox selezionato]],4,FALSE),"-")</f>
        <v>0</v>
      </c>
      <c r="AL883" s="63" t="str">
        <f>IFERROR(VLOOKUP(Table2[[#This Row],[Contraente]],Table1[[Nome/Ragione sociale]:[Checkbox selezionato]],5,FALSE),"-")</f>
        <v>NICOLA</v>
      </c>
      <c r="AM883" s="62" t="str">
        <f>IFERROR(VLOOKUP(Table2[[#This Row],[Contraente]],Table1[[Nome/Ragione sociale]:[Checkbox selezionato]],6,FALSE),"-")</f>
        <v>-</v>
      </c>
      <c r="AN883" s="63" t="str">
        <f>IFERROR(VLOOKUP(Table2[[#This Row],[Contraente]],Table1[[Nome/Ragione sociale]:[Checkbox selezionato]],7,FALSE),"-")</f>
        <v>papies@libero.it</v>
      </c>
      <c r="AO883" s="63">
        <f>IFERROR(VLOOKUP(Table2[[#This Row],[Contraente]],Table1[[Nome/Ragione sociale]:[Checkbox selezionato]],8,FALSE),"-")</f>
        <v>0</v>
      </c>
      <c r="AP883" s="63">
        <f>IFERROR(VLOOKUP(Table2[[#This Row],[Contraente]],Table1[[Nome/Ragione sociale]:[Checkbox selezionato]],10,FALSE),"-")</f>
        <v>3207542472</v>
      </c>
      <c r="AQ883" s="63" t="str">
        <f>IFERROR(VLOOKUP(Table2[[#This Row],[Contraente]],Table1[[Nome/Ragione sociale]:[Checkbox selezionato]],11,FALSE),"-")</f>
        <v>SI</v>
      </c>
      <c r="AR883" s="63" t="str">
        <f>IFERROR(VLOOKUP(Table2[[#This Row],[Contraente]],Table1[[Nome/Ragione sociale]:[Checkbox selezionato]],12,FALSE),"-")</f>
        <v>SI</v>
      </c>
    </row>
    <row r="884" spans="1:44" ht="30" hidden="1" customHeight="1" x14ac:dyDescent="0.25">
      <c r="A884" s="60" t="str">
        <f>UPPER(LEFT(Table2[[#This Row],[Contraente]],1))</f>
        <v>P</v>
      </c>
      <c r="B884" s="60" t="s">
        <v>1634</v>
      </c>
      <c r="C884" s="81" t="s">
        <v>926</v>
      </c>
      <c r="D884" s="81" t="s">
        <v>37</v>
      </c>
      <c r="E884" s="86">
        <v>100558860</v>
      </c>
      <c r="F884" s="64">
        <v>41809</v>
      </c>
      <c r="G884" s="64">
        <f>IFERROR(CALCOLASCADENZA(Table2[[#This Row],[Data attivazione]],Table2[[#This Row],[Rateizzazione]],Table2[[#This Row],[Data ultimo pagamento]],Table2[[#This Row],[Data prossima scadenza manuale]]),"-")</f>
        <v>690675</v>
      </c>
      <c r="H884" s="67" t="s">
        <v>30</v>
      </c>
      <c r="I884" s="67"/>
      <c r="J884" s="33">
        <f>IFERROR(Table2[[#This Row],[Importo annuale]]/(12/VLOOKUP(Table2[[#This Row],[Rateizzazione]],TIPI_RATEIZZAZIONI,2,FALSE)),"-")</f>
        <v>218</v>
      </c>
      <c r="K884" s="88"/>
      <c r="L884" s="88">
        <v>218</v>
      </c>
      <c r="M884" s="67" t="s">
        <v>45</v>
      </c>
      <c r="N884" s="67" t="s">
        <v>51</v>
      </c>
      <c r="O884" s="27" t="s">
        <v>1632</v>
      </c>
      <c r="P884" s="33" t="s">
        <v>23</v>
      </c>
      <c r="Q884" s="60">
        <f>IFERROR(IF(12 / VLOOKUP(Table2[[#This Row],[Rateizzazione]],TIPI_RATEIZZAZIONI,2,FALSE) &gt;=1,  IF(Table2[[#This Row],[Data attivazione]] = "","-",MONTH(Table2[[#This Row],[Data attivazione]])),"-"),"-")</f>
        <v>12</v>
      </c>
      <c r="R8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4" s="67" t="s">
        <v>2</v>
      </c>
      <c r="V884" s="62"/>
      <c r="W884" s="64">
        <v>690310</v>
      </c>
      <c r="X884" s="29">
        <f>DATE(YEAR(Table2[[#This Row],[Data attivazione]])+VLOOKUP(Table2[[#This Row],[Durata]],VALORE_DURATA,2,FALSE),MONTH(Table2[[#This Row],[Data attivazione]]),DAY(Table2[[#This Row],[Data attivazione]]))</f>
        <v>693962</v>
      </c>
      <c r="Y884" s="65"/>
      <c r="Z884" s="61"/>
      <c r="AA884" s="64" t="s">
        <v>88</v>
      </c>
      <c r="AB884" s="29" t="str">
        <f>IF(Table2[[#This Row],[Data ultimo versamento temp]]=0/1/1900,"-",Table2[[#This Row],[Data ultimo versamento temp]])</f>
        <v>-</v>
      </c>
      <c r="AC884" s="29">
        <f t="array" ref="AC884">MAX(IF(TableVersamenti[Polizza]=Table2[[#This Row],[Polizza]],TableVersamenti[Data prevista versamento],"-"))</f>
        <v>0</v>
      </c>
      <c r="AD884" s="62"/>
      <c r="AE884" s="106">
        <f>DATE(YEAR(Table2[[#This Row],[Data ultimo pagamento]]),MONTH(Table2[[#This Row],[Data ultimo pagamento]]), 1)</f>
        <v>41791</v>
      </c>
      <c r="AF884" s="106">
        <f>DATE(YEAR(Table2[[#This Row],[Data prossima scadenza]]),MONTH(Table2[[#This Row],[Data prossima scadenza]]), 1)</f>
        <v>690645</v>
      </c>
      <c r="AG884" s="33">
        <f>IFERROR(Table2[[#This Row],[Importo annuale]]*VLOOKUP(Table2[[#This Row],[Ramo]],RAMI_POLIZZA,2,FALSE),0)</f>
        <v>25.07</v>
      </c>
      <c r="AH884" s="65" t="s">
        <v>113</v>
      </c>
      <c r="AI884" s="63">
        <f>IFERROR(VLOOKUP(Table2[[#This Row],[Contraente]],Table1[[Nome/Ragione sociale]:[Checkbox selezionato]],2,FALSE),"-")</f>
        <v>0</v>
      </c>
      <c r="AJ884" s="63">
        <f>IFERROR(VLOOKUP(Table2[[#This Row],[Contraente]],Table1[[Nome/Ragione sociale]:[Checkbox selezionato]],3,FALSE),"-")</f>
        <v>0</v>
      </c>
      <c r="AK884" s="63">
        <f>IFERROR(VLOOKUP(Table2[[#This Row],[Contraente]],Table1[[Nome/Ragione sociale]:[Checkbox selezionato]],4,FALSE),"-")</f>
        <v>0</v>
      </c>
      <c r="AL884" s="63">
        <f>IFERROR(VLOOKUP(Table2[[#This Row],[Contraente]],Table1[[Nome/Ragione sociale]:[Checkbox selezionato]],5,FALSE),"-")</f>
        <v>0</v>
      </c>
      <c r="AM884" s="62">
        <f>IFERROR(VLOOKUP(Table2[[#This Row],[Contraente]],Table1[[Nome/Ragione sociale]:[Checkbox selezionato]],6,FALSE),"-")</f>
        <v>0</v>
      </c>
      <c r="AN884" s="63" t="str">
        <f>IFERROR(VLOOKUP(Table2[[#This Row],[Contraente]],Table1[[Nome/Ragione sociale]:[Checkbox selezionato]],7,FALSE),"-")</f>
        <v>papies@email.it</v>
      </c>
      <c r="AO884" s="63">
        <f>IFERROR(VLOOKUP(Table2[[#This Row],[Contraente]],Table1[[Nome/Ragione sociale]:[Checkbox selezionato]],8,FALSE),"-")</f>
        <v>0</v>
      </c>
      <c r="AP884" s="63">
        <f>IFERROR(VLOOKUP(Table2[[#This Row],[Contraente]],Table1[[Nome/Ragione sociale]:[Checkbox selezionato]],10,FALSE),"-")</f>
        <v>0</v>
      </c>
      <c r="AQ884" s="63" t="str">
        <f>IFERROR(VLOOKUP(Table2[[#This Row],[Contraente]],Table1[[Nome/Ragione sociale]:[Checkbox selezionato]],11,FALSE),"-")</f>
        <v>SI</v>
      </c>
      <c r="AR884" s="63" t="str">
        <f>IFERROR(VLOOKUP(Table2[[#This Row],[Contraente]],Table1[[Nome/Ragione sociale]:[Checkbox selezionato]],12,FALSE),"-")</f>
        <v>SI</v>
      </c>
    </row>
    <row r="885" spans="1:44" ht="30" hidden="1" customHeight="1" x14ac:dyDescent="0.25">
      <c r="A885" s="60" t="str">
        <f>UPPER(LEFT(Table2[[#This Row],[Contraente]],1))</f>
        <v>P</v>
      </c>
      <c r="B885" s="60" t="s">
        <v>1634</v>
      </c>
      <c r="C885" s="81" t="s">
        <v>926</v>
      </c>
      <c r="D885" s="81" t="s">
        <v>37</v>
      </c>
      <c r="E885" s="86">
        <v>100558973</v>
      </c>
      <c r="F885" s="64">
        <v>41809</v>
      </c>
      <c r="G885" s="64">
        <f>IFERROR(CALCOLASCADENZA(Table2[[#This Row],[Data attivazione]],Table2[[#This Row],[Rateizzazione]],Table2[[#This Row],[Data ultimo pagamento]],Table2[[#This Row],[Data prossima scadenza manuale]]),"-")</f>
        <v>693962</v>
      </c>
      <c r="H885" s="67" t="s">
        <v>1628</v>
      </c>
      <c r="I885" s="67"/>
      <c r="J885" s="33">
        <f>IFERROR(Table2[[#This Row],[Importo annuale]]/(12/VLOOKUP(Table2[[#This Row],[Rateizzazione]],TIPI_RATEIZZAZIONI,2,FALSE)),"-")</f>
        <v>66</v>
      </c>
      <c r="K885" s="88"/>
      <c r="L885" s="88">
        <v>66</v>
      </c>
      <c r="M885" s="67" t="s">
        <v>45</v>
      </c>
      <c r="N885" s="67" t="s">
        <v>51</v>
      </c>
      <c r="O885" s="27" t="s">
        <v>1631</v>
      </c>
      <c r="P885" s="33" t="s">
        <v>23</v>
      </c>
      <c r="Q885" s="60">
        <f>IFERROR(IF(12 / VLOOKUP(Table2[[#This Row],[Rateizzazione]],TIPI_RATEIZZAZIONI,2,FALSE) &gt;=1,  IF(Table2[[#This Row],[Data attivazione]] = "","-",MONTH(Table2[[#This Row],[Data attivazione]])),"-"),"-")</f>
        <v>12</v>
      </c>
      <c r="R8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5" s="67" t="s">
        <v>2</v>
      </c>
      <c r="V885" s="62"/>
      <c r="W885" s="64">
        <v>693597</v>
      </c>
      <c r="X885" s="29">
        <f>DATE(YEAR(Table2[[#This Row],[Data attivazione]])+VLOOKUP(Table2[[#This Row],[Durata]],VALORE_DURATA,2,FALSE),MONTH(Table2[[#This Row],[Data attivazione]]),DAY(Table2[[#This Row],[Data attivazione]]))</f>
        <v>693962</v>
      </c>
      <c r="Y885" s="65"/>
      <c r="Z885" s="61"/>
      <c r="AA885" s="64" t="s">
        <v>88</v>
      </c>
      <c r="AB885" s="29" t="str">
        <f>IF(Table2[[#This Row],[Data ultimo versamento temp]]=0/1/1900,"-",Table2[[#This Row],[Data ultimo versamento temp]])</f>
        <v>-</v>
      </c>
      <c r="AC885" s="29">
        <f t="array" ref="AC885">MAX(IF(TableVersamenti[Polizza]=Table2[[#This Row],[Polizza]],TableVersamenti[Data prevista versamento],"-"))</f>
        <v>0</v>
      </c>
      <c r="AD885" s="62"/>
      <c r="AE885" s="106">
        <f>DATE(YEAR(Table2[[#This Row],[Data ultimo pagamento]]),MONTH(Table2[[#This Row],[Data ultimo pagamento]]), 1)</f>
        <v>41791</v>
      </c>
      <c r="AF885" s="106">
        <f>DATE(YEAR(Table2[[#This Row],[Data prossima scadenza]]),MONTH(Table2[[#This Row],[Data prossima scadenza]]), 1)</f>
        <v>693932</v>
      </c>
      <c r="AG885" s="33">
        <f>IFERROR(Table2[[#This Row],[Importo annuale]]*VLOOKUP(Table2[[#This Row],[Ramo]],RAMI_POLIZZA,2,FALSE),0)</f>
        <v>0</v>
      </c>
      <c r="AH885" s="65" t="s">
        <v>113</v>
      </c>
      <c r="AI885" s="63">
        <f>IFERROR(VLOOKUP(Table2[[#This Row],[Contraente]],Table1[[Nome/Ragione sociale]:[Checkbox selezionato]],2,FALSE),"-")</f>
        <v>0</v>
      </c>
      <c r="AJ885" s="63">
        <f>IFERROR(VLOOKUP(Table2[[#This Row],[Contraente]],Table1[[Nome/Ragione sociale]:[Checkbox selezionato]],3,FALSE),"-")</f>
        <v>0</v>
      </c>
      <c r="AK885" s="63">
        <f>IFERROR(VLOOKUP(Table2[[#This Row],[Contraente]],Table1[[Nome/Ragione sociale]:[Checkbox selezionato]],4,FALSE),"-")</f>
        <v>0</v>
      </c>
      <c r="AL885" s="63">
        <f>IFERROR(VLOOKUP(Table2[[#This Row],[Contraente]],Table1[[Nome/Ragione sociale]:[Checkbox selezionato]],5,FALSE),"-")</f>
        <v>0</v>
      </c>
      <c r="AM885" s="62">
        <f>IFERROR(VLOOKUP(Table2[[#This Row],[Contraente]],Table1[[Nome/Ragione sociale]:[Checkbox selezionato]],6,FALSE),"-")</f>
        <v>0</v>
      </c>
      <c r="AN885" s="63" t="str">
        <f>IFERROR(VLOOKUP(Table2[[#This Row],[Contraente]],Table1[[Nome/Ragione sociale]:[Checkbox selezionato]],7,FALSE),"-")</f>
        <v>papies@email.it</v>
      </c>
      <c r="AO885" s="63">
        <f>IFERROR(VLOOKUP(Table2[[#This Row],[Contraente]],Table1[[Nome/Ragione sociale]:[Checkbox selezionato]],8,FALSE),"-")</f>
        <v>0</v>
      </c>
      <c r="AP885" s="63">
        <f>IFERROR(VLOOKUP(Table2[[#This Row],[Contraente]],Table1[[Nome/Ragione sociale]:[Checkbox selezionato]],10,FALSE),"-")</f>
        <v>0</v>
      </c>
      <c r="AQ885" s="63" t="str">
        <f>IFERROR(VLOOKUP(Table2[[#This Row],[Contraente]],Table1[[Nome/Ragione sociale]:[Checkbox selezionato]],11,FALSE),"-")</f>
        <v>SI</v>
      </c>
      <c r="AR885" s="63" t="str">
        <f>IFERROR(VLOOKUP(Table2[[#This Row],[Contraente]],Table1[[Nome/Ragione sociale]:[Checkbox selezionato]],12,FALSE),"-")</f>
        <v>SI</v>
      </c>
    </row>
    <row r="886" spans="1:44" ht="30" hidden="1" customHeight="1" x14ac:dyDescent="0.25">
      <c r="A886" s="60" t="str">
        <f>UPPER(LEFT(Table2[[#This Row],[Contraente]],1))</f>
        <v>P</v>
      </c>
      <c r="B886" s="60" t="s">
        <v>1634</v>
      </c>
      <c r="C886" s="81" t="s">
        <v>924</v>
      </c>
      <c r="D886" s="81" t="s">
        <v>37</v>
      </c>
      <c r="E886" s="86">
        <v>106168943</v>
      </c>
      <c r="F886" s="64">
        <v>42915</v>
      </c>
      <c r="G886" s="64">
        <f>IFERROR(CALCOLASCADENZA(Table2[[#This Row],[Data attivazione]],Table2[[#This Row],[Rateizzazione]],Table2[[#This Row],[Data ultimo pagamento]],Table2[[#This Row],[Data prossima scadenza manuale]]),"-")</f>
        <v>43034</v>
      </c>
      <c r="H886" s="67" t="s">
        <v>31</v>
      </c>
      <c r="I886" s="67" t="s">
        <v>1502</v>
      </c>
      <c r="J886" s="33">
        <f>IFERROR(Table2[[#This Row],[Importo annuale]]/(12/VLOOKUP(Table2[[#This Row],[Rateizzazione]],TIPI_RATEIZZAZIONI,2,FALSE)),"-")</f>
        <v>150</v>
      </c>
      <c r="K886" s="88">
        <v>300</v>
      </c>
      <c r="L886" s="88">
        <v>450</v>
      </c>
      <c r="M886" s="67" t="s">
        <v>43</v>
      </c>
      <c r="N886" s="67" t="s">
        <v>52</v>
      </c>
      <c r="O886" s="27" t="s">
        <v>1631</v>
      </c>
      <c r="P886" s="33" t="s">
        <v>21</v>
      </c>
      <c r="Q886" s="60">
        <f>IFERROR(IF(12 / VLOOKUP(Table2[[#This Row],[Rateizzazione]],TIPI_RATEIZZAZIONI,2,FALSE) &gt;=1,  IF(Table2[[#This Row],[Data attivazione]] = "","-",MONTH(Table2[[#This Row],[Data attivazione]])),"-"),"-")</f>
        <v>10</v>
      </c>
      <c r="R8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8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8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6" s="67" t="s">
        <v>2</v>
      </c>
      <c r="V886" s="62"/>
      <c r="W886" s="64">
        <v>42669</v>
      </c>
      <c r="X886" s="29">
        <f>DATE(YEAR(Table2[[#This Row],[Data attivazione]])+VLOOKUP(Table2[[#This Row],[Durata]],VALORE_DURATA,2,FALSE),MONTH(Table2[[#This Row],[Data attivazione]]),DAY(Table2[[#This Row],[Data attivazione]]))</f>
        <v>43034</v>
      </c>
      <c r="Y886" s="65"/>
      <c r="Z886" s="61"/>
      <c r="AA886" s="64" t="s">
        <v>85</v>
      </c>
      <c r="AB886" s="29" t="str">
        <f>IF(Table2[[#This Row],[Data ultimo versamento temp]]=0/1/1900,"-",Table2[[#This Row],[Data ultimo versamento temp]])</f>
        <v>-</v>
      </c>
      <c r="AC886" s="29">
        <f t="array" ref="AC886">MAX(IF(TableVersamenti[Polizza]=Table2[[#This Row],[Polizza]],TableVersamenti[Data prevista versamento],"-"))</f>
        <v>0</v>
      </c>
      <c r="AD886" s="62"/>
      <c r="AE886" s="106">
        <f>DATE(YEAR(Table2[[#This Row],[Data ultimo pagamento]]),MONTH(Table2[[#This Row],[Data ultimo pagamento]]), 1)</f>
        <v>42887</v>
      </c>
      <c r="AF886" s="106">
        <f>DATE(YEAR(Table2[[#This Row],[Data prossima scadenza]]),MONTH(Table2[[#This Row],[Data prossima scadenza]]), 1)</f>
        <v>43009</v>
      </c>
      <c r="AG886" s="33">
        <f>IFERROR(Table2[[#This Row],[Importo annuale]]*VLOOKUP(Table2[[#This Row],[Ramo]],RAMI_POLIZZA,2,FALSE),0)</f>
        <v>23.4</v>
      </c>
      <c r="AH886" s="65" t="s">
        <v>113</v>
      </c>
      <c r="AI886" s="63" t="str">
        <f>IFERROR(VLOOKUP(Table2[[#This Row],[Contraente]],Table1[[Nome/Ragione sociale]:[Checkbox selezionato]],2,FALSE),"-")</f>
        <v>CAMPOSPINOSO</v>
      </c>
      <c r="AJ886" s="63">
        <f>IFERROR(VLOOKUP(Table2[[#This Row],[Contraente]],Table1[[Nome/Ragione sociale]:[Checkbox selezionato]],3,FALSE),"-")</f>
        <v>3928417722</v>
      </c>
      <c r="AK886" s="63">
        <f>IFERROR(VLOOKUP(Table2[[#This Row],[Contraente]],Table1[[Nome/Ragione sociale]:[Checkbox selezionato]],4,FALSE),"-")</f>
        <v>0</v>
      </c>
      <c r="AL886" s="63" t="str">
        <f>IFERROR(VLOOKUP(Table2[[#This Row],[Contraente]],Table1[[Nome/Ragione sociale]:[Checkbox selezionato]],5,FALSE),"-")</f>
        <v>FABIO</v>
      </c>
      <c r="AM886" s="62">
        <f>IFERROR(VLOOKUP(Table2[[#This Row],[Contraente]],Table1[[Nome/Ragione sociale]:[Checkbox selezionato]],6,FALSE),"-")</f>
        <v>26445</v>
      </c>
      <c r="AN886" s="63" t="str">
        <f>IFERROR(VLOOKUP(Table2[[#This Row],[Contraente]],Table1[[Nome/Ragione sociale]:[Checkbox selezionato]],7,FALSE),"-")</f>
        <v>papies@libero.it</v>
      </c>
      <c r="AO886" s="63">
        <f>IFERROR(VLOOKUP(Table2[[#This Row],[Contraente]],Table1[[Nome/Ragione sociale]:[Checkbox selezionato]],8,FALSE),"-")</f>
        <v>0</v>
      </c>
      <c r="AP886" s="63">
        <f>IFERROR(VLOOKUP(Table2[[#This Row],[Contraente]],Table1[[Nome/Ragione sociale]:[Checkbox selezionato]],10,FALSE),"-")</f>
        <v>3928417722</v>
      </c>
      <c r="AQ886" s="63" t="str">
        <f>IFERROR(VLOOKUP(Table2[[#This Row],[Contraente]],Table1[[Nome/Ragione sociale]:[Checkbox selezionato]],11,FALSE),"-")</f>
        <v>SI</v>
      </c>
      <c r="AR886" s="63" t="str">
        <f>IFERROR(VLOOKUP(Table2[[#This Row],[Contraente]],Table1[[Nome/Ragione sociale]:[Checkbox selezionato]],12,FALSE),"-")</f>
        <v>SI</v>
      </c>
    </row>
    <row r="887" spans="1:44" ht="30" hidden="1" customHeight="1" x14ac:dyDescent="0.25">
      <c r="A887" s="60" t="str">
        <f>UPPER(LEFT(Table2[[#This Row],[Contraente]],1))</f>
        <v>P</v>
      </c>
      <c r="B887" s="60" t="s">
        <v>1634</v>
      </c>
      <c r="C887" s="81" t="s">
        <v>895</v>
      </c>
      <c r="D887" s="81" t="s">
        <v>37</v>
      </c>
      <c r="E887" s="86">
        <v>104204838</v>
      </c>
      <c r="F887" s="64">
        <v>42221</v>
      </c>
      <c r="G887" s="64">
        <f>IFERROR(CALCOLASCADENZA(Table2[[#This Row],[Data attivazione]],Table2[[#This Row],[Rateizzazione]],Table2[[#This Row],[Data ultimo pagamento]],Table2[[#This Row],[Data prossima scadenza manuale]]),"-")</f>
        <v>693717</v>
      </c>
      <c r="H887" s="67" t="s">
        <v>31</v>
      </c>
      <c r="I887" s="67" t="s">
        <v>1480</v>
      </c>
      <c r="J887" s="33">
        <f>IFERROR(Table2[[#This Row],[Importo annuale]]/(12/VLOOKUP(Table2[[#This Row],[Rateizzazione]],TIPI_RATEIZZAZIONI,2,FALSE)),"-")</f>
        <v>120</v>
      </c>
      <c r="K887" s="88"/>
      <c r="L887" s="88">
        <v>360</v>
      </c>
      <c r="M887" s="67" t="s">
        <v>43</v>
      </c>
      <c r="N887" s="67" t="s">
        <v>52</v>
      </c>
      <c r="O887" s="27" t="s">
        <v>1631</v>
      </c>
      <c r="P887" s="33" t="s">
        <v>21</v>
      </c>
      <c r="Q887" s="60">
        <f>IFERROR(IF(12 / VLOOKUP(Table2[[#This Row],[Rateizzazione]],TIPI_RATEIZZAZIONI,2,FALSE) &gt;=1,  IF(Table2[[#This Row],[Data attivazione]] = "","-",MONTH(Table2[[#This Row],[Data attivazione]])),"-"),"-")</f>
        <v>12</v>
      </c>
      <c r="R8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8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7" s="67" t="s">
        <v>2</v>
      </c>
      <c r="V887" s="62"/>
      <c r="W887" s="64">
        <v>693597</v>
      </c>
      <c r="X887" s="29">
        <f>DATE(YEAR(Table2[[#This Row],[Data attivazione]])+VLOOKUP(Table2[[#This Row],[Durata]],VALORE_DURATA,2,FALSE),MONTH(Table2[[#This Row],[Data attivazione]]),DAY(Table2[[#This Row],[Data attivazione]]))</f>
        <v>693962</v>
      </c>
      <c r="Y887" s="65"/>
      <c r="Z887" s="61"/>
      <c r="AA887" s="64" t="s">
        <v>88</v>
      </c>
      <c r="AB887" s="29" t="str">
        <f>IF(Table2[[#This Row],[Data ultimo versamento temp]]=0/1/1900,"-",Table2[[#This Row],[Data ultimo versamento temp]])</f>
        <v>-</v>
      </c>
      <c r="AC887" s="29">
        <f t="array" ref="AC887">MAX(IF(TableVersamenti[Polizza]=Table2[[#This Row],[Polizza]],TableVersamenti[Data prevista versamento],"-"))</f>
        <v>0</v>
      </c>
      <c r="AD887" s="62"/>
      <c r="AE887" s="106">
        <f>DATE(YEAR(Table2[[#This Row],[Data ultimo pagamento]]),MONTH(Table2[[#This Row],[Data ultimo pagamento]]), 1)</f>
        <v>42217</v>
      </c>
      <c r="AF887" s="106">
        <f>DATE(YEAR(Table2[[#This Row],[Data prossima scadenza]]),MONTH(Table2[[#This Row],[Data prossima scadenza]]), 1)</f>
        <v>693688</v>
      </c>
      <c r="AG887" s="33">
        <f>IFERROR(Table2[[#This Row],[Importo annuale]]*VLOOKUP(Table2[[#This Row],[Ramo]],RAMI_POLIZZA,2,FALSE),0)</f>
        <v>18.72</v>
      </c>
      <c r="AH887" s="65" t="s">
        <v>113</v>
      </c>
      <c r="AI887" s="63" t="str">
        <f>IFERROR(VLOOKUP(Table2[[#This Row],[Contraente]],Table1[[Nome/Ragione sociale]:[Checkbox selezionato]],2,FALSE),"-")</f>
        <v>PORTALBERA</v>
      </c>
      <c r="AJ887" s="63">
        <f>IFERROR(VLOOKUP(Table2[[#This Row],[Contraente]],Table1[[Nome/Ragione sociale]:[Checkbox selezionato]],3,FALSE),"-")</f>
        <v>3491216077</v>
      </c>
      <c r="AK887" s="63">
        <f>IFERROR(VLOOKUP(Table2[[#This Row],[Contraente]],Table1[[Nome/Ragione sociale]:[Checkbox selezionato]],4,FALSE),"-")</f>
        <v>0</v>
      </c>
      <c r="AL887" s="63" t="str">
        <f>IFERROR(VLOOKUP(Table2[[#This Row],[Contraente]],Table1[[Nome/Ragione sociale]:[Checkbox selezionato]],5,FALSE),"-")</f>
        <v>PUMI</v>
      </c>
      <c r="AM887" s="62">
        <f>IFERROR(VLOOKUP(Table2[[#This Row],[Contraente]],Table1[[Nome/Ragione sociale]:[Checkbox selezionato]],6,FALSE),"-")</f>
        <v>25418</v>
      </c>
      <c r="AN887" s="63" t="str">
        <f>IFERROR(VLOOKUP(Table2[[#This Row],[Contraente]],Table1[[Nome/Ragione sociale]:[Checkbox selezionato]],7,FALSE),"-")</f>
        <v>papies@libero.it</v>
      </c>
      <c r="AO887" s="63">
        <f>IFERROR(VLOOKUP(Table2[[#This Row],[Contraente]],Table1[[Nome/Ragione sociale]:[Checkbox selezionato]],8,FALSE),"-")</f>
        <v>0</v>
      </c>
      <c r="AP887" s="63">
        <f>IFERROR(VLOOKUP(Table2[[#This Row],[Contraente]],Table1[[Nome/Ragione sociale]:[Checkbox selezionato]],10,FALSE),"-")</f>
        <v>3491216077</v>
      </c>
      <c r="AQ887" s="63" t="str">
        <f>IFERROR(VLOOKUP(Table2[[#This Row],[Contraente]],Table1[[Nome/Ragione sociale]:[Checkbox selezionato]],11,FALSE),"-")</f>
        <v>SI</v>
      </c>
      <c r="AR887" s="63" t="str">
        <f>IFERROR(VLOOKUP(Table2[[#This Row],[Contraente]],Table1[[Nome/Ragione sociale]:[Checkbox selezionato]],12,FALSE),"-")</f>
        <v>SI</v>
      </c>
    </row>
    <row r="888" spans="1:44" ht="30" hidden="1" customHeight="1" x14ac:dyDescent="0.25">
      <c r="A888" s="60" t="str">
        <f>UPPER(LEFT(Table2[[#This Row],[Contraente]],1))</f>
        <v>P</v>
      </c>
      <c r="B888" s="60" t="s">
        <v>1634</v>
      </c>
      <c r="C888" s="81" t="s">
        <v>895</v>
      </c>
      <c r="D888" s="81" t="s">
        <v>37</v>
      </c>
      <c r="E888" s="86">
        <v>103580759</v>
      </c>
      <c r="F888" s="64">
        <v>42468</v>
      </c>
      <c r="G888" s="64">
        <f>IFERROR(CALCOLASCADENZA(Table2[[#This Row],[Data attivazione]],Table2[[#This Row],[Rateizzazione]],Table2[[#This Row],[Data ultimo pagamento]],Table2[[#This Row],[Data prossima scadenza manuale]]),"-")</f>
        <v>42643</v>
      </c>
      <c r="H888" s="67" t="s">
        <v>31</v>
      </c>
      <c r="I888" s="67" t="s">
        <v>1478</v>
      </c>
      <c r="J888" s="33">
        <f>IFERROR(Table2[[#This Row],[Importo annuale]]/(12/VLOOKUP(Table2[[#This Row],[Rateizzazione]],TIPI_RATEIZZAZIONI,2,FALSE)),"-")</f>
        <v>309.95999999999998</v>
      </c>
      <c r="K888" s="88"/>
      <c r="L888" s="88">
        <v>619.91999999999996</v>
      </c>
      <c r="M888" s="67" t="s">
        <v>43</v>
      </c>
      <c r="N888" s="67" t="s">
        <v>52</v>
      </c>
      <c r="O888" s="27" t="s">
        <v>1631</v>
      </c>
      <c r="P888" s="33" t="s">
        <v>22</v>
      </c>
      <c r="Q888" s="60">
        <f>IFERROR(IF(12 / VLOOKUP(Table2[[#This Row],[Rateizzazione]],TIPI_RATEIZZAZIONI,2,FALSE) &gt;=1,  IF(Table2[[#This Row],[Data attivazione]] = "","-",MONTH(Table2[[#This Row],[Data attivazione]])),"-"),"-")</f>
        <v>9</v>
      </c>
      <c r="R8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8" s="67" t="s">
        <v>2</v>
      </c>
      <c r="V888" s="62"/>
      <c r="W888" s="64">
        <v>42277</v>
      </c>
      <c r="X888" s="29">
        <f>DATE(YEAR(Table2[[#This Row],[Data attivazione]])+VLOOKUP(Table2[[#This Row],[Durata]],VALORE_DURATA,2,FALSE),MONTH(Table2[[#This Row],[Data attivazione]]),DAY(Table2[[#This Row],[Data attivazione]]))</f>
        <v>42643</v>
      </c>
      <c r="Y888" s="65"/>
      <c r="Z888" s="61"/>
      <c r="AA888" s="64" t="s">
        <v>88</v>
      </c>
      <c r="AB888" s="29" t="str">
        <f>IF(Table2[[#This Row],[Data ultimo versamento temp]]=0/1/1900,"-",Table2[[#This Row],[Data ultimo versamento temp]])</f>
        <v>-</v>
      </c>
      <c r="AC888" s="29">
        <f t="array" ref="AC888">MAX(IF(TableVersamenti[Polizza]=Table2[[#This Row],[Polizza]],TableVersamenti[Data prevista versamento],"-"))</f>
        <v>0</v>
      </c>
      <c r="AD888" s="62"/>
      <c r="AE888" s="106">
        <f>DATE(YEAR(Table2[[#This Row],[Data ultimo pagamento]]),MONTH(Table2[[#This Row],[Data ultimo pagamento]]), 1)</f>
        <v>42461</v>
      </c>
      <c r="AF888" s="106">
        <f>DATE(YEAR(Table2[[#This Row],[Data prossima scadenza]]),MONTH(Table2[[#This Row],[Data prossima scadenza]]), 1)</f>
        <v>42614</v>
      </c>
      <c r="AG888" s="33">
        <f>IFERROR(Table2[[#This Row],[Importo annuale]]*VLOOKUP(Table2[[#This Row],[Ramo]],RAMI_POLIZZA,2,FALSE),0)</f>
        <v>32.235839999999996</v>
      </c>
      <c r="AH888" s="65" t="s">
        <v>113</v>
      </c>
      <c r="AI888" s="63" t="str">
        <f>IFERROR(VLOOKUP(Table2[[#This Row],[Contraente]],Table1[[Nome/Ragione sociale]:[Checkbox selezionato]],2,FALSE),"-")</f>
        <v>PORTALBERA</v>
      </c>
      <c r="AJ888" s="63">
        <f>IFERROR(VLOOKUP(Table2[[#This Row],[Contraente]],Table1[[Nome/Ragione sociale]:[Checkbox selezionato]],3,FALSE),"-")</f>
        <v>3491216077</v>
      </c>
      <c r="AK888" s="63">
        <f>IFERROR(VLOOKUP(Table2[[#This Row],[Contraente]],Table1[[Nome/Ragione sociale]:[Checkbox selezionato]],4,FALSE),"-")</f>
        <v>0</v>
      </c>
      <c r="AL888" s="63" t="str">
        <f>IFERROR(VLOOKUP(Table2[[#This Row],[Contraente]],Table1[[Nome/Ragione sociale]:[Checkbox selezionato]],5,FALSE),"-")</f>
        <v>PUMI</v>
      </c>
      <c r="AM888" s="62">
        <f>IFERROR(VLOOKUP(Table2[[#This Row],[Contraente]],Table1[[Nome/Ragione sociale]:[Checkbox selezionato]],6,FALSE),"-")</f>
        <v>25418</v>
      </c>
      <c r="AN888" s="63" t="str">
        <f>IFERROR(VLOOKUP(Table2[[#This Row],[Contraente]],Table1[[Nome/Ragione sociale]:[Checkbox selezionato]],7,FALSE),"-")</f>
        <v>papies@libero.it</v>
      </c>
      <c r="AO888" s="63">
        <f>IFERROR(VLOOKUP(Table2[[#This Row],[Contraente]],Table1[[Nome/Ragione sociale]:[Checkbox selezionato]],8,FALSE),"-")</f>
        <v>0</v>
      </c>
      <c r="AP888" s="63">
        <f>IFERROR(VLOOKUP(Table2[[#This Row],[Contraente]],Table1[[Nome/Ragione sociale]:[Checkbox selezionato]],10,FALSE),"-")</f>
        <v>3491216077</v>
      </c>
      <c r="AQ888" s="63" t="str">
        <f>IFERROR(VLOOKUP(Table2[[#This Row],[Contraente]],Table1[[Nome/Ragione sociale]:[Checkbox selezionato]],11,FALSE),"-")</f>
        <v>SI</v>
      </c>
      <c r="AR888" s="63" t="str">
        <f>IFERROR(VLOOKUP(Table2[[#This Row],[Contraente]],Table1[[Nome/Ragione sociale]:[Checkbox selezionato]],12,FALSE),"-")</f>
        <v>SI</v>
      </c>
    </row>
    <row r="889" spans="1:44" ht="30" hidden="1" customHeight="1" x14ac:dyDescent="0.25">
      <c r="A889" s="60" t="str">
        <f>UPPER(LEFT(Table2[[#This Row],[Contraente]],1))</f>
        <v>P</v>
      </c>
      <c r="B889" s="60" t="s">
        <v>1634</v>
      </c>
      <c r="C889" s="81" t="s">
        <v>895</v>
      </c>
      <c r="D889" s="81" t="s">
        <v>37</v>
      </c>
      <c r="E889" s="86">
        <v>106293432</v>
      </c>
      <c r="F889" s="64">
        <v>42892</v>
      </c>
      <c r="G889" s="64">
        <f>IFERROR(CALCOLASCADENZA(Table2[[#This Row],[Data attivazione]],Table2[[#This Row],[Rateizzazione]],Table2[[#This Row],[Data ultimo pagamento]],Table2[[#This Row],[Data prossima scadenza manuale]]),"-")</f>
        <v>43071</v>
      </c>
      <c r="H889" s="67" t="s">
        <v>31</v>
      </c>
      <c r="I889" s="67" t="s">
        <v>1479</v>
      </c>
      <c r="J889" s="33">
        <f>IFERROR(Table2[[#This Row],[Importo annuale]]/(12/VLOOKUP(Table2[[#This Row],[Rateizzazione]],TIPI_RATEIZZAZIONI,2,FALSE)),"-")</f>
        <v>210</v>
      </c>
      <c r="K889" s="88">
        <v>210</v>
      </c>
      <c r="L889" s="88">
        <v>420</v>
      </c>
      <c r="M889" s="67" t="s">
        <v>43</v>
      </c>
      <c r="N889" s="67" t="s">
        <v>51</v>
      </c>
      <c r="O889" s="27" t="s">
        <v>1631</v>
      </c>
      <c r="P889" s="33" t="s">
        <v>22</v>
      </c>
      <c r="Q889" s="60">
        <f>IFERROR(IF(12 / VLOOKUP(Table2[[#This Row],[Rateizzazione]],TIPI_RATEIZZAZIONI,2,FALSE) &gt;=1,  IF(Table2[[#This Row],[Data attivazione]] = "","-",MONTH(Table2[[#This Row],[Data attivazione]])),"-"),"-")</f>
        <v>12</v>
      </c>
      <c r="R8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9" s="67" t="s">
        <v>2</v>
      </c>
      <c r="V889" s="62"/>
      <c r="W889" s="64">
        <v>42706</v>
      </c>
      <c r="X889" s="29">
        <f>DATE(YEAR(Table2[[#This Row],[Data attivazione]])+VLOOKUP(Table2[[#This Row],[Durata]],VALORE_DURATA,2,FALSE),MONTH(Table2[[#This Row],[Data attivazione]]),DAY(Table2[[#This Row],[Data attivazione]]))</f>
        <v>43071</v>
      </c>
      <c r="Y889" s="65"/>
      <c r="Z889" s="61"/>
      <c r="AA889" s="64" t="s">
        <v>85</v>
      </c>
      <c r="AB889" s="29" t="str">
        <f>IF(Table2[[#This Row],[Data ultimo versamento temp]]=0/1/1900,"-",Table2[[#This Row],[Data ultimo versamento temp]])</f>
        <v>-</v>
      </c>
      <c r="AC889" s="29">
        <f t="array" ref="AC889">MAX(IF(TableVersamenti[Polizza]=Table2[[#This Row],[Polizza]],TableVersamenti[Data prevista versamento],"-"))</f>
        <v>0</v>
      </c>
      <c r="AD889" s="62"/>
      <c r="AE889" s="106">
        <f>DATE(YEAR(Table2[[#This Row],[Data ultimo pagamento]]),MONTH(Table2[[#This Row],[Data ultimo pagamento]]), 1)</f>
        <v>42887</v>
      </c>
      <c r="AF889" s="106">
        <f>DATE(YEAR(Table2[[#This Row],[Data prossima scadenza]]),MONTH(Table2[[#This Row],[Data prossima scadenza]]), 1)</f>
        <v>43070</v>
      </c>
      <c r="AG889" s="33">
        <f>IFERROR(Table2[[#This Row],[Importo annuale]]*VLOOKUP(Table2[[#This Row],[Ramo]],RAMI_POLIZZA,2,FALSE),0)</f>
        <v>21.84</v>
      </c>
      <c r="AH889" s="65" t="s">
        <v>113</v>
      </c>
      <c r="AI889" s="63" t="str">
        <f>IFERROR(VLOOKUP(Table2[[#This Row],[Contraente]],Table1[[Nome/Ragione sociale]:[Checkbox selezionato]],2,FALSE),"-")</f>
        <v>PORTALBERA</v>
      </c>
      <c r="AJ889" s="63">
        <f>IFERROR(VLOOKUP(Table2[[#This Row],[Contraente]],Table1[[Nome/Ragione sociale]:[Checkbox selezionato]],3,FALSE),"-")</f>
        <v>3491216077</v>
      </c>
      <c r="AK889" s="63">
        <f>IFERROR(VLOOKUP(Table2[[#This Row],[Contraente]],Table1[[Nome/Ragione sociale]:[Checkbox selezionato]],4,FALSE),"-")</f>
        <v>0</v>
      </c>
      <c r="AL889" s="63" t="str">
        <f>IFERROR(VLOOKUP(Table2[[#This Row],[Contraente]],Table1[[Nome/Ragione sociale]:[Checkbox selezionato]],5,FALSE),"-")</f>
        <v>PUMI</v>
      </c>
      <c r="AM889" s="62">
        <f>IFERROR(VLOOKUP(Table2[[#This Row],[Contraente]],Table1[[Nome/Ragione sociale]:[Checkbox selezionato]],6,FALSE),"-")</f>
        <v>25418</v>
      </c>
      <c r="AN889" s="63" t="str">
        <f>IFERROR(VLOOKUP(Table2[[#This Row],[Contraente]],Table1[[Nome/Ragione sociale]:[Checkbox selezionato]],7,FALSE),"-")</f>
        <v>papies@libero.it</v>
      </c>
      <c r="AO889" s="63">
        <f>IFERROR(VLOOKUP(Table2[[#This Row],[Contraente]],Table1[[Nome/Ragione sociale]:[Checkbox selezionato]],8,FALSE),"-")</f>
        <v>0</v>
      </c>
      <c r="AP889" s="63">
        <f>IFERROR(VLOOKUP(Table2[[#This Row],[Contraente]],Table1[[Nome/Ragione sociale]:[Checkbox selezionato]],10,FALSE),"-")</f>
        <v>3491216077</v>
      </c>
      <c r="AQ889" s="63" t="str">
        <f>IFERROR(VLOOKUP(Table2[[#This Row],[Contraente]],Table1[[Nome/Ragione sociale]:[Checkbox selezionato]],11,FALSE),"-")</f>
        <v>SI</v>
      </c>
      <c r="AR889" s="63" t="str">
        <f>IFERROR(VLOOKUP(Table2[[#This Row],[Contraente]],Table1[[Nome/Ragione sociale]:[Checkbox selezionato]],12,FALSE),"-")</f>
        <v>SI</v>
      </c>
    </row>
    <row r="890" spans="1:44" ht="30" hidden="1" customHeight="1" x14ac:dyDescent="0.25">
      <c r="A890" s="60" t="str">
        <f>UPPER(LEFT(Table2[[#This Row],[Contraente]],1))</f>
        <v>Q</v>
      </c>
      <c r="B890" s="60" t="s">
        <v>1634</v>
      </c>
      <c r="C890" s="81" t="s">
        <v>932</v>
      </c>
      <c r="D890" s="81" t="s">
        <v>37</v>
      </c>
      <c r="E890" s="86">
        <v>105871113</v>
      </c>
      <c r="F890" s="64">
        <v>42573</v>
      </c>
      <c r="G890" s="64">
        <f>IFERROR(CALCOLASCADENZA(Table2[[#This Row],[Data attivazione]],Table2[[#This Row],[Rateizzazione]],Table2[[#This Row],[Data ultimo pagamento]],Table2[[#This Row],[Data prossima scadenza manuale]]),"-")</f>
        <v>42942</v>
      </c>
      <c r="H890" s="67" t="s">
        <v>31</v>
      </c>
      <c r="I890" s="67" t="s">
        <v>1504</v>
      </c>
      <c r="J890" s="33">
        <f>IFERROR(Table2[[#This Row],[Importo annuale]]/(12/VLOOKUP(Table2[[#This Row],[Rateizzazione]],TIPI_RATEIZZAZIONI,2,FALSE)),"-")</f>
        <v>555.70000000000005</v>
      </c>
      <c r="K890" s="88"/>
      <c r="L890" s="88">
        <v>555.70000000000005</v>
      </c>
      <c r="M890" s="67" t="s">
        <v>44</v>
      </c>
      <c r="N890" s="67" t="s">
        <v>51</v>
      </c>
      <c r="O890" s="27" t="s">
        <v>1631</v>
      </c>
      <c r="P890" s="33" t="s">
        <v>23</v>
      </c>
      <c r="Q890" s="60">
        <f>IFERROR(IF(12 / VLOOKUP(Table2[[#This Row],[Rateizzazione]],TIPI_RATEIZZAZIONI,2,FALSE) &gt;=1,  IF(Table2[[#This Row],[Data attivazione]] = "","-",MONTH(Table2[[#This Row],[Data attivazione]])),"-"),"-")</f>
        <v>7</v>
      </c>
      <c r="R8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0" s="67" t="s">
        <v>2</v>
      </c>
      <c r="V890" s="62"/>
      <c r="W890" s="64">
        <v>42577</v>
      </c>
      <c r="X890" s="29">
        <f>DATE(YEAR(Table2[[#This Row],[Data attivazione]])+VLOOKUP(Table2[[#This Row],[Durata]],VALORE_DURATA,2,FALSE),MONTH(Table2[[#This Row],[Data attivazione]]),DAY(Table2[[#This Row],[Data attivazione]]))</f>
        <v>42942</v>
      </c>
      <c r="Y890" s="65"/>
      <c r="Z890" s="61"/>
      <c r="AA890" s="64" t="s">
        <v>85</v>
      </c>
      <c r="AB890" s="29" t="str">
        <f>IF(Table2[[#This Row],[Data ultimo versamento temp]]=0/1/1900,"-",Table2[[#This Row],[Data ultimo versamento temp]])</f>
        <v>-</v>
      </c>
      <c r="AC890" s="29">
        <f t="array" ref="AC890">MAX(IF(TableVersamenti[Polizza]=Table2[[#This Row],[Polizza]],TableVersamenti[Data prevista versamento],"-"))</f>
        <v>0</v>
      </c>
      <c r="AD890" s="62"/>
      <c r="AE890" s="106">
        <f>DATE(YEAR(Table2[[#This Row],[Data ultimo pagamento]]),MONTH(Table2[[#This Row],[Data ultimo pagamento]]), 1)</f>
        <v>42552</v>
      </c>
      <c r="AF890" s="106">
        <f>DATE(YEAR(Table2[[#This Row],[Data prossima scadenza]]),MONTH(Table2[[#This Row],[Data prossima scadenza]]), 1)</f>
        <v>42917</v>
      </c>
      <c r="AG890" s="33">
        <f>IFERROR(Table2[[#This Row],[Importo annuale]]*VLOOKUP(Table2[[#This Row],[Ramo]],RAMI_POLIZZA,2,FALSE),0)</f>
        <v>28.8964</v>
      </c>
      <c r="AH890" s="65" t="s">
        <v>113</v>
      </c>
      <c r="AI890" s="63">
        <f>IFERROR(VLOOKUP(Table2[[#This Row],[Contraente]],Table1[[Nome/Ragione sociale]:[Checkbox selezionato]],2,FALSE),"-")</f>
        <v>0</v>
      </c>
      <c r="AJ890" s="63">
        <f>IFERROR(VLOOKUP(Table2[[#This Row],[Contraente]],Table1[[Nome/Ragione sociale]:[Checkbox selezionato]],3,FALSE),"-")</f>
        <v>0</v>
      </c>
      <c r="AK890" s="63">
        <f>IFERROR(VLOOKUP(Table2[[#This Row],[Contraente]],Table1[[Nome/Ragione sociale]:[Checkbox selezionato]],4,FALSE),"-")</f>
        <v>0</v>
      </c>
      <c r="AL890" s="63">
        <f>IFERROR(VLOOKUP(Table2[[#This Row],[Contraente]],Table1[[Nome/Ragione sociale]:[Checkbox selezionato]],5,FALSE),"-")</f>
        <v>0</v>
      </c>
      <c r="AM890" s="62">
        <f>IFERROR(VLOOKUP(Table2[[#This Row],[Contraente]],Table1[[Nome/Ragione sociale]:[Checkbox selezionato]],6,FALSE),"-")</f>
        <v>0</v>
      </c>
      <c r="AN890" s="63" t="str">
        <f>IFERROR(VLOOKUP(Table2[[#This Row],[Contraente]],Table1[[Nome/Ragione sociale]:[Checkbox selezionato]],7,FALSE),"-")</f>
        <v>papies@email.it</v>
      </c>
      <c r="AO890" s="63">
        <f>IFERROR(VLOOKUP(Table2[[#This Row],[Contraente]],Table1[[Nome/Ragione sociale]:[Checkbox selezionato]],8,FALSE),"-")</f>
        <v>0</v>
      </c>
      <c r="AP890" s="63">
        <f>IFERROR(VLOOKUP(Table2[[#This Row],[Contraente]],Table1[[Nome/Ragione sociale]:[Checkbox selezionato]],10,FALSE),"-")</f>
        <v>0</v>
      </c>
      <c r="AQ890" s="63" t="str">
        <f>IFERROR(VLOOKUP(Table2[[#This Row],[Contraente]],Table1[[Nome/Ragione sociale]:[Checkbox selezionato]],11,FALSE),"-")</f>
        <v>SI</v>
      </c>
      <c r="AR890" s="63" t="str">
        <f>IFERROR(VLOOKUP(Table2[[#This Row],[Contraente]],Table1[[Nome/Ragione sociale]:[Checkbox selezionato]],12,FALSE),"-")</f>
        <v>SI</v>
      </c>
    </row>
    <row r="891" spans="1:44" ht="30" hidden="1" customHeight="1" x14ac:dyDescent="0.25">
      <c r="A891" s="60" t="str">
        <f>UPPER(LEFT(Table2[[#This Row],[Contraente]],1))</f>
        <v>Q</v>
      </c>
      <c r="B891" s="60" t="s">
        <v>1634</v>
      </c>
      <c r="C891" s="81" t="s">
        <v>932</v>
      </c>
      <c r="D891" s="81" t="s">
        <v>37</v>
      </c>
      <c r="E891" s="86">
        <v>105774823</v>
      </c>
      <c r="F891" s="64">
        <v>42573</v>
      </c>
      <c r="G891" s="64">
        <f>IFERROR(CALCOLASCADENZA(Table2[[#This Row],[Data attivazione]],Table2[[#This Row],[Rateizzazione]],Table2[[#This Row],[Data ultimo pagamento]],Table2[[#This Row],[Data prossima scadenza manuale]]),"-")</f>
        <v>42942</v>
      </c>
      <c r="H891" s="67" t="s">
        <v>30</v>
      </c>
      <c r="I891" s="67" t="s">
        <v>113</v>
      </c>
      <c r="J891" s="33">
        <f>IFERROR(Table2[[#This Row],[Importo annuale]]/(12/VLOOKUP(Table2[[#This Row],[Rateizzazione]],TIPI_RATEIZZAZIONI,2,FALSE)),"-")</f>
        <v>83</v>
      </c>
      <c r="K891" s="88"/>
      <c r="L891" s="88">
        <v>83</v>
      </c>
      <c r="M891" s="67" t="s">
        <v>44</v>
      </c>
      <c r="N891" s="67" t="s">
        <v>51</v>
      </c>
      <c r="O891" s="27" t="s">
        <v>1631</v>
      </c>
      <c r="P891" s="33" t="s">
        <v>23</v>
      </c>
      <c r="Q891" s="60">
        <f>IFERROR(IF(12 / VLOOKUP(Table2[[#This Row],[Rateizzazione]],TIPI_RATEIZZAZIONI,2,FALSE) &gt;=1,  IF(Table2[[#This Row],[Data attivazione]] = "","-",MONTH(Table2[[#This Row],[Data attivazione]])),"-"),"-")</f>
        <v>7</v>
      </c>
      <c r="R8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1" s="67" t="s">
        <v>2</v>
      </c>
      <c r="V891" s="62"/>
      <c r="W891" s="64">
        <v>42577</v>
      </c>
      <c r="X891" s="29">
        <f>DATE(YEAR(Table2[[#This Row],[Data attivazione]])+VLOOKUP(Table2[[#This Row],[Durata]],VALORE_DURATA,2,FALSE),MONTH(Table2[[#This Row],[Data attivazione]]),DAY(Table2[[#This Row],[Data attivazione]]))</f>
        <v>42942</v>
      </c>
      <c r="Y891" s="65"/>
      <c r="Z891" s="61"/>
      <c r="AA891" s="64" t="s">
        <v>85</v>
      </c>
      <c r="AB891" s="29" t="str">
        <f>IF(Table2[[#This Row],[Data ultimo versamento temp]]=0/1/1900,"-",Table2[[#This Row],[Data ultimo versamento temp]])</f>
        <v>-</v>
      </c>
      <c r="AC891" s="29">
        <f t="array" ref="AC891">MAX(IF(TableVersamenti[Polizza]=Table2[[#This Row],[Polizza]],TableVersamenti[Data prevista versamento],"-"))</f>
        <v>0</v>
      </c>
      <c r="AD891" s="62"/>
      <c r="AE891" s="106">
        <f>DATE(YEAR(Table2[[#This Row],[Data ultimo pagamento]]),MONTH(Table2[[#This Row],[Data ultimo pagamento]]), 1)</f>
        <v>42552</v>
      </c>
      <c r="AF891" s="106">
        <f>DATE(YEAR(Table2[[#This Row],[Data prossima scadenza]]),MONTH(Table2[[#This Row],[Data prossima scadenza]]), 1)</f>
        <v>42917</v>
      </c>
      <c r="AG891" s="33">
        <f>IFERROR(Table2[[#This Row],[Importo annuale]]*VLOOKUP(Table2[[#This Row],[Ramo]],RAMI_POLIZZA,2,FALSE),0)</f>
        <v>9.5449999999999999</v>
      </c>
      <c r="AH891" s="65" t="s">
        <v>113</v>
      </c>
      <c r="AI891" s="63">
        <f>IFERROR(VLOOKUP(Table2[[#This Row],[Contraente]],Table1[[Nome/Ragione sociale]:[Checkbox selezionato]],2,FALSE),"-")</f>
        <v>0</v>
      </c>
      <c r="AJ891" s="63">
        <f>IFERROR(VLOOKUP(Table2[[#This Row],[Contraente]],Table1[[Nome/Ragione sociale]:[Checkbox selezionato]],3,FALSE),"-")</f>
        <v>0</v>
      </c>
      <c r="AK891" s="63">
        <f>IFERROR(VLOOKUP(Table2[[#This Row],[Contraente]],Table1[[Nome/Ragione sociale]:[Checkbox selezionato]],4,FALSE),"-")</f>
        <v>0</v>
      </c>
      <c r="AL891" s="63">
        <f>IFERROR(VLOOKUP(Table2[[#This Row],[Contraente]],Table1[[Nome/Ragione sociale]:[Checkbox selezionato]],5,FALSE),"-")</f>
        <v>0</v>
      </c>
      <c r="AM891" s="62">
        <f>IFERROR(VLOOKUP(Table2[[#This Row],[Contraente]],Table1[[Nome/Ragione sociale]:[Checkbox selezionato]],6,FALSE),"-")</f>
        <v>0</v>
      </c>
      <c r="AN891" s="63" t="str">
        <f>IFERROR(VLOOKUP(Table2[[#This Row],[Contraente]],Table1[[Nome/Ragione sociale]:[Checkbox selezionato]],7,FALSE),"-")</f>
        <v>papies@email.it</v>
      </c>
      <c r="AO891" s="63">
        <f>IFERROR(VLOOKUP(Table2[[#This Row],[Contraente]],Table1[[Nome/Ragione sociale]:[Checkbox selezionato]],8,FALSE),"-")</f>
        <v>0</v>
      </c>
      <c r="AP891" s="63">
        <f>IFERROR(VLOOKUP(Table2[[#This Row],[Contraente]],Table1[[Nome/Ragione sociale]:[Checkbox selezionato]],10,FALSE),"-")</f>
        <v>0</v>
      </c>
      <c r="AQ891" s="63" t="str">
        <f>IFERROR(VLOOKUP(Table2[[#This Row],[Contraente]],Table1[[Nome/Ragione sociale]:[Checkbox selezionato]],11,FALSE),"-")</f>
        <v>SI</v>
      </c>
      <c r="AR891" s="63" t="str">
        <f>IFERROR(VLOOKUP(Table2[[#This Row],[Contraente]],Table1[[Nome/Ragione sociale]:[Checkbox selezionato]],12,FALSE),"-")</f>
        <v>SI</v>
      </c>
    </row>
    <row r="892" spans="1:44" ht="30" hidden="1" customHeight="1" x14ac:dyDescent="0.25">
      <c r="A892" s="60" t="str">
        <f>UPPER(LEFT(Table2[[#This Row],[Contraente]],1))</f>
        <v>Q</v>
      </c>
      <c r="B892" s="60" t="s">
        <v>1634</v>
      </c>
      <c r="C892" s="81" t="s">
        <v>932</v>
      </c>
      <c r="D892" s="81" t="s">
        <v>37</v>
      </c>
      <c r="E892" s="86">
        <v>104681980</v>
      </c>
      <c r="F892" s="64">
        <v>42573</v>
      </c>
      <c r="G892" s="64">
        <f>IFERROR(CALCOLASCADENZA(Table2[[#This Row],[Data attivazione]],Table2[[#This Row],[Rateizzazione]],Table2[[#This Row],[Data ultimo pagamento]],Table2[[#This Row],[Data prossima scadenza manuale]]),"-")</f>
        <v>42941</v>
      </c>
      <c r="H892" s="67" t="s">
        <v>30</v>
      </c>
      <c r="I892" s="67" t="s">
        <v>113</v>
      </c>
      <c r="J892" s="33">
        <f>IFERROR(Table2[[#This Row],[Importo annuale]]/(12/VLOOKUP(Table2[[#This Row],[Rateizzazione]],TIPI_RATEIZZAZIONI,2,FALSE)),"-")</f>
        <v>228</v>
      </c>
      <c r="K892" s="88"/>
      <c r="L892" s="88">
        <v>228</v>
      </c>
      <c r="M892" s="67" t="s">
        <v>44</v>
      </c>
      <c r="N892" s="67" t="s">
        <v>51</v>
      </c>
      <c r="O892" s="27" t="s">
        <v>1631</v>
      </c>
      <c r="P892" s="33" t="s">
        <v>23</v>
      </c>
      <c r="Q892" s="60">
        <f>IFERROR(IF(12 / VLOOKUP(Table2[[#This Row],[Rateizzazione]],TIPI_RATEIZZAZIONI,2,FALSE) &gt;=1,  IF(Table2[[#This Row],[Data attivazione]] = "","-",MONTH(Table2[[#This Row],[Data attivazione]])),"-"),"-")</f>
        <v>7</v>
      </c>
      <c r="R8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2" s="67" t="s">
        <v>2</v>
      </c>
      <c r="V892" s="62"/>
      <c r="W892" s="64">
        <v>42576</v>
      </c>
      <c r="X892" s="29">
        <f>DATE(YEAR(Table2[[#This Row],[Data attivazione]])+VLOOKUP(Table2[[#This Row],[Durata]],VALORE_DURATA,2,FALSE),MONTH(Table2[[#This Row],[Data attivazione]]),DAY(Table2[[#This Row],[Data attivazione]]))</f>
        <v>42941</v>
      </c>
      <c r="Y892" s="65"/>
      <c r="Z892" s="61"/>
      <c r="AA892" s="64" t="s">
        <v>85</v>
      </c>
      <c r="AB892" s="29" t="str">
        <f>IF(Table2[[#This Row],[Data ultimo versamento temp]]=0/1/1900,"-",Table2[[#This Row],[Data ultimo versamento temp]])</f>
        <v>-</v>
      </c>
      <c r="AC892" s="29">
        <f t="array" ref="AC892">MAX(IF(TableVersamenti[Polizza]=Table2[[#This Row],[Polizza]],TableVersamenti[Data prevista versamento],"-"))</f>
        <v>0</v>
      </c>
      <c r="AD892" s="62"/>
      <c r="AE892" s="106">
        <f>DATE(YEAR(Table2[[#This Row],[Data ultimo pagamento]]),MONTH(Table2[[#This Row],[Data ultimo pagamento]]), 1)</f>
        <v>42552</v>
      </c>
      <c r="AF892" s="106">
        <f>DATE(YEAR(Table2[[#This Row],[Data prossima scadenza]]),MONTH(Table2[[#This Row],[Data prossima scadenza]]), 1)</f>
        <v>42917</v>
      </c>
      <c r="AG892" s="33">
        <f>IFERROR(Table2[[#This Row],[Importo annuale]]*VLOOKUP(Table2[[#This Row],[Ramo]],RAMI_POLIZZA,2,FALSE),0)</f>
        <v>26.220000000000002</v>
      </c>
      <c r="AH892" s="65" t="s">
        <v>113</v>
      </c>
      <c r="AI892" s="63">
        <f>IFERROR(VLOOKUP(Table2[[#This Row],[Contraente]],Table1[[Nome/Ragione sociale]:[Checkbox selezionato]],2,FALSE),"-")</f>
        <v>0</v>
      </c>
      <c r="AJ892" s="63">
        <f>IFERROR(VLOOKUP(Table2[[#This Row],[Contraente]],Table1[[Nome/Ragione sociale]:[Checkbox selezionato]],3,FALSE),"-")</f>
        <v>0</v>
      </c>
      <c r="AK892" s="63">
        <f>IFERROR(VLOOKUP(Table2[[#This Row],[Contraente]],Table1[[Nome/Ragione sociale]:[Checkbox selezionato]],4,FALSE),"-")</f>
        <v>0</v>
      </c>
      <c r="AL892" s="63">
        <f>IFERROR(VLOOKUP(Table2[[#This Row],[Contraente]],Table1[[Nome/Ragione sociale]:[Checkbox selezionato]],5,FALSE),"-")</f>
        <v>0</v>
      </c>
      <c r="AM892" s="62">
        <f>IFERROR(VLOOKUP(Table2[[#This Row],[Contraente]],Table1[[Nome/Ragione sociale]:[Checkbox selezionato]],6,FALSE),"-")</f>
        <v>0</v>
      </c>
      <c r="AN892" s="63" t="str">
        <f>IFERROR(VLOOKUP(Table2[[#This Row],[Contraente]],Table1[[Nome/Ragione sociale]:[Checkbox selezionato]],7,FALSE),"-")</f>
        <v>papies@email.it</v>
      </c>
      <c r="AO892" s="63">
        <f>IFERROR(VLOOKUP(Table2[[#This Row],[Contraente]],Table1[[Nome/Ragione sociale]:[Checkbox selezionato]],8,FALSE),"-")</f>
        <v>0</v>
      </c>
      <c r="AP892" s="63">
        <f>IFERROR(VLOOKUP(Table2[[#This Row],[Contraente]],Table1[[Nome/Ragione sociale]:[Checkbox selezionato]],10,FALSE),"-")</f>
        <v>0</v>
      </c>
      <c r="AQ892" s="63" t="str">
        <f>IFERROR(VLOOKUP(Table2[[#This Row],[Contraente]],Table1[[Nome/Ragione sociale]:[Checkbox selezionato]],11,FALSE),"-")</f>
        <v>SI</v>
      </c>
      <c r="AR892" s="63" t="str">
        <f>IFERROR(VLOOKUP(Table2[[#This Row],[Contraente]],Table1[[Nome/Ragione sociale]:[Checkbox selezionato]],12,FALSE),"-")</f>
        <v>SI</v>
      </c>
    </row>
    <row r="893" spans="1:44" ht="30" hidden="1" customHeight="1" x14ac:dyDescent="0.25">
      <c r="A893" s="60" t="str">
        <f>UPPER(LEFT(Table2[[#This Row],[Contraente]],1))</f>
        <v>Q</v>
      </c>
      <c r="B893" s="60" t="s">
        <v>1634</v>
      </c>
      <c r="C893" s="81" t="s">
        <v>167</v>
      </c>
      <c r="D893" s="81" t="s">
        <v>37</v>
      </c>
      <c r="E893" s="86">
        <v>105967519</v>
      </c>
      <c r="F893" s="64">
        <v>42611</v>
      </c>
      <c r="G893" s="64">
        <f>IFERROR(CALCOLASCADENZA(Table2[[#This Row],[Data attivazione]],Table2[[#This Row],[Rateizzazione]],Table2[[#This Row],[Data ultimo pagamento]],Table2[[#This Row],[Data prossima scadenza manuale]]),"-")</f>
        <v>42974</v>
      </c>
      <c r="H893" s="67" t="s">
        <v>31</v>
      </c>
      <c r="I893" s="67" t="s">
        <v>1505</v>
      </c>
      <c r="J893" s="33">
        <f>IFERROR(Table2[[#This Row],[Importo annuale]]/(12/VLOOKUP(Table2[[#This Row],[Rateizzazione]],TIPI_RATEIZZAZIONI,2,FALSE)),"-")</f>
        <v>320</v>
      </c>
      <c r="K893" s="88"/>
      <c r="L893" s="88">
        <v>320</v>
      </c>
      <c r="M893" s="67" t="s">
        <v>43</v>
      </c>
      <c r="N893" s="67" t="s">
        <v>51</v>
      </c>
      <c r="O893" s="27" t="s">
        <v>1631</v>
      </c>
      <c r="P893" s="33" t="s">
        <v>23</v>
      </c>
      <c r="Q893" s="60">
        <f>IFERROR(IF(12 / VLOOKUP(Table2[[#This Row],[Rateizzazione]],TIPI_RATEIZZAZIONI,2,FALSE) &gt;=1,  IF(Table2[[#This Row],[Data attivazione]] = "","-",MONTH(Table2[[#This Row],[Data attivazione]])),"-"),"-")</f>
        <v>8</v>
      </c>
      <c r="R8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3" s="67" t="s">
        <v>2</v>
      </c>
      <c r="V893" s="62"/>
      <c r="W893" s="64">
        <v>42609</v>
      </c>
      <c r="X893" s="29">
        <f>DATE(YEAR(Table2[[#This Row],[Data attivazione]])+VLOOKUP(Table2[[#This Row],[Durata]],VALORE_DURATA,2,FALSE),MONTH(Table2[[#This Row],[Data attivazione]]),DAY(Table2[[#This Row],[Data attivazione]]))</f>
        <v>42974</v>
      </c>
      <c r="Y893" s="65"/>
      <c r="Z893" s="61"/>
      <c r="AA893" s="64" t="s">
        <v>85</v>
      </c>
      <c r="AB893" s="29" t="str">
        <f>IF(Table2[[#This Row],[Data ultimo versamento temp]]=0/1/1900,"-",Table2[[#This Row],[Data ultimo versamento temp]])</f>
        <v>-</v>
      </c>
      <c r="AC893" s="29">
        <f t="array" ref="AC893">MAX(IF(TableVersamenti[Polizza]=Table2[[#This Row],[Polizza]],TableVersamenti[Data prevista versamento],"-"))</f>
        <v>0</v>
      </c>
      <c r="AD893" s="62"/>
      <c r="AE893" s="106">
        <f>DATE(YEAR(Table2[[#This Row],[Data ultimo pagamento]]),MONTH(Table2[[#This Row],[Data ultimo pagamento]]), 1)</f>
        <v>42583</v>
      </c>
      <c r="AF893" s="106">
        <f>DATE(YEAR(Table2[[#This Row],[Data prossima scadenza]]),MONTH(Table2[[#This Row],[Data prossima scadenza]]), 1)</f>
        <v>42948</v>
      </c>
      <c r="AG893" s="33">
        <f>IFERROR(Table2[[#This Row],[Importo annuale]]*VLOOKUP(Table2[[#This Row],[Ramo]],RAMI_POLIZZA,2,FALSE),0)</f>
        <v>16.64</v>
      </c>
      <c r="AH893" s="65" t="s">
        <v>113</v>
      </c>
      <c r="AI893" s="63" t="str">
        <f>IFERROR(VLOOKUP(Table2[[#This Row],[Contraente]],Table1[[Nome/Ragione sociale]:[Checkbox selezionato]],2,FALSE),"-")</f>
        <v>CORTEOLONA</v>
      </c>
      <c r="AJ893" s="63">
        <f>IFERROR(VLOOKUP(Table2[[#This Row],[Contraente]],Table1[[Nome/Ragione sociale]:[Checkbox selezionato]],3,FALSE),"-")</f>
        <v>3396557141</v>
      </c>
      <c r="AK893" s="63" t="str">
        <f>IFERROR(VLOOKUP(Table2[[#This Row],[Contraente]],Table1[[Nome/Ragione sociale]:[Checkbox selezionato]],4,FALSE),"-")</f>
        <v>-</v>
      </c>
      <c r="AL893" s="63" t="str">
        <f>IFERROR(VLOOKUP(Table2[[#This Row],[Contraente]],Table1[[Nome/Ragione sociale]:[Checkbox selezionato]],5,FALSE),"-")</f>
        <v>BENITO</v>
      </c>
      <c r="AM893" s="62">
        <f>IFERROR(VLOOKUP(Table2[[#This Row],[Contraente]],Table1[[Nome/Ragione sociale]:[Checkbox selezionato]],6,FALSE),"-")</f>
        <v>25422</v>
      </c>
      <c r="AN893" s="63" t="str">
        <f>IFERROR(VLOOKUP(Table2[[#This Row],[Contraente]],Table1[[Nome/Ragione sociale]:[Checkbox selezionato]],7,FALSE),"-")</f>
        <v>papies@libero.it</v>
      </c>
      <c r="AO893" s="63">
        <f>IFERROR(VLOOKUP(Table2[[#This Row],[Contraente]],Table1[[Nome/Ragione sociale]:[Checkbox selezionato]],8,FALSE),"-")</f>
        <v>0</v>
      </c>
      <c r="AP893" s="63">
        <f>IFERROR(VLOOKUP(Table2[[#This Row],[Contraente]],Table1[[Nome/Ragione sociale]:[Checkbox selezionato]],10,FALSE),"-")</f>
        <v>3396557141</v>
      </c>
      <c r="AQ893" s="63" t="str">
        <f>IFERROR(VLOOKUP(Table2[[#This Row],[Contraente]],Table1[[Nome/Ragione sociale]:[Checkbox selezionato]],11,FALSE),"-")</f>
        <v>SI</v>
      </c>
      <c r="AR893" s="63" t="str">
        <f>IFERROR(VLOOKUP(Table2[[#This Row],[Contraente]],Table1[[Nome/Ragione sociale]:[Checkbox selezionato]],12,FALSE),"-")</f>
        <v>SI</v>
      </c>
    </row>
    <row r="894" spans="1:44" ht="30" hidden="1" customHeight="1" x14ac:dyDescent="0.25">
      <c r="A894" s="60" t="str">
        <f>UPPER(LEFT(Table2[[#This Row],[Contraente]],1))</f>
        <v>Q</v>
      </c>
      <c r="B894" s="60" t="s">
        <v>1634</v>
      </c>
      <c r="C894" s="81" t="s">
        <v>167</v>
      </c>
      <c r="D894" s="81" t="s">
        <v>37</v>
      </c>
      <c r="E894" s="86">
        <v>103388875</v>
      </c>
      <c r="F894" s="64">
        <v>42944</v>
      </c>
      <c r="G894" s="64">
        <f>IFERROR(CALCOLASCADENZA(Table2[[#This Row],[Data attivazione]],Table2[[#This Row],[Rateizzazione]],Table2[[#This Row],[Data ultimo pagamento]],Table2[[#This Row],[Data prossima scadenza manuale]]),"-")</f>
        <v>43309</v>
      </c>
      <c r="H894" s="67" t="s">
        <v>30</v>
      </c>
      <c r="I894" s="67" t="s">
        <v>113</v>
      </c>
      <c r="J894" s="33">
        <f>IFERROR(Table2[[#This Row],[Importo annuale]]/(12/VLOOKUP(Table2[[#This Row],[Rateizzazione]],TIPI_RATEIZZAZIONI,2,FALSE)),"-")</f>
        <v>430</v>
      </c>
      <c r="K894" s="88">
        <v>430</v>
      </c>
      <c r="L894" s="88">
        <v>430</v>
      </c>
      <c r="M894" s="67" t="s">
        <v>44</v>
      </c>
      <c r="N894" s="67" t="s">
        <v>51</v>
      </c>
      <c r="O894" s="27" t="s">
        <v>1631</v>
      </c>
      <c r="P894" s="33" t="s">
        <v>23</v>
      </c>
      <c r="Q894" s="60">
        <f>IFERROR(IF(12 / VLOOKUP(Table2[[#This Row],[Rateizzazione]],TIPI_RATEIZZAZIONI,2,FALSE) &gt;=1,  IF(Table2[[#This Row],[Data attivazione]] = "","-",MONTH(Table2[[#This Row],[Data attivazione]])),"-"),"-")</f>
        <v>7</v>
      </c>
      <c r="R8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4" s="67" t="s">
        <v>2</v>
      </c>
      <c r="V894" s="62"/>
      <c r="W894" s="64">
        <v>42944</v>
      </c>
      <c r="X894" s="29">
        <f>DATE(YEAR(Table2[[#This Row],[Data attivazione]])+VLOOKUP(Table2[[#This Row],[Durata]],VALORE_DURATA,2,FALSE),MONTH(Table2[[#This Row],[Data attivazione]]),DAY(Table2[[#This Row],[Data attivazione]]))</f>
        <v>43309</v>
      </c>
      <c r="Y894" s="65"/>
      <c r="Z894" s="61"/>
      <c r="AA894" s="64" t="s">
        <v>85</v>
      </c>
      <c r="AB894" s="29">
        <f>IF(Table2[[#This Row],[Data ultimo versamento temp]]=0/1/1900,"-",Table2[[#This Row],[Data ultimo versamento temp]])</f>
        <v>42933</v>
      </c>
      <c r="AC894" s="29">
        <f t="array" ref="AC894">MAX(IF(TableVersamenti[Polizza]=Table2[[#This Row],[Polizza]],TableVersamenti[Data prevista versamento],"-"))</f>
        <v>42933</v>
      </c>
      <c r="AD894" s="62"/>
      <c r="AE894" s="106">
        <f>DATE(YEAR(Table2[[#This Row],[Data ultimo pagamento]]),MONTH(Table2[[#This Row],[Data ultimo pagamento]]), 1)</f>
        <v>42917</v>
      </c>
      <c r="AF894" s="106">
        <f>DATE(YEAR(Table2[[#This Row],[Data prossima scadenza]]),MONTH(Table2[[#This Row],[Data prossima scadenza]]), 1)</f>
        <v>43282</v>
      </c>
      <c r="AG894" s="33">
        <f>IFERROR(Table2[[#This Row],[Importo annuale]]*VLOOKUP(Table2[[#This Row],[Ramo]],RAMI_POLIZZA,2,FALSE),0)</f>
        <v>49.45</v>
      </c>
      <c r="AH894" s="65" t="s">
        <v>113</v>
      </c>
      <c r="AI894" s="63" t="str">
        <f>IFERROR(VLOOKUP(Table2[[#This Row],[Contraente]],Table1[[Nome/Ragione sociale]:[Checkbox selezionato]],2,FALSE),"-")</f>
        <v>CORTEOLONA</v>
      </c>
      <c r="AJ894" s="63">
        <f>IFERROR(VLOOKUP(Table2[[#This Row],[Contraente]],Table1[[Nome/Ragione sociale]:[Checkbox selezionato]],3,FALSE),"-")</f>
        <v>3396557141</v>
      </c>
      <c r="AK894" s="63" t="str">
        <f>IFERROR(VLOOKUP(Table2[[#This Row],[Contraente]],Table1[[Nome/Ragione sociale]:[Checkbox selezionato]],4,FALSE),"-")</f>
        <v>-</v>
      </c>
      <c r="AL894" s="63" t="str">
        <f>IFERROR(VLOOKUP(Table2[[#This Row],[Contraente]],Table1[[Nome/Ragione sociale]:[Checkbox selezionato]],5,FALSE),"-")</f>
        <v>BENITO</v>
      </c>
      <c r="AM894" s="62">
        <f>IFERROR(VLOOKUP(Table2[[#This Row],[Contraente]],Table1[[Nome/Ragione sociale]:[Checkbox selezionato]],6,FALSE),"-")</f>
        <v>25422</v>
      </c>
      <c r="AN894" s="63" t="str">
        <f>IFERROR(VLOOKUP(Table2[[#This Row],[Contraente]],Table1[[Nome/Ragione sociale]:[Checkbox selezionato]],7,FALSE),"-")</f>
        <v>papies@libero.it</v>
      </c>
      <c r="AO894" s="63">
        <f>IFERROR(VLOOKUP(Table2[[#This Row],[Contraente]],Table1[[Nome/Ragione sociale]:[Checkbox selezionato]],8,FALSE),"-")</f>
        <v>0</v>
      </c>
      <c r="AP894" s="63">
        <f>IFERROR(VLOOKUP(Table2[[#This Row],[Contraente]],Table1[[Nome/Ragione sociale]:[Checkbox selezionato]],10,FALSE),"-")</f>
        <v>3396557141</v>
      </c>
      <c r="AQ894" s="63" t="str">
        <f>IFERROR(VLOOKUP(Table2[[#This Row],[Contraente]],Table1[[Nome/Ragione sociale]:[Checkbox selezionato]],11,FALSE),"-")</f>
        <v>SI</v>
      </c>
      <c r="AR894" s="63" t="str">
        <f>IFERROR(VLOOKUP(Table2[[#This Row],[Contraente]],Table1[[Nome/Ragione sociale]:[Checkbox selezionato]],12,FALSE),"-")</f>
        <v>SI</v>
      </c>
    </row>
    <row r="895" spans="1:44" ht="30" hidden="1" customHeight="1" x14ac:dyDescent="0.25">
      <c r="A895" s="60" t="str">
        <f>UPPER(LEFT(Table2[[#This Row],[Contraente]],1))</f>
        <v>Q</v>
      </c>
      <c r="B895" s="60" t="s">
        <v>1634</v>
      </c>
      <c r="C895" s="81" t="s">
        <v>167</v>
      </c>
      <c r="D895" s="81" t="s">
        <v>37</v>
      </c>
      <c r="E895" s="86">
        <v>104126287</v>
      </c>
      <c r="F895" s="64">
        <v>42278</v>
      </c>
      <c r="G895" s="64">
        <f>IFERROR(CALCOLASCADENZA(Table2[[#This Row],[Data attivazione]],Table2[[#This Row],[Rateizzazione]],Table2[[#This Row],[Data ultimo pagamento]],Table2[[#This Row],[Data prossima scadenza manuale]]),"-")</f>
        <v>42278</v>
      </c>
      <c r="H895" s="67" t="s">
        <v>31</v>
      </c>
      <c r="I895" s="67" t="s">
        <v>1506</v>
      </c>
      <c r="J895" s="33">
        <v>-126.18</v>
      </c>
      <c r="K895" s="88"/>
      <c r="L895" s="88">
        <v>0</v>
      </c>
      <c r="M895" s="67" t="s">
        <v>43</v>
      </c>
      <c r="N895" s="67" t="s">
        <v>52</v>
      </c>
      <c r="O895" s="27" t="s">
        <v>1631</v>
      </c>
      <c r="P895" s="33" t="s">
        <v>24</v>
      </c>
      <c r="Q89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5" s="67" t="s">
        <v>2</v>
      </c>
      <c r="V895" s="62"/>
      <c r="W895" s="64">
        <v>693597</v>
      </c>
      <c r="X895" s="29">
        <f>DATE(YEAR(Table2[[#This Row],[Data attivazione]])+VLOOKUP(Table2[[#This Row],[Durata]],VALORE_DURATA,2,FALSE),MONTH(Table2[[#This Row],[Data attivazione]]),DAY(Table2[[#This Row],[Data attivazione]]))</f>
        <v>693962</v>
      </c>
      <c r="Y895" s="65"/>
      <c r="Z895" s="61"/>
      <c r="AA895" s="64" t="s">
        <v>88</v>
      </c>
      <c r="AB895" s="29" t="str">
        <f>IF(Table2[[#This Row],[Data ultimo versamento temp]]=0/1/1900,"-",Table2[[#This Row],[Data ultimo versamento temp]])</f>
        <v>-</v>
      </c>
      <c r="AC895" s="29">
        <f t="array" ref="AC895">MAX(IF(TableVersamenti[Polizza]=Table2[[#This Row],[Polizza]],TableVersamenti[Data prevista versamento],"-"))</f>
        <v>0</v>
      </c>
      <c r="AD895" s="62"/>
      <c r="AE895" s="106">
        <f>DATE(YEAR(Table2[[#This Row],[Data ultimo pagamento]]),MONTH(Table2[[#This Row],[Data ultimo pagamento]]), 1)</f>
        <v>42278</v>
      </c>
      <c r="AF895" s="106">
        <f>DATE(YEAR(Table2[[#This Row],[Data prossima scadenza]]),MONTH(Table2[[#This Row],[Data prossima scadenza]]), 1)</f>
        <v>42278</v>
      </c>
      <c r="AG895" s="33">
        <f>IFERROR(Table2[[#This Row],[Importo annuale]]*VLOOKUP(Table2[[#This Row],[Ramo]],RAMI_POLIZZA,2,FALSE),0)</f>
        <v>0</v>
      </c>
      <c r="AH895" s="65" t="s">
        <v>113</v>
      </c>
      <c r="AI895" s="63" t="str">
        <f>IFERROR(VLOOKUP(Table2[[#This Row],[Contraente]],Table1[[Nome/Ragione sociale]:[Checkbox selezionato]],2,FALSE),"-")</f>
        <v>CORTEOLONA</v>
      </c>
      <c r="AJ895" s="63">
        <f>IFERROR(VLOOKUP(Table2[[#This Row],[Contraente]],Table1[[Nome/Ragione sociale]:[Checkbox selezionato]],3,FALSE),"-")</f>
        <v>3396557141</v>
      </c>
      <c r="AK895" s="63" t="str">
        <f>IFERROR(VLOOKUP(Table2[[#This Row],[Contraente]],Table1[[Nome/Ragione sociale]:[Checkbox selezionato]],4,FALSE),"-")</f>
        <v>-</v>
      </c>
      <c r="AL895" s="63" t="str">
        <f>IFERROR(VLOOKUP(Table2[[#This Row],[Contraente]],Table1[[Nome/Ragione sociale]:[Checkbox selezionato]],5,FALSE),"-")</f>
        <v>BENITO</v>
      </c>
      <c r="AM895" s="62">
        <f>IFERROR(VLOOKUP(Table2[[#This Row],[Contraente]],Table1[[Nome/Ragione sociale]:[Checkbox selezionato]],6,FALSE),"-")</f>
        <v>25422</v>
      </c>
      <c r="AN895" s="63" t="str">
        <f>IFERROR(VLOOKUP(Table2[[#This Row],[Contraente]],Table1[[Nome/Ragione sociale]:[Checkbox selezionato]],7,FALSE),"-")</f>
        <v>papies@libero.it</v>
      </c>
      <c r="AO895" s="63">
        <f>IFERROR(VLOOKUP(Table2[[#This Row],[Contraente]],Table1[[Nome/Ragione sociale]:[Checkbox selezionato]],8,FALSE),"-")</f>
        <v>0</v>
      </c>
      <c r="AP895" s="63">
        <f>IFERROR(VLOOKUP(Table2[[#This Row],[Contraente]],Table1[[Nome/Ragione sociale]:[Checkbox selezionato]],10,FALSE),"-")</f>
        <v>3396557141</v>
      </c>
      <c r="AQ895" s="63" t="str">
        <f>IFERROR(VLOOKUP(Table2[[#This Row],[Contraente]],Table1[[Nome/Ragione sociale]:[Checkbox selezionato]],11,FALSE),"-")</f>
        <v>SI</v>
      </c>
      <c r="AR895" s="63" t="str">
        <f>IFERROR(VLOOKUP(Table2[[#This Row],[Contraente]],Table1[[Nome/Ragione sociale]:[Checkbox selezionato]],12,FALSE),"-")</f>
        <v>SI</v>
      </c>
    </row>
    <row r="896" spans="1:44" ht="30" hidden="1" customHeight="1" x14ac:dyDescent="0.25">
      <c r="A896" s="60" t="str">
        <f>UPPER(LEFT(Table2[[#This Row],[Contraente]],1))</f>
        <v>Q</v>
      </c>
      <c r="B896" s="60" t="s">
        <v>1634</v>
      </c>
      <c r="C896" s="81" t="s">
        <v>933</v>
      </c>
      <c r="D896" s="81" t="s">
        <v>37</v>
      </c>
      <c r="E896" s="86">
        <v>104877935</v>
      </c>
      <c r="F896" s="64">
        <v>42839</v>
      </c>
      <c r="G896" s="64">
        <f>IFERROR(CALCOLASCADENZA(Table2[[#This Row],[Data attivazione]],Table2[[#This Row],[Rateizzazione]],Table2[[#This Row],[Data ultimo pagamento]],Table2[[#This Row],[Data prossima scadenza manuale]]),"-")</f>
        <v>43009</v>
      </c>
      <c r="H896" s="67" t="s">
        <v>31</v>
      </c>
      <c r="I896" s="67" t="s">
        <v>1507</v>
      </c>
      <c r="J896" s="33">
        <f>IFERROR(Table2[[#This Row],[Importo annuale]]/(12/VLOOKUP(Table2[[#This Row],[Rateizzazione]],TIPI_RATEIZZAZIONI,2,FALSE)),"-")</f>
        <v>388</v>
      </c>
      <c r="K896" s="88">
        <v>388</v>
      </c>
      <c r="L896" s="88">
        <v>776</v>
      </c>
      <c r="M896" s="67" t="s">
        <v>43</v>
      </c>
      <c r="N896" s="67" t="s">
        <v>51</v>
      </c>
      <c r="O896" s="27" t="s">
        <v>1631</v>
      </c>
      <c r="P896" s="33" t="s">
        <v>22</v>
      </c>
      <c r="Q896" s="60">
        <f>IFERROR(IF(12 / VLOOKUP(Table2[[#This Row],[Rateizzazione]],TIPI_RATEIZZAZIONI,2,FALSE) &gt;=1,  IF(Table2[[#This Row],[Data attivazione]] = "","-",MONTH(Table2[[#This Row],[Data attivazione]])),"-"),"-")</f>
        <v>10</v>
      </c>
      <c r="R8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6" s="67" t="s">
        <v>2</v>
      </c>
      <c r="V896" s="62"/>
      <c r="W896" s="64">
        <v>42644</v>
      </c>
      <c r="X896" s="29">
        <f>DATE(YEAR(Table2[[#This Row],[Data attivazione]])+VLOOKUP(Table2[[#This Row],[Durata]],VALORE_DURATA,2,FALSE),MONTH(Table2[[#This Row],[Data attivazione]]),DAY(Table2[[#This Row],[Data attivazione]]))</f>
        <v>43009</v>
      </c>
      <c r="Y896" s="65"/>
      <c r="Z896" s="61"/>
      <c r="AA896" s="64" t="s">
        <v>85</v>
      </c>
      <c r="AB896" s="29" t="str">
        <f>IF(Table2[[#This Row],[Data ultimo versamento temp]]=0/1/1900,"-",Table2[[#This Row],[Data ultimo versamento temp]])</f>
        <v>-</v>
      </c>
      <c r="AC896" s="29">
        <f t="array" ref="AC896">MAX(IF(TableVersamenti[Polizza]=Table2[[#This Row],[Polizza]],TableVersamenti[Data prevista versamento],"-"))</f>
        <v>0</v>
      </c>
      <c r="AD896" s="62"/>
      <c r="AE896" s="106">
        <f>DATE(YEAR(Table2[[#This Row],[Data ultimo pagamento]]),MONTH(Table2[[#This Row],[Data ultimo pagamento]]), 1)</f>
        <v>42826</v>
      </c>
      <c r="AF896" s="106">
        <f>DATE(YEAR(Table2[[#This Row],[Data prossima scadenza]]),MONTH(Table2[[#This Row],[Data prossima scadenza]]), 1)</f>
        <v>43009</v>
      </c>
      <c r="AG896" s="33">
        <f>IFERROR(Table2[[#This Row],[Importo annuale]]*VLOOKUP(Table2[[#This Row],[Ramo]],RAMI_POLIZZA,2,FALSE),0)</f>
        <v>40.351999999999997</v>
      </c>
      <c r="AH896" s="65" t="s">
        <v>113</v>
      </c>
      <c r="AI896" s="63" t="str">
        <f>IFERROR(VLOOKUP(Table2[[#This Row],[Contraente]],Table1[[Nome/Ragione sociale]:[Checkbox selezionato]],2,FALSE),"-")</f>
        <v>CORTEOLONA</v>
      </c>
      <c r="AJ896" s="63">
        <f>IFERROR(VLOOKUP(Table2[[#This Row],[Contraente]],Table1[[Nome/Ragione sociale]:[Checkbox selezionato]],3,FALSE),"-")</f>
        <v>3395009638</v>
      </c>
      <c r="AK896" s="63">
        <f>IFERROR(VLOOKUP(Table2[[#This Row],[Contraente]],Table1[[Nome/Ragione sociale]:[Checkbox selezionato]],4,FALSE),"-")</f>
        <v>0</v>
      </c>
      <c r="AL896" s="63" t="str">
        <f>IFERROR(VLOOKUP(Table2[[#This Row],[Contraente]],Table1[[Nome/Ragione sociale]:[Checkbox selezionato]],5,FALSE),"-")</f>
        <v>DANIELA</v>
      </c>
      <c r="AM896" s="62">
        <f>IFERROR(VLOOKUP(Table2[[#This Row],[Contraente]],Table1[[Nome/Ragione sociale]:[Checkbox selezionato]],6,FALSE),"-")</f>
        <v>26041</v>
      </c>
      <c r="AN896" s="63" t="str">
        <f>IFERROR(VLOOKUP(Table2[[#This Row],[Contraente]],Table1[[Nome/Ragione sociale]:[Checkbox selezionato]],7,FALSE),"-")</f>
        <v>papies@libero.it</v>
      </c>
      <c r="AO896" s="63">
        <f>IFERROR(VLOOKUP(Table2[[#This Row],[Contraente]],Table1[[Nome/Ragione sociale]:[Checkbox selezionato]],8,FALSE),"-")</f>
        <v>0</v>
      </c>
      <c r="AP896" s="63">
        <f>IFERROR(VLOOKUP(Table2[[#This Row],[Contraente]],Table1[[Nome/Ragione sociale]:[Checkbox selezionato]],10,FALSE),"-")</f>
        <v>3395009638</v>
      </c>
      <c r="AQ896" s="63" t="str">
        <f>IFERROR(VLOOKUP(Table2[[#This Row],[Contraente]],Table1[[Nome/Ragione sociale]:[Checkbox selezionato]],11,FALSE),"-")</f>
        <v>SI</v>
      </c>
      <c r="AR896" s="63" t="str">
        <f>IFERROR(VLOOKUP(Table2[[#This Row],[Contraente]],Table1[[Nome/Ragione sociale]:[Checkbox selezionato]],12,FALSE),"-")</f>
        <v>SI</v>
      </c>
    </row>
    <row r="897" spans="1:44" ht="30" hidden="1" customHeight="1" x14ac:dyDescent="0.25">
      <c r="A897" s="60" t="str">
        <f>UPPER(LEFT(Table2[[#This Row],[Contraente]],1))</f>
        <v>Q</v>
      </c>
      <c r="B897" s="60" t="s">
        <v>1634</v>
      </c>
      <c r="C897" s="81" t="s">
        <v>169</v>
      </c>
      <c r="D897" s="81" t="s">
        <v>37</v>
      </c>
      <c r="E897" s="86">
        <v>105424687</v>
      </c>
      <c r="F897" s="64">
        <v>42822</v>
      </c>
      <c r="G897" s="64">
        <f>IFERROR(CALCOLASCADENZA(Table2[[#This Row],[Data attivazione]],Table2[[#This Row],[Rateizzazione]],Table2[[#This Row],[Data ultimo pagamento]],Table2[[#This Row],[Data prossima scadenza manuale]]),"-")</f>
        <v>43182</v>
      </c>
      <c r="H897" s="67" t="s">
        <v>31</v>
      </c>
      <c r="I897" s="67" t="s">
        <v>1508</v>
      </c>
      <c r="J897" s="33">
        <f>IFERROR(Table2[[#This Row],[Importo annuale]]/(12/VLOOKUP(Table2[[#This Row],[Rateizzazione]],TIPI_RATEIZZAZIONI,2,FALSE)),"-")</f>
        <v>600</v>
      </c>
      <c r="K897" s="88">
        <v>600</v>
      </c>
      <c r="L897" s="88">
        <v>600</v>
      </c>
      <c r="M897" s="67" t="s">
        <v>44</v>
      </c>
      <c r="N897" s="67" t="s">
        <v>52</v>
      </c>
      <c r="O897" s="27" t="s">
        <v>1631</v>
      </c>
      <c r="P897" s="33" t="s">
        <v>23</v>
      </c>
      <c r="Q897" s="60">
        <f>IFERROR(IF(12 / VLOOKUP(Table2[[#This Row],[Rateizzazione]],TIPI_RATEIZZAZIONI,2,FALSE) &gt;=1,  IF(Table2[[#This Row],[Data attivazione]] = "","-",MONTH(Table2[[#This Row],[Data attivazione]])),"-"),"-")</f>
        <v>3</v>
      </c>
      <c r="R8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7" s="67" t="s">
        <v>2</v>
      </c>
      <c r="V897" s="62"/>
      <c r="W897" s="64">
        <v>42817</v>
      </c>
      <c r="X897" s="29">
        <f>DATE(YEAR(Table2[[#This Row],[Data attivazione]])+VLOOKUP(Table2[[#This Row],[Durata]],VALORE_DURATA,2,FALSE),MONTH(Table2[[#This Row],[Data attivazione]]),DAY(Table2[[#This Row],[Data attivazione]]))</f>
        <v>43182</v>
      </c>
      <c r="Y897" s="65"/>
      <c r="Z897" s="61"/>
      <c r="AA897" s="64" t="s">
        <v>85</v>
      </c>
      <c r="AB897" s="29" t="str">
        <f>IF(Table2[[#This Row],[Data ultimo versamento temp]]=0/1/1900,"-",Table2[[#This Row],[Data ultimo versamento temp]])</f>
        <v>-</v>
      </c>
      <c r="AC897" s="29">
        <f t="array" ref="AC897">MAX(IF(TableVersamenti[Polizza]=Table2[[#This Row],[Polizza]],TableVersamenti[Data prevista versamento],"-"))</f>
        <v>0</v>
      </c>
      <c r="AD897" s="62"/>
      <c r="AE897" s="106">
        <f>DATE(YEAR(Table2[[#This Row],[Data ultimo pagamento]]),MONTH(Table2[[#This Row],[Data ultimo pagamento]]), 1)</f>
        <v>42795</v>
      </c>
      <c r="AF897" s="106">
        <f>DATE(YEAR(Table2[[#This Row],[Data prossima scadenza]]),MONTH(Table2[[#This Row],[Data prossima scadenza]]), 1)</f>
        <v>43160</v>
      </c>
      <c r="AG897" s="33">
        <f>IFERROR(Table2[[#This Row],[Importo annuale]]*VLOOKUP(Table2[[#This Row],[Ramo]],RAMI_POLIZZA,2,FALSE),0)</f>
        <v>31.2</v>
      </c>
      <c r="AH897" s="65" t="s">
        <v>113</v>
      </c>
      <c r="AI897" s="63" t="str">
        <f>IFERROR(VLOOKUP(Table2[[#This Row],[Contraente]],Table1[[Nome/Ragione sociale]:[Checkbox selezionato]],2,FALSE),"-")</f>
        <v>CORTEOLONA</v>
      </c>
      <c r="AJ897" s="63">
        <f>IFERROR(VLOOKUP(Table2[[#This Row],[Contraente]],Table1[[Nome/Ragione sociale]:[Checkbox selezionato]],3,FALSE),"-")</f>
        <v>3345012240</v>
      </c>
      <c r="AK897" s="63" t="str">
        <f>IFERROR(VLOOKUP(Table2[[#This Row],[Contraente]],Table1[[Nome/Ragione sociale]:[Checkbox selezionato]],4,FALSE),"-")</f>
        <v>-</v>
      </c>
      <c r="AL897" s="63">
        <f>IFERROR(VLOOKUP(Table2[[#This Row],[Contraente]],Table1[[Nome/Ragione sociale]:[Checkbox selezionato]],5,FALSE),"-")</f>
        <v>0</v>
      </c>
      <c r="AM897" s="62">
        <f>IFERROR(VLOOKUP(Table2[[#This Row],[Contraente]],Table1[[Nome/Ragione sociale]:[Checkbox selezionato]],6,FALSE),"-")</f>
        <v>25422</v>
      </c>
      <c r="AN897" s="63" t="str">
        <f>IFERROR(VLOOKUP(Table2[[#This Row],[Contraente]],Table1[[Nome/Ragione sociale]:[Checkbox selezionato]],7,FALSE),"-")</f>
        <v>papies@email.it</v>
      </c>
      <c r="AO897" s="63">
        <f>IFERROR(VLOOKUP(Table2[[#This Row],[Contraente]],Table1[[Nome/Ragione sociale]:[Checkbox selezionato]],8,FALSE),"-")</f>
        <v>0</v>
      </c>
      <c r="AP897" s="63">
        <f>IFERROR(VLOOKUP(Table2[[#This Row],[Contraente]],Table1[[Nome/Ragione sociale]:[Checkbox selezionato]],10,FALSE),"-")</f>
        <v>3345012240</v>
      </c>
      <c r="AQ897" s="63" t="str">
        <f>IFERROR(VLOOKUP(Table2[[#This Row],[Contraente]],Table1[[Nome/Ragione sociale]:[Checkbox selezionato]],11,FALSE),"-")</f>
        <v>SI</v>
      </c>
      <c r="AR897" s="63" t="str">
        <f>IFERROR(VLOOKUP(Table2[[#This Row],[Contraente]],Table1[[Nome/Ragione sociale]:[Checkbox selezionato]],12,FALSE),"-")</f>
        <v>SI</v>
      </c>
    </row>
    <row r="898" spans="1:44" ht="30" hidden="1" customHeight="1" x14ac:dyDescent="0.25">
      <c r="A898" s="60" t="str">
        <f>UPPER(LEFT(Table2[[#This Row],[Contraente]],1))</f>
        <v>Q</v>
      </c>
      <c r="B898" s="60" t="s">
        <v>1634</v>
      </c>
      <c r="C898" s="81" t="s">
        <v>169</v>
      </c>
      <c r="D898" s="81" t="s">
        <v>37</v>
      </c>
      <c r="E898" s="86">
        <v>105424749</v>
      </c>
      <c r="F898" s="64">
        <v>42822</v>
      </c>
      <c r="G898" s="64">
        <f>IFERROR(CALCOLASCADENZA(Table2[[#This Row],[Data attivazione]],Table2[[#This Row],[Rateizzazione]],Table2[[#This Row],[Data ultimo pagamento]],Table2[[#This Row],[Data prossima scadenza manuale]]),"-")</f>
        <v>43182</v>
      </c>
      <c r="H898" s="67" t="s">
        <v>30</v>
      </c>
      <c r="I898" s="67" t="s">
        <v>113</v>
      </c>
      <c r="J898" s="33">
        <f>IFERROR(Table2[[#This Row],[Importo annuale]]/(12/VLOOKUP(Table2[[#This Row],[Rateizzazione]],TIPI_RATEIZZAZIONI,2,FALSE)),"-")</f>
        <v>65</v>
      </c>
      <c r="K898" s="88">
        <v>65</v>
      </c>
      <c r="L898" s="88">
        <v>65</v>
      </c>
      <c r="M898" s="67" t="s">
        <v>44</v>
      </c>
      <c r="N898" s="67" t="s">
        <v>51</v>
      </c>
      <c r="O898" s="27" t="s">
        <v>1631</v>
      </c>
      <c r="P898" s="33" t="s">
        <v>23</v>
      </c>
      <c r="Q898" s="60">
        <f>IFERROR(IF(12 / VLOOKUP(Table2[[#This Row],[Rateizzazione]],TIPI_RATEIZZAZIONI,2,FALSE) &gt;=1,  IF(Table2[[#This Row],[Data attivazione]] = "","-",MONTH(Table2[[#This Row],[Data attivazione]])),"-"),"-")</f>
        <v>3</v>
      </c>
      <c r="R8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8" s="67" t="s">
        <v>2</v>
      </c>
      <c r="V898" s="62"/>
      <c r="W898" s="64">
        <v>42817</v>
      </c>
      <c r="X898" s="29">
        <f>DATE(YEAR(Table2[[#This Row],[Data attivazione]])+VLOOKUP(Table2[[#This Row],[Durata]],VALORE_DURATA,2,FALSE),MONTH(Table2[[#This Row],[Data attivazione]]),DAY(Table2[[#This Row],[Data attivazione]]))</f>
        <v>43182</v>
      </c>
      <c r="Y898" s="65"/>
      <c r="Z898" s="61"/>
      <c r="AA898" s="64" t="s">
        <v>85</v>
      </c>
      <c r="AB898" s="29" t="str">
        <f>IF(Table2[[#This Row],[Data ultimo versamento temp]]=0/1/1900,"-",Table2[[#This Row],[Data ultimo versamento temp]])</f>
        <v>-</v>
      </c>
      <c r="AC898" s="29">
        <f t="array" ref="AC898">MAX(IF(TableVersamenti[Polizza]=Table2[[#This Row],[Polizza]],TableVersamenti[Data prevista versamento],"-"))</f>
        <v>0</v>
      </c>
      <c r="AD898" s="62"/>
      <c r="AE898" s="106">
        <f>DATE(YEAR(Table2[[#This Row],[Data ultimo pagamento]]),MONTH(Table2[[#This Row],[Data ultimo pagamento]]), 1)</f>
        <v>42795</v>
      </c>
      <c r="AF898" s="106">
        <f>DATE(YEAR(Table2[[#This Row],[Data prossima scadenza]]),MONTH(Table2[[#This Row],[Data prossima scadenza]]), 1)</f>
        <v>43160</v>
      </c>
      <c r="AG898" s="33">
        <f>IFERROR(Table2[[#This Row],[Importo annuale]]*VLOOKUP(Table2[[#This Row],[Ramo]],RAMI_POLIZZA,2,FALSE),0)</f>
        <v>7.4750000000000005</v>
      </c>
      <c r="AH898" s="65" t="s">
        <v>113</v>
      </c>
      <c r="AI898" s="63" t="str">
        <f>IFERROR(VLOOKUP(Table2[[#This Row],[Contraente]],Table1[[Nome/Ragione sociale]:[Checkbox selezionato]],2,FALSE),"-")</f>
        <v>CORTEOLONA</v>
      </c>
      <c r="AJ898" s="63">
        <f>IFERROR(VLOOKUP(Table2[[#This Row],[Contraente]],Table1[[Nome/Ragione sociale]:[Checkbox selezionato]],3,FALSE),"-")</f>
        <v>3345012240</v>
      </c>
      <c r="AK898" s="63" t="str">
        <f>IFERROR(VLOOKUP(Table2[[#This Row],[Contraente]],Table1[[Nome/Ragione sociale]:[Checkbox selezionato]],4,FALSE),"-")</f>
        <v>-</v>
      </c>
      <c r="AL898" s="63">
        <f>IFERROR(VLOOKUP(Table2[[#This Row],[Contraente]],Table1[[Nome/Ragione sociale]:[Checkbox selezionato]],5,FALSE),"-")</f>
        <v>0</v>
      </c>
      <c r="AM898" s="62">
        <f>IFERROR(VLOOKUP(Table2[[#This Row],[Contraente]],Table1[[Nome/Ragione sociale]:[Checkbox selezionato]],6,FALSE),"-")</f>
        <v>25422</v>
      </c>
      <c r="AN898" s="63" t="str">
        <f>IFERROR(VLOOKUP(Table2[[#This Row],[Contraente]],Table1[[Nome/Ragione sociale]:[Checkbox selezionato]],7,FALSE),"-")</f>
        <v>papies@email.it</v>
      </c>
      <c r="AO898" s="63">
        <f>IFERROR(VLOOKUP(Table2[[#This Row],[Contraente]],Table1[[Nome/Ragione sociale]:[Checkbox selezionato]],8,FALSE),"-")</f>
        <v>0</v>
      </c>
      <c r="AP898" s="63">
        <f>IFERROR(VLOOKUP(Table2[[#This Row],[Contraente]],Table1[[Nome/Ragione sociale]:[Checkbox selezionato]],10,FALSE),"-")</f>
        <v>3345012240</v>
      </c>
      <c r="AQ898" s="63" t="str">
        <f>IFERROR(VLOOKUP(Table2[[#This Row],[Contraente]],Table1[[Nome/Ragione sociale]:[Checkbox selezionato]],11,FALSE),"-")</f>
        <v>SI</v>
      </c>
      <c r="AR898" s="63" t="str">
        <f>IFERROR(VLOOKUP(Table2[[#This Row],[Contraente]],Table1[[Nome/Ragione sociale]:[Checkbox selezionato]],12,FALSE),"-")</f>
        <v>SI</v>
      </c>
    </row>
    <row r="899" spans="1:44" ht="30" hidden="1" customHeight="1" x14ac:dyDescent="0.25">
      <c r="A899" s="60" t="str">
        <f>UPPER(LEFT(Table2[[#This Row],[Contraente]],1))</f>
        <v>Q</v>
      </c>
      <c r="B899" s="60" t="s">
        <v>1634</v>
      </c>
      <c r="C899" s="81" t="s">
        <v>169</v>
      </c>
      <c r="D899" s="81" t="s">
        <v>38</v>
      </c>
      <c r="E899" s="86">
        <v>7000091537</v>
      </c>
      <c r="F899" s="64">
        <v>42822</v>
      </c>
      <c r="G899" s="64">
        <f>IFERROR(CALCOLASCADENZA(Table2[[#This Row],[Data attivazione]],Table2[[#This Row],[Rateizzazione]],Table2[[#This Row],[Data ultimo pagamento]],Table2[[#This Row],[Data prossima scadenza manuale]]),"-")</f>
        <v>43182</v>
      </c>
      <c r="H899" s="67" t="s">
        <v>30</v>
      </c>
      <c r="I899" s="67" t="s">
        <v>113</v>
      </c>
      <c r="J899" s="33">
        <f>IFERROR(Table2[[#This Row],[Importo annuale]]/(12/VLOOKUP(Table2[[#This Row],[Rateizzazione]],TIPI_RATEIZZAZIONI,2,FALSE)),"-")</f>
        <v>121</v>
      </c>
      <c r="K899" s="88">
        <v>121</v>
      </c>
      <c r="L899" s="88">
        <v>121</v>
      </c>
      <c r="M899" s="67" t="s">
        <v>44</v>
      </c>
      <c r="N899" s="67" t="s">
        <v>52</v>
      </c>
      <c r="O899" s="27" t="s">
        <v>1631</v>
      </c>
      <c r="P899" s="33" t="s">
        <v>23</v>
      </c>
      <c r="Q899" s="60">
        <f>IFERROR(IF(12 / VLOOKUP(Table2[[#This Row],[Rateizzazione]],TIPI_RATEIZZAZIONI,2,FALSE) &gt;=1,  IF(Table2[[#This Row],[Data attivazione]] = "","-",MONTH(Table2[[#This Row],[Data attivazione]])),"-"),"-")</f>
        <v>3</v>
      </c>
      <c r="R8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9" s="67" t="s">
        <v>2</v>
      </c>
      <c r="V899" s="62"/>
      <c r="W899" s="64">
        <v>42817</v>
      </c>
      <c r="X899" s="29">
        <f>DATE(YEAR(Table2[[#This Row],[Data attivazione]])+VLOOKUP(Table2[[#This Row],[Durata]],VALORE_DURATA,2,FALSE),MONTH(Table2[[#This Row],[Data attivazione]]),DAY(Table2[[#This Row],[Data attivazione]]))</f>
        <v>43182</v>
      </c>
      <c r="Y899" s="65"/>
      <c r="Z899" s="61"/>
      <c r="AA899" s="64" t="s">
        <v>85</v>
      </c>
      <c r="AB899" s="29" t="str">
        <f>IF(Table2[[#This Row],[Data ultimo versamento temp]]=0/1/1900,"-",Table2[[#This Row],[Data ultimo versamento temp]])</f>
        <v>-</v>
      </c>
      <c r="AC899" s="29">
        <f t="array" ref="AC899">MAX(IF(TableVersamenti[Polizza]=Table2[[#This Row],[Polizza]],TableVersamenti[Data prevista versamento],"-"))</f>
        <v>0</v>
      </c>
      <c r="AD899" s="62"/>
      <c r="AE899" s="106">
        <f>DATE(YEAR(Table2[[#This Row],[Data ultimo pagamento]]),MONTH(Table2[[#This Row],[Data ultimo pagamento]]), 1)</f>
        <v>42795</v>
      </c>
      <c r="AF899" s="106">
        <f>DATE(YEAR(Table2[[#This Row],[Data prossima scadenza]]),MONTH(Table2[[#This Row],[Data prossima scadenza]]), 1)</f>
        <v>43160</v>
      </c>
      <c r="AG899" s="33">
        <f>IFERROR(Table2[[#This Row],[Importo annuale]]*VLOOKUP(Table2[[#This Row],[Ramo]],RAMI_POLIZZA,2,FALSE),0)</f>
        <v>13.915000000000001</v>
      </c>
      <c r="AH899" s="65" t="s">
        <v>113</v>
      </c>
      <c r="AI899" s="63" t="str">
        <f>IFERROR(VLOOKUP(Table2[[#This Row],[Contraente]],Table1[[Nome/Ragione sociale]:[Checkbox selezionato]],2,FALSE),"-")</f>
        <v>CORTEOLONA</v>
      </c>
      <c r="AJ899" s="63">
        <f>IFERROR(VLOOKUP(Table2[[#This Row],[Contraente]],Table1[[Nome/Ragione sociale]:[Checkbox selezionato]],3,FALSE),"-")</f>
        <v>3345012240</v>
      </c>
      <c r="AK899" s="63" t="str">
        <f>IFERROR(VLOOKUP(Table2[[#This Row],[Contraente]],Table1[[Nome/Ragione sociale]:[Checkbox selezionato]],4,FALSE),"-")</f>
        <v>-</v>
      </c>
      <c r="AL899" s="63">
        <f>IFERROR(VLOOKUP(Table2[[#This Row],[Contraente]],Table1[[Nome/Ragione sociale]:[Checkbox selezionato]],5,FALSE),"-")</f>
        <v>0</v>
      </c>
      <c r="AM899" s="62">
        <f>IFERROR(VLOOKUP(Table2[[#This Row],[Contraente]],Table1[[Nome/Ragione sociale]:[Checkbox selezionato]],6,FALSE),"-")</f>
        <v>25422</v>
      </c>
      <c r="AN899" s="63" t="str">
        <f>IFERROR(VLOOKUP(Table2[[#This Row],[Contraente]],Table1[[Nome/Ragione sociale]:[Checkbox selezionato]],7,FALSE),"-")</f>
        <v>papies@email.it</v>
      </c>
      <c r="AO899" s="63">
        <f>IFERROR(VLOOKUP(Table2[[#This Row],[Contraente]],Table1[[Nome/Ragione sociale]:[Checkbox selezionato]],8,FALSE),"-")</f>
        <v>0</v>
      </c>
      <c r="AP899" s="63">
        <f>IFERROR(VLOOKUP(Table2[[#This Row],[Contraente]],Table1[[Nome/Ragione sociale]:[Checkbox selezionato]],10,FALSE),"-")</f>
        <v>3345012240</v>
      </c>
      <c r="AQ899" s="63" t="str">
        <f>IFERROR(VLOOKUP(Table2[[#This Row],[Contraente]],Table1[[Nome/Ragione sociale]:[Checkbox selezionato]],11,FALSE),"-")</f>
        <v>SI</v>
      </c>
      <c r="AR899" s="63" t="str">
        <f>IFERROR(VLOOKUP(Table2[[#This Row],[Contraente]],Table1[[Nome/Ragione sociale]:[Checkbox selezionato]],12,FALSE),"-")</f>
        <v>SI</v>
      </c>
    </row>
    <row r="900" spans="1:44" ht="30" hidden="1" customHeight="1" x14ac:dyDescent="0.25">
      <c r="A900" s="60" t="str">
        <f>UPPER(LEFT(Table2[[#This Row],[Contraente]],1))</f>
        <v>Q</v>
      </c>
      <c r="B900" s="60" t="s">
        <v>1634</v>
      </c>
      <c r="C900" s="81" t="s">
        <v>169</v>
      </c>
      <c r="D900" s="81" t="s">
        <v>37</v>
      </c>
      <c r="E900" s="86">
        <v>105868835</v>
      </c>
      <c r="F900" s="64">
        <v>42572</v>
      </c>
      <c r="G900" s="64">
        <f>IFERROR(CALCOLASCADENZA(Table2[[#This Row],[Data attivazione]],Table2[[#This Row],[Rateizzazione]],Table2[[#This Row],[Data ultimo pagamento]],Table2[[#This Row],[Data prossima scadenza manuale]]),"-")</f>
        <v>42944</v>
      </c>
      <c r="H900" s="67" t="s">
        <v>30</v>
      </c>
      <c r="I900" s="67" t="s">
        <v>113</v>
      </c>
      <c r="J900" s="33">
        <f>IFERROR(Table2[[#This Row],[Importo annuale]]/(12/VLOOKUP(Table2[[#This Row],[Rateizzazione]],TIPI_RATEIZZAZIONI,2,FALSE)),"-")</f>
        <v>270</v>
      </c>
      <c r="K900" s="88"/>
      <c r="L900" s="88">
        <v>270</v>
      </c>
      <c r="M900" s="67" t="s">
        <v>44</v>
      </c>
      <c r="N900" s="67" t="s">
        <v>51</v>
      </c>
      <c r="O900" s="27" t="s">
        <v>1631</v>
      </c>
      <c r="P900" s="33" t="s">
        <v>23</v>
      </c>
      <c r="Q900" s="60">
        <f>IFERROR(IF(12 / VLOOKUP(Table2[[#This Row],[Rateizzazione]],TIPI_RATEIZZAZIONI,2,FALSE) &gt;=1,  IF(Table2[[#This Row],[Data attivazione]] = "","-",MONTH(Table2[[#This Row],[Data attivazione]])),"-"),"-")</f>
        <v>7</v>
      </c>
      <c r="R9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0" s="67" t="s">
        <v>2</v>
      </c>
      <c r="V900" s="62"/>
      <c r="W900" s="64">
        <v>42579</v>
      </c>
      <c r="X900" s="29">
        <f>DATE(YEAR(Table2[[#This Row],[Data attivazione]])+VLOOKUP(Table2[[#This Row],[Durata]],VALORE_DURATA,2,FALSE),MONTH(Table2[[#This Row],[Data attivazione]]),DAY(Table2[[#This Row],[Data attivazione]]))</f>
        <v>42944</v>
      </c>
      <c r="Y900" s="65"/>
      <c r="Z900" s="61"/>
      <c r="AA900" s="64" t="s">
        <v>85</v>
      </c>
      <c r="AB900" s="29" t="str">
        <f>IF(Table2[[#This Row],[Data ultimo versamento temp]]=0/1/1900,"-",Table2[[#This Row],[Data ultimo versamento temp]])</f>
        <v>-</v>
      </c>
      <c r="AC900" s="29">
        <f t="array" ref="AC900">MAX(IF(TableVersamenti[Polizza]=Table2[[#This Row],[Polizza]],TableVersamenti[Data prevista versamento],"-"))</f>
        <v>0</v>
      </c>
      <c r="AD900" s="62"/>
      <c r="AE900" s="106">
        <f>DATE(YEAR(Table2[[#This Row],[Data ultimo pagamento]]),MONTH(Table2[[#This Row],[Data ultimo pagamento]]), 1)</f>
        <v>42552</v>
      </c>
      <c r="AF900" s="106">
        <f>DATE(YEAR(Table2[[#This Row],[Data prossima scadenza]]),MONTH(Table2[[#This Row],[Data prossima scadenza]]), 1)</f>
        <v>42917</v>
      </c>
      <c r="AG900" s="33">
        <f>IFERROR(Table2[[#This Row],[Importo annuale]]*VLOOKUP(Table2[[#This Row],[Ramo]],RAMI_POLIZZA,2,FALSE),0)</f>
        <v>31.05</v>
      </c>
      <c r="AH900" s="65" t="s">
        <v>113</v>
      </c>
      <c r="AI900" s="63" t="str">
        <f>IFERROR(VLOOKUP(Table2[[#This Row],[Contraente]],Table1[[Nome/Ragione sociale]:[Checkbox selezionato]],2,FALSE),"-")</f>
        <v>CORTEOLONA</v>
      </c>
      <c r="AJ900" s="63">
        <f>IFERROR(VLOOKUP(Table2[[#This Row],[Contraente]],Table1[[Nome/Ragione sociale]:[Checkbox selezionato]],3,FALSE),"-")</f>
        <v>3345012240</v>
      </c>
      <c r="AK900" s="63" t="str">
        <f>IFERROR(VLOOKUP(Table2[[#This Row],[Contraente]],Table1[[Nome/Ragione sociale]:[Checkbox selezionato]],4,FALSE),"-")</f>
        <v>-</v>
      </c>
      <c r="AL900" s="63">
        <f>IFERROR(VLOOKUP(Table2[[#This Row],[Contraente]],Table1[[Nome/Ragione sociale]:[Checkbox selezionato]],5,FALSE),"-")</f>
        <v>0</v>
      </c>
      <c r="AM900" s="62">
        <f>IFERROR(VLOOKUP(Table2[[#This Row],[Contraente]],Table1[[Nome/Ragione sociale]:[Checkbox selezionato]],6,FALSE),"-")</f>
        <v>25422</v>
      </c>
      <c r="AN900" s="63" t="str">
        <f>IFERROR(VLOOKUP(Table2[[#This Row],[Contraente]],Table1[[Nome/Ragione sociale]:[Checkbox selezionato]],7,FALSE),"-")</f>
        <v>papies@email.it</v>
      </c>
      <c r="AO900" s="63">
        <f>IFERROR(VLOOKUP(Table2[[#This Row],[Contraente]],Table1[[Nome/Ragione sociale]:[Checkbox selezionato]],8,FALSE),"-")</f>
        <v>0</v>
      </c>
      <c r="AP900" s="63">
        <f>IFERROR(VLOOKUP(Table2[[#This Row],[Contraente]],Table1[[Nome/Ragione sociale]:[Checkbox selezionato]],10,FALSE),"-")</f>
        <v>3345012240</v>
      </c>
      <c r="AQ900" s="63" t="str">
        <f>IFERROR(VLOOKUP(Table2[[#This Row],[Contraente]],Table1[[Nome/Ragione sociale]:[Checkbox selezionato]],11,FALSE),"-")</f>
        <v>SI</v>
      </c>
      <c r="AR900" s="63" t="str">
        <f>IFERROR(VLOOKUP(Table2[[#This Row],[Contraente]],Table1[[Nome/Ragione sociale]:[Checkbox selezionato]],12,FALSE),"-")</f>
        <v>SI</v>
      </c>
    </row>
    <row r="901" spans="1:44" ht="30" hidden="1" customHeight="1" x14ac:dyDescent="0.25">
      <c r="A901" s="60" t="str">
        <f>UPPER(LEFT(Table2[[#This Row],[Contraente]],1))</f>
        <v>Q</v>
      </c>
      <c r="B901" s="60" t="s">
        <v>1634</v>
      </c>
      <c r="C901" s="81" t="s">
        <v>169</v>
      </c>
      <c r="D901" s="81" t="s">
        <v>37</v>
      </c>
      <c r="E901" s="86">
        <v>104690539</v>
      </c>
      <c r="F901" s="64">
        <v>42367</v>
      </c>
      <c r="G901" s="64" t="str">
        <f>IFERROR(CALCOLASCADENZA(Table2[[#This Row],[Data attivazione]],Table2[[#This Row],[Rateizzazione]],Table2[[#This Row],[Data ultimo pagamento]],Table2[[#This Row],[Data prossima scadenza manuale]]),"-")</f>
        <v>-</v>
      </c>
      <c r="H901" s="67" t="s">
        <v>31</v>
      </c>
      <c r="I901" s="67" t="s">
        <v>1509</v>
      </c>
      <c r="J901" s="33">
        <v>0</v>
      </c>
      <c r="K901" s="88"/>
      <c r="L901" s="88">
        <v>0</v>
      </c>
      <c r="M901" s="67" t="s">
        <v>44</v>
      </c>
      <c r="N901" s="67" t="s">
        <v>52</v>
      </c>
      <c r="O901" s="27" t="s">
        <v>1631</v>
      </c>
      <c r="P901" s="33" t="s">
        <v>24</v>
      </c>
      <c r="Q90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1" s="67" t="s">
        <v>2</v>
      </c>
      <c r="V901" s="62"/>
      <c r="W901" s="64" t="e">
        <v>#VALUE!</v>
      </c>
      <c r="X90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01" s="65"/>
      <c r="Z901" s="61"/>
      <c r="AA901" s="64" t="s">
        <v>85</v>
      </c>
      <c r="AB901" s="29" t="str">
        <f>IF(Table2[[#This Row],[Data ultimo versamento temp]]=0/1/1900,"-",Table2[[#This Row],[Data ultimo versamento temp]])</f>
        <v>-</v>
      </c>
      <c r="AC901" s="29">
        <f t="array" ref="AC901">MAX(IF(TableVersamenti[Polizza]=Table2[[#This Row],[Polizza]],TableVersamenti[Data prevista versamento],"-"))</f>
        <v>0</v>
      </c>
      <c r="AD901" s="62"/>
      <c r="AE901" s="106">
        <f>DATE(YEAR(Table2[[#This Row],[Data ultimo pagamento]]),MONTH(Table2[[#This Row],[Data ultimo pagamento]]), 1)</f>
        <v>42339</v>
      </c>
      <c r="AF901" s="106" t="e">
        <f>DATE(YEAR(Table2[[#This Row],[Data prossima scadenza]]),MONTH(Table2[[#This Row],[Data prossima scadenza]]), 1)</f>
        <v>#VALUE!</v>
      </c>
      <c r="AG901" s="33">
        <f>IFERROR(Table2[[#This Row],[Importo annuale]]*VLOOKUP(Table2[[#This Row],[Ramo]],RAMI_POLIZZA,2,FALSE),0)</f>
        <v>0</v>
      </c>
      <c r="AH901" s="65" t="s">
        <v>113</v>
      </c>
      <c r="AI901" s="63" t="str">
        <f>IFERROR(VLOOKUP(Table2[[#This Row],[Contraente]],Table1[[Nome/Ragione sociale]:[Checkbox selezionato]],2,FALSE),"-")</f>
        <v>CORTEOLONA</v>
      </c>
      <c r="AJ901" s="63">
        <f>IFERROR(VLOOKUP(Table2[[#This Row],[Contraente]],Table1[[Nome/Ragione sociale]:[Checkbox selezionato]],3,FALSE),"-")</f>
        <v>3345012240</v>
      </c>
      <c r="AK901" s="63" t="str">
        <f>IFERROR(VLOOKUP(Table2[[#This Row],[Contraente]],Table1[[Nome/Ragione sociale]:[Checkbox selezionato]],4,FALSE),"-")</f>
        <v>-</v>
      </c>
      <c r="AL901" s="63">
        <f>IFERROR(VLOOKUP(Table2[[#This Row],[Contraente]],Table1[[Nome/Ragione sociale]:[Checkbox selezionato]],5,FALSE),"-")</f>
        <v>0</v>
      </c>
      <c r="AM901" s="62">
        <f>IFERROR(VLOOKUP(Table2[[#This Row],[Contraente]],Table1[[Nome/Ragione sociale]:[Checkbox selezionato]],6,FALSE),"-")</f>
        <v>25422</v>
      </c>
      <c r="AN901" s="63" t="str">
        <f>IFERROR(VLOOKUP(Table2[[#This Row],[Contraente]],Table1[[Nome/Ragione sociale]:[Checkbox selezionato]],7,FALSE),"-")</f>
        <v>papies@email.it</v>
      </c>
      <c r="AO901" s="63">
        <f>IFERROR(VLOOKUP(Table2[[#This Row],[Contraente]],Table1[[Nome/Ragione sociale]:[Checkbox selezionato]],8,FALSE),"-")</f>
        <v>0</v>
      </c>
      <c r="AP901" s="63">
        <f>IFERROR(VLOOKUP(Table2[[#This Row],[Contraente]],Table1[[Nome/Ragione sociale]:[Checkbox selezionato]],10,FALSE),"-")</f>
        <v>3345012240</v>
      </c>
      <c r="AQ901" s="63" t="str">
        <f>IFERROR(VLOOKUP(Table2[[#This Row],[Contraente]],Table1[[Nome/Ragione sociale]:[Checkbox selezionato]],11,FALSE),"-")</f>
        <v>SI</v>
      </c>
      <c r="AR901" s="63" t="str">
        <f>IFERROR(VLOOKUP(Table2[[#This Row],[Contraente]],Table1[[Nome/Ragione sociale]:[Checkbox selezionato]],12,FALSE),"-")</f>
        <v>SI</v>
      </c>
    </row>
    <row r="902" spans="1:44" ht="30" hidden="1" customHeight="1" x14ac:dyDescent="0.25">
      <c r="A902" s="60" t="str">
        <f>UPPER(LEFT(Table2[[#This Row],[Contraente]],1))</f>
        <v>R</v>
      </c>
      <c r="B902" s="60" t="s">
        <v>1634</v>
      </c>
      <c r="C902" s="81" t="s">
        <v>935</v>
      </c>
      <c r="D902" s="81" t="s">
        <v>37</v>
      </c>
      <c r="E902" s="86">
        <v>104584425</v>
      </c>
      <c r="F902" s="64">
        <v>42919</v>
      </c>
      <c r="G902" s="64">
        <f>IFERROR(CALCOLASCADENZA(Table2[[#This Row],[Data attivazione]],Table2[[#This Row],[Rateizzazione]],Table2[[#This Row],[Data ultimo pagamento]],Table2[[#This Row],[Data prossima scadenza manuale]]),"-")</f>
        <v>43080</v>
      </c>
      <c r="H902" s="67" t="s">
        <v>31</v>
      </c>
      <c r="I902" s="67" t="s">
        <v>1510</v>
      </c>
      <c r="J902" s="33">
        <f>IFERROR(Table2[[#This Row],[Importo annuale]]/(12/VLOOKUP(Table2[[#This Row],[Rateizzazione]],TIPI_RATEIZZAZIONI,2,FALSE)),"-")</f>
        <v>217.73</v>
      </c>
      <c r="K902" s="88">
        <v>217.73</v>
      </c>
      <c r="L902" s="88">
        <v>435.46</v>
      </c>
      <c r="M902" s="67" t="s">
        <v>43</v>
      </c>
      <c r="N902" s="67" t="s">
        <v>51</v>
      </c>
      <c r="O902" s="27" t="s">
        <v>1631</v>
      </c>
      <c r="P902" s="33" t="s">
        <v>22</v>
      </c>
      <c r="Q902" s="60">
        <f>IFERROR(IF(12 / VLOOKUP(Table2[[#This Row],[Rateizzazione]],TIPI_RATEIZZAZIONI,2,FALSE) &gt;=1,  IF(Table2[[#This Row],[Data attivazione]] = "","-",MONTH(Table2[[#This Row],[Data attivazione]])),"-"),"-")</f>
        <v>6</v>
      </c>
      <c r="R9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2" s="67" t="s">
        <v>2</v>
      </c>
      <c r="V902" s="62"/>
      <c r="W902" s="64">
        <v>42897</v>
      </c>
      <c r="X902" s="29">
        <f>DATE(YEAR(Table2[[#This Row],[Data attivazione]])+VLOOKUP(Table2[[#This Row],[Durata]],VALORE_DURATA,2,FALSE),MONTH(Table2[[#This Row],[Data attivazione]]),DAY(Table2[[#This Row],[Data attivazione]]))</f>
        <v>43262</v>
      </c>
      <c r="Y902" s="65"/>
      <c r="Z902" s="61"/>
      <c r="AA902" s="64" t="s">
        <v>85</v>
      </c>
      <c r="AB902" s="29">
        <f>IF(Table2[[#This Row],[Data ultimo versamento temp]]=0/1/1900,"-",Table2[[#This Row],[Data ultimo versamento temp]])</f>
        <v>42922</v>
      </c>
      <c r="AC902" s="29">
        <f t="array" ref="AC902">MAX(IF(TableVersamenti[Polizza]=Table2[[#This Row],[Polizza]],TableVersamenti[Data prevista versamento],"-"))</f>
        <v>42922</v>
      </c>
      <c r="AD902" s="62"/>
      <c r="AE902" s="106">
        <f>DATE(YEAR(Table2[[#This Row],[Data ultimo pagamento]]),MONTH(Table2[[#This Row],[Data ultimo pagamento]]), 1)</f>
        <v>42917</v>
      </c>
      <c r="AF902" s="106">
        <f>DATE(YEAR(Table2[[#This Row],[Data prossima scadenza]]),MONTH(Table2[[#This Row],[Data prossima scadenza]]), 1)</f>
        <v>43070</v>
      </c>
      <c r="AG902" s="33">
        <f>IFERROR(Table2[[#This Row],[Importo annuale]]*VLOOKUP(Table2[[#This Row],[Ramo]],RAMI_POLIZZA,2,FALSE),0)</f>
        <v>22.643919999999998</v>
      </c>
      <c r="AH902" s="65" t="s">
        <v>113</v>
      </c>
      <c r="AI902" s="63" t="str">
        <f>IFERROR(VLOOKUP(Table2[[#This Row],[Contraente]],Table1[[Nome/Ragione sociale]:[Checkbox selezionato]],2,FALSE),"-")</f>
        <v>CORTEOLONA</v>
      </c>
      <c r="AJ902" s="63" t="str">
        <f>IFERROR(VLOOKUP(Table2[[#This Row],[Contraente]],Table1[[Nome/Ragione sociale]:[Checkbox selezionato]],3,FALSE),"-")</f>
        <v>.0382969837</v>
      </c>
      <c r="AK902" s="63">
        <f>IFERROR(VLOOKUP(Table2[[#This Row],[Contraente]],Table1[[Nome/Ragione sociale]:[Checkbox selezionato]],4,FALSE),"-")</f>
        <v>0</v>
      </c>
      <c r="AL902" s="63" t="str">
        <f>IFERROR(VLOOKUP(Table2[[#This Row],[Contraente]],Table1[[Nome/Ragione sociale]:[Checkbox selezionato]],5,FALSE),"-")</f>
        <v>FEDERICA</v>
      </c>
      <c r="AM902" s="62">
        <f>IFERROR(VLOOKUP(Table2[[#This Row],[Contraente]],Table1[[Nome/Ragione sociale]:[Checkbox selezionato]],6,FALSE),"-")</f>
        <v>28533</v>
      </c>
      <c r="AN902" s="63" t="str">
        <f>IFERROR(VLOOKUP(Table2[[#This Row],[Contraente]],Table1[[Nome/Ragione sociale]:[Checkbox selezionato]],7,FALSE),"-")</f>
        <v>papies@libero.it</v>
      </c>
      <c r="AO902" s="63">
        <f>IFERROR(VLOOKUP(Table2[[#This Row],[Contraente]],Table1[[Nome/Ragione sociale]:[Checkbox selezionato]],8,FALSE),"-")</f>
        <v>0</v>
      </c>
      <c r="AP902" s="63" t="str">
        <f>IFERROR(VLOOKUP(Table2[[#This Row],[Contraente]],Table1[[Nome/Ragione sociale]:[Checkbox selezionato]],10,FALSE),"-")</f>
        <v>.0382969837</v>
      </c>
      <c r="AQ902" s="63" t="str">
        <f>IFERROR(VLOOKUP(Table2[[#This Row],[Contraente]],Table1[[Nome/Ragione sociale]:[Checkbox selezionato]],11,FALSE),"-")</f>
        <v>SI</v>
      </c>
      <c r="AR902" s="63" t="str">
        <f>IFERROR(VLOOKUP(Table2[[#This Row],[Contraente]],Table1[[Nome/Ragione sociale]:[Checkbox selezionato]],12,FALSE),"-")</f>
        <v>SI</v>
      </c>
    </row>
    <row r="903" spans="1:44" ht="30" hidden="1" customHeight="1" x14ac:dyDescent="0.25">
      <c r="A903" s="60" t="str">
        <f>UPPER(LEFT(Table2[[#This Row],[Contraente]],1))</f>
        <v>R</v>
      </c>
      <c r="B903" s="60" t="s">
        <v>1634</v>
      </c>
      <c r="C903" s="81" t="s">
        <v>937</v>
      </c>
      <c r="D903" s="81" t="s">
        <v>37</v>
      </c>
      <c r="E903" s="86">
        <v>103061985</v>
      </c>
      <c r="F903" s="64">
        <v>42872</v>
      </c>
      <c r="G903" s="64">
        <f>IFERROR(CALCOLASCADENZA(Table2[[#This Row],[Data attivazione]],Table2[[#This Row],[Rateizzazione]],Table2[[#This Row],[Data ultimo pagamento]],Table2[[#This Row],[Data prossima scadenza manuale]]),"-")</f>
        <v>43235</v>
      </c>
      <c r="H903" s="67" t="s">
        <v>30</v>
      </c>
      <c r="I903" s="67" t="s">
        <v>113</v>
      </c>
      <c r="J903" s="33">
        <f>IFERROR(Table2[[#This Row],[Importo annuale]]/(12/VLOOKUP(Table2[[#This Row],[Rateizzazione]],TIPI_RATEIZZAZIONI,2,FALSE)),"-")</f>
        <v>124</v>
      </c>
      <c r="K903" s="88">
        <v>124</v>
      </c>
      <c r="L903" s="88">
        <v>124</v>
      </c>
      <c r="M903" s="67" t="s">
        <v>44</v>
      </c>
      <c r="N903" s="67" t="s">
        <v>51</v>
      </c>
      <c r="O903" s="27" t="s">
        <v>1631</v>
      </c>
      <c r="P903" s="33" t="s">
        <v>23</v>
      </c>
      <c r="Q903" s="60">
        <f>IFERROR(IF(12 / VLOOKUP(Table2[[#This Row],[Rateizzazione]],TIPI_RATEIZZAZIONI,2,FALSE) &gt;=1,  IF(Table2[[#This Row],[Data attivazione]] = "","-",MONTH(Table2[[#This Row],[Data attivazione]])),"-"),"-")</f>
        <v>5</v>
      </c>
      <c r="R9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3" s="67" t="s">
        <v>2</v>
      </c>
      <c r="V903" s="62"/>
      <c r="W903" s="64">
        <v>42870</v>
      </c>
      <c r="X903" s="29">
        <f>DATE(YEAR(Table2[[#This Row],[Data attivazione]])+VLOOKUP(Table2[[#This Row],[Durata]],VALORE_DURATA,2,FALSE),MONTH(Table2[[#This Row],[Data attivazione]]),DAY(Table2[[#This Row],[Data attivazione]]))</f>
        <v>43235</v>
      </c>
      <c r="Y903" s="65"/>
      <c r="Z903" s="61"/>
      <c r="AA903" s="64" t="s">
        <v>85</v>
      </c>
      <c r="AB903" s="29" t="str">
        <f>IF(Table2[[#This Row],[Data ultimo versamento temp]]=0/1/1900,"-",Table2[[#This Row],[Data ultimo versamento temp]])</f>
        <v>-</v>
      </c>
      <c r="AC903" s="29">
        <f t="array" ref="AC903">MAX(IF(TableVersamenti[Polizza]=Table2[[#This Row],[Polizza]],TableVersamenti[Data prevista versamento],"-"))</f>
        <v>0</v>
      </c>
      <c r="AD903" s="62"/>
      <c r="AE903" s="106">
        <f>DATE(YEAR(Table2[[#This Row],[Data ultimo pagamento]]),MONTH(Table2[[#This Row],[Data ultimo pagamento]]), 1)</f>
        <v>42856</v>
      </c>
      <c r="AF903" s="106">
        <f>DATE(YEAR(Table2[[#This Row],[Data prossima scadenza]]),MONTH(Table2[[#This Row],[Data prossima scadenza]]), 1)</f>
        <v>43221</v>
      </c>
      <c r="AG903" s="33">
        <f>IFERROR(Table2[[#This Row],[Importo annuale]]*VLOOKUP(Table2[[#This Row],[Ramo]],RAMI_POLIZZA,2,FALSE),0)</f>
        <v>14.26</v>
      </c>
      <c r="AH903" s="65" t="s">
        <v>113</v>
      </c>
      <c r="AI903" s="63" t="str">
        <f>IFERROR(VLOOKUP(Table2[[#This Row],[Contraente]],Table1[[Nome/Ragione sociale]:[Checkbox selezionato]],2,FALSE),"-")</f>
        <v>BELGIOIOSO</v>
      </c>
      <c r="AJ903" s="63">
        <f>IFERROR(VLOOKUP(Table2[[#This Row],[Contraente]],Table1[[Nome/Ragione sociale]:[Checkbox selezionato]],3,FALSE),"-")</f>
        <v>0</v>
      </c>
      <c r="AK903" s="63">
        <f>IFERROR(VLOOKUP(Table2[[#This Row],[Contraente]],Table1[[Nome/Ragione sociale]:[Checkbox selezionato]],4,FALSE),"-")</f>
        <v>0</v>
      </c>
      <c r="AL903" s="63" t="str">
        <f>IFERROR(VLOOKUP(Table2[[#This Row],[Contraente]],Table1[[Nome/Ragione sociale]:[Checkbox selezionato]],5,FALSE),"-")</f>
        <v>FRANCESCO RAGNI</v>
      </c>
      <c r="AM903" s="62">
        <f>IFERROR(VLOOKUP(Table2[[#This Row],[Contraente]],Table1[[Nome/Ragione sociale]:[Checkbox selezionato]],6,FALSE),"-")</f>
        <v>24291</v>
      </c>
      <c r="AN903" s="63" t="str">
        <f>IFERROR(VLOOKUP(Table2[[#This Row],[Contraente]],Table1[[Nome/Ragione sociale]:[Checkbox selezionato]],7,FALSE),"-")</f>
        <v>papies@libero.it</v>
      </c>
      <c r="AO903" s="63">
        <f>IFERROR(VLOOKUP(Table2[[#This Row],[Contraente]],Table1[[Nome/Ragione sociale]:[Checkbox selezionato]],8,FALSE),"-")</f>
        <v>0</v>
      </c>
      <c r="AP903" s="63">
        <f>IFERROR(VLOOKUP(Table2[[#This Row],[Contraente]],Table1[[Nome/Ragione sociale]:[Checkbox selezionato]],10,FALSE),"-")</f>
        <v>0</v>
      </c>
      <c r="AQ903" s="63" t="str">
        <f>IFERROR(VLOOKUP(Table2[[#This Row],[Contraente]],Table1[[Nome/Ragione sociale]:[Checkbox selezionato]],11,FALSE),"-")</f>
        <v>SI</v>
      </c>
      <c r="AR903" s="63" t="str">
        <f>IFERROR(VLOOKUP(Table2[[#This Row],[Contraente]],Table1[[Nome/Ragione sociale]:[Checkbox selezionato]],12,FALSE),"-")</f>
        <v>SI</v>
      </c>
    </row>
    <row r="904" spans="1:44" ht="30" hidden="1" customHeight="1" x14ac:dyDescent="0.25">
      <c r="A904" s="60" t="str">
        <f>UPPER(LEFT(Table2[[#This Row],[Contraente]],1))</f>
        <v>R</v>
      </c>
      <c r="B904" s="60" t="s">
        <v>1634</v>
      </c>
      <c r="C904" s="81" t="s">
        <v>937</v>
      </c>
      <c r="D904" s="81" t="s">
        <v>37</v>
      </c>
      <c r="E904" s="86">
        <v>106863460</v>
      </c>
      <c r="F904" s="64">
        <v>42872</v>
      </c>
      <c r="G904" s="64">
        <f>IFERROR(CALCOLASCADENZA(Table2[[#This Row],[Data attivazione]],Table2[[#This Row],[Rateizzazione]],Table2[[#This Row],[Data ultimo pagamento]],Table2[[#This Row],[Data prossima scadenza manuale]]),"-")</f>
        <v>43239</v>
      </c>
      <c r="H904" s="67" t="s">
        <v>30</v>
      </c>
      <c r="I904" s="67" t="s">
        <v>113</v>
      </c>
      <c r="J904" s="33">
        <f>IFERROR(Table2[[#This Row],[Importo annuale]]/(12/VLOOKUP(Table2[[#This Row],[Rateizzazione]],TIPI_RATEIZZAZIONI,2,FALSE)),"-")</f>
        <v>72</v>
      </c>
      <c r="K904" s="88">
        <v>72</v>
      </c>
      <c r="L904" s="88">
        <v>72</v>
      </c>
      <c r="M904" s="67" t="s">
        <v>44</v>
      </c>
      <c r="N904" s="67" t="s">
        <v>51</v>
      </c>
      <c r="O904" s="27" t="s">
        <v>1631</v>
      </c>
      <c r="P904" s="33" t="s">
        <v>23</v>
      </c>
      <c r="Q904" s="60">
        <f>IFERROR(IF(12 / VLOOKUP(Table2[[#This Row],[Rateizzazione]],TIPI_RATEIZZAZIONI,2,FALSE) &gt;=1,  IF(Table2[[#This Row],[Data attivazione]] = "","-",MONTH(Table2[[#This Row],[Data attivazione]])),"-"),"-")</f>
        <v>5</v>
      </c>
      <c r="R9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4" s="67" t="s">
        <v>2</v>
      </c>
      <c r="V904" s="62"/>
      <c r="W904" s="64">
        <v>42874</v>
      </c>
      <c r="X904" s="29">
        <f>DATE(YEAR(Table2[[#This Row],[Data attivazione]])+VLOOKUP(Table2[[#This Row],[Durata]],VALORE_DURATA,2,FALSE),MONTH(Table2[[#This Row],[Data attivazione]]),DAY(Table2[[#This Row],[Data attivazione]]))</f>
        <v>43239</v>
      </c>
      <c r="Y904" s="65"/>
      <c r="Z904" s="61"/>
      <c r="AA904" s="64" t="s">
        <v>85</v>
      </c>
      <c r="AB904" s="29" t="str">
        <f>IF(Table2[[#This Row],[Data ultimo versamento temp]]=0/1/1900,"-",Table2[[#This Row],[Data ultimo versamento temp]])</f>
        <v>-</v>
      </c>
      <c r="AC904" s="29">
        <f t="array" ref="AC904">MAX(IF(TableVersamenti[Polizza]=Table2[[#This Row],[Polizza]],TableVersamenti[Data prevista versamento],"-"))</f>
        <v>0</v>
      </c>
      <c r="AD904" s="62"/>
      <c r="AE904" s="106">
        <f>DATE(YEAR(Table2[[#This Row],[Data ultimo pagamento]]),MONTH(Table2[[#This Row],[Data ultimo pagamento]]), 1)</f>
        <v>42856</v>
      </c>
      <c r="AF904" s="106">
        <f>DATE(YEAR(Table2[[#This Row],[Data prossima scadenza]]),MONTH(Table2[[#This Row],[Data prossima scadenza]]), 1)</f>
        <v>43221</v>
      </c>
      <c r="AG904" s="33">
        <f>IFERROR(Table2[[#This Row],[Importo annuale]]*VLOOKUP(Table2[[#This Row],[Ramo]],RAMI_POLIZZA,2,FALSE),0)</f>
        <v>8.2800000000000011</v>
      </c>
      <c r="AH904" s="65" t="s">
        <v>113</v>
      </c>
      <c r="AI904" s="63" t="str">
        <f>IFERROR(VLOOKUP(Table2[[#This Row],[Contraente]],Table1[[Nome/Ragione sociale]:[Checkbox selezionato]],2,FALSE),"-")</f>
        <v>BELGIOIOSO</v>
      </c>
      <c r="AJ904" s="63">
        <f>IFERROR(VLOOKUP(Table2[[#This Row],[Contraente]],Table1[[Nome/Ragione sociale]:[Checkbox selezionato]],3,FALSE),"-")</f>
        <v>0</v>
      </c>
      <c r="AK904" s="63">
        <f>IFERROR(VLOOKUP(Table2[[#This Row],[Contraente]],Table1[[Nome/Ragione sociale]:[Checkbox selezionato]],4,FALSE),"-")</f>
        <v>0</v>
      </c>
      <c r="AL904" s="63" t="str">
        <f>IFERROR(VLOOKUP(Table2[[#This Row],[Contraente]],Table1[[Nome/Ragione sociale]:[Checkbox selezionato]],5,FALSE),"-")</f>
        <v>FRANCESCO RAGNI</v>
      </c>
      <c r="AM904" s="62">
        <f>IFERROR(VLOOKUP(Table2[[#This Row],[Contraente]],Table1[[Nome/Ragione sociale]:[Checkbox selezionato]],6,FALSE),"-")</f>
        <v>24291</v>
      </c>
      <c r="AN904" s="63" t="str">
        <f>IFERROR(VLOOKUP(Table2[[#This Row],[Contraente]],Table1[[Nome/Ragione sociale]:[Checkbox selezionato]],7,FALSE),"-")</f>
        <v>papies@libero.it</v>
      </c>
      <c r="AO904" s="63">
        <f>IFERROR(VLOOKUP(Table2[[#This Row],[Contraente]],Table1[[Nome/Ragione sociale]:[Checkbox selezionato]],8,FALSE),"-")</f>
        <v>0</v>
      </c>
      <c r="AP904" s="63">
        <f>IFERROR(VLOOKUP(Table2[[#This Row],[Contraente]],Table1[[Nome/Ragione sociale]:[Checkbox selezionato]],10,FALSE),"-")</f>
        <v>0</v>
      </c>
      <c r="AQ904" s="63" t="str">
        <f>IFERROR(VLOOKUP(Table2[[#This Row],[Contraente]],Table1[[Nome/Ragione sociale]:[Checkbox selezionato]],11,FALSE),"-")</f>
        <v>SI</v>
      </c>
      <c r="AR904" s="63" t="str">
        <f>IFERROR(VLOOKUP(Table2[[#This Row],[Contraente]],Table1[[Nome/Ragione sociale]:[Checkbox selezionato]],12,FALSE),"-")</f>
        <v>SI</v>
      </c>
    </row>
    <row r="905" spans="1:44" ht="30" hidden="1" customHeight="1" x14ac:dyDescent="0.25">
      <c r="A905" s="60" t="str">
        <f>UPPER(LEFT(Table2[[#This Row],[Contraente]],1))</f>
        <v>R</v>
      </c>
      <c r="B905" s="60" t="s">
        <v>1634</v>
      </c>
      <c r="C905" s="81" t="s">
        <v>937</v>
      </c>
      <c r="D905" s="81" t="s">
        <v>37</v>
      </c>
      <c r="E905" s="86">
        <v>106863419</v>
      </c>
      <c r="F905" s="64">
        <v>42872</v>
      </c>
      <c r="G905" s="64">
        <f>IFERROR(CALCOLASCADENZA(Table2[[#This Row],[Data attivazione]],Table2[[#This Row],[Rateizzazione]],Table2[[#This Row],[Data ultimo pagamento]],Table2[[#This Row],[Data prossima scadenza manuale]]),"-")</f>
        <v>43239</v>
      </c>
      <c r="H905" s="67" t="s">
        <v>31</v>
      </c>
      <c r="I905" s="67" t="s">
        <v>1511</v>
      </c>
      <c r="J905" s="33">
        <f>IFERROR(Table2[[#This Row],[Importo annuale]]/(12/VLOOKUP(Table2[[#This Row],[Rateizzazione]],TIPI_RATEIZZAZIONI,2,FALSE)),"-")</f>
        <v>280</v>
      </c>
      <c r="K905" s="88">
        <v>280</v>
      </c>
      <c r="L905" s="88">
        <v>280</v>
      </c>
      <c r="M905" s="67" t="s">
        <v>44</v>
      </c>
      <c r="N905" s="67" t="s">
        <v>51</v>
      </c>
      <c r="O905" s="27" t="s">
        <v>1631</v>
      </c>
      <c r="P905" s="33" t="s">
        <v>23</v>
      </c>
      <c r="Q905" s="60">
        <f>IFERROR(IF(12 / VLOOKUP(Table2[[#This Row],[Rateizzazione]],TIPI_RATEIZZAZIONI,2,FALSE) &gt;=1,  IF(Table2[[#This Row],[Data attivazione]] = "","-",MONTH(Table2[[#This Row],[Data attivazione]])),"-"),"-")</f>
        <v>5</v>
      </c>
      <c r="R9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5" s="67" t="s">
        <v>2</v>
      </c>
      <c r="V905" s="62"/>
      <c r="W905" s="64">
        <v>42874</v>
      </c>
      <c r="X905" s="29">
        <f>DATE(YEAR(Table2[[#This Row],[Data attivazione]])+VLOOKUP(Table2[[#This Row],[Durata]],VALORE_DURATA,2,FALSE),MONTH(Table2[[#This Row],[Data attivazione]]),DAY(Table2[[#This Row],[Data attivazione]]))</f>
        <v>43239</v>
      </c>
      <c r="Y905" s="65"/>
      <c r="Z905" s="61"/>
      <c r="AA905" s="64" t="s">
        <v>85</v>
      </c>
      <c r="AB905" s="29" t="str">
        <f>IF(Table2[[#This Row],[Data ultimo versamento temp]]=0/1/1900,"-",Table2[[#This Row],[Data ultimo versamento temp]])</f>
        <v>-</v>
      </c>
      <c r="AC905" s="29">
        <f t="array" ref="AC905">MAX(IF(TableVersamenti[Polizza]=Table2[[#This Row],[Polizza]],TableVersamenti[Data prevista versamento],"-"))</f>
        <v>0</v>
      </c>
      <c r="AD905" s="62"/>
      <c r="AE905" s="106">
        <f>DATE(YEAR(Table2[[#This Row],[Data ultimo pagamento]]),MONTH(Table2[[#This Row],[Data ultimo pagamento]]), 1)</f>
        <v>42856</v>
      </c>
      <c r="AF905" s="106">
        <f>DATE(YEAR(Table2[[#This Row],[Data prossima scadenza]]),MONTH(Table2[[#This Row],[Data prossima scadenza]]), 1)</f>
        <v>43221</v>
      </c>
      <c r="AG905" s="33">
        <f>IFERROR(Table2[[#This Row],[Importo annuale]]*VLOOKUP(Table2[[#This Row],[Ramo]],RAMI_POLIZZA,2,FALSE),0)</f>
        <v>14.559999999999999</v>
      </c>
      <c r="AH905" s="65" t="s">
        <v>113</v>
      </c>
      <c r="AI905" s="63" t="str">
        <f>IFERROR(VLOOKUP(Table2[[#This Row],[Contraente]],Table1[[Nome/Ragione sociale]:[Checkbox selezionato]],2,FALSE),"-")</f>
        <v>BELGIOIOSO</v>
      </c>
      <c r="AJ905" s="63">
        <f>IFERROR(VLOOKUP(Table2[[#This Row],[Contraente]],Table1[[Nome/Ragione sociale]:[Checkbox selezionato]],3,FALSE),"-")</f>
        <v>0</v>
      </c>
      <c r="AK905" s="63">
        <f>IFERROR(VLOOKUP(Table2[[#This Row],[Contraente]],Table1[[Nome/Ragione sociale]:[Checkbox selezionato]],4,FALSE),"-")</f>
        <v>0</v>
      </c>
      <c r="AL905" s="63" t="str">
        <f>IFERROR(VLOOKUP(Table2[[#This Row],[Contraente]],Table1[[Nome/Ragione sociale]:[Checkbox selezionato]],5,FALSE),"-")</f>
        <v>FRANCESCO RAGNI</v>
      </c>
      <c r="AM905" s="62">
        <f>IFERROR(VLOOKUP(Table2[[#This Row],[Contraente]],Table1[[Nome/Ragione sociale]:[Checkbox selezionato]],6,FALSE),"-")</f>
        <v>24291</v>
      </c>
      <c r="AN905" s="63" t="str">
        <f>IFERROR(VLOOKUP(Table2[[#This Row],[Contraente]],Table1[[Nome/Ragione sociale]:[Checkbox selezionato]],7,FALSE),"-")</f>
        <v>papies@libero.it</v>
      </c>
      <c r="AO905" s="63">
        <f>IFERROR(VLOOKUP(Table2[[#This Row],[Contraente]],Table1[[Nome/Ragione sociale]:[Checkbox selezionato]],8,FALSE),"-")</f>
        <v>0</v>
      </c>
      <c r="AP905" s="63">
        <f>IFERROR(VLOOKUP(Table2[[#This Row],[Contraente]],Table1[[Nome/Ragione sociale]:[Checkbox selezionato]],10,FALSE),"-")</f>
        <v>0</v>
      </c>
      <c r="AQ905" s="63" t="str">
        <f>IFERROR(VLOOKUP(Table2[[#This Row],[Contraente]],Table1[[Nome/Ragione sociale]:[Checkbox selezionato]],11,FALSE),"-")</f>
        <v>SI</v>
      </c>
      <c r="AR905" s="63" t="str">
        <f>IFERROR(VLOOKUP(Table2[[#This Row],[Contraente]],Table1[[Nome/Ragione sociale]:[Checkbox selezionato]],12,FALSE),"-")</f>
        <v>SI</v>
      </c>
    </row>
    <row r="906" spans="1:44" ht="30" hidden="1" customHeight="1" x14ac:dyDescent="0.25">
      <c r="A906" s="60" t="str">
        <f>UPPER(LEFT(Table2[[#This Row],[Contraente]],1))</f>
        <v>R</v>
      </c>
      <c r="B906" s="60" t="s">
        <v>1634</v>
      </c>
      <c r="C906" s="81" t="s">
        <v>938</v>
      </c>
      <c r="D906" s="81" t="s">
        <v>37</v>
      </c>
      <c r="E906" s="86">
        <v>105605320</v>
      </c>
      <c r="F906" s="64">
        <v>42872</v>
      </c>
      <c r="G906" s="64">
        <f>IFERROR(CALCOLASCADENZA(Table2[[#This Row],[Data attivazione]],Table2[[#This Row],[Rateizzazione]],Table2[[#This Row],[Data ultimo pagamento]],Table2[[#This Row],[Data prossima scadenza manuale]]),"-")</f>
        <v>43232</v>
      </c>
      <c r="H906" s="67" t="s">
        <v>30</v>
      </c>
      <c r="I906" s="67" t="s">
        <v>113</v>
      </c>
      <c r="J906" s="33">
        <f>IFERROR(Table2[[#This Row],[Importo annuale]]/(12/VLOOKUP(Table2[[#This Row],[Rateizzazione]],TIPI_RATEIZZAZIONI,2,FALSE)),"-")</f>
        <v>320</v>
      </c>
      <c r="K906" s="88">
        <v>320</v>
      </c>
      <c r="L906" s="88">
        <v>320</v>
      </c>
      <c r="M906" s="67" t="s">
        <v>44</v>
      </c>
      <c r="N906" s="67" t="s">
        <v>51</v>
      </c>
      <c r="O906" s="27" t="s">
        <v>1631</v>
      </c>
      <c r="P906" s="33" t="s">
        <v>23</v>
      </c>
      <c r="Q906" s="60">
        <f>IFERROR(IF(12 / VLOOKUP(Table2[[#This Row],[Rateizzazione]],TIPI_RATEIZZAZIONI,2,FALSE) &gt;=1,  IF(Table2[[#This Row],[Data attivazione]] = "","-",MONTH(Table2[[#This Row],[Data attivazione]])),"-"),"-")</f>
        <v>5</v>
      </c>
      <c r="R9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6" s="67" t="s">
        <v>2</v>
      </c>
      <c r="V906" s="62"/>
      <c r="W906" s="64">
        <v>42867</v>
      </c>
      <c r="X906" s="29">
        <f>DATE(YEAR(Table2[[#This Row],[Data attivazione]])+VLOOKUP(Table2[[#This Row],[Durata]],VALORE_DURATA,2,FALSE),MONTH(Table2[[#This Row],[Data attivazione]]),DAY(Table2[[#This Row],[Data attivazione]]))</f>
        <v>43232</v>
      </c>
      <c r="Y906" s="65"/>
      <c r="Z906" s="61"/>
      <c r="AA906" s="64" t="s">
        <v>85</v>
      </c>
      <c r="AB906" s="29" t="str">
        <f>IF(Table2[[#This Row],[Data ultimo versamento temp]]=0/1/1900,"-",Table2[[#This Row],[Data ultimo versamento temp]])</f>
        <v>-</v>
      </c>
      <c r="AC906" s="29">
        <f t="array" ref="AC906">MAX(IF(TableVersamenti[Polizza]=Table2[[#This Row],[Polizza]],TableVersamenti[Data prevista versamento],"-"))</f>
        <v>0</v>
      </c>
      <c r="AD906" s="62"/>
      <c r="AE906" s="106">
        <f>DATE(YEAR(Table2[[#This Row],[Data ultimo pagamento]]),MONTH(Table2[[#This Row],[Data ultimo pagamento]]), 1)</f>
        <v>42856</v>
      </c>
      <c r="AF906" s="106">
        <f>DATE(YEAR(Table2[[#This Row],[Data prossima scadenza]]),MONTH(Table2[[#This Row],[Data prossima scadenza]]), 1)</f>
        <v>43221</v>
      </c>
      <c r="AG906" s="33">
        <f>IFERROR(Table2[[#This Row],[Importo annuale]]*VLOOKUP(Table2[[#This Row],[Ramo]],RAMI_POLIZZA,2,FALSE),0)</f>
        <v>36.800000000000004</v>
      </c>
      <c r="AH906" s="65" t="s">
        <v>113</v>
      </c>
      <c r="AI906" s="63">
        <f>IFERROR(VLOOKUP(Table2[[#This Row],[Contraente]],Table1[[Nome/Ragione sociale]:[Checkbox selezionato]],2,FALSE),"-")</f>
        <v>0</v>
      </c>
      <c r="AJ906" s="63">
        <f>IFERROR(VLOOKUP(Table2[[#This Row],[Contraente]],Table1[[Nome/Ragione sociale]:[Checkbox selezionato]],3,FALSE),"-")</f>
        <v>0</v>
      </c>
      <c r="AK906" s="63">
        <f>IFERROR(VLOOKUP(Table2[[#This Row],[Contraente]],Table1[[Nome/Ragione sociale]:[Checkbox selezionato]],4,FALSE),"-")</f>
        <v>0</v>
      </c>
      <c r="AL906" s="63">
        <f>IFERROR(VLOOKUP(Table2[[#This Row],[Contraente]],Table1[[Nome/Ragione sociale]:[Checkbox selezionato]],5,FALSE),"-")</f>
        <v>0</v>
      </c>
      <c r="AM906" s="62">
        <f>IFERROR(VLOOKUP(Table2[[#This Row],[Contraente]],Table1[[Nome/Ragione sociale]:[Checkbox selezionato]],6,FALSE),"-")</f>
        <v>0</v>
      </c>
      <c r="AN906" s="63" t="str">
        <f>IFERROR(VLOOKUP(Table2[[#This Row],[Contraente]],Table1[[Nome/Ragione sociale]:[Checkbox selezionato]],7,FALSE),"-")</f>
        <v>papies@email.it</v>
      </c>
      <c r="AO906" s="63">
        <f>IFERROR(VLOOKUP(Table2[[#This Row],[Contraente]],Table1[[Nome/Ragione sociale]:[Checkbox selezionato]],8,FALSE),"-")</f>
        <v>0</v>
      </c>
      <c r="AP906" s="63">
        <f>IFERROR(VLOOKUP(Table2[[#This Row],[Contraente]],Table1[[Nome/Ragione sociale]:[Checkbox selezionato]],10,FALSE),"-")</f>
        <v>0</v>
      </c>
      <c r="AQ906" s="63" t="str">
        <f>IFERROR(VLOOKUP(Table2[[#This Row],[Contraente]],Table1[[Nome/Ragione sociale]:[Checkbox selezionato]],11,FALSE),"-")</f>
        <v>SI</v>
      </c>
      <c r="AR906" s="63" t="str">
        <f>IFERROR(VLOOKUP(Table2[[#This Row],[Contraente]],Table1[[Nome/Ragione sociale]:[Checkbox selezionato]],12,FALSE),"-")</f>
        <v>SI</v>
      </c>
    </row>
    <row r="907" spans="1:44" ht="30" hidden="1" customHeight="1" x14ac:dyDescent="0.25">
      <c r="A907" s="60" t="str">
        <f>UPPER(LEFT(Table2[[#This Row],[Contraente]],1))</f>
        <v>R</v>
      </c>
      <c r="B907" s="60" t="s">
        <v>1634</v>
      </c>
      <c r="C907" s="81" t="s">
        <v>938</v>
      </c>
      <c r="D907" s="81" t="s">
        <v>37</v>
      </c>
      <c r="E907" s="86">
        <v>106863491</v>
      </c>
      <c r="F907" s="64">
        <v>42872</v>
      </c>
      <c r="G907" s="64">
        <f>IFERROR(CALCOLASCADENZA(Table2[[#This Row],[Data attivazione]],Table2[[#This Row],[Rateizzazione]],Table2[[#This Row],[Data ultimo pagamento]],Table2[[#This Row],[Data prossima scadenza manuale]]),"-")</f>
        <v>43232</v>
      </c>
      <c r="H907" s="67" t="s">
        <v>30</v>
      </c>
      <c r="I907" s="67" t="s">
        <v>113</v>
      </c>
      <c r="J907" s="33">
        <f>IFERROR(Table2[[#This Row],[Importo annuale]]/(12/VLOOKUP(Table2[[#This Row],[Rateizzazione]],TIPI_RATEIZZAZIONI,2,FALSE)),"-")</f>
        <v>72</v>
      </c>
      <c r="K907" s="88">
        <v>72</v>
      </c>
      <c r="L907" s="88">
        <v>72</v>
      </c>
      <c r="M907" s="67" t="s">
        <v>44</v>
      </c>
      <c r="N907" s="67" t="s">
        <v>51</v>
      </c>
      <c r="O907" s="27" t="s">
        <v>1631</v>
      </c>
      <c r="P907" s="33" t="s">
        <v>23</v>
      </c>
      <c r="Q907" s="60">
        <f>IFERROR(IF(12 / VLOOKUP(Table2[[#This Row],[Rateizzazione]],TIPI_RATEIZZAZIONI,2,FALSE) &gt;=1,  IF(Table2[[#This Row],[Data attivazione]] = "","-",MONTH(Table2[[#This Row],[Data attivazione]])),"-"),"-")</f>
        <v>5</v>
      </c>
      <c r="R9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7" s="67" t="s">
        <v>2</v>
      </c>
      <c r="V907" s="62"/>
      <c r="W907" s="64">
        <v>42867</v>
      </c>
      <c r="X907" s="29">
        <f>DATE(YEAR(Table2[[#This Row],[Data attivazione]])+VLOOKUP(Table2[[#This Row],[Durata]],VALORE_DURATA,2,FALSE),MONTH(Table2[[#This Row],[Data attivazione]]),DAY(Table2[[#This Row],[Data attivazione]]))</f>
        <v>43232</v>
      </c>
      <c r="Y907" s="65"/>
      <c r="Z907" s="61"/>
      <c r="AA907" s="64" t="s">
        <v>85</v>
      </c>
      <c r="AB907" s="29" t="str">
        <f>IF(Table2[[#This Row],[Data ultimo versamento temp]]=0/1/1900,"-",Table2[[#This Row],[Data ultimo versamento temp]])</f>
        <v>-</v>
      </c>
      <c r="AC907" s="29">
        <f t="array" ref="AC907">MAX(IF(TableVersamenti[Polizza]=Table2[[#This Row],[Polizza]],TableVersamenti[Data prevista versamento],"-"))</f>
        <v>0</v>
      </c>
      <c r="AD907" s="62"/>
      <c r="AE907" s="106">
        <f>DATE(YEAR(Table2[[#This Row],[Data ultimo pagamento]]),MONTH(Table2[[#This Row],[Data ultimo pagamento]]), 1)</f>
        <v>42856</v>
      </c>
      <c r="AF907" s="106">
        <f>DATE(YEAR(Table2[[#This Row],[Data prossima scadenza]]),MONTH(Table2[[#This Row],[Data prossima scadenza]]), 1)</f>
        <v>43221</v>
      </c>
      <c r="AG907" s="33">
        <f>IFERROR(Table2[[#This Row],[Importo annuale]]*VLOOKUP(Table2[[#This Row],[Ramo]],RAMI_POLIZZA,2,FALSE),0)</f>
        <v>8.2800000000000011</v>
      </c>
      <c r="AH907" s="65" t="s">
        <v>113</v>
      </c>
      <c r="AI907" s="63">
        <f>IFERROR(VLOOKUP(Table2[[#This Row],[Contraente]],Table1[[Nome/Ragione sociale]:[Checkbox selezionato]],2,FALSE),"-")</f>
        <v>0</v>
      </c>
      <c r="AJ907" s="63">
        <f>IFERROR(VLOOKUP(Table2[[#This Row],[Contraente]],Table1[[Nome/Ragione sociale]:[Checkbox selezionato]],3,FALSE),"-")</f>
        <v>0</v>
      </c>
      <c r="AK907" s="63">
        <f>IFERROR(VLOOKUP(Table2[[#This Row],[Contraente]],Table1[[Nome/Ragione sociale]:[Checkbox selezionato]],4,FALSE),"-")</f>
        <v>0</v>
      </c>
      <c r="AL907" s="63">
        <f>IFERROR(VLOOKUP(Table2[[#This Row],[Contraente]],Table1[[Nome/Ragione sociale]:[Checkbox selezionato]],5,FALSE),"-")</f>
        <v>0</v>
      </c>
      <c r="AM907" s="62">
        <f>IFERROR(VLOOKUP(Table2[[#This Row],[Contraente]],Table1[[Nome/Ragione sociale]:[Checkbox selezionato]],6,FALSE),"-")</f>
        <v>0</v>
      </c>
      <c r="AN907" s="63" t="str">
        <f>IFERROR(VLOOKUP(Table2[[#This Row],[Contraente]],Table1[[Nome/Ragione sociale]:[Checkbox selezionato]],7,FALSE),"-")</f>
        <v>papies@email.it</v>
      </c>
      <c r="AO907" s="63">
        <f>IFERROR(VLOOKUP(Table2[[#This Row],[Contraente]],Table1[[Nome/Ragione sociale]:[Checkbox selezionato]],8,FALSE),"-")</f>
        <v>0</v>
      </c>
      <c r="AP907" s="63">
        <f>IFERROR(VLOOKUP(Table2[[#This Row],[Contraente]],Table1[[Nome/Ragione sociale]:[Checkbox selezionato]],10,FALSE),"-")</f>
        <v>0</v>
      </c>
      <c r="AQ907" s="63" t="str">
        <f>IFERROR(VLOOKUP(Table2[[#This Row],[Contraente]],Table1[[Nome/Ragione sociale]:[Checkbox selezionato]],11,FALSE),"-")</f>
        <v>SI</v>
      </c>
      <c r="AR907" s="63" t="str">
        <f>IFERROR(VLOOKUP(Table2[[#This Row],[Contraente]],Table1[[Nome/Ragione sociale]:[Checkbox selezionato]],12,FALSE),"-")</f>
        <v>SI</v>
      </c>
    </row>
    <row r="908" spans="1:44" ht="30" hidden="1" customHeight="1" x14ac:dyDescent="0.25">
      <c r="A908" s="60" t="str">
        <f>UPPER(LEFT(Table2[[#This Row],[Contraente]],1))</f>
        <v>R</v>
      </c>
      <c r="B908" s="60" t="s">
        <v>1634</v>
      </c>
      <c r="C908" s="81" t="s">
        <v>938</v>
      </c>
      <c r="D908" s="81" t="s">
        <v>37</v>
      </c>
      <c r="E908" s="86">
        <v>105605269</v>
      </c>
      <c r="F908" s="64">
        <v>42872</v>
      </c>
      <c r="G908" s="64">
        <f>IFERROR(CALCOLASCADENZA(Table2[[#This Row],[Data attivazione]],Table2[[#This Row],[Rateizzazione]],Table2[[#This Row],[Data ultimo pagamento]],Table2[[#This Row],[Data prossima scadenza manuale]]),"-")</f>
        <v>43232</v>
      </c>
      <c r="H908" s="67" t="s">
        <v>31</v>
      </c>
      <c r="I908" s="67" t="s">
        <v>1512</v>
      </c>
      <c r="J908" s="33">
        <f>IFERROR(Table2[[#This Row],[Importo annuale]]/(12/VLOOKUP(Table2[[#This Row],[Rateizzazione]],TIPI_RATEIZZAZIONI,2,FALSE)),"-")</f>
        <v>460</v>
      </c>
      <c r="K908" s="88">
        <v>460</v>
      </c>
      <c r="L908" s="88">
        <v>460</v>
      </c>
      <c r="M908" s="67" t="s">
        <v>44</v>
      </c>
      <c r="N908" s="67" t="s">
        <v>51</v>
      </c>
      <c r="O908" s="27" t="s">
        <v>1631</v>
      </c>
      <c r="P908" s="33" t="s">
        <v>23</v>
      </c>
      <c r="Q908" s="60">
        <f>IFERROR(IF(12 / VLOOKUP(Table2[[#This Row],[Rateizzazione]],TIPI_RATEIZZAZIONI,2,FALSE) &gt;=1,  IF(Table2[[#This Row],[Data attivazione]] = "","-",MONTH(Table2[[#This Row],[Data attivazione]])),"-"),"-")</f>
        <v>5</v>
      </c>
      <c r="R9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8" s="67" t="s">
        <v>2</v>
      </c>
      <c r="V908" s="62"/>
      <c r="W908" s="64">
        <v>42867</v>
      </c>
      <c r="X908" s="29">
        <f>DATE(YEAR(Table2[[#This Row],[Data attivazione]])+VLOOKUP(Table2[[#This Row],[Durata]],VALORE_DURATA,2,FALSE),MONTH(Table2[[#This Row],[Data attivazione]]),DAY(Table2[[#This Row],[Data attivazione]]))</f>
        <v>43232</v>
      </c>
      <c r="Y908" s="65"/>
      <c r="Z908" s="61"/>
      <c r="AA908" s="64" t="s">
        <v>85</v>
      </c>
      <c r="AB908" s="29" t="str">
        <f>IF(Table2[[#This Row],[Data ultimo versamento temp]]=0/1/1900,"-",Table2[[#This Row],[Data ultimo versamento temp]])</f>
        <v>-</v>
      </c>
      <c r="AC908" s="29">
        <f t="array" ref="AC908">MAX(IF(TableVersamenti[Polizza]=Table2[[#This Row],[Polizza]],TableVersamenti[Data prevista versamento],"-"))</f>
        <v>0</v>
      </c>
      <c r="AD908" s="62"/>
      <c r="AE908" s="106">
        <f>DATE(YEAR(Table2[[#This Row],[Data ultimo pagamento]]),MONTH(Table2[[#This Row],[Data ultimo pagamento]]), 1)</f>
        <v>42856</v>
      </c>
      <c r="AF908" s="106">
        <f>DATE(YEAR(Table2[[#This Row],[Data prossima scadenza]]),MONTH(Table2[[#This Row],[Data prossima scadenza]]), 1)</f>
        <v>43221</v>
      </c>
      <c r="AG908" s="33">
        <f>IFERROR(Table2[[#This Row],[Importo annuale]]*VLOOKUP(Table2[[#This Row],[Ramo]],RAMI_POLIZZA,2,FALSE),0)</f>
        <v>23.919999999999998</v>
      </c>
      <c r="AH908" s="65" t="s">
        <v>113</v>
      </c>
      <c r="AI908" s="63">
        <f>IFERROR(VLOOKUP(Table2[[#This Row],[Contraente]],Table1[[Nome/Ragione sociale]:[Checkbox selezionato]],2,FALSE),"-")</f>
        <v>0</v>
      </c>
      <c r="AJ908" s="63">
        <f>IFERROR(VLOOKUP(Table2[[#This Row],[Contraente]],Table1[[Nome/Ragione sociale]:[Checkbox selezionato]],3,FALSE),"-")</f>
        <v>0</v>
      </c>
      <c r="AK908" s="63">
        <f>IFERROR(VLOOKUP(Table2[[#This Row],[Contraente]],Table1[[Nome/Ragione sociale]:[Checkbox selezionato]],4,FALSE),"-")</f>
        <v>0</v>
      </c>
      <c r="AL908" s="63">
        <f>IFERROR(VLOOKUP(Table2[[#This Row],[Contraente]],Table1[[Nome/Ragione sociale]:[Checkbox selezionato]],5,FALSE),"-")</f>
        <v>0</v>
      </c>
      <c r="AM908" s="62">
        <f>IFERROR(VLOOKUP(Table2[[#This Row],[Contraente]],Table1[[Nome/Ragione sociale]:[Checkbox selezionato]],6,FALSE),"-")</f>
        <v>0</v>
      </c>
      <c r="AN908" s="63" t="str">
        <f>IFERROR(VLOOKUP(Table2[[#This Row],[Contraente]],Table1[[Nome/Ragione sociale]:[Checkbox selezionato]],7,FALSE),"-")</f>
        <v>papies@email.it</v>
      </c>
      <c r="AO908" s="63">
        <f>IFERROR(VLOOKUP(Table2[[#This Row],[Contraente]],Table1[[Nome/Ragione sociale]:[Checkbox selezionato]],8,FALSE),"-")</f>
        <v>0</v>
      </c>
      <c r="AP908" s="63">
        <f>IFERROR(VLOOKUP(Table2[[#This Row],[Contraente]],Table1[[Nome/Ragione sociale]:[Checkbox selezionato]],10,FALSE),"-")</f>
        <v>0</v>
      </c>
      <c r="AQ908" s="63" t="str">
        <f>IFERROR(VLOOKUP(Table2[[#This Row],[Contraente]],Table1[[Nome/Ragione sociale]:[Checkbox selezionato]],11,FALSE),"-")</f>
        <v>SI</v>
      </c>
      <c r="AR908" s="63" t="str">
        <f>IFERROR(VLOOKUP(Table2[[#This Row],[Contraente]],Table1[[Nome/Ragione sociale]:[Checkbox selezionato]],12,FALSE),"-")</f>
        <v>SI</v>
      </c>
    </row>
    <row r="909" spans="1:44" ht="30" hidden="1" customHeight="1" x14ac:dyDescent="0.25">
      <c r="A909" s="60" t="str">
        <f>UPPER(LEFT(Table2[[#This Row],[Contraente]],1))</f>
        <v>R</v>
      </c>
      <c r="B909" s="60" t="s">
        <v>1634</v>
      </c>
      <c r="C909" s="81" t="s">
        <v>939</v>
      </c>
      <c r="D909" s="81" t="s">
        <v>37</v>
      </c>
      <c r="E909" s="86">
        <v>104637869</v>
      </c>
      <c r="F909" s="64">
        <v>42200</v>
      </c>
      <c r="G909" s="64">
        <f>IFERROR(CALCOLASCADENZA(Table2[[#This Row],[Data attivazione]],Table2[[#This Row],[Rateizzazione]],Table2[[#This Row],[Data ultimo pagamento]],Table2[[#This Row],[Data prossima scadenza manuale]]),"-")</f>
        <v>693962</v>
      </c>
      <c r="H909" s="67" t="s">
        <v>31</v>
      </c>
      <c r="I909" s="67" t="s">
        <v>1320</v>
      </c>
      <c r="J909" s="33">
        <f>IFERROR(Table2[[#This Row],[Importo annuale]]/(12/VLOOKUP(Table2[[#This Row],[Rateizzazione]],TIPI_RATEIZZAZIONI,2,FALSE)),"-")</f>
        <v>341</v>
      </c>
      <c r="K909" s="88"/>
      <c r="L909" s="88">
        <v>341</v>
      </c>
      <c r="M909" s="67" t="s">
        <v>43</v>
      </c>
      <c r="N909" s="67" t="s">
        <v>51</v>
      </c>
      <c r="O909" s="27" t="s">
        <v>1631</v>
      </c>
      <c r="P909" s="33" t="s">
        <v>23</v>
      </c>
      <c r="Q909" s="60">
        <f>IFERROR(IF(12 / VLOOKUP(Table2[[#This Row],[Rateizzazione]],TIPI_RATEIZZAZIONI,2,FALSE) &gt;=1,  IF(Table2[[#This Row],[Data attivazione]] = "","-",MONTH(Table2[[#This Row],[Data attivazione]])),"-"),"-")</f>
        <v>12</v>
      </c>
      <c r="R9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9" s="67" t="s">
        <v>2</v>
      </c>
      <c r="V909" s="62"/>
      <c r="W909" s="64">
        <v>693597</v>
      </c>
      <c r="X909" s="29">
        <f>DATE(YEAR(Table2[[#This Row],[Data attivazione]])+VLOOKUP(Table2[[#This Row],[Durata]],VALORE_DURATA,2,FALSE),MONTH(Table2[[#This Row],[Data attivazione]]),DAY(Table2[[#This Row],[Data attivazione]]))</f>
        <v>693962</v>
      </c>
      <c r="Y909" s="65"/>
      <c r="Z909" s="61"/>
      <c r="AA909" s="64" t="s">
        <v>88</v>
      </c>
      <c r="AB909" s="29" t="str">
        <f>IF(Table2[[#This Row],[Data ultimo versamento temp]]=0/1/1900,"-",Table2[[#This Row],[Data ultimo versamento temp]])</f>
        <v>-</v>
      </c>
      <c r="AC909" s="29">
        <f t="array" ref="AC909">MAX(IF(TableVersamenti[Polizza]=Table2[[#This Row],[Polizza]],TableVersamenti[Data prevista versamento],"-"))</f>
        <v>0</v>
      </c>
      <c r="AD909" s="62"/>
      <c r="AE909" s="106">
        <f>DATE(YEAR(Table2[[#This Row],[Data ultimo pagamento]]),MONTH(Table2[[#This Row],[Data ultimo pagamento]]), 1)</f>
        <v>42186</v>
      </c>
      <c r="AF909" s="106">
        <f>DATE(YEAR(Table2[[#This Row],[Data prossima scadenza]]),MONTH(Table2[[#This Row],[Data prossima scadenza]]), 1)</f>
        <v>693932</v>
      </c>
      <c r="AG909" s="33">
        <f>IFERROR(Table2[[#This Row],[Importo annuale]]*VLOOKUP(Table2[[#This Row],[Ramo]],RAMI_POLIZZA,2,FALSE),0)</f>
        <v>17.731999999999999</v>
      </c>
      <c r="AH909" s="65" t="s">
        <v>113</v>
      </c>
      <c r="AI909" s="63">
        <f>IFERROR(VLOOKUP(Table2[[#This Row],[Contraente]],Table1[[Nome/Ragione sociale]:[Checkbox selezionato]],2,FALSE),"-")</f>
        <v>0</v>
      </c>
      <c r="AJ909" s="63">
        <f>IFERROR(VLOOKUP(Table2[[#This Row],[Contraente]],Table1[[Nome/Ragione sociale]:[Checkbox selezionato]],3,FALSE),"-")</f>
        <v>0</v>
      </c>
      <c r="AK909" s="63">
        <f>IFERROR(VLOOKUP(Table2[[#This Row],[Contraente]],Table1[[Nome/Ragione sociale]:[Checkbox selezionato]],4,FALSE),"-")</f>
        <v>0</v>
      </c>
      <c r="AL909" s="63">
        <f>IFERROR(VLOOKUP(Table2[[#This Row],[Contraente]],Table1[[Nome/Ragione sociale]:[Checkbox selezionato]],5,FALSE),"-")</f>
        <v>0</v>
      </c>
      <c r="AM909" s="62">
        <f>IFERROR(VLOOKUP(Table2[[#This Row],[Contraente]],Table1[[Nome/Ragione sociale]:[Checkbox selezionato]],6,FALSE),"-")</f>
        <v>0</v>
      </c>
      <c r="AN909" s="63" t="str">
        <f>IFERROR(VLOOKUP(Table2[[#This Row],[Contraente]],Table1[[Nome/Ragione sociale]:[Checkbox selezionato]],7,FALSE),"-")</f>
        <v>papies@libero.it</v>
      </c>
      <c r="AO909" s="63">
        <f>IFERROR(VLOOKUP(Table2[[#This Row],[Contraente]],Table1[[Nome/Ragione sociale]:[Checkbox selezionato]],8,FALSE),"-")</f>
        <v>0</v>
      </c>
      <c r="AP909" s="63">
        <f>IFERROR(VLOOKUP(Table2[[#This Row],[Contraente]],Table1[[Nome/Ragione sociale]:[Checkbox selezionato]],10,FALSE),"-")</f>
        <v>0</v>
      </c>
      <c r="AQ909" s="63" t="str">
        <f>IFERROR(VLOOKUP(Table2[[#This Row],[Contraente]],Table1[[Nome/Ragione sociale]:[Checkbox selezionato]],11,FALSE),"-")</f>
        <v>SI</v>
      </c>
      <c r="AR909" s="63" t="str">
        <f>IFERROR(VLOOKUP(Table2[[#This Row],[Contraente]],Table1[[Nome/Ragione sociale]:[Checkbox selezionato]],12,FALSE),"-")</f>
        <v>SI</v>
      </c>
    </row>
    <row r="910" spans="1:44" ht="30" hidden="1" customHeight="1" x14ac:dyDescent="0.25">
      <c r="A910" s="60" t="str">
        <f>UPPER(LEFT(Table2[[#This Row],[Contraente]],1))</f>
        <v>R</v>
      </c>
      <c r="B910" s="60" t="s">
        <v>1634</v>
      </c>
      <c r="C910" s="81" t="s">
        <v>939</v>
      </c>
      <c r="D910" s="81" t="s">
        <v>37</v>
      </c>
      <c r="E910" s="86">
        <v>102687128</v>
      </c>
      <c r="F910" s="64">
        <v>42200</v>
      </c>
      <c r="G910" s="64">
        <f>IFERROR(CALCOLASCADENZA(Table2[[#This Row],[Data attivazione]],Table2[[#This Row],[Rateizzazione]],Table2[[#This Row],[Data ultimo pagamento]],Table2[[#This Row],[Data prossima scadenza manuale]]),"-")</f>
        <v>693962</v>
      </c>
      <c r="H910" s="67" t="s">
        <v>30</v>
      </c>
      <c r="I910" s="67" t="s">
        <v>113</v>
      </c>
      <c r="J910" s="33">
        <f>IFERROR(Table2[[#This Row],[Importo annuale]]/(12/VLOOKUP(Table2[[#This Row],[Rateizzazione]],TIPI_RATEIZZAZIONI,2,FALSE)),"-")</f>
        <v>101</v>
      </c>
      <c r="K910" s="88"/>
      <c r="L910" s="88">
        <v>101</v>
      </c>
      <c r="M910" s="67" t="s">
        <v>43</v>
      </c>
      <c r="N910" s="67" t="s">
        <v>51</v>
      </c>
      <c r="O910" s="27" t="s">
        <v>1631</v>
      </c>
      <c r="P910" s="33" t="s">
        <v>23</v>
      </c>
      <c r="Q910" s="60">
        <f>IFERROR(IF(12 / VLOOKUP(Table2[[#This Row],[Rateizzazione]],TIPI_RATEIZZAZIONI,2,FALSE) &gt;=1,  IF(Table2[[#This Row],[Data attivazione]] = "","-",MONTH(Table2[[#This Row],[Data attivazione]])),"-"),"-")</f>
        <v>12</v>
      </c>
      <c r="R9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0" s="67" t="s">
        <v>2</v>
      </c>
      <c r="V910" s="62"/>
      <c r="W910" s="64">
        <v>693597</v>
      </c>
      <c r="X910" s="29">
        <f>DATE(YEAR(Table2[[#This Row],[Data attivazione]])+VLOOKUP(Table2[[#This Row],[Durata]],VALORE_DURATA,2,FALSE),MONTH(Table2[[#This Row],[Data attivazione]]),DAY(Table2[[#This Row],[Data attivazione]]))</f>
        <v>693962</v>
      </c>
      <c r="Y910" s="65"/>
      <c r="Z910" s="61"/>
      <c r="AA910" s="64" t="s">
        <v>88</v>
      </c>
      <c r="AB910" s="29" t="str">
        <f>IF(Table2[[#This Row],[Data ultimo versamento temp]]=0/1/1900,"-",Table2[[#This Row],[Data ultimo versamento temp]])</f>
        <v>-</v>
      </c>
      <c r="AC910" s="29">
        <f t="array" ref="AC910">MAX(IF(TableVersamenti[Polizza]=Table2[[#This Row],[Polizza]],TableVersamenti[Data prevista versamento],"-"))</f>
        <v>0</v>
      </c>
      <c r="AD910" s="62"/>
      <c r="AE910" s="106">
        <f>DATE(YEAR(Table2[[#This Row],[Data ultimo pagamento]]),MONTH(Table2[[#This Row],[Data ultimo pagamento]]), 1)</f>
        <v>42186</v>
      </c>
      <c r="AF910" s="106">
        <f>DATE(YEAR(Table2[[#This Row],[Data prossima scadenza]]),MONTH(Table2[[#This Row],[Data prossima scadenza]]), 1)</f>
        <v>693932</v>
      </c>
      <c r="AG910" s="33">
        <f>IFERROR(Table2[[#This Row],[Importo annuale]]*VLOOKUP(Table2[[#This Row],[Ramo]],RAMI_POLIZZA,2,FALSE),0)</f>
        <v>11.615</v>
      </c>
      <c r="AH910" s="65" t="s">
        <v>113</v>
      </c>
      <c r="AI910" s="63">
        <f>IFERROR(VLOOKUP(Table2[[#This Row],[Contraente]],Table1[[Nome/Ragione sociale]:[Checkbox selezionato]],2,FALSE),"-")</f>
        <v>0</v>
      </c>
      <c r="AJ910" s="63">
        <f>IFERROR(VLOOKUP(Table2[[#This Row],[Contraente]],Table1[[Nome/Ragione sociale]:[Checkbox selezionato]],3,FALSE),"-")</f>
        <v>0</v>
      </c>
      <c r="AK910" s="63">
        <f>IFERROR(VLOOKUP(Table2[[#This Row],[Contraente]],Table1[[Nome/Ragione sociale]:[Checkbox selezionato]],4,FALSE),"-")</f>
        <v>0</v>
      </c>
      <c r="AL910" s="63">
        <f>IFERROR(VLOOKUP(Table2[[#This Row],[Contraente]],Table1[[Nome/Ragione sociale]:[Checkbox selezionato]],5,FALSE),"-")</f>
        <v>0</v>
      </c>
      <c r="AM910" s="62">
        <f>IFERROR(VLOOKUP(Table2[[#This Row],[Contraente]],Table1[[Nome/Ragione sociale]:[Checkbox selezionato]],6,FALSE),"-")</f>
        <v>0</v>
      </c>
      <c r="AN910" s="63" t="str">
        <f>IFERROR(VLOOKUP(Table2[[#This Row],[Contraente]],Table1[[Nome/Ragione sociale]:[Checkbox selezionato]],7,FALSE),"-")</f>
        <v>papies@libero.it</v>
      </c>
      <c r="AO910" s="63">
        <f>IFERROR(VLOOKUP(Table2[[#This Row],[Contraente]],Table1[[Nome/Ragione sociale]:[Checkbox selezionato]],8,FALSE),"-")</f>
        <v>0</v>
      </c>
      <c r="AP910" s="63">
        <f>IFERROR(VLOOKUP(Table2[[#This Row],[Contraente]],Table1[[Nome/Ragione sociale]:[Checkbox selezionato]],10,FALSE),"-")</f>
        <v>0</v>
      </c>
      <c r="AQ910" s="63" t="str">
        <f>IFERROR(VLOOKUP(Table2[[#This Row],[Contraente]],Table1[[Nome/Ragione sociale]:[Checkbox selezionato]],11,FALSE),"-")</f>
        <v>SI</v>
      </c>
      <c r="AR910" s="63" t="str">
        <f>IFERROR(VLOOKUP(Table2[[#This Row],[Contraente]],Table1[[Nome/Ragione sociale]:[Checkbox selezionato]],12,FALSE),"-")</f>
        <v>SI</v>
      </c>
    </row>
    <row r="911" spans="1:44" ht="30" hidden="1" customHeight="1" x14ac:dyDescent="0.25">
      <c r="A911" s="60" t="str">
        <f>UPPER(LEFT(Table2[[#This Row],[Contraente]],1))</f>
        <v>R</v>
      </c>
      <c r="B911" s="60" t="s">
        <v>1634</v>
      </c>
      <c r="C911" s="81" t="s">
        <v>409</v>
      </c>
      <c r="D911" s="81" t="s">
        <v>37</v>
      </c>
      <c r="E911" s="86">
        <v>104293726</v>
      </c>
      <c r="F911" s="64">
        <v>42303</v>
      </c>
      <c r="G911" s="64">
        <f>IFERROR(CALCOLASCADENZA(Table2[[#This Row],[Data attivazione]],Table2[[#This Row],[Rateizzazione]],Table2[[#This Row],[Data ultimo pagamento]],Table2[[#This Row],[Data prossima scadenza manuale]]),"-")</f>
        <v>42470</v>
      </c>
      <c r="H911" s="67" t="s">
        <v>31</v>
      </c>
      <c r="I911" s="67" t="s">
        <v>1514</v>
      </c>
      <c r="J911" s="33">
        <f>IFERROR(Table2[[#This Row],[Importo annuale]]/(12/VLOOKUP(Table2[[#This Row],[Rateizzazione]],TIPI_RATEIZZAZIONI,2,FALSE)),"-")</f>
        <v>390</v>
      </c>
      <c r="K911" s="88"/>
      <c r="L911" s="88">
        <v>780</v>
      </c>
      <c r="M911" s="67" t="s">
        <v>43</v>
      </c>
      <c r="N911" s="67" t="s">
        <v>52</v>
      </c>
      <c r="O911" s="27" t="s">
        <v>1631</v>
      </c>
      <c r="P911" s="33" t="s">
        <v>22</v>
      </c>
      <c r="Q911" s="60">
        <f>IFERROR(IF(12 / VLOOKUP(Table2[[#This Row],[Rateizzazione]],TIPI_RATEIZZAZIONI,2,FALSE) &gt;=1,  IF(Table2[[#This Row],[Data attivazione]] = "","-",MONTH(Table2[[#This Row],[Data attivazione]])),"-"),"-")</f>
        <v>4</v>
      </c>
      <c r="R9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9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1" s="67" t="s">
        <v>2</v>
      </c>
      <c r="V911" s="62"/>
      <c r="W911" s="64">
        <v>42104</v>
      </c>
      <c r="X911" s="29">
        <f>DATE(YEAR(Table2[[#This Row],[Data attivazione]])+VLOOKUP(Table2[[#This Row],[Durata]],VALORE_DURATA,2,FALSE),MONTH(Table2[[#This Row],[Data attivazione]]),DAY(Table2[[#This Row],[Data attivazione]]))</f>
        <v>42470</v>
      </c>
      <c r="Y911" s="65"/>
      <c r="Z911" s="61"/>
      <c r="AA911" s="64" t="s">
        <v>88</v>
      </c>
      <c r="AB911" s="29" t="str">
        <f>IF(Table2[[#This Row],[Data ultimo versamento temp]]=0/1/1900,"-",Table2[[#This Row],[Data ultimo versamento temp]])</f>
        <v>-</v>
      </c>
      <c r="AC911" s="29">
        <f t="array" ref="AC911">MAX(IF(TableVersamenti[Polizza]=Table2[[#This Row],[Polizza]],TableVersamenti[Data prevista versamento],"-"))</f>
        <v>0</v>
      </c>
      <c r="AD911" s="62"/>
      <c r="AE911" s="106">
        <f>DATE(YEAR(Table2[[#This Row],[Data ultimo pagamento]]),MONTH(Table2[[#This Row],[Data ultimo pagamento]]), 1)</f>
        <v>42278</v>
      </c>
      <c r="AF911" s="106">
        <f>DATE(YEAR(Table2[[#This Row],[Data prossima scadenza]]),MONTH(Table2[[#This Row],[Data prossima scadenza]]), 1)</f>
        <v>42461</v>
      </c>
      <c r="AG911" s="33">
        <f>IFERROR(Table2[[#This Row],[Importo annuale]]*VLOOKUP(Table2[[#This Row],[Ramo]],RAMI_POLIZZA,2,FALSE),0)</f>
        <v>40.559999999999995</v>
      </c>
      <c r="AH911" s="65" t="s">
        <v>113</v>
      </c>
      <c r="AI911" s="63">
        <f>IFERROR(VLOOKUP(Table2[[#This Row],[Contraente]],Table1[[Nome/Ragione sociale]:[Checkbox selezionato]],2,FALSE),"-")</f>
        <v>0</v>
      </c>
      <c r="AJ911" s="63">
        <f>IFERROR(VLOOKUP(Table2[[#This Row],[Contraente]],Table1[[Nome/Ragione sociale]:[Checkbox selezionato]],3,FALSE),"-")</f>
        <v>330211666</v>
      </c>
      <c r="AK911" s="63">
        <f>IFERROR(VLOOKUP(Table2[[#This Row],[Contraente]],Table1[[Nome/Ragione sociale]:[Checkbox selezionato]],4,FALSE),"-")</f>
        <v>0</v>
      </c>
      <c r="AL911" s="63" t="str">
        <f>IFERROR(VLOOKUP(Table2[[#This Row],[Contraente]],Table1[[Nome/Ragione sociale]:[Checkbox selezionato]],5,FALSE),"-")</f>
        <v>ERNESTINO</v>
      </c>
      <c r="AM911" s="62">
        <f>IFERROR(VLOOKUP(Table2[[#This Row],[Contraente]],Table1[[Nome/Ragione sociale]:[Checkbox selezionato]],6,FALSE),"-")</f>
        <v>0</v>
      </c>
      <c r="AN911" s="63" t="str">
        <f>IFERROR(VLOOKUP(Table2[[#This Row],[Contraente]],Table1[[Nome/Ragione sociale]:[Checkbox selezionato]],7,FALSE),"-")</f>
        <v>papies@libero.it</v>
      </c>
      <c r="AO911" s="63">
        <f>IFERROR(VLOOKUP(Table2[[#This Row],[Contraente]],Table1[[Nome/Ragione sociale]:[Checkbox selezionato]],8,FALSE),"-")</f>
        <v>0</v>
      </c>
      <c r="AP911" s="63">
        <f>IFERROR(VLOOKUP(Table2[[#This Row],[Contraente]],Table1[[Nome/Ragione sociale]:[Checkbox selezionato]],10,FALSE),"-")</f>
        <v>330211666</v>
      </c>
      <c r="AQ911" s="63" t="str">
        <f>IFERROR(VLOOKUP(Table2[[#This Row],[Contraente]],Table1[[Nome/Ragione sociale]:[Checkbox selezionato]],11,FALSE),"-")</f>
        <v>SI</v>
      </c>
      <c r="AR911" s="63" t="str">
        <f>IFERROR(VLOOKUP(Table2[[#This Row],[Contraente]],Table1[[Nome/Ragione sociale]:[Checkbox selezionato]],12,FALSE),"-")</f>
        <v>SI</v>
      </c>
    </row>
    <row r="912" spans="1:44" ht="30" hidden="1" customHeight="1" x14ac:dyDescent="0.25">
      <c r="A912" s="60" t="str">
        <f>UPPER(LEFT(Table2[[#This Row],[Contraente]],1))</f>
        <v>R</v>
      </c>
      <c r="B912" s="60" t="s">
        <v>1634</v>
      </c>
      <c r="C912" s="81" t="s">
        <v>940</v>
      </c>
      <c r="D912" s="81" t="s">
        <v>37</v>
      </c>
      <c r="E912" s="86">
        <v>103633585</v>
      </c>
      <c r="F912" s="64">
        <v>42167</v>
      </c>
      <c r="G912" s="64">
        <f>IFERROR(CALCOLASCADENZA(Table2[[#This Row],[Data attivazione]],Table2[[#This Row],[Rateizzazione]],Table2[[#This Row],[Data ultimo pagamento]],Table2[[#This Row],[Data prossima scadenza manuale]]),"-")</f>
        <v>42167</v>
      </c>
      <c r="H912" s="67" t="s">
        <v>31</v>
      </c>
      <c r="I912" s="67" t="s">
        <v>1513</v>
      </c>
      <c r="J912" s="33">
        <v>0</v>
      </c>
      <c r="K912" s="88"/>
      <c r="L912" s="88">
        <v>0</v>
      </c>
      <c r="M912" s="67" t="s">
        <v>43</v>
      </c>
      <c r="N912" s="67" t="s">
        <v>52</v>
      </c>
      <c r="O912" s="27" t="s">
        <v>1631</v>
      </c>
      <c r="P912" s="33" t="s">
        <v>24</v>
      </c>
      <c r="Q91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2" s="67" t="s">
        <v>2</v>
      </c>
      <c r="V912" s="62"/>
      <c r="W912" s="64">
        <v>693597</v>
      </c>
      <c r="X912" s="29">
        <f>DATE(YEAR(Table2[[#This Row],[Data attivazione]])+VLOOKUP(Table2[[#This Row],[Durata]],VALORE_DURATA,2,FALSE),MONTH(Table2[[#This Row],[Data attivazione]]),DAY(Table2[[#This Row],[Data attivazione]]))</f>
        <v>693962</v>
      </c>
      <c r="Y912" s="65"/>
      <c r="Z912" s="61"/>
      <c r="AA912" s="64" t="s">
        <v>88</v>
      </c>
      <c r="AB912" s="29" t="str">
        <f>IF(Table2[[#This Row],[Data ultimo versamento temp]]=0/1/1900,"-",Table2[[#This Row],[Data ultimo versamento temp]])</f>
        <v>-</v>
      </c>
      <c r="AC912" s="29">
        <f t="array" ref="AC912">MAX(IF(TableVersamenti[Polizza]=Table2[[#This Row],[Polizza]],TableVersamenti[Data prevista versamento],"-"))</f>
        <v>0</v>
      </c>
      <c r="AD912" s="62"/>
      <c r="AE912" s="106">
        <f>DATE(YEAR(Table2[[#This Row],[Data ultimo pagamento]]),MONTH(Table2[[#This Row],[Data ultimo pagamento]]), 1)</f>
        <v>42156</v>
      </c>
      <c r="AF912" s="106">
        <f>DATE(YEAR(Table2[[#This Row],[Data prossima scadenza]]),MONTH(Table2[[#This Row],[Data prossima scadenza]]), 1)</f>
        <v>42156</v>
      </c>
      <c r="AG912" s="33">
        <f>IFERROR(Table2[[#This Row],[Importo annuale]]*VLOOKUP(Table2[[#This Row],[Ramo]],RAMI_POLIZZA,2,FALSE),0)</f>
        <v>0</v>
      </c>
      <c r="AH912" s="65" t="s">
        <v>113</v>
      </c>
      <c r="AI912" s="63" t="str">
        <f>IFERROR(VLOOKUP(Table2[[#This Row],[Contraente]],Table1[[Nome/Ragione sociale]:[Checkbox selezionato]],2,FALSE),"-")</f>
        <v>VALLE SALIMBENE</v>
      </c>
      <c r="AJ912" s="63">
        <f>IFERROR(VLOOKUP(Table2[[#This Row],[Contraente]],Table1[[Nome/Ragione sociale]:[Checkbox selezionato]],3,FALSE),"-")</f>
        <v>3392018507</v>
      </c>
      <c r="AK912" s="63">
        <f>IFERROR(VLOOKUP(Table2[[#This Row],[Contraente]],Table1[[Nome/Ragione sociale]:[Checkbox selezionato]],4,FALSE),"-")</f>
        <v>3385350653</v>
      </c>
      <c r="AL912" s="63" t="str">
        <f>IFERROR(VLOOKUP(Table2[[#This Row],[Contraente]],Table1[[Nome/Ragione sociale]:[Checkbox selezionato]],5,FALSE),"-")</f>
        <v>MARCO</v>
      </c>
      <c r="AM912" s="62">
        <f>IFERROR(VLOOKUP(Table2[[#This Row],[Contraente]],Table1[[Nome/Ragione sociale]:[Checkbox selezionato]],6,FALSE),"-")</f>
        <v>24074</v>
      </c>
      <c r="AN912" s="63" t="str">
        <f>IFERROR(VLOOKUP(Table2[[#This Row],[Contraente]],Table1[[Nome/Ragione sociale]:[Checkbox selezionato]],7,FALSE),"-")</f>
        <v>papies@email.it</v>
      </c>
      <c r="AO912" s="63">
        <f>IFERROR(VLOOKUP(Table2[[#This Row],[Contraente]],Table1[[Nome/Ragione sociale]:[Checkbox selezionato]],8,FALSE),"-")</f>
        <v>0</v>
      </c>
      <c r="AP912" s="63">
        <f>IFERROR(VLOOKUP(Table2[[#This Row],[Contraente]],Table1[[Nome/Ragione sociale]:[Checkbox selezionato]],10,FALSE),"-")</f>
        <v>3392018507</v>
      </c>
      <c r="AQ912" s="63" t="str">
        <f>IFERROR(VLOOKUP(Table2[[#This Row],[Contraente]],Table1[[Nome/Ragione sociale]:[Checkbox selezionato]],11,FALSE),"-")</f>
        <v>SI</v>
      </c>
      <c r="AR912" s="63" t="str">
        <f>IFERROR(VLOOKUP(Table2[[#This Row],[Contraente]],Table1[[Nome/Ragione sociale]:[Checkbox selezionato]],12,FALSE),"-")</f>
        <v>SI</v>
      </c>
    </row>
    <row r="913" spans="1:44" ht="30" hidden="1" customHeight="1" x14ac:dyDescent="0.25">
      <c r="A913" s="60" t="str">
        <f>UPPER(LEFT(Table2[[#This Row],[Contraente]],1))</f>
        <v>R</v>
      </c>
      <c r="B913" s="60" t="s">
        <v>1634</v>
      </c>
      <c r="C913" s="81" t="s">
        <v>942</v>
      </c>
      <c r="D913" s="81" t="s">
        <v>37</v>
      </c>
      <c r="E913" s="86">
        <v>107107789</v>
      </c>
      <c r="F913" s="64">
        <v>42929</v>
      </c>
      <c r="G913" s="64">
        <f>IFERROR(CALCOLASCADENZA(Table2[[#This Row],[Data attivazione]],Table2[[#This Row],[Rateizzazione]],Table2[[#This Row],[Data ultimo pagamento]],Table2[[#This Row],[Data prossima scadenza manuale]]),"-")</f>
        <v>43295</v>
      </c>
      <c r="H913" s="67" t="s">
        <v>30</v>
      </c>
      <c r="I913" s="67" t="s">
        <v>113</v>
      </c>
      <c r="J913" s="33">
        <v>80</v>
      </c>
      <c r="K913" s="88">
        <v>80</v>
      </c>
      <c r="L913" s="88">
        <v>80</v>
      </c>
      <c r="M913" s="67" t="s">
        <v>45</v>
      </c>
      <c r="N913" s="67" t="s">
        <v>51</v>
      </c>
      <c r="O913" s="27" t="s">
        <v>1631</v>
      </c>
      <c r="P913" s="33" t="s">
        <v>23</v>
      </c>
      <c r="Q913" s="60">
        <f>IFERROR(IF(12 / VLOOKUP(Table2[[#This Row],[Rateizzazione]],TIPI_RATEIZZAZIONI,2,FALSE) &gt;=1,  IF(Table2[[#This Row],[Data attivazione]] = "","-",MONTH(Table2[[#This Row],[Data attivazione]])),"-"),"-")</f>
        <v>7</v>
      </c>
      <c r="R9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3" s="67" t="s">
        <v>2</v>
      </c>
      <c r="V913" s="62"/>
      <c r="W913" s="64">
        <v>42930</v>
      </c>
      <c r="X913" s="29">
        <f>DATE(YEAR(Table2[[#This Row],[Data attivazione]])+VLOOKUP(Table2[[#This Row],[Durata]],VALORE_DURATA,2,FALSE),MONTH(Table2[[#This Row],[Data attivazione]]),DAY(Table2[[#This Row],[Data attivazione]]))</f>
        <v>43295</v>
      </c>
      <c r="Y913" s="65"/>
      <c r="Z913" s="61"/>
      <c r="AA913" s="64" t="s">
        <v>85</v>
      </c>
      <c r="AB913" s="29">
        <f>IF(Table2[[#This Row],[Data ultimo versamento temp]]=0/1/1900,"-",Table2[[#This Row],[Data ultimo versamento temp]])</f>
        <v>42932</v>
      </c>
      <c r="AC913" s="29">
        <f t="array" ref="AC913">MAX(IF(TableVersamenti[Polizza]=Table2[[#This Row],[Polizza]],TableVersamenti[Data prevista versamento],"-"))</f>
        <v>42932</v>
      </c>
      <c r="AD913" s="62"/>
      <c r="AE913" s="106">
        <f>DATE(YEAR(Table2[[#This Row],[Data ultimo pagamento]]),MONTH(Table2[[#This Row],[Data ultimo pagamento]]), 1)</f>
        <v>42917</v>
      </c>
      <c r="AF913" s="106">
        <f>DATE(YEAR(Table2[[#This Row],[Data prossima scadenza]]),MONTH(Table2[[#This Row],[Data prossima scadenza]]), 1)</f>
        <v>43282</v>
      </c>
      <c r="AG913" s="33">
        <f>IFERROR(Table2[[#This Row],[Importo annuale]]*VLOOKUP(Table2[[#This Row],[Ramo]],RAMI_POLIZZA,2,FALSE),0)</f>
        <v>9.2000000000000011</v>
      </c>
      <c r="AH913" s="65" t="s">
        <v>113</v>
      </c>
      <c r="AI913" s="63">
        <f>IFERROR(VLOOKUP(Table2[[#This Row],[Contraente]],Table1[[Nome/Ragione sociale]:[Checkbox selezionato]],2,FALSE),"-")</f>
        <v>0</v>
      </c>
      <c r="AJ913" s="63">
        <f>IFERROR(VLOOKUP(Table2[[#This Row],[Contraente]],Table1[[Nome/Ragione sociale]:[Checkbox selezionato]],3,FALSE),"-")</f>
        <v>0</v>
      </c>
      <c r="AK913" s="63">
        <f>IFERROR(VLOOKUP(Table2[[#This Row],[Contraente]],Table1[[Nome/Ragione sociale]:[Checkbox selezionato]],4,FALSE),"-")</f>
        <v>0</v>
      </c>
      <c r="AL913" s="63">
        <f>IFERROR(VLOOKUP(Table2[[#This Row],[Contraente]],Table1[[Nome/Ragione sociale]:[Checkbox selezionato]],5,FALSE),"-")</f>
        <v>0</v>
      </c>
      <c r="AM913" s="62">
        <f>IFERROR(VLOOKUP(Table2[[#This Row],[Contraente]],Table1[[Nome/Ragione sociale]:[Checkbox selezionato]],6,FALSE),"-")</f>
        <v>0</v>
      </c>
      <c r="AN913" s="63" t="str">
        <f>IFERROR(VLOOKUP(Table2[[#This Row],[Contraente]],Table1[[Nome/Ragione sociale]:[Checkbox selezionato]],7,FALSE),"-")</f>
        <v>papies@libero.it</v>
      </c>
      <c r="AO913" s="63">
        <f>IFERROR(VLOOKUP(Table2[[#This Row],[Contraente]],Table1[[Nome/Ragione sociale]:[Checkbox selezionato]],8,FALSE),"-")</f>
        <v>0</v>
      </c>
      <c r="AP913" s="63">
        <f>IFERROR(VLOOKUP(Table2[[#This Row],[Contraente]],Table1[[Nome/Ragione sociale]:[Checkbox selezionato]],10,FALSE),"-")</f>
        <v>0</v>
      </c>
      <c r="AQ913" s="63" t="str">
        <f>IFERROR(VLOOKUP(Table2[[#This Row],[Contraente]],Table1[[Nome/Ragione sociale]:[Checkbox selezionato]],11,FALSE),"-")</f>
        <v>SI</v>
      </c>
      <c r="AR913" s="63" t="str">
        <f>IFERROR(VLOOKUP(Table2[[#This Row],[Contraente]],Table1[[Nome/Ragione sociale]:[Checkbox selezionato]],12,FALSE),"-")</f>
        <v>SI</v>
      </c>
    </row>
    <row r="914" spans="1:44" ht="30" hidden="1" customHeight="1" x14ac:dyDescent="0.25">
      <c r="A914" s="60" t="str">
        <f>UPPER(LEFT(Table2[[#This Row],[Contraente]],1))</f>
        <v>R</v>
      </c>
      <c r="B914" s="60" t="s">
        <v>1634</v>
      </c>
      <c r="C914" s="81" t="s">
        <v>942</v>
      </c>
      <c r="D914" s="81" t="s">
        <v>37</v>
      </c>
      <c r="E914" s="86">
        <v>107107914</v>
      </c>
      <c r="F914" s="64">
        <v>42929</v>
      </c>
      <c r="G914" s="64">
        <f>IFERROR(CALCOLASCADENZA(Table2[[#This Row],[Data attivazione]],Table2[[#This Row],[Rateizzazione]],Table2[[#This Row],[Data ultimo pagamento]],Table2[[#This Row],[Data prossima scadenza manuale]]),"-")</f>
        <v>43295</v>
      </c>
      <c r="H914" s="67" t="s">
        <v>31</v>
      </c>
      <c r="I914" s="67" t="s">
        <v>1515</v>
      </c>
      <c r="J914" s="33">
        <v>935</v>
      </c>
      <c r="K914" s="88">
        <v>935</v>
      </c>
      <c r="L914" s="88">
        <v>935</v>
      </c>
      <c r="M914" s="67" t="s">
        <v>45</v>
      </c>
      <c r="N914" s="67" t="s">
        <v>51</v>
      </c>
      <c r="O914" s="27" t="s">
        <v>1631</v>
      </c>
      <c r="P914" s="33" t="s">
        <v>23</v>
      </c>
      <c r="Q914" s="60">
        <f>IFERROR(IF(12 / VLOOKUP(Table2[[#This Row],[Rateizzazione]],TIPI_RATEIZZAZIONI,2,FALSE) &gt;=1,  IF(Table2[[#This Row],[Data attivazione]] = "","-",MONTH(Table2[[#This Row],[Data attivazione]])),"-"),"-")</f>
        <v>7</v>
      </c>
      <c r="R9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4" s="67" t="s">
        <v>2</v>
      </c>
      <c r="V914" s="62"/>
      <c r="W914" s="64">
        <v>42930</v>
      </c>
      <c r="X914" s="29">
        <f>DATE(YEAR(Table2[[#This Row],[Data attivazione]])+VLOOKUP(Table2[[#This Row],[Durata]],VALORE_DURATA,2,FALSE),MONTH(Table2[[#This Row],[Data attivazione]]),DAY(Table2[[#This Row],[Data attivazione]]))</f>
        <v>43295</v>
      </c>
      <c r="Y914" s="65"/>
      <c r="Z914" s="61"/>
      <c r="AA914" s="64" t="s">
        <v>85</v>
      </c>
      <c r="AB914" s="29">
        <f>IF(Table2[[#This Row],[Data ultimo versamento temp]]=0/1/1900,"-",Table2[[#This Row],[Data ultimo versamento temp]])</f>
        <v>42932</v>
      </c>
      <c r="AC914" s="29">
        <f t="array" ref="AC914">MAX(IF(TableVersamenti[Polizza]=Table2[[#This Row],[Polizza]],TableVersamenti[Data prevista versamento],"-"))</f>
        <v>42932</v>
      </c>
      <c r="AD914" s="62"/>
      <c r="AE914" s="106">
        <f>DATE(YEAR(Table2[[#This Row],[Data ultimo pagamento]]),MONTH(Table2[[#This Row],[Data ultimo pagamento]]), 1)</f>
        <v>42917</v>
      </c>
      <c r="AF914" s="106">
        <f>DATE(YEAR(Table2[[#This Row],[Data prossima scadenza]]),MONTH(Table2[[#This Row],[Data prossima scadenza]]), 1)</f>
        <v>43282</v>
      </c>
      <c r="AG914" s="33">
        <f>IFERROR(Table2[[#This Row],[Importo annuale]]*VLOOKUP(Table2[[#This Row],[Ramo]],RAMI_POLIZZA,2,FALSE),0)</f>
        <v>48.62</v>
      </c>
      <c r="AH914" s="65" t="s">
        <v>113</v>
      </c>
      <c r="AI914" s="63">
        <f>IFERROR(VLOOKUP(Table2[[#This Row],[Contraente]],Table1[[Nome/Ragione sociale]:[Checkbox selezionato]],2,FALSE),"-")</f>
        <v>0</v>
      </c>
      <c r="AJ914" s="63">
        <f>IFERROR(VLOOKUP(Table2[[#This Row],[Contraente]],Table1[[Nome/Ragione sociale]:[Checkbox selezionato]],3,FALSE),"-")</f>
        <v>0</v>
      </c>
      <c r="AK914" s="63">
        <f>IFERROR(VLOOKUP(Table2[[#This Row],[Contraente]],Table1[[Nome/Ragione sociale]:[Checkbox selezionato]],4,FALSE),"-")</f>
        <v>0</v>
      </c>
      <c r="AL914" s="63">
        <f>IFERROR(VLOOKUP(Table2[[#This Row],[Contraente]],Table1[[Nome/Ragione sociale]:[Checkbox selezionato]],5,FALSE),"-")</f>
        <v>0</v>
      </c>
      <c r="AM914" s="62">
        <f>IFERROR(VLOOKUP(Table2[[#This Row],[Contraente]],Table1[[Nome/Ragione sociale]:[Checkbox selezionato]],6,FALSE),"-")</f>
        <v>0</v>
      </c>
      <c r="AN914" s="63" t="str">
        <f>IFERROR(VLOOKUP(Table2[[#This Row],[Contraente]],Table1[[Nome/Ragione sociale]:[Checkbox selezionato]],7,FALSE),"-")</f>
        <v>papies@libero.it</v>
      </c>
      <c r="AO914" s="63">
        <f>IFERROR(VLOOKUP(Table2[[#This Row],[Contraente]],Table1[[Nome/Ragione sociale]:[Checkbox selezionato]],8,FALSE),"-")</f>
        <v>0</v>
      </c>
      <c r="AP914" s="63">
        <f>IFERROR(VLOOKUP(Table2[[#This Row],[Contraente]],Table1[[Nome/Ragione sociale]:[Checkbox selezionato]],10,FALSE),"-")</f>
        <v>0</v>
      </c>
      <c r="AQ914" s="63" t="str">
        <f>IFERROR(VLOOKUP(Table2[[#This Row],[Contraente]],Table1[[Nome/Ragione sociale]:[Checkbox selezionato]],11,FALSE),"-")</f>
        <v>SI</v>
      </c>
      <c r="AR914" s="63" t="str">
        <f>IFERROR(VLOOKUP(Table2[[#This Row],[Contraente]],Table1[[Nome/Ragione sociale]:[Checkbox selezionato]],12,FALSE),"-")</f>
        <v>SI</v>
      </c>
    </row>
    <row r="915" spans="1:44" ht="30" hidden="1" customHeight="1" x14ac:dyDescent="0.25">
      <c r="A915" s="60" t="str">
        <f>UPPER(LEFT(Table2[[#This Row],[Contraente]],1))</f>
        <v>R</v>
      </c>
      <c r="B915" s="60" t="s">
        <v>1634</v>
      </c>
      <c r="C915" s="47" t="s">
        <v>942</v>
      </c>
      <c r="D915" s="98" t="s">
        <v>37</v>
      </c>
      <c r="E915" s="99" t="s">
        <v>1826</v>
      </c>
      <c r="F915" s="109">
        <v>42930</v>
      </c>
      <c r="G915" s="64">
        <f>IFERROR(CALCOLASCADENZA(Table2[[#This Row],[Data attivazione]],Table2[[#This Row],[Rateizzazione]],Table2[[#This Row],[Data ultimo pagamento]],Table2[[#This Row],[Data prossima scadenza manuale]]),"-")</f>
        <v>43295</v>
      </c>
      <c r="H915" s="64" t="s">
        <v>32</v>
      </c>
      <c r="I915" s="64" t="s">
        <v>113</v>
      </c>
      <c r="J915" s="92">
        <f>IFERROR(Table2[[#This Row],[Importo annuale]]/(12/VLOOKUP(Table2[[#This Row],[Rateizzazione]],TIPI_RATEIZZAZIONI,2,FALSE)),"-")</f>
        <v>200</v>
      </c>
      <c r="K915" s="69">
        <v>200</v>
      </c>
      <c r="L915" s="69">
        <v>200</v>
      </c>
      <c r="M915" s="92" t="s">
        <v>45</v>
      </c>
      <c r="N915" s="92" t="s">
        <v>52</v>
      </c>
      <c r="O915" s="67" t="s">
        <v>1631</v>
      </c>
      <c r="P915" s="92" t="s">
        <v>23</v>
      </c>
      <c r="Q915" s="60">
        <f>IFERROR(IF(12 / VLOOKUP(Table2[[#This Row],[Rateizzazione]],TIPI_RATEIZZAZIONI,2,FALSE) &gt;=1,  IF(Table2[[#This Row],[Data attivazione]] = "","-",MONTH(Table2[[#This Row],[Data attivazione]])),"-"),"-")</f>
        <v>7</v>
      </c>
      <c r="R9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5" s="60" t="s">
        <v>2</v>
      </c>
      <c r="V915" s="62"/>
      <c r="W915" s="64">
        <v>42930</v>
      </c>
      <c r="X915" s="29">
        <f>DATE(YEAR(Table2[[#This Row],[Data attivazione]])+VLOOKUP(Table2[[#This Row],[Durata]],VALORE_DURATA,2,FALSE),MONTH(Table2[[#This Row],[Data attivazione]]),DAY(Table2[[#This Row],[Data attivazione]]))</f>
        <v>43295</v>
      </c>
      <c r="Y915" s="65"/>
      <c r="Z915" s="61"/>
      <c r="AA915" s="64" t="s">
        <v>85</v>
      </c>
      <c r="AB915" s="29" t="str">
        <f>IF(Table2[[#This Row],[Data ultimo versamento temp]]=0/1/1900,"-",Table2[[#This Row],[Data ultimo versamento temp]])</f>
        <v>-</v>
      </c>
      <c r="AC915" s="29">
        <f t="array" ref="AC915">MAX(IF(TableVersamenti[Polizza]=Table2[[#This Row],[Polizza]],TableVersamenti[Data prevista versamento],"-"))</f>
        <v>0</v>
      </c>
      <c r="AD915" s="62"/>
      <c r="AE915" s="105">
        <f>DATE(YEAR(Table2[[#This Row],[Data ultimo pagamento]]),MONTH(Table2[[#This Row],[Data ultimo pagamento]]), 1)</f>
        <v>42917</v>
      </c>
      <c r="AF915" s="106">
        <f>DATE(YEAR(Table2[[#This Row],[Data prossima scadenza]]),MONTH(Table2[[#This Row],[Data prossima scadenza]]), 1)</f>
        <v>43282</v>
      </c>
      <c r="AG915" s="92">
        <f>IFERROR(Table2[[#This Row],[Importo annuale]]*VLOOKUP(Table2[[#This Row],[Ramo]],RAMI_POLIZZA,2,FALSE),0)</f>
        <v>3</v>
      </c>
      <c r="AH915" s="65"/>
      <c r="AI915" s="63">
        <f>IFERROR(VLOOKUP(Table2[[#This Row],[Contraente]],Table1[[Nome/Ragione sociale]:[Checkbox selezionato]],2,FALSE),"-")</f>
        <v>0</v>
      </c>
      <c r="AJ915" s="63">
        <f>IFERROR(VLOOKUP(Table2[[#This Row],[Contraente]],Table1[[Nome/Ragione sociale]:[Checkbox selezionato]],3,FALSE),"-")</f>
        <v>0</v>
      </c>
      <c r="AK915" s="63">
        <f>IFERROR(VLOOKUP(Table2[[#This Row],[Contraente]],Table1[[Nome/Ragione sociale]:[Checkbox selezionato]],4,FALSE),"-")</f>
        <v>0</v>
      </c>
      <c r="AL915" s="63">
        <f>IFERROR(VLOOKUP(Table2[[#This Row],[Contraente]],Table1[[Nome/Ragione sociale]:[Checkbox selezionato]],5,FALSE),"-")</f>
        <v>0</v>
      </c>
      <c r="AM915" s="62">
        <f>IFERROR(VLOOKUP(Table2[[#This Row],[Contraente]],Table1[[Nome/Ragione sociale]:[Checkbox selezionato]],6,FALSE),"-")</f>
        <v>0</v>
      </c>
      <c r="AN915" s="63" t="str">
        <f>IFERROR(VLOOKUP(Table2[[#This Row],[Contraente]],Table1[[Nome/Ragione sociale]:[Checkbox selezionato]],7,FALSE),"-")</f>
        <v>papies@libero.it</v>
      </c>
      <c r="AO915" s="63">
        <f>IFERROR(VLOOKUP(Table2[[#This Row],[Contraente]],Table1[[Nome/Ragione sociale]:[Checkbox selezionato]],8,FALSE),"-")</f>
        <v>0</v>
      </c>
      <c r="AP915" s="63">
        <f>IFERROR(VLOOKUP(Table2[[#This Row],[Contraente]],Table1[[Nome/Ragione sociale]:[Checkbox selezionato]],10,FALSE),"-")</f>
        <v>0</v>
      </c>
      <c r="AQ915" s="63" t="str">
        <f>IFERROR(VLOOKUP(Table2[[#This Row],[Contraente]],Table1[[Nome/Ragione sociale]:[Checkbox selezionato]],11,FALSE),"-")</f>
        <v>SI</v>
      </c>
      <c r="AR915" s="63" t="str">
        <f>IFERROR(VLOOKUP(Table2[[#This Row],[Contraente]],Table1[[Nome/Ragione sociale]:[Checkbox selezionato]],12,FALSE),"-")</f>
        <v>SI</v>
      </c>
    </row>
    <row r="916" spans="1:44" ht="30" hidden="1" customHeight="1" x14ac:dyDescent="0.25">
      <c r="A916" s="60" t="str">
        <f>UPPER(LEFT(Table2[[#This Row],[Contraente]],1))</f>
        <v>R</v>
      </c>
      <c r="B916" s="60" t="s">
        <v>1634</v>
      </c>
      <c r="C916" s="80" t="s">
        <v>944</v>
      </c>
      <c r="D916" s="81" t="s">
        <v>37</v>
      </c>
      <c r="E916" s="86">
        <v>103986991</v>
      </c>
      <c r="F916" s="64">
        <v>42416</v>
      </c>
      <c r="G916" s="64">
        <f>IFERROR(CALCOLASCADENZA(Table2[[#This Row],[Data attivazione]],Table2[[#This Row],[Rateizzazione]],Table2[[#This Row],[Data ultimo pagamento]],Table2[[#This Row],[Data prossima scadenza manuale]]),"-")</f>
        <v>42520</v>
      </c>
      <c r="H916" s="67" t="s">
        <v>31</v>
      </c>
      <c r="I916" s="67" t="s">
        <v>1516</v>
      </c>
      <c r="J916" s="33">
        <f>IFERROR(Table2[[#This Row],[Importo annuale]]/(12/VLOOKUP(Table2[[#This Row],[Rateizzazione]],TIPI_RATEIZZAZIONI,2,FALSE)),"-")</f>
        <v>387</v>
      </c>
      <c r="K916" s="88"/>
      <c r="L916" s="88">
        <v>1161</v>
      </c>
      <c r="M916" s="67" t="s">
        <v>43</v>
      </c>
      <c r="N916" s="67" t="s">
        <v>51</v>
      </c>
      <c r="O916" s="27" t="s">
        <v>1631</v>
      </c>
      <c r="P916" s="33" t="s">
        <v>21</v>
      </c>
      <c r="Q916" s="60">
        <f>IFERROR(IF(12 / VLOOKUP(Table2[[#This Row],[Rateizzazione]],TIPI_RATEIZZAZIONI,2,FALSE) &gt;=1,  IF(Table2[[#This Row],[Data attivazione]] = "","-",MONTH(Table2[[#This Row],[Data attivazione]])),"-"),"-")</f>
        <v>5</v>
      </c>
      <c r="R9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91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9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6" s="67" t="s">
        <v>2</v>
      </c>
      <c r="V916" s="62"/>
      <c r="W916" s="64">
        <v>42154</v>
      </c>
      <c r="X916" s="29">
        <f>DATE(YEAR(Table2[[#This Row],[Data attivazione]])+VLOOKUP(Table2[[#This Row],[Durata]],VALORE_DURATA,2,FALSE),MONTH(Table2[[#This Row],[Data attivazione]]),DAY(Table2[[#This Row],[Data attivazione]]))</f>
        <v>42520</v>
      </c>
      <c r="Y916" s="65"/>
      <c r="Z916" s="61"/>
      <c r="AA916" s="64" t="s">
        <v>88</v>
      </c>
      <c r="AB916" s="29" t="str">
        <f>IF(Table2[[#This Row],[Data ultimo versamento temp]]=0/1/1900,"-",Table2[[#This Row],[Data ultimo versamento temp]])</f>
        <v>-</v>
      </c>
      <c r="AC916" s="29">
        <f t="array" ref="AC916">MAX(IF(TableVersamenti[Polizza]=Table2[[#This Row],[Polizza]],TableVersamenti[Data prevista versamento],"-"))</f>
        <v>0</v>
      </c>
      <c r="AD916" s="62"/>
      <c r="AE916" s="106">
        <f>DATE(YEAR(Table2[[#This Row],[Data ultimo pagamento]]),MONTH(Table2[[#This Row],[Data ultimo pagamento]]), 1)</f>
        <v>42401</v>
      </c>
      <c r="AF916" s="106">
        <f>DATE(YEAR(Table2[[#This Row],[Data prossima scadenza]]),MONTH(Table2[[#This Row],[Data prossima scadenza]]), 1)</f>
        <v>42491</v>
      </c>
      <c r="AG916" s="33">
        <f>IFERROR(Table2[[#This Row],[Importo annuale]]*VLOOKUP(Table2[[#This Row],[Ramo]],RAMI_POLIZZA,2,FALSE),0)</f>
        <v>60.372</v>
      </c>
      <c r="AH916" s="65" t="s">
        <v>113</v>
      </c>
      <c r="AI916" s="63" t="str">
        <f>IFERROR(VLOOKUP(Table2[[#This Row],[Contraente]],Table1[[Nome/Ragione sociale]:[Checkbox selezionato]],2,FALSE),"-")</f>
        <v>LUNGAVILLA</v>
      </c>
      <c r="AJ916" s="63">
        <f>IFERROR(VLOOKUP(Table2[[#This Row],[Contraente]],Table1[[Nome/Ragione sociale]:[Checkbox selezionato]],3,FALSE),"-")</f>
        <v>3333247897</v>
      </c>
      <c r="AK916" s="63">
        <f>IFERROR(VLOOKUP(Table2[[#This Row],[Contraente]],Table1[[Nome/Ragione sociale]:[Checkbox selezionato]],4,FALSE),"-")</f>
        <v>3207542472</v>
      </c>
      <c r="AL916" s="63" t="str">
        <f>IFERROR(VLOOKUP(Table2[[#This Row],[Contraente]],Table1[[Nome/Ragione sociale]:[Checkbox selezionato]],5,FALSE),"-")</f>
        <v>NICOLA</v>
      </c>
      <c r="AM916" s="62">
        <f>IFERROR(VLOOKUP(Table2[[#This Row],[Contraente]],Table1[[Nome/Ragione sociale]:[Checkbox selezionato]],6,FALSE),"-")</f>
        <v>29548</v>
      </c>
      <c r="AN916" s="63" t="str">
        <f>IFERROR(VLOOKUP(Table2[[#This Row],[Contraente]],Table1[[Nome/Ragione sociale]:[Checkbox selezionato]],7,FALSE),"-")</f>
        <v>papies@libero.it</v>
      </c>
      <c r="AO916" s="63">
        <f>IFERROR(VLOOKUP(Table2[[#This Row],[Contraente]],Table1[[Nome/Ragione sociale]:[Checkbox selezionato]],8,FALSE),"-")</f>
        <v>0</v>
      </c>
      <c r="AP916" s="63">
        <f>IFERROR(VLOOKUP(Table2[[#This Row],[Contraente]],Table1[[Nome/Ragione sociale]:[Checkbox selezionato]],10,FALSE),"-")</f>
        <v>3333247897</v>
      </c>
      <c r="AQ916" s="63" t="str">
        <f>IFERROR(VLOOKUP(Table2[[#This Row],[Contraente]],Table1[[Nome/Ragione sociale]:[Checkbox selezionato]],11,FALSE),"-")</f>
        <v>SI</v>
      </c>
      <c r="AR916" s="63" t="str">
        <f>IFERROR(VLOOKUP(Table2[[#This Row],[Contraente]],Table1[[Nome/Ragione sociale]:[Checkbox selezionato]],12,FALSE),"-")</f>
        <v>SI</v>
      </c>
    </row>
    <row r="917" spans="1:44" ht="30" hidden="1" customHeight="1" x14ac:dyDescent="0.25">
      <c r="A917" s="60" t="str">
        <f>UPPER(LEFT(Table2[[#This Row],[Contraente]],1))</f>
        <v>R</v>
      </c>
      <c r="B917" s="60" t="s">
        <v>1634</v>
      </c>
      <c r="C917" s="81" t="s">
        <v>943</v>
      </c>
      <c r="D917" s="81" t="s">
        <v>37</v>
      </c>
      <c r="E917" s="86">
        <v>105845531</v>
      </c>
      <c r="F917" s="64">
        <v>42761</v>
      </c>
      <c r="G917" s="64">
        <f>IFERROR(CALCOLASCADENZA(Table2[[#This Row],[Data attivazione]],Table2[[#This Row],[Rateizzazione]],Table2[[#This Row],[Data ultimo pagamento]],Table2[[#This Row],[Data prossima scadenza manuale]]),"-")</f>
        <v>42931</v>
      </c>
      <c r="H917" s="67" t="s">
        <v>30</v>
      </c>
      <c r="I917" s="67" t="s">
        <v>113</v>
      </c>
      <c r="J917" s="33">
        <f>IFERROR(Table2[[#This Row],[Importo annuale]]/(12/VLOOKUP(Table2[[#This Row],[Rateizzazione]],TIPI_RATEIZZAZIONI,2,FALSE)),"-")</f>
        <v>130</v>
      </c>
      <c r="K917" s="88">
        <v>130</v>
      </c>
      <c r="L917" s="88">
        <v>260</v>
      </c>
      <c r="M917" s="67" t="s">
        <v>44</v>
      </c>
      <c r="N917" s="67" t="s">
        <v>52</v>
      </c>
      <c r="O917" s="27" t="s">
        <v>1631</v>
      </c>
      <c r="P917" s="33" t="s">
        <v>22</v>
      </c>
      <c r="Q917" s="60">
        <f>IFERROR(IF(12 / VLOOKUP(Table2[[#This Row],[Rateizzazione]],TIPI_RATEIZZAZIONI,2,FALSE) &gt;=1,  IF(Table2[[#This Row],[Data attivazione]] = "","-",MONTH(Table2[[#This Row],[Data attivazione]])),"-"),"-")</f>
        <v>7</v>
      </c>
      <c r="R9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7" s="67" t="s">
        <v>133</v>
      </c>
      <c r="V917" s="62"/>
      <c r="W917" s="64">
        <v>42566</v>
      </c>
      <c r="X917" s="29">
        <f>DATE(YEAR(Table2[[#This Row],[Data attivazione]])+VLOOKUP(Table2[[#This Row],[Durata]],VALORE_DURATA,2,FALSE),MONTH(Table2[[#This Row],[Data attivazione]]),DAY(Table2[[#This Row],[Data attivazione]]))</f>
        <v>42931</v>
      </c>
      <c r="Y917" s="65"/>
      <c r="Z917" s="61"/>
      <c r="AA917" s="64" t="s">
        <v>85</v>
      </c>
      <c r="AB917" s="29" t="str">
        <f>IF(Table2[[#This Row],[Data ultimo versamento temp]]=0/1/1900,"-",Table2[[#This Row],[Data ultimo versamento temp]])</f>
        <v>-</v>
      </c>
      <c r="AC917" s="29">
        <f t="array" ref="AC917">MAX(IF(TableVersamenti[Polizza]=Table2[[#This Row],[Polizza]],TableVersamenti[Data prevista versamento],"-"))</f>
        <v>0</v>
      </c>
      <c r="AD917" s="62"/>
      <c r="AE917" s="106">
        <f>DATE(YEAR(Table2[[#This Row],[Data ultimo pagamento]]),MONTH(Table2[[#This Row],[Data ultimo pagamento]]), 1)</f>
        <v>42736</v>
      </c>
      <c r="AF917" s="106">
        <f>DATE(YEAR(Table2[[#This Row],[Data prossima scadenza]]),MONTH(Table2[[#This Row],[Data prossima scadenza]]), 1)</f>
        <v>42917</v>
      </c>
      <c r="AG917" s="33">
        <f>IFERROR(Table2[[#This Row],[Importo annuale]]*VLOOKUP(Table2[[#This Row],[Ramo]],RAMI_POLIZZA,2,FALSE),0)</f>
        <v>29.900000000000002</v>
      </c>
      <c r="AH917" s="65" t="s">
        <v>113</v>
      </c>
      <c r="AI917" s="63" t="str">
        <f>IFERROR(VLOOKUP(Table2[[#This Row],[Contraente]],Table1[[Nome/Ragione sociale]:[Checkbox selezionato]],2,FALSE),"-")</f>
        <v>ARENA PO</v>
      </c>
      <c r="AJ917" s="63" t="str">
        <f>IFERROR(VLOOKUP(Table2[[#This Row],[Contraente]],Table1[[Nome/Ragione sociale]:[Checkbox selezionato]],3,FALSE),"-")</f>
        <v>-</v>
      </c>
      <c r="AK917" s="63">
        <f>IFERROR(VLOOKUP(Table2[[#This Row],[Contraente]],Table1[[Nome/Ragione sociale]:[Checkbox selezionato]],4,FALSE),"-")</f>
        <v>0</v>
      </c>
      <c r="AL917" s="63">
        <f>IFERROR(VLOOKUP(Table2[[#This Row],[Contraente]],Table1[[Nome/Ragione sociale]:[Checkbox selezionato]],5,FALSE),"-")</f>
        <v>0</v>
      </c>
      <c r="AM917" s="62">
        <f>IFERROR(VLOOKUP(Table2[[#This Row],[Contraente]],Table1[[Nome/Ragione sociale]:[Checkbox selezionato]],6,FALSE),"-")</f>
        <v>19317</v>
      </c>
      <c r="AN917" s="63" t="str">
        <f>IFERROR(VLOOKUP(Table2[[#This Row],[Contraente]],Table1[[Nome/Ragione sociale]:[Checkbox selezionato]],7,FALSE),"-")</f>
        <v>papies@email.it</v>
      </c>
      <c r="AO917" s="63">
        <f>IFERROR(VLOOKUP(Table2[[#This Row],[Contraente]],Table1[[Nome/Ragione sociale]:[Checkbox selezionato]],8,FALSE),"-")</f>
        <v>0</v>
      </c>
      <c r="AP917" s="63" t="str">
        <f>IFERROR(VLOOKUP(Table2[[#This Row],[Contraente]],Table1[[Nome/Ragione sociale]:[Checkbox selezionato]],10,FALSE),"-")</f>
        <v>-</v>
      </c>
      <c r="AQ917" s="63" t="str">
        <f>IFERROR(VLOOKUP(Table2[[#This Row],[Contraente]],Table1[[Nome/Ragione sociale]:[Checkbox selezionato]],11,FALSE),"-")</f>
        <v>SI</v>
      </c>
      <c r="AR917" s="63" t="str">
        <f>IFERROR(VLOOKUP(Table2[[#This Row],[Contraente]],Table1[[Nome/Ragione sociale]:[Checkbox selezionato]],12,FALSE),"-")</f>
        <v>SI</v>
      </c>
    </row>
    <row r="918" spans="1:44" ht="30" hidden="1" customHeight="1" x14ac:dyDescent="0.25">
      <c r="A918" s="60" t="str">
        <f>UPPER(LEFT(Table2[[#This Row],[Contraente]],1))</f>
        <v>R</v>
      </c>
      <c r="B918" s="60" t="s">
        <v>1634</v>
      </c>
      <c r="C918" s="81" t="s">
        <v>945</v>
      </c>
      <c r="D918" s="81" t="s">
        <v>37</v>
      </c>
      <c r="E918" s="86">
        <v>104774876</v>
      </c>
      <c r="F918" s="64">
        <v>42613</v>
      </c>
      <c r="G918" s="64">
        <f>IFERROR(CALCOLASCADENZA(Table2[[#This Row],[Data attivazione]],Table2[[#This Row],[Rateizzazione]],Table2[[#This Row],[Data ultimo pagamento]],Table2[[#This Row],[Data prossima scadenza manuale]]),"-")</f>
        <v>42978</v>
      </c>
      <c r="H918" s="67" t="s">
        <v>31</v>
      </c>
      <c r="I918" s="67" t="s">
        <v>1517</v>
      </c>
      <c r="J918" s="33">
        <f>IFERROR(Table2[[#This Row],[Importo annuale]]/(12/VLOOKUP(Table2[[#This Row],[Rateizzazione]],TIPI_RATEIZZAZIONI,2,FALSE)),"-")</f>
        <v>937</v>
      </c>
      <c r="K918" s="88"/>
      <c r="L918" s="88">
        <v>937</v>
      </c>
      <c r="M918" s="67" t="s">
        <v>43</v>
      </c>
      <c r="N918" s="67" t="s">
        <v>51</v>
      </c>
      <c r="O918" s="27" t="s">
        <v>1631</v>
      </c>
      <c r="P918" s="33" t="s">
        <v>23</v>
      </c>
      <c r="Q918" s="60">
        <f>IFERROR(IF(12 / VLOOKUP(Table2[[#This Row],[Rateizzazione]],TIPI_RATEIZZAZIONI,2,FALSE) &gt;=1,  IF(Table2[[#This Row],[Data attivazione]] = "","-",MONTH(Table2[[#This Row],[Data attivazione]])),"-"),"-")</f>
        <v>8</v>
      </c>
      <c r="R9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8" s="67" t="s">
        <v>2</v>
      </c>
      <c r="V918" s="62"/>
      <c r="W918" s="64">
        <v>42613</v>
      </c>
      <c r="X918" s="29">
        <f>DATE(YEAR(Table2[[#This Row],[Data attivazione]])+VLOOKUP(Table2[[#This Row],[Durata]],VALORE_DURATA,2,FALSE),MONTH(Table2[[#This Row],[Data attivazione]]),DAY(Table2[[#This Row],[Data attivazione]]))</f>
        <v>42978</v>
      </c>
      <c r="Y918" s="65"/>
      <c r="Z918" s="61"/>
      <c r="AA918" s="64" t="s">
        <v>85</v>
      </c>
      <c r="AB918" s="29" t="str">
        <f>IF(Table2[[#This Row],[Data ultimo versamento temp]]=0/1/1900,"-",Table2[[#This Row],[Data ultimo versamento temp]])</f>
        <v>-</v>
      </c>
      <c r="AC918" s="29">
        <f t="array" ref="AC918">MAX(IF(TableVersamenti[Polizza]=Table2[[#This Row],[Polizza]],TableVersamenti[Data prevista versamento],"-"))</f>
        <v>0</v>
      </c>
      <c r="AD918" s="62"/>
      <c r="AE918" s="106">
        <f>DATE(YEAR(Table2[[#This Row],[Data ultimo pagamento]]),MONTH(Table2[[#This Row],[Data ultimo pagamento]]), 1)</f>
        <v>42583</v>
      </c>
      <c r="AF918" s="106">
        <f>DATE(YEAR(Table2[[#This Row],[Data prossima scadenza]]),MONTH(Table2[[#This Row],[Data prossima scadenza]]), 1)</f>
        <v>42948</v>
      </c>
      <c r="AG918" s="33">
        <f>IFERROR(Table2[[#This Row],[Importo annuale]]*VLOOKUP(Table2[[#This Row],[Ramo]],RAMI_POLIZZA,2,FALSE),0)</f>
        <v>48.723999999999997</v>
      </c>
      <c r="AH918" s="65" t="s">
        <v>113</v>
      </c>
      <c r="AI918" s="63" t="str">
        <f>IFERROR(VLOOKUP(Table2[[#This Row],[Contraente]],Table1[[Nome/Ragione sociale]:[Checkbox selezionato]],2,FALSE),"-")</f>
        <v>TORRE DE' NEGRI</v>
      </c>
      <c r="AJ918" s="63">
        <f>IFERROR(VLOOKUP(Table2[[#This Row],[Contraente]],Table1[[Nome/Ragione sociale]:[Checkbox selezionato]],3,FALSE),"-")</f>
        <v>3312230243</v>
      </c>
      <c r="AK918" s="63">
        <f>IFERROR(VLOOKUP(Table2[[#This Row],[Contraente]],Table1[[Nome/Ragione sociale]:[Checkbox selezionato]],4,FALSE),"-")</f>
        <v>3774931123</v>
      </c>
      <c r="AL918" s="63" t="str">
        <f>IFERROR(VLOOKUP(Table2[[#This Row],[Contraente]],Table1[[Nome/Ragione sociale]:[Checkbox selezionato]],5,FALSE),"-")</f>
        <v>MARIO</v>
      </c>
      <c r="AM918" s="62">
        <f>IFERROR(VLOOKUP(Table2[[#This Row],[Contraente]],Table1[[Nome/Ragione sociale]:[Checkbox selezionato]],6,FALSE),"-")</f>
        <v>25249</v>
      </c>
      <c r="AN918" s="63" t="str">
        <f>IFERROR(VLOOKUP(Table2[[#This Row],[Contraente]],Table1[[Nome/Ragione sociale]:[Checkbox selezionato]],7,FALSE),"-")</f>
        <v>papies@libero.it</v>
      </c>
      <c r="AO918" s="63">
        <f>IFERROR(VLOOKUP(Table2[[#This Row],[Contraente]],Table1[[Nome/Ragione sociale]:[Checkbox selezionato]],8,FALSE),"-")</f>
        <v>0</v>
      </c>
      <c r="AP918" s="63">
        <f>IFERROR(VLOOKUP(Table2[[#This Row],[Contraente]],Table1[[Nome/Ragione sociale]:[Checkbox selezionato]],10,FALSE),"-")</f>
        <v>3312230243</v>
      </c>
      <c r="AQ918" s="63" t="str">
        <f>IFERROR(VLOOKUP(Table2[[#This Row],[Contraente]],Table1[[Nome/Ragione sociale]:[Checkbox selezionato]],11,FALSE),"-")</f>
        <v>SI</v>
      </c>
      <c r="AR918" s="63" t="str">
        <f>IFERROR(VLOOKUP(Table2[[#This Row],[Contraente]],Table1[[Nome/Ragione sociale]:[Checkbox selezionato]],12,FALSE),"-")</f>
        <v>SI</v>
      </c>
    </row>
    <row r="919" spans="1:44" ht="30" hidden="1" customHeight="1" x14ac:dyDescent="0.25">
      <c r="A919" s="60" t="str">
        <f>UPPER(LEFT(Table2[[#This Row],[Contraente]],1))</f>
        <v>R</v>
      </c>
      <c r="B919" s="60" t="s">
        <v>1634</v>
      </c>
      <c r="C919" s="81" t="s">
        <v>945</v>
      </c>
      <c r="D919" s="81" t="s">
        <v>37</v>
      </c>
      <c r="E919" s="86">
        <v>104774864</v>
      </c>
      <c r="F919" s="64">
        <v>42613</v>
      </c>
      <c r="G919" s="64">
        <f>IFERROR(CALCOLASCADENZA(Table2[[#This Row],[Data attivazione]],Table2[[#This Row],[Rateizzazione]],Table2[[#This Row],[Data ultimo pagamento]],Table2[[#This Row],[Data prossima scadenza manuale]]),"-")</f>
        <v>42978</v>
      </c>
      <c r="H919" s="67" t="s">
        <v>30</v>
      </c>
      <c r="I919" s="67" t="s">
        <v>113</v>
      </c>
      <c r="J919" s="33">
        <f>IFERROR(Table2[[#This Row],[Importo annuale]]/(12/VLOOKUP(Table2[[#This Row],[Rateizzazione]],TIPI_RATEIZZAZIONI,2,FALSE)),"-")</f>
        <v>195</v>
      </c>
      <c r="K919" s="88"/>
      <c r="L919" s="88">
        <v>195</v>
      </c>
      <c r="M919" s="67" t="s">
        <v>43</v>
      </c>
      <c r="N919" s="67" t="s">
        <v>51</v>
      </c>
      <c r="O919" s="27" t="s">
        <v>1632</v>
      </c>
      <c r="P919" s="33" t="s">
        <v>23</v>
      </c>
      <c r="Q919" s="60">
        <f>IFERROR(IF(12 / VLOOKUP(Table2[[#This Row],[Rateizzazione]],TIPI_RATEIZZAZIONI,2,FALSE) &gt;=1,  IF(Table2[[#This Row],[Data attivazione]] = "","-",MONTH(Table2[[#This Row],[Data attivazione]])),"-"),"-")</f>
        <v>8</v>
      </c>
      <c r="R9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9" s="67" t="s">
        <v>2</v>
      </c>
      <c r="V919" s="62"/>
      <c r="W919" s="64">
        <v>39325</v>
      </c>
      <c r="X919" s="29">
        <f>DATE(YEAR(Table2[[#This Row],[Data attivazione]])+VLOOKUP(Table2[[#This Row],[Durata]],VALORE_DURATA,2,FALSE),MONTH(Table2[[#This Row],[Data attivazione]]),DAY(Table2[[#This Row],[Data attivazione]]))</f>
        <v>42978</v>
      </c>
      <c r="Y919" s="65"/>
      <c r="Z919" s="61"/>
      <c r="AA919" s="64" t="s">
        <v>85</v>
      </c>
      <c r="AB919" s="29" t="str">
        <f>IF(Table2[[#This Row],[Data ultimo versamento temp]]=0/1/1900,"-",Table2[[#This Row],[Data ultimo versamento temp]])</f>
        <v>-</v>
      </c>
      <c r="AC919" s="29">
        <f t="array" ref="AC919">MAX(IF(TableVersamenti[Polizza]=Table2[[#This Row],[Polizza]],TableVersamenti[Data prevista versamento],"-"))</f>
        <v>0</v>
      </c>
      <c r="AD919" s="62"/>
      <c r="AE919" s="106">
        <f>DATE(YEAR(Table2[[#This Row],[Data ultimo pagamento]]),MONTH(Table2[[#This Row],[Data ultimo pagamento]]), 1)</f>
        <v>42583</v>
      </c>
      <c r="AF919" s="106">
        <f>DATE(YEAR(Table2[[#This Row],[Data prossima scadenza]]),MONTH(Table2[[#This Row],[Data prossima scadenza]]), 1)</f>
        <v>42948</v>
      </c>
      <c r="AG919" s="33">
        <f>IFERROR(Table2[[#This Row],[Importo annuale]]*VLOOKUP(Table2[[#This Row],[Ramo]],RAMI_POLIZZA,2,FALSE),0)</f>
        <v>22.425000000000001</v>
      </c>
      <c r="AH919" s="65" t="s">
        <v>113</v>
      </c>
      <c r="AI919" s="63" t="str">
        <f>IFERROR(VLOOKUP(Table2[[#This Row],[Contraente]],Table1[[Nome/Ragione sociale]:[Checkbox selezionato]],2,FALSE),"-")</f>
        <v>TORRE DE' NEGRI</v>
      </c>
      <c r="AJ919" s="63">
        <f>IFERROR(VLOOKUP(Table2[[#This Row],[Contraente]],Table1[[Nome/Ragione sociale]:[Checkbox selezionato]],3,FALSE),"-")</f>
        <v>3312230243</v>
      </c>
      <c r="AK919" s="63">
        <f>IFERROR(VLOOKUP(Table2[[#This Row],[Contraente]],Table1[[Nome/Ragione sociale]:[Checkbox selezionato]],4,FALSE),"-")</f>
        <v>3774931123</v>
      </c>
      <c r="AL919" s="63" t="str">
        <f>IFERROR(VLOOKUP(Table2[[#This Row],[Contraente]],Table1[[Nome/Ragione sociale]:[Checkbox selezionato]],5,FALSE),"-")</f>
        <v>MARIO</v>
      </c>
      <c r="AM919" s="62">
        <f>IFERROR(VLOOKUP(Table2[[#This Row],[Contraente]],Table1[[Nome/Ragione sociale]:[Checkbox selezionato]],6,FALSE),"-")</f>
        <v>25249</v>
      </c>
      <c r="AN919" s="63" t="str">
        <f>IFERROR(VLOOKUP(Table2[[#This Row],[Contraente]],Table1[[Nome/Ragione sociale]:[Checkbox selezionato]],7,FALSE),"-")</f>
        <v>papies@libero.it</v>
      </c>
      <c r="AO919" s="63">
        <f>IFERROR(VLOOKUP(Table2[[#This Row],[Contraente]],Table1[[Nome/Ragione sociale]:[Checkbox selezionato]],8,FALSE),"-")</f>
        <v>0</v>
      </c>
      <c r="AP919" s="63">
        <f>IFERROR(VLOOKUP(Table2[[#This Row],[Contraente]],Table1[[Nome/Ragione sociale]:[Checkbox selezionato]],10,FALSE),"-")</f>
        <v>3312230243</v>
      </c>
      <c r="AQ919" s="63" t="str">
        <f>IFERROR(VLOOKUP(Table2[[#This Row],[Contraente]],Table1[[Nome/Ragione sociale]:[Checkbox selezionato]],11,FALSE),"-")</f>
        <v>SI</v>
      </c>
      <c r="AR919" s="63" t="str">
        <f>IFERROR(VLOOKUP(Table2[[#This Row],[Contraente]],Table1[[Nome/Ragione sociale]:[Checkbox selezionato]],12,FALSE),"-")</f>
        <v>SI</v>
      </c>
    </row>
    <row r="920" spans="1:44" ht="30" hidden="1" customHeight="1" x14ac:dyDescent="0.25">
      <c r="A920" s="60" t="str">
        <f>UPPER(LEFT(Table2[[#This Row],[Contraente]],1))</f>
        <v>R</v>
      </c>
      <c r="B920" s="60" t="s">
        <v>1634</v>
      </c>
      <c r="C920" s="81" t="s">
        <v>949</v>
      </c>
      <c r="D920" s="81" t="s">
        <v>37</v>
      </c>
      <c r="E920" s="86">
        <v>106079373</v>
      </c>
      <c r="F920" s="64">
        <v>42643</v>
      </c>
      <c r="G920" s="64">
        <f>IFERROR(CALCOLASCADENZA(Table2[[#This Row],[Data attivazione]],Table2[[#This Row],[Rateizzazione]],Table2[[#This Row],[Data ultimo pagamento]],Table2[[#This Row],[Data prossima scadenza manuale]]),"-")</f>
        <v>43008</v>
      </c>
      <c r="H920" s="67" t="s">
        <v>31</v>
      </c>
      <c r="I920" s="67" t="s">
        <v>1526</v>
      </c>
      <c r="J920" s="33">
        <f>IFERROR(Table2[[#This Row],[Importo annuale]]/(12/VLOOKUP(Table2[[#This Row],[Rateizzazione]],TIPI_RATEIZZAZIONI,2,FALSE)),"-")</f>
        <v>425</v>
      </c>
      <c r="K920" s="88"/>
      <c r="L920" s="88">
        <v>425</v>
      </c>
      <c r="M920" s="67" t="s">
        <v>43</v>
      </c>
      <c r="N920" s="67" t="s">
        <v>52</v>
      </c>
      <c r="O920" s="27" t="s">
        <v>1631</v>
      </c>
      <c r="P920" s="33" t="s">
        <v>23</v>
      </c>
      <c r="Q920" s="60">
        <f>IFERROR(IF(12 / VLOOKUP(Table2[[#This Row],[Rateizzazione]],TIPI_RATEIZZAZIONI,2,FALSE) &gt;=1,  IF(Table2[[#This Row],[Data attivazione]] = "","-",MONTH(Table2[[#This Row],[Data attivazione]])),"-"),"-")</f>
        <v>9</v>
      </c>
      <c r="R9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0" s="67" t="s">
        <v>2</v>
      </c>
      <c r="V920" s="62"/>
      <c r="W920" s="64">
        <v>42643</v>
      </c>
      <c r="X920" s="29">
        <f>DATE(YEAR(Table2[[#This Row],[Data attivazione]])+VLOOKUP(Table2[[#This Row],[Durata]],VALORE_DURATA,2,FALSE),MONTH(Table2[[#This Row],[Data attivazione]]),DAY(Table2[[#This Row],[Data attivazione]]))</f>
        <v>43008</v>
      </c>
      <c r="Y920" s="65"/>
      <c r="Z920" s="61"/>
      <c r="AA920" s="64" t="s">
        <v>85</v>
      </c>
      <c r="AB920" s="29" t="str">
        <f>IF(Table2[[#This Row],[Data ultimo versamento temp]]=0/1/1900,"-",Table2[[#This Row],[Data ultimo versamento temp]])</f>
        <v>-</v>
      </c>
      <c r="AC920" s="29">
        <f t="array" ref="AC920">MAX(IF(TableVersamenti[Polizza]=Table2[[#This Row],[Polizza]],TableVersamenti[Data prevista versamento],"-"))</f>
        <v>0</v>
      </c>
      <c r="AD920" s="62"/>
      <c r="AE920" s="106">
        <f>DATE(YEAR(Table2[[#This Row],[Data ultimo pagamento]]),MONTH(Table2[[#This Row],[Data ultimo pagamento]]), 1)</f>
        <v>42614</v>
      </c>
      <c r="AF920" s="106">
        <f>DATE(YEAR(Table2[[#This Row],[Data prossima scadenza]]),MONTH(Table2[[#This Row],[Data prossima scadenza]]), 1)</f>
        <v>42979</v>
      </c>
      <c r="AG920" s="33">
        <f>IFERROR(Table2[[#This Row],[Importo annuale]]*VLOOKUP(Table2[[#This Row],[Ramo]],RAMI_POLIZZA,2,FALSE),0)</f>
        <v>22.099999999999998</v>
      </c>
      <c r="AH920" s="65" t="s">
        <v>113</v>
      </c>
      <c r="AI920" s="63" t="str">
        <f>IFERROR(VLOOKUP(Table2[[#This Row],[Contraente]],Table1[[Nome/Ragione sociale]:[Checkbox selezionato]],2,FALSE),"-")</f>
        <v>VALLE SALIMBENE</v>
      </c>
      <c r="AJ920" s="63">
        <f>IFERROR(VLOOKUP(Table2[[#This Row],[Contraente]],Table1[[Nome/Ragione sociale]:[Checkbox selezionato]],3,FALSE),"-")</f>
        <v>0</v>
      </c>
      <c r="AK920" s="63">
        <f>IFERROR(VLOOKUP(Table2[[#This Row],[Contraente]],Table1[[Nome/Ragione sociale]:[Checkbox selezionato]],4,FALSE),"-")</f>
        <v>0</v>
      </c>
      <c r="AL920" s="63">
        <f>IFERROR(VLOOKUP(Table2[[#This Row],[Contraente]],Table1[[Nome/Ragione sociale]:[Checkbox selezionato]],5,FALSE),"-")</f>
        <v>0</v>
      </c>
      <c r="AM920" s="62">
        <f>IFERROR(VLOOKUP(Table2[[#This Row],[Contraente]],Table1[[Nome/Ragione sociale]:[Checkbox selezionato]],6,FALSE),"-")</f>
        <v>0</v>
      </c>
      <c r="AN920" s="63" t="str">
        <f>IFERROR(VLOOKUP(Table2[[#This Row],[Contraente]],Table1[[Nome/Ragione sociale]:[Checkbox selezionato]],7,FALSE),"-")</f>
        <v>papies@libero.it</v>
      </c>
      <c r="AO920" s="63">
        <f>IFERROR(VLOOKUP(Table2[[#This Row],[Contraente]],Table1[[Nome/Ragione sociale]:[Checkbox selezionato]],8,FALSE),"-")</f>
        <v>0</v>
      </c>
      <c r="AP920" s="63">
        <f>IFERROR(VLOOKUP(Table2[[#This Row],[Contraente]],Table1[[Nome/Ragione sociale]:[Checkbox selezionato]],10,FALSE),"-")</f>
        <v>0</v>
      </c>
      <c r="AQ920" s="63" t="str">
        <f>IFERROR(VLOOKUP(Table2[[#This Row],[Contraente]],Table1[[Nome/Ragione sociale]:[Checkbox selezionato]],11,FALSE),"-")</f>
        <v>SI</v>
      </c>
      <c r="AR920" s="63" t="str">
        <f>IFERROR(VLOOKUP(Table2[[#This Row],[Contraente]],Table1[[Nome/Ragione sociale]:[Checkbox selezionato]],12,FALSE),"-")</f>
        <v>SI</v>
      </c>
    </row>
    <row r="921" spans="1:44" ht="30" hidden="1" customHeight="1" x14ac:dyDescent="0.25">
      <c r="A921" s="60" t="str">
        <f>UPPER(LEFT(Table2[[#This Row],[Contraente]],1))</f>
        <v>R</v>
      </c>
      <c r="B921" s="60" t="s">
        <v>1634</v>
      </c>
      <c r="C921" s="81" t="s">
        <v>946</v>
      </c>
      <c r="D921" s="81" t="s">
        <v>37</v>
      </c>
      <c r="E921" s="86">
        <v>106837134</v>
      </c>
      <c r="F921" s="64">
        <v>42864</v>
      </c>
      <c r="G921" s="64">
        <f>IFERROR(CALCOLASCADENZA(Table2[[#This Row],[Data attivazione]],Table2[[#This Row],[Rateizzazione]],Table2[[#This Row],[Data ultimo pagamento]],Table2[[#This Row],[Data prossima scadenza manuale]]),"-")</f>
        <v>43226</v>
      </c>
      <c r="H921" s="67" t="s">
        <v>31</v>
      </c>
      <c r="I921" s="67" t="s">
        <v>1518</v>
      </c>
      <c r="J921" s="33">
        <f>IFERROR(Table2[[#This Row],[Importo annuale]]/(12/VLOOKUP(Table2[[#This Row],[Rateizzazione]],TIPI_RATEIZZAZIONI,2,FALSE)),"-")</f>
        <v>930</v>
      </c>
      <c r="K921" s="88">
        <v>930</v>
      </c>
      <c r="L921" s="88">
        <v>930</v>
      </c>
      <c r="M921" s="67" t="s">
        <v>44</v>
      </c>
      <c r="N921" s="67" t="s">
        <v>51</v>
      </c>
      <c r="O921" s="27" t="s">
        <v>1631</v>
      </c>
      <c r="P921" s="33" t="s">
        <v>23</v>
      </c>
      <c r="Q921" s="60">
        <f>IFERROR(IF(12 / VLOOKUP(Table2[[#This Row],[Rateizzazione]],TIPI_RATEIZZAZIONI,2,FALSE) &gt;=1,  IF(Table2[[#This Row],[Data attivazione]] = "","-",MONTH(Table2[[#This Row],[Data attivazione]])),"-"),"-")</f>
        <v>5</v>
      </c>
      <c r="R9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1" s="67" t="s">
        <v>2</v>
      </c>
      <c r="V921" s="62"/>
      <c r="W921" s="64">
        <v>42861</v>
      </c>
      <c r="X921" s="29">
        <f>DATE(YEAR(Table2[[#This Row],[Data attivazione]])+VLOOKUP(Table2[[#This Row],[Durata]],VALORE_DURATA,2,FALSE),MONTH(Table2[[#This Row],[Data attivazione]]),DAY(Table2[[#This Row],[Data attivazione]]))</f>
        <v>43226</v>
      </c>
      <c r="Y921" s="65"/>
      <c r="Z921" s="61"/>
      <c r="AA921" s="64" t="s">
        <v>85</v>
      </c>
      <c r="AB921" s="29" t="str">
        <f>IF(Table2[[#This Row],[Data ultimo versamento temp]]=0/1/1900,"-",Table2[[#This Row],[Data ultimo versamento temp]])</f>
        <v>-</v>
      </c>
      <c r="AC921" s="29">
        <f t="array" ref="AC921">MAX(IF(TableVersamenti[Polizza]=Table2[[#This Row],[Polizza]],TableVersamenti[Data prevista versamento],"-"))</f>
        <v>0</v>
      </c>
      <c r="AD921" s="62"/>
      <c r="AE921" s="106">
        <f>DATE(YEAR(Table2[[#This Row],[Data ultimo pagamento]]),MONTH(Table2[[#This Row],[Data ultimo pagamento]]), 1)</f>
        <v>42856</v>
      </c>
      <c r="AF921" s="106">
        <f>DATE(YEAR(Table2[[#This Row],[Data prossima scadenza]]),MONTH(Table2[[#This Row],[Data prossima scadenza]]), 1)</f>
        <v>43221</v>
      </c>
      <c r="AG921" s="33">
        <f>IFERROR(Table2[[#This Row],[Importo annuale]]*VLOOKUP(Table2[[#This Row],[Ramo]],RAMI_POLIZZA,2,FALSE),0)</f>
        <v>48.36</v>
      </c>
      <c r="AH921" s="65" t="s">
        <v>113</v>
      </c>
      <c r="AI921" s="63" t="str">
        <f>IFERROR(VLOOKUP(Table2[[#This Row],[Contraente]],Table1[[Nome/Ragione sociale]:[Checkbox selezionato]],2,FALSE),"-")</f>
        <v>MIRADOLO TERME</v>
      </c>
      <c r="AJ921" s="63">
        <f>IFERROR(VLOOKUP(Table2[[#This Row],[Contraente]],Table1[[Nome/Ragione sociale]:[Checkbox selezionato]],3,FALSE),"-")</f>
        <v>3661659231</v>
      </c>
      <c r="AK921" s="63">
        <f>IFERROR(VLOOKUP(Table2[[#This Row],[Contraente]],Table1[[Nome/Ragione sociale]:[Checkbox selezionato]],4,FALSE),"-")</f>
        <v>0</v>
      </c>
      <c r="AL921" s="63" t="str">
        <f>IFERROR(VLOOKUP(Table2[[#This Row],[Contraente]],Table1[[Nome/Ragione sociale]:[Checkbox selezionato]],5,FALSE),"-")</f>
        <v>VIRGINIE</v>
      </c>
      <c r="AM921" s="62">
        <f>IFERROR(VLOOKUP(Table2[[#This Row],[Contraente]],Table1[[Nome/Ragione sociale]:[Checkbox selezionato]],6,FALSE),"-")</f>
        <v>33313</v>
      </c>
      <c r="AN921" s="63" t="str">
        <f>IFERROR(VLOOKUP(Table2[[#This Row],[Contraente]],Table1[[Nome/Ragione sociale]:[Checkbox selezionato]],7,FALSE),"-")</f>
        <v>papies@email.it</v>
      </c>
      <c r="AO921" s="63">
        <f>IFERROR(VLOOKUP(Table2[[#This Row],[Contraente]],Table1[[Nome/Ragione sociale]:[Checkbox selezionato]],8,FALSE),"-")</f>
        <v>0</v>
      </c>
      <c r="AP921" s="63">
        <f>IFERROR(VLOOKUP(Table2[[#This Row],[Contraente]],Table1[[Nome/Ragione sociale]:[Checkbox selezionato]],10,FALSE),"-")</f>
        <v>3661659231</v>
      </c>
      <c r="AQ921" s="63" t="str">
        <f>IFERROR(VLOOKUP(Table2[[#This Row],[Contraente]],Table1[[Nome/Ragione sociale]:[Checkbox selezionato]],11,FALSE),"-")</f>
        <v>SI</v>
      </c>
      <c r="AR921" s="63" t="str">
        <f>IFERROR(VLOOKUP(Table2[[#This Row],[Contraente]],Table1[[Nome/Ragione sociale]:[Checkbox selezionato]],12,FALSE),"-")</f>
        <v>SI</v>
      </c>
    </row>
    <row r="922" spans="1:44" ht="30" hidden="1" customHeight="1" x14ac:dyDescent="0.25">
      <c r="A922" s="60" t="str">
        <f>UPPER(LEFT(Table2[[#This Row],[Contraente]],1))</f>
        <v>R</v>
      </c>
      <c r="B922" s="60" t="s">
        <v>1634</v>
      </c>
      <c r="C922" s="81" t="s">
        <v>946</v>
      </c>
      <c r="D922" s="81" t="s">
        <v>37</v>
      </c>
      <c r="E922" s="86">
        <v>103030618</v>
      </c>
      <c r="F922" s="64">
        <v>42864</v>
      </c>
      <c r="G922" s="64">
        <f>IFERROR(CALCOLASCADENZA(Table2[[#This Row],[Data attivazione]],Table2[[#This Row],[Rateizzazione]],Table2[[#This Row],[Data ultimo pagamento]],Table2[[#This Row],[Data prossima scadenza manuale]]),"-")</f>
        <v>43226</v>
      </c>
      <c r="H922" s="67" t="s">
        <v>30</v>
      </c>
      <c r="I922" s="67" t="s">
        <v>113</v>
      </c>
      <c r="J922" s="33">
        <f>IFERROR(Table2[[#This Row],[Importo annuale]]/(12/VLOOKUP(Table2[[#This Row],[Rateizzazione]],TIPI_RATEIZZAZIONI,2,FALSE)),"-")</f>
        <v>60</v>
      </c>
      <c r="K922" s="88">
        <v>60</v>
      </c>
      <c r="L922" s="88">
        <v>60</v>
      </c>
      <c r="M922" s="67" t="s">
        <v>44</v>
      </c>
      <c r="N922" s="67" t="s">
        <v>51</v>
      </c>
      <c r="O922" s="27" t="s">
        <v>1631</v>
      </c>
      <c r="P922" s="33" t="s">
        <v>23</v>
      </c>
      <c r="Q922" s="60">
        <f>IFERROR(IF(12 / VLOOKUP(Table2[[#This Row],[Rateizzazione]],TIPI_RATEIZZAZIONI,2,FALSE) &gt;=1,  IF(Table2[[#This Row],[Data attivazione]] = "","-",MONTH(Table2[[#This Row],[Data attivazione]])),"-"),"-")</f>
        <v>5</v>
      </c>
      <c r="R9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2" s="67" t="s">
        <v>2</v>
      </c>
      <c r="V922" s="62"/>
      <c r="W922" s="64">
        <v>42861</v>
      </c>
      <c r="X922" s="29">
        <f>DATE(YEAR(Table2[[#This Row],[Data attivazione]])+VLOOKUP(Table2[[#This Row],[Durata]],VALORE_DURATA,2,FALSE),MONTH(Table2[[#This Row],[Data attivazione]]),DAY(Table2[[#This Row],[Data attivazione]]))</f>
        <v>43226</v>
      </c>
      <c r="Y922" s="65"/>
      <c r="Z922" s="61"/>
      <c r="AA922" s="64" t="s">
        <v>85</v>
      </c>
      <c r="AB922" s="29" t="str">
        <f>IF(Table2[[#This Row],[Data ultimo versamento temp]]=0/1/1900,"-",Table2[[#This Row],[Data ultimo versamento temp]])</f>
        <v>-</v>
      </c>
      <c r="AC922" s="29">
        <f t="array" ref="AC922">MAX(IF(TableVersamenti[Polizza]=Table2[[#This Row],[Polizza]],TableVersamenti[Data prevista versamento],"-"))</f>
        <v>0</v>
      </c>
      <c r="AD922" s="62"/>
      <c r="AE922" s="106">
        <f>DATE(YEAR(Table2[[#This Row],[Data ultimo pagamento]]),MONTH(Table2[[#This Row],[Data ultimo pagamento]]), 1)</f>
        <v>42856</v>
      </c>
      <c r="AF922" s="106">
        <f>DATE(YEAR(Table2[[#This Row],[Data prossima scadenza]]),MONTH(Table2[[#This Row],[Data prossima scadenza]]), 1)</f>
        <v>43221</v>
      </c>
      <c r="AG922" s="33">
        <f>IFERROR(Table2[[#This Row],[Importo annuale]]*VLOOKUP(Table2[[#This Row],[Ramo]],RAMI_POLIZZA,2,FALSE),0)</f>
        <v>6.9</v>
      </c>
      <c r="AH922" s="65" t="s">
        <v>113</v>
      </c>
      <c r="AI922" s="63" t="str">
        <f>IFERROR(VLOOKUP(Table2[[#This Row],[Contraente]],Table1[[Nome/Ragione sociale]:[Checkbox selezionato]],2,FALSE),"-")</f>
        <v>MIRADOLO TERME</v>
      </c>
      <c r="AJ922" s="63">
        <f>IFERROR(VLOOKUP(Table2[[#This Row],[Contraente]],Table1[[Nome/Ragione sociale]:[Checkbox selezionato]],3,FALSE),"-")</f>
        <v>3661659231</v>
      </c>
      <c r="AK922" s="63">
        <f>IFERROR(VLOOKUP(Table2[[#This Row],[Contraente]],Table1[[Nome/Ragione sociale]:[Checkbox selezionato]],4,FALSE),"-")</f>
        <v>0</v>
      </c>
      <c r="AL922" s="63" t="str">
        <f>IFERROR(VLOOKUP(Table2[[#This Row],[Contraente]],Table1[[Nome/Ragione sociale]:[Checkbox selezionato]],5,FALSE),"-")</f>
        <v>VIRGINIE</v>
      </c>
      <c r="AM922" s="62">
        <f>IFERROR(VLOOKUP(Table2[[#This Row],[Contraente]],Table1[[Nome/Ragione sociale]:[Checkbox selezionato]],6,FALSE),"-")</f>
        <v>33313</v>
      </c>
      <c r="AN922" s="63" t="str">
        <f>IFERROR(VLOOKUP(Table2[[#This Row],[Contraente]],Table1[[Nome/Ragione sociale]:[Checkbox selezionato]],7,FALSE),"-")</f>
        <v>papies@email.it</v>
      </c>
      <c r="AO922" s="63">
        <f>IFERROR(VLOOKUP(Table2[[#This Row],[Contraente]],Table1[[Nome/Ragione sociale]:[Checkbox selezionato]],8,FALSE),"-")</f>
        <v>0</v>
      </c>
      <c r="AP922" s="63">
        <f>IFERROR(VLOOKUP(Table2[[#This Row],[Contraente]],Table1[[Nome/Ragione sociale]:[Checkbox selezionato]],10,FALSE),"-")</f>
        <v>3661659231</v>
      </c>
      <c r="AQ922" s="63" t="str">
        <f>IFERROR(VLOOKUP(Table2[[#This Row],[Contraente]],Table1[[Nome/Ragione sociale]:[Checkbox selezionato]],11,FALSE),"-")</f>
        <v>SI</v>
      </c>
      <c r="AR922" s="63" t="str">
        <f>IFERROR(VLOOKUP(Table2[[#This Row],[Contraente]],Table1[[Nome/Ragione sociale]:[Checkbox selezionato]],12,FALSE),"-")</f>
        <v>SI</v>
      </c>
    </row>
    <row r="923" spans="1:44" ht="30" hidden="1" customHeight="1" x14ac:dyDescent="0.25">
      <c r="A923" s="60" t="str">
        <f>UPPER(LEFT(Table2[[#This Row],[Contraente]],1))</f>
        <v>R</v>
      </c>
      <c r="B923" s="60" t="s">
        <v>1634</v>
      </c>
      <c r="C923" s="81" t="s">
        <v>948</v>
      </c>
      <c r="D923" s="81" t="s">
        <v>37</v>
      </c>
      <c r="E923" s="86">
        <v>1074355</v>
      </c>
      <c r="F923" s="64">
        <v>42898</v>
      </c>
      <c r="G923" s="64">
        <f>IFERROR(CALCOLASCADENZA(Table2[[#This Row],[Data attivazione]],Table2[[#This Row],[Rateizzazione]],Table2[[#This Row],[Data ultimo pagamento]],Table2[[#This Row],[Data prossima scadenza manuale]]),"-")</f>
        <v>43278</v>
      </c>
      <c r="H923" s="67" t="s">
        <v>32</v>
      </c>
      <c r="I923" s="67" t="s">
        <v>113</v>
      </c>
      <c r="J923" s="33">
        <f>IFERROR(Table2[[#This Row],[Importo annuale]]/(12/VLOOKUP(Table2[[#This Row],[Rateizzazione]],TIPI_RATEIZZAZIONI,2,FALSE)),"-")</f>
        <v>200</v>
      </c>
      <c r="K923" s="88">
        <v>200</v>
      </c>
      <c r="L923" s="88">
        <v>200</v>
      </c>
      <c r="M923" s="67" t="s">
        <v>44</v>
      </c>
      <c r="N923" s="67" t="s">
        <v>52</v>
      </c>
      <c r="O923" s="27" t="s">
        <v>1631</v>
      </c>
      <c r="P923" s="33" t="s">
        <v>23</v>
      </c>
      <c r="Q923" s="60">
        <f>IFERROR(IF(12 / VLOOKUP(Table2[[#This Row],[Rateizzazione]],TIPI_RATEIZZAZIONI,2,FALSE) &gt;=1,  IF(Table2[[#This Row],[Data attivazione]] = "","-",MONTH(Table2[[#This Row],[Data attivazione]])),"-"),"-")</f>
        <v>6</v>
      </c>
      <c r="R9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3" s="67" t="s">
        <v>2</v>
      </c>
      <c r="V923" s="62"/>
      <c r="W923" s="64">
        <v>42913</v>
      </c>
      <c r="X923" s="29">
        <f>DATE(YEAR(Table2[[#This Row],[Data attivazione]])+VLOOKUP(Table2[[#This Row],[Durata]],VALORE_DURATA,2,FALSE),MONTH(Table2[[#This Row],[Data attivazione]]),DAY(Table2[[#This Row],[Data attivazione]]))</f>
        <v>43278</v>
      </c>
      <c r="Y923" s="65"/>
      <c r="Z923" s="61"/>
      <c r="AA923" s="64" t="s">
        <v>85</v>
      </c>
      <c r="AB923" s="29" t="str">
        <f>IF(Table2[[#This Row],[Data ultimo versamento temp]]=0/1/1900,"-",Table2[[#This Row],[Data ultimo versamento temp]])</f>
        <v>-</v>
      </c>
      <c r="AC923" s="29">
        <f t="array" ref="AC923">MAX(IF(TableVersamenti[Polizza]=Table2[[#This Row],[Polizza]],TableVersamenti[Data prevista versamento],"-"))</f>
        <v>0</v>
      </c>
      <c r="AD923" s="62"/>
      <c r="AE923" s="106">
        <f>DATE(YEAR(Table2[[#This Row],[Data ultimo pagamento]]),MONTH(Table2[[#This Row],[Data ultimo pagamento]]), 1)</f>
        <v>42887</v>
      </c>
      <c r="AF923" s="106">
        <f>DATE(YEAR(Table2[[#This Row],[Data prossima scadenza]]),MONTH(Table2[[#This Row],[Data prossima scadenza]]), 1)</f>
        <v>43252</v>
      </c>
      <c r="AG923" s="33">
        <f>IFERROR(Table2[[#This Row],[Importo annuale]]*VLOOKUP(Table2[[#This Row],[Ramo]],RAMI_POLIZZA,2,FALSE),0)</f>
        <v>3</v>
      </c>
      <c r="AH923" s="65" t="s">
        <v>113</v>
      </c>
      <c r="AI923" s="63" t="str">
        <f>IFERROR(VLOOKUP(Table2[[#This Row],[Contraente]],Table1[[Nome/Ragione sociale]:[Checkbox selezionato]],2,FALSE),"-")</f>
        <v>SAN MARTINO SICCOMARIO</v>
      </c>
      <c r="AJ923" s="63">
        <f>IFERROR(VLOOKUP(Table2[[#This Row],[Contraente]],Table1[[Nome/Ragione sociale]:[Checkbox selezionato]],3,FALSE),"-")</f>
        <v>3315992468</v>
      </c>
      <c r="AK923" s="63">
        <f>IFERROR(VLOOKUP(Table2[[#This Row],[Contraente]],Table1[[Nome/Ragione sociale]:[Checkbox selezionato]],4,FALSE),"-")</f>
        <v>0</v>
      </c>
      <c r="AL923" s="63" t="str">
        <f>IFERROR(VLOOKUP(Table2[[#This Row],[Contraente]],Table1[[Nome/Ragione sociale]:[Checkbox selezionato]],5,FALSE),"-")</f>
        <v>BERNARDO</v>
      </c>
      <c r="AM923" s="62">
        <f>IFERROR(VLOOKUP(Table2[[#This Row],[Contraente]],Table1[[Nome/Ragione sociale]:[Checkbox selezionato]],6,FALSE),"-")</f>
        <v>27737</v>
      </c>
      <c r="AN923" s="63" t="str">
        <f>IFERROR(VLOOKUP(Table2[[#This Row],[Contraente]],Table1[[Nome/Ragione sociale]:[Checkbox selezionato]],7,FALSE),"-")</f>
        <v>papies@libero.it</v>
      </c>
      <c r="AO923" s="63">
        <f>IFERROR(VLOOKUP(Table2[[#This Row],[Contraente]],Table1[[Nome/Ragione sociale]:[Checkbox selezionato]],8,FALSE),"-")</f>
        <v>0</v>
      </c>
      <c r="AP923" s="63">
        <f>IFERROR(VLOOKUP(Table2[[#This Row],[Contraente]],Table1[[Nome/Ragione sociale]:[Checkbox selezionato]],10,FALSE),"-")</f>
        <v>3315992468</v>
      </c>
      <c r="AQ923" s="63" t="str">
        <f>IFERROR(VLOOKUP(Table2[[#This Row],[Contraente]],Table1[[Nome/Ragione sociale]:[Checkbox selezionato]],11,FALSE),"-")</f>
        <v>SI</v>
      </c>
      <c r="AR923" s="63" t="str">
        <f>IFERROR(VLOOKUP(Table2[[#This Row],[Contraente]],Table1[[Nome/Ragione sociale]:[Checkbox selezionato]],12,FALSE),"-")</f>
        <v>SI</v>
      </c>
    </row>
    <row r="924" spans="1:44" ht="30" hidden="1" customHeight="1" x14ac:dyDescent="0.25">
      <c r="A924" s="60" t="str">
        <f>UPPER(LEFT(Table2[[#This Row],[Contraente]],1))</f>
        <v>R</v>
      </c>
      <c r="B924" s="60" t="s">
        <v>1634</v>
      </c>
      <c r="C924" s="81" t="s">
        <v>948</v>
      </c>
      <c r="D924" s="81" t="s">
        <v>37</v>
      </c>
      <c r="E924" s="86">
        <v>102447383</v>
      </c>
      <c r="F924" s="64">
        <v>42898</v>
      </c>
      <c r="G924" s="64">
        <f>IFERROR(CALCOLASCADENZA(Table2[[#This Row],[Data attivazione]],Table2[[#This Row],[Rateizzazione]],Table2[[#This Row],[Data ultimo pagamento]],Table2[[#This Row],[Data prossima scadenza manuale]]),"-")</f>
        <v>43070</v>
      </c>
      <c r="H924" s="67" t="s">
        <v>30</v>
      </c>
      <c r="I924" s="67" t="s">
        <v>113</v>
      </c>
      <c r="J924" s="33">
        <f>IFERROR(Table2[[#This Row],[Importo annuale]]/(12/VLOOKUP(Table2[[#This Row],[Rateizzazione]],TIPI_RATEIZZAZIONI,2,FALSE)),"-")</f>
        <v>919</v>
      </c>
      <c r="K924" s="88">
        <v>919</v>
      </c>
      <c r="L924" s="88">
        <v>1838</v>
      </c>
      <c r="M924" s="67" t="s">
        <v>44</v>
      </c>
      <c r="N924" s="67" t="s">
        <v>51</v>
      </c>
      <c r="O924" s="27" t="s">
        <v>1631</v>
      </c>
      <c r="P924" s="33" t="s">
        <v>22</v>
      </c>
      <c r="Q924" s="60">
        <f>IFERROR(IF(12 / VLOOKUP(Table2[[#This Row],[Rateizzazione]],TIPI_RATEIZZAZIONI,2,FALSE) &gt;=1,  IF(Table2[[#This Row],[Data attivazione]] = "","-",MONTH(Table2[[#This Row],[Data attivazione]])),"-"),"-")</f>
        <v>12</v>
      </c>
      <c r="R9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4" s="67" t="s">
        <v>2</v>
      </c>
      <c r="V924" s="62"/>
      <c r="W924" s="64">
        <v>42705</v>
      </c>
      <c r="X924" s="29">
        <f>DATE(YEAR(Table2[[#This Row],[Data attivazione]])+VLOOKUP(Table2[[#This Row],[Durata]],VALORE_DURATA,2,FALSE),MONTH(Table2[[#This Row],[Data attivazione]]),DAY(Table2[[#This Row],[Data attivazione]]))</f>
        <v>43070</v>
      </c>
      <c r="Y924" s="65"/>
      <c r="Z924" s="61"/>
      <c r="AA924" s="64" t="s">
        <v>85</v>
      </c>
      <c r="AB924" s="29" t="str">
        <f>IF(Table2[[#This Row],[Data ultimo versamento temp]]=0/1/1900,"-",Table2[[#This Row],[Data ultimo versamento temp]])</f>
        <v>-</v>
      </c>
      <c r="AC924" s="29">
        <f t="array" ref="AC924">MAX(IF(TableVersamenti[Polizza]=Table2[[#This Row],[Polizza]],TableVersamenti[Data prevista versamento],"-"))</f>
        <v>0</v>
      </c>
      <c r="AD924" s="62"/>
      <c r="AE924" s="106">
        <f>DATE(YEAR(Table2[[#This Row],[Data ultimo pagamento]]),MONTH(Table2[[#This Row],[Data ultimo pagamento]]), 1)</f>
        <v>42887</v>
      </c>
      <c r="AF924" s="106">
        <f>DATE(YEAR(Table2[[#This Row],[Data prossima scadenza]]),MONTH(Table2[[#This Row],[Data prossima scadenza]]), 1)</f>
        <v>43070</v>
      </c>
      <c r="AG924" s="33">
        <f>IFERROR(Table2[[#This Row],[Importo annuale]]*VLOOKUP(Table2[[#This Row],[Ramo]],RAMI_POLIZZA,2,FALSE),0)</f>
        <v>211.37</v>
      </c>
      <c r="AH924" s="65" t="s">
        <v>113</v>
      </c>
      <c r="AI924" s="63" t="str">
        <f>IFERROR(VLOOKUP(Table2[[#This Row],[Contraente]],Table1[[Nome/Ragione sociale]:[Checkbox selezionato]],2,FALSE),"-")</f>
        <v>SAN MARTINO SICCOMARIO</v>
      </c>
      <c r="AJ924" s="63">
        <f>IFERROR(VLOOKUP(Table2[[#This Row],[Contraente]],Table1[[Nome/Ragione sociale]:[Checkbox selezionato]],3,FALSE),"-")</f>
        <v>3315992468</v>
      </c>
      <c r="AK924" s="63">
        <f>IFERROR(VLOOKUP(Table2[[#This Row],[Contraente]],Table1[[Nome/Ragione sociale]:[Checkbox selezionato]],4,FALSE),"-")</f>
        <v>0</v>
      </c>
      <c r="AL924" s="63" t="str">
        <f>IFERROR(VLOOKUP(Table2[[#This Row],[Contraente]],Table1[[Nome/Ragione sociale]:[Checkbox selezionato]],5,FALSE),"-")</f>
        <v>BERNARDO</v>
      </c>
      <c r="AM924" s="62">
        <f>IFERROR(VLOOKUP(Table2[[#This Row],[Contraente]],Table1[[Nome/Ragione sociale]:[Checkbox selezionato]],6,FALSE),"-")</f>
        <v>27737</v>
      </c>
      <c r="AN924" s="63" t="str">
        <f>IFERROR(VLOOKUP(Table2[[#This Row],[Contraente]],Table1[[Nome/Ragione sociale]:[Checkbox selezionato]],7,FALSE),"-")</f>
        <v>papies@libero.it</v>
      </c>
      <c r="AO924" s="63">
        <f>IFERROR(VLOOKUP(Table2[[#This Row],[Contraente]],Table1[[Nome/Ragione sociale]:[Checkbox selezionato]],8,FALSE),"-")</f>
        <v>0</v>
      </c>
      <c r="AP924" s="63">
        <f>IFERROR(VLOOKUP(Table2[[#This Row],[Contraente]],Table1[[Nome/Ragione sociale]:[Checkbox selezionato]],10,FALSE),"-")</f>
        <v>3315992468</v>
      </c>
      <c r="AQ924" s="63" t="str">
        <f>IFERROR(VLOOKUP(Table2[[#This Row],[Contraente]],Table1[[Nome/Ragione sociale]:[Checkbox selezionato]],11,FALSE),"-")</f>
        <v>SI</v>
      </c>
      <c r="AR924" s="63" t="str">
        <f>IFERROR(VLOOKUP(Table2[[#This Row],[Contraente]],Table1[[Nome/Ragione sociale]:[Checkbox selezionato]],12,FALSE),"-")</f>
        <v>SI</v>
      </c>
    </row>
    <row r="925" spans="1:44" ht="30" hidden="1" customHeight="1" x14ac:dyDescent="0.25">
      <c r="A925" s="60" t="str">
        <f>UPPER(LEFT(Table2[[#This Row],[Contraente]],1))</f>
        <v>R</v>
      </c>
      <c r="B925" s="60" t="s">
        <v>1634</v>
      </c>
      <c r="C925" s="81" t="s">
        <v>170</v>
      </c>
      <c r="D925" s="81" t="s">
        <v>37</v>
      </c>
      <c r="E925" s="86">
        <v>106751397</v>
      </c>
      <c r="F925" s="64">
        <v>42839</v>
      </c>
      <c r="G925" s="64">
        <f>IFERROR(CALCOLASCADENZA(Table2[[#This Row],[Data attivazione]],Table2[[#This Row],[Rateizzazione]],Table2[[#This Row],[Data ultimo pagamento]],Table2[[#This Row],[Data prossima scadenza manuale]]),"-")</f>
        <v>43192</v>
      </c>
      <c r="H925" s="67" t="s">
        <v>31</v>
      </c>
      <c r="I925" s="67" t="s">
        <v>1520</v>
      </c>
      <c r="J925" s="33">
        <f>IFERROR(Table2[[#This Row],[Importo annuale]]/(12/VLOOKUP(Table2[[#This Row],[Rateizzazione]],TIPI_RATEIZZAZIONI,2,FALSE)),"-")</f>
        <v>205</v>
      </c>
      <c r="K925" s="88">
        <v>205</v>
      </c>
      <c r="L925" s="88">
        <v>205</v>
      </c>
      <c r="M925" s="67" t="s">
        <v>43</v>
      </c>
      <c r="N925" s="67" t="s">
        <v>51</v>
      </c>
      <c r="O925" s="27" t="s">
        <v>1631</v>
      </c>
      <c r="P925" s="33" t="s">
        <v>23</v>
      </c>
      <c r="Q925" s="60">
        <f>IFERROR(IF(12 / VLOOKUP(Table2[[#This Row],[Rateizzazione]],TIPI_RATEIZZAZIONI,2,FALSE) &gt;=1,  IF(Table2[[#This Row],[Data attivazione]] = "","-",MONTH(Table2[[#This Row],[Data attivazione]])),"-"),"-")</f>
        <v>4</v>
      </c>
      <c r="R9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5" s="67" t="s">
        <v>2</v>
      </c>
      <c r="V925" s="62"/>
      <c r="W925" s="64">
        <v>42827</v>
      </c>
      <c r="X925" s="29">
        <f>DATE(YEAR(Table2[[#This Row],[Data attivazione]])+VLOOKUP(Table2[[#This Row],[Durata]],VALORE_DURATA,2,FALSE),MONTH(Table2[[#This Row],[Data attivazione]]),DAY(Table2[[#This Row],[Data attivazione]]))</f>
        <v>43192</v>
      </c>
      <c r="Y925" s="65"/>
      <c r="Z925" s="61"/>
      <c r="AA925" s="64" t="s">
        <v>85</v>
      </c>
      <c r="AB925" s="29" t="str">
        <f>IF(Table2[[#This Row],[Data ultimo versamento temp]]=0/1/1900,"-",Table2[[#This Row],[Data ultimo versamento temp]])</f>
        <v>-</v>
      </c>
      <c r="AC925" s="29">
        <f t="array" ref="AC925">MAX(IF(TableVersamenti[Polizza]=Table2[[#This Row],[Polizza]],TableVersamenti[Data prevista versamento],"-"))</f>
        <v>0</v>
      </c>
      <c r="AD925" s="62"/>
      <c r="AE925" s="106">
        <f>DATE(YEAR(Table2[[#This Row],[Data ultimo pagamento]]),MONTH(Table2[[#This Row],[Data ultimo pagamento]]), 1)</f>
        <v>42826</v>
      </c>
      <c r="AF925" s="106">
        <f>DATE(YEAR(Table2[[#This Row],[Data prossima scadenza]]),MONTH(Table2[[#This Row],[Data prossima scadenza]]), 1)</f>
        <v>43191</v>
      </c>
      <c r="AG925" s="33">
        <f>IFERROR(Table2[[#This Row],[Importo annuale]]*VLOOKUP(Table2[[#This Row],[Ramo]],RAMI_POLIZZA,2,FALSE),0)</f>
        <v>10.66</v>
      </c>
      <c r="AH925" s="65" t="s">
        <v>113</v>
      </c>
      <c r="AI925" s="63" t="str">
        <f>IFERROR(VLOOKUP(Table2[[#This Row],[Contraente]],Table1[[Nome/Ragione sociale]:[Checkbox selezionato]],2,FALSE),"-")</f>
        <v>BELGIOIOSO</v>
      </c>
      <c r="AJ925" s="63">
        <f>IFERROR(VLOOKUP(Table2[[#This Row],[Contraente]],Table1[[Nome/Ragione sociale]:[Checkbox selezionato]],3,FALSE),"-")</f>
        <v>3487271552</v>
      </c>
      <c r="AK925" s="63">
        <f>IFERROR(VLOOKUP(Table2[[#This Row],[Contraente]],Table1[[Nome/Ragione sociale]:[Checkbox selezionato]],4,FALSE),"-")</f>
        <v>0</v>
      </c>
      <c r="AL925" s="63" t="str">
        <f>IFERROR(VLOOKUP(Table2[[#This Row],[Contraente]],Table1[[Nome/Ragione sociale]:[Checkbox selezionato]],5,FALSE),"-")</f>
        <v>RIPA PIERLUIGI</v>
      </c>
      <c r="AM925" s="62">
        <f>IFERROR(VLOOKUP(Table2[[#This Row],[Contraente]],Table1[[Nome/Ragione sociale]:[Checkbox selezionato]],6,FALSE),"-")</f>
        <v>0</v>
      </c>
      <c r="AN925" s="63" t="str">
        <f>IFERROR(VLOOKUP(Table2[[#This Row],[Contraente]],Table1[[Nome/Ragione sociale]:[Checkbox selezionato]],7,FALSE),"-")</f>
        <v>papies@libero.it</v>
      </c>
      <c r="AO925" s="63">
        <f>IFERROR(VLOOKUP(Table2[[#This Row],[Contraente]],Table1[[Nome/Ragione sociale]:[Checkbox selezionato]],8,FALSE),"-")</f>
        <v>0</v>
      </c>
      <c r="AP925" s="63">
        <f>IFERROR(VLOOKUP(Table2[[#This Row],[Contraente]],Table1[[Nome/Ragione sociale]:[Checkbox selezionato]],10,FALSE),"-")</f>
        <v>3487271552</v>
      </c>
      <c r="AQ925" s="63" t="str">
        <f>IFERROR(VLOOKUP(Table2[[#This Row],[Contraente]],Table1[[Nome/Ragione sociale]:[Checkbox selezionato]],11,FALSE),"-")</f>
        <v>SI</v>
      </c>
      <c r="AR925" s="63" t="str">
        <f>IFERROR(VLOOKUP(Table2[[#This Row],[Contraente]],Table1[[Nome/Ragione sociale]:[Checkbox selezionato]],12,FALSE),"-")</f>
        <v>SI</v>
      </c>
    </row>
    <row r="926" spans="1:44" ht="30" hidden="1" customHeight="1" x14ac:dyDescent="0.25">
      <c r="A926" s="60" t="str">
        <f>UPPER(LEFT(Table2[[#This Row],[Contraente]],1))</f>
        <v>R</v>
      </c>
      <c r="B926" s="60" t="s">
        <v>1634</v>
      </c>
      <c r="C926" s="81" t="s">
        <v>170</v>
      </c>
      <c r="D926" s="81" t="s">
        <v>37</v>
      </c>
      <c r="E926" s="86">
        <v>106527864</v>
      </c>
      <c r="F926" s="64">
        <v>42781</v>
      </c>
      <c r="G926" s="64">
        <f>IFERROR(CALCOLASCADENZA(Table2[[#This Row],[Data attivazione]],Table2[[#This Row],[Rateizzazione]],Table2[[#This Row],[Data ultimo pagamento]],Table2[[#This Row],[Data prossima scadenza manuale]]),"-")</f>
        <v>43143</v>
      </c>
      <c r="H926" s="67" t="s">
        <v>31</v>
      </c>
      <c r="I926" s="67" t="s">
        <v>1521</v>
      </c>
      <c r="J926" s="33">
        <f>IFERROR(Table2[[#This Row],[Importo annuale]]/(12/VLOOKUP(Table2[[#This Row],[Rateizzazione]],TIPI_RATEIZZAZIONI,2,FALSE)),"-")</f>
        <v>199.98</v>
      </c>
      <c r="K926" s="88">
        <v>199.98</v>
      </c>
      <c r="L926" s="88">
        <v>199.98</v>
      </c>
      <c r="M926" s="67" t="s">
        <v>43</v>
      </c>
      <c r="N926" s="67" t="s">
        <v>51</v>
      </c>
      <c r="O926" s="27" t="s">
        <v>1631</v>
      </c>
      <c r="P926" s="33" t="s">
        <v>23</v>
      </c>
      <c r="Q926" s="60">
        <f>IFERROR(IF(12 / VLOOKUP(Table2[[#This Row],[Rateizzazione]],TIPI_RATEIZZAZIONI,2,FALSE) &gt;=1,  IF(Table2[[#This Row],[Data attivazione]] = "","-",MONTH(Table2[[#This Row],[Data attivazione]])),"-"),"-")</f>
        <v>2</v>
      </c>
      <c r="R9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6" s="67" t="s">
        <v>2</v>
      </c>
      <c r="V926" s="62"/>
      <c r="W926" s="64">
        <v>42778</v>
      </c>
      <c r="X926" s="29">
        <f>DATE(YEAR(Table2[[#This Row],[Data attivazione]])+VLOOKUP(Table2[[#This Row],[Durata]],VALORE_DURATA,2,FALSE),MONTH(Table2[[#This Row],[Data attivazione]]),DAY(Table2[[#This Row],[Data attivazione]]))</f>
        <v>43143</v>
      </c>
      <c r="Y926" s="65"/>
      <c r="Z926" s="61"/>
      <c r="AA926" s="64" t="s">
        <v>85</v>
      </c>
      <c r="AB926" s="29" t="str">
        <f>IF(Table2[[#This Row],[Data ultimo versamento temp]]=0/1/1900,"-",Table2[[#This Row],[Data ultimo versamento temp]])</f>
        <v>-</v>
      </c>
      <c r="AC926" s="29">
        <f t="array" ref="AC926">MAX(IF(TableVersamenti[Polizza]=Table2[[#This Row],[Polizza]],TableVersamenti[Data prevista versamento],"-"))</f>
        <v>0</v>
      </c>
      <c r="AD926" s="62"/>
      <c r="AE926" s="106">
        <f>DATE(YEAR(Table2[[#This Row],[Data ultimo pagamento]]),MONTH(Table2[[#This Row],[Data ultimo pagamento]]), 1)</f>
        <v>42767</v>
      </c>
      <c r="AF926" s="106">
        <f>DATE(YEAR(Table2[[#This Row],[Data prossima scadenza]]),MONTH(Table2[[#This Row],[Data prossima scadenza]]), 1)</f>
        <v>43132</v>
      </c>
      <c r="AG926" s="33">
        <f>IFERROR(Table2[[#This Row],[Importo annuale]]*VLOOKUP(Table2[[#This Row],[Ramo]],RAMI_POLIZZA,2,FALSE),0)</f>
        <v>10.398959999999999</v>
      </c>
      <c r="AH926" s="65" t="s">
        <v>113</v>
      </c>
      <c r="AI926" s="63" t="str">
        <f>IFERROR(VLOOKUP(Table2[[#This Row],[Contraente]],Table1[[Nome/Ragione sociale]:[Checkbox selezionato]],2,FALSE),"-")</f>
        <v>BELGIOIOSO</v>
      </c>
      <c r="AJ926" s="63">
        <f>IFERROR(VLOOKUP(Table2[[#This Row],[Contraente]],Table1[[Nome/Ragione sociale]:[Checkbox selezionato]],3,FALSE),"-")</f>
        <v>3487271552</v>
      </c>
      <c r="AK926" s="63">
        <f>IFERROR(VLOOKUP(Table2[[#This Row],[Contraente]],Table1[[Nome/Ragione sociale]:[Checkbox selezionato]],4,FALSE),"-")</f>
        <v>0</v>
      </c>
      <c r="AL926" s="63" t="str">
        <f>IFERROR(VLOOKUP(Table2[[#This Row],[Contraente]],Table1[[Nome/Ragione sociale]:[Checkbox selezionato]],5,FALSE),"-")</f>
        <v>RIPA PIERLUIGI</v>
      </c>
      <c r="AM926" s="62">
        <f>IFERROR(VLOOKUP(Table2[[#This Row],[Contraente]],Table1[[Nome/Ragione sociale]:[Checkbox selezionato]],6,FALSE),"-")</f>
        <v>0</v>
      </c>
      <c r="AN926" s="63" t="str">
        <f>IFERROR(VLOOKUP(Table2[[#This Row],[Contraente]],Table1[[Nome/Ragione sociale]:[Checkbox selezionato]],7,FALSE),"-")</f>
        <v>papies@libero.it</v>
      </c>
      <c r="AO926" s="63">
        <f>IFERROR(VLOOKUP(Table2[[#This Row],[Contraente]],Table1[[Nome/Ragione sociale]:[Checkbox selezionato]],8,FALSE),"-")</f>
        <v>0</v>
      </c>
      <c r="AP926" s="63">
        <f>IFERROR(VLOOKUP(Table2[[#This Row],[Contraente]],Table1[[Nome/Ragione sociale]:[Checkbox selezionato]],10,FALSE),"-")</f>
        <v>3487271552</v>
      </c>
      <c r="AQ926" s="63" t="str">
        <f>IFERROR(VLOOKUP(Table2[[#This Row],[Contraente]],Table1[[Nome/Ragione sociale]:[Checkbox selezionato]],11,FALSE),"-")</f>
        <v>SI</v>
      </c>
      <c r="AR926" s="63" t="str">
        <f>IFERROR(VLOOKUP(Table2[[#This Row],[Contraente]],Table1[[Nome/Ragione sociale]:[Checkbox selezionato]],12,FALSE),"-")</f>
        <v>SI</v>
      </c>
    </row>
    <row r="927" spans="1:44" ht="30" hidden="1" customHeight="1" x14ac:dyDescent="0.25">
      <c r="A927" s="60" t="str">
        <f>UPPER(LEFT(Table2[[#This Row],[Contraente]],1))</f>
        <v>R</v>
      </c>
      <c r="B927" s="60" t="s">
        <v>1634</v>
      </c>
      <c r="C927" s="81" t="s">
        <v>170</v>
      </c>
      <c r="D927" s="81" t="s">
        <v>37</v>
      </c>
      <c r="E927" s="86">
        <v>104807825</v>
      </c>
      <c r="F927" s="64">
        <v>42403</v>
      </c>
      <c r="G927" s="64" t="str">
        <f>IFERROR(CALCOLASCADENZA(Table2[[#This Row],[Data attivazione]],Table2[[#This Row],[Rateizzazione]],Table2[[#This Row],[Data ultimo pagamento]],Table2[[#This Row],[Data prossima scadenza manuale]]),"-")</f>
        <v>-</v>
      </c>
      <c r="H927" s="67" t="s">
        <v>31</v>
      </c>
      <c r="I927" s="67" t="s">
        <v>1519</v>
      </c>
      <c r="J927" s="33">
        <v>-94.06</v>
      </c>
      <c r="K927" s="88"/>
      <c r="L927" s="88">
        <v>0</v>
      </c>
      <c r="M927" s="67" t="s">
        <v>43</v>
      </c>
      <c r="N927" s="67" t="s">
        <v>51</v>
      </c>
      <c r="O927" s="27" t="s">
        <v>1631</v>
      </c>
      <c r="P927" s="33" t="s">
        <v>24</v>
      </c>
      <c r="Q9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7" s="67" t="s">
        <v>2</v>
      </c>
      <c r="V927" s="62"/>
      <c r="W927" s="64" t="e">
        <v>#VALUE!</v>
      </c>
      <c r="X92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27" s="65"/>
      <c r="Z927" s="61"/>
      <c r="AA927" s="64" t="s">
        <v>85</v>
      </c>
      <c r="AB927" s="29" t="str">
        <f>IF(Table2[[#This Row],[Data ultimo versamento temp]]=0/1/1900,"-",Table2[[#This Row],[Data ultimo versamento temp]])</f>
        <v>-</v>
      </c>
      <c r="AC927" s="29">
        <f t="array" ref="AC927">MAX(IF(TableVersamenti[Polizza]=Table2[[#This Row],[Polizza]],TableVersamenti[Data prevista versamento],"-"))</f>
        <v>0</v>
      </c>
      <c r="AD927" s="62"/>
      <c r="AE927" s="106">
        <f>DATE(YEAR(Table2[[#This Row],[Data ultimo pagamento]]),MONTH(Table2[[#This Row],[Data ultimo pagamento]]), 1)</f>
        <v>42401</v>
      </c>
      <c r="AF927" s="106" t="e">
        <f>DATE(YEAR(Table2[[#This Row],[Data prossima scadenza]]),MONTH(Table2[[#This Row],[Data prossima scadenza]]), 1)</f>
        <v>#VALUE!</v>
      </c>
      <c r="AG927" s="33">
        <f>IFERROR(Table2[[#This Row],[Importo annuale]]*VLOOKUP(Table2[[#This Row],[Ramo]],RAMI_POLIZZA,2,FALSE),0)</f>
        <v>0</v>
      </c>
      <c r="AH927" s="65" t="s">
        <v>113</v>
      </c>
      <c r="AI927" s="63" t="str">
        <f>IFERROR(VLOOKUP(Table2[[#This Row],[Contraente]],Table1[[Nome/Ragione sociale]:[Checkbox selezionato]],2,FALSE),"-")</f>
        <v>BELGIOIOSO</v>
      </c>
      <c r="AJ927" s="63">
        <f>IFERROR(VLOOKUP(Table2[[#This Row],[Contraente]],Table1[[Nome/Ragione sociale]:[Checkbox selezionato]],3,FALSE),"-")</f>
        <v>3487271552</v>
      </c>
      <c r="AK927" s="63">
        <f>IFERROR(VLOOKUP(Table2[[#This Row],[Contraente]],Table1[[Nome/Ragione sociale]:[Checkbox selezionato]],4,FALSE),"-")</f>
        <v>0</v>
      </c>
      <c r="AL927" s="63" t="str">
        <f>IFERROR(VLOOKUP(Table2[[#This Row],[Contraente]],Table1[[Nome/Ragione sociale]:[Checkbox selezionato]],5,FALSE),"-")</f>
        <v>RIPA PIERLUIGI</v>
      </c>
      <c r="AM927" s="62">
        <f>IFERROR(VLOOKUP(Table2[[#This Row],[Contraente]],Table1[[Nome/Ragione sociale]:[Checkbox selezionato]],6,FALSE),"-")</f>
        <v>0</v>
      </c>
      <c r="AN927" s="63" t="str">
        <f>IFERROR(VLOOKUP(Table2[[#This Row],[Contraente]],Table1[[Nome/Ragione sociale]:[Checkbox selezionato]],7,FALSE),"-")</f>
        <v>papies@libero.it</v>
      </c>
      <c r="AO927" s="63">
        <f>IFERROR(VLOOKUP(Table2[[#This Row],[Contraente]],Table1[[Nome/Ragione sociale]:[Checkbox selezionato]],8,FALSE),"-")</f>
        <v>0</v>
      </c>
      <c r="AP927" s="63">
        <f>IFERROR(VLOOKUP(Table2[[#This Row],[Contraente]],Table1[[Nome/Ragione sociale]:[Checkbox selezionato]],10,FALSE),"-")</f>
        <v>3487271552</v>
      </c>
      <c r="AQ927" s="63" t="str">
        <f>IFERROR(VLOOKUP(Table2[[#This Row],[Contraente]],Table1[[Nome/Ragione sociale]:[Checkbox selezionato]],11,FALSE),"-")</f>
        <v>SI</v>
      </c>
      <c r="AR927" s="63" t="str">
        <f>IFERROR(VLOOKUP(Table2[[#This Row],[Contraente]],Table1[[Nome/Ragione sociale]:[Checkbox selezionato]],12,FALSE),"-")</f>
        <v>SI</v>
      </c>
    </row>
    <row r="928" spans="1:44" ht="30" hidden="1" customHeight="1" x14ac:dyDescent="0.25">
      <c r="A928" s="60" t="str">
        <f>UPPER(LEFT(Table2[[#This Row],[Contraente]],1))</f>
        <v>R</v>
      </c>
      <c r="B928" s="60" t="s">
        <v>1634</v>
      </c>
      <c r="C928" s="81" t="s">
        <v>171</v>
      </c>
      <c r="D928" s="81" t="s">
        <v>37</v>
      </c>
      <c r="E928" s="86">
        <v>106751186</v>
      </c>
      <c r="F928" s="64">
        <v>42839</v>
      </c>
      <c r="G928" s="64">
        <f>IFERROR(CALCOLASCADENZA(Table2[[#This Row],[Data attivazione]],Table2[[#This Row],[Rateizzazione]],Table2[[#This Row],[Data ultimo pagamento]],Table2[[#This Row],[Data prossima scadenza manuale]]),"-")</f>
        <v>43220</v>
      </c>
      <c r="H928" s="67" t="s">
        <v>31</v>
      </c>
      <c r="I928" s="67" t="s">
        <v>1522</v>
      </c>
      <c r="J928" s="33">
        <f>IFERROR(Table2[[#This Row],[Importo annuale]]/(12/VLOOKUP(Table2[[#This Row],[Rateizzazione]],TIPI_RATEIZZAZIONI,2,FALSE)),"-")</f>
        <v>125</v>
      </c>
      <c r="K928" s="88">
        <v>125</v>
      </c>
      <c r="L928" s="88">
        <v>125</v>
      </c>
      <c r="M928" s="67" t="s">
        <v>43</v>
      </c>
      <c r="N928" s="67" t="s">
        <v>51</v>
      </c>
      <c r="O928" s="27" t="s">
        <v>1631</v>
      </c>
      <c r="P928" s="33" t="s">
        <v>23</v>
      </c>
      <c r="Q928" s="60">
        <f>IFERROR(IF(12 / VLOOKUP(Table2[[#This Row],[Rateizzazione]],TIPI_RATEIZZAZIONI,2,FALSE) &gt;=1,  IF(Table2[[#This Row],[Data attivazione]] = "","-",MONTH(Table2[[#This Row],[Data attivazione]])),"-"),"-")</f>
        <v>4</v>
      </c>
      <c r="R9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8" s="67" t="s">
        <v>2</v>
      </c>
      <c r="V928" s="62"/>
      <c r="W928" s="64">
        <v>42855</v>
      </c>
      <c r="X928" s="29">
        <f>DATE(YEAR(Table2[[#This Row],[Data attivazione]])+VLOOKUP(Table2[[#This Row],[Durata]],VALORE_DURATA,2,FALSE),MONTH(Table2[[#This Row],[Data attivazione]]),DAY(Table2[[#This Row],[Data attivazione]]))</f>
        <v>43220</v>
      </c>
      <c r="Y928" s="65"/>
      <c r="Z928" s="61"/>
      <c r="AA928" s="64" t="s">
        <v>85</v>
      </c>
      <c r="AB928" s="29" t="str">
        <f>IF(Table2[[#This Row],[Data ultimo versamento temp]]=0/1/1900,"-",Table2[[#This Row],[Data ultimo versamento temp]])</f>
        <v>-</v>
      </c>
      <c r="AC928" s="29">
        <f t="array" ref="AC928">MAX(IF(TableVersamenti[Polizza]=Table2[[#This Row],[Polizza]],TableVersamenti[Data prevista versamento],"-"))</f>
        <v>0</v>
      </c>
      <c r="AD928" s="62"/>
      <c r="AE928" s="106">
        <f>DATE(YEAR(Table2[[#This Row],[Data ultimo pagamento]]),MONTH(Table2[[#This Row],[Data ultimo pagamento]]), 1)</f>
        <v>42826</v>
      </c>
      <c r="AF928" s="106">
        <f>DATE(YEAR(Table2[[#This Row],[Data prossima scadenza]]),MONTH(Table2[[#This Row],[Data prossima scadenza]]), 1)</f>
        <v>43191</v>
      </c>
      <c r="AG928" s="33">
        <f>IFERROR(Table2[[#This Row],[Importo annuale]]*VLOOKUP(Table2[[#This Row],[Ramo]],RAMI_POLIZZA,2,FALSE),0)</f>
        <v>6.5</v>
      </c>
      <c r="AH928" s="65" t="s">
        <v>113</v>
      </c>
      <c r="AI928" s="63" t="str">
        <f>IFERROR(VLOOKUP(Table2[[#This Row],[Contraente]],Table1[[Nome/Ragione sociale]:[Checkbox selezionato]],2,FALSE),"-")</f>
        <v>BELGIOIOSO</v>
      </c>
      <c r="AJ928" s="63">
        <f>IFERROR(VLOOKUP(Table2[[#This Row],[Contraente]],Table1[[Nome/Ragione sociale]:[Checkbox selezionato]],3,FALSE),"-")</f>
        <v>3487271552</v>
      </c>
      <c r="AK928" s="63">
        <f>IFERROR(VLOOKUP(Table2[[#This Row],[Contraente]],Table1[[Nome/Ragione sociale]:[Checkbox selezionato]],4,FALSE),"-")</f>
        <v>0</v>
      </c>
      <c r="AL928" s="63" t="str">
        <f>IFERROR(VLOOKUP(Table2[[#This Row],[Contraente]],Table1[[Nome/Ragione sociale]:[Checkbox selezionato]],5,FALSE),"-")</f>
        <v>PIERLUIGI</v>
      </c>
      <c r="AM928" s="62">
        <f>IFERROR(VLOOKUP(Table2[[#This Row],[Contraente]],Table1[[Nome/Ragione sociale]:[Checkbox selezionato]],6,FALSE),"-")</f>
        <v>0</v>
      </c>
      <c r="AN928" s="63" t="str">
        <f>IFERROR(VLOOKUP(Table2[[#This Row],[Contraente]],Table1[[Nome/Ragione sociale]:[Checkbox selezionato]],7,FALSE),"-")</f>
        <v>papies@email.it</v>
      </c>
      <c r="AO928" s="63">
        <f>IFERROR(VLOOKUP(Table2[[#This Row],[Contraente]],Table1[[Nome/Ragione sociale]:[Checkbox selezionato]],8,FALSE),"-")</f>
        <v>0</v>
      </c>
      <c r="AP928" s="63">
        <f>IFERROR(VLOOKUP(Table2[[#This Row],[Contraente]],Table1[[Nome/Ragione sociale]:[Checkbox selezionato]],10,FALSE),"-")</f>
        <v>3487271552</v>
      </c>
      <c r="AQ928" s="63" t="str">
        <f>IFERROR(VLOOKUP(Table2[[#This Row],[Contraente]],Table1[[Nome/Ragione sociale]:[Checkbox selezionato]],11,FALSE),"-")</f>
        <v>SI</v>
      </c>
      <c r="AR928" s="63" t="str">
        <f>IFERROR(VLOOKUP(Table2[[#This Row],[Contraente]],Table1[[Nome/Ragione sociale]:[Checkbox selezionato]],12,FALSE),"-")</f>
        <v>SI</v>
      </c>
    </row>
    <row r="929" spans="1:44" ht="30" hidden="1" customHeight="1" x14ac:dyDescent="0.25">
      <c r="A929" s="60" t="str">
        <f>UPPER(LEFT(Table2[[#This Row],[Contraente]],1))</f>
        <v>R</v>
      </c>
      <c r="B929" s="60" t="s">
        <v>1634</v>
      </c>
      <c r="C929" s="81" t="s">
        <v>171</v>
      </c>
      <c r="D929" s="81" t="s">
        <v>37</v>
      </c>
      <c r="E929" s="86">
        <v>104976539</v>
      </c>
      <c r="F929" s="64">
        <v>42839</v>
      </c>
      <c r="G929" s="64">
        <f>IFERROR(CALCOLASCADENZA(Table2[[#This Row],[Data attivazione]],Table2[[#This Row],[Rateizzazione]],Table2[[#This Row],[Data ultimo pagamento]],Table2[[#This Row],[Data prossima scadenza manuale]]),"-")</f>
        <v>42839</v>
      </c>
      <c r="H929" s="67" t="s">
        <v>31</v>
      </c>
      <c r="I929" s="67" t="s">
        <v>1523</v>
      </c>
      <c r="J929" s="33">
        <v>79</v>
      </c>
      <c r="K929" s="88">
        <v>79</v>
      </c>
      <c r="L929" s="88">
        <v>160</v>
      </c>
      <c r="M929" s="67" t="s">
        <v>43</v>
      </c>
      <c r="N929" s="67" t="s">
        <v>51</v>
      </c>
      <c r="O929" s="27" t="s">
        <v>1631</v>
      </c>
      <c r="P929" s="33" t="s">
        <v>24</v>
      </c>
      <c r="Q92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9" s="67" t="s">
        <v>2</v>
      </c>
      <c r="V929" s="62"/>
      <c r="W929" s="64">
        <v>42673</v>
      </c>
      <c r="X929" s="29">
        <f>DATE(YEAR(Table2[[#This Row],[Data attivazione]])+VLOOKUP(Table2[[#This Row],[Durata]],VALORE_DURATA,2,FALSE),MONTH(Table2[[#This Row],[Data attivazione]]),DAY(Table2[[#This Row],[Data attivazione]]))</f>
        <v>43038</v>
      </c>
      <c r="Y929" s="65"/>
      <c r="Z929" s="61"/>
      <c r="AA929" s="64" t="s">
        <v>85</v>
      </c>
      <c r="AB929" s="29" t="str">
        <f>IF(Table2[[#This Row],[Data ultimo versamento temp]]=0/1/1900,"-",Table2[[#This Row],[Data ultimo versamento temp]])</f>
        <v>-</v>
      </c>
      <c r="AC929" s="29">
        <f t="array" ref="AC929">MAX(IF(TableVersamenti[Polizza]=Table2[[#This Row],[Polizza]],TableVersamenti[Data prevista versamento],"-"))</f>
        <v>0</v>
      </c>
      <c r="AD929" s="62"/>
      <c r="AE929" s="106">
        <f>DATE(YEAR(Table2[[#This Row],[Data ultimo pagamento]]),MONTH(Table2[[#This Row],[Data ultimo pagamento]]), 1)</f>
        <v>42826</v>
      </c>
      <c r="AF929" s="106">
        <f>DATE(YEAR(Table2[[#This Row],[Data prossima scadenza]]),MONTH(Table2[[#This Row],[Data prossima scadenza]]), 1)</f>
        <v>42826</v>
      </c>
      <c r="AG929" s="33">
        <f>IFERROR(Table2[[#This Row],[Importo annuale]]*VLOOKUP(Table2[[#This Row],[Ramo]],RAMI_POLIZZA,2,FALSE),0)</f>
        <v>8.32</v>
      </c>
      <c r="AH929" s="65" t="s">
        <v>113</v>
      </c>
      <c r="AI929" s="63" t="str">
        <f>IFERROR(VLOOKUP(Table2[[#This Row],[Contraente]],Table1[[Nome/Ragione sociale]:[Checkbox selezionato]],2,FALSE),"-")</f>
        <v>BELGIOIOSO</v>
      </c>
      <c r="AJ929" s="63">
        <f>IFERROR(VLOOKUP(Table2[[#This Row],[Contraente]],Table1[[Nome/Ragione sociale]:[Checkbox selezionato]],3,FALSE),"-")</f>
        <v>3487271552</v>
      </c>
      <c r="AK929" s="63">
        <f>IFERROR(VLOOKUP(Table2[[#This Row],[Contraente]],Table1[[Nome/Ragione sociale]:[Checkbox selezionato]],4,FALSE),"-")</f>
        <v>0</v>
      </c>
      <c r="AL929" s="63" t="str">
        <f>IFERROR(VLOOKUP(Table2[[#This Row],[Contraente]],Table1[[Nome/Ragione sociale]:[Checkbox selezionato]],5,FALSE),"-")</f>
        <v>PIERLUIGI</v>
      </c>
      <c r="AM929" s="62">
        <f>IFERROR(VLOOKUP(Table2[[#This Row],[Contraente]],Table1[[Nome/Ragione sociale]:[Checkbox selezionato]],6,FALSE),"-")</f>
        <v>0</v>
      </c>
      <c r="AN929" s="63" t="str">
        <f>IFERROR(VLOOKUP(Table2[[#This Row],[Contraente]],Table1[[Nome/Ragione sociale]:[Checkbox selezionato]],7,FALSE),"-")</f>
        <v>papies@email.it</v>
      </c>
      <c r="AO929" s="63">
        <f>IFERROR(VLOOKUP(Table2[[#This Row],[Contraente]],Table1[[Nome/Ragione sociale]:[Checkbox selezionato]],8,FALSE),"-")</f>
        <v>0</v>
      </c>
      <c r="AP929" s="63">
        <f>IFERROR(VLOOKUP(Table2[[#This Row],[Contraente]],Table1[[Nome/Ragione sociale]:[Checkbox selezionato]],10,FALSE),"-")</f>
        <v>3487271552</v>
      </c>
      <c r="AQ929" s="63" t="str">
        <f>IFERROR(VLOOKUP(Table2[[#This Row],[Contraente]],Table1[[Nome/Ragione sociale]:[Checkbox selezionato]],11,FALSE),"-")</f>
        <v>SI</v>
      </c>
      <c r="AR929" s="63" t="str">
        <f>IFERROR(VLOOKUP(Table2[[#This Row],[Contraente]],Table1[[Nome/Ragione sociale]:[Checkbox selezionato]],12,FALSE),"-")</f>
        <v>SI</v>
      </c>
    </row>
    <row r="930" spans="1:44" ht="30" hidden="1" customHeight="1" x14ac:dyDescent="0.25">
      <c r="A930" s="60" t="str">
        <f>UPPER(LEFT(Table2[[#This Row],[Contraente]],1))</f>
        <v>R</v>
      </c>
      <c r="B930" s="60" t="s">
        <v>1634</v>
      </c>
      <c r="C930" s="81" t="s">
        <v>171</v>
      </c>
      <c r="D930" s="81" t="s">
        <v>37</v>
      </c>
      <c r="E930" s="86">
        <v>106751558</v>
      </c>
      <c r="F930" s="64">
        <v>42839</v>
      </c>
      <c r="G930" s="64">
        <f>IFERROR(CALCOLASCADENZA(Table2[[#This Row],[Data attivazione]],Table2[[#This Row],[Rateizzazione]],Table2[[#This Row],[Data ultimo pagamento]],Table2[[#This Row],[Data prossima scadenza manuale]]),"-")</f>
        <v>43023</v>
      </c>
      <c r="H930" s="67" t="s">
        <v>31</v>
      </c>
      <c r="I930" s="67" t="s">
        <v>1697</v>
      </c>
      <c r="J930" s="33">
        <f>IFERROR(Table2[[#This Row],[Importo annuale]]/(12/VLOOKUP(Table2[[#This Row],[Rateizzazione]],TIPI_RATEIZZAZIONI,2,FALSE)),"-")</f>
        <v>240</v>
      </c>
      <c r="K930" s="88">
        <v>240</v>
      </c>
      <c r="L930" s="88">
        <v>480</v>
      </c>
      <c r="M930" s="67" t="s">
        <v>43</v>
      </c>
      <c r="N930" s="67" t="s">
        <v>52</v>
      </c>
      <c r="O930" s="27" t="s">
        <v>1631</v>
      </c>
      <c r="P930" s="33" t="s">
        <v>22</v>
      </c>
      <c r="Q930" s="60">
        <f>IFERROR(IF(12 / VLOOKUP(Table2[[#This Row],[Rateizzazione]],TIPI_RATEIZZAZIONI,2,FALSE) &gt;=1,  IF(Table2[[#This Row],[Data attivazione]] = "","-",MONTH(Table2[[#This Row],[Data attivazione]])),"-"),"-")</f>
        <v>10</v>
      </c>
      <c r="R9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0" s="67" t="s">
        <v>2</v>
      </c>
      <c r="V930" s="62"/>
      <c r="W930" s="64">
        <v>42658</v>
      </c>
      <c r="X930" s="29">
        <f>DATE(YEAR(Table2[[#This Row],[Data attivazione]])+VLOOKUP(Table2[[#This Row],[Durata]],VALORE_DURATA,2,FALSE),MONTH(Table2[[#This Row],[Data attivazione]]),DAY(Table2[[#This Row],[Data attivazione]]))</f>
        <v>43023</v>
      </c>
      <c r="Y930" s="65"/>
      <c r="Z930" s="61"/>
      <c r="AA930" s="64" t="s">
        <v>85</v>
      </c>
      <c r="AB930" s="29" t="str">
        <f>IF(Table2[[#This Row],[Data ultimo versamento temp]]=0/1/1900,"-",Table2[[#This Row],[Data ultimo versamento temp]])</f>
        <v>-</v>
      </c>
      <c r="AC930" s="29">
        <f t="array" ref="AC930">MAX(IF(TableVersamenti[Polizza]=Table2[[#This Row],[Polizza]],TableVersamenti[Data prevista versamento],"-"))</f>
        <v>0</v>
      </c>
      <c r="AD930" s="62"/>
      <c r="AE930" s="106">
        <f>DATE(YEAR(Table2[[#This Row],[Data ultimo pagamento]]),MONTH(Table2[[#This Row],[Data ultimo pagamento]]), 1)</f>
        <v>42826</v>
      </c>
      <c r="AF930" s="106">
        <f>DATE(YEAR(Table2[[#This Row],[Data prossima scadenza]]),MONTH(Table2[[#This Row],[Data prossima scadenza]]), 1)</f>
        <v>43009</v>
      </c>
      <c r="AG930" s="33">
        <f>IFERROR(Table2[[#This Row],[Importo annuale]]*VLOOKUP(Table2[[#This Row],[Ramo]],RAMI_POLIZZA,2,FALSE),0)</f>
        <v>24.959999999999997</v>
      </c>
      <c r="AH930" s="65" t="s">
        <v>113</v>
      </c>
      <c r="AI930" s="63" t="str">
        <f>IFERROR(VLOOKUP(Table2[[#This Row],[Contraente]],Table1[[Nome/Ragione sociale]:[Checkbox selezionato]],2,FALSE),"-")</f>
        <v>BELGIOIOSO</v>
      </c>
      <c r="AJ930" s="63">
        <f>IFERROR(VLOOKUP(Table2[[#This Row],[Contraente]],Table1[[Nome/Ragione sociale]:[Checkbox selezionato]],3,FALSE),"-")</f>
        <v>3487271552</v>
      </c>
      <c r="AK930" s="63">
        <f>IFERROR(VLOOKUP(Table2[[#This Row],[Contraente]],Table1[[Nome/Ragione sociale]:[Checkbox selezionato]],4,FALSE),"-")</f>
        <v>0</v>
      </c>
      <c r="AL930" s="63" t="str">
        <f>IFERROR(VLOOKUP(Table2[[#This Row],[Contraente]],Table1[[Nome/Ragione sociale]:[Checkbox selezionato]],5,FALSE),"-")</f>
        <v>PIERLUIGI</v>
      </c>
      <c r="AM930" s="62">
        <f>IFERROR(VLOOKUP(Table2[[#This Row],[Contraente]],Table1[[Nome/Ragione sociale]:[Checkbox selezionato]],6,FALSE),"-")</f>
        <v>0</v>
      </c>
      <c r="AN930" s="63" t="str">
        <f>IFERROR(VLOOKUP(Table2[[#This Row],[Contraente]],Table1[[Nome/Ragione sociale]:[Checkbox selezionato]],7,FALSE),"-")</f>
        <v>papies@email.it</v>
      </c>
      <c r="AO930" s="63">
        <f>IFERROR(VLOOKUP(Table2[[#This Row],[Contraente]],Table1[[Nome/Ragione sociale]:[Checkbox selezionato]],8,FALSE),"-")</f>
        <v>0</v>
      </c>
      <c r="AP930" s="63">
        <f>IFERROR(VLOOKUP(Table2[[#This Row],[Contraente]],Table1[[Nome/Ragione sociale]:[Checkbox selezionato]],10,FALSE),"-")</f>
        <v>3487271552</v>
      </c>
      <c r="AQ930" s="63" t="str">
        <f>IFERROR(VLOOKUP(Table2[[#This Row],[Contraente]],Table1[[Nome/Ragione sociale]:[Checkbox selezionato]],11,FALSE),"-")</f>
        <v>SI</v>
      </c>
      <c r="AR930" s="63" t="str">
        <f>IFERROR(VLOOKUP(Table2[[#This Row],[Contraente]],Table1[[Nome/Ragione sociale]:[Checkbox selezionato]],12,FALSE),"-")</f>
        <v>SI</v>
      </c>
    </row>
    <row r="931" spans="1:44" ht="30" hidden="1" customHeight="1" x14ac:dyDescent="0.25">
      <c r="A931" s="60" t="str">
        <f>UPPER(LEFT(Table2[[#This Row],[Contraente]],1))</f>
        <v>R</v>
      </c>
      <c r="B931" s="60" t="s">
        <v>1634</v>
      </c>
      <c r="C931" s="81" t="s">
        <v>173</v>
      </c>
      <c r="D931" s="81" t="s">
        <v>37</v>
      </c>
      <c r="E931" s="86">
        <v>106876187</v>
      </c>
      <c r="F931" s="64">
        <v>42873</v>
      </c>
      <c r="G931" s="64">
        <f>IFERROR(CALCOLASCADENZA(Table2[[#This Row],[Data attivazione]],Table2[[#This Row],[Rateizzazione]],Table2[[#This Row],[Data ultimo pagamento]],Table2[[#This Row],[Data prossima scadenza manuale]]),"-")</f>
        <v>43235</v>
      </c>
      <c r="H931" s="67" t="s">
        <v>31</v>
      </c>
      <c r="I931" s="67" t="s">
        <v>1524</v>
      </c>
      <c r="J931" s="33">
        <f>IFERROR(Table2[[#This Row],[Importo annuale]]/(12/VLOOKUP(Table2[[#This Row],[Rateizzazione]],TIPI_RATEIZZAZIONI,2,FALSE)),"-")</f>
        <v>160</v>
      </c>
      <c r="K931" s="88">
        <v>160</v>
      </c>
      <c r="L931" s="88">
        <v>160</v>
      </c>
      <c r="M931" s="67" t="s">
        <v>43</v>
      </c>
      <c r="N931" s="67" t="s">
        <v>51</v>
      </c>
      <c r="O931" s="27" t="s">
        <v>1631</v>
      </c>
      <c r="P931" s="33" t="s">
        <v>23</v>
      </c>
      <c r="Q931" s="60">
        <f>IFERROR(IF(12 / VLOOKUP(Table2[[#This Row],[Rateizzazione]],TIPI_RATEIZZAZIONI,2,FALSE) &gt;=1,  IF(Table2[[#This Row],[Data attivazione]] = "","-",MONTH(Table2[[#This Row],[Data attivazione]])),"-"),"-")</f>
        <v>5</v>
      </c>
      <c r="R9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1" s="67" t="s">
        <v>2</v>
      </c>
      <c r="V931" s="62"/>
      <c r="W931" s="64">
        <v>42870</v>
      </c>
      <c r="X931" s="29">
        <f>DATE(YEAR(Table2[[#This Row],[Data attivazione]])+VLOOKUP(Table2[[#This Row],[Durata]],VALORE_DURATA,2,FALSE),MONTH(Table2[[#This Row],[Data attivazione]]),DAY(Table2[[#This Row],[Data attivazione]]))</f>
        <v>43235</v>
      </c>
      <c r="Y931" s="65"/>
      <c r="Z931" s="61"/>
      <c r="AA931" s="64" t="s">
        <v>85</v>
      </c>
      <c r="AB931" s="29" t="str">
        <f>IF(Table2[[#This Row],[Data ultimo versamento temp]]=0/1/1900,"-",Table2[[#This Row],[Data ultimo versamento temp]])</f>
        <v>-</v>
      </c>
      <c r="AC931" s="29">
        <f t="array" ref="AC931">MAX(IF(TableVersamenti[Polizza]=Table2[[#This Row],[Polizza]],TableVersamenti[Data prevista versamento],"-"))</f>
        <v>0</v>
      </c>
      <c r="AD931" s="62"/>
      <c r="AE931" s="106">
        <f>DATE(YEAR(Table2[[#This Row],[Data ultimo pagamento]]),MONTH(Table2[[#This Row],[Data ultimo pagamento]]), 1)</f>
        <v>42856</v>
      </c>
      <c r="AF931" s="106">
        <f>DATE(YEAR(Table2[[#This Row],[Data prossima scadenza]]),MONTH(Table2[[#This Row],[Data prossima scadenza]]), 1)</f>
        <v>43221</v>
      </c>
      <c r="AG931" s="33">
        <f>IFERROR(Table2[[#This Row],[Importo annuale]]*VLOOKUP(Table2[[#This Row],[Ramo]],RAMI_POLIZZA,2,FALSE),0)</f>
        <v>8.32</v>
      </c>
      <c r="AH931" s="65" t="s">
        <v>113</v>
      </c>
      <c r="AI931" s="63" t="str">
        <f>IFERROR(VLOOKUP(Table2[[#This Row],[Contraente]],Table1[[Nome/Ragione sociale]:[Checkbox selezionato]],2,FALSE),"-")</f>
        <v>BELGIOIOSO</v>
      </c>
      <c r="AJ931" s="63">
        <f>IFERROR(VLOOKUP(Table2[[#This Row],[Contraente]],Table1[[Nome/Ragione sociale]:[Checkbox selezionato]],3,FALSE),"-")</f>
        <v>3487271552</v>
      </c>
      <c r="AK931" s="63">
        <f>IFERROR(VLOOKUP(Table2[[#This Row],[Contraente]],Table1[[Nome/Ragione sociale]:[Checkbox selezionato]],4,FALSE),"-")</f>
        <v>0</v>
      </c>
      <c r="AL931" s="63" t="str">
        <f>IFERROR(VLOOKUP(Table2[[#This Row],[Contraente]],Table1[[Nome/Ragione sociale]:[Checkbox selezionato]],5,FALSE),"-")</f>
        <v xml:space="preserve"> PIERLUIGI PADRE</v>
      </c>
      <c r="AM931" s="62">
        <f>IFERROR(VLOOKUP(Table2[[#This Row],[Contraente]],Table1[[Nome/Ragione sociale]:[Checkbox selezionato]],6,FALSE),"-")</f>
        <v>0</v>
      </c>
      <c r="AN931" s="63" t="str">
        <f>IFERROR(VLOOKUP(Table2[[#This Row],[Contraente]],Table1[[Nome/Ragione sociale]:[Checkbox selezionato]],7,FALSE),"-")</f>
        <v>papies@libero.it</v>
      </c>
      <c r="AO931" s="63">
        <f>IFERROR(VLOOKUP(Table2[[#This Row],[Contraente]],Table1[[Nome/Ragione sociale]:[Checkbox selezionato]],8,FALSE),"-")</f>
        <v>0</v>
      </c>
      <c r="AP931" s="63">
        <f>IFERROR(VLOOKUP(Table2[[#This Row],[Contraente]],Table1[[Nome/Ragione sociale]:[Checkbox selezionato]],10,FALSE),"-")</f>
        <v>3487271552</v>
      </c>
      <c r="AQ931" s="63" t="str">
        <f>IFERROR(VLOOKUP(Table2[[#This Row],[Contraente]],Table1[[Nome/Ragione sociale]:[Checkbox selezionato]],11,FALSE),"-")</f>
        <v>SI</v>
      </c>
      <c r="AR931" s="63" t="str">
        <f>IFERROR(VLOOKUP(Table2[[#This Row],[Contraente]],Table1[[Nome/Ragione sociale]:[Checkbox selezionato]],12,FALSE),"-")</f>
        <v>SI</v>
      </c>
    </row>
    <row r="932" spans="1:44" ht="30" hidden="1" customHeight="1" x14ac:dyDescent="0.25">
      <c r="A932" s="60" t="str">
        <f>UPPER(LEFT(Table2[[#This Row],[Contraente]],1))</f>
        <v>R</v>
      </c>
      <c r="B932" s="60" t="s">
        <v>1634</v>
      </c>
      <c r="C932" s="81" t="s">
        <v>173</v>
      </c>
      <c r="D932" s="81" t="s">
        <v>37</v>
      </c>
      <c r="E932" s="86">
        <v>104339354</v>
      </c>
      <c r="F932" s="64"/>
      <c r="G932" s="64">
        <f>IFERROR(CALCOLASCADENZA(Table2[[#This Row],[Data attivazione]],Table2[[#This Row],[Rateizzazione]],Table2[[#This Row],[Data ultimo pagamento]],Table2[[#This Row],[Data prossima scadenza manuale]]),"-")</f>
        <v>0</v>
      </c>
      <c r="H932" s="67" t="s">
        <v>30</v>
      </c>
      <c r="I932" s="67" t="s">
        <v>113</v>
      </c>
      <c r="J932" s="33">
        <v>0</v>
      </c>
      <c r="K932" s="88"/>
      <c r="L932" s="88">
        <v>0</v>
      </c>
      <c r="M932" s="67" t="s">
        <v>43</v>
      </c>
      <c r="N932" s="67" t="s">
        <v>52</v>
      </c>
      <c r="O932" s="27" t="s">
        <v>1631</v>
      </c>
      <c r="P932" s="33" t="s">
        <v>24</v>
      </c>
      <c r="Q93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2" s="67" t="s">
        <v>2</v>
      </c>
      <c r="V932" s="62"/>
      <c r="W932" s="64">
        <v>693597</v>
      </c>
      <c r="X932" s="29">
        <f>DATE(YEAR(Table2[[#This Row],[Data attivazione]])+VLOOKUP(Table2[[#This Row],[Durata]],VALORE_DURATA,2,FALSE),MONTH(Table2[[#This Row],[Data attivazione]]),DAY(Table2[[#This Row],[Data attivazione]]))</f>
        <v>693962</v>
      </c>
      <c r="Y932" s="65"/>
      <c r="Z932" s="61"/>
      <c r="AA932" s="64" t="s">
        <v>88</v>
      </c>
      <c r="AB932" s="29" t="str">
        <f>IF(Table2[[#This Row],[Data ultimo versamento temp]]=0/1/1900,"-",Table2[[#This Row],[Data ultimo versamento temp]])</f>
        <v>-</v>
      </c>
      <c r="AC932" s="29">
        <f t="array" ref="AC932">MAX(IF(TableVersamenti[Polizza]=Table2[[#This Row],[Polizza]],TableVersamenti[Data prevista versamento],"-"))</f>
        <v>0</v>
      </c>
      <c r="AD932" s="62"/>
      <c r="AE932" s="106">
        <f>DATE(YEAR(Table2[[#This Row],[Data ultimo pagamento]]),MONTH(Table2[[#This Row],[Data ultimo pagamento]]), 1)</f>
        <v>1</v>
      </c>
      <c r="AF932" s="106">
        <f>DATE(YEAR(Table2[[#This Row],[Data prossima scadenza]]),MONTH(Table2[[#This Row],[Data prossima scadenza]]), 1)</f>
        <v>1</v>
      </c>
      <c r="AG932" s="33">
        <f>IFERROR(Table2[[#This Row],[Importo annuale]]*VLOOKUP(Table2[[#This Row],[Ramo]],RAMI_POLIZZA,2,FALSE),0)</f>
        <v>0</v>
      </c>
      <c r="AH932" s="65" t="s">
        <v>113</v>
      </c>
      <c r="AI932" s="63" t="str">
        <f>IFERROR(VLOOKUP(Table2[[#This Row],[Contraente]],Table1[[Nome/Ragione sociale]:[Checkbox selezionato]],2,FALSE),"-")</f>
        <v>BELGIOIOSO</v>
      </c>
      <c r="AJ932" s="63">
        <f>IFERROR(VLOOKUP(Table2[[#This Row],[Contraente]],Table1[[Nome/Ragione sociale]:[Checkbox selezionato]],3,FALSE),"-")</f>
        <v>3487271552</v>
      </c>
      <c r="AK932" s="63">
        <f>IFERROR(VLOOKUP(Table2[[#This Row],[Contraente]],Table1[[Nome/Ragione sociale]:[Checkbox selezionato]],4,FALSE),"-")</f>
        <v>0</v>
      </c>
      <c r="AL932" s="63" t="str">
        <f>IFERROR(VLOOKUP(Table2[[#This Row],[Contraente]],Table1[[Nome/Ragione sociale]:[Checkbox selezionato]],5,FALSE),"-")</f>
        <v xml:space="preserve"> PIERLUIGI PADRE</v>
      </c>
      <c r="AM932" s="62">
        <f>IFERROR(VLOOKUP(Table2[[#This Row],[Contraente]],Table1[[Nome/Ragione sociale]:[Checkbox selezionato]],6,FALSE),"-")</f>
        <v>0</v>
      </c>
      <c r="AN932" s="63" t="str">
        <f>IFERROR(VLOOKUP(Table2[[#This Row],[Contraente]],Table1[[Nome/Ragione sociale]:[Checkbox selezionato]],7,FALSE),"-")</f>
        <v>papies@libero.it</v>
      </c>
      <c r="AO932" s="63">
        <f>IFERROR(VLOOKUP(Table2[[#This Row],[Contraente]],Table1[[Nome/Ragione sociale]:[Checkbox selezionato]],8,FALSE),"-")</f>
        <v>0</v>
      </c>
      <c r="AP932" s="63">
        <f>IFERROR(VLOOKUP(Table2[[#This Row],[Contraente]],Table1[[Nome/Ragione sociale]:[Checkbox selezionato]],10,FALSE),"-")</f>
        <v>3487271552</v>
      </c>
      <c r="AQ932" s="63" t="str">
        <f>IFERROR(VLOOKUP(Table2[[#This Row],[Contraente]],Table1[[Nome/Ragione sociale]:[Checkbox selezionato]],11,FALSE),"-")</f>
        <v>SI</v>
      </c>
      <c r="AR932" s="63" t="str">
        <f>IFERROR(VLOOKUP(Table2[[#This Row],[Contraente]],Table1[[Nome/Ragione sociale]:[Checkbox selezionato]],12,FALSE),"-")</f>
        <v>SI</v>
      </c>
    </row>
    <row r="933" spans="1:44" ht="30" hidden="1" customHeight="1" x14ac:dyDescent="0.25">
      <c r="A933" s="60" t="str">
        <f>UPPER(LEFT(Table2[[#This Row],[Contraente]],1))</f>
        <v>R</v>
      </c>
      <c r="B933" s="60" t="s">
        <v>1634</v>
      </c>
      <c r="C933" s="81" t="s">
        <v>173</v>
      </c>
      <c r="D933" s="81" t="s">
        <v>37</v>
      </c>
      <c r="E933" s="86">
        <v>104339418</v>
      </c>
      <c r="F933" s="64"/>
      <c r="G933" s="64">
        <f>IFERROR(CALCOLASCADENZA(Table2[[#This Row],[Data attivazione]],Table2[[#This Row],[Rateizzazione]],Table2[[#This Row],[Data ultimo pagamento]],Table2[[#This Row],[Data prossima scadenza manuale]]),"-")</f>
        <v>0</v>
      </c>
      <c r="H933" s="67" t="s">
        <v>31</v>
      </c>
      <c r="I933" s="67" t="s">
        <v>1525</v>
      </c>
      <c r="J933" s="33">
        <v>0</v>
      </c>
      <c r="K933" s="88"/>
      <c r="L933" s="88">
        <v>0</v>
      </c>
      <c r="M933" s="67" t="s">
        <v>43</v>
      </c>
      <c r="N933" s="67" t="s">
        <v>51</v>
      </c>
      <c r="O933" s="27" t="s">
        <v>1631</v>
      </c>
      <c r="P933" s="33" t="s">
        <v>24</v>
      </c>
      <c r="Q93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3" s="67" t="s">
        <v>2</v>
      </c>
      <c r="V933" s="62"/>
      <c r="W933" s="64">
        <v>693597</v>
      </c>
      <c r="X933" s="29">
        <f>DATE(YEAR(Table2[[#This Row],[Data attivazione]])+VLOOKUP(Table2[[#This Row],[Durata]],VALORE_DURATA,2,FALSE),MONTH(Table2[[#This Row],[Data attivazione]]),DAY(Table2[[#This Row],[Data attivazione]]))</f>
        <v>693962</v>
      </c>
      <c r="Y933" s="65"/>
      <c r="Z933" s="61"/>
      <c r="AA933" s="64" t="s">
        <v>88</v>
      </c>
      <c r="AB933" s="29" t="str">
        <f>IF(Table2[[#This Row],[Data ultimo versamento temp]]=0/1/1900,"-",Table2[[#This Row],[Data ultimo versamento temp]])</f>
        <v>-</v>
      </c>
      <c r="AC933" s="29">
        <f t="array" ref="AC933">MAX(IF(TableVersamenti[Polizza]=Table2[[#This Row],[Polizza]],TableVersamenti[Data prevista versamento],"-"))</f>
        <v>0</v>
      </c>
      <c r="AD933" s="62"/>
      <c r="AE933" s="106">
        <f>DATE(YEAR(Table2[[#This Row],[Data ultimo pagamento]]),MONTH(Table2[[#This Row],[Data ultimo pagamento]]), 1)</f>
        <v>1</v>
      </c>
      <c r="AF933" s="106">
        <f>DATE(YEAR(Table2[[#This Row],[Data prossima scadenza]]),MONTH(Table2[[#This Row],[Data prossima scadenza]]), 1)</f>
        <v>1</v>
      </c>
      <c r="AG933" s="33">
        <f>IFERROR(Table2[[#This Row],[Importo annuale]]*VLOOKUP(Table2[[#This Row],[Ramo]],RAMI_POLIZZA,2,FALSE),0)</f>
        <v>0</v>
      </c>
      <c r="AH933" s="65" t="s">
        <v>113</v>
      </c>
      <c r="AI933" s="63" t="str">
        <f>IFERROR(VLOOKUP(Table2[[#This Row],[Contraente]],Table1[[Nome/Ragione sociale]:[Checkbox selezionato]],2,FALSE),"-")</f>
        <v>BELGIOIOSO</v>
      </c>
      <c r="AJ933" s="63">
        <f>IFERROR(VLOOKUP(Table2[[#This Row],[Contraente]],Table1[[Nome/Ragione sociale]:[Checkbox selezionato]],3,FALSE),"-")</f>
        <v>3487271552</v>
      </c>
      <c r="AK933" s="63">
        <f>IFERROR(VLOOKUP(Table2[[#This Row],[Contraente]],Table1[[Nome/Ragione sociale]:[Checkbox selezionato]],4,FALSE),"-")</f>
        <v>0</v>
      </c>
      <c r="AL933" s="63" t="str">
        <f>IFERROR(VLOOKUP(Table2[[#This Row],[Contraente]],Table1[[Nome/Ragione sociale]:[Checkbox selezionato]],5,FALSE),"-")</f>
        <v xml:space="preserve"> PIERLUIGI PADRE</v>
      </c>
      <c r="AM933" s="62">
        <f>IFERROR(VLOOKUP(Table2[[#This Row],[Contraente]],Table1[[Nome/Ragione sociale]:[Checkbox selezionato]],6,FALSE),"-")</f>
        <v>0</v>
      </c>
      <c r="AN933" s="63" t="str">
        <f>IFERROR(VLOOKUP(Table2[[#This Row],[Contraente]],Table1[[Nome/Ragione sociale]:[Checkbox selezionato]],7,FALSE),"-")</f>
        <v>papies@libero.it</v>
      </c>
      <c r="AO933" s="63">
        <f>IFERROR(VLOOKUP(Table2[[#This Row],[Contraente]],Table1[[Nome/Ragione sociale]:[Checkbox selezionato]],8,FALSE),"-")</f>
        <v>0</v>
      </c>
      <c r="AP933" s="63">
        <f>IFERROR(VLOOKUP(Table2[[#This Row],[Contraente]],Table1[[Nome/Ragione sociale]:[Checkbox selezionato]],10,FALSE),"-")</f>
        <v>3487271552</v>
      </c>
      <c r="AQ933" s="63" t="str">
        <f>IFERROR(VLOOKUP(Table2[[#This Row],[Contraente]],Table1[[Nome/Ragione sociale]:[Checkbox selezionato]],11,FALSE),"-")</f>
        <v>SI</v>
      </c>
      <c r="AR933" s="63" t="str">
        <f>IFERROR(VLOOKUP(Table2[[#This Row],[Contraente]],Table1[[Nome/Ragione sociale]:[Checkbox selezionato]],12,FALSE),"-")</f>
        <v>SI</v>
      </c>
    </row>
    <row r="934" spans="1:44" ht="30" hidden="1" customHeight="1" x14ac:dyDescent="0.25">
      <c r="A934" s="60" t="str">
        <f>UPPER(LEFT(Table2[[#This Row],[Contraente]],1))</f>
        <v>R</v>
      </c>
      <c r="B934" s="60" t="s">
        <v>1634</v>
      </c>
      <c r="C934" s="81" t="s">
        <v>950</v>
      </c>
      <c r="D934" s="81" t="s">
        <v>37</v>
      </c>
      <c r="E934" s="86">
        <v>106169868</v>
      </c>
      <c r="F934" s="64">
        <v>42864</v>
      </c>
      <c r="G934" s="64">
        <f>IFERROR(CALCOLASCADENZA(Table2[[#This Row],[Data attivazione]],Table2[[#This Row],[Rateizzazione]],Table2[[#This Row],[Data ultimo pagamento]],Table2[[#This Row],[Data prossima scadenza manuale]]),"-")</f>
        <v>43035</v>
      </c>
      <c r="H934" s="67" t="s">
        <v>31</v>
      </c>
      <c r="I934" s="67" t="s">
        <v>1527</v>
      </c>
      <c r="J934" s="33">
        <f>IFERROR(Table2[[#This Row],[Importo annuale]]/(12/VLOOKUP(Table2[[#This Row],[Rateizzazione]],TIPI_RATEIZZAZIONI,2,FALSE)),"-")</f>
        <v>174.75</v>
      </c>
      <c r="K934" s="88">
        <v>174.75</v>
      </c>
      <c r="L934" s="88">
        <v>349.5</v>
      </c>
      <c r="M934" s="67" t="s">
        <v>43</v>
      </c>
      <c r="N934" s="67" t="s">
        <v>52</v>
      </c>
      <c r="O934" s="27" t="s">
        <v>1631</v>
      </c>
      <c r="P934" s="33" t="s">
        <v>22</v>
      </c>
      <c r="Q934" s="60">
        <f>IFERROR(IF(12 / VLOOKUP(Table2[[#This Row],[Rateizzazione]],TIPI_RATEIZZAZIONI,2,FALSE) &gt;=1,  IF(Table2[[#This Row],[Data attivazione]] = "","-",MONTH(Table2[[#This Row],[Data attivazione]])),"-"),"-")</f>
        <v>10</v>
      </c>
      <c r="R9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4" s="67" t="s">
        <v>2</v>
      </c>
      <c r="V934" s="62"/>
      <c r="W934" s="64">
        <v>42670</v>
      </c>
      <c r="X934" s="29">
        <f>DATE(YEAR(Table2[[#This Row],[Data attivazione]])+VLOOKUP(Table2[[#This Row],[Durata]],VALORE_DURATA,2,FALSE),MONTH(Table2[[#This Row],[Data attivazione]]),DAY(Table2[[#This Row],[Data attivazione]]))</f>
        <v>43035</v>
      </c>
      <c r="Y934" s="65"/>
      <c r="Z934" s="61"/>
      <c r="AA934" s="64" t="s">
        <v>85</v>
      </c>
      <c r="AB934" s="29" t="str">
        <f>IF(Table2[[#This Row],[Data ultimo versamento temp]]=0/1/1900,"-",Table2[[#This Row],[Data ultimo versamento temp]])</f>
        <v>-</v>
      </c>
      <c r="AC934" s="29">
        <f t="array" ref="AC934">MAX(IF(TableVersamenti[Polizza]=Table2[[#This Row],[Polizza]],TableVersamenti[Data prevista versamento],"-"))</f>
        <v>0</v>
      </c>
      <c r="AD934" s="62"/>
      <c r="AE934" s="106">
        <f>DATE(YEAR(Table2[[#This Row],[Data ultimo pagamento]]),MONTH(Table2[[#This Row],[Data ultimo pagamento]]), 1)</f>
        <v>42856</v>
      </c>
      <c r="AF934" s="106">
        <f>DATE(YEAR(Table2[[#This Row],[Data prossima scadenza]]),MONTH(Table2[[#This Row],[Data prossima scadenza]]), 1)</f>
        <v>43009</v>
      </c>
      <c r="AG934" s="33">
        <f>IFERROR(Table2[[#This Row],[Importo annuale]]*VLOOKUP(Table2[[#This Row],[Ramo]],RAMI_POLIZZA,2,FALSE),0)</f>
        <v>18.173999999999999</v>
      </c>
      <c r="AH934" s="65" t="s">
        <v>113</v>
      </c>
      <c r="AI934" s="63" t="str">
        <f>IFERROR(VLOOKUP(Table2[[#This Row],[Contraente]],Table1[[Nome/Ragione sociale]:[Checkbox selezionato]],2,FALSE),"-")</f>
        <v>FILIGHERA</v>
      </c>
      <c r="AJ934" s="63">
        <f>IFERROR(VLOOKUP(Table2[[#This Row],[Contraente]],Table1[[Nome/Ragione sociale]:[Checkbox selezionato]],3,FALSE),"-")</f>
        <v>0</v>
      </c>
      <c r="AK934" s="63">
        <f>IFERROR(VLOOKUP(Table2[[#This Row],[Contraente]],Table1[[Nome/Ragione sociale]:[Checkbox selezionato]],4,FALSE),"-")</f>
        <v>0</v>
      </c>
      <c r="AL934" s="63">
        <f>IFERROR(VLOOKUP(Table2[[#This Row],[Contraente]],Table1[[Nome/Ragione sociale]:[Checkbox selezionato]],5,FALSE),"-")</f>
        <v>0</v>
      </c>
      <c r="AM934" s="62">
        <f>IFERROR(VLOOKUP(Table2[[#This Row],[Contraente]],Table1[[Nome/Ragione sociale]:[Checkbox selezionato]],6,FALSE),"-")</f>
        <v>24048</v>
      </c>
      <c r="AN934" s="63" t="str">
        <f>IFERROR(VLOOKUP(Table2[[#This Row],[Contraente]],Table1[[Nome/Ragione sociale]:[Checkbox selezionato]],7,FALSE),"-")</f>
        <v>papies@libero.it</v>
      </c>
      <c r="AO934" s="63">
        <f>IFERROR(VLOOKUP(Table2[[#This Row],[Contraente]],Table1[[Nome/Ragione sociale]:[Checkbox selezionato]],8,FALSE),"-")</f>
        <v>0</v>
      </c>
      <c r="AP934" s="63">
        <f>IFERROR(VLOOKUP(Table2[[#This Row],[Contraente]],Table1[[Nome/Ragione sociale]:[Checkbox selezionato]],10,FALSE),"-")</f>
        <v>0</v>
      </c>
      <c r="AQ934" s="63" t="str">
        <f>IFERROR(VLOOKUP(Table2[[#This Row],[Contraente]],Table1[[Nome/Ragione sociale]:[Checkbox selezionato]],11,FALSE),"-")</f>
        <v>SI</v>
      </c>
      <c r="AR934" s="63" t="str">
        <f>IFERROR(VLOOKUP(Table2[[#This Row],[Contraente]],Table1[[Nome/Ragione sociale]:[Checkbox selezionato]],12,FALSE),"-")</f>
        <v>SI</v>
      </c>
    </row>
    <row r="935" spans="1:44" ht="30" hidden="1" customHeight="1" x14ac:dyDescent="0.25">
      <c r="A935" s="60" t="str">
        <f>UPPER(LEFT(Table2[[#This Row],[Contraente]],1))</f>
        <v>R</v>
      </c>
      <c r="B935" s="60" t="s">
        <v>1634</v>
      </c>
      <c r="C935" s="81" t="s">
        <v>951</v>
      </c>
      <c r="D935" s="81" t="s">
        <v>37</v>
      </c>
      <c r="E935" s="86">
        <v>105519065</v>
      </c>
      <c r="F935" s="64">
        <v>42807</v>
      </c>
      <c r="G935" s="64">
        <f>IFERROR(CALCOLASCADENZA(Table2[[#This Row],[Data attivazione]],Table2[[#This Row],[Rateizzazione]],Table2[[#This Row],[Data ultimo pagamento]],Table2[[#This Row],[Data prossima scadenza manuale]]),"-")</f>
        <v>42807</v>
      </c>
      <c r="H935" s="67" t="s">
        <v>31</v>
      </c>
      <c r="I935" s="67" t="s">
        <v>1528</v>
      </c>
      <c r="J935" s="33">
        <v>-21.77</v>
      </c>
      <c r="K935" s="88">
        <v>-21.77</v>
      </c>
      <c r="L935" s="88">
        <v>0</v>
      </c>
      <c r="M935" s="67" t="s">
        <v>43</v>
      </c>
      <c r="N935" s="67" t="s">
        <v>51</v>
      </c>
      <c r="O935" s="27" t="s">
        <v>1631</v>
      </c>
      <c r="P935" s="33" t="s">
        <v>24</v>
      </c>
      <c r="Q93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5" s="67" t="s">
        <v>2</v>
      </c>
      <c r="V935" s="62"/>
      <c r="W935" s="64">
        <v>42476</v>
      </c>
      <c r="X935" s="29">
        <f>DATE(YEAR(Table2[[#This Row],[Data attivazione]])+VLOOKUP(Table2[[#This Row],[Durata]],VALORE_DURATA,2,FALSE),MONTH(Table2[[#This Row],[Data attivazione]]),DAY(Table2[[#This Row],[Data attivazione]]))</f>
        <v>42841</v>
      </c>
      <c r="Y935" s="65"/>
      <c r="Z935" s="61"/>
      <c r="AA935" s="64" t="s">
        <v>88</v>
      </c>
      <c r="AB935" s="29" t="str">
        <f>IF(Table2[[#This Row],[Data ultimo versamento temp]]=0/1/1900,"-",Table2[[#This Row],[Data ultimo versamento temp]])</f>
        <v>-</v>
      </c>
      <c r="AC935" s="29">
        <f t="array" ref="AC935">MAX(IF(TableVersamenti[Polizza]=Table2[[#This Row],[Polizza]],TableVersamenti[Data prevista versamento],"-"))</f>
        <v>0</v>
      </c>
      <c r="AD935" s="62"/>
      <c r="AE935" s="106">
        <f>DATE(YEAR(Table2[[#This Row],[Data ultimo pagamento]]),MONTH(Table2[[#This Row],[Data ultimo pagamento]]), 1)</f>
        <v>42795</v>
      </c>
      <c r="AF935" s="106">
        <f>DATE(YEAR(Table2[[#This Row],[Data prossima scadenza]]),MONTH(Table2[[#This Row],[Data prossima scadenza]]), 1)</f>
        <v>42795</v>
      </c>
      <c r="AG935" s="33">
        <f>IFERROR(Table2[[#This Row],[Importo annuale]]*VLOOKUP(Table2[[#This Row],[Ramo]],RAMI_POLIZZA,2,FALSE),0)</f>
        <v>0</v>
      </c>
      <c r="AH935" s="65" t="s">
        <v>113</v>
      </c>
      <c r="AI935" s="63" t="str">
        <f>IFERROR(VLOOKUP(Table2[[#This Row],[Contraente]],Table1[[Nome/Ragione sociale]:[Checkbox selezionato]],2,FALSE),"-")</f>
        <v>MEZZANINO</v>
      </c>
      <c r="AJ935" s="63">
        <f>IFERROR(VLOOKUP(Table2[[#This Row],[Contraente]],Table1[[Nome/Ragione sociale]:[Checkbox selezionato]],3,FALSE),"-")</f>
        <v>3460601744</v>
      </c>
      <c r="AK935" s="63">
        <f>IFERROR(VLOOKUP(Table2[[#This Row],[Contraente]],Table1[[Nome/Ragione sociale]:[Checkbox selezionato]],4,FALSE),"-")</f>
        <v>0</v>
      </c>
      <c r="AL935" s="63" t="str">
        <f>IFERROR(VLOOKUP(Table2[[#This Row],[Contraente]],Table1[[Nome/Ragione sociale]:[Checkbox selezionato]],5,FALSE),"-")</f>
        <v>MONICA</v>
      </c>
      <c r="AM935" s="62">
        <f>IFERROR(VLOOKUP(Table2[[#This Row],[Contraente]],Table1[[Nome/Ragione sociale]:[Checkbox selezionato]],6,FALSE),"-")</f>
        <v>29005</v>
      </c>
      <c r="AN935" s="63" t="str">
        <f>IFERROR(VLOOKUP(Table2[[#This Row],[Contraente]],Table1[[Nome/Ragione sociale]:[Checkbox selezionato]],7,FALSE),"-")</f>
        <v>papies@email.it</v>
      </c>
      <c r="AO935" s="63">
        <f>IFERROR(VLOOKUP(Table2[[#This Row],[Contraente]],Table1[[Nome/Ragione sociale]:[Checkbox selezionato]],8,FALSE),"-")</f>
        <v>0</v>
      </c>
      <c r="AP935" s="63">
        <f>IFERROR(VLOOKUP(Table2[[#This Row],[Contraente]],Table1[[Nome/Ragione sociale]:[Checkbox selezionato]],10,FALSE),"-")</f>
        <v>3460601744</v>
      </c>
      <c r="AQ935" s="63" t="str">
        <f>IFERROR(VLOOKUP(Table2[[#This Row],[Contraente]],Table1[[Nome/Ragione sociale]:[Checkbox selezionato]],11,FALSE),"-")</f>
        <v>SI</v>
      </c>
      <c r="AR935" s="63" t="str">
        <f>IFERROR(VLOOKUP(Table2[[#This Row],[Contraente]],Table1[[Nome/Ragione sociale]:[Checkbox selezionato]],12,FALSE),"-")</f>
        <v>SI</v>
      </c>
    </row>
    <row r="936" spans="1:44" ht="30" hidden="1" customHeight="1" x14ac:dyDescent="0.25">
      <c r="A936" s="60" t="str">
        <f>UPPER(LEFT(Table2[[#This Row],[Contraente]],1))</f>
        <v>R</v>
      </c>
      <c r="B936" s="60" t="s">
        <v>1634</v>
      </c>
      <c r="C936" s="81" t="s">
        <v>951</v>
      </c>
      <c r="D936" s="81" t="s">
        <v>37</v>
      </c>
      <c r="E936" s="86">
        <v>102954307</v>
      </c>
      <c r="F936" s="64">
        <v>42807</v>
      </c>
      <c r="G936" s="64">
        <f>IFERROR(CALCOLASCADENZA(Table2[[#This Row],[Data attivazione]],Table2[[#This Row],[Rateizzazione]],Table2[[#This Row],[Data ultimo pagamento]],Table2[[#This Row],[Data prossima scadenza manuale]]),"-")</f>
        <v>42807</v>
      </c>
      <c r="H936" s="67" t="s">
        <v>30</v>
      </c>
      <c r="I936" s="67" t="s">
        <v>113</v>
      </c>
      <c r="J936" s="33">
        <v>0</v>
      </c>
      <c r="K936" s="88">
        <v>0</v>
      </c>
      <c r="L936" s="88">
        <v>0</v>
      </c>
      <c r="M936" s="67" t="s">
        <v>43</v>
      </c>
      <c r="N936" s="67" t="s">
        <v>51</v>
      </c>
      <c r="O936" s="27" t="s">
        <v>1631</v>
      </c>
      <c r="P936" s="33" t="s">
        <v>24</v>
      </c>
      <c r="Q93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6" s="67" t="s">
        <v>2</v>
      </c>
      <c r="V936" s="62"/>
      <c r="W936" s="64">
        <v>42476</v>
      </c>
      <c r="X936" s="29">
        <f>DATE(YEAR(Table2[[#This Row],[Data attivazione]])+VLOOKUP(Table2[[#This Row],[Durata]],VALORE_DURATA,2,FALSE),MONTH(Table2[[#This Row],[Data attivazione]]),DAY(Table2[[#This Row],[Data attivazione]]))</f>
        <v>42841</v>
      </c>
      <c r="Y936" s="65"/>
      <c r="Z936" s="61"/>
      <c r="AA936" s="64" t="s">
        <v>88</v>
      </c>
      <c r="AB936" s="29" t="str">
        <f>IF(Table2[[#This Row],[Data ultimo versamento temp]]=0/1/1900,"-",Table2[[#This Row],[Data ultimo versamento temp]])</f>
        <v>-</v>
      </c>
      <c r="AC936" s="29">
        <f t="array" ref="AC936">MAX(IF(TableVersamenti[Polizza]=Table2[[#This Row],[Polizza]],TableVersamenti[Data prevista versamento],"-"))</f>
        <v>0</v>
      </c>
      <c r="AD936" s="62"/>
      <c r="AE936" s="106">
        <f>DATE(YEAR(Table2[[#This Row],[Data ultimo pagamento]]),MONTH(Table2[[#This Row],[Data ultimo pagamento]]), 1)</f>
        <v>42795</v>
      </c>
      <c r="AF936" s="106">
        <f>DATE(YEAR(Table2[[#This Row],[Data prossima scadenza]]),MONTH(Table2[[#This Row],[Data prossima scadenza]]), 1)</f>
        <v>42795</v>
      </c>
      <c r="AG936" s="33">
        <f>IFERROR(Table2[[#This Row],[Importo annuale]]*VLOOKUP(Table2[[#This Row],[Ramo]],RAMI_POLIZZA,2,FALSE),0)</f>
        <v>0</v>
      </c>
      <c r="AH936" s="65" t="s">
        <v>113</v>
      </c>
      <c r="AI936" s="63" t="str">
        <f>IFERROR(VLOOKUP(Table2[[#This Row],[Contraente]],Table1[[Nome/Ragione sociale]:[Checkbox selezionato]],2,FALSE),"-")</f>
        <v>MEZZANINO</v>
      </c>
      <c r="AJ936" s="63">
        <f>IFERROR(VLOOKUP(Table2[[#This Row],[Contraente]],Table1[[Nome/Ragione sociale]:[Checkbox selezionato]],3,FALSE),"-")</f>
        <v>3460601744</v>
      </c>
      <c r="AK936" s="63">
        <f>IFERROR(VLOOKUP(Table2[[#This Row],[Contraente]],Table1[[Nome/Ragione sociale]:[Checkbox selezionato]],4,FALSE),"-")</f>
        <v>0</v>
      </c>
      <c r="AL936" s="63" t="str">
        <f>IFERROR(VLOOKUP(Table2[[#This Row],[Contraente]],Table1[[Nome/Ragione sociale]:[Checkbox selezionato]],5,FALSE),"-")</f>
        <v>MONICA</v>
      </c>
      <c r="AM936" s="62">
        <f>IFERROR(VLOOKUP(Table2[[#This Row],[Contraente]],Table1[[Nome/Ragione sociale]:[Checkbox selezionato]],6,FALSE),"-")</f>
        <v>29005</v>
      </c>
      <c r="AN936" s="63" t="str">
        <f>IFERROR(VLOOKUP(Table2[[#This Row],[Contraente]],Table1[[Nome/Ragione sociale]:[Checkbox selezionato]],7,FALSE),"-")</f>
        <v>papies@email.it</v>
      </c>
      <c r="AO936" s="63">
        <f>IFERROR(VLOOKUP(Table2[[#This Row],[Contraente]],Table1[[Nome/Ragione sociale]:[Checkbox selezionato]],8,FALSE),"-")</f>
        <v>0</v>
      </c>
      <c r="AP936" s="63">
        <f>IFERROR(VLOOKUP(Table2[[#This Row],[Contraente]],Table1[[Nome/Ragione sociale]:[Checkbox selezionato]],10,FALSE),"-")</f>
        <v>3460601744</v>
      </c>
      <c r="AQ936" s="63" t="str">
        <f>IFERROR(VLOOKUP(Table2[[#This Row],[Contraente]],Table1[[Nome/Ragione sociale]:[Checkbox selezionato]],11,FALSE),"-")</f>
        <v>SI</v>
      </c>
      <c r="AR936" s="63" t="str">
        <f>IFERROR(VLOOKUP(Table2[[#This Row],[Contraente]],Table1[[Nome/Ragione sociale]:[Checkbox selezionato]],12,FALSE),"-")</f>
        <v>SI</v>
      </c>
    </row>
    <row r="937" spans="1:44" ht="30" hidden="1" customHeight="1" x14ac:dyDescent="0.25">
      <c r="A937" s="60" t="str">
        <f>UPPER(LEFT(Table2[[#This Row],[Contraente]],1))</f>
        <v>R</v>
      </c>
      <c r="B937" s="60" t="s">
        <v>1634</v>
      </c>
      <c r="C937" s="81" t="s">
        <v>951</v>
      </c>
      <c r="D937" s="81" t="s">
        <v>37</v>
      </c>
      <c r="E937" s="86">
        <v>106343405</v>
      </c>
      <c r="F937" s="64">
        <v>42902</v>
      </c>
      <c r="G937" s="64">
        <f>IFERROR(CALCOLASCADENZA(Table2[[#This Row],[Data attivazione]],Table2[[#This Row],[Rateizzazione]],Table2[[#This Row],[Data ultimo pagamento]],Table2[[#This Row],[Data prossima scadenza manuale]]),"-")</f>
        <v>43072</v>
      </c>
      <c r="H937" s="67" t="s">
        <v>30</v>
      </c>
      <c r="I937" s="67" t="s">
        <v>113</v>
      </c>
      <c r="J937" s="33">
        <f>IFERROR(Table2[[#This Row],[Importo annuale]]/(12/VLOOKUP(Table2[[#This Row],[Rateizzazione]],TIPI_RATEIZZAZIONI,2,FALSE)),"-")</f>
        <v>31</v>
      </c>
      <c r="K937" s="88">
        <v>31</v>
      </c>
      <c r="L937" s="88">
        <v>62</v>
      </c>
      <c r="M937" s="67" t="s">
        <v>43</v>
      </c>
      <c r="N937" s="67" t="s">
        <v>52</v>
      </c>
      <c r="O937" s="27" t="s">
        <v>1631</v>
      </c>
      <c r="P937" s="33" t="s">
        <v>22</v>
      </c>
      <c r="Q937" s="60">
        <f>IFERROR(IF(12 / VLOOKUP(Table2[[#This Row],[Rateizzazione]],TIPI_RATEIZZAZIONI,2,FALSE) &gt;=1,  IF(Table2[[#This Row],[Data attivazione]] = "","-",MONTH(Table2[[#This Row],[Data attivazione]])),"-"),"-")</f>
        <v>12</v>
      </c>
      <c r="R9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7" s="67" t="s">
        <v>2</v>
      </c>
      <c r="V937" s="62"/>
      <c r="W937" s="64">
        <v>42707</v>
      </c>
      <c r="X937" s="29">
        <f>DATE(YEAR(Table2[[#This Row],[Data attivazione]])+VLOOKUP(Table2[[#This Row],[Durata]],VALORE_DURATA,2,FALSE),MONTH(Table2[[#This Row],[Data attivazione]]),DAY(Table2[[#This Row],[Data attivazione]]))</f>
        <v>43072</v>
      </c>
      <c r="Y937" s="65"/>
      <c r="Z937" s="61"/>
      <c r="AA937" s="64" t="s">
        <v>85</v>
      </c>
      <c r="AB937" s="29" t="str">
        <f>IF(Table2[[#This Row],[Data ultimo versamento temp]]=0/1/1900,"-",Table2[[#This Row],[Data ultimo versamento temp]])</f>
        <v>-</v>
      </c>
      <c r="AC937" s="29">
        <f t="array" ref="AC937">MAX(IF(TableVersamenti[Polizza]=Table2[[#This Row],[Polizza]],TableVersamenti[Data prevista versamento],"-"))</f>
        <v>0</v>
      </c>
      <c r="AD937" s="62"/>
      <c r="AE937" s="106">
        <f>DATE(YEAR(Table2[[#This Row],[Data ultimo pagamento]]),MONTH(Table2[[#This Row],[Data ultimo pagamento]]), 1)</f>
        <v>42887</v>
      </c>
      <c r="AF937" s="106">
        <f>DATE(YEAR(Table2[[#This Row],[Data prossima scadenza]]),MONTH(Table2[[#This Row],[Data prossima scadenza]]), 1)</f>
        <v>43070</v>
      </c>
      <c r="AG937" s="33">
        <f>IFERROR(Table2[[#This Row],[Importo annuale]]*VLOOKUP(Table2[[#This Row],[Ramo]],RAMI_POLIZZA,2,FALSE),0)</f>
        <v>7.13</v>
      </c>
      <c r="AH937" s="65" t="s">
        <v>113</v>
      </c>
      <c r="AI937" s="63" t="str">
        <f>IFERROR(VLOOKUP(Table2[[#This Row],[Contraente]],Table1[[Nome/Ragione sociale]:[Checkbox selezionato]],2,FALSE),"-")</f>
        <v>MEZZANINO</v>
      </c>
      <c r="AJ937" s="63">
        <f>IFERROR(VLOOKUP(Table2[[#This Row],[Contraente]],Table1[[Nome/Ragione sociale]:[Checkbox selezionato]],3,FALSE),"-")</f>
        <v>3460601744</v>
      </c>
      <c r="AK937" s="63">
        <f>IFERROR(VLOOKUP(Table2[[#This Row],[Contraente]],Table1[[Nome/Ragione sociale]:[Checkbox selezionato]],4,FALSE),"-")</f>
        <v>0</v>
      </c>
      <c r="AL937" s="63" t="str">
        <f>IFERROR(VLOOKUP(Table2[[#This Row],[Contraente]],Table1[[Nome/Ragione sociale]:[Checkbox selezionato]],5,FALSE),"-")</f>
        <v>MONICA</v>
      </c>
      <c r="AM937" s="62">
        <f>IFERROR(VLOOKUP(Table2[[#This Row],[Contraente]],Table1[[Nome/Ragione sociale]:[Checkbox selezionato]],6,FALSE),"-")</f>
        <v>29005</v>
      </c>
      <c r="AN937" s="63" t="str">
        <f>IFERROR(VLOOKUP(Table2[[#This Row],[Contraente]],Table1[[Nome/Ragione sociale]:[Checkbox selezionato]],7,FALSE),"-")</f>
        <v>papies@email.it</v>
      </c>
      <c r="AO937" s="63">
        <f>IFERROR(VLOOKUP(Table2[[#This Row],[Contraente]],Table1[[Nome/Ragione sociale]:[Checkbox selezionato]],8,FALSE),"-")</f>
        <v>0</v>
      </c>
      <c r="AP937" s="63">
        <f>IFERROR(VLOOKUP(Table2[[#This Row],[Contraente]],Table1[[Nome/Ragione sociale]:[Checkbox selezionato]],10,FALSE),"-")</f>
        <v>3460601744</v>
      </c>
      <c r="AQ937" s="63" t="str">
        <f>IFERROR(VLOOKUP(Table2[[#This Row],[Contraente]],Table1[[Nome/Ragione sociale]:[Checkbox selezionato]],11,FALSE),"-")</f>
        <v>SI</v>
      </c>
      <c r="AR937" s="63" t="str">
        <f>IFERROR(VLOOKUP(Table2[[#This Row],[Contraente]],Table1[[Nome/Ragione sociale]:[Checkbox selezionato]],12,FALSE),"-")</f>
        <v>SI</v>
      </c>
    </row>
    <row r="938" spans="1:44" ht="30" hidden="1" customHeight="1" x14ac:dyDescent="0.25">
      <c r="A938" s="60" t="str">
        <f>UPPER(LEFT(Table2[[#This Row],[Contraente]],1))</f>
        <v>R</v>
      </c>
      <c r="B938" s="60" t="s">
        <v>1634</v>
      </c>
      <c r="C938" s="81" t="s">
        <v>951</v>
      </c>
      <c r="D938" s="81" t="s">
        <v>37</v>
      </c>
      <c r="E938" s="86">
        <v>106343183</v>
      </c>
      <c r="F938" s="64">
        <v>42902</v>
      </c>
      <c r="G938" s="64">
        <f>IFERROR(CALCOLASCADENZA(Table2[[#This Row],[Data attivazione]],Table2[[#This Row],[Rateizzazione]],Table2[[#This Row],[Data ultimo pagamento]],Table2[[#This Row],[Data prossima scadenza manuale]]),"-")</f>
        <v>43072</v>
      </c>
      <c r="H938" s="67" t="s">
        <v>31</v>
      </c>
      <c r="I938" s="67" t="s">
        <v>1529</v>
      </c>
      <c r="J938" s="33">
        <f>IFERROR(Table2[[#This Row],[Importo annuale]]/(12/VLOOKUP(Table2[[#This Row],[Rateizzazione]],TIPI_RATEIZZAZIONI,2,FALSE)),"-")</f>
        <v>320</v>
      </c>
      <c r="K938" s="88">
        <v>320</v>
      </c>
      <c r="L938" s="88">
        <v>640</v>
      </c>
      <c r="M938" s="67" t="s">
        <v>43</v>
      </c>
      <c r="N938" s="67" t="s">
        <v>51</v>
      </c>
      <c r="O938" s="27" t="s">
        <v>1631</v>
      </c>
      <c r="P938" s="33" t="s">
        <v>22</v>
      </c>
      <c r="Q938" s="60">
        <f>IFERROR(IF(12 / VLOOKUP(Table2[[#This Row],[Rateizzazione]],TIPI_RATEIZZAZIONI,2,FALSE) &gt;=1,  IF(Table2[[#This Row],[Data attivazione]] = "","-",MONTH(Table2[[#This Row],[Data attivazione]])),"-"),"-")</f>
        <v>12</v>
      </c>
      <c r="R9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8" s="67" t="s">
        <v>2</v>
      </c>
      <c r="V938" s="62"/>
      <c r="W938" s="64">
        <v>42707</v>
      </c>
      <c r="X938" s="29">
        <f>DATE(YEAR(Table2[[#This Row],[Data attivazione]])+VLOOKUP(Table2[[#This Row],[Durata]],VALORE_DURATA,2,FALSE),MONTH(Table2[[#This Row],[Data attivazione]]),DAY(Table2[[#This Row],[Data attivazione]]))</f>
        <v>43072</v>
      </c>
      <c r="Y938" s="65"/>
      <c r="Z938" s="61"/>
      <c r="AA938" s="64" t="s">
        <v>85</v>
      </c>
      <c r="AB938" s="29" t="str">
        <f>IF(Table2[[#This Row],[Data ultimo versamento temp]]=0/1/1900,"-",Table2[[#This Row],[Data ultimo versamento temp]])</f>
        <v>-</v>
      </c>
      <c r="AC938" s="29">
        <f t="array" ref="AC938">MAX(IF(TableVersamenti[Polizza]=Table2[[#This Row],[Polizza]],TableVersamenti[Data prevista versamento],"-"))</f>
        <v>0</v>
      </c>
      <c r="AD938" s="62"/>
      <c r="AE938" s="106">
        <f>DATE(YEAR(Table2[[#This Row],[Data ultimo pagamento]]),MONTH(Table2[[#This Row],[Data ultimo pagamento]]), 1)</f>
        <v>42887</v>
      </c>
      <c r="AF938" s="106">
        <f>DATE(YEAR(Table2[[#This Row],[Data prossima scadenza]]),MONTH(Table2[[#This Row],[Data prossima scadenza]]), 1)</f>
        <v>43070</v>
      </c>
      <c r="AG938" s="33">
        <f>IFERROR(Table2[[#This Row],[Importo annuale]]*VLOOKUP(Table2[[#This Row],[Ramo]],RAMI_POLIZZA,2,FALSE),0)</f>
        <v>33.28</v>
      </c>
      <c r="AH938" s="65" t="s">
        <v>113</v>
      </c>
      <c r="AI938" s="63" t="str">
        <f>IFERROR(VLOOKUP(Table2[[#This Row],[Contraente]],Table1[[Nome/Ragione sociale]:[Checkbox selezionato]],2,FALSE),"-")</f>
        <v>MEZZANINO</v>
      </c>
      <c r="AJ938" s="63">
        <f>IFERROR(VLOOKUP(Table2[[#This Row],[Contraente]],Table1[[Nome/Ragione sociale]:[Checkbox selezionato]],3,FALSE),"-")</f>
        <v>3460601744</v>
      </c>
      <c r="AK938" s="63">
        <f>IFERROR(VLOOKUP(Table2[[#This Row],[Contraente]],Table1[[Nome/Ragione sociale]:[Checkbox selezionato]],4,FALSE),"-")</f>
        <v>0</v>
      </c>
      <c r="AL938" s="63" t="str">
        <f>IFERROR(VLOOKUP(Table2[[#This Row],[Contraente]],Table1[[Nome/Ragione sociale]:[Checkbox selezionato]],5,FALSE),"-")</f>
        <v>MONICA</v>
      </c>
      <c r="AM938" s="62">
        <f>IFERROR(VLOOKUP(Table2[[#This Row],[Contraente]],Table1[[Nome/Ragione sociale]:[Checkbox selezionato]],6,FALSE),"-")</f>
        <v>29005</v>
      </c>
      <c r="AN938" s="63" t="str">
        <f>IFERROR(VLOOKUP(Table2[[#This Row],[Contraente]],Table1[[Nome/Ragione sociale]:[Checkbox selezionato]],7,FALSE),"-")</f>
        <v>papies@email.it</v>
      </c>
      <c r="AO938" s="63">
        <f>IFERROR(VLOOKUP(Table2[[#This Row],[Contraente]],Table1[[Nome/Ragione sociale]:[Checkbox selezionato]],8,FALSE),"-")</f>
        <v>0</v>
      </c>
      <c r="AP938" s="63">
        <f>IFERROR(VLOOKUP(Table2[[#This Row],[Contraente]],Table1[[Nome/Ragione sociale]:[Checkbox selezionato]],10,FALSE),"-")</f>
        <v>3460601744</v>
      </c>
      <c r="AQ938" s="63" t="str">
        <f>IFERROR(VLOOKUP(Table2[[#This Row],[Contraente]],Table1[[Nome/Ragione sociale]:[Checkbox selezionato]],11,FALSE),"-")</f>
        <v>SI</v>
      </c>
      <c r="AR938" s="63" t="str">
        <f>IFERROR(VLOOKUP(Table2[[#This Row],[Contraente]],Table1[[Nome/Ragione sociale]:[Checkbox selezionato]],12,FALSE),"-")</f>
        <v>SI</v>
      </c>
    </row>
    <row r="939" spans="1:44" ht="30" hidden="1" customHeight="1" x14ac:dyDescent="0.25">
      <c r="A939" s="60" t="str">
        <f>UPPER(LEFT(Table2[[#This Row],[Contraente]],1))</f>
        <v>R</v>
      </c>
      <c r="B939" s="60" t="s">
        <v>1634</v>
      </c>
      <c r="C939" s="81" t="s">
        <v>965</v>
      </c>
      <c r="D939" s="81" t="s">
        <v>37</v>
      </c>
      <c r="E939" s="86">
        <v>105453852</v>
      </c>
      <c r="F939" s="64">
        <v>42678</v>
      </c>
      <c r="G939" s="64" t="str">
        <f>IFERROR(CALCOLASCADENZA(Table2[[#This Row],[Data attivazione]],Table2[[#This Row],[Rateizzazione]],Table2[[#This Row],[Data ultimo pagamento]],Table2[[#This Row],[Data prossima scadenza manuale]]),"-")</f>
        <v>-</v>
      </c>
      <c r="H939" s="67" t="s">
        <v>31</v>
      </c>
      <c r="I939" s="67" t="s">
        <v>1541</v>
      </c>
      <c r="J939" s="33">
        <v>-214</v>
      </c>
      <c r="K939" s="88"/>
      <c r="L939" s="88">
        <v>0</v>
      </c>
      <c r="M939" s="67" t="s">
        <v>44</v>
      </c>
      <c r="N939" s="67" t="s">
        <v>52</v>
      </c>
      <c r="O939" s="27" t="s">
        <v>1631</v>
      </c>
      <c r="P939" s="33" t="s">
        <v>24</v>
      </c>
      <c r="Q93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9" s="67" t="s">
        <v>2</v>
      </c>
      <c r="V939" s="62"/>
      <c r="W939" s="64" t="e">
        <v>#VALUE!</v>
      </c>
      <c r="X93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39" s="65"/>
      <c r="Z939" s="61"/>
      <c r="AA939" s="64" t="s">
        <v>85</v>
      </c>
      <c r="AB939" s="29" t="str">
        <f>IF(Table2[[#This Row],[Data ultimo versamento temp]]=0/1/1900,"-",Table2[[#This Row],[Data ultimo versamento temp]])</f>
        <v>-</v>
      </c>
      <c r="AC939" s="29">
        <f t="array" ref="AC939">MAX(IF(TableVersamenti[Polizza]=Table2[[#This Row],[Polizza]],TableVersamenti[Data prevista versamento],"-"))</f>
        <v>0</v>
      </c>
      <c r="AD939" s="62"/>
      <c r="AE939" s="106">
        <f>DATE(YEAR(Table2[[#This Row],[Data ultimo pagamento]]),MONTH(Table2[[#This Row],[Data ultimo pagamento]]), 1)</f>
        <v>42675</v>
      </c>
      <c r="AF939" s="106" t="e">
        <f>DATE(YEAR(Table2[[#This Row],[Data prossima scadenza]]),MONTH(Table2[[#This Row],[Data prossima scadenza]]), 1)</f>
        <v>#VALUE!</v>
      </c>
      <c r="AG939" s="33">
        <f>IFERROR(Table2[[#This Row],[Importo annuale]]*VLOOKUP(Table2[[#This Row],[Ramo]],RAMI_POLIZZA,2,FALSE),0)</f>
        <v>0</v>
      </c>
      <c r="AH939" s="65" t="s">
        <v>113</v>
      </c>
      <c r="AI939" s="63" t="str">
        <f>IFERROR(VLOOKUP(Table2[[#This Row],[Contraente]],Table1[[Nome/Ragione sociale]:[Checkbox selezionato]],2,FALSE),"-")</f>
        <v>SAN REMO</v>
      </c>
      <c r="AJ939" s="63" t="str">
        <f>IFERROR(VLOOKUP(Table2[[#This Row],[Contraente]],Table1[[Nome/Ragione sociale]:[Checkbox selezionato]],3,FALSE),"-")</f>
        <v>.038235456</v>
      </c>
      <c r="AK939" s="63">
        <f>IFERROR(VLOOKUP(Table2[[#This Row],[Contraente]],Table1[[Nome/Ragione sociale]:[Checkbox selezionato]],4,FALSE),"-")</f>
        <v>0</v>
      </c>
      <c r="AL939" s="63" t="str">
        <f>IFERROR(VLOOKUP(Table2[[#This Row],[Contraente]],Table1[[Nome/Ragione sociale]:[Checkbox selezionato]],5,FALSE),"-")</f>
        <v>MAG. SANDRO</v>
      </c>
      <c r="AM939" s="62">
        <f>IFERROR(VLOOKUP(Table2[[#This Row],[Contraente]],Table1[[Nome/Ragione sociale]:[Checkbox selezionato]],6,FALSE),"-")</f>
        <v>0</v>
      </c>
      <c r="AN939" s="63" t="str">
        <f>IFERROR(VLOOKUP(Table2[[#This Row],[Contraente]],Table1[[Nome/Ragione sociale]:[Checkbox selezionato]],7,FALSE),"-")</f>
        <v>papies@libero.it</v>
      </c>
      <c r="AO939" s="63">
        <f>IFERROR(VLOOKUP(Table2[[#This Row],[Contraente]],Table1[[Nome/Ragione sociale]:[Checkbox selezionato]],8,FALSE),"-")</f>
        <v>0</v>
      </c>
      <c r="AP939" s="63" t="str">
        <f>IFERROR(VLOOKUP(Table2[[#This Row],[Contraente]],Table1[[Nome/Ragione sociale]:[Checkbox selezionato]],10,FALSE),"-")</f>
        <v>.038235456</v>
      </c>
      <c r="AQ939" s="63" t="str">
        <f>IFERROR(VLOOKUP(Table2[[#This Row],[Contraente]],Table1[[Nome/Ragione sociale]:[Checkbox selezionato]],11,FALSE),"-")</f>
        <v>SI</v>
      </c>
      <c r="AR939" s="63" t="str">
        <f>IFERROR(VLOOKUP(Table2[[#This Row],[Contraente]],Table1[[Nome/Ragione sociale]:[Checkbox selezionato]],12,FALSE),"-")</f>
        <v>SI</v>
      </c>
    </row>
    <row r="940" spans="1:44" ht="30" hidden="1" customHeight="1" x14ac:dyDescent="0.25">
      <c r="A940" s="60" t="str">
        <f>UPPER(LEFT(Table2[[#This Row],[Contraente]],1))</f>
        <v>R</v>
      </c>
      <c r="B940" s="60" t="s">
        <v>1634</v>
      </c>
      <c r="C940" s="81" t="s">
        <v>964</v>
      </c>
      <c r="D940" s="81" t="s">
        <v>37</v>
      </c>
      <c r="E940" s="86">
        <v>102687487</v>
      </c>
      <c r="F940" s="64">
        <v>42619</v>
      </c>
      <c r="G940" s="64">
        <f>IFERROR(CALCOLASCADENZA(Table2[[#This Row],[Data attivazione]],Table2[[#This Row],[Rateizzazione]],Table2[[#This Row],[Data ultimo pagamento]],Table2[[#This Row],[Data prossima scadenza manuale]]),"-")</f>
        <v>42984</v>
      </c>
      <c r="H940" s="67" t="s">
        <v>31</v>
      </c>
      <c r="I940" s="67" t="s">
        <v>1540</v>
      </c>
      <c r="J940" s="33">
        <f>IFERROR(Table2[[#This Row],[Importo annuale]]/(12/VLOOKUP(Table2[[#This Row],[Rateizzazione]],TIPI_RATEIZZAZIONI,2,FALSE)),"-")</f>
        <v>89.43</v>
      </c>
      <c r="K940" s="88"/>
      <c r="L940" s="88">
        <v>89.43</v>
      </c>
      <c r="M940" s="67" t="s">
        <v>43</v>
      </c>
      <c r="N940" s="67" t="s">
        <v>51</v>
      </c>
      <c r="O940" s="27" t="s">
        <v>1631</v>
      </c>
      <c r="P940" s="33" t="s">
        <v>23</v>
      </c>
      <c r="Q940" s="60">
        <f>IFERROR(IF(12 / VLOOKUP(Table2[[#This Row],[Rateizzazione]],TIPI_RATEIZZAZIONI,2,FALSE) &gt;=1,  IF(Table2[[#This Row],[Data attivazione]] = "","-",MONTH(Table2[[#This Row],[Data attivazione]])),"-"),"-")</f>
        <v>9</v>
      </c>
      <c r="R9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0" s="67" t="s">
        <v>2</v>
      </c>
      <c r="V940" s="62"/>
      <c r="W940" s="64">
        <v>42619</v>
      </c>
      <c r="X940" s="29">
        <f>DATE(YEAR(Table2[[#This Row],[Data attivazione]])+VLOOKUP(Table2[[#This Row],[Durata]],VALORE_DURATA,2,FALSE),MONTH(Table2[[#This Row],[Data attivazione]]),DAY(Table2[[#This Row],[Data attivazione]]))</f>
        <v>42984</v>
      </c>
      <c r="Y940" s="65"/>
      <c r="Z940" s="61"/>
      <c r="AA940" s="64" t="s">
        <v>85</v>
      </c>
      <c r="AB940" s="29" t="str">
        <f>IF(Table2[[#This Row],[Data ultimo versamento temp]]=0/1/1900,"-",Table2[[#This Row],[Data ultimo versamento temp]])</f>
        <v>-</v>
      </c>
      <c r="AC940" s="29">
        <f t="array" ref="AC940">MAX(IF(TableVersamenti[Polizza]=Table2[[#This Row],[Polizza]],TableVersamenti[Data prevista versamento],"-"))</f>
        <v>0</v>
      </c>
      <c r="AD940" s="62"/>
      <c r="AE940" s="106">
        <f>DATE(YEAR(Table2[[#This Row],[Data ultimo pagamento]]),MONTH(Table2[[#This Row],[Data ultimo pagamento]]), 1)</f>
        <v>42614</v>
      </c>
      <c r="AF940" s="106">
        <f>DATE(YEAR(Table2[[#This Row],[Data prossima scadenza]]),MONTH(Table2[[#This Row],[Data prossima scadenza]]), 1)</f>
        <v>42979</v>
      </c>
      <c r="AG940" s="33">
        <f>IFERROR(Table2[[#This Row],[Importo annuale]]*VLOOKUP(Table2[[#This Row],[Ramo]],RAMI_POLIZZA,2,FALSE),0)</f>
        <v>4.65036</v>
      </c>
      <c r="AH940" s="65" t="s">
        <v>113</v>
      </c>
      <c r="AI940" s="63">
        <f>IFERROR(VLOOKUP(Table2[[#This Row],[Contraente]],Table1[[Nome/Ragione sociale]:[Checkbox selezionato]],2,FALSE),"-")</f>
        <v>0</v>
      </c>
      <c r="AJ940" s="63">
        <f>IFERROR(VLOOKUP(Table2[[#This Row],[Contraente]],Table1[[Nome/Ragione sociale]:[Checkbox selezionato]],3,FALSE),"-")</f>
        <v>0</v>
      </c>
      <c r="AK940" s="63">
        <f>IFERROR(VLOOKUP(Table2[[#This Row],[Contraente]],Table1[[Nome/Ragione sociale]:[Checkbox selezionato]],4,FALSE),"-")</f>
        <v>0</v>
      </c>
      <c r="AL940" s="63">
        <f>IFERROR(VLOOKUP(Table2[[#This Row],[Contraente]],Table1[[Nome/Ragione sociale]:[Checkbox selezionato]],5,FALSE),"-")</f>
        <v>0</v>
      </c>
      <c r="AM940" s="62">
        <f>IFERROR(VLOOKUP(Table2[[#This Row],[Contraente]],Table1[[Nome/Ragione sociale]:[Checkbox selezionato]],6,FALSE),"-")</f>
        <v>0</v>
      </c>
      <c r="AN940" s="63" t="str">
        <f>IFERROR(VLOOKUP(Table2[[#This Row],[Contraente]],Table1[[Nome/Ragione sociale]:[Checkbox selezionato]],7,FALSE),"-")</f>
        <v>papies@libero.it</v>
      </c>
      <c r="AO940" s="63">
        <f>IFERROR(VLOOKUP(Table2[[#This Row],[Contraente]],Table1[[Nome/Ragione sociale]:[Checkbox selezionato]],8,FALSE),"-")</f>
        <v>0</v>
      </c>
      <c r="AP940" s="63">
        <f>IFERROR(VLOOKUP(Table2[[#This Row],[Contraente]],Table1[[Nome/Ragione sociale]:[Checkbox selezionato]],10,FALSE),"-")</f>
        <v>0</v>
      </c>
      <c r="AQ940" s="63" t="str">
        <f>IFERROR(VLOOKUP(Table2[[#This Row],[Contraente]],Table1[[Nome/Ragione sociale]:[Checkbox selezionato]],11,FALSE),"-")</f>
        <v>SI</v>
      </c>
      <c r="AR940" s="63" t="str">
        <f>IFERROR(VLOOKUP(Table2[[#This Row],[Contraente]],Table1[[Nome/Ragione sociale]:[Checkbox selezionato]],12,FALSE),"-")</f>
        <v>SI</v>
      </c>
    </row>
    <row r="941" spans="1:44" ht="30" hidden="1" customHeight="1" x14ac:dyDescent="0.25">
      <c r="A941" s="60" t="str">
        <f>UPPER(LEFT(Table2[[#This Row],[Contraente]],1))</f>
        <v>R</v>
      </c>
      <c r="B941" s="60" t="s">
        <v>1634</v>
      </c>
      <c r="C941" s="81" t="s">
        <v>952</v>
      </c>
      <c r="D941" s="81" t="s">
        <v>38</v>
      </c>
      <c r="E941" s="86">
        <v>7000073234</v>
      </c>
      <c r="F941" s="64">
        <v>42782</v>
      </c>
      <c r="G941" s="64">
        <f>IFERROR(CALCOLASCADENZA(Table2[[#This Row],[Data attivazione]],Table2[[#This Row],[Rateizzazione]],Table2[[#This Row],[Data ultimo pagamento]],Table2[[#This Row],[Data prossima scadenza manuale]]),"-")</f>
        <v>42957</v>
      </c>
      <c r="H941" s="67" t="s">
        <v>30</v>
      </c>
      <c r="I941" s="67" t="s">
        <v>113</v>
      </c>
      <c r="J941" s="33">
        <f>IFERROR(Table2[[#This Row],[Importo annuale]]/(12/VLOOKUP(Table2[[#This Row],[Rateizzazione]],TIPI_RATEIZZAZIONI,2,FALSE)),"-")</f>
        <v>39.5</v>
      </c>
      <c r="K941" s="88">
        <v>39.5</v>
      </c>
      <c r="L941" s="88">
        <v>79</v>
      </c>
      <c r="M941" s="67" t="s">
        <v>44</v>
      </c>
      <c r="N941" s="67" t="s">
        <v>52</v>
      </c>
      <c r="O941" s="27" t="s">
        <v>1631</v>
      </c>
      <c r="P941" s="33" t="s">
        <v>22</v>
      </c>
      <c r="Q941" s="60">
        <f>IFERROR(IF(12 / VLOOKUP(Table2[[#This Row],[Rateizzazione]],TIPI_RATEIZZAZIONI,2,FALSE) &gt;=1,  IF(Table2[[#This Row],[Data attivazione]] = "","-",MONTH(Table2[[#This Row],[Data attivazione]])),"-"),"-")</f>
        <v>8</v>
      </c>
      <c r="R9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1" s="67" t="s">
        <v>133</v>
      </c>
      <c r="V941" s="62"/>
      <c r="W941" s="64">
        <v>42592</v>
      </c>
      <c r="X941" s="29">
        <f>DATE(YEAR(Table2[[#This Row],[Data attivazione]])+VLOOKUP(Table2[[#This Row],[Durata]],VALORE_DURATA,2,FALSE),MONTH(Table2[[#This Row],[Data attivazione]]),DAY(Table2[[#This Row],[Data attivazione]]))</f>
        <v>42957</v>
      </c>
      <c r="Y941" s="65"/>
      <c r="Z941" s="61"/>
      <c r="AA941" s="64" t="s">
        <v>85</v>
      </c>
      <c r="AB941" s="29" t="str">
        <f>IF(Table2[[#This Row],[Data ultimo versamento temp]]=0/1/1900,"-",Table2[[#This Row],[Data ultimo versamento temp]])</f>
        <v>-</v>
      </c>
      <c r="AC941" s="29">
        <f t="array" ref="AC941">MAX(IF(TableVersamenti[Polizza]=Table2[[#This Row],[Polizza]],TableVersamenti[Data prevista versamento],"-"))</f>
        <v>0</v>
      </c>
      <c r="AD941" s="62"/>
      <c r="AE941" s="106">
        <f>DATE(YEAR(Table2[[#This Row],[Data ultimo pagamento]]),MONTH(Table2[[#This Row],[Data ultimo pagamento]]), 1)</f>
        <v>42767</v>
      </c>
      <c r="AF941" s="106">
        <f>DATE(YEAR(Table2[[#This Row],[Data prossima scadenza]]),MONTH(Table2[[#This Row],[Data prossima scadenza]]), 1)</f>
        <v>42948</v>
      </c>
      <c r="AG941" s="33">
        <f>IFERROR(Table2[[#This Row],[Importo annuale]]*VLOOKUP(Table2[[#This Row],[Ramo]],RAMI_POLIZZA,2,FALSE),0)</f>
        <v>9.0850000000000009</v>
      </c>
      <c r="AH941" s="65" t="s">
        <v>113</v>
      </c>
      <c r="AI941" s="63" t="str">
        <f>IFERROR(VLOOKUP(Table2[[#This Row],[Contraente]],Table1[[Nome/Ragione sociale]:[Checkbox selezionato]],2,FALSE),"-")</f>
        <v>CANNETO PAVESE</v>
      </c>
      <c r="AJ941" s="63" t="str">
        <f>IFERROR(VLOOKUP(Table2[[#This Row],[Contraente]],Table1[[Nome/Ragione sociale]:[Checkbox selezionato]],3,FALSE),"-")</f>
        <v>-</v>
      </c>
      <c r="AK941" s="63">
        <f>IFERROR(VLOOKUP(Table2[[#This Row],[Contraente]],Table1[[Nome/Ragione sociale]:[Checkbox selezionato]],4,FALSE),"-")</f>
        <v>0</v>
      </c>
      <c r="AL941" s="63" t="str">
        <f>IFERROR(VLOOKUP(Table2[[#This Row],[Contraente]],Table1[[Nome/Ragione sociale]:[Checkbox selezionato]],5,FALSE),"-")</f>
        <v>-</v>
      </c>
      <c r="AM941" s="62">
        <f>IFERROR(VLOOKUP(Table2[[#This Row],[Contraente]],Table1[[Nome/Ragione sociale]:[Checkbox selezionato]],6,FALSE),"-")</f>
        <v>16439</v>
      </c>
      <c r="AN941" s="63" t="str">
        <f>IFERROR(VLOOKUP(Table2[[#This Row],[Contraente]],Table1[[Nome/Ragione sociale]:[Checkbox selezionato]],7,FALSE),"-")</f>
        <v>papies@email.it</v>
      </c>
      <c r="AO941" s="63">
        <f>IFERROR(VLOOKUP(Table2[[#This Row],[Contraente]],Table1[[Nome/Ragione sociale]:[Checkbox selezionato]],8,FALSE),"-")</f>
        <v>0</v>
      </c>
      <c r="AP941" s="63" t="str">
        <f>IFERROR(VLOOKUP(Table2[[#This Row],[Contraente]],Table1[[Nome/Ragione sociale]:[Checkbox selezionato]],10,FALSE),"-")</f>
        <v>-</v>
      </c>
      <c r="AQ941" s="63" t="str">
        <f>IFERROR(VLOOKUP(Table2[[#This Row],[Contraente]],Table1[[Nome/Ragione sociale]:[Checkbox selezionato]],11,FALSE),"-")</f>
        <v>SI</v>
      </c>
      <c r="AR941" s="63" t="str">
        <f>IFERROR(VLOOKUP(Table2[[#This Row],[Contraente]],Table1[[Nome/Ragione sociale]:[Checkbox selezionato]],12,FALSE),"-")</f>
        <v>SI</v>
      </c>
    </row>
    <row r="942" spans="1:44" ht="30" hidden="1" customHeight="1" x14ac:dyDescent="0.25">
      <c r="A942" s="60" t="str">
        <f>UPPER(LEFT(Table2[[#This Row],[Contraente]],1))</f>
        <v>R</v>
      </c>
      <c r="B942" s="60" t="s">
        <v>1634</v>
      </c>
      <c r="C942" s="81" t="s">
        <v>952</v>
      </c>
      <c r="D942" s="81" t="s">
        <v>37</v>
      </c>
      <c r="E942" s="86">
        <v>105939532</v>
      </c>
      <c r="F942" s="64">
        <v>42782</v>
      </c>
      <c r="G942" s="64">
        <f>IFERROR(CALCOLASCADENZA(Table2[[#This Row],[Data attivazione]],Table2[[#This Row],[Rateizzazione]],Table2[[#This Row],[Data ultimo pagamento]],Table2[[#This Row],[Data prossima scadenza manuale]]),"-")</f>
        <v>42957</v>
      </c>
      <c r="H942" s="67" t="s">
        <v>31</v>
      </c>
      <c r="I942" s="67" t="s">
        <v>1530</v>
      </c>
      <c r="J942" s="33">
        <f>IFERROR(Table2[[#This Row],[Importo annuale]]/(12/VLOOKUP(Table2[[#This Row],[Rateizzazione]],TIPI_RATEIZZAZIONI,2,FALSE)),"-")</f>
        <v>122.5</v>
      </c>
      <c r="K942" s="88">
        <v>122.5</v>
      </c>
      <c r="L942" s="88">
        <v>245</v>
      </c>
      <c r="M942" s="67" t="s">
        <v>44</v>
      </c>
      <c r="N942" s="67" t="s">
        <v>52</v>
      </c>
      <c r="O942" s="27" t="s">
        <v>1631</v>
      </c>
      <c r="P942" s="33" t="s">
        <v>22</v>
      </c>
      <c r="Q942" s="60">
        <f>IFERROR(IF(12 / VLOOKUP(Table2[[#This Row],[Rateizzazione]],TIPI_RATEIZZAZIONI,2,FALSE) &gt;=1,  IF(Table2[[#This Row],[Data attivazione]] = "","-",MONTH(Table2[[#This Row],[Data attivazione]])),"-"),"-")</f>
        <v>8</v>
      </c>
      <c r="R9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2" s="67" t="s">
        <v>133</v>
      </c>
      <c r="V942" s="62"/>
      <c r="W942" s="64">
        <v>42592</v>
      </c>
      <c r="X942" s="29">
        <f>DATE(YEAR(Table2[[#This Row],[Data attivazione]])+VLOOKUP(Table2[[#This Row],[Durata]],VALORE_DURATA,2,FALSE),MONTH(Table2[[#This Row],[Data attivazione]]),DAY(Table2[[#This Row],[Data attivazione]]))</f>
        <v>42957</v>
      </c>
      <c r="Y942" s="65"/>
      <c r="Z942" s="61"/>
      <c r="AA942" s="64" t="s">
        <v>85</v>
      </c>
      <c r="AB942" s="29" t="str">
        <f>IF(Table2[[#This Row],[Data ultimo versamento temp]]=0/1/1900,"-",Table2[[#This Row],[Data ultimo versamento temp]])</f>
        <v>-</v>
      </c>
      <c r="AC942" s="29">
        <f t="array" ref="AC942">MAX(IF(TableVersamenti[Polizza]=Table2[[#This Row],[Polizza]],TableVersamenti[Data prevista versamento],"-"))</f>
        <v>0</v>
      </c>
      <c r="AD942" s="62"/>
      <c r="AE942" s="106">
        <f>DATE(YEAR(Table2[[#This Row],[Data ultimo pagamento]]),MONTH(Table2[[#This Row],[Data ultimo pagamento]]), 1)</f>
        <v>42767</v>
      </c>
      <c r="AF942" s="106">
        <f>DATE(YEAR(Table2[[#This Row],[Data prossima scadenza]]),MONTH(Table2[[#This Row],[Data prossima scadenza]]), 1)</f>
        <v>42948</v>
      </c>
      <c r="AG942" s="33">
        <f>IFERROR(Table2[[#This Row],[Importo annuale]]*VLOOKUP(Table2[[#This Row],[Ramo]],RAMI_POLIZZA,2,FALSE),0)</f>
        <v>12.74</v>
      </c>
      <c r="AH942" s="65" t="s">
        <v>113</v>
      </c>
      <c r="AI942" s="63" t="str">
        <f>IFERROR(VLOOKUP(Table2[[#This Row],[Contraente]],Table1[[Nome/Ragione sociale]:[Checkbox selezionato]],2,FALSE),"-")</f>
        <v>CANNETO PAVESE</v>
      </c>
      <c r="AJ942" s="63" t="str">
        <f>IFERROR(VLOOKUP(Table2[[#This Row],[Contraente]],Table1[[Nome/Ragione sociale]:[Checkbox selezionato]],3,FALSE),"-")</f>
        <v>-</v>
      </c>
      <c r="AK942" s="63">
        <f>IFERROR(VLOOKUP(Table2[[#This Row],[Contraente]],Table1[[Nome/Ragione sociale]:[Checkbox selezionato]],4,FALSE),"-")</f>
        <v>0</v>
      </c>
      <c r="AL942" s="63" t="str">
        <f>IFERROR(VLOOKUP(Table2[[#This Row],[Contraente]],Table1[[Nome/Ragione sociale]:[Checkbox selezionato]],5,FALSE),"-")</f>
        <v>-</v>
      </c>
      <c r="AM942" s="62">
        <f>IFERROR(VLOOKUP(Table2[[#This Row],[Contraente]],Table1[[Nome/Ragione sociale]:[Checkbox selezionato]],6,FALSE),"-")</f>
        <v>16439</v>
      </c>
      <c r="AN942" s="63" t="str">
        <f>IFERROR(VLOOKUP(Table2[[#This Row],[Contraente]],Table1[[Nome/Ragione sociale]:[Checkbox selezionato]],7,FALSE),"-")</f>
        <v>papies@email.it</v>
      </c>
      <c r="AO942" s="63">
        <f>IFERROR(VLOOKUP(Table2[[#This Row],[Contraente]],Table1[[Nome/Ragione sociale]:[Checkbox selezionato]],8,FALSE),"-")</f>
        <v>0</v>
      </c>
      <c r="AP942" s="63" t="str">
        <f>IFERROR(VLOOKUP(Table2[[#This Row],[Contraente]],Table1[[Nome/Ragione sociale]:[Checkbox selezionato]],10,FALSE),"-")</f>
        <v>-</v>
      </c>
      <c r="AQ942" s="63" t="str">
        <f>IFERROR(VLOOKUP(Table2[[#This Row],[Contraente]],Table1[[Nome/Ragione sociale]:[Checkbox selezionato]],11,FALSE),"-")</f>
        <v>SI</v>
      </c>
      <c r="AR942" s="63" t="str">
        <f>IFERROR(VLOOKUP(Table2[[#This Row],[Contraente]],Table1[[Nome/Ragione sociale]:[Checkbox selezionato]],12,FALSE),"-")</f>
        <v>SI</v>
      </c>
    </row>
    <row r="943" spans="1:44" ht="30" hidden="1" customHeight="1" x14ac:dyDescent="0.25">
      <c r="A943" s="60" t="str">
        <f>UPPER(LEFT(Table2[[#This Row],[Contraente]],1))</f>
        <v>R</v>
      </c>
      <c r="B943" s="60" t="s">
        <v>1634</v>
      </c>
      <c r="C943" s="81" t="s">
        <v>955</v>
      </c>
      <c r="D943" s="81" t="s">
        <v>37</v>
      </c>
      <c r="E943" s="86">
        <v>106802023</v>
      </c>
      <c r="F943" s="64">
        <v>42858</v>
      </c>
      <c r="G943" s="64">
        <f>IFERROR(CALCOLASCADENZA(Table2[[#This Row],[Data attivazione]],Table2[[#This Row],[Rateizzazione]],Table2[[#This Row],[Data ultimo pagamento]],Table2[[#This Row],[Data prossima scadenza manuale]]),"-")</f>
        <v>43223</v>
      </c>
      <c r="H943" s="67" t="s">
        <v>31</v>
      </c>
      <c r="I943" s="67" t="s">
        <v>1536</v>
      </c>
      <c r="J943" s="33">
        <f>IFERROR(Table2[[#This Row],[Importo annuale]]/(12/VLOOKUP(Table2[[#This Row],[Rateizzazione]],TIPI_RATEIZZAZIONI,2,FALSE)),"-")</f>
        <v>160</v>
      </c>
      <c r="K943" s="88">
        <v>160</v>
      </c>
      <c r="L943" s="88">
        <v>160</v>
      </c>
      <c r="M943" s="67" t="s">
        <v>43</v>
      </c>
      <c r="N943" s="67" t="s">
        <v>51</v>
      </c>
      <c r="O943" s="27" t="s">
        <v>1631</v>
      </c>
      <c r="P943" s="33" t="s">
        <v>23</v>
      </c>
      <c r="Q943" s="60">
        <f>IFERROR(IF(12 / VLOOKUP(Table2[[#This Row],[Rateizzazione]],TIPI_RATEIZZAZIONI,2,FALSE) &gt;=1,  IF(Table2[[#This Row],[Data attivazione]] = "","-",MONTH(Table2[[#This Row],[Data attivazione]])),"-"),"-")</f>
        <v>5</v>
      </c>
      <c r="R9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3" s="67" t="s">
        <v>2</v>
      </c>
      <c r="V943" s="62"/>
      <c r="W943" s="64">
        <v>42858</v>
      </c>
      <c r="X943" s="29">
        <f>DATE(YEAR(Table2[[#This Row],[Data attivazione]])+VLOOKUP(Table2[[#This Row],[Durata]],VALORE_DURATA,2,FALSE),MONTH(Table2[[#This Row],[Data attivazione]]),DAY(Table2[[#This Row],[Data attivazione]]))</f>
        <v>43223</v>
      </c>
      <c r="Y943" s="65"/>
      <c r="Z943" s="61"/>
      <c r="AA943" s="64" t="s">
        <v>85</v>
      </c>
      <c r="AB943" s="29" t="str">
        <f>IF(Table2[[#This Row],[Data ultimo versamento temp]]=0/1/1900,"-",Table2[[#This Row],[Data ultimo versamento temp]])</f>
        <v>-</v>
      </c>
      <c r="AC943" s="29">
        <f t="array" ref="AC943">MAX(IF(TableVersamenti[Polizza]=Table2[[#This Row],[Polizza]],TableVersamenti[Data prevista versamento],"-"))</f>
        <v>0</v>
      </c>
      <c r="AD943" s="62"/>
      <c r="AE943" s="106">
        <f>DATE(YEAR(Table2[[#This Row],[Data ultimo pagamento]]),MONTH(Table2[[#This Row],[Data ultimo pagamento]]), 1)</f>
        <v>42856</v>
      </c>
      <c r="AF943" s="106">
        <f>DATE(YEAR(Table2[[#This Row],[Data prossima scadenza]]),MONTH(Table2[[#This Row],[Data prossima scadenza]]), 1)</f>
        <v>43221</v>
      </c>
      <c r="AG943" s="33">
        <f>IFERROR(Table2[[#This Row],[Importo annuale]]*VLOOKUP(Table2[[#This Row],[Ramo]],RAMI_POLIZZA,2,FALSE),0)</f>
        <v>8.32</v>
      </c>
      <c r="AH943" s="65" t="s">
        <v>113</v>
      </c>
      <c r="AI943" s="63" t="str">
        <f>IFERROR(VLOOKUP(Table2[[#This Row],[Contraente]],Table1[[Nome/Ragione sociale]:[Checkbox selezionato]],2,FALSE),"-")</f>
        <v>BELGIOIOSO</v>
      </c>
      <c r="AJ943" s="63">
        <f>IFERROR(VLOOKUP(Table2[[#This Row],[Contraente]],Table1[[Nome/Ragione sociale]:[Checkbox selezionato]],3,FALSE),"-")</f>
        <v>3343122404</v>
      </c>
      <c r="AK943" s="63">
        <f>IFERROR(VLOOKUP(Table2[[#This Row],[Contraente]],Table1[[Nome/Ragione sociale]:[Checkbox selezionato]],4,FALSE),"-")</f>
        <v>0</v>
      </c>
      <c r="AL943" s="63" t="str">
        <f>IFERROR(VLOOKUP(Table2[[#This Row],[Contraente]],Table1[[Nome/Ragione sociale]:[Checkbox selezionato]],5,FALSE),"-")</f>
        <v>LAURA (MOGLIE)</v>
      </c>
      <c r="AM943" s="62" t="str">
        <f>IFERROR(VLOOKUP(Table2[[#This Row],[Contraente]],Table1[[Nome/Ragione sociale]:[Checkbox selezionato]],6,FALSE),"-")</f>
        <v>-</v>
      </c>
      <c r="AN943" s="63" t="str">
        <f>IFERROR(VLOOKUP(Table2[[#This Row],[Contraente]],Table1[[Nome/Ragione sociale]:[Checkbox selezionato]],7,FALSE),"-")</f>
        <v>papies@libero.it</v>
      </c>
      <c r="AO943" s="63">
        <f>IFERROR(VLOOKUP(Table2[[#This Row],[Contraente]],Table1[[Nome/Ragione sociale]:[Checkbox selezionato]],8,FALSE),"-")</f>
        <v>0</v>
      </c>
      <c r="AP943" s="63">
        <f>IFERROR(VLOOKUP(Table2[[#This Row],[Contraente]],Table1[[Nome/Ragione sociale]:[Checkbox selezionato]],10,FALSE),"-")</f>
        <v>3343122404</v>
      </c>
      <c r="AQ943" s="63" t="str">
        <f>IFERROR(VLOOKUP(Table2[[#This Row],[Contraente]],Table1[[Nome/Ragione sociale]:[Checkbox selezionato]],11,FALSE),"-")</f>
        <v>SI</v>
      </c>
      <c r="AR943" s="63" t="str">
        <f>IFERROR(VLOOKUP(Table2[[#This Row],[Contraente]],Table1[[Nome/Ragione sociale]:[Checkbox selezionato]],12,FALSE),"-")</f>
        <v>SI</v>
      </c>
    </row>
    <row r="944" spans="1:44" ht="30" hidden="1" customHeight="1" x14ac:dyDescent="0.25">
      <c r="A944" s="60" t="str">
        <f>UPPER(LEFT(Table2[[#This Row],[Contraente]],1))</f>
        <v>R</v>
      </c>
      <c r="B944" s="60" t="s">
        <v>1634</v>
      </c>
      <c r="C944" s="81" t="s">
        <v>953</v>
      </c>
      <c r="D944" s="81" t="s">
        <v>37</v>
      </c>
      <c r="E944" s="86">
        <v>104723154</v>
      </c>
      <c r="F944" s="64">
        <v>42410</v>
      </c>
      <c r="G944" s="64">
        <f>IFERROR(CALCOLASCADENZA(Table2[[#This Row],[Data attivazione]],Table2[[#This Row],[Rateizzazione]],Table2[[#This Row],[Data ultimo pagamento]],Table2[[#This Row],[Data prossima scadenza manuale]]),"-")</f>
        <v>42587</v>
      </c>
      <c r="H944" s="67" t="s">
        <v>31</v>
      </c>
      <c r="I944" s="67" t="s">
        <v>1531</v>
      </c>
      <c r="J944" s="33">
        <f>IFERROR(Table2[[#This Row],[Importo annuale]]/(12/VLOOKUP(Table2[[#This Row],[Rateizzazione]],TIPI_RATEIZZAZIONI,2,FALSE)),"-")</f>
        <v>484</v>
      </c>
      <c r="K944" s="88"/>
      <c r="L944" s="88">
        <v>968</v>
      </c>
      <c r="M944" s="67" t="s">
        <v>43</v>
      </c>
      <c r="N944" s="67" t="s">
        <v>51</v>
      </c>
      <c r="O944" s="27" t="s">
        <v>1631</v>
      </c>
      <c r="P944" s="33" t="s">
        <v>22</v>
      </c>
      <c r="Q944" s="60">
        <f>IFERROR(IF(12 / VLOOKUP(Table2[[#This Row],[Rateizzazione]],TIPI_RATEIZZAZIONI,2,FALSE) &gt;=1,  IF(Table2[[#This Row],[Data attivazione]] = "","-",MONTH(Table2[[#This Row],[Data attivazione]])),"-"),"-")</f>
        <v>8</v>
      </c>
      <c r="R9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4" s="67" t="s">
        <v>2</v>
      </c>
      <c r="V944" s="62"/>
      <c r="W944" s="64">
        <v>42221</v>
      </c>
      <c r="X944" s="29">
        <f>DATE(YEAR(Table2[[#This Row],[Data attivazione]])+VLOOKUP(Table2[[#This Row],[Durata]],VALORE_DURATA,2,FALSE),MONTH(Table2[[#This Row],[Data attivazione]]),DAY(Table2[[#This Row],[Data attivazione]]))</f>
        <v>42587</v>
      </c>
      <c r="Y944" s="65"/>
      <c r="Z944" s="61"/>
      <c r="AA944" s="64" t="s">
        <v>88</v>
      </c>
      <c r="AB944" s="29" t="str">
        <f>IF(Table2[[#This Row],[Data ultimo versamento temp]]=0/1/1900,"-",Table2[[#This Row],[Data ultimo versamento temp]])</f>
        <v>-</v>
      </c>
      <c r="AC944" s="29">
        <f t="array" ref="AC944">MAX(IF(TableVersamenti[Polizza]=Table2[[#This Row],[Polizza]],TableVersamenti[Data prevista versamento],"-"))</f>
        <v>0</v>
      </c>
      <c r="AD944" s="62"/>
      <c r="AE944" s="106">
        <f>DATE(YEAR(Table2[[#This Row],[Data ultimo pagamento]]),MONTH(Table2[[#This Row],[Data ultimo pagamento]]), 1)</f>
        <v>42401</v>
      </c>
      <c r="AF944" s="106">
        <f>DATE(YEAR(Table2[[#This Row],[Data prossima scadenza]]),MONTH(Table2[[#This Row],[Data prossima scadenza]]), 1)</f>
        <v>42583</v>
      </c>
      <c r="AG944" s="33">
        <f>IFERROR(Table2[[#This Row],[Importo annuale]]*VLOOKUP(Table2[[#This Row],[Ramo]],RAMI_POLIZZA,2,FALSE),0)</f>
        <v>50.335999999999999</v>
      </c>
      <c r="AH944" s="65" t="s">
        <v>113</v>
      </c>
      <c r="AI944" s="63" t="str">
        <f>IFERROR(VLOOKUP(Table2[[#This Row],[Contraente]],Table1[[Nome/Ragione sociale]:[Checkbox selezionato]],2,FALSE),"-")</f>
        <v>BRONI</v>
      </c>
      <c r="AJ944" s="63">
        <f>IFERROR(VLOOKUP(Table2[[#This Row],[Contraente]],Table1[[Nome/Ragione sociale]:[Checkbox selezionato]],3,FALSE),"-")</f>
        <v>3293358094</v>
      </c>
      <c r="AK944" s="63">
        <f>IFERROR(VLOOKUP(Table2[[#This Row],[Contraente]],Table1[[Nome/Ragione sociale]:[Checkbox selezionato]],4,FALSE),"-")</f>
        <v>0</v>
      </c>
      <c r="AL944" s="63" t="str">
        <f>IFERROR(VLOOKUP(Table2[[#This Row],[Contraente]],Table1[[Nome/Ragione sociale]:[Checkbox selezionato]],5,FALSE),"-")</f>
        <v>ALESSANDRO</v>
      </c>
      <c r="AM944" s="62">
        <f>IFERROR(VLOOKUP(Table2[[#This Row],[Contraente]],Table1[[Nome/Ragione sociale]:[Checkbox selezionato]],6,FALSE),"-")</f>
        <v>31228</v>
      </c>
      <c r="AN944" s="63" t="str">
        <f>IFERROR(VLOOKUP(Table2[[#This Row],[Contraente]],Table1[[Nome/Ragione sociale]:[Checkbox selezionato]],7,FALSE),"-")</f>
        <v>papies@libero.it</v>
      </c>
      <c r="AO944" s="63">
        <f>IFERROR(VLOOKUP(Table2[[#This Row],[Contraente]],Table1[[Nome/Ragione sociale]:[Checkbox selezionato]],8,FALSE),"-")</f>
        <v>0</v>
      </c>
      <c r="AP944" s="63">
        <f>IFERROR(VLOOKUP(Table2[[#This Row],[Contraente]],Table1[[Nome/Ragione sociale]:[Checkbox selezionato]],10,FALSE),"-")</f>
        <v>3293358094</v>
      </c>
      <c r="AQ944" s="63" t="str">
        <f>IFERROR(VLOOKUP(Table2[[#This Row],[Contraente]],Table1[[Nome/Ragione sociale]:[Checkbox selezionato]],11,FALSE),"-")</f>
        <v>SI</v>
      </c>
      <c r="AR944" s="63" t="str">
        <f>IFERROR(VLOOKUP(Table2[[#This Row],[Contraente]],Table1[[Nome/Ragione sociale]:[Checkbox selezionato]],12,FALSE),"-")</f>
        <v>SI</v>
      </c>
    </row>
    <row r="945" spans="1:44" ht="30" hidden="1" customHeight="1" x14ac:dyDescent="0.25">
      <c r="A945" s="60" t="str">
        <f>UPPER(LEFT(Table2[[#This Row],[Contraente]],1))</f>
        <v>R</v>
      </c>
      <c r="B945" s="60" t="s">
        <v>1634</v>
      </c>
      <c r="C945" s="47" t="s">
        <v>954</v>
      </c>
      <c r="D945" s="98" t="s">
        <v>37</v>
      </c>
      <c r="E945" s="99" t="s">
        <v>1800</v>
      </c>
      <c r="F945" s="64">
        <v>42923</v>
      </c>
      <c r="G945" s="64">
        <f>IFERROR(CALCOLASCADENZA(Table2[[#This Row],[Data attivazione]],Table2[[#This Row],[Rateizzazione]],Table2[[#This Row],[Data ultimo pagamento]],Table2[[#This Row],[Data prossima scadenza manuale]]),"-")</f>
        <v>42923</v>
      </c>
      <c r="H945" s="67" t="s">
        <v>31</v>
      </c>
      <c r="I945" s="67" t="s">
        <v>1801</v>
      </c>
      <c r="J945" s="33">
        <v>110</v>
      </c>
      <c r="K945" s="88">
        <v>110</v>
      </c>
      <c r="L945" s="88">
        <v>110</v>
      </c>
      <c r="M945" s="67" t="s">
        <v>43</v>
      </c>
      <c r="N945" s="67" t="s">
        <v>52</v>
      </c>
      <c r="O945" s="27" t="s">
        <v>1631</v>
      </c>
      <c r="P945" s="92" t="s">
        <v>24</v>
      </c>
      <c r="Q945" s="60">
        <v>7</v>
      </c>
      <c r="R9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5" s="67" t="s">
        <v>2</v>
      </c>
      <c r="V945" s="62"/>
      <c r="W945" s="64">
        <v>42923</v>
      </c>
      <c r="X945" s="29">
        <f>DATE(YEAR(Table2[[#This Row],[Data attivazione]])+VLOOKUP(Table2[[#This Row],[Durata]],VALORE_DURATA,2,FALSE),MONTH(Table2[[#This Row],[Data attivazione]]),DAY(Table2[[#This Row],[Data attivazione]]))</f>
        <v>43288</v>
      </c>
      <c r="Y945" s="65" t="s">
        <v>1802</v>
      </c>
      <c r="Z945" s="61"/>
      <c r="AA945" s="64" t="s">
        <v>85</v>
      </c>
      <c r="AB945" s="29">
        <v>42926</v>
      </c>
      <c r="AC945" s="29">
        <f t="array" ref="AC945">MAX(IF(TableVersamenti[Polizza]=Table2[[#This Row],[Polizza]],TableVersamenti[Data prevista versamento],"-"))</f>
        <v>0</v>
      </c>
      <c r="AD945" s="62"/>
      <c r="AE945" s="106">
        <f>DATE(YEAR(Table2[[#This Row],[Data ultimo pagamento]]),MONTH(Table2[[#This Row],[Data ultimo pagamento]]), 1)</f>
        <v>42917</v>
      </c>
      <c r="AF945" s="106">
        <f>DATE(YEAR(Table2[[#This Row],[Data prossima scadenza]]),MONTH(Table2[[#This Row],[Data prossima scadenza]]), 1)</f>
        <v>42917</v>
      </c>
      <c r="AG945" s="92">
        <f>IFERROR(Table2[[#This Row],[Importo annuale]]*VLOOKUP(Table2[[#This Row],[Ramo]],RAMI_POLIZZA,2,FALSE),0)</f>
        <v>5.72</v>
      </c>
      <c r="AH945" s="65" t="s">
        <v>113</v>
      </c>
      <c r="AI945" s="63">
        <f>IFERROR(VLOOKUP(Table2[[#This Row],[Contraente]],Table1[[Nome/Ragione sociale]:[Checkbox selezionato]],2,FALSE),"-")</f>
        <v>0</v>
      </c>
      <c r="AJ945" s="63">
        <f>IFERROR(VLOOKUP(Table2[[#This Row],[Contraente]],Table1[[Nome/Ragione sociale]:[Checkbox selezionato]],3,FALSE),"-")</f>
        <v>0</v>
      </c>
      <c r="AK945" s="63">
        <f>IFERROR(VLOOKUP(Table2[[#This Row],[Contraente]],Table1[[Nome/Ragione sociale]:[Checkbox selezionato]],4,FALSE),"-")</f>
        <v>0</v>
      </c>
      <c r="AL945" s="63">
        <f>IFERROR(VLOOKUP(Table2[[#This Row],[Contraente]],Table1[[Nome/Ragione sociale]:[Checkbox selezionato]],5,FALSE),"-")</f>
        <v>0</v>
      </c>
      <c r="AM945" s="62">
        <f>IFERROR(VLOOKUP(Table2[[#This Row],[Contraente]],Table1[[Nome/Ragione sociale]:[Checkbox selezionato]],6,FALSE),"-")</f>
        <v>0</v>
      </c>
      <c r="AN945" s="63" t="str">
        <f>IFERROR(VLOOKUP(Table2[[#This Row],[Contraente]],Table1[[Nome/Ragione sociale]:[Checkbox selezionato]],7,FALSE),"-")</f>
        <v>papies@email.it</v>
      </c>
      <c r="AO945" s="63">
        <f>IFERROR(VLOOKUP(Table2[[#This Row],[Contraente]],Table1[[Nome/Ragione sociale]:[Checkbox selezionato]],8,FALSE),"-")</f>
        <v>0</v>
      </c>
      <c r="AP945" s="63">
        <f>IFERROR(VLOOKUP(Table2[[#This Row],[Contraente]],Table1[[Nome/Ragione sociale]:[Checkbox selezionato]],10,FALSE),"-")</f>
        <v>0</v>
      </c>
      <c r="AQ945" s="63" t="str">
        <f>IFERROR(VLOOKUP(Table2[[#This Row],[Contraente]],Table1[[Nome/Ragione sociale]:[Checkbox selezionato]],11,FALSE),"-")</f>
        <v>SI</v>
      </c>
      <c r="AR945" s="63" t="str">
        <f>IFERROR(VLOOKUP(Table2[[#This Row],[Contraente]],Table1[[Nome/Ragione sociale]:[Checkbox selezionato]],12,FALSE),"-")</f>
        <v>SI</v>
      </c>
    </row>
    <row r="946" spans="1:44" ht="30" hidden="1" customHeight="1" x14ac:dyDescent="0.25">
      <c r="A946" s="60" t="str">
        <f>UPPER(LEFT(Table2[[#This Row],[Contraente]],1))</f>
        <v>R</v>
      </c>
      <c r="B946" s="60" t="s">
        <v>1634</v>
      </c>
      <c r="C946" s="81" t="s">
        <v>954</v>
      </c>
      <c r="D946" s="81" t="s">
        <v>37</v>
      </c>
      <c r="E946" s="86">
        <v>106164075</v>
      </c>
      <c r="F946" s="64">
        <v>42670</v>
      </c>
      <c r="G946" s="64">
        <f>IFERROR(CALCOLASCADENZA(Table2[[#This Row],[Data attivazione]],Table2[[#This Row],[Rateizzazione]],Table2[[#This Row],[Data ultimo pagamento]],Table2[[#This Row],[Data prossima scadenza manuale]]),"-")</f>
        <v>43035</v>
      </c>
      <c r="H946" s="67" t="s">
        <v>30</v>
      </c>
      <c r="I946" s="67" t="s">
        <v>113</v>
      </c>
      <c r="J946" s="33">
        <f>IFERROR(Table2[[#This Row],[Importo annuale]]/(12/VLOOKUP(Table2[[#This Row],[Rateizzazione]],TIPI_RATEIZZAZIONI,2,FALSE)),"-")</f>
        <v>470</v>
      </c>
      <c r="K946" s="88"/>
      <c r="L946" s="88">
        <v>470</v>
      </c>
      <c r="M946" s="67" t="s">
        <v>45</v>
      </c>
      <c r="N946" s="67" t="s">
        <v>52</v>
      </c>
      <c r="O946" s="27" t="s">
        <v>1631</v>
      </c>
      <c r="P946" s="33" t="s">
        <v>23</v>
      </c>
      <c r="Q946" s="60">
        <f>IFERROR(IF(12 / VLOOKUP(Table2[[#This Row],[Rateizzazione]],TIPI_RATEIZZAZIONI,2,FALSE) &gt;=1,  IF(Table2[[#This Row],[Data attivazione]] = "","-",MONTH(Table2[[#This Row],[Data attivazione]])),"-"),"-")</f>
        <v>10</v>
      </c>
      <c r="R9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6" s="67" t="s">
        <v>2</v>
      </c>
      <c r="V946" s="62"/>
      <c r="W946" s="64">
        <v>42670</v>
      </c>
      <c r="X946" s="29">
        <f>DATE(YEAR(Table2[[#This Row],[Data attivazione]])+VLOOKUP(Table2[[#This Row],[Durata]],VALORE_DURATA,2,FALSE),MONTH(Table2[[#This Row],[Data attivazione]]),DAY(Table2[[#This Row],[Data attivazione]]))</f>
        <v>43035</v>
      </c>
      <c r="Y946" s="65"/>
      <c r="Z946" s="61"/>
      <c r="AA946" s="64" t="s">
        <v>85</v>
      </c>
      <c r="AB946" s="29" t="str">
        <f>IF(Table2[[#This Row],[Data ultimo versamento temp]]=0/1/1900,"-",Table2[[#This Row],[Data ultimo versamento temp]])</f>
        <v>-</v>
      </c>
      <c r="AC946" s="29">
        <f t="array" ref="AC946">MAX(IF(TableVersamenti[Polizza]=Table2[[#This Row],[Polizza]],TableVersamenti[Data prevista versamento],"-"))</f>
        <v>0</v>
      </c>
      <c r="AD946" s="62"/>
      <c r="AE946" s="106">
        <f>DATE(YEAR(Table2[[#This Row],[Data ultimo pagamento]]),MONTH(Table2[[#This Row],[Data ultimo pagamento]]), 1)</f>
        <v>42644</v>
      </c>
      <c r="AF946" s="106">
        <f>DATE(YEAR(Table2[[#This Row],[Data prossima scadenza]]),MONTH(Table2[[#This Row],[Data prossima scadenza]]), 1)</f>
        <v>43009</v>
      </c>
      <c r="AG946" s="33">
        <f>IFERROR(Table2[[#This Row],[Importo annuale]]*VLOOKUP(Table2[[#This Row],[Ramo]],RAMI_POLIZZA,2,FALSE),0)</f>
        <v>54.050000000000004</v>
      </c>
      <c r="AH946" s="65" t="s">
        <v>113</v>
      </c>
      <c r="AI946" s="63">
        <f>IFERROR(VLOOKUP(Table2[[#This Row],[Contraente]],Table1[[Nome/Ragione sociale]:[Checkbox selezionato]],2,FALSE),"-")</f>
        <v>0</v>
      </c>
      <c r="AJ946" s="63">
        <f>IFERROR(VLOOKUP(Table2[[#This Row],[Contraente]],Table1[[Nome/Ragione sociale]:[Checkbox selezionato]],3,FALSE),"-")</f>
        <v>0</v>
      </c>
      <c r="AK946" s="63">
        <f>IFERROR(VLOOKUP(Table2[[#This Row],[Contraente]],Table1[[Nome/Ragione sociale]:[Checkbox selezionato]],4,FALSE),"-")</f>
        <v>0</v>
      </c>
      <c r="AL946" s="63">
        <f>IFERROR(VLOOKUP(Table2[[#This Row],[Contraente]],Table1[[Nome/Ragione sociale]:[Checkbox selezionato]],5,FALSE),"-")</f>
        <v>0</v>
      </c>
      <c r="AM946" s="62">
        <f>IFERROR(VLOOKUP(Table2[[#This Row],[Contraente]],Table1[[Nome/Ragione sociale]:[Checkbox selezionato]],6,FALSE),"-")</f>
        <v>0</v>
      </c>
      <c r="AN946" s="63" t="str">
        <f>IFERROR(VLOOKUP(Table2[[#This Row],[Contraente]],Table1[[Nome/Ragione sociale]:[Checkbox selezionato]],7,FALSE),"-")</f>
        <v>papies@email.it</v>
      </c>
      <c r="AO946" s="63">
        <f>IFERROR(VLOOKUP(Table2[[#This Row],[Contraente]],Table1[[Nome/Ragione sociale]:[Checkbox selezionato]],8,FALSE),"-")</f>
        <v>0</v>
      </c>
      <c r="AP946" s="63">
        <f>IFERROR(VLOOKUP(Table2[[#This Row],[Contraente]],Table1[[Nome/Ragione sociale]:[Checkbox selezionato]],10,FALSE),"-")</f>
        <v>0</v>
      </c>
      <c r="AQ946" s="63" t="str">
        <f>IFERROR(VLOOKUP(Table2[[#This Row],[Contraente]],Table1[[Nome/Ragione sociale]:[Checkbox selezionato]],11,FALSE),"-")</f>
        <v>SI</v>
      </c>
      <c r="AR946" s="63" t="str">
        <f>IFERROR(VLOOKUP(Table2[[#This Row],[Contraente]],Table1[[Nome/Ragione sociale]:[Checkbox selezionato]],12,FALSE),"-")</f>
        <v>SI</v>
      </c>
    </row>
    <row r="947" spans="1:44" ht="30" hidden="1" customHeight="1" x14ac:dyDescent="0.25">
      <c r="A947" s="60" t="str">
        <f>UPPER(LEFT(Table2[[#This Row],[Contraente]],1))</f>
        <v>R</v>
      </c>
      <c r="B947" s="60" t="s">
        <v>1634</v>
      </c>
      <c r="C947" s="81" t="s">
        <v>954</v>
      </c>
      <c r="D947" s="81" t="s">
        <v>37</v>
      </c>
      <c r="E947" s="86">
        <v>1078652</v>
      </c>
      <c r="F947" s="64">
        <v>42670</v>
      </c>
      <c r="G947" s="64">
        <f>IFERROR(CALCOLASCADENZA(Table2[[#This Row],[Data attivazione]],Table2[[#This Row],[Rateizzazione]],Table2[[#This Row],[Data ultimo pagamento]],Table2[[#This Row],[Data prossima scadenza manuale]]),"-")</f>
        <v>43035</v>
      </c>
      <c r="H947" s="67" t="s">
        <v>32</v>
      </c>
      <c r="I947" s="67" t="s">
        <v>113</v>
      </c>
      <c r="J947" s="33">
        <f>IFERROR(Table2[[#This Row],[Importo annuale]]/(12/VLOOKUP(Table2[[#This Row],[Rateizzazione]],TIPI_RATEIZZAZIONI,2,FALSE)),"-")</f>
        <v>200</v>
      </c>
      <c r="K947" s="88"/>
      <c r="L947" s="88">
        <v>200</v>
      </c>
      <c r="M947" s="67" t="s">
        <v>45</v>
      </c>
      <c r="N947" s="67" t="s">
        <v>52</v>
      </c>
      <c r="O947" s="27" t="s">
        <v>1631</v>
      </c>
      <c r="P947" s="33" t="s">
        <v>23</v>
      </c>
      <c r="Q947" s="60">
        <f>IFERROR(IF(12 / VLOOKUP(Table2[[#This Row],[Rateizzazione]],TIPI_RATEIZZAZIONI,2,FALSE) &gt;=1,  IF(Table2[[#This Row],[Data attivazione]] = "","-",MONTH(Table2[[#This Row],[Data attivazione]])),"-"),"-")</f>
        <v>10</v>
      </c>
      <c r="R9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7" s="67" t="s">
        <v>2</v>
      </c>
      <c r="V947" s="62"/>
      <c r="W947" s="64">
        <v>42670</v>
      </c>
      <c r="X947" s="29">
        <f>DATE(YEAR(Table2[[#This Row],[Data attivazione]])+VLOOKUP(Table2[[#This Row],[Durata]],VALORE_DURATA,2,FALSE),MONTH(Table2[[#This Row],[Data attivazione]]),DAY(Table2[[#This Row],[Data attivazione]]))</f>
        <v>43035</v>
      </c>
      <c r="Y947" s="65"/>
      <c r="Z947" s="61"/>
      <c r="AA947" s="64" t="s">
        <v>85</v>
      </c>
      <c r="AB947" s="29" t="str">
        <f>IF(Table2[[#This Row],[Data ultimo versamento temp]]=0/1/1900,"-",Table2[[#This Row],[Data ultimo versamento temp]])</f>
        <v>-</v>
      </c>
      <c r="AC947" s="29">
        <f t="array" ref="AC947">MAX(IF(TableVersamenti[Polizza]=Table2[[#This Row],[Polizza]],TableVersamenti[Data prevista versamento],"-"))</f>
        <v>0</v>
      </c>
      <c r="AD947" s="62"/>
      <c r="AE947" s="106">
        <f>DATE(YEAR(Table2[[#This Row],[Data ultimo pagamento]]),MONTH(Table2[[#This Row],[Data ultimo pagamento]]), 1)</f>
        <v>42644</v>
      </c>
      <c r="AF947" s="106">
        <f>DATE(YEAR(Table2[[#This Row],[Data prossima scadenza]]),MONTH(Table2[[#This Row],[Data prossima scadenza]]), 1)</f>
        <v>43009</v>
      </c>
      <c r="AG947" s="33">
        <f>IFERROR(Table2[[#This Row],[Importo annuale]]*VLOOKUP(Table2[[#This Row],[Ramo]],RAMI_POLIZZA,2,FALSE),0)</f>
        <v>3</v>
      </c>
      <c r="AH947" s="65" t="s">
        <v>113</v>
      </c>
      <c r="AI947" s="63">
        <f>IFERROR(VLOOKUP(Table2[[#This Row],[Contraente]],Table1[[Nome/Ragione sociale]:[Checkbox selezionato]],2,FALSE),"-")</f>
        <v>0</v>
      </c>
      <c r="AJ947" s="63">
        <f>IFERROR(VLOOKUP(Table2[[#This Row],[Contraente]],Table1[[Nome/Ragione sociale]:[Checkbox selezionato]],3,FALSE),"-")</f>
        <v>0</v>
      </c>
      <c r="AK947" s="63">
        <f>IFERROR(VLOOKUP(Table2[[#This Row],[Contraente]],Table1[[Nome/Ragione sociale]:[Checkbox selezionato]],4,FALSE),"-")</f>
        <v>0</v>
      </c>
      <c r="AL947" s="63">
        <f>IFERROR(VLOOKUP(Table2[[#This Row],[Contraente]],Table1[[Nome/Ragione sociale]:[Checkbox selezionato]],5,FALSE),"-")</f>
        <v>0</v>
      </c>
      <c r="AM947" s="62">
        <f>IFERROR(VLOOKUP(Table2[[#This Row],[Contraente]],Table1[[Nome/Ragione sociale]:[Checkbox selezionato]],6,FALSE),"-")</f>
        <v>0</v>
      </c>
      <c r="AN947" s="63" t="str">
        <f>IFERROR(VLOOKUP(Table2[[#This Row],[Contraente]],Table1[[Nome/Ragione sociale]:[Checkbox selezionato]],7,FALSE),"-")</f>
        <v>papies@email.it</v>
      </c>
      <c r="AO947" s="63">
        <f>IFERROR(VLOOKUP(Table2[[#This Row],[Contraente]],Table1[[Nome/Ragione sociale]:[Checkbox selezionato]],8,FALSE),"-")</f>
        <v>0</v>
      </c>
      <c r="AP947" s="63">
        <f>IFERROR(VLOOKUP(Table2[[#This Row],[Contraente]],Table1[[Nome/Ragione sociale]:[Checkbox selezionato]],10,FALSE),"-")</f>
        <v>0</v>
      </c>
      <c r="AQ947" s="63" t="str">
        <f>IFERROR(VLOOKUP(Table2[[#This Row],[Contraente]],Table1[[Nome/Ragione sociale]:[Checkbox selezionato]],11,FALSE),"-")</f>
        <v>SI</v>
      </c>
      <c r="AR947" s="63" t="str">
        <f>IFERROR(VLOOKUP(Table2[[#This Row],[Contraente]],Table1[[Nome/Ragione sociale]:[Checkbox selezionato]],12,FALSE),"-")</f>
        <v>SI</v>
      </c>
    </row>
    <row r="948" spans="1:44" ht="30" hidden="1" customHeight="1" x14ac:dyDescent="0.25">
      <c r="A948" s="60" t="str">
        <f>UPPER(LEFT(Table2[[#This Row],[Contraente]],1))</f>
        <v>R</v>
      </c>
      <c r="B948" s="60" t="s">
        <v>1634</v>
      </c>
      <c r="C948" s="81" t="s">
        <v>954</v>
      </c>
      <c r="D948" s="81" t="s">
        <v>37</v>
      </c>
      <c r="E948" s="86">
        <v>106164066</v>
      </c>
      <c r="F948" s="64">
        <v>42670</v>
      </c>
      <c r="G948" s="64">
        <f>IFERROR(CALCOLASCADENZA(Table2[[#This Row],[Data attivazione]],Table2[[#This Row],[Rateizzazione]],Table2[[#This Row],[Data ultimo pagamento]],Table2[[#This Row],[Data prossima scadenza manuale]]),"-")</f>
        <v>43035</v>
      </c>
      <c r="H948" s="67" t="s">
        <v>30</v>
      </c>
      <c r="I948" s="67" t="s">
        <v>113</v>
      </c>
      <c r="J948" s="33">
        <f>IFERROR(Table2[[#This Row],[Importo annuale]]/(12/VLOOKUP(Table2[[#This Row],[Rateizzazione]],TIPI_RATEIZZAZIONI,2,FALSE)),"-")</f>
        <v>130</v>
      </c>
      <c r="K948" s="88"/>
      <c r="L948" s="88">
        <v>130</v>
      </c>
      <c r="M948" s="67" t="s">
        <v>45</v>
      </c>
      <c r="N948" s="67" t="s">
        <v>52</v>
      </c>
      <c r="O948" s="27" t="s">
        <v>1631</v>
      </c>
      <c r="P948" s="33" t="s">
        <v>23</v>
      </c>
      <c r="Q948" s="60">
        <f>IFERROR(IF(12 / VLOOKUP(Table2[[#This Row],[Rateizzazione]],TIPI_RATEIZZAZIONI,2,FALSE) &gt;=1,  IF(Table2[[#This Row],[Data attivazione]] = "","-",MONTH(Table2[[#This Row],[Data attivazione]])),"-"),"-")</f>
        <v>10</v>
      </c>
      <c r="R9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8" s="67" t="s">
        <v>2</v>
      </c>
      <c r="V948" s="62"/>
      <c r="W948" s="64">
        <v>42670</v>
      </c>
      <c r="X948" s="29">
        <f>DATE(YEAR(Table2[[#This Row],[Data attivazione]])+VLOOKUP(Table2[[#This Row],[Durata]],VALORE_DURATA,2,FALSE),MONTH(Table2[[#This Row],[Data attivazione]]),DAY(Table2[[#This Row],[Data attivazione]]))</f>
        <v>43035</v>
      </c>
      <c r="Y948" s="65"/>
      <c r="Z948" s="61"/>
      <c r="AA948" s="64" t="s">
        <v>85</v>
      </c>
      <c r="AB948" s="29" t="str">
        <f>IF(Table2[[#This Row],[Data ultimo versamento temp]]=0/1/1900,"-",Table2[[#This Row],[Data ultimo versamento temp]])</f>
        <v>-</v>
      </c>
      <c r="AC948" s="29">
        <f t="array" ref="AC948">MAX(IF(TableVersamenti[Polizza]=Table2[[#This Row],[Polizza]],TableVersamenti[Data prevista versamento],"-"))</f>
        <v>0</v>
      </c>
      <c r="AD948" s="62"/>
      <c r="AE948" s="106">
        <f>DATE(YEAR(Table2[[#This Row],[Data ultimo pagamento]]),MONTH(Table2[[#This Row],[Data ultimo pagamento]]), 1)</f>
        <v>42644</v>
      </c>
      <c r="AF948" s="106">
        <f>DATE(YEAR(Table2[[#This Row],[Data prossima scadenza]]),MONTH(Table2[[#This Row],[Data prossima scadenza]]), 1)</f>
        <v>43009</v>
      </c>
      <c r="AG948" s="33">
        <f>IFERROR(Table2[[#This Row],[Importo annuale]]*VLOOKUP(Table2[[#This Row],[Ramo]],RAMI_POLIZZA,2,FALSE),0)</f>
        <v>14.950000000000001</v>
      </c>
      <c r="AH948" s="65" t="s">
        <v>113</v>
      </c>
      <c r="AI948" s="63">
        <f>IFERROR(VLOOKUP(Table2[[#This Row],[Contraente]],Table1[[Nome/Ragione sociale]:[Checkbox selezionato]],2,FALSE),"-")</f>
        <v>0</v>
      </c>
      <c r="AJ948" s="63">
        <f>IFERROR(VLOOKUP(Table2[[#This Row],[Contraente]],Table1[[Nome/Ragione sociale]:[Checkbox selezionato]],3,FALSE),"-")</f>
        <v>0</v>
      </c>
      <c r="AK948" s="63">
        <f>IFERROR(VLOOKUP(Table2[[#This Row],[Contraente]],Table1[[Nome/Ragione sociale]:[Checkbox selezionato]],4,FALSE),"-")</f>
        <v>0</v>
      </c>
      <c r="AL948" s="63">
        <f>IFERROR(VLOOKUP(Table2[[#This Row],[Contraente]],Table1[[Nome/Ragione sociale]:[Checkbox selezionato]],5,FALSE),"-")</f>
        <v>0</v>
      </c>
      <c r="AM948" s="62">
        <f>IFERROR(VLOOKUP(Table2[[#This Row],[Contraente]],Table1[[Nome/Ragione sociale]:[Checkbox selezionato]],6,FALSE),"-")</f>
        <v>0</v>
      </c>
      <c r="AN948" s="63" t="str">
        <f>IFERROR(VLOOKUP(Table2[[#This Row],[Contraente]],Table1[[Nome/Ragione sociale]:[Checkbox selezionato]],7,FALSE),"-")</f>
        <v>papies@email.it</v>
      </c>
      <c r="AO948" s="63">
        <f>IFERROR(VLOOKUP(Table2[[#This Row],[Contraente]],Table1[[Nome/Ragione sociale]:[Checkbox selezionato]],8,FALSE),"-")</f>
        <v>0</v>
      </c>
      <c r="AP948" s="63">
        <f>IFERROR(VLOOKUP(Table2[[#This Row],[Contraente]],Table1[[Nome/Ragione sociale]:[Checkbox selezionato]],10,FALSE),"-")</f>
        <v>0</v>
      </c>
      <c r="AQ948" s="63" t="str">
        <f>IFERROR(VLOOKUP(Table2[[#This Row],[Contraente]],Table1[[Nome/Ragione sociale]:[Checkbox selezionato]],11,FALSE),"-")</f>
        <v>SI</v>
      </c>
      <c r="AR948" s="63" t="str">
        <f>IFERROR(VLOOKUP(Table2[[#This Row],[Contraente]],Table1[[Nome/Ragione sociale]:[Checkbox selezionato]],12,FALSE),"-")</f>
        <v>SI</v>
      </c>
    </row>
    <row r="949" spans="1:44" ht="30" hidden="1" customHeight="1" x14ac:dyDescent="0.25">
      <c r="A949" s="60" t="str">
        <f>UPPER(LEFT(Table2[[#This Row],[Contraente]],1))</f>
        <v>R</v>
      </c>
      <c r="B949" s="60" t="s">
        <v>1634</v>
      </c>
      <c r="C949" s="83" t="s">
        <v>954</v>
      </c>
      <c r="D949" s="81" t="s">
        <v>37</v>
      </c>
      <c r="E949" s="86">
        <v>106107252</v>
      </c>
      <c r="F949" s="64">
        <v>42650</v>
      </c>
      <c r="G949" s="64">
        <f>IFERROR(CALCOLASCADENZA(Table2[[#This Row],[Data attivazione]],Table2[[#This Row],[Rateizzazione]],Table2[[#This Row],[Data ultimo pagamento]],Table2[[#This Row],[Data prossima scadenza manuale]]),"-")</f>
        <v>43015</v>
      </c>
      <c r="H949" s="67" t="s">
        <v>31</v>
      </c>
      <c r="I949" s="67" t="s">
        <v>1532</v>
      </c>
      <c r="J949" s="33">
        <f>IFERROR(Table2[[#This Row],[Importo annuale]]/(12/VLOOKUP(Table2[[#This Row],[Rateizzazione]],TIPI_RATEIZZAZIONI,2,FALSE)),"-")</f>
        <v>786.7</v>
      </c>
      <c r="K949" s="88"/>
      <c r="L949" s="88">
        <v>786.7</v>
      </c>
      <c r="M949" s="67" t="s">
        <v>44</v>
      </c>
      <c r="N949" s="67" t="s">
        <v>52</v>
      </c>
      <c r="O949" s="27" t="s">
        <v>1631</v>
      </c>
      <c r="P949" s="33" t="s">
        <v>23</v>
      </c>
      <c r="Q949" s="60">
        <f>IFERROR(IF(12 / VLOOKUP(Table2[[#This Row],[Rateizzazione]],TIPI_RATEIZZAZIONI,2,FALSE) &gt;=1,  IF(Table2[[#This Row],[Data attivazione]] = "","-",MONTH(Table2[[#This Row],[Data attivazione]])),"-"),"-")</f>
        <v>10</v>
      </c>
      <c r="R9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9" s="67" t="s">
        <v>2</v>
      </c>
      <c r="V949" s="62"/>
      <c r="W949" s="64">
        <v>42650</v>
      </c>
      <c r="X949" s="29">
        <f>DATE(YEAR(Table2[[#This Row],[Data attivazione]])+VLOOKUP(Table2[[#This Row],[Durata]],VALORE_DURATA,2,FALSE),MONTH(Table2[[#This Row],[Data attivazione]]),DAY(Table2[[#This Row],[Data attivazione]]))</f>
        <v>43015</v>
      </c>
      <c r="Y949" s="65"/>
      <c r="Z949" s="61"/>
      <c r="AA949" s="64" t="s">
        <v>85</v>
      </c>
      <c r="AB949" s="29" t="str">
        <f>IF(Table2[[#This Row],[Data ultimo versamento temp]]=0/1/1900,"-",Table2[[#This Row],[Data ultimo versamento temp]])</f>
        <v>-</v>
      </c>
      <c r="AC949" s="29">
        <f t="array" ref="AC949">MAX(IF(TableVersamenti[Polizza]=Table2[[#This Row],[Polizza]],TableVersamenti[Data prevista versamento],"-"))</f>
        <v>0</v>
      </c>
      <c r="AD949" s="62"/>
      <c r="AE949" s="106">
        <f>DATE(YEAR(Table2[[#This Row],[Data ultimo pagamento]]),MONTH(Table2[[#This Row],[Data ultimo pagamento]]), 1)</f>
        <v>42644</v>
      </c>
      <c r="AF949" s="106">
        <f>DATE(YEAR(Table2[[#This Row],[Data prossima scadenza]]),MONTH(Table2[[#This Row],[Data prossima scadenza]]), 1)</f>
        <v>43009</v>
      </c>
      <c r="AG949" s="33">
        <f>IFERROR(Table2[[#This Row],[Importo annuale]]*VLOOKUP(Table2[[#This Row],[Ramo]],RAMI_POLIZZA,2,FALSE),0)</f>
        <v>40.9084</v>
      </c>
      <c r="AH949" s="65" t="s">
        <v>113</v>
      </c>
      <c r="AI949" s="63">
        <f>IFERROR(VLOOKUP(Table2[[#This Row],[Contraente]],Table1[[Nome/Ragione sociale]:[Checkbox selezionato]],2,FALSE),"-")</f>
        <v>0</v>
      </c>
      <c r="AJ949" s="63">
        <f>IFERROR(VLOOKUP(Table2[[#This Row],[Contraente]],Table1[[Nome/Ragione sociale]:[Checkbox selezionato]],3,FALSE),"-")</f>
        <v>0</v>
      </c>
      <c r="AK949" s="63">
        <f>IFERROR(VLOOKUP(Table2[[#This Row],[Contraente]],Table1[[Nome/Ragione sociale]:[Checkbox selezionato]],4,FALSE),"-")</f>
        <v>0</v>
      </c>
      <c r="AL949" s="63">
        <f>IFERROR(VLOOKUP(Table2[[#This Row],[Contraente]],Table1[[Nome/Ragione sociale]:[Checkbox selezionato]],5,FALSE),"-")</f>
        <v>0</v>
      </c>
      <c r="AM949" s="62">
        <f>IFERROR(VLOOKUP(Table2[[#This Row],[Contraente]],Table1[[Nome/Ragione sociale]:[Checkbox selezionato]],6,FALSE),"-")</f>
        <v>0</v>
      </c>
      <c r="AN949" s="63" t="str">
        <f>IFERROR(VLOOKUP(Table2[[#This Row],[Contraente]],Table1[[Nome/Ragione sociale]:[Checkbox selezionato]],7,FALSE),"-")</f>
        <v>papies@email.it</v>
      </c>
      <c r="AO949" s="63">
        <f>IFERROR(VLOOKUP(Table2[[#This Row],[Contraente]],Table1[[Nome/Ragione sociale]:[Checkbox selezionato]],8,FALSE),"-")</f>
        <v>0</v>
      </c>
      <c r="AP949" s="63">
        <f>IFERROR(VLOOKUP(Table2[[#This Row],[Contraente]],Table1[[Nome/Ragione sociale]:[Checkbox selezionato]],10,FALSE),"-")</f>
        <v>0</v>
      </c>
      <c r="AQ949" s="63" t="str">
        <f>IFERROR(VLOOKUP(Table2[[#This Row],[Contraente]],Table1[[Nome/Ragione sociale]:[Checkbox selezionato]],11,FALSE),"-")</f>
        <v>SI</v>
      </c>
      <c r="AR949" s="63" t="str">
        <f>IFERROR(VLOOKUP(Table2[[#This Row],[Contraente]],Table1[[Nome/Ragione sociale]:[Checkbox selezionato]],12,FALSE),"-")</f>
        <v>SI</v>
      </c>
    </row>
    <row r="950" spans="1:44" ht="30" hidden="1" customHeight="1" x14ac:dyDescent="0.25">
      <c r="A950" s="60" t="str">
        <f>UPPER(LEFT(Table2[[#This Row],[Contraente]],1))</f>
        <v>R</v>
      </c>
      <c r="B950" s="60" t="s">
        <v>1634</v>
      </c>
      <c r="C950" s="83" t="s">
        <v>954</v>
      </c>
      <c r="D950" s="81" t="s">
        <v>37</v>
      </c>
      <c r="E950" s="86">
        <v>103186918</v>
      </c>
      <c r="F950" s="64">
        <v>41800</v>
      </c>
      <c r="G950" s="64">
        <f>IFERROR(CALCOLASCADENZA(Table2[[#This Row],[Data attivazione]],Table2[[#This Row],[Rateizzazione]],Table2[[#This Row],[Data ultimo pagamento]],Table2[[#This Row],[Data prossima scadenza manuale]]),"-")</f>
        <v>693962</v>
      </c>
      <c r="H950" s="67" t="s">
        <v>31</v>
      </c>
      <c r="I950" s="67"/>
      <c r="J950" s="33">
        <f>IFERROR(Table2[[#This Row],[Importo annuale]]/(12/VLOOKUP(Table2[[#This Row],[Rateizzazione]],TIPI_RATEIZZAZIONI,2,FALSE)),"-")</f>
        <v>130</v>
      </c>
      <c r="K950" s="88"/>
      <c r="L950" s="88">
        <v>130</v>
      </c>
      <c r="M950" s="67" t="s">
        <v>43</v>
      </c>
      <c r="N950" s="67" t="s">
        <v>52</v>
      </c>
      <c r="O950" s="27" t="s">
        <v>1631</v>
      </c>
      <c r="P950" s="33" t="s">
        <v>23</v>
      </c>
      <c r="Q950" s="60">
        <f>IFERROR(IF(12 / VLOOKUP(Table2[[#This Row],[Rateizzazione]],TIPI_RATEIZZAZIONI,2,FALSE) &gt;=1,  IF(Table2[[#This Row],[Data attivazione]] = "","-",MONTH(Table2[[#This Row],[Data attivazione]])),"-"),"-")</f>
        <v>12</v>
      </c>
      <c r="R9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0" s="67" t="s">
        <v>2</v>
      </c>
      <c r="V950" s="62"/>
      <c r="W950" s="64">
        <v>693597</v>
      </c>
      <c r="X950" s="29">
        <f>DATE(YEAR(Table2[[#This Row],[Data attivazione]])+VLOOKUP(Table2[[#This Row],[Durata]],VALORE_DURATA,2,FALSE),MONTH(Table2[[#This Row],[Data attivazione]]),DAY(Table2[[#This Row],[Data attivazione]]))</f>
        <v>693962</v>
      </c>
      <c r="Y950" s="65"/>
      <c r="Z950" s="61"/>
      <c r="AA950" s="64" t="s">
        <v>88</v>
      </c>
      <c r="AB950" s="29" t="str">
        <f>IF(Table2[[#This Row],[Data ultimo versamento temp]]=0/1/1900,"-",Table2[[#This Row],[Data ultimo versamento temp]])</f>
        <v>-</v>
      </c>
      <c r="AC950" s="29">
        <f t="array" ref="AC950">MAX(IF(TableVersamenti[Polizza]=Table2[[#This Row],[Polizza]],TableVersamenti[Data prevista versamento],"-"))</f>
        <v>0</v>
      </c>
      <c r="AD950" s="62"/>
      <c r="AE950" s="106">
        <f>DATE(YEAR(Table2[[#This Row],[Data ultimo pagamento]]),MONTH(Table2[[#This Row],[Data ultimo pagamento]]), 1)</f>
        <v>41791</v>
      </c>
      <c r="AF950" s="106">
        <f>DATE(YEAR(Table2[[#This Row],[Data prossima scadenza]]),MONTH(Table2[[#This Row],[Data prossima scadenza]]), 1)</f>
        <v>693932</v>
      </c>
      <c r="AG950" s="33">
        <f>IFERROR(Table2[[#This Row],[Importo annuale]]*VLOOKUP(Table2[[#This Row],[Ramo]],RAMI_POLIZZA,2,FALSE),0)</f>
        <v>6.76</v>
      </c>
      <c r="AH950" s="65" t="s">
        <v>113</v>
      </c>
      <c r="AI950" s="63">
        <f>IFERROR(VLOOKUP(Table2[[#This Row],[Contraente]],Table1[[Nome/Ragione sociale]:[Checkbox selezionato]],2,FALSE),"-")</f>
        <v>0</v>
      </c>
      <c r="AJ950" s="63">
        <f>IFERROR(VLOOKUP(Table2[[#This Row],[Contraente]],Table1[[Nome/Ragione sociale]:[Checkbox selezionato]],3,FALSE),"-")</f>
        <v>0</v>
      </c>
      <c r="AK950" s="63">
        <f>IFERROR(VLOOKUP(Table2[[#This Row],[Contraente]],Table1[[Nome/Ragione sociale]:[Checkbox selezionato]],4,FALSE),"-")</f>
        <v>0</v>
      </c>
      <c r="AL950" s="63">
        <f>IFERROR(VLOOKUP(Table2[[#This Row],[Contraente]],Table1[[Nome/Ragione sociale]:[Checkbox selezionato]],5,FALSE),"-")</f>
        <v>0</v>
      </c>
      <c r="AM950" s="62">
        <f>IFERROR(VLOOKUP(Table2[[#This Row],[Contraente]],Table1[[Nome/Ragione sociale]:[Checkbox selezionato]],6,FALSE),"-")</f>
        <v>0</v>
      </c>
      <c r="AN950" s="63" t="str">
        <f>IFERROR(VLOOKUP(Table2[[#This Row],[Contraente]],Table1[[Nome/Ragione sociale]:[Checkbox selezionato]],7,FALSE),"-")</f>
        <v>papies@email.it</v>
      </c>
      <c r="AO950" s="63">
        <f>IFERROR(VLOOKUP(Table2[[#This Row],[Contraente]],Table1[[Nome/Ragione sociale]:[Checkbox selezionato]],8,FALSE),"-")</f>
        <v>0</v>
      </c>
      <c r="AP950" s="63">
        <f>IFERROR(VLOOKUP(Table2[[#This Row],[Contraente]],Table1[[Nome/Ragione sociale]:[Checkbox selezionato]],10,FALSE),"-")</f>
        <v>0</v>
      </c>
      <c r="AQ950" s="63" t="str">
        <f>IFERROR(VLOOKUP(Table2[[#This Row],[Contraente]],Table1[[Nome/Ragione sociale]:[Checkbox selezionato]],11,FALSE),"-")</f>
        <v>SI</v>
      </c>
      <c r="AR950" s="63" t="str">
        <f>IFERROR(VLOOKUP(Table2[[#This Row],[Contraente]],Table1[[Nome/Ragione sociale]:[Checkbox selezionato]],12,FALSE),"-")</f>
        <v>SI</v>
      </c>
    </row>
    <row r="951" spans="1:44" ht="30" hidden="1" customHeight="1" x14ac:dyDescent="0.25">
      <c r="A951" s="60" t="str">
        <f>UPPER(LEFT(Table2[[#This Row],[Contraente]],1))</f>
        <v>R</v>
      </c>
      <c r="B951" s="60" t="s">
        <v>1634</v>
      </c>
      <c r="C951" s="83" t="s">
        <v>175</v>
      </c>
      <c r="D951" s="81" t="s">
        <v>37</v>
      </c>
      <c r="E951" s="86">
        <v>106101931</v>
      </c>
      <c r="F951" s="64">
        <v>42830</v>
      </c>
      <c r="G951" s="64">
        <f>IFERROR(CALCOLASCADENZA(Table2[[#This Row],[Data attivazione]],Table2[[#This Row],[Rateizzazione]],Table2[[#This Row],[Data ultimo pagamento]],Table2[[#This Row],[Data prossima scadenza manuale]]),"-")</f>
        <v>43009</v>
      </c>
      <c r="H951" s="67" t="s">
        <v>31</v>
      </c>
      <c r="I951" s="67" t="s">
        <v>1533</v>
      </c>
      <c r="J951" s="33">
        <f>IFERROR(Table2[[#This Row],[Importo annuale]]/(12/VLOOKUP(Table2[[#This Row],[Rateizzazione]],TIPI_RATEIZZAZIONI,2,FALSE)),"-")</f>
        <v>200</v>
      </c>
      <c r="K951" s="88">
        <v>200</v>
      </c>
      <c r="L951" s="88">
        <v>400</v>
      </c>
      <c r="M951" s="67" t="s">
        <v>43</v>
      </c>
      <c r="N951" s="67" t="s">
        <v>51</v>
      </c>
      <c r="O951" s="27" t="s">
        <v>1631</v>
      </c>
      <c r="P951" s="33" t="s">
        <v>22</v>
      </c>
      <c r="Q951" s="60">
        <f>IFERROR(IF(12 / VLOOKUP(Table2[[#This Row],[Rateizzazione]],TIPI_RATEIZZAZIONI,2,FALSE) &gt;=1,  IF(Table2[[#This Row],[Data attivazione]] = "","-",MONTH(Table2[[#This Row],[Data attivazione]])),"-"),"-")</f>
        <v>10</v>
      </c>
      <c r="R9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1" s="67" t="s">
        <v>2</v>
      </c>
      <c r="V951" s="62"/>
      <c r="W951" s="64">
        <v>42644</v>
      </c>
      <c r="X951" s="29">
        <f>DATE(YEAR(Table2[[#This Row],[Data attivazione]])+VLOOKUP(Table2[[#This Row],[Durata]],VALORE_DURATA,2,FALSE),MONTH(Table2[[#This Row],[Data attivazione]]),DAY(Table2[[#This Row],[Data attivazione]]))</f>
        <v>43009</v>
      </c>
      <c r="Y951" s="65"/>
      <c r="Z951" s="61"/>
      <c r="AA951" s="64" t="s">
        <v>85</v>
      </c>
      <c r="AB951" s="29" t="str">
        <f>IF(Table2[[#This Row],[Data ultimo versamento temp]]=0/1/1900,"-",Table2[[#This Row],[Data ultimo versamento temp]])</f>
        <v>-</v>
      </c>
      <c r="AC951" s="29">
        <f t="array" ref="AC951">MAX(IF(TableVersamenti[Polizza]=Table2[[#This Row],[Polizza]],TableVersamenti[Data prevista versamento],"-"))</f>
        <v>0</v>
      </c>
      <c r="AD951" s="62"/>
      <c r="AE951" s="106">
        <f>DATE(YEAR(Table2[[#This Row],[Data ultimo pagamento]]),MONTH(Table2[[#This Row],[Data ultimo pagamento]]), 1)</f>
        <v>42826</v>
      </c>
      <c r="AF951" s="106">
        <f>DATE(YEAR(Table2[[#This Row],[Data prossima scadenza]]),MONTH(Table2[[#This Row],[Data prossima scadenza]]), 1)</f>
        <v>43009</v>
      </c>
      <c r="AG951" s="33">
        <f>IFERROR(Table2[[#This Row],[Importo annuale]]*VLOOKUP(Table2[[#This Row],[Ramo]],RAMI_POLIZZA,2,FALSE),0)</f>
        <v>20.8</v>
      </c>
      <c r="AH951" s="65" t="s">
        <v>113</v>
      </c>
      <c r="AI951" s="63">
        <f>IFERROR(VLOOKUP(Table2[[#This Row],[Contraente]],Table1[[Nome/Ragione sociale]:[Checkbox selezionato]],2,FALSE),"-")</f>
        <v>0</v>
      </c>
      <c r="AJ951" s="63">
        <f>IFERROR(VLOOKUP(Table2[[#This Row],[Contraente]],Table1[[Nome/Ragione sociale]:[Checkbox selezionato]],3,FALSE),"-")</f>
        <v>3489034170</v>
      </c>
      <c r="AK951" s="63">
        <f>IFERROR(VLOOKUP(Table2[[#This Row],[Contraente]],Table1[[Nome/Ragione sociale]:[Checkbox selezionato]],4,FALSE),"-")</f>
        <v>0</v>
      </c>
      <c r="AL951" s="63" t="str">
        <f>IFERROR(VLOOKUP(Table2[[#This Row],[Contraente]],Table1[[Nome/Ragione sociale]:[Checkbox selezionato]],5,FALSE),"-")</f>
        <v>VITTORIO</v>
      </c>
      <c r="AM951" s="62">
        <f>IFERROR(VLOOKUP(Table2[[#This Row],[Contraente]],Table1[[Nome/Ragione sociale]:[Checkbox selezionato]],6,FALSE),"-")</f>
        <v>0</v>
      </c>
      <c r="AN951" s="63" t="str">
        <f>IFERROR(VLOOKUP(Table2[[#This Row],[Contraente]],Table1[[Nome/Ragione sociale]:[Checkbox selezionato]],7,FALSE),"-")</f>
        <v>papies@libero.it</v>
      </c>
      <c r="AO951" s="63">
        <f>IFERROR(VLOOKUP(Table2[[#This Row],[Contraente]],Table1[[Nome/Ragione sociale]:[Checkbox selezionato]],8,FALSE),"-")</f>
        <v>0</v>
      </c>
      <c r="AP951" s="63">
        <f>IFERROR(VLOOKUP(Table2[[#This Row],[Contraente]],Table1[[Nome/Ragione sociale]:[Checkbox selezionato]],10,FALSE),"-")</f>
        <v>3489034170</v>
      </c>
      <c r="AQ951" s="63" t="str">
        <f>IFERROR(VLOOKUP(Table2[[#This Row],[Contraente]],Table1[[Nome/Ragione sociale]:[Checkbox selezionato]],11,FALSE),"-")</f>
        <v>SI</v>
      </c>
      <c r="AR951" s="63" t="str">
        <f>IFERROR(VLOOKUP(Table2[[#This Row],[Contraente]],Table1[[Nome/Ragione sociale]:[Checkbox selezionato]],12,FALSE),"-")</f>
        <v>SI</v>
      </c>
    </row>
    <row r="952" spans="1:44" ht="30" hidden="1" customHeight="1" x14ac:dyDescent="0.25">
      <c r="A952" s="60" t="str">
        <f>UPPER(LEFT(Table2[[#This Row],[Contraente]],1))</f>
        <v>R</v>
      </c>
      <c r="B952" s="60" t="s">
        <v>1634</v>
      </c>
      <c r="C952" s="83" t="s">
        <v>175</v>
      </c>
      <c r="D952" s="81" t="s">
        <v>37</v>
      </c>
      <c r="E952" s="86">
        <v>105685663</v>
      </c>
      <c r="F952" s="64">
        <v>42892</v>
      </c>
      <c r="G952" s="64">
        <f>IFERROR(CALCOLASCADENZA(Table2[[#This Row],[Data attivazione]],Table2[[#This Row],[Rateizzazione]],Table2[[#This Row],[Data ultimo pagamento]],Table2[[#This Row],[Data prossima scadenza manuale]]),"-")</f>
        <v>43073</v>
      </c>
      <c r="H952" s="67" t="s">
        <v>31</v>
      </c>
      <c r="I952" s="67" t="s">
        <v>1534</v>
      </c>
      <c r="J952" s="33">
        <f>IFERROR(Table2[[#This Row],[Importo annuale]]/(12/VLOOKUP(Table2[[#This Row],[Rateizzazione]],TIPI_RATEIZZAZIONI,2,FALSE)),"-")</f>
        <v>261</v>
      </c>
      <c r="K952" s="88">
        <v>261</v>
      </c>
      <c r="L952" s="88">
        <v>522</v>
      </c>
      <c r="M952" s="67" t="s">
        <v>43</v>
      </c>
      <c r="N952" s="67" t="s">
        <v>51</v>
      </c>
      <c r="O952" s="27" t="s">
        <v>1631</v>
      </c>
      <c r="P952" s="33" t="s">
        <v>22</v>
      </c>
      <c r="Q952" s="60">
        <f>IFERROR(IF(12 / VLOOKUP(Table2[[#This Row],[Rateizzazione]],TIPI_RATEIZZAZIONI,2,FALSE) &gt;=1,  IF(Table2[[#This Row],[Data attivazione]] = "","-",MONTH(Table2[[#This Row],[Data attivazione]])),"-"),"-")</f>
        <v>12</v>
      </c>
      <c r="R9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2" s="67" t="s">
        <v>2</v>
      </c>
      <c r="V952" s="62"/>
      <c r="W952" s="64">
        <v>42708</v>
      </c>
      <c r="X952" s="29">
        <f>DATE(YEAR(Table2[[#This Row],[Data attivazione]])+VLOOKUP(Table2[[#This Row],[Durata]],VALORE_DURATA,2,FALSE),MONTH(Table2[[#This Row],[Data attivazione]]),DAY(Table2[[#This Row],[Data attivazione]]))</f>
        <v>43073</v>
      </c>
      <c r="Y952" s="65"/>
      <c r="Z952" s="61"/>
      <c r="AA952" s="64" t="s">
        <v>85</v>
      </c>
      <c r="AB952" s="29" t="str">
        <f>IF(Table2[[#This Row],[Data ultimo versamento temp]]=0/1/1900,"-",Table2[[#This Row],[Data ultimo versamento temp]])</f>
        <v>-</v>
      </c>
      <c r="AC952" s="29">
        <f t="array" ref="AC952">MAX(IF(TableVersamenti[Polizza]=Table2[[#This Row],[Polizza]],TableVersamenti[Data prevista versamento],"-"))</f>
        <v>0</v>
      </c>
      <c r="AD952" s="62"/>
      <c r="AE952" s="106">
        <f>DATE(YEAR(Table2[[#This Row],[Data ultimo pagamento]]),MONTH(Table2[[#This Row],[Data ultimo pagamento]]), 1)</f>
        <v>42887</v>
      </c>
      <c r="AF952" s="106">
        <f>DATE(YEAR(Table2[[#This Row],[Data prossima scadenza]]),MONTH(Table2[[#This Row],[Data prossima scadenza]]), 1)</f>
        <v>43070</v>
      </c>
      <c r="AG952" s="33">
        <f>IFERROR(Table2[[#This Row],[Importo annuale]]*VLOOKUP(Table2[[#This Row],[Ramo]],RAMI_POLIZZA,2,FALSE),0)</f>
        <v>27.143999999999998</v>
      </c>
      <c r="AH952" s="65" t="s">
        <v>113</v>
      </c>
      <c r="AI952" s="63">
        <f>IFERROR(VLOOKUP(Table2[[#This Row],[Contraente]],Table1[[Nome/Ragione sociale]:[Checkbox selezionato]],2,FALSE),"-")</f>
        <v>0</v>
      </c>
      <c r="AJ952" s="63">
        <f>IFERROR(VLOOKUP(Table2[[#This Row],[Contraente]],Table1[[Nome/Ragione sociale]:[Checkbox selezionato]],3,FALSE),"-")</f>
        <v>3489034170</v>
      </c>
      <c r="AK952" s="63">
        <f>IFERROR(VLOOKUP(Table2[[#This Row],[Contraente]],Table1[[Nome/Ragione sociale]:[Checkbox selezionato]],4,FALSE),"-")</f>
        <v>0</v>
      </c>
      <c r="AL952" s="63" t="str">
        <f>IFERROR(VLOOKUP(Table2[[#This Row],[Contraente]],Table1[[Nome/Ragione sociale]:[Checkbox selezionato]],5,FALSE),"-")</f>
        <v>VITTORIO</v>
      </c>
      <c r="AM952" s="62">
        <f>IFERROR(VLOOKUP(Table2[[#This Row],[Contraente]],Table1[[Nome/Ragione sociale]:[Checkbox selezionato]],6,FALSE),"-")</f>
        <v>0</v>
      </c>
      <c r="AN952" s="63" t="str">
        <f>IFERROR(VLOOKUP(Table2[[#This Row],[Contraente]],Table1[[Nome/Ragione sociale]:[Checkbox selezionato]],7,FALSE),"-")</f>
        <v>papies@libero.it</v>
      </c>
      <c r="AO952" s="63">
        <f>IFERROR(VLOOKUP(Table2[[#This Row],[Contraente]],Table1[[Nome/Ragione sociale]:[Checkbox selezionato]],8,FALSE),"-")</f>
        <v>0</v>
      </c>
      <c r="AP952" s="63">
        <f>IFERROR(VLOOKUP(Table2[[#This Row],[Contraente]],Table1[[Nome/Ragione sociale]:[Checkbox selezionato]],10,FALSE),"-")</f>
        <v>3489034170</v>
      </c>
      <c r="AQ952" s="63" t="str">
        <f>IFERROR(VLOOKUP(Table2[[#This Row],[Contraente]],Table1[[Nome/Ragione sociale]:[Checkbox selezionato]],11,FALSE),"-")</f>
        <v>SI</v>
      </c>
      <c r="AR952" s="63" t="str">
        <f>IFERROR(VLOOKUP(Table2[[#This Row],[Contraente]],Table1[[Nome/Ragione sociale]:[Checkbox selezionato]],12,FALSE),"-")</f>
        <v>SI</v>
      </c>
    </row>
    <row r="953" spans="1:44" ht="30" hidden="1" customHeight="1" x14ac:dyDescent="0.25">
      <c r="A953" s="60" t="str">
        <f>UPPER(LEFT(Table2[[#This Row],[Contraente]],1))</f>
        <v>R</v>
      </c>
      <c r="B953" s="60" t="s">
        <v>1634</v>
      </c>
      <c r="C953" s="83" t="s">
        <v>175</v>
      </c>
      <c r="D953" s="81" t="s">
        <v>37</v>
      </c>
      <c r="E953" s="86">
        <v>106706554</v>
      </c>
      <c r="F953" s="64">
        <v>42830</v>
      </c>
      <c r="G953" s="64">
        <f>IFERROR(CALCOLASCADENZA(Table2[[#This Row],[Data attivazione]],Table2[[#This Row],[Rateizzazione]],Table2[[#This Row],[Data ultimo pagamento]],Table2[[#This Row],[Data prossima scadenza manuale]]),"-")</f>
        <v>43009</v>
      </c>
      <c r="H953" s="67" t="s">
        <v>31</v>
      </c>
      <c r="I953" s="67" t="s">
        <v>1535</v>
      </c>
      <c r="J953" s="33">
        <f>IFERROR(Table2[[#This Row],[Importo annuale]]/(12/VLOOKUP(Table2[[#This Row],[Rateizzazione]],TIPI_RATEIZZAZIONI,2,FALSE)),"-")</f>
        <v>175</v>
      </c>
      <c r="K953" s="88">
        <v>175</v>
      </c>
      <c r="L953" s="88">
        <v>350</v>
      </c>
      <c r="M953" s="67" t="s">
        <v>43</v>
      </c>
      <c r="N953" s="67" t="s">
        <v>51</v>
      </c>
      <c r="O953" s="27" t="s">
        <v>1631</v>
      </c>
      <c r="P953" s="33" t="s">
        <v>22</v>
      </c>
      <c r="Q953" s="60">
        <f>IFERROR(IF(12 / VLOOKUP(Table2[[#This Row],[Rateizzazione]],TIPI_RATEIZZAZIONI,2,FALSE) &gt;=1,  IF(Table2[[#This Row],[Data attivazione]] = "","-",MONTH(Table2[[#This Row],[Data attivazione]])),"-"),"-")</f>
        <v>10</v>
      </c>
      <c r="R9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3" s="67" t="s">
        <v>2</v>
      </c>
      <c r="V953" s="62"/>
      <c r="W953" s="64">
        <v>42644</v>
      </c>
      <c r="X953" s="29">
        <f>DATE(YEAR(Table2[[#This Row],[Data attivazione]])+VLOOKUP(Table2[[#This Row],[Durata]],VALORE_DURATA,2,FALSE),MONTH(Table2[[#This Row],[Data attivazione]]),DAY(Table2[[#This Row],[Data attivazione]]))</f>
        <v>43009</v>
      </c>
      <c r="Y953" s="65"/>
      <c r="Z953" s="61"/>
      <c r="AA953" s="64" t="s">
        <v>85</v>
      </c>
      <c r="AB953" s="29" t="str">
        <f>IF(Table2[[#This Row],[Data ultimo versamento temp]]=0/1/1900,"-",Table2[[#This Row],[Data ultimo versamento temp]])</f>
        <v>-</v>
      </c>
      <c r="AC953" s="29">
        <f t="array" ref="AC953">MAX(IF(TableVersamenti[Polizza]=Table2[[#This Row],[Polizza]],TableVersamenti[Data prevista versamento],"-"))</f>
        <v>0</v>
      </c>
      <c r="AD953" s="62"/>
      <c r="AE953" s="106">
        <f>DATE(YEAR(Table2[[#This Row],[Data ultimo pagamento]]),MONTH(Table2[[#This Row],[Data ultimo pagamento]]), 1)</f>
        <v>42826</v>
      </c>
      <c r="AF953" s="106">
        <f>DATE(YEAR(Table2[[#This Row],[Data prossima scadenza]]),MONTH(Table2[[#This Row],[Data prossima scadenza]]), 1)</f>
        <v>43009</v>
      </c>
      <c r="AG953" s="33">
        <f>IFERROR(Table2[[#This Row],[Importo annuale]]*VLOOKUP(Table2[[#This Row],[Ramo]],RAMI_POLIZZA,2,FALSE),0)</f>
        <v>18.2</v>
      </c>
      <c r="AH953" s="65" t="s">
        <v>113</v>
      </c>
      <c r="AI953" s="63">
        <f>IFERROR(VLOOKUP(Table2[[#This Row],[Contraente]],Table1[[Nome/Ragione sociale]:[Checkbox selezionato]],2,FALSE),"-")</f>
        <v>0</v>
      </c>
      <c r="AJ953" s="63">
        <f>IFERROR(VLOOKUP(Table2[[#This Row],[Contraente]],Table1[[Nome/Ragione sociale]:[Checkbox selezionato]],3,FALSE),"-")</f>
        <v>3489034170</v>
      </c>
      <c r="AK953" s="63">
        <f>IFERROR(VLOOKUP(Table2[[#This Row],[Contraente]],Table1[[Nome/Ragione sociale]:[Checkbox selezionato]],4,FALSE),"-")</f>
        <v>0</v>
      </c>
      <c r="AL953" s="63" t="str">
        <f>IFERROR(VLOOKUP(Table2[[#This Row],[Contraente]],Table1[[Nome/Ragione sociale]:[Checkbox selezionato]],5,FALSE),"-")</f>
        <v>VITTORIO</v>
      </c>
      <c r="AM953" s="62">
        <f>IFERROR(VLOOKUP(Table2[[#This Row],[Contraente]],Table1[[Nome/Ragione sociale]:[Checkbox selezionato]],6,FALSE),"-")</f>
        <v>0</v>
      </c>
      <c r="AN953" s="63" t="str">
        <f>IFERROR(VLOOKUP(Table2[[#This Row],[Contraente]],Table1[[Nome/Ragione sociale]:[Checkbox selezionato]],7,FALSE),"-")</f>
        <v>papies@libero.it</v>
      </c>
      <c r="AO953" s="63">
        <f>IFERROR(VLOOKUP(Table2[[#This Row],[Contraente]],Table1[[Nome/Ragione sociale]:[Checkbox selezionato]],8,FALSE),"-")</f>
        <v>0</v>
      </c>
      <c r="AP953" s="63">
        <f>IFERROR(VLOOKUP(Table2[[#This Row],[Contraente]],Table1[[Nome/Ragione sociale]:[Checkbox selezionato]],10,FALSE),"-")</f>
        <v>3489034170</v>
      </c>
      <c r="AQ953" s="63" t="str">
        <f>IFERROR(VLOOKUP(Table2[[#This Row],[Contraente]],Table1[[Nome/Ragione sociale]:[Checkbox selezionato]],11,FALSE),"-")</f>
        <v>SI</v>
      </c>
      <c r="AR953" s="63" t="str">
        <f>IFERROR(VLOOKUP(Table2[[#This Row],[Contraente]],Table1[[Nome/Ragione sociale]:[Checkbox selezionato]],12,FALSE),"-")</f>
        <v>SI</v>
      </c>
    </row>
    <row r="954" spans="1:44" ht="30" hidden="1" customHeight="1" x14ac:dyDescent="0.25">
      <c r="A954" s="60" t="str">
        <f>UPPER(LEFT(Table2[[#This Row],[Contraente]],1))</f>
        <v>R</v>
      </c>
      <c r="B954" s="60" t="s">
        <v>1634</v>
      </c>
      <c r="C954" s="83" t="s">
        <v>957</v>
      </c>
      <c r="D954" s="81" t="s">
        <v>37</v>
      </c>
      <c r="E954" s="86">
        <v>105606579</v>
      </c>
      <c r="F954" s="64">
        <v>42872</v>
      </c>
      <c r="G954" s="64">
        <f>IFERROR(CALCOLASCADENZA(Table2[[#This Row],[Data attivazione]],Table2[[#This Row],[Rateizzazione]],Table2[[#This Row],[Data ultimo pagamento]],Table2[[#This Row],[Data prossima scadenza manuale]]),"-")</f>
        <v>43055</v>
      </c>
      <c r="H954" s="67" t="s">
        <v>31</v>
      </c>
      <c r="I954" s="67" t="s">
        <v>1537</v>
      </c>
      <c r="J954" s="33">
        <f>IFERROR(Table2[[#This Row],[Importo annuale]]/(12/VLOOKUP(Table2[[#This Row],[Rateizzazione]],TIPI_RATEIZZAZIONI,2,FALSE)),"-")</f>
        <v>452</v>
      </c>
      <c r="K954" s="88">
        <v>452</v>
      </c>
      <c r="L954" s="88">
        <v>904</v>
      </c>
      <c r="M954" s="67" t="s">
        <v>44</v>
      </c>
      <c r="N954" s="67" t="s">
        <v>51</v>
      </c>
      <c r="O954" s="27" t="s">
        <v>1631</v>
      </c>
      <c r="P954" s="33" t="s">
        <v>22</v>
      </c>
      <c r="Q954" s="60">
        <f>IFERROR(IF(12 / VLOOKUP(Table2[[#This Row],[Rateizzazione]],TIPI_RATEIZZAZIONI,2,FALSE) &gt;=1,  IF(Table2[[#This Row],[Data attivazione]] = "","-",MONTH(Table2[[#This Row],[Data attivazione]])),"-"),"-")</f>
        <v>11</v>
      </c>
      <c r="R9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4" s="67" t="s">
        <v>2</v>
      </c>
      <c r="V954" s="62"/>
      <c r="W954" s="64">
        <v>42690</v>
      </c>
      <c r="X954" s="29">
        <f>DATE(YEAR(Table2[[#This Row],[Data attivazione]])+VLOOKUP(Table2[[#This Row],[Durata]],VALORE_DURATA,2,FALSE),MONTH(Table2[[#This Row],[Data attivazione]]),DAY(Table2[[#This Row],[Data attivazione]]))</f>
        <v>43055</v>
      </c>
      <c r="Y954" s="65"/>
      <c r="Z954" s="61"/>
      <c r="AA954" s="64" t="s">
        <v>85</v>
      </c>
      <c r="AB954" s="29" t="str">
        <f>IF(Table2[[#This Row],[Data ultimo versamento temp]]=0/1/1900,"-",Table2[[#This Row],[Data ultimo versamento temp]])</f>
        <v>-</v>
      </c>
      <c r="AC954" s="29">
        <f t="array" ref="AC954">MAX(IF(TableVersamenti[Polizza]=Table2[[#This Row],[Polizza]],TableVersamenti[Data prevista versamento],"-"))</f>
        <v>0</v>
      </c>
      <c r="AD954" s="62"/>
      <c r="AE954" s="106">
        <f>DATE(YEAR(Table2[[#This Row],[Data ultimo pagamento]]),MONTH(Table2[[#This Row],[Data ultimo pagamento]]), 1)</f>
        <v>42856</v>
      </c>
      <c r="AF954" s="106">
        <f>DATE(YEAR(Table2[[#This Row],[Data prossima scadenza]]),MONTH(Table2[[#This Row],[Data prossima scadenza]]), 1)</f>
        <v>43040</v>
      </c>
      <c r="AG954" s="33">
        <f>IFERROR(Table2[[#This Row],[Importo annuale]]*VLOOKUP(Table2[[#This Row],[Ramo]],RAMI_POLIZZA,2,FALSE),0)</f>
        <v>47.007999999999996</v>
      </c>
      <c r="AH954" s="65" t="s">
        <v>113</v>
      </c>
      <c r="AI954" s="63" t="str">
        <f>IFERROR(VLOOKUP(Table2[[#This Row],[Contraente]],Table1[[Nome/Ragione sociale]:[Checkbox selezionato]],2,FALSE),"-")</f>
        <v>PIEVE PORTO MORONE</v>
      </c>
      <c r="AJ954" s="63">
        <f>IFERROR(VLOOKUP(Table2[[#This Row],[Contraente]],Table1[[Nome/Ragione sociale]:[Checkbox selezionato]],3,FALSE),"-")</f>
        <v>3477130975</v>
      </c>
      <c r="AK954" s="63">
        <f>IFERROR(VLOOKUP(Table2[[#This Row],[Contraente]],Table1[[Nome/Ragione sociale]:[Checkbox selezionato]],4,FALSE),"-")</f>
        <v>3474137980</v>
      </c>
      <c r="AL954" s="63" t="str">
        <f>IFERROR(VLOOKUP(Table2[[#This Row],[Contraente]],Table1[[Nome/Ragione sociale]:[Checkbox selezionato]],5,FALSE),"-")</f>
        <v>MICHELE / ROBERTA</v>
      </c>
      <c r="AM954" s="62" t="str">
        <f>IFERROR(VLOOKUP(Table2[[#This Row],[Contraente]],Table1[[Nome/Ragione sociale]:[Checkbox selezionato]],6,FALSE),"-")</f>
        <v>-</v>
      </c>
      <c r="AN954" s="63" t="str">
        <f>IFERROR(VLOOKUP(Table2[[#This Row],[Contraente]],Table1[[Nome/Ragione sociale]:[Checkbox selezionato]],7,FALSE),"-")</f>
        <v>papies@libero.it</v>
      </c>
      <c r="AO954" s="63">
        <f>IFERROR(VLOOKUP(Table2[[#This Row],[Contraente]],Table1[[Nome/Ragione sociale]:[Checkbox selezionato]],8,FALSE),"-")</f>
        <v>0</v>
      </c>
      <c r="AP954" s="63">
        <f>IFERROR(VLOOKUP(Table2[[#This Row],[Contraente]],Table1[[Nome/Ragione sociale]:[Checkbox selezionato]],10,FALSE),"-")</f>
        <v>3477130975</v>
      </c>
      <c r="AQ954" s="63" t="str">
        <f>IFERROR(VLOOKUP(Table2[[#This Row],[Contraente]],Table1[[Nome/Ragione sociale]:[Checkbox selezionato]],11,FALSE),"-")</f>
        <v>SI</v>
      </c>
      <c r="AR954" s="63" t="str">
        <f>IFERROR(VLOOKUP(Table2[[#This Row],[Contraente]],Table1[[Nome/Ragione sociale]:[Checkbox selezionato]],12,FALSE),"-")</f>
        <v>SI</v>
      </c>
    </row>
    <row r="955" spans="1:44" ht="30" hidden="1" customHeight="1" x14ac:dyDescent="0.25">
      <c r="A955" s="60" t="str">
        <f>UPPER(LEFT(Table2[[#This Row],[Contraente]],1))</f>
        <v>R</v>
      </c>
      <c r="B955" s="60" t="s">
        <v>1634</v>
      </c>
      <c r="C955" s="81" t="s">
        <v>177</v>
      </c>
      <c r="D955" s="81" t="s">
        <v>37</v>
      </c>
      <c r="E955" s="86">
        <v>105745419</v>
      </c>
      <c r="F955" s="64">
        <v>42908</v>
      </c>
      <c r="G955" s="64">
        <f>IFERROR(CALCOLASCADENZA(Table2[[#This Row],[Data attivazione]],Table2[[#This Row],[Rateizzazione]],Table2[[#This Row],[Data ultimo pagamento]],Table2[[#This Row],[Data prossima scadenza manuale]]),"-")</f>
        <v>43273</v>
      </c>
      <c r="H955" s="67" t="s">
        <v>30</v>
      </c>
      <c r="I955" s="67" t="s">
        <v>113</v>
      </c>
      <c r="J955" s="33">
        <f>IFERROR(Table2[[#This Row],[Importo annuale]]/(12/VLOOKUP(Table2[[#This Row],[Rateizzazione]],TIPI_RATEIZZAZIONI,2,FALSE)),"-")</f>
        <v>270</v>
      </c>
      <c r="K955" s="88">
        <v>270</v>
      </c>
      <c r="L955" s="88">
        <v>270</v>
      </c>
      <c r="M955" s="67" t="s">
        <v>43</v>
      </c>
      <c r="N955" s="67" t="s">
        <v>51</v>
      </c>
      <c r="O955" s="27" t="s">
        <v>1631</v>
      </c>
      <c r="P955" s="33" t="s">
        <v>23</v>
      </c>
      <c r="Q955" s="60">
        <f>IFERROR(IF(12 / VLOOKUP(Table2[[#This Row],[Rateizzazione]],TIPI_RATEIZZAZIONI,2,FALSE) &gt;=1,  IF(Table2[[#This Row],[Data attivazione]] = "","-",MONTH(Table2[[#This Row],[Data attivazione]])),"-"),"-")</f>
        <v>6</v>
      </c>
      <c r="R9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5" s="67" t="s">
        <v>2</v>
      </c>
      <c r="V955" s="62"/>
      <c r="W955" s="64">
        <v>42908</v>
      </c>
      <c r="X955" s="29">
        <f>DATE(YEAR(Table2[[#This Row],[Data attivazione]])+VLOOKUP(Table2[[#This Row],[Durata]],VALORE_DURATA,2,FALSE),MONTH(Table2[[#This Row],[Data attivazione]]),DAY(Table2[[#This Row],[Data attivazione]]))</f>
        <v>43273</v>
      </c>
      <c r="Y955" s="65"/>
      <c r="Z955" s="61"/>
      <c r="AA955" s="64" t="s">
        <v>85</v>
      </c>
      <c r="AB955" s="29" t="str">
        <f>IF(Table2[[#This Row],[Data ultimo versamento temp]]=0/1/1900,"-",Table2[[#This Row],[Data ultimo versamento temp]])</f>
        <v>-</v>
      </c>
      <c r="AC955" s="29">
        <f t="array" ref="AC955">MAX(IF(TableVersamenti[Polizza]=Table2[[#This Row],[Polizza]],TableVersamenti[Data prevista versamento],"-"))</f>
        <v>0</v>
      </c>
      <c r="AD955" s="62"/>
      <c r="AE955" s="106">
        <f>DATE(YEAR(Table2[[#This Row],[Data ultimo pagamento]]),MONTH(Table2[[#This Row],[Data ultimo pagamento]]), 1)</f>
        <v>42887</v>
      </c>
      <c r="AF955" s="106">
        <f>DATE(YEAR(Table2[[#This Row],[Data prossima scadenza]]),MONTH(Table2[[#This Row],[Data prossima scadenza]]), 1)</f>
        <v>43252</v>
      </c>
      <c r="AG955" s="33">
        <f>IFERROR(Table2[[#This Row],[Importo annuale]]*VLOOKUP(Table2[[#This Row],[Ramo]],RAMI_POLIZZA,2,FALSE),0)</f>
        <v>31.05</v>
      </c>
      <c r="AH955" s="65" t="s">
        <v>113</v>
      </c>
      <c r="AI955" s="63">
        <f>IFERROR(VLOOKUP(Table2[[#This Row],[Contraente]],Table1[[Nome/Ragione sociale]:[Checkbox selezionato]],2,FALSE),"-")</f>
        <v>0</v>
      </c>
      <c r="AJ955" s="63">
        <f>IFERROR(VLOOKUP(Table2[[#This Row],[Contraente]],Table1[[Nome/Ragione sociale]:[Checkbox selezionato]],3,FALSE),"-")</f>
        <v>3356981579</v>
      </c>
      <c r="AK955" s="63">
        <f>IFERROR(VLOOKUP(Table2[[#This Row],[Contraente]],Table1[[Nome/Ragione sociale]:[Checkbox selezionato]],4,FALSE),"-")</f>
        <v>0</v>
      </c>
      <c r="AL955" s="63" t="str">
        <f>IFERROR(VLOOKUP(Table2[[#This Row],[Contraente]],Table1[[Nome/Ragione sociale]:[Checkbox selezionato]],5,FALSE),"-")</f>
        <v>ALESSANDRA</v>
      </c>
      <c r="AM955" s="62">
        <f>IFERROR(VLOOKUP(Table2[[#This Row],[Contraente]],Table1[[Nome/Ragione sociale]:[Checkbox selezionato]],6,FALSE),"-")</f>
        <v>0</v>
      </c>
      <c r="AN955" s="63" t="str">
        <f>IFERROR(VLOOKUP(Table2[[#This Row],[Contraente]],Table1[[Nome/Ragione sociale]:[Checkbox selezionato]],7,FALSE),"-")</f>
        <v>papies@email.it</v>
      </c>
      <c r="AO955" s="63">
        <f>IFERROR(VLOOKUP(Table2[[#This Row],[Contraente]],Table1[[Nome/Ragione sociale]:[Checkbox selezionato]],8,FALSE),"-")</f>
        <v>0</v>
      </c>
      <c r="AP955" s="63">
        <f>IFERROR(VLOOKUP(Table2[[#This Row],[Contraente]],Table1[[Nome/Ragione sociale]:[Checkbox selezionato]],10,FALSE),"-")</f>
        <v>3356981579</v>
      </c>
      <c r="AQ955" s="63" t="str">
        <f>IFERROR(VLOOKUP(Table2[[#This Row],[Contraente]],Table1[[Nome/Ragione sociale]:[Checkbox selezionato]],11,FALSE),"-")</f>
        <v>SI</v>
      </c>
      <c r="AR955" s="63" t="str">
        <f>IFERROR(VLOOKUP(Table2[[#This Row],[Contraente]],Table1[[Nome/Ragione sociale]:[Checkbox selezionato]],12,FALSE),"-")</f>
        <v>SI</v>
      </c>
    </row>
    <row r="956" spans="1:44" ht="30" hidden="1" customHeight="1" x14ac:dyDescent="0.25">
      <c r="A956" s="60" t="str">
        <f>UPPER(LEFT(Table2[[#This Row],[Contraente]],1))</f>
        <v>R</v>
      </c>
      <c r="B956" s="60" t="s">
        <v>1634</v>
      </c>
      <c r="C956" s="81" t="s">
        <v>177</v>
      </c>
      <c r="D956" s="81" t="s">
        <v>37</v>
      </c>
      <c r="E956" s="86">
        <v>105745406</v>
      </c>
      <c r="F956" s="64">
        <v>42908</v>
      </c>
      <c r="G956" s="64">
        <f>IFERROR(CALCOLASCADENZA(Table2[[#This Row],[Data attivazione]],Table2[[#This Row],[Rateizzazione]],Table2[[#This Row],[Data ultimo pagamento]],Table2[[#This Row],[Data prossima scadenza manuale]]),"-")</f>
        <v>43273</v>
      </c>
      <c r="H956" s="67" t="s">
        <v>30</v>
      </c>
      <c r="I956" s="67" t="s">
        <v>113</v>
      </c>
      <c r="J956" s="33">
        <f>IFERROR(Table2[[#This Row],[Importo annuale]]/(12/VLOOKUP(Table2[[#This Row],[Rateizzazione]],TIPI_RATEIZZAZIONI,2,FALSE)),"-")</f>
        <v>170</v>
      </c>
      <c r="K956" s="88">
        <v>170</v>
      </c>
      <c r="L956" s="88">
        <v>170</v>
      </c>
      <c r="M956" s="67" t="s">
        <v>43</v>
      </c>
      <c r="N956" s="67" t="s">
        <v>51</v>
      </c>
      <c r="O956" s="27" t="s">
        <v>1631</v>
      </c>
      <c r="P956" s="33" t="s">
        <v>23</v>
      </c>
      <c r="Q956" s="60">
        <f>IFERROR(IF(12 / VLOOKUP(Table2[[#This Row],[Rateizzazione]],TIPI_RATEIZZAZIONI,2,FALSE) &gt;=1,  IF(Table2[[#This Row],[Data attivazione]] = "","-",MONTH(Table2[[#This Row],[Data attivazione]])),"-"),"-")</f>
        <v>6</v>
      </c>
      <c r="R9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6" s="67" t="s">
        <v>2</v>
      </c>
      <c r="V956" s="62"/>
      <c r="W956" s="64">
        <v>42908</v>
      </c>
      <c r="X956" s="29">
        <f>DATE(YEAR(Table2[[#This Row],[Data attivazione]])+VLOOKUP(Table2[[#This Row],[Durata]],VALORE_DURATA,2,FALSE),MONTH(Table2[[#This Row],[Data attivazione]]),DAY(Table2[[#This Row],[Data attivazione]]))</f>
        <v>43273</v>
      </c>
      <c r="Y956" s="65"/>
      <c r="Z956" s="61"/>
      <c r="AA956" s="64" t="s">
        <v>85</v>
      </c>
      <c r="AB956" s="29" t="str">
        <f>IF(Table2[[#This Row],[Data ultimo versamento temp]]=0/1/1900,"-",Table2[[#This Row],[Data ultimo versamento temp]])</f>
        <v>-</v>
      </c>
      <c r="AC956" s="29">
        <f t="array" ref="AC956">MAX(IF(TableVersamenti[Polizza]=Table2[[#This Row],[Polizza]],TableVersamenti[Data prevista versamento],"-"))</f>
        <v>0</v>
      </c>
      <c r="AD956" s="62"/>
      <c r="AE956" s="106">
        <f>DATE(YEAR(Table2[[#This Row],[Data ultimo pagamento]]),MONTH(Table2[[#This Row],[Data ultimo pagamento]]), 1)</f>
        <v>42887</v>
      </c>
      <c r="AF956" s="106">
        <f>DATE(YEAR(Table2[[#This Row],[Data prossima scadenza]]),MONTH(Table2[[#This Row],[Data prossima scadenza]]), 1)</f>
        <v>43252</v>
      </c>
      <c r="AG956" s="33">
        <f>IFERROR(Table2[[#This Row],[Importo annuale]]*VLOOKUP(Table2[[#This Row],[Ramo]],RAMI_POLIZZA,2,FALSE),0)</f>
        <v>19.55</v>
      </c>
      <c r="AH956" s="65" t="s">
        <v>113</v>
      </c>
      <c r="AI956" s="63">
        <f>IFERROR(VLOOKUP(Table2[[#This Row],[Contraente]],Table1[[Nome/Ragione sociale]:[Checkbox selezionato]],2,FALSE),"-")</f>
        <v>0</v>
      </c>
      <c r="AJ956" s="63">
        <f>IFERROR(VLOOKUP(Table2[[#This Row],[Contraente]],Table1[[Nome/Ragione sociale]:[Checkbox selezionato]],3,FALSE),"-")</f>
        <v>3356981579</v>
      </c>
      <c r="AK956" s="63">
        <f>IFERROR(VLOOKUP(Table2[[#This Row],[Contraente]],Table1[[Nome/Ragione sociale]:[Checkbox selezionato]],4,FALSE),"-")</f>
        <v>0</v>
      </c>
      <c r="AL956" s="63" t="str">
        <f>IFERROR(VLOOKUP(Table2[[#This Row],[Contraente]],Table1[[Nome/Ragione sociale]:[Checkbox selezionato]],5,FALSE),"-")</f>
        <v>ALESSANDRA</v>
      </c>
      <c r="AM956" s="62">
        <f>IFERROR(VLOOKUP(Table2[[#This Row],[Contraente]],Table1[[Nome/Ragione sociale]:[Checkbox selezionato]],6,FALSE),"-")</f>
        <v>0</v>
      </c>
      <c r="AN956" s="63" t="str">
        <f>IFERROR(VLOOKUP(Table2[[#This Row],[Contraente]],Table1[[Nome/Ragione sociale]:[Checkbox selezionato]],7,FALSE),"-")</f>
        <v>papies@email.it</v>
      </c>
      <c r="AO956" s="63">
        <f>IFERROR(VLOOKUP(Table2[[#This Row],[Contraente]],Table1[[Nome/Ragione sociale]:[Checkbox selezionato]],8,FALSE),"-")</f>
        <v>0</v>
      </c>
      <c r="AP956" s="63">
        <f>IFERROR(VLOOKUP(Table2[[#This Row],[Contraente]],Table1[[Nome/Ragione sociale]:[Checkbox selezionato]],10,FALSE),"-")</f>
        <v>3356981579</v>
      </c>
      <c r="AQ956" s="63" t="str">
        <f>IFERROR(VLOOKUP(Table2[[#This Row],[Contraente]],Table1[[Nome/Ragione sociale]:[Checkbox selezionato]],11,FALSE),"-")</f>
        <v>SI</v>
      </c>
      <c r="AR956" s="63" t="str">
        <f>IFERROR(VLOOKUP(Table2[[#This Row],[Contraente]],Table1[[Nome/Ragione sociale]:[Checkbox selezionato]],12,FALSE),"-")</f>
        <v>SI</v>
      </c>
    </row>
    <row r="957" spans="1:44" ht="30" hidden="1" customHeight="1" x14ac:dyDescent="0.25">
      <c r="A957" s="60" t="str">
        <f>UPPER(LEFT(Table2[[#This Row],[Contraente]],1))</f>
        <v>R</v>
      </c>
      <c r="B957" s="60" t="s">
        <v>1634</v>
      </c>
      <c r="C957" s="81" t="s">
        <v>959</v>
      </c>
      <c r="D957" s="81" t="s">
        <v>37</v>
      </c>
      <c r="E957" s="86">
        <v>107028226</v>
      </c>
      <c r="F957" s="64">
        <v>42909</v>
      </c>
      <c r="G957" s="64">
        <f>IFERROR(CALCOLASCADENZA(Table2[[#This Row],[Data attivazione]],Table2[[#This Row],[Rateizzazione]],Table2[[#This Row],[Data ultimo pagamento]],Table2[[#This Row],[Data prossima scadenza manuale]]),"-")</f>
        <v>43284</v>
      </c>
      <c r="H957" s="67" t="s">
        <v>31</v>
      </c>
      <c r="I957" s="67" t="s">
        <v>1538</v>
      </c>
      <c r="J957" s="33">
        <f>IFERROR(Table2[[#This Row],[Importo annuale]]/(12/VLOOKUP(Table2[[#This Row],[Rateizzazione]],TIPI_RATEIZZAZIONI,2,FALSE)),"-")</f>
        <v>35</v>
      </c>
      <c r="K957" s="88">
        <v>35</v>
      </c>
      <c r="L957" s="88">
        <v>35</v>
      </c>
      <c r="M957" s="67" t="s">
        <v>43</v>
      </c>
      <c r="N957" s="67" t="s">
        <v>51</v>
      </c>
      <c r="O957" s="27" t="s">
        <v>1631</v>
      </c>
      <c r="P957" s="33" t="s">
        <v>23</v>
      </c>
      <c r="Q957" s="60">
        <f>IFERROR(IF(12 / VLOOKUP(Table2[[#This Row],[Rateizzazione]],TIPI_RATEIZZAZIONI,2,FALSE) &gt;=1,  IF(Table2[[#This Row],[Data attivazione]] = "","-",MONTH(Table2[[#This Row],[Data attivazione]])),"-"),"-")</f>
        <v>7</v>
      </c>
      <c r="R9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7" s="67" t="s">
        <v>2</v>
      </c>
      <c r="V957" s="62"/>
      <c r="W957" s="64">
        <v>42919</v>
      </c>
      <c r="X957" s="29">
        <f>DATE(YEAR(Table2[[#This Row],[Data attivazione]])+VLOOKUP(Table2[[#This Row],[Durata]],VALORE_DURATA,2,FALSE),MONTH(Table2[[#This Row],[Data attivazione]]),DAY(Table2[[#This Row],[Data attivazione]]))</f>
        <v>43284</v>
      </c>
      <c r="Y957" s="65"/>
      <c r="Z957" s="61"/>
      <c r="AA957" s="64" t="s">
        <v>85</v>
      </c>
      <c r="AB957" s="29" t="str">
        <f>IF(Table2[[#This Row],[Data ultimo versamento temp]]=0/1/1900,"-",Table2[[#This Row],[Data ultimo versamento temp]])</f>
        <v>-</v>
      </c>
      <c r="AC957" s="29">
        <f t="array" ref="AC957">MAX(IF(TableVersamenti[Polizza]=Table2[[#This Row],[Polizza]],TableVersamenti[Data prevista versamento],"-"))</f>
        <v>0</v>
      </c>
      <c r="AD957" s="62"/>
      <c r="AE957" s="106">
        <f>DATE(YEAR(Table2[[#This Row],[Data ultimo pagamento]]),MONTH(Table2[[#This Row],[Data ultimo pagamento]]), 1)</f>
        <v>42887</v>
      </c>
      <c r="AF957" s="106">
        <f>DATE(YEAR(Table2[[#This Row],[Data prossima scadenza]]),MONTH(Table2[[#This Row],[Data prossima scadenza]]), 1)</f>
        <v>43282</v>
      </c>
      <c r="AG957" s="33">
        <f>IFERROR(Table2[[#This Row],[Importo annuale]]*VLOOKUP(Table2[[#This Row],[Ramo]],RAMI_POLIZZA,2,FALSE),0)</f>
        <v>1.8199999999999998</v>
      </c>
      <c r="AH957" s="65" t="s">
        <v>113</v>
      </c>
      <c r="AI957" s="63">
        <f>IFERROR(VLOOKUP(Table2[[#This Row],[Contraente]],Table1[[Nome/Ragione sociale]:[Checkbox selezionato]],2,FALSE),"-")</f>
        <v>0</v>
      </c>
      <c r="AJ957" s="63">
        <f>IFERROR(VLOOKUP(Table2[[#This Row],[Contraente]],Table1[[Nome/Ragione sociale]:[Checkbox selezionato]],3,FALSE),"-")</f>
        <v>33974656103</v>
      </c>
      <c r="AK957" s="63">
        <f>IFERROR(VLOOKUP(Table2[[#This Row],[Contraente]],Table1[[Nome/Ragione sociale]:[Checkbox selezionato]],4,FALSE),"-")</f>
        <v>0</v>
      </c>
      <c r="AL957" s="63">
        <f>IFERROR(VLOOKUP(Table2[[#This Row],[Contraente]],Table1[[Nome/Ragione sociale]:[Checkbox selezionato]],5,FALSE),"-")</f>
        <v>0</v>
      </c>
      <c r="AM957" s="62">
        <f>IFERROR(VLOOKUP(Table2[[#This Row],[Contraente]],Table1[[Nome/Ragione sociale]:[Checkbox selezionato]],6,FALSE),"-")</f>
        <v>0</v>
      </c>
      <c r="AN957" s="63" t="str">
        <f>IFERROR(VLOOKUP(Table2[[#This Row],[Contraente]],Table1[[Nome/Ragione sociale]:[Checkbox selezionato]],7,FALSE),"-")</f>
        <v>papies@libero.it</v>
      </c>
      <c r="AO957" s="63">
        <f>IFERROR(VLOOKUP(Table2[[#This Row],[Contraente]],Table1[[Nome/Ragione sociale]:[Checkbox selezionato]],8,FALSE),"-")</f>
        <v>0</v>
      </c>
      <c r="AP957" s="63">
        <f>IFERROR(VLOOKUP(Table2[[#This Row],[Contraente]],Table1[[Nome/Ragione sociale]:[Checkbox selezionato]],10,FALSE),"-")</f>
        <v>33974656103</v>
      </c>
      <c r="AQ957" s="63" t="str">
        <f>IFERROR(VLOOKUP(Table2[[#This Row],[Contraente]],Table1[[Nome/Ragione sociale]:[Checkbox selezionato]],11,FALSE),"-")</f>
        <v>SI</v>
      </c>
      <c r="AR957" s="63" t="str">
        <f>IFERROR(VLOOKUP(Table2[[#This Row],[Contraente]],Table1[[Nome/Ragione sociale]:[Checkbox selezionato]],12,FALSE),"-")</f>
        <v>SI</v>
      </c>
    </row>
    <row r="958" spans="1:44" ht="30" hidden="1" customHeight="1" x14ac:dyDescent="0.25">
      <c r="A958" s="60" t="str">
        <f>UPPER(LEFT(Table2[[#This Row],[Contraente]],1))</f>
        <v>R</v>
      </c>
      <c r="B958" s="60" t="s">
        <v>1634</v>
      </c>
      <c r="C958" s="81" t="s">
        <v>960</v>
      </c>
      <c r="D958" s="81" t="s">
        <v>37</v>
      </c>
      <c r="E958" s="86">
        <v>105799578</v>
      </c>
      <c r="F958" s="64">
        <v>42928</v>
      </c>
      <c r="G958" s="64">
        <f>IFERROR(CALCOLASCADENZA(Table2[[#This Row],[Data attivazione]],Table2[[#This Row],[Rateizzazione]],Table2[[#This Row],[Data ultimo pagamento]],Table2[[#This Row],[Data prossima scadenza manuale]]),"-")</f>
        <v>43105</v>
      </c>
      <c r="H958" s="67" t="s">
        <v>31</v>
      </c>
      <c r="I958" s="67" t="s">
        <v>1539</v>
      </c>
      <c r="J958" s="33">
        <f>IFERROR(Table2[[#This Row],[Importo annuale]]/(12/VLOOKUP(Table2[[#This Row],[Rateizzazione]],TIPI_RATEIZZAZIONI,2,FALSE)),"-")</f>
        <v>293.10000000000002</v>
      </c>
      <c r="K958" s="88">
        <v>578.11</v>
      </c>
      <c r="L958" s="88">
        <v>586.20000000000005</v>
      </c>
      <c r="M958" s="67" t="s">
        <v>45</v>
      </c>
      <c r="N958" s="67" t="s">
        <v>51</v>
      </c>
      <c r="O958" s="27" t="s">
        <v>1631</v>
      </c>
      <c r="P958" s="33" t="s">
        <v>22</v>
      </c>
      <c r="Q958" s="60">
        <f>IFERROR(IF(12 / VLOOKUP(Table2[[#This Row],[Rateizzazione]],TIPI_RATEIZZAZIONI,2,FALSE) &gt;=1,  IF(Table2[[#This Row],[Data attivazione]] = "","-",MONTH(Table2[[#This Row],[Data attivazione]])),"-"),"-")</f>
        <v>7</v>
      </c>
      <c r="R9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8" s="67" t="s">
        <v>2</v>
      </c>
      <c r="V958" s="62"/>
      <c r="W958" s="64">
        <v>42921</v>
      </c>
      <c r="X958" s="29">
        <f>DATE(YEAR(Table2[[#This Row],[Data attivazione]])+VLOOKUP(Table2[[#This Row],[Durata]],VALORE_DURATA,2,FALSE),MONTH(Table2[[#This Row],[Data attivazione]]),DAY(Table2[[#This Row],[Data attivazione]]))</f>
        <v>43286</v>
      </c>
      <c r="Y958" s="65"/>
      <c r="Z958" s="61"/>
      <c r="AA958" s="64" t="s">
        <v>85</v>
      </c>
      <c r="AB958" s="29">
        <f>IF(Table2[[#This Row],[Data ultimo versamento temp]]=0/1/1900,"-",Table2[[#This Row],[Data ultimo versamento temp]])</f>
        <v>42931</v>
      </c>
      <c r="AC958" s="29">
        <f t="array" ref="AC958">MAX(IF(TableVersamenti[Polizza]=Table2[[#This Row],[Polizza]],TableVersamenti[Data prevista versamento],"-"))</f>
        <v>42931</v>
      </c>
      <c r="AD958" s="62"/>
      <c r="AE958" s="106">
        <f>DATE(YEAR(Table2[[#This Row],[Data ultimo pagamento]]),MONTH(Table2[[#This Row],[Data ultimo pagamento]]), 1)</f>
        <v>42917</v>
      </c>
      <c r="AF958" s="106">
        <f>DATE(YEAR(Table2[[#This Row],[Data prossima scadenza]]),MONTH(Table2[[#This Row],[Data prossima scadenza]]), 1)</f>
        <v>43101</v>
      </c>
      <c r="AG958" s="33">
        <f>IFERROR(Table2[[#This Row],[Importo annuale]]*VLOOKUP(Table2[[#This Row],[Ramo]],RAMI_POLIZZA,2,FALSE),0)</f>
        <v>30.482400000000002</v>
      </c>
      <c r="AH958" s="65" t="s">
        <v>113</v>
      </c>
      <c r="AI958" s="63" t="str">
        <f>IFERROR(VLOOKUP(Table2[[#This Row],[Contraente]],Table1[[Nome/Ragione sociale]:[Checkbox selezionato]],2,FALSE),"-")</f>
        <v>BRONI</v>
      </c>
      <c r="AJ958" s="63">
        <f>IFERROR(VLOOKUP(Table2[[#This Row],[Contraente]],Table1[[Nome/Ragione sociale]:[Checkbox selezionato]],3,FALSE),"-")</f>
        <v>3281266228</v>
      </c>
      <c r="AK958" s="63">
        <f>IFERROR(VLOOKUP(Table2[[#This Row],[Contraente]],Table1[[Nome/Ragione sociale]:[Checkbox selezionato]],4,FALSE),"-")</f>
        <v>0</v>
      </c>
      <c r="AL958" s="63" t="str">
        <f>IFERROR(VLOOKUP(Table2[[#This Row],[Contraente]],Table1[[Nome/Ragione sociale]:[Checkbox selezionato]],5,FALSE),"-")</f>
        <v>MARITO DORIS</v>
      </c>
      <c r="AM958" s="62">
        <f>IFERROR(VLOOKUP(Table2[[#This Row],[Contraente]],Table1[[Nome/Ragione sociale]:[Checkbox selezionato]],6,FALSE),"-")</f>
        <v>31062</v>
      </c>
      <c r="AN958" s="63" t="str">
        <f>IFERROR(VLOOKUP(Table2[[#This Row],[Contraente]],Table1[[Nome/Ragione sociale]:[Checkbox selezionato]],7,FALSE),"-")</f>
        <v>papies@libero.it</v>
      </c>
      <c r="AO958" s="63">
        <f>IFERROR(VLOOKUP(Table2[[#This Row],[Contraente]],Table1[[Nome/Ragione sociale]:[Checkbox selezionato]],8,FALSE),"-")</f>
        <v>0</v>
      </c>
      <c r="AP958" s="63">
        <f>IFERROR(VLOOKUP(Table2[[#This Row],[Contraente]],Table1[[Nome/Ragione sociale]:[Checkbox selezionato]],10,FALSE),"-")</f>
        <v>3281266228</v>
      </c>
      <c r="AQ958" s="63" t="str">
        <f>IFERROR(VLOOKUP(Table2[[#This Row],[Contraente]],Table1[[Nome/Ragione sociale]:[Checkbox selezionato]],11,FALSE),"-")</f>
        <v>SI</v>
      </c>
      <c r="AR958" s="63" t="str">
        <f>IFERROR(VLOOKUP(Table2[[#This Row],[Contraente]],Table1[[Nome/Ragione sociale]:[Checkbox selezionato]],12,FALSE),"-")</f>
        <v>SI</v>
      </c>
    </row>
    <row r="959" spans="1:44" ht="30" hidden="1" customHeight="1" x14ac:dyDescent="0.25">
      <c r="A959" s="60" t="str">
        <f>UPPER(LEFT(Table2[[#This Row],[Contraente]],1))</f>
        <v>R</v>
      </c>
      <c r="B959" s="60" t="s">
        <v>1634</v>
      </c>
      <c r="C959" s="81" t="s">
        <v>962</v>
      </c>
      <c r="D959" s="81" t="s">
        <v>37</v>
      </c>
      <c r="E959" s="86">
        <v>103872095</v>
      </c>
      <c r="F959" s="64">
        <v>42369</v>
      </c>
      <c r="G959" s="64">
        <f>IFERROR(CALCOLASCADENZA(Table2[[#This Row],[Data attivazione]],Table2[[#This Row],[Rateizzazione]],Table2[[#This Row],[Data ultimo pagamento]],Table2[[#This Row],[Data prossima scadenza manuale]]),"-")</f>
        <v>42541</v>
      </c>
      <c r="H959" s="67" t="s">
        <v>31</v>
      </c>
      <c r="I959" s="67" t="s">
        <v>1539</v>
      </c>
      <c r="J959" s="33">
        <f>IFERROR(Table2[[#This Row],[Importo annuale]]/(12/VLOOKUP(Table2[[#This Row],[Rateizzazione]],TIPI_RATEIZZAZIONI,2,FALSE)),"-")</f>
        <v>299</v>
      </c>
      <c r="K959" s="88"/>
      <c r="L959" s="88">
        <v>598</v>
      </c>
      <c r="M959" s="67" t="s">
        <v>43</v>
      </c>
      <c r="N959" s="67" t="s">
        <v>51</v>
      </c>
      <c r="O959" s="27" t="s">
        <v>1631</v>
      </c>
      <c r="P959" s="33" t="s">
        <v>22</v>
      </c>
      <c r="Q959" s="60">
        <f>IFERROR(IF(12 / VLOOKUP(Table2[[#This Row],[Rateizzazione]],TIPI_RATEIZZAZIONI,2,FALSE) &gt;=1,  IF(Table2[[#This Row],[Data attivazione]] = "","-",MONTH(Table2[[#This Row],[Data attivazione]])),"-"),"-")</f>
        <v>6</v>
      </c>
      <c r="R9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9" s="67" t="s">
        <v>2</v>
      </c>
      <c r="V959" s="62"/>
      <c r="W959" s="64">
        <v>42175</v>
      </c>
      <c r="X959" s="29">
        <f>DATE(YEAR(Table2[[#This Row],[Data attivazione]])+VLOOKUP(Table2[[#This Row],[Durata]],VALORE_DURATA,2,FALSE),MONTH(Table2[[#This Row],[Data attivazione]]),DAY(Table2[[#This Row],[Data attivazione]]))</f>
        <v>42541</v>
      </c>
      <c r="Y959" s="65"/>
      <c r="Z959" s="61"/>
      <c r="AA959" s="64" t="s">
        <v>88</v>
      </c>
      <c r="AB959" s="29" t="str">
        <f>IF(Table2[[#This Row],[Data ultimo versamento temp]]=0/1/1900,"-",Table2[[#This Row],[Data ultimo versamento temp]])</f>
        <v>-</v>
      </c>
      <c r="AC959" s="29">
        <f t="array" ref="AC959">MAX(IF(TableVersamenti[Polizza]=Table2[[#This Row],[Polizza]],TableVersamenti[Data prevista versamento],"-"))</f>
        <v>0</v>
      </c>
      <c r="AD959" s="62"/>
      <c r="AE959" s="106">
        <f>DATE(YEAR(Table2[[#This Row],[Data ultimo pagamento]]),MONTH(Table2[[#This Row],[Data ultimo pagamento]]), 1)</f>
        <v>42339</v>
      </c>
      <c r="AF959" s="106">
        <f>DATE(YEAR(Table2[[#This Row],[Data prossima scadenza]]),MONTH(Table2[[#This Row],[Data prossima scadenza]]), 1)</f>
        <v>42522</v>
      </c>
      <c r="AG959" s="33">
        <f>IFERROR(Table2[[#This Row],[Importo annuale]]*VLOOKUP(Table2[[#This Row],[Ramo]],RAMI_POLIZZA,2,FALSE),0)</f>
        <v>31.096</v>
      </c>
      <c r="AH959" s="65" t="s">
        <v>113</v>
      </c>
      <c r="AI959" s="63">
        <f>IFERROR(VLOOKUP(Table2[[#This Row],[Contraente]],Table1[[Nome/Ragione sociale]:[Checkbox selezionato]],2,FALSE),"-")</f>
        <v>0</v>
      </c>
      <c r="AJ959" s="63">
        <f>IFERROR(VLOOKUP(Table2[[#This Row],[Contraente]],Table1[[Nome/Ragione sociale]:[Checkbox selezionato]],3,FALSE),"-")</f>
        <v>0</v>
      </c>
      <c r="AK959" s="63">
        <f>IFERROR(VLOOKUP(Table2[[#This Row],[Contraente]],Table1[[Nome/Ragione sociale]:[Checkbox selezionato]],4,FALSE),"-")</f>
        <v>0</v>
      </c>
      <c r="AL959" s="63">
        <f>IFERROR(VLOOKUP(Table2[[#This Row],[Contraente]],Table1[[Nome/Ragione sociale]:[Checkbox selezionato]],5,FALSE),"-")</f>
        <v>0</v>
      </c>
      <c r="AM959" s="62">
        <f>IFERROR(VLOOKUP(Table2[[#This Row],[Contraente]],Table1[[Nome/Ragione sociale]:[Checkbox selezionato]],6,FALSE),"-")</f>
        <v>0</v>
      </c>
      <c r="AN959" s="63" t="str">
        <f>IFERROR(VLOOKUP(Table2[[#This Row],[Contraente]],Table1[[Nome/Ragione sociale]:[Checkbox selezionato]],7,FALSE),"-")</f>
        <v>papies@email.it</v>
      </c>
      <c r="AO959" s="63">
        <f>IFERROR(VLOOKUP(Table2[[#This Row],[Contraente]],Table1[[Nome/Ragione sociale]:[Checkbox selezionato]],8,FALSE),"-")</f>
        <v>0</v>
      </c>
      <c r="AP959" s="63">
        <f>IFERROR(VLOOKUP(Table2[[#This Row],[Contraente]],Table1[[Nome/Ragione sociale]:[Checkbox selezionato]],10,FALSE),"-")</f>
        <v>0</v>
      </c>
      <c r="AQ959" s="63" t="str">
        <f>IFERROR(VLOOKUP(Table2[[#This Row],[Contraente]],Table1[[Nome/Ragione sociale]:[Checkbox selezionato]],11,FALSE),"-")</f>
        <v>SI</v>
      </c>
      <c r="AR959" s="63" t="str">
        <f>IFERROR(VLOOKUP(Table2[[#This Row],[Contraente]],Table1[[Nome/Ragione sociale]:[Checkbox selezionato]],12,FALSE),"-")</f>
        <v>SI</v>
      </c>
    </row>
    <row r="960" spans="1:44" ht="30" hidden="1" customHeight="1" x14ac:dyDescent="0.25">
      <c r="A960" s="60" t="str">
        <f>UPPER(LEFT(Table2[[#This Row],[Contraente]],1))</f>
        <v>R</v>
      </c>
      <c r="B960" s="60" t="s">
        <v>1634</v>
      </c>
      <c r="C960" s="81" t="s">
        <v>963</v>
      </c>
      <c r="D960" s="81" t="s">
        <v>37</v>
      </c>
      <c r="E960" s="86">
        <v>104740040</v>
      </c>
      <c r="F960" s="64">
        <v>42587</v>
      </c>
      <c r="G960" s="64">
        <f>IFERROR(CALCOLASCADENZA(Table2[[#This Row],[Data attivazione]],Table2[[#This Row],[Rateizzazione]],Table2[[#This Row],[Data ultimo pagamento]],Table2[[#This Row],[Data prossima scadenza manuale]]),"-")</f>
        <v>42954</v>
      </c>
      <c r="H960" s="67" t="s">
        <v>30</v>
      </c>
      <c r="I960" s="67" t="s">
        <v>113</v>
      </c>
      <c r="J960" s="33">
        <f>IFERROR(Table2[[#This Row],[Importo annuale]]/(12/VLOOKUP(Table2[[#This Row],[Rateizzazione]],TIPI_RATEIZZAZIONI,2,FALSE)),"-")</f>
        <v>190</v>
      </c>
      <c r="K960" s="88"/>
      <c r="L960" s="88">
        <v>190</v>
      </c>
      <c r="M960" s="67" t="s">
        <v>43</v>
      </c>
      <c r="N960" s="67" t="s">
        <v>51</v>
      </c>
      <c r="O960" s="27" t="s">
        <v>1631</v>
      </c>
      <c r="P960" s="33" t="s">
        <v>23</v>
      </c>
      <c r="Q960" s="60">
        <f>IFERROR(IF(12 / VLOOKUP(Table2[[#This Row],[Rateizzazione]],TIPI_RATEIZZAZIONI,2,FALSE) &gt;=1,  IF(Table2[[#This Row],[Data attivazione]] = "","-",MONTH(Table2[[#This Row],[Data attivazione]])),"-"),"-")</f>
        <v>8</v>
      </c>
      <c r="R9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0" s="67" t="s">
        <v>2</v>
      </c>
      <c r="V960" s="62"/>
      <c r="W960" s="64">
        <v>42589</v>
      </c>
      <c r="X960" s="29">
        <f>DATE(YEAR(Table2[[#This Row],[Data attivazione]])+VLOOKUP(Table2[[#This Row],[Durata]],VALORE_DURATA,2,FALSE),MONTH(Table2[[#This Row],[Data attivazione]]),DAY(Table2[[#This Row],[Data attivazione]]))</f>
        <v>42954</v>
      </c>
      <c r="Y960" s="65"/>
      <c r="Z960" s="61"/>
      <c r="AA960" s="64" t="s">
        <v>85</v>
      </c>
      <c r="AB960" s="29" t="str">
        <f>IF(Table2[[#This Row],[Data ultimo versamento temp]]=0/1/1900,"-",Table2[[#This Row],[Data ultimo versamento temp]])</f>
        <v>-</v>
      </c>
      <c r="AC960" s="29">
        <f t="array" ref="AC960">MAX(IF(TableVersamenti[Polizza]=Table2[[#This Row],[Polizza]],TableVersamenti[Data prevista versamento],"-"))</f>
        <v>0</v>
      </c>
      <c r="AD960" s="62"/>
      <c r="AE960" s="106">
        <f>DATE(YEAR(Table2[[#This Row],[Data ultimo pagamento]]),MONTH(Table2[[#This Row],[Data ultimo pagamento]]), 1)</f>
        <v>42583</v>
      </c>
      <c r="AF960" s="106">
        <f>DATE(YEAR(Table2[[#This Row],[Data prossima scadenza]]),MONTH(Table2[[#This Row],[Data prossima scadenza]]), 1)</f>
        <v>42948</v>
      </c>
      <c r="AG960" s="33">
        <f>IFERROR(Table2[[#This Row],[Importo annuale]]*VLOOKUP(Table2[[#This Row],[Ramo]],RAMI_POLIZZA,2,FALSE),0)</f>
        <v>21.85</v>
      </c>
      <c r="AH960" s="65" t="s">
        <v>113</v>
      </c>
      <c r="AI960" s="63" t="str">
        <f>IFERROR(VLOOKUP(Table2[[#This Row],[Contraente]],Table1[[Nome/Ragione sociale]:[Checkbox selezionato]],2,FALSE),"-")</f>
        <v>BELGIOIOSO</v>
      </c>
      <c r="AJ960" s="63">
        <f>IFERROR(VLOOKUP(Table2[[#This Row],[Contraente]],Table1[[Nome/Ragione sociale]:[Checkbox selezionato]],3,FALSE),"-")</f>
        <v>3400801892</v>
      </c>
      <c r="AK960" s="63">
        <f>IFERROR(VLOOKUP(Table2[[#This Row],[Contraente]],Table1[[Nome/Ragione sociale]:[Checkbox selezionato]],4,FALSE),"-")</f>
        <v>0</v>
      </c>
      <c r="AL960" s="63" t="str">
        <f>IFERROR(VLOOKUP(Table2[[#This Row],[Contraente]],Table1[[Nome/Ragione sociale]:[Checkbox selezionato]],5,FALSE),"-")</f>
        <v>FAUSTO</v>
      </c>
      <c r="AM960" s="62">
        <f>IFERROR(VLOOKUP(Table2[[#This Row],[Contraente]],Table1[[Nome/Ragione sociale]:[Checkbox selezionato]],6,FALSE),"-")</f>
        <v>0</v>
      </c>
      <c r="AN960" s="63" t="str">
        <f>IFERROR(VLOOKUP(Table2[[#This Row],[Contraente]],Table1[[Nome/Ragione sociale]:[Checkbox selezionato]],7,FALSE),"-")</f>
        <v>papies@libero.it</v>
      </c>
      <c r="AO960" s="63">
        <f>IFERROR(VLOOKUP(Table2[[#This Row],[Contraente]],Table1[[Nome/Ragione sociale]:[Checkbox selezionato]],8,FALSE),"-")</f>
        <v>0</v>
      </c>
      <c r="AP960" s="63">
        <f>IFERROR(VLOOKUP(Table2[[#This Row],[Contraente]],Table1[[Nome/Ragione sociale]:[Checkbox selezionato]],10,FALSE),"-")</f>
        <v>3400801892</v>
      </c>
      <c r="AQ960" s="63" t="str">
        <f>IFERROR(VLOOKUP(Table2[[#This Row],[Contraente]],Table1[[Nome/Ragione sociale]:[Checkbox selezionato]],11,FALSE),"-")</f>
        <v>SI</v>
      </c>
      <c r="AR960" s="63" t="str">
        <f>IFERROR(VLOOKUP(Table2[[#This Row],[Contraente]],Table1[[Nome/Ragione sociale]:[Checkbox selezionato]],12,FALSE),"-")</f>
        <v>SI</v>
      </c>
    </row>
    <row r="961" spans="1:44" ht="30" hidden="1" customHeight="1" x14ac:dyDescent="0.25">
      <c r="A961" s="60" t="str">
        <f>UPPER(LEFT(Table2[[#This Row],[Contraente]],1))</f>
        <v>R</v>
      </c>
      <c r="B961" s="60" t="s">
        <v>1634</v>
      </c>
      <c r="C961" s="81" t="s">
        <v>963</v>
      </c>
      <c r="D961" s="81" t="s">
        <v>37</v>
      </c>
      <c r="E961" s="86">
        <v>106750811</v>
      </c>
      <c r="F961" s="64">
        <v>42839</v>
      </c>
      <c r="G961" s="64">
        <f>IFERROR(CALCOLASCADENZA(Table2[[#This Row],[Data attivazione]],Table2[[#This Row],[Rateizzazione]],Table2[[#This Row],[Data ultimo pagamento]],Table2[[#This Row],[Data prossima scadenza manuale]]),"-")</f>
        <v>43204</v>
      </c>
      <c r="H961" s="67" t="s">
        <v>31</v>
      </c>
      <c r="I961" s="67" t="s">
        <v>1698</v>
      </c>
      <c r="J961" s="33">
        <f>IFERROR(Table2[[#This Row],[Importo annuale]]/(12/VLOOKUP(Table2[[#This Row],[Rateizzazione]],TIPI_RATEIZZAZIONI,2,FALSE)),"-")</f>
        <v>370</v>
      </c>
      <c r="K961" s="88">
        <v>370</v>
      </c>
      <c r="L961" s="88">
        <v>370</v>
      </c>
      <c r="M961" s="67" t="s">
        <v>43</v>
      </c>
      <c r="N961" s="67" t="s">
        <v>52</v>
      </c>
      <c r="O961" s="27" t="s">
        <v>1631</v>
      </c>
      <c r="P961" s="33" t="s">
        <v>23</v>
      </c>
      <c r="Q961" s="60">
        <f>IFERROR(IF(12 / VLOOKUP(Table2[[#This Row],[Rateizzazione]],TIPI_RATEIZZAZIONI,2,FALSE) &gt;=1,  IF(Table2[[#This Row],[Data attivazione]] = "","-",MONTH(Table2[[#This Row],[Data attivazione]])),"-"),"-")</f>
        <v>4</v>
      </c>
      <c r="R9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1" s="67" t="s">
        <v>2</v>
      </c>
      <c r="V961" s="62"/>
      <c r="W961" s="64">
        <v>42839</v>
      </c>
      <c r="X961" s="29">
        <f>DATE(YEAR(Table2[[#This Row],[Data attivazione]])+VLOOKUP(Table2[[#This Row],[Durata]],VALORE_DURATA,2,FALSE),MONTH(Table2[[#This Row],[Data attivazione]]),DAY(Table2[[#This Row],[Data attivazione]]))</f>
        <v>43204</v>
      </c>
      <c r="Y961" s="65"/>
      <c r="Z961" s="61"/>
      <c r="AA961" s="64" t="s">
        <v>85</v>
      </c>
      <c r="AB961" s="29" t="str">
        <f>IF(Table2[[#This Row],[Data ultimo versamento temp]]=0/1/1900,"-",Table2[[#This Row],[Data ultimo versamento temp]])</f>
        <v>-</v>
      </c>
      <c r="AC961" s="29">
        <f t="array" ref="AC961">MAX(IF(TableVersamenti[Polizza]=Table2[[#This Row],[Polizza]],TableVersamenti[Data prevista versamento],"-"))</f>
        <v>0</v>
      </c>
      <c r="AD961" s="62"/>
      <c r="AE961" s="106">
        <f>DATE(YEAR(Table2[[#This Row],[Data ultimo pagamento]]),MONTH(Table2[[#This Row],[Data ultimo pagamento]]), 1)</f>
        <v>42826</v>
      </c>
      <c r="AF961" s="106">
        <f>DATE(YEAR(Table2[[#This Row],[Data prossima scadenza]]),MONTH(Table2[[#This Row],[Data prossima scadenza]]), 1)</f>
        <v>43191</v>
      </c>
      <c r="AG961" s="33">
        <f>IFERROR(Table2[[#This Row],[Importo annuale]]*VLOOKUP(Table2[[#This Row],[Ramo]],RAMI_POLIZZA,2,FALSE),0)</f>
        <v>19.239999999999998</v>
      </c>
      <c r="AH961" s="65" t="s">
        <v>113</v>
      </c>
      <c r="AI961" s="63" t="str">
        <f>IFERROR(VLOOKUP(Table2[[#This Row],[Contraente]],Table1[[Nome/Ragione sociale]:[Checkbox selezionato]],2,FALSE),"-")</f>
        <v>BELGIOIOSO</v>
      </c>
      <c r="AJ961" s="63">
        <f>IFERROR(VLOOKUP(Table2[[#This Row],[Contraente]],Table1[[Nome/Ragione sociale]:[Checkbox selezionato]],3,FALSE),"-")</f>
        <v>3400801892</v>
      </c>
      <c r="AK961" s="63">
        <f>IFERROR(VLOOKUP(Table2[[#This Row],[Contraente]],Table1[[Nome/Ragione sociale]:[Checkbox selezionato]],4,FALSE),"-")</f>
        <v>0</v>
      </c>
      <c r="AL961" s="63" t="str">
        <f>IFERROR(VLOOKUP(Table2[[#This Row],[Contraente]],Table1[[Nome/Ragione sociale]:[Checkbox selezionato]],5,FALSE),"-")</f>
        <v>FAUSTO</v>
      </c>
      <c r="AM961" s="62">
        <f>IFERROR(VLOOKUP(Table2[[#This Row],[Contraente]],Table1[[Nome/Ragione sociale]:[Checkbox selezionato]],6,FALSE),"-")</f>
        <v>0</v>
      </c>
      <c r="AN961" s="63" t="str">
        <f>IFERROR(VLOOKUP(Table2[[#This Row],[Contraente]],Table1[[Nome/Ragione sociale]:[Checkbox selezionato]],7,FALSE),"-")</f>
        <v>papies@libero.it</v>
      </c>
      <c r="AO961" s="63">
        <f>IFERROR(VLOOKUP(Table2[[#This Row],[Contraente]],Table1[[Nome/Ragione sociale]:[Checkbox selezionato]],8,FALSE),"-")</f>
        <v>0</v>
      </c>
      <c r="AP961" s="63">
        <f>IFERROR(VLOOKUP(Table2[[#This Row],[Contraente]],Table1[[Nome/Ragione sociale]:[Checkbox selezionato]],10,FALSE),"-")</f>
        <v>3400801892</v>
      </c>
      <c r="AQ961" s="63" t="str">
        <f>IFERROR(VLOOKUP(Table2[[#This Row],[Contraente]],Table1[[Nome/Ragione sociale]:[Checkbox selezionato]],11,FALSE),"-")</f>
        <v>SI</v>
      </c>
      <c r="AR961" s="63" t="str">
        <f>IFERROR(VLOOKUP(Table2[[#This Row],[Contraente]],Table1[[Nome/Ragione sociale]:[Checkbox selezionato]],12,FALSE),"-")</f>
        <v>SI</v>
      </c>
    </row>
    <row r="962" spans="1:44" ht="30" hidden="1" customHeight="1" x14ac:dyDescent="0.25">
      <c r="A962" s="60" t="str">
        <f>UPPER(LEFT(Table2[[#This Row],[Contraente]],1))</f>
        <v>R</v>
      </c>
      <c r="B962" s="60" t="s">
        <v>1634</v>
      </c>
      <c r="C962" s="81" t="s">
        <v>968</v>
      </c>
      <c r="D962" s="81" t="s">
        <v>37</v>
      </c>
      <c r="E962" s="86">
        <v>103237227</v>
      </c>
      <c r="F962" s="64">
        <v>41810</v>
      </c>
      <c r="G962" s="64">
        <f>IFERROR(CALCOLASCADENZA(Table2[[#This Row],[Data attivazione]],Table2[[#This Row],[Rateizzazione]],Table2[[#This Row],[Data ultimo pagamento]],Table2[[#This Row],[Data prossima scadenza manuale]]),"-")</f>
        <v>693962</v>
      </c>
      <c r="H962" s="67" t="s">
        <v>31</v>
      </c>
      <c r="I962" s="67"/>
      <c r="J962" s="33">
        <f>IFERROR(Table2[[#This Row],[Importo annuale]]/(12/VLOOKUP(Table2[[#This Row],[Rateizzazione]],TIPI_RATEIZZAZIONI,2,FALSE)),"-")</f>
        <v>140.01</v>
      </c>
      <c r="K962" s="88"/>
      <c r="L962" s="88">
        <v>140.01</v>
      </c>
      <c r="M962" s="67" t="s">
        <v>43</v>
      </c>
      <c r="N962" s="67" t="s">
        <v>52</v>
      </c>
      <c r="O962" s="27" t="s">
        <v>1631</v>
      </c>
      <c r="P962" s="33" t="s">
        <v>23</v>
      </c>
      <c r="Q962" s="60">
        <f>IFERROR(IF(12 / VLOOKUP(Table2[[#This Row],[Rateizzazione]],TIPI_RATEIZZAZIONI,2,FALSE) &gt;=1,  IF(Table2[[#This Row],[Data attivazione]] = "","-",MONTH(Table2[[#This Row],[Data attivazione]])),"-"),"-")</f>
        <v>12</v>
      </c>
      <c r="R9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2" s="67" t="s">
        <v>2</v>
      </c>
      <c r="V962" s="62"/>
      <c r="W962" s="64">
        <v>693597</v>
      </c>
      <c r="X962" s="29">
        <f>DATE(YEAR(Table2[[#This Row],[Data attivazione]])+VLOOKUP(Table2[[#This Row],[Durata]],VALORE_DURATA,2,FALSE),MONTH(Table2[[#This Row],[Data attivazione]]),DAY(Table2[[#This Row],[Data attivazione]]))</f>
        <v>693962</v>
      </c>
      <c r="Y962" s="65"/>
      <c r="Z962" s="61"/>
      <c r="AA962" s="64" t="s">
        <v>88</v>
      </c>
      <c r="AB962" s="29" t="str">
        <f>IF(Table2[[#This Row],[Data ultimo versamento temp]]=0/1/1900,"-",Table2[[#This Row],[Data ultimo versamento temp]])</f>
        <v>-</v>
      </c>
      <c r="AC962" s="29">
        <f t="array" ref="AC962">MAX(IF(TableVersamenti[Polizza]=Table2[[#This Row],[Polizza]],TableVersamenti[Data prevista versamento],"-"))</f>
        <v>0</v>
      </c>
      <c r="AD962" s="62"/>
      <c r="AE962" s="106">
        <f>DATE(YEAR(Table2[[#This Row],[Data ultimo pagamento]]),MONTH(Table2[[#This Row],[Data ultimo pagamento]]), 1)</f>
        <v>41791</v>
      </c>
      <c r="AF962" s="106">
        <f>DATE(YEAR(Table2[[#This Row],[Data prossima scadenza]]),MONTH(Table2[[#This Row],[Data prossima scadenza]]), 1)</f>
        <v>693932</v>
      </c>
      <c r="AG962" s="33">
        <f>IFERROR(Table2[[#This Row],[Importo annuale]]*VLOOKUP(Table2[[#This Row],[Ramo]],RAMI_POLIZZA,2,FALSE),0)</f>
        <v>7.2805199999999992</v>
      </c>
      <c r="AH962" s="65" t="s">
        <v>113</v>
      </c>
      <c r="AI962" s="63">
        <f>IFERROR(VLOOKUP(Table2[[#This Row],[Contraente]],Table1[[Nome/Ragione sociale]:[Checkbox selezionato]],2,FALSE),"-")</f>
        <v>0</v>
      </c>
      <c r="AJ962" s="63">
        <f>IFERROR(VLOOKUP(Table2[[#This Row],[Contraente]],Table1[[Nome/Ragione sociale]:[Checkbox selezionato]],3,FALSE),"-")</f>
        <v>0</v>
      </c>
      <c r="AK962" s="63">
        <f>IFERROR(VLOOKUP(Table2[[#This Row],[Contraente]],Table1[[Nome/Ragione sociale]:[Checkbox selezionato]],4,FALSE),"-")</f>
        <v>0</v>
      </c>
      <c r="AL962" s="63">
        <f>IFERROR(VLOOKUP(Table2[[#This Row],[Contraente]],Table1[[Nome/Ragione sociale]:[Checkbox selezionato]],5,FALSE),"-")</f>
        <v>0</v>
      </c>
      <c r="AM962" s="62">
        <f>IFERROR(VLOOKUP(Table2[[#This Row],[Contraente]],Table1[[Nome/Ragione sociale]:[Checkbox selezionato]],6,FALSE),"-")</f>
        <v>0</v>
      </c>
      <c r="AN962" s="63" t="str">
        <f>IFERROR(VLOOKUP(Table2[[#This Row],[Contraente]],Table1[[Nome/Ragione sociale]:[Checkbox selezionato]],7,FALSE),"-")</f>
        <v>papies@libero.it</v>
      </c>
      <c r="AO962" s="63">
        <f>IFERROR(VLOOKUP(Table2[[#This Row],[Contraente]],Table1[[Nome/Ragione sociale]:[Checkbox selezionato]],8,FALSE),"-")</f>
        <v>0</v>
      </c>
      <c r="AP962" s="63">
        <f>IFERROR(VLOOKUP(Table2[[#This Row],[Contraente]],Table1[[Nome/Ragione sociale]:[Checkbox selezionato]],10,FALSE),"-")</f>
        <v>0</v>
      </c>
      <c r="AQ962" s="63" t="str">
        <f>IFERROR(VLOOKUP(Table2[[#This Row],[Contraente]],Table1[[Nome/Ragione sociale]:[Checkbox selezionato]],11,FALSE),"-")</f>
        <v>SI</v>
      </c>
      <c r="AR962" s="63" t="str">
        <f>IFERROR(VLOOKUP(Table2[[#This Row],[Contraente]],Table1[[Nome/Ragione sociale]:[Checkbox selezionato]],12,FALSE),"-")</f>
        <v>SI</v>
      </c>
    </row>
    <row r="963" spans="1:44" ht="30" hidden="1" customHeight="1" x14ac:dyDescent="0.25">
      <c r="A963" s="60" t="str">
        <f>UPPER(LEFT(Table2[[#This Row],[Contraente]],1))</f>
        <v>R</v>
      </c>
      <c r="B963" s="60" t="s">
        <v>1634</v>
      </c>
      <c r="C963" s="81" t="s">
        <v>969</v>
      </c>
      <c r="D963" s="81" t="s">
        <v>37</v>
      </c>
      <c r="E963" s="86">
        <v>1006444</v>
      </c>
      <c r="F963" s="64">
        <v>42580</v>
      </c>
      <c r="G963" s="64">
        <f>IFERROR(CALCOLASCADENZA(Table2[[#This Row],[Data attivazione]],Table2[[#This Row],[Rateizzazione]],Table2[[#This Row],[Data ultimo pagamento]],Table2[[#This Row],[Data prossima scadenza manuale]]),"-")</f>
        <v>42947</v>
      </c>
      <c r="H963" s="67" t="s">
        <v>32</v>
      </c>
      <c r="I963" s="67" t="s">
        <v>113</v>
      </c>
      <c r="J963" s="33">
        <f>IFERROR(Table2[[#This Row],[Importo annuale]]/(12/VLOOKUP(Table2[[#This Row],[Rateizzazione]],TIPI_RATEIZZAZIONI,2,FALSE)),"-")</f>
        <v>78.75</v>
      </c>
      <c r="K963" s="88"/>
      <c r="L963" s="88">
        <v>78.75</v>
      </c>
      <c r="M963" s="67" t="s">
        <v>44</v>
      </c>
      <c r="N963" s="67" t="s">
        <v>51</v>
      </c>
      <c r="O963" s="27" t="s">
        <v>1632</v>
      </c>
      <c r="P963" s="33" t="s">
        <v>23</v>
      </c>
      <c r="Q963" s="60">
        <f>IFERROR(IF(12 / VLOOKUP(Table2[[#This Row],[Rateizzazione]],TIPI_RATEIZZAZIONI,2,FALSE) &gt;=1,  IF(Table2[[#This Row],[Data attivazione]] = "","-",MONTH(Table2[[#This Row],[Data attivazione]])),"-"),"-")</f>
        <v>7</v>
      </c>
      <c r="R9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3" s="67" t="s">
        <v>2</v>
      </c>
      <c r="V963" s="62"/>
      <c r="W963" s="64">
        <v>39294</v>
      </c>
      <c r="X963" s="29">
        <f>DATE(YEAR(Table2[[#This Row],[Data attivazione]])+VLOOKUP(Table2[[#This Row],[Durata]],VALORE_DURATA,2,FALSE),MONTH(Table2[[#This Row],[Data attivazione]]),DAY(Table2[[#This Row],[Data attivazione]]))</f>
        <v>42947</v>
      </c>
      <c r="Y963" s="65"/>
      <c r="Z963" s="61"/>
      <c r="AA963" s="64" t="s">
        <v>85</v>
      </c>
      <c r="AB963" s="29" t="str">
        <f>IF(Table2[[#This Row],[Data ultimo versamento temp]]=0/1/1900,"-",Table2[[#This Row],[Data ultimo versamento temp]])</f>
        <v>-</v>
      </c>
      <c r="AC963" s="29">
        <f t="array" ref="AC963">MAX(IF(TableVersamenti[Polizza]=Table2[[#This Row],[Polizza]],TableVersamenti[Data prevista versamento],"-"))</f>
        <v>0</v>
      </c>
      <c r="AD963" s="62"/>
      <c r="AE963" s="106">
        <f>DATE(YEAR(Table2[[#This Row],[Data ultimo pagamento]]),MONTH(Table2[[#This Row],[Data ultimo pagamento]]), 1)</f>
        <v>42552</v>
      </c>
      <c r="AF963" s="106">
        <f>DATE(YEAR(Table2[[#This Row],[Data prossima scadenza]]),MONTH(Table2[[#This Row],[Data prossima scadenza]]), 1)</f>
        <v>42917</v>
      </c>
      <c r="AG963" s="33">
        <f>IFERROR(Table2[[#This Row],[Importo annuale]]*VLOOKUP(Table2[[#This Row],[Ramo]],RAMI_POLIZZA,2,FALSE),0)</f>
        <v>1.1812499999999999</v>
      </c>
      <c r="AH963" s="65" t="s">
        <v>113</v>
      </c>
      <c r="AI963" s="63">
        <f>IFERROR(VLOOKUP(Table2[[#This Row],[Contraente]],Table1[[Nome/Ragione sociale]:[Checkbox selezionato]],2,FALSE),"-")</f>
        <v>0</v>
      </c>
      <c r="AJ963" s="63">
        <f>IFERROR(VLOOKUP(Table2[[#This Row],[Contraente]],Table1[[Nome/Ragione sociale]:[Checkbox selezionato]],3,FALSE),"-")</f>
        <v>0</v>
      </c>
      <c r="AK963" s="63">
        <f>IFERROR(VLOOKUP(Table2[[#This Row],[Contraente]],Table1[[Nome/Ragione sociale]:[Checkbox selezionato]],4,FALSE),"-")</f>
        <v>0</v>
      </c>
      <c r="AL963" s="63">
        <f>IFERROR(VLOOKUP(Table2[[#This Row],[Contraente]],Table1[[Nome/Ragione sociale]:[Checkbox selezionato]],5,FALSE),"-")</f>
        <v>0</v>
      </c>
      <c r="AM963" s="62">
        <f>IFERROR(VLOOKUP(Table2[[#This Row],[Contraente]],Table1[[Nome/Ragione sociale]:[Checkbox selezionato]],6,FALSE),"-")</f>
        <v>0</v>
      </c>
      <c r="AN963" s="63" t="str">
        <f>IFERROR(VLOOKUP(Table2[[#This Row],[Contraente]],Table1[[Nome/Ragione sociale]:[Checkbox selezionato]],7,FALSE),"-")</f>
        <v>papies@email.it</v>
      </c>
      <c r="AO963" s="63">
        <f>IFERROR(VLOOKUP(Table2[[#This Row],[Contraente]],Table1[[Nome/Ragione sociale]:[Checkbox selezionato]],8,FALSE),"-")</f>
        <v>0</v>
      </c>
      <c r="AP963" s="63">
        <f>IFERROR(VLOOKUP(Table2[[#This Row],[Contraente]],Table1[[Nome/Ragione sociale]:[Checkbox selezionato]],10,FALSE),"-")</f>
        <v>0</v>
      </c>
      <c r="AQ963" s="63" t="str">
        <f>IFERROR(VLOOKUP(Table2[[#This Row],[Contraente]],Table1[[Nome/Ragione sociale]:[Checkbox selezionato]],11,FALSE),"-")</f>
        <v>SI</v>
      </c>
      <c r="AR963" s="63" t="str">
        <f>IFERROR(VLOOKUP(Table2[[#This Row],[Contraente]],Table1[[Nome/Ragione sociale]:[Checkbox selezionato]],12,FALSE),"-")</f>
        <v>SI</v>
      </c>
    </row>
    <row r="964" spans="1:44" ht="30" hidden="1" customHeight="1" x14ac:dyDescent="0.25">
      <c r="A964" s="60" t="str">
        <f>UPPER(LEFT(Table2[[#This Row],[Contraente]],1))</f>
        <v>R</v>
      </c>
      <c r="B964" s="60" t="s">
        <v>1634</v>
      </c>
      <c r="C964" s="81" t="s">
        <v>970</v>
      </c>
      <c r="D964" s="81" t="s">
        <v>37</v>
      </c>
      <c r="E964" s="86">
        <v>105323992</v>
      </c>
      <c r="F964" s="64">
        <v>42793</v>
      </c>
      <c r="G964" s="64">
        <f>IFERROR(CALCOLASCADENZA(Table2[[#This Row],[Data attivazione]],Table2[[#This Row],[Rateizzazione]],Table2[[#This Row],[Data ultimo pagamento]],Table2[[#This Row],[Data prossima scadenza manuale]]),"-")</f>
        <v>42960</v>
      </c>
      <c r="H964" s="67" t="s">
        <v>30</v>
      </c>
      <c r="I964" s="67" t="s">
        <v>113</v>
      </c>
      <c r="J964" s="33">
        <f>IFERROR(Table2[[#This Row],[Importo annuale]]/(12/VLOOKUP(Table2[[#This Row],[Rateizzazione]],TIPI_RATEIZZAZIONI,2,FALSE)),"-")</f>
        <v>113</v>
      </c>
      <c r="K964" s="88">
        <v>113</v>
      </c>
      <c r="L964" s="88">
        <v>226</v>
      </c>
      <c r="M964" s="67" t="s">
        <v>44</v>
      </c>
      <c r="N964" s="67" t="s">
        <v>51</v>
      </c>
      <c r="O964" s="27" t="s">
        <v>1631</v>
      </c>
      <c r="P964" s="33" t="s">
        <v>22</v>
      </c>
      <c r="Q964" s="60">
        <f>IFERROR(IF(12 / VLOOKUP(Table2[[#This Row],[Rateizzazione]],TIPI_RATEIZZAZIONI,2,FALSE) &gt;=1,  IF(Table2[[#This Row],[Data attivazione]] = "","-",MONTH(Table2[[#This Row],[Data attivazione]])),"-"),"-")</f>
        <v>8</v>
      </c>
      <c r="R9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4" s="67" t="s">
        <v>2</v>
      </c>
      <c r="V964" s="62"/>
      <c r="W964" s="64">
        <v>42595</v>
      </c>
      <c r="X964" s="29">
        <f>DATE(YEAR(Table2[[#This Row],[Data attivazione]])+VLOOKUP(Table2[[#This Row],[Durata]],VALORE_DURATA,2,FALSE),MONTH(Table2[[#This Row],[Data attivazione]]),DAY(Table2[[#This Row],[Data attivazione]]))</f>
        <v>42960</v>
      </c>
      <c r="Y964" s="65"/>
      <c r="Z964" s="61"/>
      <c r="AA964" s="64" t="s">
        <v>85</v>
      </c>
      <c r="AB964" s="29" t="str">
        <f>IF(Table2[[#This Row],[Data ultimo versamento temp]]=0/1/1900,"-",Table2[[#This Row],[Data ultimo versamento temp]])</f>
        <v>-</v>
      </c>
      <c r="AC964" s="29">
        <f t="array" ref="AC964">MAX(IF(TableVersamenti[Polizza]=Table2[[#This Row],[Polizza]],TableVersamenti[Data prevista versamento],"-"))</f>
        <v>0</v>
      </c>
      <c r="AD964" s="62"/>
      <c r="AE964" s="106">
        <f>DATE(YEAR(Table2[[#This Row],[Data ultimo pagamento]]),MONTH(Table2[[#This Row],[Data ultimo pagamento]]), 1)</f>
        <v>42767</v>
      </c>
      <c r="AF964" s="106">
        <f>DATE(YEAR(Table2[[#This Row],[Data prossima scadenza]]),MONTH(Table2[[#This Row],[Data prossima scadenza]]), 1)</f>
        <v>42948</v>
      </c>
      <c r="AG964" s="33">
        <f>IFERROR(Table2[[#This Row],[Importo annuale]]*VLOOKUP(Table2[[#This Row],[Ramo]],RAMI_POLIZZA,2,FALSE),0)</f>
        <v>25.990000000000002</v>
      </c>
      <c r="AH964" s="65" t="s">
        <v>113</v>
      </c>
      <c r="AI964" s="63" t="str">
        <f>IFERROR(VLOOKUP(Table2[[#This Row],[Contraente]],Table1[[Nome/Ragione sociale]:[Checkbox selezionato]],2,FALSE),"-")</f>
        <v>ARENA PO</v>
      </c>
      <c r="AJ964" s="63">
        <f>IFERROR(VLOOKUP(Table2[[#This Row],[Contraente]],Table1[[Nome/Ragione sociale]:[Checkbox selezionato]],3,FALSE),"-")</f>
        <v>0</v>
      </c>
      <c r="AK964" s="63">
        <f>IFERROR(VLOOKUP(Table2[[#This Row],[Contraente]],Table1[[Nome/Ragione sociale]:[Checkbox selezionato]],4,FALSE),"-")</f>
        <v>0</v>
      </c>
      <c r="AL964" s="63" t="str">
        <f>IFERROR(VLOOKUP(Table2[[#This Row],[Contraente]],Table1[[Nome/Ragione sociale]:[Checkbox selezionato]],5,FALSE),"-")</f>
        <v>GIORGIA</v>
      </c>
      <c r="AM964" s="62" t="str">
        <f>IFERROR(VLOOKUP(Table2[[#This Row],[Contraente]],Table1[[Nome/Ragione sociale]:[Checkbox selezionato]],6,FALSE),"-")</f>
        <v>-</v>
      </c>
      <c r="AN964" s="63" t="str">
        <f>IFERROR(VLOOKUP(Table2[[#This Row],[Contraente]],Table1[[Nome/Ragione sociale]:[Checkbox selezionato]],7,FALSE),"-")</f>
        <v>papies@libero.it</v>
      </c>
      <c r="AO964" s="63">
        <f>IFERROR(VLOOKUP(Table2[[#This Row],[Contraente]],Table1[[Nome/Ragione sociale]:[Checkbox selezionato]],8,FALSE),"-")</f>
        <v>0</v>
      </c>
      <c r="AP964" s="63">
        <f>IFERROR(VLOOKUP(Table2[[#This Row],[Contraente]],Table1[[Nome/Ragione sociale]:[Checkbox selezionato]],10,FALSE),"-")</f>
        <v>0</v>
      </c>
      <c r="AQ964" s="63" t="str">
        <f>IFERROR(VLOOKUP(Table2[[#This Row],[Contraente]],Table1[[Nome/Ragione sociale]:[Checkbox selezionato]],11,FALSE),"-")</f>
        <v>SI</v>
      </c>
      <c r="AR964" s="63" t="str">
        <f>IFERROR(VLOOKUP(Table2[[#This Row],[Contraente]],Table1[[Nome/Ragione sociale]:[Checkbox selezionato]],12,FALSE),"-")</f>
        <v>SI</v>
      </c>
    </row>
    <row r="965" spans="1:44" ht="30" hidden="1" customHeight="1" x14ac:dyDescent="0.25">
      <c r="A965" s="60" t="str">
        <f>UPPER(LEFT(Table2[[#This Row],[Contraente]],1))</f>
        <v>R</v>
      </c>
      <c r="B965" s="60" t="s">
        <v>1634</v>
      </c>
      <c r="C965" s="81" t="s">
        <v>971</v>
      </c>
      <c r="D965" s="81" t="s">
        <v>37</v>
      </c>
      <c r="E965" s="86">
        <v>104981319</v>
      </c>
      <c r="F965" s="64">
        <v>42492</v>
      </c>
      <c r="G965" s="64">
        <f>IFERROR(CALCOLASCADENZA(Table2[[#This Row],[Data attivazione]],Table2[[#This Row],[Rateizzazione]],Table2[[#This Row],[Data ultimo pagamento]],Table2[[#This Row],[Data prossima scadenza manuale]]),"-")</f>
        <v>42676</v>
      </c>
      <c r="H965" s="67" t="s">
        <v>31</v>
      </c>
      <c r="I965" s="67" t="s">
        <v>1542</v>
      </c>
      <c r="J965" s="33">
        <f>IFERROR(Table2[[#This Row],[Importo annuale]]/(12/VLOOKUP(Table2[[#This Row],[Rateizzazione]],TIPI_RATEIZZAZIONI,2,FALSE)),"-")</f>
        <v>265</v>
      </c>
      <c r="K965" s="88"/>
      <c r="L965" s="88">
        <v>530</v>
      </c>
      <c r="M965" s="67" t="s">
        <v>44</v>
      </c>
      <c r="N965" s="67" t="s">
        <v>52</v>
      </c>
      <c r="O965" s="27" t="s">
        <v>1631</v>
      </c>
      <c r="P965" s="33" t="s">
        <v>22</v>
      </c>
      <c r="Q965" s="60">
        <f>IFERROR(IF(12 / VLOOKUP(Table2[[#This Row],[Rateizzazione]],TIPI_RATEIZZAZIONI,2,FALSE) &gt;=1,  IF(Table2[[#This Row],[Data attivazione]] = "","-",MONTH(Table2[[#This Row],[Data attivazione]])),"-"),"-")</f>
        <v>11</v>
      </c>
      <c r="R9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5" s="67" t="s">
        <v>2</v>
      </c>
      <c r="V965" s="62"/>
      <c r="W965" s="64">
        <v>42310</v>
      </c>
      <c r="X965" s="29">
        <f>DATE(YEAR(Table2[[#This Row],[Data attivazione]])+VLOOKUP(Table2[[#This Row],[Durata]],VALORE_DURATA,2,FALSE),MONTH(Table2[[#This Row],[Data attivazione]]),DAY(Table2[[#This Row],[Data attivazione]]))</f>
        <v>42676</v>
      </c>
      <c r="Y965" s="65"/>
      <c r="Z965" s="61"/>
      <c r="AA965" s="64" t="s">
        <v>88</v>
      </c>
      <c r="AB965" s="29" t="str">
        <f>IF(Table2[[#This Row],[Data ultimo versamento temp]]=0/1/1900,"-",Table2[[#This Row],[Data ultimo versamento temp]])</f>
        <v>-</v>
      </c>
      <c r="AC965" s="29">
        <f t="array" ref="AC965">MAX(IF(TableVersamenti[Polizza]=Table2[[#This Row],[Polizza]],TableVersamenti[Data prevista versamento],"-"))</f>
        <v>0</v>
      </c>
      <c r="AD965" s="62"/>
      <c r="AE965" s="106">
        <f>DATE(YEAR(Table2[[#This Row],[Data ultimo pagamento]]),MONTH(Table2[[#This Row],[Data ultimo pagamento]]), 1)</f>
        <v>42491</v>
      </c>
      <c r="AF965" s="106">
        <f>DATE(YEAR(Table2[[#This Row],[Data prossima scadenza]]),MONTH(Table2[[#This Row],[Data prossima scadenza]]), 1)</f>
        <v>42675</v>
      </c>
      <c r="AG965" s="33">
        <f>IFERROR(Table2[[#This Row],[Importo annuale]]*VLOOKUP(Table2[[#This Row],[Ramo]],RAMI_POLIZZA,2,FALSE),0)</f>
        <v>27.56</v>
      </c>
      <c r="AH965" s="65" t="s">
        <v>113</v>
      </c>
      <c r="AI965" s="63" t="str">
        <f>IFERROR(VLOOKUP(Table2[[#This Row],[Contraente]],Table1[[Nome/Ragione sociale]:[Checkbox selezionato]],2,FALSE),"-")</f>
        <v>SPESSA</v>
      </c>
      <c r="AJ965" s="63">
        <f>IFERROR(VLOOKUP(Table2[[#This Row],[Contraente]],Table1[[Nome/Ragione sociale]:[Checkbox selezionato]],3,FALSE),"-")</f>
        <v>3405210195</v>
      </c>
      <c r="AK965" s="63">
        <f>IFERROR(VLOOKUP(Table2[[#This Row],[Contraente]],Table1[[Nome/Ragione sociale]:[Checkbox selezionato]],4,FALSE),"-")</f>
        <v>0</v>
      </c>
      <c r="AL965" s="63" t="str">
        <f>IFERROR(VLOOKUP(Table2[[#This Row],[Contraente]],Table1[[Nome/Ragione sociale]:[Checkbox selezionato]],5,FALSE),"-")</f>
        <v>SALVATORE</v>
      </c>
      <c r="AM965" s="62" t="str">
        <f>IFERROR(VLOOKUP(Table2[[#This Row],[Contraente]],Table1[[Nome/Ragione sociale]:[Checkbox selezionato]],6,FALSE),"-")</f>
        <v>-</v>
      </c>
      <c r="AN965" s="63" t="str">
        <f>IFERROR(VLOOKUP(Table2[[#This Row],[Contraente]],Table1[[Nome/Ragione sociale]:[Checkbox selezionato]],7,FALSE),"-")</f>
        <v>papies@libero.it</v>
      </c>
      <c r="AO965" s="63">
        <f>IFERROR(VLOOKUP(Table2[[#This Row],[Contraente]],Table1[[Nome/Ragione sociale]:[Checkbox selezionato]],8,FALSE),"-")</f>
        <v>0</v>
      </c>
      <c r="AP965" s="63">
        <f>IFERROR(VLOOKUP(Table2[[#This Row],[Contraente]],Table1[[Nome/Ragione sociale]:[Checkbox selezionato]],10,FALSE),"-")</f>
        <v>3405210195</v>
      </c>
      <c r="AQ965" s="63" t="str">
        <f>IFERROR(VLOOKUP(Table2[[#This Row],[Contraente]],Table1[[Nome/Ragione sociale]:[Checkbox selezionato]],11,FALSE),"-")</f>
        <v>SI</v>
      </c>
      <c r="AR965" s="63" t="str">
        <f>IFERROR(VLOOKUP(Table2[[#This Row],[Contraente]],Table1[[Nome/Ragione sociale]:[Checkbox selezionato]],12,FALSE),"-")</f>
        <v>SI</v>
      </c>
    </row>
    <row r="966" spans="1:44" ht="30" hidden="1" customHeight="1" x14ac:dyDescent="0.25">
      <c r="A966" s="60" t="str">
        <f>UPPER(LEFT(Table2[[#This Row],[Contraente]],1))</f>
        <v>R</v>
      </c>
      <c r="B966" s="60" t="s">
        <v>1634</v>
      </c>
      <c r="C966" s="81" t="s">
        <v>971</v>
      </c>
      <c r="D966" s="81" t="s">
        <v>37</v>
      </c>
      <c r="E966" s="86">
        <v>104944280</v>
      </c>
      <c r="F966" s="64">
        <v>42492</v>
      </c>
      <c r="G966" s="64">
        <f>IFERROR(CALCOLASCADENZA(Table2[[#This Row],[Data attivazione]],Table2[[#This Row],[Rateizzazione]],Table2[[#This Row],[Data ultimo pagamento]],Table2[[#This Row],[Data prossima scadenza manuale]]),"-")</f>
        <v>42664</v>
      </c>
      <c r="H966" s="67" t="s">
        <v>31</v>
      </c>
      <c r="I966" s="67" t="s">
        <v>1543</v>
      </c>
      <c r="J966" s="33">
        <f>IFERROR(Table2[[#This Row],[Importo annuale]]/(12/VLOOKUP(Table2[[#This Row],[Rateizzazione]],TIPI_RATEIZZAZIONI,2,FALSE)),"-")</f>
        <v>240</v>
      </c>
      <c r="K966" s="88"/>
      <c r="L966" s="88">
        <v>480</v>
      </c>
      <c r="M966" s="67" t="s">
        <v>43</v>
      </c>
      <c r="N966" s="67" t="s">
        <v>52</v>
      </c>
      <c r="O966" s="27" t="s">
        <v>1631</v>
      </c>
      <c r="P966" s="33" t="s">
        <v>22</v>
      </c>
      <c r="Q966" s="60">
        <f>IFERROR(IF(12 / VLOOKUP(Table2[[#This Row],[Rateizzazione]],TIPI_RATEIZZAZIONI,2,FALSE) &gt;=1,  IF(Table2[[#This Row],[Data attivazione]] = "","-",MONTH(Table2[[#This Row],[Data attivazione]])),"-"),"-")</f>
        <v>10</v>
      </c>
      <c r="R9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6" s="67" t="s">
        <v>2</v>
      </c>
      <c r="V966" s="62"/>
      <c r="W966" s="64">
        <v>42298</v>
      </c>
      <c r="X966" s="29">
        <f>DATE(YEAR(Table2[[#This Row],[Data attivazione]])+VLOOKUP(Table2[[#This Row],[Durata]],VALORE_DURATA,2,FALSE),MONTH(Table2[[#This Row],[Data attivazione]]),DAY(Table2[[#This Row],[Data attivazione]]))</f>
        <v>42664</v>
      </c>
      <c r="Y966" s="65"/>
      <c r="Z966" s="61"/>
      <c r="AA966" s="64" t="s">
        <v>88</v>
      </c>
      <c r="AB966" s="29" t="str">
        <f>IF(Table2[[#This Row],[Data ultimo versamento temp]]=0/1/1900,"-",Table2[[#This Row],[Data ultimo versamento temp]])</f>
        <v>-</v>
      </c>
      <c r="AC966" s="29">
        <f t="array" ref="AC966">MAX(IF(TableVersamenti[Polizza]=Table2[[#This Row],[Polizza]],TableVersamenti[Data prevista versamento],"-"))</f>
        <v>0</v>
      </c>
      <c r="AD966" s="62"/>
      <c r="AE966" s="106">
        <f>DATE(YEAR(Table2[[#This Row],[Data ultimo pagamento]]),MONTH(Table2[[#This Row],[Data ultimo pagamento]]), 1)</f>
        <v>42491</v>
      </c>
      <c r="AF966" s="106">
        <f>DATE(YEAR(Table2[[#This Row],[Data prossima scadenza]]),MONTH(Table2[[#This Row],[Data prossima scadenza]]), 1)</f>
        <v>42644</v>
      </c>
      <c r="AG966" s="33">
        <f>IFERROR(Table2[[#This Row],[Importo annuale]]*VLOOKUP(Table2[[#This Row],[Ramo]],RAMI_POLIZZA,2,FALSE),0)</f>
        <v>24.959999999999997</v>
      </c>
      <c r="AH966" s="65" t="s">
        <v>113</v>
      </c>
      <c r="AI966" s="63" t="str">
        <f>IFERROR(VLOOKUP(Table2[[#This Row],[Contraente]],Table1[[Nome/Ragione sociale]:[Checkbox selezionato]],2,FALSE),"-")</f>
        <v>SPESSA</v>
      </c>
      <c r="AJ966" s="63">
        <f>IFERROR(VLOOKUP(Table2[[#This Row],[Contraente]],Table1[[Nome/Ragione sociale]:[Checkbox selezionato]],3,FALSE),"-")</f>
        <v>3405210195</v>
      </c>
      <c r="AK966" s="63">
        <f>IFERROR(VLOOKUP(Table2[[#This Row],[Contraente]],Table1[[Nome/Ragione sociale]:[Checkbox selezionato]],4,FALSE),"-")</f>
        <v>0</v>
      </c>
      <c r="AL966" s="63" t="str">
        <f>IFERROR(VLOOKUP(Table2[[#This Row],[Contraente]],Table1[[Nome/Ragione sociale]:[Checkbox selezionato]],5,FALSE),"-")</f>
        <v>SALVATORE</v>
      </c>
      <c r="AM966" s="62" t="str">
        <f>IFERROR(VLOOKUP(Table2[[#This Row],[Contraente]],Table1[[Nome/Ragione sociale]:[Checkbox selezionato]],6,FALSE),"-")</f>
        <v>-</v>
      </c>
      <c r="AN966" s="63" t="str">
        <f>IFERROR(VLOOKUP(Table2[[#This Row],[Contraente]],Table1[[Nome/Ragione sociale]:[Checkbox selezionato]],7,FALSE),"-")</f>
        <v>papies@libero.it</v>
      </c>
      <c r="AO966" s="63">
        <f>IFERROR(VLOOKUP(Table2[[#This Row],[Contraente]],Table1[[Nome/Ragione sociale]:[Checkbox selezionato]],8,FALSE),"-")</f>
        <v>0</v>
      </c>
      <c r="AP966" s="63">
        <f>IFERROR(VLOOKUP(Table2[[#This Row],[Contraente]],Table1[[Nome/Ragione sociale]:[Checkbox selezionato]],10,FALSE),"-")</f>
        <v>3405210195</v>
      </c>
      <c r="AQ966" s="63" t="str">
        <f>IFERROR(VLOOKUP(Table2[[#This Row],[Contraente]],Table1[[Nome/Ragione sociale]:[Checkbox selezionato]],11,FALSE),"-")</f>
        <v>SI</v>
      </c>
      <c r="AR966" s="63" t="str">
        <f>IFERROR(VLOOKUP(Table2[[#This Row],[Contraente]],Table1[[Nome/Ragione sociale]:[Checkbox selezionato]],12,FALSE),"-")</f>
        <v>SI</v>
      </c>
    </row>
    <row r="967" spans="1:44" ht="30" hidden="1" customHeight="1" x14ac:dyDescent="0.25">
      <c r="A967" s="60" t="str">
        <f>UPPER(LEFT(Table2[[#This Row],[Contraente]],1))</f>
        <v>S</v>
      </c>
      <c r="B967" s="60" t="s">
        <v>1634</v>
      </c>
      <c r="C967" s="81" t="s">
        <v>972</v>
      </c>
      <c r="D967" s="81" t="s">
        <v>37</v>
      </c>
      <c r="E967" s="86">
        <v>106776386</v>
      </c>
      <c r="F967" s="64">
        <v>42860</v>
      </c>
      <c r="G967" s="64">
        <f>IFERROR(CALCOLASCADENZA(Table2[[#This Row],[Data attivazione]],Table2[[#This Row],[Rateizzazione]],Table2[[#This Row],[Data ultimo pagamento]],Table2[[#This Row],[Data prossima scadenza manuale]]),"-")</f>
        <v>42996</v>
      </c>
      <c r="H967" s="67" t="s">
        <v>31</v>
      </c>
      <c r="I967" s="67" t="s">
        <v>1544</v>
      </c>
      <c r="J967" s="33">
        <f>IFERROR(Table2[[#This Row],[Importo annuale]]/(12/VLOOKUP(Table2[[#This Row],[Rateizzazione]],TIPI_RATEIZZAZIONI,2,FALSE)),"-")</f>
        <v>252</v>
      </c>
      <c r="K967" s="88">
        <v>636.16</v>
      </c>
      <c r="L967" s="88">
        <v>756</v>
      </c>
      <c r="M967" s="67" t="s">
        <v>43</v>
      </c>
      <c r="N967" s="67" t="s">
        <v>51</v>
      </c>
      <c r="O967" s="27" t="s">
        <v>1631</v>
      </c>
      <c r="P967" s="33" t="s">
        <v>21</v>
      </c>
      <c r="Q967" s="60">
        <f>IFERROR(IF(12 / VLOOKUP(Table2[[#This Row],[Rateizzazione]],TIPI_RATEIZZAZIONI,2,FALSE) &gt;=1,  IF(Table2[[#This Row],[Data attivazione]] = "","-",MONTH(Table2[[#This Row],[Data attivazione]])),"-"),"-")</f>
        <v>9</v>
      </c>
      <c r="R9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6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7" s="67" t="s">
        <v>2</v>
      </c>
      <c r="V967" s="62"/>
      <c r="W967" s="64">
        <v>42631</v>
      </c>
      <c r="X967" s="29">
        <f>DATE(YEAR(Table2[[#This Row],[Data attivazione]])+VLOOKUP(Table2[[#This Row],[Durata]],VALORE_DURATA,2,FALSE),MONTH(Table2[[#This Row],[Data attivazione]]),DAY(Table2[[#This Row],[Data attivazione]]))</f>
        <v>42996</v>
      </c>
      <c r="Y967" s="65"/>
      <c r="Z967" s="61"/>
      <c r="AA967" s="64" t="s">
        <v>85</v>
      </c>
      <c r="AB967" s="29" t="str">
        <f>IF(Table2[[#This Row],[Data ultimo versamento temp]]=0/1/1900,"-",Table2[[#This Row],[Data ultimo versamento temp]])</f>
        <v>-</v>
      </c>
      <c r="AC967" s="29">
        <f t="array" ref="AC967">MAX(IF(TableVersamenti[Polizza]=Table2[[#This Row],[Polizza]],TableVersamenti[Data prevista versamento],"-"))</f>
        <v>0</v>
      </c>
      <c r="AD967" s="62"/>
      <c r="AE967" s="106">
        <f>DATE(YEAR(Table2[[#This Row],[Data ultimo pagamento]]),MONTH(Table2[[#This Row],[Data ultimo pagamento]]), 1)</f>
        <v>42856</v>
      </c>
      <c r="AF967" s="106">
        <f>DATE(YEAR(Table2[[#This Row],[Data prossima scadenza]]),MONTH(Table2[[#This Row],[Data prossima scadenza]]), 1)</f>
        <v>42979</v>
      </c>
      <c r="AG967" s="33">
        <f>IFERROR(Table2[[#This Row],[Importo annuale]]*VLOOKUP(Table2[[#This Row],[Ramo]],RAMI_POLIZZA,2,FALSE),0)</f>
        <v>39.311999999999998</v>
      </c>
      <c r="AH967" s="65" t="s">
        <v>113</v>
      </c>
      <c r="AI967" s="63" t="str">
        <f>IFERROR(VLOOKUP(Table2[[#This Row],[Contraente]],Table1[[Nome/Ragione sociale]:[Checkbox selezionato]],2,FALSE),"-")</f>
        <v>SANTA CRISTINA E BISSONE</v>
      </c>
      <c r="AJ967" s="63">
        <f>IFERROR(VLOOKUP(Table2[[#This Row],[Contraente]],Table1[[Nome/Ragione sociale]:[Checkbox selezionato]],3,FALSE),"-")</f>
        <v>3297815244</v>
      </c>
      <c r="AK967" s="63">
        <f>IFERROR(VLOOKUP(Table2[[#This Row],[Contraente]],Table1[[Nome/Ragione sociale]:[Checkbox selezionato]],4,FALSE),"-")</f>
        <v>0</v>
      </c>
      <c r="AL967" s="63" t="str">
        <f>IFERROR(VLOOKUP(Table2[[#This Row],[Contraente]],Table1[[Nome/Ragione sociale]:[Checkbox selezionato]],5,FALSE),"-")</f>
        <v>MASSIMILIANO</v>
      </c>
      <c r="AM967" s="62">
        <f>IFERROR(VLOOKUP(Table2[[#This Row],[Contraente]],Table1[[Nome/Ragione sociale]:[Checkbox selezionato]],6,FALSE),"-")</f>
        <v>30985</v>
      </c>
      <c r="AN967" s="63" t="str">
        <f>IFERROR(VLOOKUP(Table2[[#This Row],[Contraente]],Table1[[Nome/Ragione sociale]:[Checkbox selezionato]],7,FALSE),"-")</f>
        <v>papies@email.it</v>
      </c>
      <c r="AO967" s="63">
        <f>IFERROR(VLOOKUP(Table2[[#This Row],[Contraente]],Table1[[Nome/Ragione sociale]:[Checkbox selezionato]],8,FALSE),"-")</f>
        <v>0</v>
      </c>
      <c r="AP967" s="63">
        <f>IFERROR(VLOOKUP(Table2[[#This Row],[Contraente]],Table1[[Nome/Ragione sociale]:[Checkbox selezionato]],10,FALSE),"-")</f>
        <v>3297815244</v>
      </c>
      <c r="AQ967" s="63" t="str">
        <f>IFERROR(VLOOKUP(Table2[[#This Row],[Contraente]],Table1[[Nome/Ragione sociale]:[Checkbox selezionato]],11,FALSE),"-")</f>
        <v>SI</v>
      </c>
      <c r="AR967" s="63" t="str">
        <f>IFERROR(VLOOKUP(Table2[[#This Row],[Contraente]],Table1[[Nome/Ragione sociale]:[Checkbox selezionato]],12,FALSE),"-")</f>
        <v>SI</v>
      </c>
    </row>
    <row r="968" spans="1:44" ht="30" hidden="1" customHeight="1" x14ac:dyDescent="0.25">
      <c r="A968" s="60" t="str">
        <f>UPPER(LEFT(Table2[[#This Row],[Contraente]],1))</f>
        <v>S</v>
      </c>
      <c r="B968" s="60" t="s">
        <v>1634</v>
      </c>
      <c r="C968" s="81" t="s">
        <v>179</v>
      </c>
      <c r="D968" s="81" t="s">
        <v>37</v>
      </c>
      <c r="E968" s="86">
        <v>105317915</v>
      </c>
      <c r="F968" s="64">
        <v>42790</v>
      </c>
      <c r="G968" s="64">
        <f>IFERROR(CALCOLASCADENZA(Table2[[#This Row],[Data attivazione]],Table2[[#This Row],[Rateizzazione]],Table2[[#This Row],[Data ultimo pagamento]],Table2[[#This Row],[Data prossima scadenza manuale]]),"-")</f>
        <v>43152</v>
      </c>
      <c r="H968" s="67" t="s">
        <v>31</v>
      </c>
      <c r="I968" s="67" t="s">
        <v>1547</v>
      </c>
      <c r="J968" s="33">
        <f>IFERROR(Table2[[#This Row],[Importo annuale]]/(12/VLOOKUP(Table2[[#This Row],[Rateizzazione]],TIPI_RATEIZZAZIONI,2,FALSE)),"-")</f>
        <v>506</v>
      </c>
      <c r="K968" s="88">
        <v>506</v>
      </c>
      <c r="L968" s="88">
        <v>506</v>
      </c>
      <c r="M968" s="67" t="s">
        <v>44</v>
      </c>
      <c r="N968" s="67" t="s">
        <v>51</v>
      </c>
      <c r="O968" s="27" t="s">
        <v>1631</v>
      </c>
      <c r="P968" s="33" t="s">
        <v>23</v>
      </c>
      <c r="Q968" s="60">
        <f>IFERROR(IF(12 / VLOOKUP(Table2[[#This Row],[Rateizzazione]],TIPI_RATEIZZAZIONI,2,FALSE) &gt;=1,  IF(Table2[[#This Row],[Data attivazione]] = "","-",MONTH(Table2[[#This Row],[Data attivazione]])),"-"),"-")</f>
        <v>2</v>
      </c>
      <c r="R9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8" s="67" t="s">
        <v>133</v>
      </c>
      <c r="V968" s="62"/>
      <c r="W968" s="64">
        <v>42787</v>
      </c>
      <c r="X968" s="29">
        <f>DATE(YEAR(Table2[[#This Row],[Data attivazione]])+VLOOKUP(Table2[[#This Row],[Durata]],VALORE_DURATA,2,FALSE),MONTH(Table2[[#This Row],[Data attivazione]]),DAY(Table2[[#This Row],[Data attivazione]]))</f>
        <v>43152</v>
      </c>
      <c r="Y968" s="65"/>
      <c r="Z968" s="61"/>
      <c r="AA968" s="64" t="s">
        <v>85</v>
      </c>
      <c r="AB968" s="29" t="str">
        <f>IF(Table2[[#This Row],[Data ultimo versamento temp]]=0/1/1900,"-",Table2[[#This Row],[Data ultimo versamento temp]])</f>
        <v>-</v>
      </c>
      <c r="AC968" s="29">
        <f t="array" ref="AC968">MAX(IF(TableVersamenti[Polizza]=Table2[[#This Row],[Polizza]],TableVersamenti[Data prevista versamento],"-"))</f>
        <v>0</v>
      </c>
      <c r="AD968" s="62"/>
      <c r="AE968" s="106">
        <f>DATE(YEAR(Table2[[#This Row],[Data ultimo pagamento]]),MONTH(Table2[[#This Row],[Data ultimo pagamento]]), 1)</f>
        <v>42767</v>
      </c>
      <c r="AF968" s="106">
        <f>DATE(YEAR(Table2[[#This Row],[Data prossima scadenza]]),MONTH(Table2[[#This Row],[Data prossima scadenza]]), 1)</f>
        <v>43132</v>
      </c>
      <c r="AG968" s="33">
        <f>IFERROR(Table2[[#This Row],[Importo annuale]]*VLOOKUP(Table2[[#This Row],[Ramo]],RAMI_POLIZZA,2,FALSE),0)</f>
        <v>26.311999999999998</v>
      </c>
      <c r="AH968" s="65" t="s">
        <v>113</v>
      </c>
      <c r="AI968" s="63" t="str">
        <f>IFERROR(VLOOKUP(Table2[[#This Row],[Contraente]],Table1[[Nome/Ragione sociale]:[Checkbox selezionato]],2,FALSE),"-")</f>
        <v>ARENA PO</v>
      </c>
      <c r="AJ968" s="63">
        <f>IFERROR(VLOOKUP(Table2[[#This Row],[Contraente]],Table1[[Nome/Ragione sociale]:[Checkbox selezionato]],3,FALSE),"-")</f>
        <v>0</v>
      </c>
      <c r="AK968" s="63">
        <f>IFERROR(VLOOKUP(Table2[[#This Row],[Contraente]],Table1[[Nome/Ragione sociale]:[Checkbox selezionato]],4,FALSE),"-")</f>
        <v>0</v>
      </c>
      <c r="AL968" s="63">
        <f>IFERROR(VLOOKUP(Table2[[#This Row],[Contraente]],Table1[[Nome/Ragione sociale]:[Checkbox selezionato]],5,FALSE),"-")</f>
        <v>0</v>
      </c>
      <c r="AM968" s="62">
        <f>IFERROR(VLOOKUP(Table2[[#This Row],[Contraente]],Table1[[Nome/Ragione sociale]:[Checkbox selezionato]],6,FALSE),"-")</f>
        <v>0</v>
      </c>
      <c r="AN968" s="63" t="str">
        <f>IFERROR(VLOOKUP(Table2[[#This Row],[Contraente]],Table1[[Nome/Ragione sociale]:[Checkbox selezionato]],7,FALSE),"-")</f>
        <v>papies@libero.it</v>
      </c>
      <c r="AO968" s="63">
        <f>IFERROR(VLOOKUP(Table2[[#This Row],[Contraente]],Table1[[Nome/Ragione sociale]:[Checkbox selezionato]],8,FALSE),"-")</f>
        <v>0</v>
      </c>
      <c r="AP968" s="63">
        <f>IFERROR(VLOOKUP(Table2[[#This Row],[Contraente]],Table1[[Nome/Ragione sociale]:[Checkbox selezionato]],10,FALSE),"-")</f>
        <v>0</v>
      </c>
      <c r="AQ968" s="63" t="str">
        <f>IFERROR(VLOOKUP(Table2[[#This Row],[Contraente]],Table1[[Nome/Ragione sociale]:[Checkbox selezionato]],11,FALSE),"-")</f>
        <v>SI</v>
      </c>
      <c r="AR968" s="63" t="str">
        <f>IFERROR(VLOOKUP(Table2[[#This Row],[Contraente]],Table1[[Nome/Ragione sociale]:[Checkbox selezionato]],12,FALSE),"-")</f>
        <v>SI</v>
      </c>
    </row>
    <row r="969" spans="1:44" ht="30" hidden="1" customHeight="1" x14ac:dyDescent="0.25">
      <c r="A969" s="60" t="str">
        <f>UPPER(LEFT(Table2[[#This Row],[Contraente]],1))</f>
        <v>S</v>
      </c>
      <c r="B969" s="60" t="s">
        <v>1634</v>
      </c>
      <c r="C969" s="81" t="s">
        <v>179</v>
      </c>
      <c r="D969" s="81" t="s">
        <v>37</v>
      </c>
      <c r="E969" s="86">
        <v>102687588</v>
      </c>
      <c r="F969" s="64">
        <v>42886</v>
      </c>
      <c r="G969" s="64">
        <f>IFERROR(CALCOLASCADENZA(Table2[[#This Row],[Data attivazione]],Table2[[#This Row],[Rateizzazione]],Table2[[#This Row],[Data ultimo pagamento]],Table2[[#This Row],[Data prossima scadenza manuale]]),"-")</f>
        <v>43066</v>
      </c>
      <c r="H969" s="67" t="s">
        <v>30</v>
      </c>
      <c r="I969" s="67" t="s">
        <v>113</v>
      </c>
      <c r="J969" s="33">
        <f>IFERROR(Table2[[#This Row],[Importo annuale]]/(12/VLOOKUP(Table2[[#This Row],[Rateizzazione]],TIPI_RATEIZZAZIONI,2,FALSE)),"-")</f>
        <v>125</v>
      </c>
      <c r="K969" s="88">
        <v>125</v>
      </c>
      <c r="L969" s="88">
        <v>250</v>
      </c>
      <c r="M969" s="67" t="s">
        <v>44</v>
      </c>
      <c r="N969" s="67" t="s">
        <v>51</v>
      </c>
      <c r="O969" s="27" t="s">
        <v>1631</v>
      </c>
      <c r="P969" s="33" t="s">
        <v>22</v>
      </c>
      <c r="Q969" s="60">
        <f>IFERROR(IF(12 / VLOOKUP(Table2[[#This Row],[Rateizzazione]],TIPI_RATEIZZAZIONI,2,FALSE) &gt;=1,  IF(Table2[[#This Row],[Data attivazione]] = "","-",MONTH(Table2[[#This Row],[Data attivazione]])),"-"),"-")</f>
        <v>11</v>
      </c>
      <c r="R9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9" s="67" t="s">
        <v>133</v>
      </c>
      <c r="V969" s="62"/>
      <c r="W969" s="64">
        <v>42701</v>
      </c>
      <c r="X969" s="29">
        <f>DATE(YEAR(Table2[[#This Row],[Data attivazione]])+VLOOKUP(Table2[[#This Row],[Durata]],VALORE_DURATA,2,FALSE),MONTH(Table2[[#This Row],[Data attivazione]]),DAY(Table2[[#This Row],[Data attivazione]]))</f>
        <v>43066</v>
      </c>
      <c r="Y969" s="65"/>
      <c r="Z969" s="61"/>
      <c r="AA969" s="64" t="s">
        <v>85</v>
      </c>
      <c r="AB969" s="29" t="str">
        <f>IF(Table2[[#This Row],[Data ultimo versamento temp]]=0/1/1900,"-",Table2[[#This Row],[Data ultimo versamento temp]])</f>
        <v>-</v>
      </c>
      <c r="AC969" s="29">
        <f t="array" ref="AC969">MAX(IF(TableVersamenti[Polizza]=Table2[[#This Row],[Polizza]],TableVersamenti[Data prevista versamento],"-"))</f>
        <v>0</v>
      </c>
      <c r="AD969" s="62"/>
      <c r="AE969" s="106">
        <f>DATE(YEAR(Table2[[#This Row],[Data ultimo pagamento]]),MONTH(Table2[[#This Row],[Data ultimo pagamento]]), 1)</f>
        <v>42856</v>
      </c>
      <c r="AF969" s="106">
        <f>DATE(YEAR(Table2[[#This Row],[Data prossima scadenza]]),MONTH(Table2[[#This Row],[Data prossima scadenza]]), 1)</f>
        <v>43040</v>
      </c>
      <c r="AG969" s="33">
        <f>IFERROR(Table2[[#This Row],[Importo annuale]]*VLOOKUP(Table2[[#This Row],[Ramo]],RAMI_POLIZZA,2,FALSE),0)</f>
        <v>28.75</v>
      </c>
      <c r="AH969" s="65" t="s">
        <v>113</v>
      </c>
      <c r="AI969" s="63" t="str">
        <f>IFERROR(VLOOKUP(Table2[[#This Row],[Contraente]],Table1[[Nome/Ragione sociale]:[Checkbox selezionato]],2,FALSE),"-")</f>
        <v>ARENA PO</v>
      </c>
      <c r="AJ969" s="63">
        <f>IFERROR(VLOOKUP(Table2[[#This Row],[Contraente]],Table1[[Nome/Ragione sociale]:[Checkbox selezionato]],3,FALSE),"-")</f>
        <v>0</v>
      </c>
      <c r="AK969" s="63">
        <f>IFERROR(VLOOKUP(Table2[[#This Row],[Contraente]],Table1[[Nome/Ragione sociale]:[Checkbox selezionato]],4,FALSE),"-")</f>
        <v>0</v>
      </c>
      <c r="AL969" s="63">
        <f>IFERROR(VLOOKUP(Table2[[#This Row],[Contraente]],Table1[[Nome/Ragione sociale]:[Checkbox selezionato]],5,FALSE),"-")</f>
        <v>0</v>
      </c>
      <c r="AM969" s="62">
        <f>IFERROR(VLOOKUP(Table2[[#This Row],[Contraente]],Table1[[Nome/Ragione sociale]:[Checkbox selezionato]],6,FALSE),"-")</f>
        <v>0</v>
      </c>
      <c r="AN969" s="63" t="str">
        <f>IFERROR(VLOOKUP(Table2[[#This Row],[Contraente]],Table1[[Nome/Ragione sociale]:[Checkbox selezionato]],7,FALSE),"-")</f>
        <v>papies@libero.it</v>
      </c>
      <c r="AO969" s="63">
        <f>IFERROR(VLOOKUP(Table2[[#This Row],[Contraente]],Table1[[Nome/Ragione sociale]:[Checkbox selezionato]],8,FALSE),"-")</f>
        <v>0</v>
      </c>
      <c r="AP969" s="63">
        <f>IFERROR(VLOOKUP(Table2[[#This Row],[Contraente]],Table1[[Nome/Ragione sociale]:[Checkbox selezionato]],10,FALSE),"-")</f>
        <v>0</v>
      </c>
      <c r="AQ969" s="63" t="str">
        <f>IFERROR(VLOOKUP(Table2[[#This Row],[Contraente]],Table1[[Nome/Ragione sociale]:[Checkbox selezionato]],11,FALSE),"-")</f>
        <v>SI</v>
      </c>
      <c r="AR969" s="63" t="str">
        <f>IFERROR(VLOOKUP(Table2[[#This Row],[Contraente]],Table1[[Nome/Ragione sociale]:[Checkbox selezionato]],12,FALSE),"-")</f>
        <v>SI</v>
      </c>
    </row>
    <row r="970" spans="1:44" ht="30" hidden="1" customHeight="1" x14ac:dyDescent="0.25">
      <c r="A970" s="60" t="str">
        <f>UPPER(LEFT(Table2[[#This Row],[Contraente]],1))</f>
        <v>S</v>
      </c>
      <c r="B970" s="60" t="s">
        <v>1634</v>
      </c>
      <c r="C970" s="81" t="s">
        <v>180</v>
      </c>
      <c r="D970" s="81" t="s">
        <v>37</v>
      </c>
      <c r="E970" s="86">
        <v>102687587</v>
      </c>
      <c r="F970" s="64">
        <v>42909</v>
      </c>
      <c r="G970" s="64">
        <f>IFERROR(CALCOLASCADENZA(Table2[[#This Row],[Data attivazione]],Table2[[#This Row],[Rateizzazione]],Table2[[#This Row],[Data ultimo pagamento]],Table2[[#This Row],[Data prossima scadenza manuale]]),"-")</f>
        <v>43247</v>
      </c>
      <c r="H970" s="67" t="s">
        <v>30</v>
      </c>
      <c r="I970" s="67" t="s">
        <v>113</v>
      </c>
      <c r="J970" s="33">
        <f>IFERROR(Table2[[#This Row],[Importo annuale]]/(12/VLOOKUP(Table2[[#This Row],[Rateizzazione]],TIPI_RATEIZZAZIONI,2,FALSE)),"-")</f>
        <v>87</v>
      </c>
      <c r="K970" s="88">
        <v>87</v>
      </c>
      <c r="L970" s="88">
        <v>87</v>
      </c>
      <c r="M970" s="67" t="s">
        <v>44</v>
      </c>
      <c r="N970" s="67" t="s">
        <v>51</v>
      </c>
      <c r="O970" s="27" t="s">
        <v>1631</v>
      </c>
      <c r="P970" s="33" t="s">
        <v>23</v>
      </c>
      <c r="Q970" s="60">
        <f>IFERROR(IF(12 / VLOOKUP(Table2[[#This Row],[Rateizzazione]],TIPI_RATEIZZAZIONI,2,FALSE) &gt;=1,  IF(Table2[[#This Row],[Data attivazione]] = "","-",MONTH(Table2[[#This Row],[Data attivazione]])),"-"),"-")</f>
        <v>5</v>
      </c>
      <c r="R9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0" s="67" t="s">
        <v>133</v>
      </c>
      <c r="V970" s="62"/>
      <c r="W970" s="64">
        <v>42517</v>
      </c>
      <c r="X970" s="29">
        <f>DATE(YEAR(Table2[[#This Row],[Data attivazione]])+VLOOKUP(Table2[[#This Row],[Durata]],VALORE_DURATA,2,FALSE),MONTH(Table2[[#This Row],[Data attivazione]]),DAY(Table2[[#This Row],[Data attivazione]]))</f>
        <v>42882</v>
      </c>
      <c r="Y970" s="65"/>
      <c r="Z970" s="61"/>
      <c r="AA970" s="64" t="s">
        <v>88</v>
      </c>
      <c r="AB970" s="29" t="str">
        <f>IF(Table2[[#This Row],[Data ultimo versamento temp]]=0/1/1900,"-",Table2[[#This Row],[Data ultimo versamento temp]])</f>
        <v>-</v>
      </c>
      <c r="AC970" s="29">
        <f t="array" ref="AC970">MAX(IF(TableVersamenti[Polizza]=Table2[[#This Row],[Polizza]],TableVersamenti[Data prevista versamento],"-"))</f>
        <v>0</v>
      </c>
      <c r="AD970" s="62"/>
      <c r="AE970" s="106">
        <f>DATE(YEAR(Table2[[#This Row],[Data ultimo pagamento]]),MONTH(Table2[[#This Row],[Data ultimo pagamento]]), 1)</f>
        <v>42887</v>
      </c>
      <c r="AF970" s="106">
        <f>DATE(YEAR(Table2[[#This Row],[Data prossima scadenza]]),MONTH(Table2[[#This Row],[Data prossima scadenza]]), 1)</f>
        <v>43221</v>
      </c>
      <c r="AG970" s="33">
        <f>IFERROR(Table2[[#This Row],[Importo annuale]]*VLOOKUP(Table2[[#This Row],[Ramo]],RAMI_POLIZZA,2,FALSE),0)</f>
        <v>10.005000000000001</v>
      </c>
      <c r="AH970" s="65" t="s">
        <v>113</v>
      </c>
      <c r="AI970" s="63" t="str">
        <f>IFERROR(VLOOKUP(Table2[[#This Row],[Contraente]],Table1[[Nome/Ragione sociale]:[Checkbox selezionato]],2,FALSE),"-")</f>
        <v>ARENA PO</v>
      </c>
      <c r="AJ970" s="63">
        <f>IFERROR(VLOOKUP(Table2[[#This Row],[Contraente]],Table1[[Nome/Ragione sociale]:[Checkbox selezionato]],3,FALSE),"-")</f>
        <v>3200573752</v>
      </c>
      <c r="AK970" s="63" t="str">
        <f>IFERROR(VLOOKUP(Table2[[#This Row],[Contraente]],Table1[[Nome/Ragione sociale]:[Checkbox selezionato]],4,FALSE),"-")</f>
        <v>.038270480</v>
      </c>
      <c r="AL970" s="63" t="str">
        <f>IFERROR(VLOOKUP(Table2[[#This Row],[Contraente]],Table1[[Nome/Ragione sociale]:[Checkbox selezionato]],5,FALSE),"-")</f>
        <v>ALFREDO</v>
      </c>
      <c r="AM970" s="62">
        <f>IFERROR(VLOOKUP(Table2[[#This Row],[Contraente]],Table1[[Nome/Ragione sociale]:[Checkbox selezionato]],6,FALSE),"-")</f>
        <v>22529</v>
      </c>
      <c r="AN970" s="63" t="str">
        <f>IFERROR(VLOOKUP(Table2[[#This Row],[Contraente]],Table1[[Nome/Ragione sociale]:[Checkbox selezionato]],7,FALSE),"-")</f>
        <v>papies@libero.it</v>
      </c>
      <c r="AO970" s="63">
        <f>IFERROR(VLOOKUP(Table2[[#This Row],[Contraente]],Table1[[Nome/Ragione sociale]:[Checkbox selezionato]],8,FALSE),"-")</f>
        <v>0</v>
      </c>
      <c r="AP970" s="63">
        <f>IFERROR(VLOOKUP(Table2[[#This Row],[Contraente]],Table1[[Nome/Ragione sociale]:[Checkbox selezionato]],10,FALSE),"-")</f>
        <v>3200573752</v>
      </c>
      <c r="AQ970" s="63" t="str">
        <f>IFERROR(VLOOKUP(Table2[[#This Row],[Contraente]],Table1[[Nome/Ragione sociale]:[Checkbox selezionato]],11,FALSE),"-")</f>
        <v>SI</v>
      </c>
      <c r="AR970" s="63" t="str">
        <f>IFERROR(VLOOKUP(Table2[[#This Row],[Contraente]],Table1[[Nome/Ragione sociale]:[Checkbox selezionato]],12,FALSE),"-")</f>
        <v>SI</v>
      </c>
    </row>
    <row r="971" spans="1:44" ht="30" hidden="1" customHeight="1" x14ac:dyDescent="0.25">
      <c r="A971" s="60" t="str">
        <f>UPPER(LEFT(Table2[[#This Row],[Contraente]],1))</f>
        <v>S</v>
      </c>
      <c r="B971" s="60" t="s">
        <v>1634</v>
      </c>
      <c r="C971" s="81" t="s">
        <v>180</v>
      </c>
      <c r="D971" s="81" t="s">
        <v>37</v>
      </c>
      <c r="E971" s="86">
        <v>103122429</v>
      </c>
      <c r="F971" s="64">
        <v>42135</v>
      </c>
      <c r="G971" s="64">
        <f>IFERROR(CALCOLASCADENZA(Table2[[#This Row],[Data attivazione]],Table2[[#This Row],[Rateizzazione]],Table2[[#This Row],[Data ultimo pagamento]],Table2[[#This Row],[Data prossima scadenza manuale]]),"-")</f>
        <v>42135</v>
      </c>
      <c r="H971" s="67" t="s">
        <v>31</v>
      </c>
      <c r="I971" s="67" t="s">
        <v>1550</v>
      </c>
      <c r="J971" s="33">
        <v>0</v>
      </c>
      <c r="K971" s="88"/>
      <c r="L971" s="88">
        <v>0</v>
      </c>
      <c r="M971" s="67" t="s">
        <v>43</v>
      </c>
      <c r="N971" s="67" t="s">
        <v>51</v>
      </c>
      <c r="O971" s="27" t="s">
        <v>1631</v>
      </c>
      <c r="P971" s="33" t="s">
        <v>24</v>
      </c>
      <c r="Q9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1" s="67" t="s">
        <v>133</v>
      </c>
      <c r="V971" s="62"/>
      <c r="W971" s="64">
        <v>693597</v>
      </c>
      <c r="X971" s="29">
        <f>DATE(YEAR(Table2[[#This Row],[Data attivazione]])+VLOOKUP(Table2[[#This Row],[Durata]],VALORE_DURATA,2,FALSE),MONTH(Table2[[#This Row],[Data attivazione]]),DAY(Table2[[#This Row],[Data attivazione]]))</f>
        <v>693962</v>
      </c>
      <c r="Y971" s="65"/>
      <c r="Z971" s="61"/>
      <c r="AA971" s="64" t="s">
        <v>88</v>
      </c>
      <c r="AB971" s="29" t="str">
        <f>IF(Table2[[#This Row],[Data ultimo versamento temp]]=0/1/1900,"-",Table2[[#This Row],[Data ultimo versamento temp]])</f>
        <v>-</v>
      </c>
      <c r="AC971" s="29">
        <f t="array" ref="AC971">MAX(IF(TableVersamenti[Polizza]=Table2[[#This Row],[Polizza]],TableVersamenti[Data prevista versamento],"-"))</f>
        <v>0</v>
      </c>
      <c r="AD971" s="62"/>
      <c r="AE971" s="106">
        <f>DATE(YEAR(Table2[[#This Row],[Data ultimo pagamento]]),MONTH(Table2[[#This Row],[Data ultimo pagamento]]), 1)</f>
        <v>42125</v>
      </c>
      <c r="AF971" s="106">
        <f>DATE(YEAR(Table2[[#This Row],[Data prossima scadenza]]),MONTH(Table2[[#This Row],[Data prossima scadenza]]), 1)</f>
        <v>42125</v>
      </c>
      <c r="AG971" s="33">
        <f>IFERROR(Table2[[#This Row],[Importo annuale]]*VLOOKUP(Table2[[#This Row],[Ramo]],RAMI_POLIZZA,2,FALSE),0)</f>
        <v>0</v>
      </c>
      <c r="AH971" s="65" t="s">
        <v>113</v>
      </c>
      <c r="AI971" s="63" t="str">
        <f>IFERROR(VLOOKUP(Table2[[#This Row],[Contraente]],Table1[[Nome/Ragione sociale]:[Checkbox selezionato]],2,FALSE),"-")</f>
        <v>ARENA PO</v>
      </c>
      <c r="AJ971" s="63">
        <f>IFERROR(VLOOKUP(Table2[[#This Row],[Contraente]],Table1[[Nome/Ragione sociale]:[Checkbox selezionato]],3,FALSE),"-")</f>
        <v>3200573752</v>
      </c>
      <c r="AK971" s="63" t="str">
        <f>IFERROR(VLOOKUP(Table2[[#This Row],[Contraente]],Table1[[Nome/Ragione sociale]:[Checkbox selezionato]],4,FALSE),"-")</f>
        <v>.038270480</v>
      </c>
      <c r="AL971" s="63" t="str">
        <f>IFERROR(VLOOKUP(Table2[[#This Row],[Contraente]],Table1[[Nome/Ragione sociale]:[Checkbox selezionato]],5,FALSE),"-")</f>
        <v>ALFREDO</v>
      </c>
      <c r="AM971" s="62">
        <f>IFERROR(VLOOKUP(Table2[[#This Row],[Contraente]],Table1[[Nome/Ragione sociale]:[Checkbox selezionato]],6,FALSE),"-")</f>
        <v>22529</v>
      </c>
      <c r="AN971" s="63" t="str">
        <f>IFERROR(VLOOKUP(Table2[[#This Row],[Contraente]],Table1[[Nome/Ragione sociale]:[Checkbox selezionato]],7,FALSE),"-")</f>
        <v>papies@libero.it</v>
      </c>
      <c r="AO971" s="63">
        <f>IFERROR(VLOOKUP(Table2[[#This Row],[Contraente]],Table1[[Nome/Ragione sociale]:[Checkbox selezionato]],8,FALSE),"-")</f>
        <v>0</v>
      </c>
      <c r="AP971" s="63">
        <f>IFERROR(VLOOKUP(Table2[[#This Row],[Contraente]],Table1[[Nome/Ragione sociale]:[Checkbox selezionato]],10,FALSE),"-")</f>
        <v>3200573752</v>
      </c>
      <c r="AQ971" s="63" t="str">
        <f>IFERROR(VLOOKUP(Table2[[#This Row],[Contraente]],Table1[[Nome/Ragione sociale]:[Checkbox selezionato]],11,FALSE),"-")</f>
        <v>SI</v>
      </c>
      <c r="AR971" s="63" t="str">
        <f>IFERROR(VLOOKUP(Table2[[#This Row],[Contraente]],Table1[[Nome/Ragione sociale]:[Checkbox selezionato]],12,FALSE),"-")</f>
        <v>SI</v>
      </c>
    </row>
    <row r="972" spans="1:44" ht="30" hidden="1" customHeight="1" x14ac:dyDescent="0.25">
      <c r="A972" s="60" t="str">
        <f>UPPER(LEFT(Table2[[#This Row],[Contraente]],1))</f>
        <v>S</v>
      </c>
      <c r="B972" s="60" t="s">
        <v>1634</v>
      </c>
      <c r="C972" s="81" t="s">
        <v>180</v>
      </c>
      <c r="D972" s="81" t="s">
        <v>37</v>
      </c>
      <c r="E972" s="86">
        <v>106797860</v>
      </c>
      <c r="F972" s="64">
        <v>42859</v>
      </c>
      <c r="G972" s="64">
        <f>IFERROR(CALCOLASCADENZA(Table2[[#This Row],[Data attivazione]],Table2[[#This Row],[Rateizzazione]],Table2[[#This Row],[Data ultimo pagamento]],Table2[[#This Row],[Data prossima scadenza manuale]]),"-")</f>
        <v>42859</v>
      </c>
      <c r="H972" s="67" t="s">
        <v>31</v>
      </c>
      <c r="I972" s="67" t="s">
        <v>1552</v>
      </c>
      <c r="J972" s="33">
        <v>650.20000000000005</v>
      </c>
      <c r="K972" s="88">
        <v>650.20000000000005</v>
      </c>
      <c r="L972" s="88">
        <v>1300</v>
      </c>
      <c r="M972" s="67" t="s">
        <v>44</v>
      </c>
      <c r="N972" s="67" t="s">
        <v>51</v>
      </c>
      <c r="O972" s="27" t="s">
        <v>1631</v>
      </c>
      <c r="P972" s="33" t="s">
        <v>24</v>
      </c>
      <c r="Q9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2" s="67" t="s">
        <v>133</v>
      </c>
      <c r="V972" s="62"/>
      <c r="W972" s="64">
        <v>42667</v>
      </c>
      <c r="X972" s="29">
        <f>DATE(YEAR(Table2[[#This Row],[Data attivazione]])+VLOOKUP(Table2[[#This Row],[Durata]],VALORE_DURATA,2,FALSE),MONTH(Table2[[#This Row],[Data attivazione]]),DAY(Table2[[#This Row],[Data attivazione]]))</f>
        <v>43032</v>
      </c>
      <c r="Y972" s="65"/>
      <c r="Z972" s="61"/>
      <c r="AA972" s="64" t="s">
        <v>85</v>
      </c>
      <c r="AB972" s="29" t="str">
        <f>IF(Table2[[#This Row],[Data ultimo versamento temp]]=0/1/1900,"-",Table2[[#This Row],[Data ultimo versamento temp]])</f>
        <v>-</v>
      </c>
      <c r="AC972" s="29">
        <f t="array" ref="AC972">MAX(IF(TableVersamenti[Polizza]=Table2[[#This Row],[Polizza]],TableVersamenti[Data prevista versamento],"-"))</f>
        <v>0</v>
      </c>
      <c r="AD972" s="62"/>
      <c r="AE972" s="106">
        <f>DATE(YEAR(Table2[[#This Row],[Data ultimo pagamento]]),MONTH(Table2[[#This Row],[Data ultimo pagamento]]), 1)</f>
        <v>42856</v>
      </c>
      <c r="AF972" s="106">
        <f>DATE(YEAR(Table2[[#This Row],[Data prossima scadenza]]),MONTH(Table2[[#This Row],[Data prossima scadenza]]), 1)</f>
        <v>42856</v>
      </c>
      <c r="AG972" s="33">
        <f>IFERROR(Table2[[#This Row],[Importo annuale]]*VLOOKUP(Table2[[#This Row],[Ramo]],RAMI_POLIZZA,2,FALSE),0)</f>
        <v>67.599999999999994</v>
      </c>
      <c r="AH972" s="65" t="s">
        <v>113</v>
      </c>
      <c r="AI972" s="63" t="str">
        <f>IFERROR(VLOOKUP(Table2[[#This Row],[Contraente]],Table1[[Nome/Ragione sociale]:[Checkbox selezionato]],2,FALSE),"-")</f>
        <v>ARENA PO</v>
      </c>
      <c r="AJ972" s="63">
        <f>IFERROR(VLOOKUP(Table2[[#This Row],[Contraente]],Table1[[Nome/Ragione sociale]:[Checkbox selezionato]],3,FALSE),"-")</f>
        <v>3200573752</v>
      </c>
      <c r="AK972" s="63" t="str">
        <f>IFERROR(VLOOKUP(Table2[[#This Row],[Contraente]],Table1[[Nome/Ragione sociale]:[Checkbox selezionato]],4,FALSE),"-")</f>
        <v>.038270480</v>
      </c>
      <c r="AL972" s="63" t="str">
        <f>IFERROR(VLOOKUP(Table2[[#This Row],[Contraente]],Table1[[Nome/Ragione sociale]:[Checkbox selezionato]],5,FALSE),"-")</f>
        <v>ALFREDO</v>
      </c>
      <c r="AM972" s="62">
        <f>IFERROR(VLOOKUP(Table2[[#This Row],[Contraente]],Table1[[Nome/Ragione sociale]:[Checkbox selezionato]],6,FALSE),"-")</f>
        <v>22529</v>
      </c>
      <c r="AN972" s="63" t="str">
        <f>IFERROR(VLOOKUP(Table2[[#This Row],[Contraente]],Table1[[Nome/Ragione sociale]:[Checkbox selezionato]],7,FALSE),"-")</f>
        <v>papies@libero.it</v>
      </c>
      <c r="AO972" s="63">
        <f>IFERROR(VLOOKUP(Table2[[#This Row],[Contraente]],Table1[[Nome/Ragione sociale]:[Checkbox selezionato]],8,FALSE),"-")</f>
        <v>0</v>
      </c>
      <c r="AP972" s="63">
        <f>IFERROR(VLOOKUP(Table2[[#This Row],[Contraente]],Table1[[Nome/Ragione sociale]:[Checkbox selezionato]],10,FALSE),"-")</f>
        <v>3200573752</v>
      </c>
      <c r="AQ972" s="63" t="str">
        <f>IFERROR(VLOOKUP(Table2[[#This Row],[Contraente]],Table1[[Nome/Ragione sociale]:[Checkbox selezionato]],11,FALSE),"-")</f>
        <v>SI</v>
      </c>
      <c r="AR972" s="63" t="str">
        <f>IFERROR(VLOOKUP(Table2[[#This Row],[Contraente]],Table1[[Nome/Ragione sociale]:[Checkbox selezionato]],12,FALSE),"-")</f>
        <v>SI</v>
      </c>
    </row>
    <row r="973" spans="1:44" ht="30" hidden="1" customHeight="1" x14ac:dyDescent="0.25">
      <c r="A973" s="60" t="str">
        <f>UPPER(LEFT(Table2[[#This Row],[Contraente]],1))</f>
        <v>S</v>
      </c>
      <c r="B973" s="60" t="s">
        <v>1634</v>
      </c>
      <c r="C973" s="81" t="s">
        <v>180</v>
      </c>
      <c r="D973" s="81" t="s">
        <v>37</v>
      </c>
      <c r="E973" s="86">
        <v>106151895</v>
      </c>
      <c r="F973" s="64">
        <v>42909</v>
      </c>
      <c r="G973" s="64">
        <f>IFERROR(CALCOLASCADENZA(Table2[[#This Row],[Data attivazione]],Table2[[#This Row],[Rateizzazione]],Table2[[#This Row],[Data ultimo pagamento]],Table2[[#This Row],[Data prossima scadenza manuale]]),"-")</f>
        <v>43016</v>
      </c>
      <c r="H973" s="67" t="s">
        <v>31</v>
      </c>
      <c r="I973" s="67" t="s">
        <v>1548</v>
      </c>
      <c r="J973" s="33">
        <f>IFERROR(Table2[[#This Row],[Importo annuale]]/(12/VLOOKUP(Table2[[#This Row],[Rateizzazione]],TIPI_RATEIZZAZIONI,2,FALSE)),"-")</f>
        <v>194</v>
      </c>
      <c r="K973" s="88">
        <v>388</v>
      </c>
      <c r="L973" s="88">
        <v>582</v>
      </c>
      <c r="M973" s="67" t="s">
        <v>44</v>
      </c>
      <c r="N973" s="67" t="s">
        <v>51</v>
      </c>
      <c r="O973" s="27" t="s">
        <v>1631</v>
      </c>
      <c r="P973" s="33" t="s">
        <v>21</v>
      </c>
      <c r="Q973" s="60">
        <f>IFERROR(IF(12 / VLOOKUP(Table2[[#This Row],[Rateizzazione]],TIPI_RATEIZZAZIONI,2,FALSE) &gt;=1,  IF(Table2[[#This Row],[Data attivazione]] = "","-",MONTH(Table2[[#This Row],[Data attivazione]])),"-"),"-")</f>
        <v>10</v>
      </c>
      <c r="R9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7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9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3" s="67" t="s">
        <v>133</v>
      </c>
      <c r="V973" s="62"/>
      <c r="W973" s="64">
        <v>42651</v>
      </c>
      <c r="X973" s="29">
        <f>DATE(YEAR(Table2[[#This Row],[Data attivazione]])+VLOOKUP(Table2[[#This Row],[Durata]],VALORE_DURATA,2,FALSE),MONTH(Table2[[#This Row],[Data attivazione]]),DAY(Table2[[#This Row],[Data attivazione]]))</f>
        <v>43016</v>
      </c>
      <c r="Y973" s="65"/>
      <c r="Z973" s="61"/>
      <c r="AA973" s="64" t="s">
        <v>85</v>
      </c>
      <c r="AB973" s="29" t="str">
        <f>IF(Table2[[#This Row],[Data ultimo versamento temp]]=0/1/1900,"-",Table2[[#This Row],[Data ultimo versamento temp]])</f>
        <v>-</v>
      </c>
      <c r="AC973" s="29">
        <f t="array" ref="AC973">MAX(IF(TableVersamenti[Polizza]=Table2[[#This Row],[Polizza]],TableVersamenti[Data prevista versamento],"-"))</f>
        <v>0</v>
      </c>
      <c r="AD973" s="62"/>
      <c r="AE973" s="106">
        <f>DATE(YEAR(Table2[[#This Row],[Data ultimo pagamento]]),MONTH(Table2[[#This Row],[Data ultimo pagamento]]), 1)</f>
        <v>42887</v>
      </c>
      <c r="AF973" s="106">
        <f>DATE(YEAR(Table2[[#This Row],[Data prossima scadenza]]),MONTH(Table2[[#This Row],[Data prossima scadenza]]), 1)</f>
        <v>43009</v>
      </c>
      <c r="AG973" s="33">
        <f>IFERROR(Table2[[#This Row],[Importo annuale]]*VLOOKUP(Table2[[#This Row],[Ramo]],RAMI_POLIZZA,2,FALSE),0)</f>
        <v>30.263999999999999</v>
      </c>
      <c r="AH973" s="65" t="s">
        <v>113</v>
      </c>
      <c r="AI973" s="63" t="str">
        <f>IFERROR(VLOOKUP(Table2[[#This Row],[Contraente]],Table1[[Nome/Ragione sociale]:[Checkbox selezionato]],2,FALSE),"-")</f>
        <v>ARENA PO</v>
      </c>
      <c r="AJ973" s="63">
        <f>IFERROR(VLOOKUP(Table2[[#This Row],[Contraente]],Table1[[Nome/Ragione sociale]:[Checkbox selezionato]],3,FALSE),"-")</f>
        <v>3200573752</v>
      </c>
      <c r="AK973" s="63" t="str">
        <f>IFERROR(VLOOKUP(Table2[[#This Row],[Contraente]],Table1[[Nome/Ragione sociale]:[Checkbox selezionato]],4,FALSE),"-")</f>
        <v>.038270480</v>
      </c>
      <c r="AL973" s="63" t="str">
        <f>IFERROR(VLOOKUP(Table2[[#This Row],[Contraente]],Table1[[Nome/Ragione sociale]:[Checkbox selezionato]],5,FALSE),"-")</f>
        <v>ALFREDO</v>
      </c>
      <c r="AM973" s="62">
        <f>IFERROR(VLOOKUP(Table2[[#This Row],[Contraente]],Table1[[Nome/Ragione sociale]:[Checkbox selezionato]],6,FALSE),"-")</f>
        <v>22529</v>
      </c>
      <c r="AN973" s="63" t="str">
        <f>IFERROR(VLOOKUP(Table2[[#This Row],[Contraente]],Table1[[Nome/Ragione sociale]:[Checkbox selezionato]],7,FALSE),"-")</f>
        <v>papies@libero.it</v>
      </c>
      <c r="AO973" s="63">
        <f>IFERROR(VLOOKUP(Table2[[#This Row],[Contraente]],Table1[[Nome/Ragione sociale]:[Checkbox selezionato]],8,FALSE),"-")</f>
        <v>0</v>
      </c>
      <c r="AP973" s="63">
        <f>IFERROR(VLOOKUP(Table2[[#This Row],[Contraente]],Table1[[Nome/Ragione sociale]:[Checkbox selezionato]],10,FALSE),"-")</f>
        <v>3200573752</v>
      </c>
      <c r="AQ973" s="63" t="str">
        <f>IFERROR(VLOOKUP(Table2[[#This Row],[Contraente]],Table1[[Nome/Ragione sociale]:[Checkbox selezionato]],11,FALSE),"-")</f>
        <v>SI</v>
      </c>
      <c r="AR973" s="63" t="str">
        <f>IFERROR(VLOOKUP(Table2[[#This Row],[Contraente]],Table1[[Nome/Ragione sociale]:[Checkbox selezionato]],12,FALSE),"-")</f>
        <v>SI</v>
      </c>
    </row>
    <row r="974" spans="1:44" ht="30" hidden="1" customHeight="1" x14ac:dyDescent="0.25">
      <c r="A974" s="60" t="str">
        <f>UPPER(LEFT(Table2[[#This Row],[Contraente]],1))</f>
        <v>S</v>
      </c>
      <c r="B974" s="60" t="s">
        <v>1634</v>
      </c>
      <c r="C974" s="81" t="s">
        <v>180</v>
      </c>
      <c r="D974" s="81" t="s">
        <v>37</v>
      </c>
      <c r="E974" s="86">
        <v>105272887</v>
      </c>
      <c r="F974" s="64">
        <v>42905</v>
      </c>
      <c r="G974" s="64">
        <f>IFERROR(CALCOLASCADENZA(Table2[[#This Row],[Data attivazione]],Table2[[#This Row],[Rateizzazione]],Table2[[#This Row],[Data ultimo pagamento]],Table2[[#This Row],[Data prossima scadenza manuale]]),"-")</f>
        <v>43012</v>
      </c>
      <c r="H974" s="67" t="s">
        <v>31</v>
      </c>
      <c r="I974" s="67" t="s">
        <v>1549</v>
      </c>
      <c r="J974" s="33">
        <f>IFERROR(Table2[[#This Row],[Importo annuale]]/(12/VLOOKUP(Table2[[#This Row],[Rateizzazione]],TIPI_RATEIZZAZIONI,2,FALSE)),"-")</f>
        <v>253</v>
      </c>
      <c r="K974" s="88">
        <v>506</v>
      </c>
      <c r="L974" s="88">
        <v>759</v>
      </c>
      <c r="M974" s="67" t="s">
        <v>44</v>
      </c>
      <c r="N974" s="67" t="s">
        <v>51</v>
      </c>
      <c r="O974" s="27" t="s">
        <v>1631</v>
      </c>
      <c r="P974" s="33" t="s">
        <v>21</v>
      </c>
      <c r="Q974" s="60">
        <f>IFERROR(IF(12 / VLOOKUP(Table2[[#This Row],[Rateizzazione]],TIPI_RATEIZZAZIONI,2,FALSE) &gt;=1,  IF(Table2[[#This Row],[Data attivazione]] = "","-",MONTH(Table2[[#This Row],[Data attivazione]])),"-"),"-")</f>
        <v>10</v>
      </c>
      <c r="R9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7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9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4" s="67" t="s">
        <v>133</v>
      </c>
      <c r="V974" s="62"/>
      <c r="W974" s="64">
        <v>42647</v>
      </c>
      <c r="X974" s="29">
        <f>DATE(YEAR(Table2[[#This Row],[Data attivazione]])+VLOOKUP(Table2[[#This Row],[Durata]],VALORE_DURATA,2,FALSE),MONTH(Table2[[#This Row],[Data attivazione]]),DAY(Table2[[#This Row],[Data attivazione]]))</f>
        <v>43012</v>
      </c>
      <c r="Y974" s="65"/>
      <c r="Z974" s="61"/>
      <c r="AA974" s="64" t="s">
        <v>85</v>
      </c>
      <c r="AB974" s="29" t="str">
        <f>IF(Table2[[#This Row],[Data ultimo versamento temp]]=0/1/1900,"-",Table2[[#This Row],[Data ultimo versamento temp]])</f>
        <v>-</v>
      </c>
      <c r="AC974" s="29">
        <f t="array" ref="AC974">MAX(IF(TableVersamenti[Polizza]=Table2[[#This Row],[Polizza]],TableVersamenti[Data prevista versamento],"-"))</f>
        <v>0</v>
      </c>
      <c r="AD974" s="62"/>
      <c r="AE974" s="106">
        <f>DATE(YEAR(Table2[[#This Row],[Data ultimo pagamento]]),MONTH(Table2[[#This Row],[Data ultimo pagamento]]), 1)</f>
        <v>42887</v>
      </c>
      <c r="AF974" s="106">
        <f>DATE(YEAR(Table2[[#This Row],[Data prossima scadenza]]),MONTH(Table2[[#This Row],[Data prossima scadenza]]), 1)</f>
        <v>43009</v>
      </c>
      <c r="AG974" s="33">
        <f>IFERROR(Table2[[#This Row],[Importo annuale]]*VLOOKUP(Table2[[#This Row],[Ramo]],RAMI_POLIZZA,2,FALSE),0)</f>
        <v>39.467999999999996</v>
      </c>
      <c r="AH974" s="65" t="s">
        <v>113</v>
      </c>
      <c r="AI974" s="63" t="str">
        <f>IFERROR(VLOOKUP(Table2[[#This Row],[Contraente]],Table1[[Nome/Ragione sociale]:[Checkbox selezionato]],2,FALSE),"-")</f>
        <v>ARENA PO</v>
      </c>
      <c r="AJ974" s="63">
        <f>IFERROR(VLOOKUP(Table2[[#This Row],[Contraente]],Table1[[Nome/Ragione sociale]:[Checkbox selezionato]],3,FALSE),"-")</f>
        <v>3200573752</v>
      </c>
      <c r="AK974" s="63" t="str">
        <f>IFERROR(VLOOKUP(Table2[[#This Row],[Contraente]],Table1[[Nome/Ragione sociale]:[Checkbox selezionato]],4,FALSE),"-")</f>
        <v>.038270480</v>
      </c>
      <c r="AL974" s="63" t="str">
        <f>IFERROR(VLOOKUP(Table2[[#This Row],[Contraente]],Table1[[Nome/Ragione sociale]:[Checkbox selezionato]],5,FALSE),"-")</f>
        <v>ALFREDO</v>
      </c>
      <c r="AM974" s="62">
        <f>IFERROR(VLOOKUP(Table2[[#This Row],[Contraente]],Table1[[Nome/Ragione sociale]:[Checkbox selezionato]],6,FALSE),"-")</f>
        <v>22529</v>
      </c>
      <c r="AN974" s="63" t="str">
        <f>IFERROR(VLOOKUP(Table2[[#This Row],[Contraente]],Table1[[Nome/Ragione sociale]:[Checkbox selezionato]],7,FALSE),"-")</f>
        <v>papies@libero.it</v>
      </c>
      <c r="AO974" s="63">
        <f>IFERROR(VLOOKUP(Table2[[#This Row],[Contraente]],Table1[[Nome/Ragione sociale]:[Checkbox selezionato]],8,FALSE),"-")</f>
        <v>0</v>
      </c>
      <c r="AP974" s="63">
        <f>IFERROR(VLOOKUP(Table2[[#This Row],[Contraente]],Table1[[Nome/Ragione sociale]:[Checkbox selezionato]],10,FALSE),"-")</f>
        <v>3200573752</v>
      </c>
      <c r="AQ974" s="63" t="str">
        <f>IFERROR(VLOOKUP(Table2[[#This Row],[Contraente]],Table1[[Nome/Ragione sociale]:[Checkbox selezionato]],11,FALSE),"-")</f>
        <v>SI</v>
      </c>
      <c r="AR974" s="63" t="str">
        <f>IFERROR(VLOOKUP(Table2[[#This Row],[Contraente]],Table1[[Nome/Ragione sociale]:[Checkbox selezionato]],12,FALSE),"-")</f>
        <v>SI</v>
      </c>
    </row>
    <row r="975" spans="1:44" ht="30" hidden="1" customHeight="1" x14ac:dyDescent="0.25">
      <c r="A975" s="60" t="str">
        <f>UPPER(LEFT(Table2[[#This Row],[Contraente]],1))</f>
        <v>S</v>
      </c>
      <c r="B975" s="60" t="s">
        <v>1634</v>
      </c>
      <c r="C975" s="81" t="s">
        <v>180</v>
      </c>
      <c r="D975" s="81" t="s">
        <v>37</v>
      </c>
      <c r="E975" s="86">
        <v>102687589</v>
      </c>
      <c r="F975" s="64">
        <v>42909</v>
      </c>
      <c r="G975" s="64">
        <f>IFERROR(CALCOLASCADENZA(Table2[[#This Row],[Data attivazione]],Table2[[#This Row],[Rateizzazione]],Table2[[#This Row],[Data ultimo pagamento]],Table2[[#This Row],[Data prossima scadenza manuale]]),"-")</f>
        <v>43066</v>
      </c>
      <c r="H975" s="67" t="s">
        <v>30</v>
      </c>
      <c r="I975" s="67" t="s">
        <v>113</v>
      </c>
      <c r="J975" s="33">
        <f>IFERROR(Table2[[#This Row],[Importo annuale]]/(12/VLOOKUP(Table2[[#This Row],[Rateizzazione]],TIPI_RATEIZZAZIONI,2,FALSE)),"-")</f>
        <v>120</v>
      </c>
      <c r="K975" s="88">
        <v>240</v>
      </c>
      <c r="L975" s="88">
        <v>240</v>
      </c>
      <c r="M975" s="67" t="s">
        <v>44</v>
      </c>
      <c r="N975" s="67" t="s">
        <v>51</v>
      </c>
      <c r="O975" s="27" t="s">
        <v>1631</v>
      </c>
      <c r="P975" s="33" t="s">
        <v>22</v>
      </c>
      <c r="Q975" s="60">
        <f>IFERROR(IF(12 / VLOOKUP(Table2[[#This Row],[Rateizzazione]],TIPI_RATEIZZAZIONI,2,FALSE) &gt;=1,  IF(Table2[[#This Row],[Data attivazione]] = "","-",MONTH(Table2[[#This Row],[Data attivazione]])),"-"),"-")</f>
        <v>11</v>
      </c>
      <c r="R9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5" s="67" t="s">
        <v>133</v>
      </c>
      <c r="V975" s="62"/>
      <c r="W975" s="64">
        <v>42701</v>
      </c>
      <c r="X975" s="29">
        <f>DATE(YEAR(Table2[[#This Row],[Data attivazione]])+VLOOKUP(Table2[[#This Row],[Durata]],VALORE_DURATA,2,FALSE),MONTH(Table2[[#This Row],[Data attivazione]]),DAY(Table2[[#This Row],[Data attivazione]]))</f>
        <v>43066</v>
      </c>
      <c r="Y975" s="65"/>
      <c r="Z975" s="61"/>
      <c r="AA975" s="64" t="s">
        <v>85</v>
      </c>
      <c r="AB975" s="29" t="str">
        <f>IF(Table2[[#This Row],[Data ultimo versamento temp]]=0/1/1900,"-",Table2[[#This Row],[Data ultimo versamento temp]])</f>
        <v>-</v>
      </c>
      <c r="AC975" s="29">
        <f t="array" ref="AC975">MAX(IF(TableVersamenti[Polizza]=Table2[[#This Row],[Polizza]],TableVersamenti[Data prevista versamento],"-"))</f>
        <v>0</v>
      </c>
      <c r="AD975" s="62"/>
      <c r="AE975" s="106">
        <f>DATE(YEAR(Table2[[#This Row],[Data ultimo pagamento]]),MONTH(Table2[[#This Row],[Data ultimo pagamento]]), 1)</f>
        <v>42887</v>
      </c>
      <c r="AF975" s="106">
        <f>DATE(YEAR(Table2[[#This Row],[Data prossima scadenza]]),MONTH(Table2[[#This Row],[Data prossima scadenza]]), 1)</f>
        <v>43040</v>
      </c>
      <c r="AG975" s="33">
        <f>IFERROR(Table2[[#This Row],[Importo annuale]]*VLOOKUP(Table2[[#This Row],[Ramo]],RAMI_POLIZZA,2,FALSE),0)</f>
        <v>27.6</v>
      </c>
      <c r="AH975" s="65" t="s">
        <v>113</v>
      </c>
      <c r="AI975" s="63" t="str">
        <f>IFERROR(VLOOKUP(Table2[[#This Row],[Contraente]],Table1[[Nome/Ragione sociale]:[Checkbox selezionato]],2,FALSE),"-")</f>
        <v>ARENA PO</v>
      </c>
      <c r="AJ975" s="63">
        <f>IFERROR(VLOOKUP(Table2[[#This Row],[Contraente]],Table1[[Nome/Ragione sociale]:[Checkbox selezionato]],3,FALSE),"-")</f>
        <v>3200573752</v>
      </c>
      <c r="AK975" s="63" t="str">
        <f>IFERROR(VLOOKUP(Table2[[#This Row],[Contraente]],Table1[[Nome/Ragione sociale]:[Checkbox selezionato]],4,FALSE),"-")</f>
        <v>.038270480</v>
      </c>
      <c r="AL975" s="63" t="str">
        <f>IFERROR(VLOOKUP(Table2[[#This Row],[Contraente]],Table1[[Nome/Ragione sociale]:[Checkbox selezionato]],5,FALSE),"-")</f>
        <v>ALFREDO</v>
      </c>
      <c r="AM975" s="62">
        <f>IFERROR(VLOOKUP(Table2[[#This Row],[Contraente]],Table1[[Nome/Ragione sociale]:[Checkbox selezionato]],6,FALSE),"-")</f>
        <v>22529</v>
      </c>
      <c r="AN975" s="63" t="str">
        <f>IFERROR(VLOOKUP(Table2[[#This Row],[Contraente]],Table1[[Nome/Ragione sociale]:[Checkbox selezionato]],7,FALSE),"-")</f>
        <v>papies@libero.it</v>
      </c>
      <c r="AO975" s="63">
        <f>IFERROR(VLOOKUP(Table2[[#This Row],[Contraente]],Table1[[Nome/Ragione sociale]:[Checkbox selezionato]],8,FALSE),"-")</f>
        <v>0</v>
      </c>
      <c r="AP975" s="63">
        <f>IFERROR(VLOOKUP(Table2[[#This Row],[Contraente]],Table1[[Nome/Ragione sociale]:[Checkbox selezionato]],10,FALSE),"-")</f>
        <v>3200573752</v>
      </c>
      <c r="AQ975" s="63" t="str">
        <f>IFERROR(VLOOKUP(Table2[[#This Row],[Contraente]],Table1[[Nome/Ragione sociale]:[Checkbox selezionato]],11,FALSE),"-")</f>
        <v>SI</v>
      </c>
      <c r="AR975" s="63" t="str">
        <f>IFERROR(VLOOKUP(Table2[[#This Row],[Contraente]],Table1[[Nome/Ragione sociale]:[Checkbox selezionato]],12,FALSE),"-")</f>
        <v>SI</v>
      </c>
    </row>
    <row r="976" spans="1:44" ht="30" hidden="1" customHeight="1" x14ac:dyDescent="0.25">
      <c r="A976" s="60" t="str">
        <f>UPPER(LEFT(Table2[[#This Row],[Contraente]],1))</f>
        <v>S</v>
      </c>
      <c r="B976" s="60" t="s">
        <v>1634</v>
      </c>
      <c r="C976" s="81" t="s">
        <v>180</v>
      </c>
      <c r="D976" s="81" t="s">
        <v>37</v>
      </c>
      <c r="E976" s="86">
        <v>104922905</v>
      </c>
      <c r="F976" s="64">
        <v>42851</v>
      </c>
      <c r="G976" s="64">
        <f>IFERROR(CALCOLASCADENZA(Table2[[#This Row],[Data attivazione]],Table2[[#This Row],[Rateizzazione]],Table2[[#This Row],[Data ultimo pagamento]],Table2[[#This Row],[Data prossima scadenza manuale]]),"-")</f>
        <v>43019</v>
      </c>
      <c r="H976" s="67" t="s">
        <v>31</v>
      </c>
      <c r="I976" s="67" t="s">
        <v>1551</v>
      </c>
      <c r="J976" s="33">
        <f>IFERROR(Table2[[#This Row],[Importo annuale]]/(12/VLOOKUP(Table2[[#This Row],[Rateizzazione]],TIPI_RATEIZZAZIONI,2,FALSE)),"-")</f>
        <v>189</v>
      </c>
      <c r="K976" s="88">
        <v>189</v>
      </c>
      <c r="L976" s="88">
        <v>378</v>
      </c>
      <c r="M976" s="67" t="s">
        <v>44</v>
      </c>
      <c r="N976" s="67" t="s">
        <v>51</v>
      </c>
      <c r="O976" s="27" t="s">
        <v>1631</v>
      </c>
      <c r="P976" s="33" t="s">
        <v>22</v>
      </c>
      <c r="Q976" s="60">
        <f>IFERROR(IF(12 / VLOOKUP(Table2[[#This Row],[Rateizzazione]],TIPI_RATEIZZAZIONI,2,FALSE) &gt;=1,  IF(Table2[[#This Row],[Data attivazione]] = "","-",MONTH(Table2[[#This Row],[Data attivazione]])),"-"),"-")</f>
        <v>10</v>
      </c>
      <c r="R9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6" s="67" t="s">
        <v>133</v>
      </c>
      <c r="V976" s="62"/>
      <c r="W976" s="64">
        <v>42654</v>
      </c>
      <c r="X976" s="29">
        <f>DATE(YEAR(Table2[[#This Row],[Data attivazione]])+VLOOKUP(Table2[[#This Row],[Durata]],VALORE_DURATA,2,FALSE),MONTH(Table2[[#This Row],[Data attivazione]]),DAY(Table2[[#This Row],[Data attivazione]]))</f>
        <v>43019</v>
      </c>
      <c r="Y976" s="65"/>
      <c r="Z976" s="61"/>
      <c r="AA976" s="64" t="s">
        <v>85</v>
      </c>
      <c r="AB976" s="29" t="str">
        <f>IF(Table2[[#This Row],[Data ultimo versamento temp]]=0/1/1900,"-",Table2[[#This Row],[Data ultimo versamento temp]])</f>
        <v>-</v>
      </c>
      <c r="AC976" s="29">
        <f t="array" ref="AC976">MAX(IF(TableVersamenti[Polizza]=Table2[[#This Row],[Polizza]],TableVersamenti[Data prevista versamento],"-"))</f>
        <v>0</v>
      </c>
      <c r="AD976" s="62"/>
      <c r="AE976" s="106">
        <f>DATE(YEAR(Table2[[#This Row],[Data ultimo pagamento]]),MONTH(Table2[[#This Row],[Data ultimo pagamento]]), 1)</f>
        <v>42826</v>
      </c>
      <c r="AF976" s="106">
        <f>DATE(YEAR(Table2[[#This Row],[Data prossima scadenza]]),MONTH(Table2[[#This Row],[Data prossima scadenza]]), 1)</f>
        <v>43009</v>
      </c>
      <c r="AG976" s="33">
        <f>IFERROR(Table2[[#This Row],[Importo annuale]]*VLOOKUP(Table2[[#This Row],[Ramo]],RAMI_POLIZZA,2,FALSE),0)</f>
        <v>19.655999999999999</v>
      </c>
      <c r="AH976" s="65" t="s">
        <v>113</v>
      </c>
      <c r="AI976" s="63" t="str">
        <f>IFERROR(VLOOKUP(Table2[[#This Row],[Contraente]],Table1[[Nome/Ragione sociale]:[Checkbox selezionato]],2,FALSE),"-")</f>
        <v>ARENA PO</v>
      </c>
      <c r="AJ976" s="63">
        <f>IFERROR(VLOOKUP(Table2[[#This Row],[Contraente]],Table1[[Nome/Ragione sociale]:[Checkbox selezionato]],3,FALSE),"-")</f>
        <v>3200573752</v>
      </c>
      <c r="AK976" s="63" t="str">
        <f>IFERROR(VLOOKUP(Table2[[#This Row],[Contraente]],Table1[[Nome/Ragione sociale]:[Checkbox selezionato]],4,FALSE),"-")</f>
        <v>.038270480</v>
      </c>
      <c r="AL976" s="63" t="str">
        <f>IFERROR(VLOOKUP(Table2[[#This Row],[Contraente]],Table1[[Nome/Ragione sociale]:[Checkbox selezionato]],5,FALSE),"-")</f>
        <v>ALFREDO</v>
      </c>
      <c r="AM976" s="62">
        <f>IFERROR(VLOOKUP(Table2[[#This Row],[Contraente]],Table1[[Nome/Ragione sociale]:[Checkbox selezionato]],6,FALSE),"-")</f>
        <v>22529</v>
      </c>
      <c r="AN976" s="63" t="str">
        <f>IFERROR(VLOOKUP(Table2[[#This Row],[Contraente]],Table1[[Nome/Ragione sociale]:[Checkbox selezionato]],7,FALSE),"-")</f>
        <v>papies@libero.it</v>
      </c>
      <c r="AO976" s="63">
        <f>IFERROR(VLOOKUP(Table2[[#This Row],[Contraente]],Table1[[Nome/Ragione sociale]:[Checkbox selezionato]],8,FALSE),"-")</f>
        <v>0</v>
      </c>
      <c r="AP976" s="63">
        <f>IFERROR(VLOOKUP(Table2[[#This Row],[Contraente]],Table1[[Nome/Ragione sociale]:[Checkbox selezionato]],10,FALSE),"-")</f>
        <v>3200573752</v>
      </c>
      <c r="AQ976" s="63" t="str">
        <f>IFERROR(VLOOKUP(Table2[[#This Row],[Contraente]],Table1[[Nome/Ragione sociale]:[Checkbox selezionato]],11,FALSE),"-")</f>
        <v>SI</v>
      </c>
      <c r="AR976" s="63" t="str">
        <f>IFERROR(VLOOKUP(Table2[[#This Row],[Contraente]],Table1[[Nome/Ragione sociale]:[Checkbox selezionato]],12,FALSE),"-")</f>
        <v>SI</v>
      </c>
    </row>
    <row r="977" spans="1:44" ht="30" hidden="1" customHeight="1" x14ac:dyDescent="0.25">
      <c r="A977" s="60" t="str">
        <f>UPPER(LEFT(Table2[[#This Row],[Contraente]],1))</f>
        <v>S</v>
      </c>
      <c r="B977" s="60" t="s">
        <v>1634</v>
      </c>
      <c r="C977" s="81" t="s">
        <v>980</v>
      </c>
      <c r="D977" s="81" t="s">
        <v>37</v>
      </c>
      <c r="E977" s="86">
        <v>105802940</v>
      </c>
      <c r="F977" s="64">
        <v>42928</v>
      </c>
      <c r="G977" s="64">
        <f>IFERROR(CALCOLASCADENZA(Table2[[#This Row],[Data attivazione]],Table2[[#This Row],[Rateizzazione]],Table2[[#This Row],[Data ultimo pagamento]],Table2[[#This Row],[Data prossima scadenza manuale]]),"-")</f>
        <v>43107</v>
      </c>
      <c r="H977" s="67" t="s">
        <v>30</v>
      </c>
      <c r="I977" s="67" t="s">
        <v>113</v>
      </c>
      <c r="J977" s="33">
        <f>IFERROR(Table2[[#This Row],[Importo annuale]]/(12/VLOOKUP(Table2[[#This Row],[Rateizzazione]],TIPI_RATEIZZAZIONI,2,FALSE)),"-")</f>
        <v>175</v>
      </c>
      <c r="K977" s="88">
        <v>350</v>
      </c>
      <c r="L977" s="88">
        <v>350</v>
      </c>
      <c r="M977" s="67" t="s">
        <v>45</v>
      </c>
      <c r="N977" s="67" t="s">
        <v>52</v>
      </c>
      <c r="O977" s="27" t="s">
        <v>1631</v>
      </c>
      <c r="P977" s="33" t="s">
        <v>22</v>
      </c>
      <c r="Q977" s="60">
        <f>IFERROR(IF(12 / VLOOKUP(Table2[[#This Row],[Rateizzazione]],TIPI_RATEIZZAZIONI,2,FALSE) &gt;=1,  IF(Table2[[#This Row],[Data attivazione]] = "","-",MONTH(Table2[[#This Row],[Data attivazione]])),"-"),"-")</f>
        <v>7</v>
      </c>
      <c r="R9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7" s="67" t="s">
        <v>2</v>
      </c>
      <c r="V977" s="62"/>
      <c r="W977" s="64">
        <v>42923</v>
      </c>
      <c r="X977" s="29">
        <f>DATE(YEAR(Table2[[#This Row],[Data attivazione]])+VLOOKUP(Table2[[#This Row],[Durata]],VALORE_DURATA,2,FALSE),MONTH(Table2[[#This Row],[Data attivazione]]),DAY(Table2[[#This Row],[Data attivazione]]))</f>
        <v>43288</v>
      </c>
      <c r="Y977" s="65"/>
      <c r="Z977" s="61"/>
      <c r="AA977" s="64" t="s">
        <v>85</v>
      </c>
      <c r="AB977" s="29">
        <f>IF(Table2[[#This Row],[Data ultimo versamento temp]]=0/1/1900,"-",Table2[[#This Row],[Data ultimo versamento temp]])</f>
        <v>42931</v>
      </c>
      <c r="AC977" s="29">
        <f t="array" ref="AC977">MAX(IF(TableVersamenti[Polizza]=Table2[[#This Row],[Polizza]],TableVersamenti[Data prevista versamento],"-"))</f>
        <v>42931</v>
      </c>
      <c r="AD977" s="62"/>
      <c r="AE977" s="106">
        <f>DATE(YEAR(Table2[[#This Row],[Data ultimo pagamento]]),MONTH(Table2[[#This Row],[Data ultimo pagamento]]), 1)</f>
        <v>42917</v>
      </c>
      <c r="AF977" s="106">
        <f>DATE(YEAR(Table2[[#This Row],[Data prossima scadenza]]),MONTH(Table2[[#This Row],[Data prossima scadenza]]), 1)</f>
        <v>43101</v>
      </c>
      <c r="AG977" s="33">
        <f>IFERROR(Table2[[#This Row],[Importo annuale]]*VLOOKUP(Table2[[#This Row],[Ramo]],RAMI_POLIZZA,2,FALSE),0)</f>
        <v>40.25</v>
      </c>
      <c r="AH977" s="65" t="s">
        <v>113</v>
      </c>
      <c r="AI977" s="63" t="str">
        <f>IFERROR(VLOOKUP(Table2[[#This Row],[Contraente]],Table1[[Nome/Ragione sociale]:[Checkbox selezionato]],2,FALSE),"-")</f>
        <v>MONTEBELLO</v>
      </c>
      <c r="AJ977" s="63">
        <f>IFERROR(VLOOKUP(Table2[[#This Row],[Contraente]],Table1[[Nome/Ragione sociale]:[Checkbox selezionato]],3,FALSE),"-")</f>
        <v>3336959116</v>
      </c>
      <c r="AK977" s="63">
        <f>IFERROR(VLOOKUP(Table2[[#This Row],[Contraente]],Table1[[Nome/Ragione sociale]:[Checkbox selezionato]],4,FALSE),"-")</f>
        <v>0</v>
      </c>
      <c r="AL977" s="63" t="str">
        <f>IFERROR(VLOOKUP(Table2[[#This Row],[Contraente]],Table1[[Nome/Ragione sociale]:[Checkbox selezionato]],5,FALSE),"-")</f>
        <v>MONICA</v>
      </c>
      <c r="AM977" s="62">
        <f>IFERROR(VLOOKUP(Table2[[#This Row],[Contraente]],Table1[[Nome/Ragione sociale]:[Checkbox selezionato]],6,FALSE),"-")</f>
        <v>24234</v>
      </c>
      <c r="AN977" s="63" t="str">
        <f>IFERROR(VLOOKUP(Table2[[#This Row],[Contraente]],Table1[[Nome/Ragione sociale]:[Checkbox selezionato]],7,FALSE),"-")</f>
        <v>papies@email.it</v>
      </c>
      <c r="AO977" s="63">
        <f>IFERROR(VLOOKUP(Table2[[#This Row],[Contraente]],Table1[[Nome/Ragione sociale]:[Checkbox selezionato]],8,FALSE),"-")</f>
        <v>0</v>
      </c>
      <c r="AP977" s="63">
        <f>IFERROR(VLOOKUP(Table2[[#This Row],[Contraente]],Table1[[Nome/Ragione sociale]:[Checkbox selezionato]],10,FALSE),"-")</f>
        <v>3336959116</v>
      </c>
      <c r="AQ977" s="63" t="str">
        <f>IFERROR(VLOOKUP(Table2[[#This Row],[Contraente]],Table1[[Nome/Ragione sociale]:[Checkbox selezionato]],11,FALSE),"-")</f>
        <v>SI</v>
      </c>
      <c r="AR977" s="63" t="str">
        <f>IFERROR(VLOOKUP(Table2[[#This Row],[Contraente]],Table1[[Nome/Ragione sociale]:[Checkbox selezionato]],12,FALSE),"-")</f>
        <v>SI</v>
      </c>
    </row>
    <row r="978" spans="1:44" ht="30" hidden="1" customHeight="1" x14ac:dyDescent="0.25">
      <c r="A978" s="60" t="str">
        <f>UPPER(LEFT(Table2[[#This Row],[Contraente]],1))</f>
        <v>S</v>
      </c>
      <c r="B978" s="60" t="s">
        <v>1634</v>
      </c>
      <c r="C978" s="81" t="s">
        <v>980</v>
      </c>
      <c r="D978" s="81" t="s">
        <v>37</v>
      </c>
      <c r="E978" s="86">
        <v>1074878</v>
      </c>
      <c r="F978" s="64">
        <v>42928</v>
      </c>
      <c r="G978" s="64">
        <f>IFERROR(CALCOLASCADENZA(Table2[[#This Row],[Data attivazione]],Table2[[#This Row],[Rateizzazione]],Table2[[#This Row],[Data ultimo pagamento]],Table2[[#This Row],[Data prossima scadenza manuale]]),"-")</f>
        <v>43106</v>
      </c>
      <c r="H978" s="67" t="s">
        <v>32</v>
      </c>
      <c r="I978" s="67" t="s">
        <v>113</v>
      </c>
      <c r="J978" s="33">
        <f>IFERROR(Table2[[#This Row],[Importo annuale]]/(12/VLOOKUP(Table2[[#This Row],[Rateizzazione]],TIPI_RATEIZZAZIONI,2,FALSE)),"-")</f>
        <v>102.49</v>
      </c>
      <c r="K978" s="88">
        <v>204.98</v>
      </c>
      <c r="L978" s="88">
        <v>204.98</v>
      </c>
      <c r="M978" s="67" t="s">
        <v>45</v>
      </c>
      <c r="N978" s="67" t="s">
        <v>52</v>
      </c>
      <c r="O978" s="27" t="s">
        <v>1631</v>
      </c>
      <c r="P978" s="33" t="s">
        <v>22</v>
      </c>
      <c r="Q978" s="60">
        <f>IFERROR(IF(12 / VLOOKUP(Table2[[#This Row],[Rateizzazione]],TIPI_RATEIZZAZIONI,2,FALSE) &gt;=1,  IF(Table2[[#This Row],[Data attivazione]] = "","-",MONTH(Table2[[#This Row],[Data attivazione]])),"-"),"-")</f>
        <v>7</v>
      </c>
      <c r="R9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8" s="67" t="s">
        <v>2</v>
      </c>
      <c r="V978" s="62"/>
      <c r="W978" s="64">
        <v>42922</v>
      </c>
      <c r="X978" s="29">
        <f>DATE(YEAR(Table2[[#This Row],[Data attivazione]])+VLOOKUP(Table2[[#This Row],[Durata]],VALORE_DURATA,2,FALSE),MONTH(Table2[[#This Row],[Data attivazione]]),DAY(Table2[[#This Row],[Data attivazione]]))</f>
        <v>43287</v>
      </c>
      <c r="Y978" s="65"/>
      <c r="Z978" s="61"/>
      <c r="AA978" s="64" t="s">
        <v>85</v>
      </c>
      <c r="AB978" s="29">
        <f>IF(Table2[[#This Row],[Data ultimo versamento temp]]=0/1/1900,"-",Table2[[#This Row],[Data ultimo versamento temp]])</f>
        <v>42931</v>
      </c>
      <c r="AC978" s="29">
        <f t="array" ref="AC978">MAX(IF(TableVersamenti[Polizza]=Table2[[#This Row],[Polizza]],TableVersamenti[Data prevista versamento],"-"))</f>
        <v>42931</v>
      </c>
      <c r="AD978" s="62"/>
      <c r="AE978" s="106">
        <f>DATE(YEAR(Table2[[#This Row],[Data ultimo pagamento]]),MONTH(Table2[[#This Row],[Data ultimo pagamento]]), 1)</f>
        <v>42917</v>
      </c>
      <c r="AF978" s="106">
        <f>DATE(YEAR(Table2[[#This Row],[Data prossima scadenza]]),MONTH(Table2[[#This Row],[Data prossima scadenza]]), 1)</f>
        <v>43101</v>
      </c>
      <c r="AG978" s="33">
        <f>IFERROR(Table2[[#This Row],[Importo annuale]]*VLOOKUP(Table2[[#This Row],[Ramo]],RAMI_POLIZZA,2,FALSE),0)</f>
        <v>3.0746999999999995</v>
      </c>
      <c r="AH978" s="65" t="s">
        <v>113</v>
      </c>
      <c r="AI978" s="63" t="str">
        <f>IFERROR(VLOOKUP(Table2[[#This Row],[Contraente]],Table1[[Nome/Ragione sociale]:[Checkbox selezionato]],2,FALSE),"-")</f>
        <v>MONTEBELLO</v>
      </c>
      <c r="AJ978" s="63">
        <f>IFERROR(VLOOKUP(Table2[[#This Row],[Contraente]],Table1[[Nome/Ragione sociale]:[Checkbox selezionato]],3,FALSE),"-")</f>
        <v>3336959116</v>
      </c>
      <c r="AK978" s="63">
        <f>IFERROR(VLOOKUP(Table2[[#This Row],[Contraente]],Table1[[Nome/Ragione sociale]:[Checkbox selezionato]],4,FALSE),"-")</f>
        <v>0</v>
      </c>
      <c r="AL978" s="63" t="str">
        <f>IFERROR(VLOOKUP(Table2[[#This Row],[Contraente]],Table1[[Nome/Ragione sociale]:[Checkbox selezionato]],5,FALSE),"-")</f>
        <v>MONICA</v>
      </c>
      <c r="AM978" s="62">
        <f>IFERROR(VLOOKUP(Table2[[#This Row],[Contraente]],Table1[[Nome/Ragione sociale]:[Checkbox selezionato]],6,FALSE),"-")</f>
        <v>24234</v>
      </c>
      <c r="AN978" s="63" t="str">
        <f>IFERROR(VLOOKUP(Table2[[#This Row],[Contraente]],Table1[[Nome/Ragione sociale]:[Checkbox selezionato]],7,FALSE),"-")</f>
        <v>papies@email.it</v>
      </c>
      <c r="AO978" s="63">
        <f>IFERROR(VLOOKUP(Table2[[#This Row],[Contraente]],Table1[[Nome/Ragione sociale]:[Checkbox selezionato]],8,FALSE),"-")</f>
        <v>0</v>
      </c>
      <c r="AP978" s="63">
        <f>IFERROR(VLOOKUP(Table2[[#This Row],[Contraente]],Table1[[Nome/Ragione sociale]:[Checkbox selezionato]],10,FALSE),"-")</f>
        <v>3336959116</v>
      </c>
      <c r="AQ978" s="63" t="str">
        <f>IFERROR(VLOOKUP(Table2[[#This Row],[Contraente]],Table1[[Nome/Ragione sociale]:[Checkbox selezionato]],11,FALSE),"-")</f>
        <v>SI</v>
      </c>
      <c r="AR978" s="63" t="str">
        <f>IFERROR(VLOOKUP(Table2[[#This Row],[Contraente]],Table1[[Nome/Ragione sociale]:[Checkbox selezionato]],12,FALSE),"-")</f>
        <v>SI</v>
      </c>
    </row>
    <row r="979" spans="1:44" ht="30" hidden="1" customHeight="1" x14ac:dyDescent="0.25">
      <c r="A979" s="60" t="str">
        <f>UPPER(LEFT(Table2[[#This Row],[Contraente]],1))</f>
        <v>S</v>
      </c>
      <c r="B979" s="60" t="s">
        <v>1634</v>
      </c>
      <c r="C979" s="81" t="s">
        <v>982</v>
      </c>
      <c r="D979" s="81" t="s">
        <v>37</v>
      </c>
      <c r="E979" s="86">
        <v>104879030</v>
      </c>
      <c r="F979" s="64">
        <v>42668</v>
      </c>
      <c r="G979" s="64">
        <f>IFERROR(CALCOLASCADENZA(Table2[[#This Row],[Data attivazione]],Table2[[#This Row],[Rateizzazione]],Table2[[#This Row],[Data ultimo pagamento]],Table2[[#This Row],[Data prossima scadenza manuale]]),"-")</f>
        <v>43033</v>
      </c>
      <c r="H979" s="67" t="s">
        <v>30</v>
      </c>
      <c r="I979" s="67" t="s">
        <v>113</v>
      </c>
      <c r="J979" s="33">
        <f>IFERROR(Table2[[#This Row],[Importo annuale]]/(12/VLOOKUP(Table2[[#This Row],[Rateizzazione]],TIPI_RATEIZZAZIONI,2,FALSE)),"-")</f>
        <v>354</v>
      </c>
      <c r="K979" s="88"/>
      <c r="L979" s="88">
        <v>354</v>
      </c>
      <c r="M979" s="67" t="s">
        <v>44</v>
      </c>
      <c r="N979" s="67" t="s">
        <v>52</v>
      </c>
      <c r="O979" s="27" t="s">
        <v>1631</v>
      </c>
      <c r="P979" s="33" t="s">
        <v>23</v>
      </c>
      <c r="Q979" s="60">
        <f>IFERROR(IF(12 / VLOOKUP(Table2[[#This Row],[Rateizzazione]],TIPI_RATEIZZAZIONI,2,FALSE) &gt;=1,  IF(Table2[[#This Row],[Data attivazione]] = "","-",MONTH(Table2[[#This Row],[Data attivazione]])),"-"),"-")</f>
        <v>10</v>
      </c>
      <c r="R9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9" s="67" t="s">
        <v>2</v>
      </c>
      <c r="V979" s="62"/>
      <c r="W979" s="64">
        <v>42668</v>
      </c>
      <c r="X979" s="29">
        <f>DATE(YEAR(Table2[[#This Row],[Data attivazione]])+VLOOKUP(Table2[[#This Row],[Durata]],VALORE_DURATA,2,FALSE),MONTH(Table2[[#This Row],[Data attivazione]]),DAY(Table2[[#This Row],[Data attivazione]]))</f>
        <v>43033</v>
      </c>
      <c r="Y979" s="65"/>
      <c r="Z979" s="61"/>
      <c r="AA979" s="64" t="s">
        <v>85</v>
      </c>
      <c r="AB979" s="29" t="str">
        <f>IF(Table2[[#This Row],[Data ultimo versamento temp]]=0/1/1900,"-",Table2[[#This Row],[Data ultimo versamento temp]])</f>
        <v>-</v>
      </c>
      <c r="AC979" s="29">
        <f t="array" ref="AC979">MAX(IF(TableVersamenti[Polizza]=Table2[[#This Row],[Polizza]],TableVersamenti[Data prevista versamento],"-"))</f>
        <v>0</v>
      </c>
      <c r="AD979" s="62"/>
      <c r="AE979" s="106">
        <f>DATE(YEAR(Table2[[#This Row],[Data ultimo pagamento]]),MONTH(Table2[[#This Row],[Data ultimo pagamento]]), 1)</f>
        <v>42644</v>
      </c>
      <c r="AF979" s="106">
        <f>DATE(YEAR(Table2[[#This Row],[Data prossima scadenza]]),MONTH(Table2[[#This Row],[Data prossima scadenza]]), 1)</f>
        <v>43009</v>
      </c>
      <c r="AG979" s="33">
        <f>IFERROR(Table2[[#This Row],[Importo annuale]]*VLOOKUP(Table2[[#This Row],[Ramo]],RAMI_POLIZZA,2,FALSE),0)</f>
        <v>40.71</v>
      </c>
      <c r="AH979" s="65" t="s">
        <v>113</v>
      </c>
      <c r="AI979" s="63" t="str">
        <f>IFERROR(VLOOKUP(Table2[[#This Row],[Contraente]],Table1[[Nome/Ragione sociale]:[Checkbox selezionato]],2,FALSE),"-")</f>
        <v>GENZONE</v>
      </c>
      <c r="AJ979" s="63">
        <f>IFERROR(VLOOKUP(Table2[[#This Row],[Contraente]],Table1[[Nome/Ragione sociale]:[Checkbox selezionato]],3,FALSE),"-")</f>
        <v>0</v>
      </c>
      <c r="AK979" s="63">
        <f>IFERROR(VLOOKUP(Table2[[#This Row],[Contraente]],Table1[[Nome/Ragione sociale]:[Checkbox selezionato]],4,FALSE),"-")</f>
        <v>0</v>
      </c>
      <c r="AL979" s="63">
        <f>IFERROR(VLOOKUP(Table2[[#This Row],[Contraente]],Table1[[Nome/Ragione sociale]:[Checkbox selezionato]],5,FALSE),"-")</f>
        <v>0</v>
      </c>
      <c r="AM979" s="62">
        <f>IFERROR(VLOOKUP(Table2[[#This Row],[Contraente]],Table1[[Nome/Ragione sociale]:[Checkbox selezionato]],6,FALSE),"-")</f>
        <v>0</v>
      </c>
      <c r="AN979" s="63" t="str">
        <f>IFERROR(VLOOKUP(Table2[[#This Row],[Contraente]],Table1[[Nome/Ragione sociale]:[Checkbox selezionato]],7,FALSE),"-")</f>
        <v>papies@libero.it</v>
      </c>
      <c r="AO979" s="63">
        <f>IFERROR(VLOOKUP(Table2[[#This Row],[Contraente]],Table1[[Nome/Ragione sociale]:[Checkbox selezionato]],8,FALSE),"-")</f>
        <v>0</v>
      </c>
      <c r="AP979" s="63">
        <f>IFERROR(VLOOKUP(Table2[[#This Row],[Contraente]],Table1[[Nome/Ragione sociale]:[Checkbox selezionato]],10,FALSE),"-")</f>
        <v>0</v>
      </c>
      <c r="AQ979" s="63" t="str">
        <f>IFERROR(VLOOKUP(Table2[[#This Row],[Contraente]],Table1[[Nome/Ragione sociale]:[Checkbox selezionato]],11,FALSE),"-")</f>
        <v>SI</v>
      </c>
      <c r="AR979" s="63" t="str">
        <f>IFERROR(VLOOKUP(Table2[[#This Row],[Contraente]],Table1[[Nome/Ragione sociale]:[Checkbox selezionato]],12,FALSE),"-")</f>
        <v>SI</v>
      </c>
    </row>
    <row r="980" spans="1:44" ht="30" hidden="1" customHeight="1" x14ac:dyDescent="0.25">
      <c r="A980" s="60" t="str">
        <f>UPPER(LEFT(Table2[[#This Row],[Contraente]],1))</f>
        <v>S</v>
      </c>
      <c r="B980" s="60" t="s">
        <v>1634</v>
      </c>
      <c r="C980" s="81" t="s">
        <v>975</v>
      </c>
      <c r="D980" s="81" t="s">
        <v>37</v>
      </c>
      <c r="E980" s="86">
        <v>106167125</v>
      </c>
      <c r="F980" s="64">
        <v>42864</v>
      </c>
      <c r="G980" s="64">
        <f>IFERROR(CALCOLASCADENZA(Table2[[#This Row],[Data attivazione]],Table2[[#This Row],[Rateizzazione]],Table2[[#This Row],[Data ultimo pagamento]],Table2[[#This Row],[Data prossima scadenza manuale]]),"-")</f>
        <v>43036</v>
      </c>
      <c r="H980" s="67" t="s">
        <v>31</v>
      </c>
      <c r="I980" s="67" t="s">
        <v>1546</v>
      </c>
      <c r="J980" s="33">
        <f>IFERROR(Table2[[#This Row],[Importo annuale]]/(12/VLOOKUP(Table2[[#This Row],[Rateizzazione]],TIPI_RATEIZZAZIONI,2,FALSE)),"-")</f>
        <v>187</v>
      </c>
      <c r="K980" s="88">
        <v>187</v>
      </c>
      <c r="L980" s="88">
        <v>374</v>
      </c>
      <c r="M980" s="67" t="s">
        <v>43</v>
      </c>
      <c r="N980" s="67" t="s">
        <v>51</v>
      </c>
      <c r="O980" s="27" t="s">
        <v>1631</v>
      </c>
      <c r="P980" s="33" t="s">
        <v>22</v>
      </c>
      <c r="Q980" s="60">
        <f>IFERROR(IF(12 / VLOOKUP(Table2[[#This Row],[Rateizzazione]],TIPI_RATEIZZAZIONI,2,FALSE) &gt;=1,  IF(Table2[[#This Row],[Data attivazione]] = "","-",MONTH(Table2[[#This Row],[Data attivazione]])),"-"),"-")</f>
        <v>10</v>
      </c>
      <c r="R9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0" s="67" t="s">
        <v>2</v>
      </c>
      <c r="V980" s="62"/>
      <c r="W980" s="64">
        <v>42671</v>
      </c>
      <c r="X980" s="29">
        <f>DATE(YEAR(Table2[[#This Row],[Data attivazione]])+VLOOKUP(Table2[[#This Row],[Durata]],VALORE_DURATA,2,FALSE),MONTH(Table2[[#This Row],[Data attivazione]]),DAY(Table2[[#This Row],[Data attivazione]]))</f>
        <v>43036</v>
      </c>
      <c r="Y980" s="65"/>
      <c r="Z980" s="61"/>
      <c r="AA980" s="64" t="s">
        <v>85</v>
      </c>
      <c r="AB980" s="29" t="str">
        <f>IF(Table2[[#This Row],[Data ultimo versamento temp]]=0/1/1900,"-",Table2[[#This Row],[Data ultimo versamento temp]])</f>
        <v>-</v>
      </c>
      <c r="AC980" s="29">
        <f t="array" ref="AC980">MAX(IF(TableVersamenti[Polizza]=Table2[[#This Row],[Polizza]],TableVersamenti[Data prevista versamento],"-"))</f>
        <v>0</v>
      </c>
      <c r="AD980" s="62"/>
      <c r="AE980" s="106">
        <f>DATE(YEAR(Table2[[#This Row],[Data ultimo pagamento]]),MONTH(Table2[[#This Row],[Data ultimo pagamento]]), 1)</f>
        <v>42856</v>
      </c>
      <c r="AF980" s="106">
        <f>DATE(YEAR(Table2[[#This Row],[Data prossima scadenza]]),MONTH(Table2[[#This Row],[Data prossima scadenza]]), 1)</f>
        <v>43009</v>
      </c>
      <c r="AG980" s="33">
        <f>IFERROR(Table2[[#This Row],[Importo annuale]]*VLOOKUP(Table2[[#This Row],[Ramo]],RAMI_POLIZZA,2,FALSE),0)</f>
        <v>19.448</v>
      </c>
      <c r="AH980" s="65" t="s">
        <v>113</v>
      </c>
      <c r="AI980" s="63" t="str">
        <f>IFERROR(VLOOKUP(Table2[[#This Row],[Contraente]],Table1[[Nome/Ragione sociale]:[Checkbox selezionato]],2,FALSE),"-")</f>
        <v>BELGIOIOSO</v>
      </c>
      <c r="AJ980" s="63">
        <f>IFERROR(VLOOKUP(Table2[[#This Row],[Contraente]],Table1[[Nome/Ragione sociale]:[Checkbox selezionato]],3,FALSE),"-")</f>
        <v>3343654093</v>
      </c>
      <c r="AK980" s="63">
        <f>IFERROR(VLOOKUP(Table2[[#This Row],[Contraente]],Table1[[Nome/Ragione sociale]:[Checkbox selezionato]],4,FALSE),"-")</f>
        <v>0</v>
      </c>
      <c r="AL980" s="63" t="str">
        <f>IFERROR(VLOOKUP(Table2[[#This Row],[Contraente]],Table1[[Nome/Ragione sociale]:[Checkbox selezionato]],5,FALSE),"-")</f>
        <v>FRANCESCA</v>
      </c>
      <c r="AM980" s="62">
        <f>IFERROR(VLOOKUP(Table2[[#This Row],[Contraente]],Table1[[Nome/Ragione sociale]:[Checkbox selezionato]],6,FALSE),"-")</f>
        <v>28545</v>
      </c>
      <c r="AN980" s="63" t="str">
        <f>IFERROR(VLOOKUP(Table2[[#This Row],[Contraente]],Table1[[Nome/Ragione sociale]:[Checkbox selezionato]],7,FALSE),"-")</f>
        <v>papies@libero.it</v>
      </c>
      <c r="AO980" s="63">
        <f>IFERROR(VLOOKUP(Table2[[#This Row],[Contraente]],Table1[[Nome/Ragione sociale]:[Checkbox selezionato]],8,FALSE),"-")</f>
        <v>0</v>
      </c>
      <c r="AP980" s="63">
        <f>IFERROR(VLOOKUP(Table2[[#This Row],[Contraente]],Table1[[Nome/Ragione sociale]:[Checkbox selezionato]],10,FALSE),"-")</f>
        <v>3343654093</v>
      </c>
      <c r="AQ980" s="63" t="str">
        <f>IFERROR(VLOOKUP(Table2[[#This Row],[Contraente]],Table1[[Nome/Ragione sociale]:[Checkbox selezionato]],11,FALSE),"-")</f>
        <v>SI</v>
      </c>
      <c r="AR980" s="63" t="str">
        <f>IFERROR(VLOOKUP(Table2[[#This Row],[Contraente]],Table1[[Nome/Ragione sociale]:[Checkbox selezionato]],12,FALSE),"-")</f>
        <v>SI</v>
      </c>
    </row>
    <row r="981" spans="1:44" ht="30" hidden="1" customHeight="1" x14ac:dyDescent="0.25">
      <c r="A981" s="60" t="str">
        <f>UPPER(LEFT(Table2[[#This Row],[Contraente]],1))</f>
        <v>S</v>
      </c>
      <c r="B981" s="60" t="s">
        <v>1634</v>
      </c>
      <c r="C981" s="81" t="s">
        <v>975</v>
      </c>
      <c r="D981" s="81" t="s">
        <v>37</v>
      </c>
      <c r="E981" s="86">
        <v>106175346</v>
      </c>
      <c r="F981" s="64">
        <v>42864</v>
      </c>
      <c r="G981" s="64">
        <f>IFERROR(CALCOLASCADENZA(Table2[[#This Row],[Data attivazione]],Table2[[#This Row],[Rateizzazione]],Table2[[#This Row],[Data ultimo pagamento]],Table2[[#This Row],[Data prossima scadenza manuale]]),"-")</f>
        <v>43036</v>
      </c>
      <c r="H981" s="67" t="s">
        <v>30</v>
      </c>
      <c r="I981" s="67" t="s">
        <v>113</v>
      </c>
      <c r="J981" s="33">
        <f>IFERROR(Table2[[#This Row],[Importo annuale]]/(12/VLOOKUP(Table2[[#This Row],[Rateizzazione]],TIPI_RATEIZZAZIONI,2,FALSE)),"-")</f>
        <v>32</v>
      </c>
      <c r="K981" s="88">
        <v>32</v>
      </c>
      <c r="L981" s="88">
        <v>64</v>
      </c>
      <c r="M981" s="67" t="s">
        <v>43</v>
      </c>
      <c r="N981" s="67" t="s">
        <v>51</v>
      </c>
      <c r="O981" s="27" t="s">
        <v>1631</v>
      </c>
      <c r="P981" s="33" t="s">
        <v>22</v>
      </c>
      <c r="Q981" s="60">
        <f>IFERROR(IF(12 / VLOOKUP(Table2[[#This Row],[Rateizzazione]],TIPI_RATEIZZAZIONI,2,FALSE) &gt;=1,  IF(Table2[[#This Row],[Data attivazione]] = "","-",MONTH(Table2[[#This Row],[Data attivazione]])),"-"),"-")</f>
        <v>10</v>
      </c>
      <c r="R9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1" s="67" t="s">
        <v>2</v>
      </c>
      <c r="V981" s="62"/>
      <c r="W981" s="64">
        <v>42671</v>
      </c>
      <c r="X981" s="29">
        <f>DATE(YEAR(Table2[[#This Row],[Data attivazione]])+VLOOKUP(Table2[[#This Row],[Durata]],VALORE_DURATA,2,FALSE),MONTH(Table2[[#This Row],[Data attivazione]]),DAY(Table2[[#This Row],[Data attivazione]]))</f>
        <v>43036</v>
      </c>
      <c r="Y981" s="65"/>
      <c r="Z981" s="61"/>
      <c r="AA981" s="64" t="s">
        <v>85</v>
      </c>
      <c r="AB981" s="29" t="str">
        <f>IF(Table2[[#This Row],[Data ultimo versamento temp]]=0/1/1900,"-",Table2[[#This Row],[Data ultimo versamento temp]])</f>
        <v>-</v>
      </c>
      <c r="AC981" s="29">
        <f t="array" ref="AC981">MAX(IF(TableVersamenti[Polizza]=Table2[[#This Row],[Polizza]],TableVersamenti[Data prevista versamento],"-"))</f>
        <v>0</v>
      </c>
      <c r="AD981" s="62"/>
      <c r="AE981" s="106">
        <f>DATE(YEAR(Table2[[#This Row],[Data ultimo pagamento]]),MONTH(Table2[[#This Row],[Data ultimo pagamento]]), 1)</f>
        <v>42856</v>
      </c>
      <c r="AF981" s="106">
        <f>DATE(YEAR(Table2[[#This Row],[Data prossima scadenza]]),MONTH(Table2[[#This Row],[Data prossima scadenza]]), 1)</f>
        <v>43009</v>
      </c>
      <c r="AG981" s="33">
        <f>IFERROR(Table2[[#This Row],[Importo annuale]]*VLOOKUP(Table2[[#This Row],[Ramo]],RAMI_POLIZZA,2,FALSE),0)</f>
        <v>7.36</v>
      </c>
      <c r="AH981" s="65" t="s">
        <v>113</v>
      </c>
      <c r="AI981" s="63" t="str">
        <f>IFERROR(VLOOKUP(Table2[[#This Row],[Contraente]],Table1[[Nome/Ragione sociale]:[Checkbox selezionato]],2,FALSE),"-")</f>
        <v>BELGIOIOSO</v>
      </c>
      <c r="AJ981" s="63">
        <f>IFERROR(VLOOKUP(Table2[[#This Row],[Contraente]],Table1[[Nome/Ragione sociale]:[Checkbox selezionato]],3,FALSE),"-")</f>
        <v>3343654093</v>
      </c>
      <c r="AK981" s="63">
        <f>IFERROR(VLOOKUP(Table2[[#This Row],[Contraente]],Table1[[Nome/Ragione sociale]:[Checkbox selezionato]],4,FALSE),"-")</f>
        <v>0</v>
      </c>
      <c r="AL981" s="63" t="str">
        <f>IFERROR(VLOOKUP(Table2[[#This Row],[Contraente]],Table1[[Nome/Ragione sociale]:[Checkbox selezionato]],5,FALSE),"-")</f>
        <v>FRANCESCA</v>
      </c>
      <c r="AM981" s="62">
        <f>IFERROR(VLOOKUP(Table2[[#This Row],[Contraente]],Table1[[Nome/Ragione sociale]:[Checkbox selezionato]],6,FALSE),"-")</f>
        <v>28545</v>
      </c>
      <c r="AN981" s="63" t="str">
        <f>IFERROR(VLOOKUP(Table2[[#This Row],[Contraente]],Table1[[Nome/Ragione sociale]:[Checkbox selezionato]],7,FALSE),"-")</f>
        <v>papies@libero.it</v>
      </c>
      <c r="AO981" s="63">
        <f>IFERROR(VLOOKUP(Table2[[#This Row],[Contraente]],Table1[[Nome/Ragione sociale]:[Checkbox selezionato]],8,FALSE),"-")</f>
        <v>0</v>
      </c>
      <c r="AP981" s="63">
        <f>IFERROR(VLOOKUP(Table2[[#This Row],[Contraente]],Table1[[Nome/Ragione sociale]:[Checkbox selezionato]],10,FALSE),"-")</f>
        <v>3343654093</v>
      </c>
      <c r="AQ981" s="63" t="str">
        <f>IFERROR(VLOOKUP(Table2[[#This Row],[Contraente]],Table1[[Nome/Ragione sociale]:[Checkbox selezionato]],11,FALSE),"-")</f>
        <v>SI</v>
      </c>
      <c r="AR981" s="63" t="str">
        <f>IFERROR(VLOOKUP(Table2[[#This Row],[Contraente]],Table1[[Nome/Ragione sociale]:[Checkbox selezionato]],12,FALSE),"-")</f>
        <v>SI</v>
      </c>
    </row>
    <row r="982" spans="1:44" ht="30" hidden="1" customHeight="1" x14ac:dyDescent="0.25">
      <c r="A982" s="60" t="str">
        <f>UPPER(LEFT(Table2[[#This Row],[Contraente]],1))</f>
        <v>S</v>
      </c>
      <c r="B982" s="60" t="s">
        <v>1634</v>
      </c>
      <c r="C982" s="81" t="s">
        <v>979</v>
      </c>
      <c r="D982" s="81" t="s">
        <v>37</v>
      </c>
      <c r="E982" s="86">
        <v>104727012</v>
      </c>
      <c r="F982" s="64">
        <v>42786</v>
      </c>
      <c r="G982" s="64">
        <f>IFERROR(CALCOLASCADENZA(Table2[[#This Row],[Data attivazione]],Table2[[#This Row],[Rateizzazione]],Table2[[#This Row],[Data ultimo pagamento]],Table2[[#This Row],[Data prossima scadenza manuale]]),"-")</f>
        <v>42952</v>
      </c>
      <c r="H982" s="67" t="s">
        <v>30</v>
      </c>
      <c r="I982" s="67" t="s">
        <v>113</v>
      </c>
      <c r="J982" s="33">
        <f>IFERROR(Table2[[#This Row],[Importo annuale]]/(12/VLOOKUP(Table2[[#This Row],[Rateizzazione]],TIPI_RATEIZZAZIONI,2,FALSE)),"-")</f>
        <v>162</v>
      </c>
      <c r="K982" s="88">
        <v>162</v>
      </c>
      <c r="L982" s="88">
        <v>324</v>
      </c>
      <c r="M982" s="67" t="s">
        <v>44</v>
      </c>
      <c r="N982" s="67" t="s">
        <v>51</v>
      </c>
      <c r="O982" s="27" t="s">
        <v>1631</v>
      </c>
      <c r="P982" s="33" t="s">
        <v>22</v>
      </c>
      <c r="Q982" s="60">
        <f>IFERROR(IF(12 / VLOOKUP(Table2[[#This Row],[Rateizzazione]],TIPI_RATEIZZAZIONI,2,FALSE) &gt;=1,  IF(Table2[[#This Row],[Data attivazione]] = "","-",MONTH(Table2[[#This Row],[Data attivazione]])),"-"),"-")</f>
        <v>8</v>
      </c>
      <c r="R98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2" s="67" t="s">
        <v>2</v>
      </c>
      <c r="V982" s="62"/>
      <c r="W982" s="64">
        <v>42587</v>
      </c>
      <c r="X982" s="29">
        <f>DATE(YEAR(Table2[[#This Row],[Data attivazione]])+VLOOKUP(Table2[[#This Row],[Durata]],VALORE_DURATA,2,FALSE),MONTH(Table2[[#This Row],[Data attivazione]]),DAY(Table2[[#This Row],[Data attivazione]]))</f>
        <v>42952</v>
      </c>
      <c r="Y982" s="65"/>
      <c r="Z982" s="61"/>
      <c r="AA982" s="64" t="s">
        <v>85</v>
      </c>
      <c r="AB982" s="29" t="str">
        <f>IF(Table2[[#This Row],[Data ultimo versamento temp]]=0/1/1900,"-",Table2[[#This Row],[Data ultimo versamento temp]])</f>
        <v>-</v>
      </c>
      <c r="AC982" s="29">
        <f t="array" ref="AC982">MAX(IF(TableVersamenti[Polizza]=Table2[[#This Row],[Polizza]],TableVersamenti[Data prevista versamento],"-"))</f>
        <v>0</v>
      </c>
      <c r="AD982" s="62"/>
      <c r="AE982" s="106">
        <f>DATE(YEAR(Table2[[#This Row],[Data ultimo pagamento]]),MONTH(Table2[[#This Row],[Data ultimo pagamento]]), 1)</f>
        <v>42767</v>
      </c>
      <c r="AF982" s="106">
        <f>DATE(YEAR(Table2[[#This Row],[Data prossima scadenza]]),MONTH(Table2[[#This Row],[Data prossima scadenza]]), 1)</f>
        <v>42948</v>
      </c>
      <c r="AG982" s="33">
        <f>IFERROR(Table2[[#This Row],[Importo annuale]]*VLOOKUP(Table2[[#This Row],[Ramo]],RAMI_POLIZZA,2,FALSE),0)</f>
        <v>37.260000000000005</v>
      </c>
      <c r="AH982" s="65" t="s">
        <v>113</v>
      </c>
      <c r="AI982" s="63" t="str">
        <f>IFERROR(VLOOKUP(Table2[[#This Row],[Contraente]],Table1[[Nome/Ragione sociale]:[Checkbox selezionato]],2,FALSE),"-")</f>
        <v>COPIANO</v>
      </c>
      <c r="AJ982" s="63">
        <f>IFERROR(VLOOKUP(Table2[[#This Row],[Contraente]],Table1[[Nome/Ragione sociale]:[Checkbox selezionato]],3,FALSE),"-")</f>
        <v>3498426784</v>
      </c>
      <c r="AK982" s="63">
        <f>IFERROR(VLOOKUP(Table2[[#This Row],[Contraente]],Table1[[Nome/Ragione sociale]:[Checkbox selezionato]],4,FALSE),"-")</f>
        <v>0</v>
      </c>
      <c r="AL982" s="63" t="str">
        <f>IFERROR(VLOOKUP(Table2[[#This Row],[Contraente]],Table1[[Nome/Ragione sociale]:[Checkbox selezionato]],5,FALSE),"-")</f>
        <v>IVO</v>
      </c>
      <c r="AM982" s="62">
        <f>IFERROR(VLOOKUP(Table2[[#This Row],[Contraente]],Table1[[Nome/Ragione sociale]:[Checkbox selezionato]],6,FALSE),"-")</f>
        <v>32672</v>
      </c>
      <c r="AN982" s="63" t="str">
        <f>IFERROR(VLOOKUP(Table2[[#This Row],[Contraente]],Table1[[Nome/Ragione sociale]:[Checkbox selezionato]],7,FALSE),"-")</f>
        <v>papies@email.it</v>
      </c>
      <c r="AO982" s="63">
        <f>IFERROR(VLOOKUP(Table2[[#This Row],[Contraente]],Table1[[Nome/Ragione sociale]:[Checkbox selezionato]],8,FALSE),"-")</f>
        <v>0</v>
      </c>
      <c r="AP982" s="63">
        <f>IFERROR(VLOOKUP(Table2[[#This Row],[Contraente]],Table1[[Nome/Ragione sociale]:[Checkbox selezionato]],10,FALSE),"-")</f>
        <v>3498426784</v>
      </c>
      <c r="AQ982" s="63" t="str">
        <f>IFERROR(VLOOKUP(Table2[[#This Row],[Contraente]],Table1[[Nome/Ragione sociale]:[Checkbox selezionato]],11,FALSE),"-")</f>
        <v>SI</v>
      </c>
      <c r="AR982" s="63" t="str">
        <f>IFERROR(VLOOKUP(Table2[[#This Row],[Contraente]],Table1[[Nome/Ragione sociale]:[Checkbox selezionato]],12,FALSE),"-")</f>
        <v>SI</v>
      </c>
    </row>
    <row r="983" spans="1:44" ht="30" hidden="1" customHeight="1" x14ac:dyDescent="0.25">
      <c r="A983" s="60" t="str">
        <f>UPPER(LEFT(Table2[[#This Row],[Contraente]],1))</f>
        <v>S</v>
      </c>
      <c r="B983" s="60" t="s">
        <v>1634</v>
      </c>
      <c r="C983" s="81" t="s">
        <v>977</v>
      </c>
      <c r="D983" s="81" t="s">
        <v>37</v>
      </c>
      <c r="E983" s="86">
        <v>104726985</v>
      </c>
      <c r="F983" s="64">
        <v>42786</v>
      </c>
      <c r="G983" s="64">
        <f>IFERROR(CALCOLASCADENZA(Table2[[#This Row],[Data attivazione]],Table2[[#This Row],[Rateizzazione]],Table2[[#This Row],[Data ultimo pagamento]],Table2[[#This Row],[Data prossima scadenza manuale]]),"-")</f>
        <v>42952</v>
      </c>
      <c r="H983" s="67" t="s">
        <v>30</v>
      </c>
      <c r="I983" s="67" t="s">
        <v>113</v>
      </c>
      <c r="J983" s="33">
        <f>IFERROR(Table2[[#This Row],[Importo annuale]]/(12/VLOOKUP(Table2[[#This Row],[Rateizzazione]],TIPI_RATEIZZAZIONI,2,FALSE)),"-")</f>
        <v>171</v>
      </c>
      <c r="K983" s="88">
        <v>171</v>
      </c>
      <c r="L983" s="88">
        <v>342</v>
      </c>
      <c r="M983" s="67" t="s">
        <v>44</v>
      </c>
      <c r="N983" s="67" t="s">
        <v>51</v>
      </c>
      <c r="O983" s="27" t="s">
        <v>1631</v>
      </c>
      <c r="P983" s="33" t="s">
        <v>22</v>
      </c>
      <c r="Q983" s="60">
        <f>IFERROR(IF(12 / VLOOKUP(Table2[[#This Row],[Rateizzazione]],TIPI_RATEIZZAZIONI,2,FALSE) &gt;=1,  IF(Table2[[#This Row],[Data attivazione]] = "","-",MONTH(Table2[[#This Row],[Data attivazione]])),"-"),"-")</f>
        <v>8</v>
      </c>
      <c r="R9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3" s="67" t="s">
        <v>2</v>
      </c>
      <c r="V983" s="62"/>
      <c r="W983" s="64">
        <v>42587</v>
      </c>
      <c r="X983" s="29">
        <f>DATE(YEAR(Table2[[#This Row],[Data attivazione]])+VLOOKUP(Table2[[#This Row],[Durata]],VALORE_DURATA,2,FALSE),MONTH(Table2[[#This Row],[Data attivazione]]),DAY(Table2[[#This Row],[Data attivazione]]))</f>
        <v>42952</v>
      </c>
      <c r="Y983" s="65"/>
      <c r="Z983" s="61"/>
      <c r="AA983" s="64" t="s">
        <v>85</v>
      </c>
      <c r="AB983" s="29" t="str">
        <f>IF(Table2[[#This Row],[Data ultimo versamento temp]]=0/1/1900,"-",Table2[[#This Row],[Data ultimo versamento temp]])</f>
        <v>-</v>
      </c>
      <c r="AC983" s="29">
        <f t="array" ref="AC983">MAX(IF(TableVersamenti[Polizza]=Table2[[#This Row],[Polizza]],TableVersamenti[Data prevista versamento],"-"))</f>
        <v>0</v>
      </c>
      <c r="AD983" s="62"/>
      <c r="AE983" s="106">
        <f>DATE(YEAR(Table2[[#This Row],[Data ultimo pagamento]]),MONTH(Table2[[#This Row],[Data ultimo pagamento]]), 1)</f>
        <v>42767</v>
      </c>
      <c r="AF983" s="106">
        <f>DATE(YEAR(Table2[[#This Row],[Data prossima scadenza]]),MONTH(Table2[[#This Row],[Data prossima scadenza]]), 1)</f>
        <v>42948</v>
      </c>
      <c r="AG983" s="33">
        <f>IFERROR(Table2[[#This Row],[Importo annuale]]*VLOOKUP(Table2[[#This Row],[Ramo]],RAMI_POLIZZA,2,FALSE),0)</f>
        <v>39.33</v>
      </c>
      <c r="AH983" s="65" t="s">
        <v>113</v>
      </c>
      <c r="AI983" s="63" t="str">
        <f>IFERROR(VLOOKUP(Table2[[#This Row],[Contraente]],Table1[[Nome/Ragione sociale]:[Checkbox selezionato]],2,FALSE),"-")</f>
        <v>COPIANO</v>
      </c>
      <c r="AJ983" s="63">
        <f>IFERROR(VLOOKUP(Table2[[#This Row],[Contraente]],Table1[[Nome/Ragione sociale]:[Checkbox selezionato]],3,FALSE),"-")</f>
        <v>3498426784</v>
      </c>
      <c r="AK983" s="63">
        <f>IFERROR(VLOOKUP(Table2[[#This Row],[Contraente]],Table1[[Nome/Ragione sociale]:[Checkbox selezionato]],4,FALSE),"-")</f>
        <v>0</v>
      </c>
      <c r="AL983" s="63" t="str">
        <f>IFERROR(VLOOKUP(Table2[[#This Row],[Contraente]],Table1[[Nome/Ragione sociale]:[Checkbox selezionato]],5,FALSE),"-")</f>
        <v>IVO</v>
      </c>
      <c r="AM983" s="62">
        <f>IFERROR(VLOOKUP(Table2[[#This Row],[Contraente]],Table1[[Nome/Ragione sociale]:[Checkbox selezionato]],6,FALSE),"-")</f>
        <v>21206</v>
      </c>
      <c r="AN983" s="63" t="str">
        <f>IFERROR(VLOOKUP(Table2[[#This Row],[Contraente]],Table1[[Nome/Ragione sociale]:[Checkbox selezionato]],7,FALSE),"-")</f>
        <v>papies@libero.it</v>
      </c>
      <c r="AO983" s="63">
        <f>IFERROR(VLOOKUP(Table2[[#This Row],[Contraente]],Table1[[Nome/Ragione sociale]:[Checkbox selezionato]],8,FALSE),"-")</f>
        <v>0</v>
      </c>
      <c r="AP983" s="63">
        <f>IFERROR(VLOOKUP(Table2[[#This Row],[Contraente]],Table1[[Nome/Ragione sociale]:[Checkbox selezionato]],10,FALSE),"-")</f>
        <v>3498426784</v>
      </c>
      <c r="AQ983" s="63" t="str">
        <f>IFERROR(VLOOKUP(Table2[[#This Row],[Contraente]],Table1[[Nome/Ragione sociale]:[Checkbox selezionato]],11,FALSE),"-")</f>
        <v>SI</v>
      </c>
      <c r="AR983" s="63" t="str">
        <f>IFERROR(VLOOKUP(Table2[[#This Row],[Contraente]],Table1[[Nome/Ragione sociale]:[Checkbox selezionato]],12,FALSE),"-")</f>
        <v>SI</v>
      </c>
    </row>
    <row r="984" spans="1:44" ht="30" hidden="1" customHeight="1" x14ac:dyDescent="0.25">
      <c r="A984" s="60" t="str">
        <f>UPPER(LEFT(Table2[[#This Row],[Contraente]],1))</f>
        <v>S</v>
      </c>
      <c r="B984" s="60" t="s">
        <v>1634</v>
      </c>
      <c r="C984" s="81" t="s">
        <v>973</v>
      </c>
      <c r="D984" s="81" t="s">
        <v>37</v>
      </c>
      <c r="E984" s="86">
        <v>107016075</v>
      </c>
      <c r="F984" s="64">
        <v>42907</v>
      </c>
      <c r="G984" s="64">
        <f>IFERROR(CALCOLASCADENZA(Table2[[#This Row],[Data attivazione]],Table2[[#This Row],[Rateizzazione]],Table2[[#This Row],[Data ultimo pagamento]],Table2[[#This Row],[Data prossima scadenza manuale]]),"-")</f>
        <v>42907</v>
      </c>
      <c r="H984" s="67" t="s">
        <v>31</v>
      </c>
      <c r="I984" s="67" t="s">
        <v>1545</v>
      </c>
      <c r="J984" s="33">
        <v>-2.5</v>
      </c>
      <c r="K984" s="88">
        <v>2.5</v>
      </c>
      <c r="L984" s="88">
        <v>1340</v>
      </c>
      <c r="M984" s="67" t="s">
        <v>43</v>
      </c>
      <c r="N984" s="67" t="s">
        <v>52</v>
      </c>
      <c r="O984" s="27" t="s">
        <v>1631</v>
      </c>
      <c r="P984" s="33" t="s">
        <v>24</v>
      </c>
      <c r="Q98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4" s="67" t="s">
        <v>2</v>
      </c>
      <c r="V984" s="62"/>
      <c r="W984" s="64">
        <v>42567</v>
      </c>
      <c r="X984" s="29">
        <f>DATE(YEAR(Table2[[#This Row],[Data attivazione]])+VLOOKUP(Table2[[#This Row],[Durata]],VALORE_DURATA,2,FALSE),MONTH(Table2[[#This Row],[Data attivazione]]),DAY(Table2[[#This Row],[Data attivazione]]))</f>
        <v>42932</v>
      </c>
      <c r="Y984" s="65"/>
      <c r="Z984" s="61"/>
      <c r="AA984" s="64" t="s">
        <v>85</v>
      </c>
      <c r="AB984" s="29" t="str">
        <f>IF(Table2[[#This Row],[Data ultimo versamento temp]]=0/1/1900,"-",Table2[[#This Row],[Data ultimo versamento temp]])</f>
        <v>-</v>
      </c>
      <c r="AC984" s="29">
        <f t="array" ref="AC984">MAX(IF(TableVersamenti[Polizza]=Table2[[#This Row],[Polizza]],TableVersamenti[Data prevista versamento],"-"))</f>
        <v>0</v>
      </c>
      <c r="AD984" s="62"/>
      <c r="AE984" s="106">
        <f>DATE(YEAR(Table2[[#This Row],[Data ultimo pagamento]]),MONTH(Table2[[#This Row],[Data ultimo pagamento]]), 1)</f>
        <v>42887</v>
      </c>
      <c r="AF984" s="106">
        <f>DATE(YEAR(Table2[[#This Row],[Data prossima scadenza]]),MONTH(Table2[[#This Row],[Data prossima scadenza]]), 1)</f>
        <v>42887</v>
      </c>
      <c r="AG984" s="33">
        <f>IFERROR(Table2[[#This Row],[Importo annuale]]*VLOOKUP(Table2[[#This Row],[Ramo]],RAMI_POLIZZA,2,FALSE),0)</f>
        <v>69.679999999999993</v>
      </c>
      <c r="AH984" s="65" t="s">
        <v>113</v>
      </c>
      <c r="AI984" s="63" t="str">
        <f>IFERROR(VLOOKUP(Table2[[#This Row],[Contraente]],Table1[[Nome/Ragione sociale]:[Checkbox selezionato]],2,FALSE),"-")</f>
        <v>PIETRA DE' GIORGI</v>
      </c>
      <c r="AJ984" s="63">
        <f>IFERROR(VLOOKUP(Table2[[#This Row],[Contraente]],Table1[[Nome/Ragione sociale]:[Checkbox selezionato]],3,FALSE),"-")</f>
        <v>3923926466</v>
      </c>
      <c r="AK984" s="63">
        <f>IFERROR(VLOOKUP(Table2[[#This Row],[Contraente]],Table1[[Nome/Ragione sociale]:[Checkbox selezionato]],4,FALSE),"-")</f>
        <v>0</v>
      </c>
      <c r="AL984" s="63" t="str">
        <f>IFERROR(VLOOKUP(Table2[[#This Row],[Contraente]],Table1[[Nome/Ragione sociale]:[Checkbox selezionato]],5,FALSE),"-")</f>
        <v>AGATA</v>
      </c>
      <c r="AM984" s="62">
        <f>IFERROR(VLOOKUP(Table2[[#This Row],[Contraente]],Table1[[Nome/Ragione sociale]:[Checkbox selezionato]],6,FALSE),"-")</f>
        <v>29340</v>
      </c>
      <c r="AN984" s="63" t="str">
        <f>IFERROR(VLOOKUP(Table2[[#This Row],[Contraente]],Table1[[Nome/Ragione sociale]:[Checkbox selezionato]],7,FALSE),"-")</f>
        <v>papies@libero.it</v>
      </c>
      <c r="AO984" s="63">
        <f>IFERROR(VLOOKUP(Table2[[#This Row],[Contraente]],Table1[[Nome/Ragione sociale]:[Checkbox selezionato]],8,FALSE),"-")</f>
        <v>0</v>
      </c>
      <c r="AP984" s="63">
        <f>IFERROR(VLOOKUP(Table2[[#This Row],[Contraente]],Table1[[Nome/Ragione sociale]:[Checkbox selezionato]],10,FALSE),"-")</f>
        <v>3923926466</v>
      </c>
      <c r="AQ984" s="63" t="str">
        <f>IFERROR(VLOOKUP(Table2[[#This Row],[Contraente]],Table1[[Nome/Ragione sociale]:[Checkbox selezionato]],11,FALSE),"-")</f>
        <v>SI</v>
      </c>
      <c r="AR984" s="63" t="str">
        <f>IFERROR(VLOOKUP(Table2[[#This Row],[Contraente]],Table1[[Nome/Ragione sociale]:[Checkbox selezionato]],12,FALSE),"-")</f>
        <v>SI</v>
      </c>
    </row>
    <row r="985" spans="1:44" ht="30" hidden="1" customHeight="1" x14ac:dyDescent="0.25">
      <c r="A985" s="60" t="str">
        <f>UPPER(LEFT(Table2[[#This Row],[Contraente]],1))</f>
        <v>S</v>
      </c>
      <c r="B985" s="60" t="s">
        <v>1634</v>
      </c>
      <c r="C985" s="81" t="s">
        <v>988</v>
      </c>
      <c r="D985" s="81" t="s">
        <v>37</v>
      </c>
      <c r="E985" s="86">
        <v>106089566</v>
      </c>
      <c r="F985" s="64">
        <v>42839</v>
      </c>
      <c r="G985" s="64">
        <f>IFERROR(CALCOLASCADENZA(Table2[[#This Row],[Data attivazione]],Table2[[#This Row],[Rateizzazione]],Table2[[#This Row],[Data ultimo pagamento]],Table2[[#This Row],[Data prossima scadenza manuale]]),"-")</f>
        <v>43017</v>
      </c>
      <c r="H985" s="67" t="s">
        <v>31</v>
      </c>
      <c r="I985" s="67" t="s">
        <v>1559</v>
      </c>
      <c r="J985" s="33">
        <f>IFERROR(Table2[[#This Row],[Importo annuale]]/(12/VLOOKUP(Table2[[#This Row],[Rateizzazione]],TIPI_RATEIZZAZIONI,2,FALSE)),"-")</f>
        <v>412.84</v>
      </c>
      <c r="K985" s="88">
        <v>412.84</v>
      </c>
      <c r="L985" s="88">
        <v>825.68</v>
      </c>
      <c r="M985" s="67" t="s">
        <v>44</v>
      </c>
      <c r="N985" s="67" t="s">
        <v>51</v>
      </c>
      <c r="O985" s="27" t="s">
        <v>1631</v>
      </c>
      <c r="P985" s="33" t="s">
        <v>22</v>
      </c>
      <c r="Q985" s="60">
        <f>IFERROR(IF(12 / VLOOKUP(Table2[[#This Row],[Rateizzazione]],TIPI_RATEIZZAZIONI,2,FALSE) &gt;=1,  IF(Table2[[#This Row],[Data attivazione]] = "","-",MONTH(Table2[[#This Row],[Data attivazione]])),"-"),"-")</f>
        <v>10</v>
      </c>
      <c r="R9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5" s="67" t="s">
        <v>133</v>
      </c>
      <c r="V985" s="62"/>
      <c r="W985" s="64">
        <v>42652</v>
      </c>
      <c r="X985" s="29">
        <f>DATE(YEAR(Table2[[#This Row],[Data attivazione]])+VLOOKUP(Table2[[#This Row],[Durata]],VALORE_DURATA,2,FALSE),MONTH(Table2[[#This Row],[Data attivazione]]),DAY(Table2[[#This Row],[Data attivazione]]))</f>
        <v>43017</v>
      </c>
      <c r="Y985" s="65"/>
      <c r="Z985" s="61"/>
      <c r="AA985" s="64" t="s">
        <v>85</v>
      </c>
      <c r="AB985" s="29" t="str">
        <f>IF(Table2[[#This Row],[Data ultimo versamento temp]]=0/1/1900,"-",Table2[[#This Row],[Data ultimo versamento temp]])</f>
        <v>-</v>
      </c>
      <c r="AC985" s="29">
        <f t="array" ref="AC985">MAX(IF(TableVersamenti[Polizza]=Table2[[#This Row],[Polizza]],TableVersamenti[Data prevista versamento],"-"))</f>
        <v>0</v>
      </c>
      <c r="AD985" s="62"/>
      <c r="AE985" s="106">
        <f>DATE(YEAR(Table2[[#This Row],[Data ultimo pagamento]]),MONTH(Table2[[#This Row],[Data ultimo pagamento]]), 1)</f>
        <v>42826</v>
      </c>
      <c r="AF985" s="106">
        <f>DATE(YEAR(Table2[[#This Row],[Data prossima scadenza]]),MONTH(Table2[[#This Row],[Data prossima scadenza]]), 1)</f>
        <v>43009</v>
      </c>
      <c r="AG985" s="33">
        <f>IFERROR(Table2[[#This Row],[Importo annuale]]*VLOOKUP(Table2[[#This Row],[Ramo]],RAMI_POLIZZA,2,FALSE),0)</f>
        <v>42.935359999999996</v>
      </c>
      <c r="AH985" s="65" t="s">
        <v>113</v>
      </c>
      <c r="AI985" s="63" t="str">
        <f>IFERROR(VLOOKUP(Table2[[#This Row],[Contraente]],Table1[[Nome/Ragione sociale]:[Checkbox selezionato]],2,FALSE),"-")</f>
        <v>ARENA PO</v>
      </c>
      <c r="AJ985" s="63">
        <f>IFERROR(VLOOKUP(Table2[[#This Row],[Contraente]],Table1[[Nome/Ragione sociale]:[Checkbox selezionato]],3,FALSE),"-")</f>
        <v>0</v>
      </c>
      <c r="AK985" s="63">
        <f>IFERROR(VLOOKUP(Table2[[#This Row],[Contraente]],Table1[[Nome/Ragione sociale]:[Checkbox selezionato]],4,FALSE),"-")</f>
        <v>0</v>
      </c>
      <c r="AL985" s="63">
        <f>IFERROR(VLOOKUP(Table2[[#This Row],[Contraente]],Table1[[Nome/Ragione sociale]:[Checkbox selezionato]],5,FALSE),"-")</f>
        <v>0</v>
      </c>
      <c r="AM985" s="62">
        <f>IFERROR(VLOOKUP(Table2[[#This Row],[Contraente]],Table1[[Nome/Ragione sociale]:[Checkbox selezionato]],6,FALSE),"-")</f>
        <v>0</v>
      </c>
      <c r="AN985" s="63" t="str">
        <f>IFERROR(VLOOKUP(Table2[[#This Row],[Contraente]],Table1[[Nome/Ragione sociale]:[Checkbox selezionato]],7,FALSE),"-")</f>
        <v>papies@email.it</v>
      </c>
      <c r="AO985" s="63" t="str">
        <f>IFERROR(VLOOKUP(Table2[[#This Row],[Contraente]],Table1[[Nome/Ragione sociale]:[Checkbox selezionato]],8,FALSE),"-")</f>
        <v>MOGLIE DI PIETRA CARLO</v>
      </c>
      <c r="AP985" s="63">
        <f>IFERROR(VLOOKUP(Table2[[#This Row],[Contraente]],Table1[[Nome/Ragione sociale]:[Checkbox selezionato]],10,FALSE),"-")</f>
        <v>0</v>
      </c>
      <c r="AQ985" s="63" t="str">
        <f>IFERROR(VLOOKUP(Table2[[#This Row],[Contraente]],Table1[[Nome/Ragione sociale]:[Checkbox selezionato]],11,FALSE),"-")</f>
        <v>SI</v>
      </c>
      <c r="AR985" s="63" t="str">
        <f>IFERROR(VLOOKUP(Table2[[#This Row],[Contraente]],Table1[[Nome/Ragione sociale]:[Checkbox selezionato]],12,FALSE),"-")</f>
        <v>SI</v>
      </c>
    </row>
    <row r="986" spans="1:44" ht="30" hidden="1" customHeight="1" x14ac:dyDescent="0.25">
      <c r="A986" s="60" t="str">
        <f>UPPER(LEFT(Table2[[#This Row],[Contraente]],1))</f>
        <v>S</v>
      </c>
      <c r="B986" s="60" t="s">
        <v>1634</v>
      </c>
      <c r="C986" s="81" t="s">
        <v>983</v>
      </c>
      <c r="D986" s="81" t="s">
        <v>37</v>
      </c>
      <c r="E986" s="86">
        <v>103604226</v>
      </c>
      <c r="F986" s="64">
        <v>42671</v>
      </c>
      <c r="G986" s="64">
        <f>IFERROR(CALCOLASCADENZA(Table2[[#This Row],[Data attivazione]],Table2[[#This Row],[Rateizzazione]],Table2[[#This Row],[Data ultimo pagamento]],Table2[[#This Row],[Data prossima scadenza manuale]]),"-")</f>
        <v>42671</v>
      </c>
      <c r="H986" s="67" t="s">
        <v>30</v>
      </c>
      <c r="I986" s="67" t="s">
        <v>113</v>
      </c>
      <c r="J986" s="33">
        <v>0</v>
      </c>
      <c r="K986" s="88"/>
      <c r="L986" s="88">
        <v>80</v>
      </c>
      <c r="M986" s="67" t="s">
        <v>43</v>
      </c>
      <c r="N986" s="67" t="s">
        <v>51</v>
      </c>
      <c r="O986" s="27" t="s">
        <v>1631</v>
      </c>
      <c r="P986" s="33" t="s">
        <v>24</v>
      </c>
      <c r="Q98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6" s="67" t="s">
        <v>2</v>
      </c>
      <c r="V986" s="62"/>
      <c r="W986" s="64">
        <v>42649</v>
      </c>
      <c r="X986" s="29">
        <f>DATE(YEAR(Table2[[#This Row],[Data attivazione]])+VLOOKUP(Table2[[#This Row],[Durata]],VALORE_DURATA,2,FALSE),MONTH(Table2[[#This Row],[Data attivazione]]),DAY(Table2[[#This Row],[Data attivazione]]))</f>
        <v>43014</v>
      </c>
      <c r="Y986" s="65"/>
      <c r="Z986" s="61"/>
      <c r="AA986" s="64" t="s">
        <v>85</v>
      </c>
      <c r="AB986" s="29" t="str">
        <f>IF(Table2[[#This Row],[Data ultimo versamento temp]]=0/1/1900,"-",Table2[[#This Row],[Data ultimo versamento temp]])</f>
        <v>-</v>
      </c>
      <c r="AC986" s="29">
        <f t="array" ref="AC986">MAX(IF(TableVersamenti[Polizza]=Table2[[#This Row],[Polizza]],TableVersamenti[Data prevista versamento],"-"))</f>
        <v>0</v>
      </c>
      <c r="AD986" s="62"/>
      <c r="AE986" s="106">
        <f>DATE(YEAR(Table2[[#This Row],[Data ultimo pagamento]]),MONTH(Table2[[#This Row],[Data ultimo pagamento]]), 1)</f>
        <v>42644</v>
      </c>
      <c r="AF986" s="106">
        <f>DATE(YEAR(Table2[[#This Row],[Data prossima scadenza]]),MONTH(Table2[[#This Row],[Data prossima scadenza]]), 1)</f>
        <v>42644</v>
      </c>
      <c r="AG986" s="33">
        <f>IFERROR(Table2[[#This Row],[Importo annuale]]*VLOOKUP(Table2[[#This Row],[Ramo]],RAMI_POLIZZA,2,FALSE),0)</f>
        <v>9.2000000000000011</v>
      </c>
      <c r="AH986" s="65" t="s">
        <v>113</v>
      </c>
      <c r="AI986" s="63" t="str">
        <f>IFERROR(VLOOKUP(Table2[[#This Row],[Contraente]],Table1[[Nome/Ragione sociale]:[Checkbox selezionato]],2,FALSE),"-")</f>
        <v>BELGIOIOSO</v>
      </c>
      <c r="AJ986" s="63">
        <f>IFERROR(VLOOKUP(Table2[[#This Row],[Contraente]],Table1[[Nome/Ragione sociale]:[Checkbox selezionato]],3,FALSE),"-")</f>
        <v>3397224416</v>
      </c>
      <c r="AK986" s="63">
        <f>IFERROR(VLOOKUP(Table2[[#This Row],[Contraente]],Table1[[Nome/Ragione sociale]:[Checkbox selezionato]],4,FALSE),"-")</f>
        <v>0</v>
      </c>
      <c r="AL986" s="63" t="str">
        <f>IFERROR(VLOOKUP(Table2[[#This Row],[Contraente]],Table1[[Nome/Ragione sociale]:[Checkbox selezionato]],5,FALSE),"-")</f>
        <v>ELIA</v>
      </c>
      <c r="AM986" s="62">
        <f>IFERROR(VLOOKUP(Table2[[#This Row],[Contraente]],Table1[[Nome/Ragione sociale]:[Checkbox selezionato]],6,FALSE),"-")</f>
        <v>29913</v>
      </c>
      <c r="AN986" s="63" t="str">
        <f>IFERROR(VLOOKUP(Table2[[#This Row],[Contraente]],Table1[[Nome/Ragione sociale]:[Checkbox selezionato]],7,FALSE),"-")</f>
        <v>papies@libero.it</v>
      </c>
      <c r="AO986" s="63">
        <f>IFERROR(VLOOKUP(Table2[[#This Row],[Contraente]],Table1[[Nome/Ragione sociale]:[Checkbox selezionato]],8,FALSE),"-")</f>
        <v>0</v>
      </c>
      <c r="AP986" s="63">
        <f>IFERROR(VLOOKUP(Table2[[#This Row],[Contraente]],Table1[[Nome/Ragione sociale]:[Checkbox selezionato]],10,FALSE),"-")</f>
        <v>3397224416</v>
      </c>
      <c r="AQ986" s="63" t="str">
        <f>IFERROR(VLOOKUP(Table2[[#This Row],[Contraente]],Table1[[Nome/Ragione sociale]:[Checkbox selezionato]],11,FALSE),"-")</f>
        <v>SI</v>
      </c>
      <c r="AR986" s="63" t="str">
        <f>IFERROR(VLOOKUP(Table2[[#This Row],[Contraente]],Table1[[Nome/Ragione sociale]:[Checkbox selezionato]],12,FALSE),"-")</f>
        <v>SI</v>
      </c>
    </row>
    <row r="987" spans="1:44" ht="30" hidden="1" customHeight="1" x14ac:dyDescent="0.25">
      <c r="A987" s="60" t="str">
        <f>UPPER(LEFT(Table2[[#This Row],[Contraente]],1))</f>
        <v>S</v>
      </c>
      <c r="B987" s="60" t="s">
        <v>1634</v>
      </c>
      <c r="C987" s="81" t="s">
        <v>983</v>
      </c>
      <c r="D987" s="81" t="s">
        <v>37</v>
      </c>
      <c r="E987" s="86">
        <v>106178986</v>
      </c>
      <c r="F987" s="64">
        <v>42772</v>
      </c>
      <c r="G987" s="64">
        <f>IFERROR(CALCOLASCADENZA(Table2[[#This Row],[Data attivazione]],Table2[[#This Row],[Rateizzazione]],Table2[[#This Row],[Data ultimo pagamento]],Table2[[#This Row],[Data prossima scadenza manuale]]),"-")</f>
        <v>42885</v>
      </c>
      <c r="H987" s="67" t="s">
        <v>31</v>
      </c>
      <c r="I987" s="67" t="s">
        <v>1553</v>
      </c>
      <c r="J987" s="33">
        <f>IFERROR(Table2[[#This Row],[Importo annuale]]/(12/VLOOKUP(Table2[[#This Row],[Rateizzazione]],TIPI_RATEIZZAZIONI,2,FALSE)),"-")</f>
        <v>296</v>
      </c>
      <c r="K987" s="88">
        <v>296</v>
      </c>
      <c r="L987" s="88">
        <v>888</v>
      </c>
      <c r="M987" s="67" t="s">
        <v>43</v>
      </c>
      <c r="N987" s="67" t="s">
        <v>51</v>
      </c>
      <c r="O987" s="27" t="s">
        <v>1631</v>
      </c>
      <c r="P987" s="33" t="s">
        <v>21</v>
      </c>
      <c r="Q987" s="60">
        <f>IFERROR(IF(12 / VLOOKUP(Table2[[#This Row],[Rateizzazione]],TIPI_RATEIZZAZIONI,2,FALSE) &gt;=1,  IF(Table2[[#This Row],[Data attivazione]] = "","-",MONTH(Table2[[#This Row],[Data attivazione]])),"-"),"-")</f>
        <v>5</v>
      </c>
      <c r="R9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9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9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7" s="67" t="s">
        <v>2</v>
      </c>
      <c r="V987" s="62"/>
      <c r="W987" s="64">
        <v>42520</v>
      </c>
      <c r="X987" s="29">
        <f>DATE(YEAR(Table2[[#This Row],[Data attivazione]])+VLOOKUP(Table2[[#This Row],[Durata]],VALORE_DURATA,2,FALSE),MONTH(Table2[[#This Row],[Data attivazione]]),DAY(Table2[[#This Row],[Data attivazione]]))</f>
        <v>42885</v>
      </c>
      <c r="Y987" s="65"/>
      <c r="Z987" s="61"/>
      <c r="AA987" s="64" t="s">
        <v>88</v>
      </c>
      <c r="AB987" s="29" t="str">
        <f>IF(Table2[[#This Row],[Data ultimo versamento temp]]=0/1/1900,"-",Table2[[#This Row],[Data ultimo versamento temp]])</f>
        <v>-</v>
      </c>
      <c r="AC987" s="29">
        <f t="array" ref="AC987">MAX(IF(TableVersamenti[Polizza]=Table2[[#This Row],[Polizza]],TableVersamenti[Data prevista versamento],"-"))</f>
        <v>0</v>
      </c>
      <c r="AD987" s="62"/>
      <c r="AE987" s="106">
        <f>DATE(YEAR(Table2[[#This Row],[Data ultimo pagamento]]),MONTH(Table2[[#This Row],[Data ultimo pagamento]]), 1)</f>
        <v>42767</v>
      </c>
      <c r="AF987" s="106">
        <f>DATE(YEAR(Table2[[#This Row],[Data prossima scadenza]]),MONTH(Table2[[#This Row],[Data prossima scadenza]]), 1)</f>
        <v>42856</v>
      </c>
      <c r="AG987" s="33">
        <f>IFERROR(Table2[[#This Row],[Importo annuale]]*VLOOKUP(Table2[[#This Row],[Ramo]],RAMI_POLIZZA,2,FALSE),0)</f>
        <v>46.175999999999995</v>
      </c>
      <c r="AH987" s="65" t="s">
        <v>113</v>
      </c>
      <c r="AI987" s="63" t="str">
        <f>IFERROR(VLOOKUP(Table2[[#This Row],[Contraente]],Table1[[Nome/Ragione sociale]:[Checkbox selezionato]],2,FALSE),"-")</f>
        <v>BELGIOIOSO</v>
      </c>
      <c r="AJ987" s="63">
        <f>IFERROR(VLOOKUP(Table2[[#This Row],[Contraente]],Table1[[Nome/Ragione sociale]:[Checkbox selezionato]],3,FALSE),"-")</f>
        <v>3397224416</v>
      </c>
      <c r="AK987" s="63">
        <f>IFERROR(VLOOKUP(Table2[[#This Row],[Contraente]],Table1[[Nome/Ragione sociale]:[Checkbox selezionato]],4,FALSE),"-")</f>
        <v>0</v>
      </c>
      <c r="AL987" s="63" t="str">
        <f>IFERROR(VLOOKUP(Table2[[#This Row],[Contraente]],Table1[[Nome/Ragione sociale]:[Checkbox selezionato]],5,FALSE),"-")</f>
        <v>ELIA</v>
      </c>
      <c r="AM987" s="62">
        <f>IFERROR(VLOOKUP(Table2[[#This Row],[Contraente]],Table1[[Nome/Ragione sociale]:[Checkbox selezionato]],6,FALSE),"-")</f>
        <v>29913</v>
      </c>
      <c r="AN987" s="63" t="str">
        <f>IFERROR(VLOOKUP(Table2[[#This Row],[Contraente]],Table1[[Nome/Ragione sociale]:[Checkbox selezionato]],7,FALSE),"-")</f>
        <v>papies@libero.it</v>
      </c>
      <c r="AO987" s="63">
        <f>IFERROR(VLOOKUP(Table2[[#This Row],[Contraente]],Table1[[Nome/Ragione sociale]:[Checkbox selezionato]],8,FALSE),"-")</f>
        <v>0</v>
      </c>
      <c r="AP987" s="63">
        <f>IFERROR(VLOOKUP(Table2[[#This Row],[Contraente]],Table1[[Nome/Ragione sociale]:[Checkbox selezionato]],10,FALSE),"-")</f>
        <v>3397224416</v>
      </c>
      <c r="AQ987" s="63" t="str">
        <f>IFERROR(VLOOKUP(Table2[[#This Row],[Contraente]],Table1[[Nome/Ragione sociale]:[Checkbox selezionato]],11,FALSE),"-")</f>
        <v>SI</v>
      </c>
      <c r="AR987" s="63" t="str">
        <f>IFERROR(VLOOKUP(Table2[[#This Row],[Contraente]],Table1[[Nome/Ragione sociale]:[Checkbox selezionato]],12,FALSE),"-")</f>
        <v>SI</v>
      </c>
    </row>
    <row r="988" spans="1:44" ht="30" hidden="1" customHeight="1" x14ac:dyDescent="0.25">
      <c r="A988" s="60" t="str">
        <f>UPPER(LEFT(Table2[[#This Row],[Contraente]],1))</f>
        <v>S</v>
      </c>
      <c r="B988" s="60" t="s">
        <v>1634</v>
      </c>
      <c r="C988" s="81" t="s">
        <v>985</v>
      </c>
      <c r="D988" s="81" t="s">
        <v>37</v>
      </c>
      <c r="E988" s="86">
        <v>103131547</v>
      </c>
      <c r="F988" s="64">
        <v>42521</v>
      </c>
      <c r="G988" s="64">
        <f>IFERROR(CALCOLASCADENZA(Table2[[#This Row],[Data attivazione]],Table2[[#This Row],[Rateizzazione]],Table2[[#This Row],[Data ultimo pagamento]],Table2[[#This Row],[Data prossima scadenza manuale]]),"-")</f>
        <v>42882</v>
      </c>
      <c r="H988" s="67" t="s">
        <v>31</v>
      </c>
      <c r="I988" s="67" t="s">
        <v>1557</v>
      </c>
      <c r="J988" s="33">
        <f>IFERROR(Table2[[#This Row],[Importo annuale]]/(12/VLOOKUP(Table2[[#This Row],[Rateizzazione]],TIPI_RATEIZZAZIONI,2,FALSE)),"-")</f>
        <v>179.07</v>
      </c>
      <c r="K988" s="88"/>
      <c r="L988" s="88">
        <v>179.07</v>
      </c>
      <c r="M988" s="67" t="s">
        <v>44</v>
      </c>
      <c r="N988" s="67" t="s">
        <v>51</v>
      </c>
      <c r="O988" s="27" t="s">
        <v>1631</v>
      </c>
      <c r="P988" s="33" t="s">
        <v>23</v>
      </c>
      <c r="Q988" s="60">
        <f>IFERROR(IF(12 / VLOOKUP(Table2[[#This Row],[Rateizzazione]],TIPI_RATEIZZAZIONI,2,FALSE) &gt;=1,  IF(Table2[[#This Row],[Data attivazione]] = "","-",MONTH(Table2[[#This Row],[Data attivazione]])),"-"),"-")</f>
        <v>5</v>
      </c>
      <c r="R9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8" s="67" t="s">
        <v>2</v>
      </c>
      <c r="V988" s="62"/>
      <c r="W988" s="64">
        <v>42517</v>
      </c>
      <c r="X988" s="29">
        <f>DATE(YEAR(Table2[[#This Row],[Data attivazione]])+VLOOKUP(Table2[[#This Row],[Durata]],VALORE_DURATA,2,FALSE),MONTH(Table2[[#This Row],[Data attivazione]]),DAY(Table2[[#This Row],[Data attivazione]]))</f>
        <v>42882</v>
      </c>
      <c r="Y988" s="65"/>
      <c r="Z988" s="61"/>
      <c r="AA988" s="64" t="s">
        <v>88</v>
      </c>
      <c r="AB988" s="29" t="str">
        <f>IF(Table2[[#This Row],[Data ultimo versamento temp]]=0/1/1900,"-",Table2[[#This Row],[Data ultimo versamento temp]])</f>
        <v>-</v>
      </c>
      <c r="AC988" s="29">
        <f t="array" ref="AC988">MAX(IF(TableVersamenti[Polizza]=Table2[[#This Row],[Polizza]],TableVersamenti[Data prevista versamento],"-"))</f>
        <v>0</v>
      </c>
      <c r="AD988" s="62"/>
      <c r="AE988" s="106">
        <f>DATE(YEAR(Table2[[#This Row],[Data ultimo pagamento]]),MONTH(Table2[[#This Row],[Data ultimo pagamento]]), 1)</f>
        <v>42491</v>
      </c>
      <c r="AF988" s="106">
        <f>DATE(YEAR(Table2[[#This Row],[Data prossima scadenza]]),MONTH(Table2[[#This Row],[Data prossima scadenza]]), 1)</f>
        <v>42856</v>
      </c>
      <c r="AG988" s="33">
        <f>IFERROR(Table2[[#This Row],[Importo annuale]]*VLOOKUP(Table2[[#This Row],[Ramo]],RAMI_POLIZZA,2,FALSE),0)</f>
        <v>9.3116399999999988</v>
      </c>
      <c r="AH988" s="65" t="s">
        <v>113</v>
      </c>
      <c r="AI988" s="63" t="str">
        <f>IFERROR(VLOOKUP(Table2[[#This Row],[Contraente]],Table1[[Nome/Ragione sociale]:[Checkbox selezionato]],2,FALSE),"-")</f>
        <v>BELGIOIOSO</v>
      </c>
      <c r="AJ988" s="63">
        <f>IFERROR(VLOOKUP(Table2[[#This Row],[Contraente]],Table1[[Nome/Ragione sociale]:[Checkbox selezionato]],3,FALSE),"-")</f>
        <v>3396325901</v>
      </c>
      <c r="AK988" s="63">
        <f>IFERROR(VLOOKUP(Table2[[#This Row],[Contraente]],Table1[[Nome/Ragione sociale]:[Checkbox selezionato]],4,FALSE),"-")</f>
        <v>3342869607</v>
      </c>
      <c r="AL988" s="63" t="str">
        <f>IFERROR(VLOOKUP(Table2[[#This Row],[Contraente]],Table1[[Nome/Ragione sociale]:[Checkbox selezionato]],5,FALSE),"-")</f>
        <v>EMILIO</v>
      </c>
      <c r="AM988" s="62">
        <f>IFERROR(VLOOKUP(Table2[[#This Row],[Contraente]],Table1[[Nome/Ragione sociale]:[Checkbox selezionato]],6,FALSE),"-")</f>
        <v>20944</v>
      </c>
      <c r="AN988" s="63" t="str">
        <f>IFERROR(VLOOKUP(Table2[[#This Row],[Contraente]],Table1[[Nome/Ragione sociale]:[Checkbox selezionato]],7,FALSE),"-")</f>
        <v>papies@libero.it</v>
      </c>
      <c r="AO988" s="63">
        <f>IFERROR(VLOOKUP(Table2[[#This Row],[Contraente]],Table1[[Nome/Ragione sociale]:[Checkbox selezionato]],8,FALSE),"-")</f>
        <v>0</v>
      </c>
      <c r="AP988" s="63">
        <f>IFERROR(VLOOKUP(Table2[[#This Row],[Contraente]],Table1[[Nome/Ragione sociale]:[Checkbox selezionato]],10,FALSE),"-")</f>
        <v>3396325901</v>
      </c>
      <c r="AQ988" s="63" t="str">
        <f>IFERROR(VLOOKUP(Table2[[#This Row],[Contraente]],Table1[[Nome/Ragione sociale]:[Checkbox selezionato]],11,FALSE),"-")</f>
        <v>SI</v>
      </c>
      <c r="AR988" s="63" t="str">
        <f>IFERROR(VLOOKUP(Table2[[#This Row],[Contraente]],Table1[[Nome/Ragione sociale]:[Checkbox selezionato]],12,FALSE),"-")</f>
        <v>SI</v>
      </c>
    </row>
    <row r="989" spans="1:44" ht="30" hidden="1" customHeight="1" x14ac:dyDescent="0.25">
      <c r="A989" s="60" t="str">
        <f>UPPER(LEFT(Table2[[#This Row],[Contraente]],1))</f>
        <v>S</v>
      </c>
      <c r="B989" s="60" t="s">
        <v>1634</v>
      </c>
      <c r="C989" s="81" t="s">
        <v>985</v>
      </c>
      <c r="D989" s="81" t="s">
        <v>37</v>
      </c>
      <c r="E989" s="86">
        <v>103167953</v>
      </c>
      <c r="F989" s="64">
        <v>41985</v>
      </c>
      <c r="G989" s="64">
        <f>IFERROR(CALCOLASCADENZA(Table2[[#This Row],[Data attivazione]],Table2[[#This Row],[Rateizzazione]],Table2[[#This Row],[Data ultimo pagamento]],Table2[[#This Row],[Data prossima scadenza manuale]]),"-")</f>
        <v>41985</v>
      </c>
      <c r="H989" s="67" t="s">
        <v>31</v>
      </c>
      <c r="I989" s="67"/>
      <c r="J989" s="33">
        <v>0</v>
      </c>
      <c r="K989" s="88"/>
      <c r="L989" s="88">
        <v>0</v>
      </c>
      <c r="M989" s="67" t="s">
        <v>43</v>
      </c>
      <c r="N989" s="67" t="s">
        <v>52</v>
      </c>
      <c r="O989" s="27" t="s">
        <v>1631</v>
      </c>
      <c r="P989" s="33" t="s">
        <v>24</v>
      </c>
      <c r="Q98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9" s="67" t="s">
        <v>2</v>
      </c>
      <c r="V989" s="62"/>
      <c r="W989" s="64">
        <v>693597</v>
      </c>
      <c r="X989" s="29">
        <f>DATE(YEAR(Table2[[#This Row],[Data attivazione]])+VLOOKUP(Table2[[#This Row],[Durata]],VALORE_DURATA,2,FALSE),MONTH(Table2[[#This Row],[Data attivazione]]),DAY(Table2[[#This Row],[Data attivazione]]))</f>
        <v>693962</v>
      </c>
      <c r="Y989" s="65"/>
      <c r="Z989" s="61"/>
      <c r="AA989" s="64" t="s">
        <v>88</v>
      </c>
      <c r="AB989" s="29" t="str">
        <f>IF(Table2[[#This Row],[Data ultimo versamento temp]]=0/1/1900,"-",Table2[[#This Row],[Data ultimo versamento temp]])</f>
        <v>-</v>
      </c>
      <c r="AC989" s="29">
        <f t="array" ref="AC989">MAX(IF(TableVersamenti[Polizza]=Table2[[#This Row],[Polizza]],TableVersamenti[Data prevista versamento],"-"))</f>
        <v>0</v>
      </c>
      <c r="AD989" s="62"/>
      <c r="AE989" s="106">
        <f>DATE(YEAR(Table2[[#This Row],[Data ultimo pagamento]]),MONTH(Table2[[#This Row],[Data ultimo pagamento]]), 1)</f>
        <v>41974</v>
      </c>
      <c r="AF989" s="106">
        <f>DATE(YEAR(Table2[[#This Row],[Data prossima scadenza]]),MONTH(Table2[[#This Row],[Data prossima scadenza]]), 1)</f>
        <v>41974</v>
      </c>
      <c r="AG989" s="33">
        <f>IFERROR(Table2[[#This Row],[Importo annuale]]*VLOOKUP(Table2[[#This Row],[Ramo]],RAMI_POLIZZA,2,FALSE),0)</f>
        <v>0</v>
      </c>
      <c r="AH989" s="65" t="s">
        <v>113</v>
      </c>
      <c r="AI989" s="63" t="str">
        <f>IFERROR(VLOOKUP(Table2[[#This Row],[Contraente]],Table1[[Nome/Ragione sociale]:[Checkbox selezionato]],2,FALSE),"-")</f>
        <v>BELGIOIOSO</v>
      </c>
      <c r="AJ989" s="63">
        <f>IFERROR(VLOOKUP(Table2[[#This Row],[Contraente]],Table1[[Nome/Ragione sociale]:[Checkbox selezionato]],3,FALSE),"-")</f>
        <v>3396325901</v>
      </c>
      <c r="AK989" s="63">
        <f>IFERROR(VLOOKUP(Table2[[#This Row],[Contraente]],Table1[[Nome/Ragione sociale]:[Checkbox selezionato]],4,FALSE),"-")</f>
        <v>3342869607</v>
      </c>
      <c r="AL989" s="63" t="str">
        <f>IFERROR(VLOOKUP(Table2[[#This Row],[Contraente]],Table1[[Nome/Ragione sociale]:[Checkbox selezionato]],5,FALSE),"-")</f>
        <v>EMILIO</v>
      </c>
      <c r="AM989" s="62">
        <f>IFERROR(VLOOKUP(Table2[[#This Row],[Contraente]],Table1[[Nome/Ragione sociale]:[Checkbox selezionato]],6,FALSE),"-")</f>
        <v>20944</v>
      </c>
      <c r="AN989" s="63" t="str">
        <f>IFERROR(VLOOKUP(Table2[[#This Row],[Contraente]],Table1[[Nome/Ragione sociale]:[Checkbox selezionato]],7,FALSE),"-")</f>
        <v>papies@libero.it</v>
      </c>
      <c r="AO989" s="63">
        <f>IFERROR(VLOOKUP(Table2[[#This Row],[Contraente]],Table1[[Nome/Ragione sociale]:[Checkbox selezionato]],8,FALSE),"-")</f>
        <v>0</v>
      </c>
      <c r="AP989" s="63">
        <f>IFERROR(VLOOKUP(Table2[[#This Row],[Contraente]],Table1[[Nome/Ragione sociale]:[Checkbox selezionato]],10,FALSE),"-")</f>
        <v>3396325901</v>
      </c>
      <c r="AQ989" s="63" t="str">
        <f>IFERROR(VLOOKUP(Table2[[#This Row],[Contraente]],Table1[[Nome/Ragione sociale]:[Checkbox selezionato]],11,FALSE),"-")</f>
        <v>SI</v>
      </c>
      <c r="AR989" s="63" t="str">
        <f>IFERROR(VLOOKUP(Table2[[#This Row],[Contraente]],Table1[[Nome/Ragione sociale]:[Checkbox selezionato]],12,FALSE),"-")</f>
        <v>SI</v>
      </c>
    </row>
    <row r="990" spans="1:44" ht="30" hidden="1" customHeight="1" x14ac:dyDescent="0.25">
      <c r="A990" s="60" t="str">
        <f>UPPER(LEFT(Table2[[#This Row],[Contraente]],1))</f>
        <v>S</v>
      </c>
      <c r="B990" s="60" t="s">
        <v>1634</v>
      </c>
      <c r="C990" s="81" t="s">
        <v>985</v>
      </c>
      <c r="D990" s="81" t="s">
        <v>37</v>
      </c>
      <c r="E990" s="86">
        <v>106235972</v>
      </c>
      <c r="F990" s="64">
        <v>42823</v>
      </c>
      <c r="G990" s="64">
        <f>IFERROR(CALCOLASCADENZA(Table2[[#This Row],[Data attivazione]],Table2[[#This Row],[Rateizzazione]],Table2[[#This Row],[Data ultimo pagamento]],Table2[[#This Row],[Data prossima scadenza manuale]]),"-")</f>
        <v>42932</v>
      </c>
      <c r="H990" s="67" t="s">
        <v>31</v>
      </c>
      <c r="I990" s="67" t="s">
        <v>1554</v>
      </c>
      <c r="J990" s="33">
        <f>IFERROR(Table2[[#This Row],[Importo annuale]]/(12/VLOOKUP(Table2[[#This Row],[Rateizzazione]],TIPI_RATEIZZAZIONI,2,FALSE)),"-")</f>
        <v>210</v>
      </c>
      <c r="K990" s="88">
        <v>210</v>
      </c>
      <c r="L990" s="88">
        <v>630</v>
      </c>
      <c r="M990" s="67" t="s">
        <v>44</v>
      </c>
      <c r="N990" s="67" t="s">
        <v>52</v>
      </c>
      <c r="O990" s="27" t="s">
        <v>1631</v>
      </c>
      <c r="P990" s="33" t="s">
        <v>21</v>
      </c>
      <c r="Q990" s="60">
        <f>IFERROR(IF(12 / VLOOKUP(Table2[[#This Row],[Rateizzazione]],TIPI_RATEIZZAZIONI,2,FALSE) &gt;=1,  IF(Table2[[#This Row],[Data attivazione]] = "","-",MONTH(Table2[[#This Row],[Data attivazione]])),"-"),"-")</f>
        <v>7</v>
      </c>
      <c r="R9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99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9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0" s="67" t="s">
        <v>2</v>
      </c>
      <c r="V990" s="62"/>
      <c r="W990" s="64">
        <v>42567</v>
      </c>
      <c r="X990" s="29">
        <f>DATE(YEAR(Table2[[#This Row],[Data attivazione]])+VLOOKUP(Table2[[#This Row],[Durata]],VALORE_DURATA,2,FALSE),MONTH(Table2[[#This Row],[Data attivazione]]),DAY(Table2[[#This Row],[Data attivazione]]))</f>
        <v>42932</v>
      </c>
      <c r="Y990" s="65"/>
      <c r="Z990" s="61"/>
      <c r="AA990" s="64" t="s">
        <v>85</v>
      </c>
      <c r="AB990" s="29" t="str">
        <f>IF(Table2[[#This Row],[Data ultimo versamento temp]]=0/1/1900,"-",Table2[[#This Row],[Data ultimo versamento temp]])</f>
        <v>-</v>
      </c>
      <c r="AC990" s="29">
        <f t="array" ref="AC990">MAX(IF(TableVersamenti[Polizza]=Table2[[#This Row],[Polizza]],TableVersamenti[Data prevista versamento],"-"))</f>
        <v>0</v>
      </c>
      <c r="AD990" s="62"/>
      <c r="AE990" s="106">
        <f>DATE(YEAR(Table2[[#This Row],[Data ultimo pagamento]]),MONTH(Table2[[#This Row],[Data ultimo pagamento]]), 1)</f>
        <v>42795</v>
      </c>
      <c r="AF990" s="106">
        <f>DATE(YEAR(Table2[[#This Row],[Data prossima scadenza]]),MONTH(Table2[[#This Row],[Data prossima scadenza]]), 1)</f>
        <v>42917</v>
      </c>
      <c r="AG990" s="33">
        <f>IFERROR(Table2[[#This Row],[Importo annuale]]*VLOOKUP(Table2[[#This Row],[Ramo]],RAMI_POLIZZA,2,FALSE),0)</f>
        <v>32.76</v>
      </c>
      <c r="AH990" s="65" t="s">
        <v>113</v>
      </c>
      <c r="AI990" s="63" t="str">
        <f>IFERROR(VLOOKUP(Table2[[#This Row],[Contraente]],Table1[[Nome/Ragione sociale]:[Checkbox selezionato]],2,FALSE),"-")</f>
        <v>BELGIOIOSO</v>
      </c>
      <c r="AJ990" s="63">
        <f>IFERROR(VLOOKUP(Table2[[#This Row],[Contraente]],Table1[[Nome/Ragione sociale]:[Checkbox selezionato]],3,FALSE),"-")</f>
        <v>3396325901</v>
      </c>
      <c r="AK990" s="63">
        <f>IFERROR(VLOOKUP(Table2[[#This Row],[Contraente]],Table1[[Nome/Ragione sociale]:[Checkbox selezionato]],4,FALSE),"-")</f>
        <v>3342869607</v>
      </c>
      <c r="AL990" s="63" t="str">
        <f>IFERROR(VLOOKUP(Table2[[#This Row],[Contraente]],Table1[[Nome/Ragione sociale]:[Checkbox selezionato]],5,FALSE),"-")</f>
        <v>EMILIO</v>
      </c>
      <c r="AM990" s="62">
        <f>IFERROR(VLOOKUP(Table2[[#This Row],[Contraente]],Table1[[Nome/Ragione sociale]:[Checkbox selezionato]],6,FALSE),"-")</f>
        <v>20944</v>
      </c>
      <c r="AN990" s="63" t="str">
        <f>IFERROR(VLOOKUP(Table2[[#This Row],[Contraente]],Table1[[Nome/Ragione sociale]:[Checkbox selezionato]],7,FALSE),"-")</f>
        <v>papies@libero.it</v>
      </c>
      <c r="AO990" s="63">
        <f>IFERROR(VLOOKUP(Table2[[#This Row],[Contraente]],Table1[[Nome/Ragione sociale]:[Checkbox selezionato]],8,FALSE),"-")</f>
        <v>0</v>
      </c>
      <c r="AP990" s="63">
        <f>IFERROR(VLOOKUP(Table2[[#This Row],[Contraente]],Table1[[Nome/Ragione sociale]:[Checkbox selezionato]],10,FALSE),"-")</f>
        <v>3396325901</v>
      </c>
      <c r="AQ990" s="63" t="str">
        <f>IFERROR(VLOOKUP(Table2[[#This Row],[Contraente]],Table1[[Nome/Ragione sociale]:[Checkbox selezionato]],11,FALSE),"-")</f>
        <v>SI</v>
      </c>
      <c r="AR990" s="63" t="str">
        <f>IFERROR(VLOOKUP(Table2[[#This Row],[Contraente]],Table1[[Nome/Ragione sociale]:[Checkbox selezionato]],12,FALSE),"-")</f>
        <v>SI</v>
      </c>
    </row>
    <row r="991" spans="1:44" ht="30" hidden="1" customHeight="1" x14ac:dyDescent="0.25">
      <c r="A991" s="60" t="str">
        <f>UPPER(LEFT(Table2[[#This Row],[Contraente]],1))</f>
        <v>S</v>
      </c>
      <c r="B991" s="60" t="s">
        <v>1634</v>
      </c>
      <c r="C991" s="81" t="s">
        <v>985</v>
      </c>
      <c r="D991" s="81" t="s">
        <v>37</v>
      </c>
      <c r="E991" s="86">
        <v>105858555</v>
      </c>
      <c r="F991" s="64">
        <v>42752</v>
      </c>
      <c r="G991" s="64">
        <f>IFERROR(CALCOLASCADENZA(Table2[[#This Row],[Data attivazione]],Table2[[#This Row],[Rateizzazione]],Table2[[#This Row],[Data ultimo pagamento]],Table2[[#This Row],[Data prossima scadenza manuale]]),"-")</f>
        <v>42935</v>
      </c>
      <c r="H991" s="67" t="s">
        <v>31</v>
      </c>
      <c r="I991" s="67" t="s">
        <v>1555</v>
      </c>
      <c r="J991" s="33">
        <f>IFERROR(Table2[[#This Row],[Importo annuale]]/(12/VLOOKUP(Table2[[#This Row],[Rateizzazione]],TIPI_RATEIZZAZIONI,2,FALSE)),"-")</f>
        <v>99.99</v>
      </c>
      <c r="K991" s="88">
        <v>99.99</v>
      </c>
      <c r="L991" s="88">
        <v>199.98</v>
      </c>
      <c r="M991" s="67" t="s">
        <v>44</v>
      </c>
      <c r="N991" s="67" t="s">
        <v>51</v>
      </c>
      <c r="O991" s="27" t="s">
        <v>1631</v>
      </c>
      <c r="P991" s="33" t="s">
        <v>22</v>
      </c>
      <c r="Q991" s="60">
        <f>IFERROR(IF(12 / VLOOKUP(Table2[[#This Row],[Rateizzazione]],TIPI_RATEIZZAZIONI,2,FALSE) &gt;=1,  IF(Table2[[#This Row],[Data attivazione]] = "","-",MONTH(Table2[[#This Row],[Data attivazione]])),"-"),"-")</f>
        <v>7</v>
      </c>
      <c r="R9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1" s="67" t="s">
        <v>2</v>
      </c>
      <c r="V991" s="62"/>
      <c r="W991" s="64">
        <v>42570</v>
      </c>
      <c r="X991" s="29">
        <f>DATE(YEAR(Table2[[#This Row],[Data attivazione]])+VLOOKUP(Table2[[#This Row],[Durata]],VALORE_DURATA,2,FALSE),MONTH(Table2[[#This Row],[Data attivazione]]),DAY(Table2[[#This Row],[Data attivazione]]))</f>
        <v>42935</v>
      </c>
      <c r="Y991" s="65"/>
      <c r="Z991" s="61"/>
      <c r="AA991" s="64" t="s">
        <v>85</v>
      </c>
      <c r="AB991" s="29" t="str">
        <f>IF(Table2[[#This Row],[Data ultimo versamento temp]]=0/1/1900,"-",Table2[[#This Row],[Data ultimo versamento temp]])</f>
        <v>-</v>
      </c>
      <c r="AC991" s="29">
        <f t="array" ref="AC991">MAX(IF(TableVersamenti[Polizza]=Table2[[#This Row],[Polizza]],TableVersamenti[Data prevista versamento],"-"))</f>
        <v>0</v>
      </c>
      <c r="AD991" s="62"/>
      <c r="AE991" s="106">
        <f>DATE(YEAR(Table2[[#This Row],[Data ultimo pagamento]]),MONTH(Table2[[#This Row],[Data ultimo pagamento]]), 1)</f>
        <v>42736</v>
      </c>
      <c r="AF991" s="106">
        <f>DATE(YEAR(Table2[[#This Row],[Data prossima scadenza]]),MONTH(Table2[[#This Row],[Data prossima scadenza]]), 1)</f>
        <v>42917</v>
      </c>
      <c r="AG991" s="33">
        <f>IFERROR(Table2[[#This Row],[Importo annuale]]*VLOOKUP(Table2[[#This Row],[Ramo]],RAMI_POLIZZA,2,FALSE),0)</f>
        <v>10.398959999999999</v>
      </c>
      <c r="AH991" s="65" t="s">
        <v>113</v>
      </c>
      <c r="AI991" s="63" t="str">
        <f>IFERROR(VLOOKUP(Table2[[#This Row],[Contraente]],Table1[[Nome/Ragione sociale]:[Checkbox selezionato]],2,FALSE),"-")</f>
        <v>BELGIOIOSO</v>
      </c>
      <c r="AJ991" s="63">
        <f>IFERROR(VLOOKUP(Table2[[#This Row],[Contraente]],Table1[[Nome/Ragione sociale]:[Checkbox selezionato]],3,FALSE),"-")</f>
        <v>3396325901</v>
      </c>
      <c r="AK991" s="63">
        <f>IFERROR(VLOOKUP(Table2[[#This Row],[Contraente]],Table1[[Nome/Ragione sociale]:[Checkbox selezionato]],4,FALSE),"-")</f>
        <v>3342869607</v>
      </c>
      <c r="AL991" s="63" t="str">
        <f>IFERROR(VLOOKUP(Table2[[#This Row],[Contraente]],Table1[[Nome/Ragione sociale]:[Checkbox selezionato]],5,FALSE),"-")</f>
        <v>EMILIO</v>
      </c>
      <c r="AM991" s="62">
        <f>IFERROR(VLOOKUP(Table2[[#This Row],[Contraente]],Table1[[Nome/Ragione sociale]:[Checkbox selezionato]],6,FALSE),"-")</f>
        <v>20944</v>
      </c>
      <c r="AN991" s="63" t="str">
        <f>IFERROR(VLOOKUP(Table2[[#This Row],[Contraente]],Table1[[Nome/Ragione sociale]:[Checkbox selezionato]],7,FALSE),"-")</f>
        <v>papies@libero.it</v>
      </c>
      <c r="AO991" s="63">
        <f>IFERROR(VLOOKUP(Table2[[#This Row],[Contraente]],Table1[[Nome/Ragione sociale]:[Checkbox selezionato]],8,FALSE),"-")</f>
        <v>0</v>
      </c>
      <c r="AP991" s="63">
        <f>IFERROR(VLOOKUP(Table2[[#This Row],[Contraente]],Table1[[Nome/Ragione sociale]:[Checkbox selezionato]],10,FALSE),"-")</f>
        <v>3396325901</v>
      </c>
      <c r="AQ991" s="63" t="str">
        <f>IFERROR(VLOOKUP(Table2[[#This Row],[Contraente]],Table1[[Nome/Ragione sociale]:[Checkbox selezionato]],11,FALSE),"-")</f>
        <v>SI</v>
      </c>
      <c r="AR991" s="63" t="str">
        <f>IFERROR(VLOOKUP(Table2[[#This Row],[Contraente]],Table1[[Nome/Ragione sociale]:[Checkbox selezionato]],12,FALSE),"-")</f>
        <v>SI</v>
      </c>
    </row>
    <row r="992" spans="1:44" ht="30" hidden="1" customHeight="1" x14ac:dyDescent="0.25">
      <c r="A992" s="60" t="str">
        <f>UPPER(LEFT(Table2[[#This Row],[Contraente]],1))</f>
        <v>S</v>
      </c>
      <c r="B992" s="60" t="s">
        <v>1634</v>
      </c>
      <c r="C992" s="81" t="s">
        <v>985</v>
      </c>
      <c r="D992" s="81" t="s">
        <v>37</v>
      </c>
      <c r="E992" s="86">
        <v>106097572</v>
      </c>
      <c r="F992" s="64">
        <v>42823</v>
      </c>
      <c r="G992" s="64">
        <f>IFERROR(CALCOLASCADENZA(Table2[[#This Row],[Data attivazione]],Table2[[#This Row],[Rateizzazione]],Table2[[#This Row],[Data ultimo pagamento]],Table2[[#This Row],[Data prossima scadenza manuale]]),"-")</f>
        <v>43008</v>
      </c>
      <c r="H992" s="67" t="s">
        <v>31</v>
      </c>
      <c r="I992" s="67" t="s">
        <v>1556</v>
      </c>
      <c r="J992" s="33">
        <f>IFERROR(Table2[[#This Row],[Importo annuale]]/(12/VLOOKUP(Table2[[#This Row],[Rateizzazione]],TIPI_RATEIZZAZIONI,2,FALSE)),"-")</f>
        <v>200</v>
      </c>
      <c r="K992" s="88">
        <v>200</v>
      </c>
      <c r="L992" s="88">
        <v>400</v>
      </c>
      <c r="M992" s="67" t="s">
        <v>44</v>
      </c>
      <c r="N992" s="67" t="s">
        <v>51</v>
      </c>
      <c r="O992" s="27" t="s">
        <v>1631</v>
      </c>
      <c r="P992" s="33" t="s">
        <v>22</v>
      </c>
      <c r="Q992" s="60">
        <f>IFERROR(IF(12 / VLOOKUP(Table2[[#This Row],[Rateizzazione]],TIPI_RATEIZZAZIONI,2,FALSE) &gt;=1,  IF(Table2[[#This Row],[Data attivazione]] = "","-",MONTH(Table2[[#This Row],[Data attivazione]])),"-"),"-")</f>
        <v>9</v>
      </c>
      <c r="R9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9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2" s="67" t="s">
        <v>2</v>
      </c>
      <c r="V992" s="62"/>
      <c r="W992" s="64">
        <v>42643</v>
      </c>
      <c r="X992" s="29">
        <f>DATE(YEAR(Table2[[#This Row],[Data attivazione]])+VLOOKUP(Table2[[#This Row],[Durata]],VALORE_DURATA,2,FALSE),MONTH(Table2[[#This Row],[Data attivazione]]),DAY(Table2[[#This Row],[Data attivazione]]))</f>
        <v>43008</v>
      </c>
      <c r="Y992" s="65"/>
      <c r="Z992" s="61"/>
      <c r="AA992" s="64" t="s">
        <v>85</v>
      </c>
      <c r="AB992" s="29" t="str">
        <f>IF(Table2[[#This Row],[Data ultimo versamento temp]]=0/1/1900,"-",Table2[[#This Row],[Data ultimo versamento temp]])</f>
        <v>-</v>
      </c>
      <c r="AC992" s="29">
        <f t="array" ref="AC992">MAX(IF(TableVersamenti[Polizza]=Table2[[#This Row],[Polizza]],TableVersamenti[Data prevista versamento],"-"))</f>
        <v>0</v>
      </c>
      <c r="AD992" s="62"/>
      <c r="AE992" s="106">
        <f>DATE(YEAR(Table2[[#This Row],[Data ultimo pagamento]]),MONTH(Table2[[#This Row],[Data ultimo pagamento]]), 1)</f>
        <v>42795</v>
      </c>
      <c r="AF992" s="106">
        <f>DATE(YEAR(Table2[[#This Row],[Data prossima scadenza]]),MONTH(Table2[[#This Row],[Data prossima scadenza]]), 1)</f>
        <v>42979</v>
      </c>
      <c r="AG992" s="33">
        <f>IFERROR(Table2[[#This Row],[Importo annuale]]*VLOOKUP(Table2[[#This Row],[Ramo]],RAMI_POLIZZA,2,FALSE),0)</f>
        <v>20.8</v>
      </c>
      <c r="AH992" s="65" t="s">
        <v>113</v>
      </c>
      <c r="AI992" s="63" t="str">
        <f>IFERROR(VLOOKUP(Table2[[#This Row],[Contraente]],Table1[[Nome/Ragione sociale]:[Checkbox selezionato]],2,FALSE),"-")</f>
        <v>BELGIOIOSO</v>
      </c>
      <c r="AJ992" s="63">
        <f>IFERROR(VLOOKUP(Table2[[#This Row],[Contraente]],Table1[[Nome/Ragione sociale]:[Checkbox selezionato]],3,FALSE),"-")</f>
        <v>3396325901</v>
      </c>
      <c r="AK992" s="63">
        <f>IFERROR(VLOOKUP(Table2[[#This Row],[Contraente]],Table1[[Nome/Ragione sociale]:[Checkbox selezionato]],4,FALSE),"-")</f>
        <v>3342869607</v>
      </c>
      <c r="AL992" s="63" t="str">
        <f>IFERROR(VLOOKUP(Table2[[#This Row],[Contraente]],Table1[[Nome/Ragione sociale]:[Checkbox selezionato]],5,FALSE),"-")</f>
        <v>EMILIO</v>
      </c>
      <c r="AM992" s="62">
        <f>IFERROR(VLOOKUP(Table2[[#This Row],[Contraente]],Table1[[Nome/Ragione sociale]:[Checkbox selezionato]],6,FALSE),"-")</f>
        <v>20944</v>
      </c>
      <c r="AN992" s="63" t="str">
        <f>IFERROR(VLOOKUP(Table2[[#This Row],[Contraente]],Table1[[Nome/Ragione sociale]:[Checkbox selezionato]],7,FALSE),"-")</f>
        <v>papies@libero.it</v>
      </c>
      <c r="AO992" s="63">
        <f>IFERROR(VLOOKUP(Table2[[#This Row],[Contraente]],Table1[[Nome/Ragione sociale]:[Checkbox selezionato]],8,FALSE),"-")</f>
        <v>0</v>
      </c>
      <c r="AP992" s="63">
        <f>IFERROR(VLOOKUP(Table2[[#This Row],[Contraente]],Table1[[Nome/Ragione sociale]:[Checkbox selezionato]],10,FALSE),"-")</f>
        <v>3396325901</v>
      </c>
      <c r="AQ992" s="63" t="str">
        <f>IFERROR(VLOOKUP(Table2[[#This Row],[Contraente]],Table1[[Nome/Ragione sociale]:[Checkbox selezionato]],11,FALSE),"-")</f>
        <v>SI</v>
      </c>
      <c r="AR992" s="63" t="str">
        <f>IFERROR(VLOOKUP(Table2[[#This Row],[Contraente]],Table1[[Nome/Ragione sociale]:[Checkbox selezionato]],12,FALSE),"-")</f>
        <v>SI</v>
      </c>
    </row>
    <row r="993" spans="1:44" ht="30" hidden="1" customHeight="1" x14ac:dyDescent="0.25">
      <c r="A993" s="60" t="str">
        <f>UPPER(LEFT(Table2[[#This Row],[Contraente]],1))</f>
        <v>S</v>
      </c>
      <c r="B993" s="60" t="s">
        <v>1634</v>
      </c>
      <c r="C993" s="81" t="s">
        <v>986</v>
      </c>
      <c r="D993" s="81" t="s">
        <v>37</v>
      </c>
      <c r="E993" s="86">
        <v>104717682</v>
      </c>
      <c r="F993" s="64">
        <v>42758</v>
      </c>
      <c r="G993" s="64">
        <f>IFERROR(CALCOLASCADENZA(Table2[[#This Row],[Data attivazione]],Table2[[#This Row],[Rateizzazione]],Table2[[#This Row],[Data ultimo pagamento]],Table2[[#This Row],[Data prossima scadenza manuale]]),"-")</f>
        <v>42758</v>
      </c>
      <c r="H993" s="67" t="s">
        <v>31</v>
      </c>
      <c r="I993" s="67" t="s">
        <v>1558</v>
      </c>
      <c r="J993" s="33">
        <v>421</v>
      </c>
      <c r="K993" s="88">
        <v>421</v>
      </c>
      <c r="L993" s="88">
        <v>841</v>
      </c>
      <c r="M993" s="67" t="s">
        <v>43</v>
      </c>
      <c r="N993" s="67" t="s">
        <v>51</v>
      </c>
      <c r="O993" s="27" t="s">
        <v>1631</v>
      </c>
      <c r="P993" s="33" t="s">
        <v>24</v>
      </c>
      <c r="Q99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3" s="67" t="s">
        <v>2</v>
      </c>
      <c r="V993" s="62"/>
      <c r="W993" s="64">
        <v>42573</v>
      </c>
      <c r="X993" s="29">
        <f>DATE(YEAR(Table2[[#This Row],[Data attivazione]])+VLOOKUP(Table2[[#This Row],[Durata]],VALORE_DURATA,2,FALSE),MONTH(Table2[[#This Row],[Data attivazione]]),DAY(Table2[[#This Row],[Data attivazione]]))</f>
        <v>42938</v>
      </c>
      <c r="Y993" s="65"/>
      <c r="Z993" s="61"/>
      <c r="AA993" s="64" t="s">
        <v>85</v>
      </c>
      <c r="AB993" s="29" t="str">
        <f>IF(Table2[[#This Row],[Data ultimo versamento temp]]=0/1/1900,"-",Table2[[#This Row],[Data ultimo versamento temp]])</f>
        <v>-</v>
      </c>
      <c r="AC993" s="29">
        <f t="array" ref="AC993">MAX(IF(TableVersamenti[Polizza]=Table2[[#This Row],[Polizza]],TableVersamenti[Data prevista versamento],"-"))</f>
        <v>0</v>
      </c>
      <c r="AD993" s="62"/>
      <c r="AE993" s="106">
        <f>DATE(YEAR(Table2[[#This Row],[Data ultimo pagamento]]),MONTH(Table2[[#This Row],[Data ultimo pagamento]]), 1)</f>
        <v>42736</v>
      </c>
      <c r="AF993" s="106">
        <f>DATE(YEAR(Table2[[#This Row],[Data prossima scadenza]]),MONTH(Table2[[#This Row],[Data prossima scadenza]]), 1)</f>
        <v>42736</v>
      </c>
      <c r="AG993" s="33">
        <f>IFERROR(Table2[[#This Row],[Importo annuale]]*VLOOKUP(Table2[[#This Row],[Ramo]],RAMI_POLIZZA,2,FALSE),0)</f>
        <v>43.731999999999999</v>
      </c>
      <c r="AH993" s="65" t="s">
        <v>113</v>
      </c>
      <c r="AI993" s="63" t="str">
        <f>IFERROR(VLOOKUP(Table2[[#This Row],[Contraente]],Table1[[Nome/Ragione sociale]:[Checkbox selezionato]],2,FALSE),"-")</f>
        <v>SPESSA</v>
      </c>
      <c r="AJ993" s="63">
        <f>IFERROR(VLOOKUP(Table2[[#This Row],[Contraente]],Table1[[Nome/Ragione sociale]:[Checkbox selezionato]],3,FALSE),"-")</f>
        <v>3281537491</v>
      </c>
      <c r="AK993" s="63">
        <f>IFERROR(VLOOKUP(Table2[[#This Row],[Contraente]],Table1[[Nome/Ragione sociale]:[Checkbox selezionato]],4,FALSE),"-")</f>
        <v>0</v>
      </c>
      <c r="AL993" s="63" t="str">
        <f>IFERROR(VLOOKUP(Table2[[#This Row],[Contraente]],Table1[[Nome/Ragione sociale]:[Checkbox selezionato]],5,FALSE),"-")</f>
        <v>GIOVANNI MARITO</v>
      </c>
      <c r="AM993" s="62">
        <f>IFERROR(VLOOKUP(Table2[[#This Row],[Contraente]],Table1[[Nome/Ragione sociale]:[Checkbox selezionato]],6,FALSE),"-")</f>
        <v>24269</v>
      </c>
      <c r="AN993" s="63" t="str">
        <f>IFERROR(VLOOKUP(Table2[[#This Row],[Contraente]],Table1[[Nome/Ragione sociale]:[Checkbox selezionato]],7,FALSE),"-")</f>
        <v>papies@email.it</v>
      </c>
      <c r="AO993" s="63">
        <f>IFERROR(VLOOKUP(Table2[[#This Row],[Contraente]],Table1[[Nome/Ragione sociale]:[Checkbox selezionato]],8,FALSE),"-")</f>
        <v>0</v>
      </c>
      <c r="AP993" s="63">
        <f>IFERROR(VLOOKUP(Table2[[#This Row],[Contraente]],Table1[[Nome/Ragione sociale]:[Checkbox selezionato]],10,FALSE),"-")</f>
        <v>3281537491</v>
      </c>
      <c r="AQ993" s="63" t="str">
        <f>IFERROR(VLOOKUP(Table2[[#This Row],[Contraente]],Table1[[Nome/Ragione sociale]:[Checkbox selezionato]],11,FALSE),"-")</f>
        <v>SI</v>
      </c>
      <c r="AR993" s="63" t="str">
        <f>IFERROR(VLOOKUP(Table2[[#This Row],[Contraente]],Table1[[Nome/Ragione sociale]:[Checkbox selezionato]],12,FALSE),"-")</f>
        <v>SI</v>
      </c>
    </row>
    <row r="994" spans="1:44" ht="30" hidden="1" customHeight="1" x14ac:dyDescent="0.25">
      <c r="A994" s="60" t="str">
        <f>UPPER(LEFT(Table2[[#This Row],[Contraente]],1))</f>
        <v>S</v>
      </c>
      <c r="B994" s="60" t="s">
        <v>1634</v>
      </c>
      <c r="C994" s="81" t="s">
        <v>994</v>
      </c>
      <c r="D994" s="81" t="s">
        <v>37</v>
      </c>
      <c r="E994" s="86">
        <v>106635016</v>
      </c>
      <c r="F994" s="64">
        <v>42810</v>
      </c>
      <c r="G994" s="64">
        <f>IFERROR(CALCOLASCADENZA(Table2[[#This Row],[Data attivazione]],Table2[[#This Row],[Rateizzazione]],Table2[[#This Row],[Data ultimo pagamento]],Table2[[#This Row],[Data prossima scadenza manuale]]),"-")</f>
        <v>43175</v>
      </c>
      <c r="H994" s="67" t="s">
        <v>31</v>
      </c>
      <c r="I994" s="67" t="s">
        <v>1562</v>
      </c>
      <c r="J994" s="33">
        <f>IFERROR(Table2[[#This Row],[Importo annuale]]/(12/VLOOKUP(Table2[[#This Row],[Rateizzazione]],TIPI_RATEIZZAZIONI,2,FALSE)),"-")</f>
        <v>535.70000000000005</v>
      </c>
      <c r="K994" s="88">
        <v>535.70000000000005</v>
      </c>
      <c r="L994" s="88">
        <v>535.70000000000005</v>
      </c>
      <c r="M994" s="67" t="s">
        <v>44</v>
      </c>
      <c r="N994" s="67" t="s">
        <v>52</v>
      </c>
      <c r="O994" s="27" t="s">
        <v>1631</v>
      </c>
      <c r="P994" s="33" t="s">
        <v>23</v>
      </c>
      <c r="Q994" s="60">
        <f>IFERROR(IF(12 / VLOOKUP(Table2[[#This Row],[Rateizzazione]],TIPI_RATEIZZAZIONI,2,FALSE) &gt;=1,  IF(Table2[[#This Row],[Data attivazione]] = "","-",MONTH(Table2[[#This Row],[Data attivazione]])),"-"),"-")</f>
        <v>3</v>
      </c>
      <c r="R9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4" s="67" t="s">
        <v>2</v>
      </c>
      <c r="V994" s="62"/>
      <c r="W994" s="64">
        <v>42810</v>
      </c>
      <c r="X994" s="29">
        <f>DATE(YEAR(Table2[[#This Row],[Data attivazione]])+VLOOKUP(Table2[[#This Row],[Durata]],VALORE_DURATA,2,FALSE),MONTH(Table2[[#This Row],[Data attivazione]]),DAY(Table2[[#This Row],[Data attivazione]]))</f>
        <v>43175</v>
      </c>
      <c r="Y994" s="65"/>
      <c r="Z994" s="61"/>
      <c r="AA994" s="64" t="s">
        <v>85</v>
      </c>
      <c r="AB994" s="29" t="str">
        <f>IF(Table2[[#This Row],[Data ultimo versamento temp]]=0/1/1900,"-",Table2[[#This Row],[Data ultimo versamento temp]])</f>
        <v>-</v>
      </c>
      <c r="AC994" s="29">
        <f t="array" ref="AC994">MAX(IF(TableVersamenti[Polizza]=Table2[[#This Row],[Polizza]],TableVersamenti[Data prevista versamento],"-"))</f>
        <v>0</v>
      </c>
      <c r="AD994" s="62"/>
      <c r="AE994" s="106">
        <f>DATE(YEAR(Table2[[#This Row],[Data ultimo pagamento]]),MONTH(Table2[[#This Row],[Data ultimo pagamento]]), 1)</f>
        <v>42795</v>
      </c>
      <c r="AF994" s="106">
        <f>DATE(YEAR(Table2[[#This Row],[Data prossima scadenza]]),MONTH(Table2[[#This Row],[Data prossima scadenza]]), 1)</f>
        <v>43160</v>
      </c>
      <c r="AG994" s="33">
        <f>IFERROR(Table2[[#This Row],[Importo annuale]]*VLOOKUP(Table2[[#This Row],[Ramo]],RAMI_POLIZZA,2,FALSE),0)</f>
        <v>27.856400000000001</v>
      </c>
      <c r="AH994" s="65" t="s">
        <v>113</v>
      </c>
      <c r="AI994" s="63" t="str">
        <f>IFERROR(VLOOKUP(Table2[[#This Row],[Contraente]],Table1[[Nome/Ragione sociale]:[Checkbox selezionato]],2,FALSE),"-")</f>
        <v>LINAROLO</v>
      </c>
      <c r="AJ994" s="63">
        <f>IFERROR(VLOOKUP(Table2[[#This Row],[Contraente]],Table1[[Nome/Ragione sociale]:[Checkbox selezionato]],3,FALSE),"-")</f>
        <v>3385018681</v>
      </c>
      <c r="AK994" s="63">
        <f>IFERROR(VLOOKUP(Table2[[#This Row],[Contraente]],Table1[[Nome/Ragione sociale]:[Checkbox selezionato]],4,FALSE),"-")</f>
        <v>0</v>
      </c>
      <c r="AL994" s="63" t="str">
        <f>IFERROR(VLOOKUP(Table2[[#This Row],[Contraente]],Table1[[Nome/Ragione sociale]:[Checkbox selezionato]],5,FALSE),"-")</f>
        <v>VALENTINA</v>
      </c>
      <c r="AM994" s="62">
        <f>IFERROR(VLOOKUP(Table2[[#This Row],[Contraente]],Table1[[Nome/Ragione sociale]:[Checkbox selezionato]],6,FALSE),"-")</f>
        <v>30176</v>
      </c>
      <c r="AN994" s="63" t="str">
        <f>IFERROR(VLOOKUP(Table2[[#This Row],[Contraente]],Table1[[Nome/Ragione sociale]:[Checkbox selezionato]],7,FALSE),"-")</f>
        <v>papies@libero.it</v>
      </c>
      <c r="AO994" s="63">
        <f>IFERROR(VLOOKUP(Table2[[#This Row],[Contraente]],Table1[[Nome/Ragione sociale]:[Checkbox selezionato]],8,FALSE),"-")</f>
        <v>0</v>
      </c>
      <c r="AP994" s="63">
        <f>IFERROR(VLOOKUP(Table2[[#This Row],[Contraente]],Table1[[Nome/Ragione sociale]:[Checkbox selezionato]],10,FALSE),"-")</f>
        <v>3385018681</v>
      </c>
      <c r="AQ994" s="63" t="str">
        <f>IFERROR(VLOOKUP(Table2[[#This Row],[Contraente]],Table1[[Nome/Ragione sociale]:[Checkbox selezionato]],11,FALSE),"-")</f>
        <v>SI</v>
      </c>
      <c r="AR994" s="63" t="str">
        <f>IFERROR(VLOOKUP(Table2[[#This Row],[Contraente]],Table1[[Nome/Ragione sociale]:[Checkbox selezionato]],12,FALSE),"-")</f>
        <v>SI</v>
      </c>
    </row>
    <row r="995" spans="1:44" ht="30" hidden="1" customHeight="1" x14ac:dyDescent="0.25">
      <c r="A995" s="60" t="str">
        <f>UPPER(LEFT(Table2[[#This Row],[Contraente]],1))</f>
        <v>S</v>
      </c>
      <c r="B995" s="60" t="s">
        <v>1634</v>
      </c>
      <c r="C995" s="81" t="s">
        <v>990</v>
      </c>
      <c r="D995" s="81" t="s">
        <v>37</v>
      </c>
      <c r="E995" s="86">
        <v>106134817</v>
      </c>
      <c r="F995" s="64">
        <v>42846</v>
      </c>
      <c r="G995" s="64">
        <f>IFERROR(CALCOLASCADENZA(Table2[[#This Row],[Data attivazione]],Table2[[#This Row],[Rateizzazione]],Table2[[#This Row],[Data ultimo pagamento]],Table2[[#This Row],[Data prossima scadenza manuale]]),"-")</f>
        <v>43015</v>
      </c>
      <c r="H995" s="67" t="s">
        <v>31</v>
      </c>
      <c r="I995" s="67" t="s">
        <v>1560</v>
      </c>
      <c r="J995" s="33">
        <f>IFERROR(Table2[[#This Row],[Importo annuale]]/(12/VLOOKUP(Table2[[#This Row],[Rateizzazione]],TIPI_RATEIZZAZIONI,2,FALSE)),"-")</f>
        <v>300</v>
      </c>
      <c r="K995" s="88">
        <v>300</v>
      </c>
      <c r="L995" s="88">
        <v>600</v>
      </c>
      <c r="M995" s="67" t="s">
        <v>43</v>
      </c>
      <c r="N995" s="67" t="s">
        <v>51</v>
      </c>
      <c r="O995" s="27" t="s">
        <v>1631</v>
      </c>
      <c r="P995" s="33" t="s">
        <v>22</v>
      </c>
      <c r="Q995" s="60">
        <f>IFERROR(IF(12 / VLOOKUP(Table2[[#This Row],[Rateizzazione]],TIPI_RATEIZZAZIONI,2,FALSE) &gt;=1,  IF(Table2[[#This Row],[Data attivazione]] = "","-",MONTH(Table2[[#This Row],[Data attivazione]])),"-"),"-")</f>
        <v>10</v>
      </c>
      <c r="R9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5" s="67" t="s">
        <v>133</v>
      </c>
      <c r="V995" s="62"/>
      <c r="W995" s="64">
        <v>42650</v>
      </c>
      <c r="X995" s="29">
        <f>DATE(YEAR(Table2[[#This Row],[Data attivazione]])+VLOOKUP(Table2[[#This Row],[Durata]],VALORE_DURATA,2,FALSE),MONTH(Table2[[#This Row],[Data attivazione]]),DAY(Table2[[#This Row],[Data attivazione]]))</f>
        <v>43015</v>
      </c>
      <c r="Y995" s="65"/>
      <c r="Z995" s="61"/>
      <c r="AA995" s="64" t="s">
        <v>85</v>
      </c>
      <c r="AB995" s="29" t="str">
        <f>IF(Table2[[#This Row],[Data ultimo versamento temp]]=0/1/1900,"-",Table2[[#This Row],[Data ultimo versamento temp]])</f>
        <v>-</v>
      </c>
      <c r="AC995" s="29">
        <f t="array" ref="AC995">MAX(IF(TableVersamenti[Polizza]=Table2[[#This Row],[Polizza]],TableVersamenti[Data prevista versamento],"-"))</f>
        <v>0</v>
      </c>
      <c r="AD995" s="62"/>
      <c r="AE995" s="106">
        <f>DATE(YEAR(Table2[[#This Row],[Data ultimo pagamento]]),MONTH(Table2[[#This Row],[Data ultimo pagamento]]), 1)</f>
        <v>42826</v>
      </c>
      <c r="AF995" s="106">
        <f>DATE(YEAR(Table2[[#This Row],[Data prossima scadenza]]),MONTH(Table2[[#This Row],[Data prossima scadenza]]), 1)</f>
        <v>43009</v>
      </c>
      <c r="AG995" s="33">
        <f>IFERROR(Table2[[#This Row],[Importo annuale]]*VLOOKUP(Table2[[#This Row],[Ramo]],RAMI_POLIZZA,2,FALSE),0)</f>
        <v>31.2</v>
      </c>
      <c r="AH995" s="65" t="s">
        <v>113</v>
      </c>
      <c r="AI995" s="63" t="str">
        <f>IFERROR(VLOOKUP(Table2[[#This Row],[Contraente]],Table1[[Nome/Ragione sociale]:[Checkbox selezionato]],2,FALSE),"-")</f>
        <v>ARENA PO</v>
      </c>
      <c r="AJ995" s="63">
        <f>IFERROR(VLOOKUP(Table2[[#This Row],[Contraente]],Table1[[Nome/Ragione sociale]:[Checkbox selezionato]],3,FALSE),"-")</f>
        <v>0</v>
      </c>
      <c r="AK995" s="63">
        <f>IFERROR(VLOOKUP(Table2[[#This Row],[Contraente]],Table1[[Nome/Ragione sociale]:[Checkbox selezionato]],4,FALSE),"-")</f>
        <v>0</v>
      </c>
      <c r="AL995" s="63">
        <f>IFERROR(VLOOKUP(Table2[[#This Row],[Contraente]],Table1[[Nome/Ragione sociale]:[Checkbox selezionato]],5,FALSE),"-")</f>
        <v>0</v>
      </c>
      <c r="AM995" s="62">
        <f>IFERROR(VLOOKUP(Table2[[#This Row],[Contraente]],Table1[[Nome/Ragione sociale]:[Checkbox selezionato]],6,FALSE),"-")</f>
        <v>0</v>
      </c>
      <c r="AN995" s="63" t="str">
        <f>IFERROR(VLOOKUP(Table2[[#This Row],[Contraente]],Table1[[Nome/Ragione sociale]:[Checkbox selezionato]],7,FALSE),"-")</f>
        <v>papies@libero.it</v>
      </c>
      <c r="AO995" s="63">
        <f>IFERROR(VLOOKUP(Table2[[#This Row],[Contraente]],Table1[[Nome/Ragione sociale]:[Checkbox selezionato]],8,FALSE),"-")</f>
        <v>0</v>
      </c>
      <c r="AP995" s="63">
        <f>IFERROR(VLOOKUP(Table2[[#This Row],[Contraente]],Table1[[Nome/Ragione sociale]:[Checkbox selezionato]],10,FALSE),"-")</f>
        <v>0</v>
      </c>
      <c r="AQ995" s="63" t="str">
        <f>IFERROR(VLOOKUP(Table2[[#This Row],[Contraente]],Table1[[Nome/Ragione sociale]:[Checkbox selezionato]],11,FALSE),"-")</f>
        <v>SI</v>
      </c>
      <c r="AR995" s="63" t="str">
        <f>IFERROR(VLOOKUP(Table2[[#This Row],[Contraente]],Table1[[Nome/Ragione sociale]:[Checkbox selezionato]],12,FALSE),"-")</f>
        <v>SI</v>
      </c>
    </row>
    <row r="996" spans="1:44" ht="30" hidden="1" customHeight="1" x14ac:dyDescent="0.25">
      <c r="A996" s="60" t="str">
        <f>UPPER(LEFT(Table2[[#This Row],[Contraente]],1))</f>
        <v>S</v>
      </c>
      <c r="B996" s="60" t="s">
        <v>1634</v>
      </c>
      <c r="C996" s="81" t="s">
        <v>991</v>
      </c>
      <c r="D996" s="81" t="s">
        <v>37</v>
      </c>
      <c r="E996" s="86">
        <v>105520755</v>
      </c>
      <c r="F996" s="64">
        <v>42858</v>
      </c>
      <c r="G996" s="64">
        <f>IFERROR(CALCOLASCADENZA(Table2[[#This Row],[Data attivazione]],Table2[[#This Row],[Rateizzazione]],Table2[[#This Row],[Data ultimo pagamento]],Table2[[#This Row],[Data prossima scadenza manuale]]),"-")</f>
        <v>42965</v>
      </c>
      <c r="H996" s="67" t="s">
        <v>31</v>
      </c>
      <c r="I996" s="67" t="s">
        <v>1561</v>
      </c>
      <c r="J996" s="33">
        <f>IFERROR(Table2[[#This Row],[Importo annuale]]/(12/VLOOKUP(Table2[[#This Row],[Rateizzazione]],TIPI_RATEIZZAZIONI,2,FALSE)),"-")</f>
        <v>174</v>
      </c>
      <c r="K996" s="88">
        <v>174</v>
      </c>
      <c r="L996" s="88">
        <v>522</v>
      </c>
      <c r="M996" s="67" t="s">
        <v>44</v>
      </c>
      <c r="N996" s="67" t="s">
        <v>51</v>
      </c>
      <c r="O996" s="27" t="s">
        <v>1631</v>
      </c>
      <c r="P996" s="33" t="s">
        <v>21</v>
      </c>
      <c r="Q996" s="60">
        <f>IFERROR(IF(12 / VLOOKUP(Table2[[#This Row],[Rateizzazione]],TIPI_RATEIZZAZIONI,2,FALSE) &gt;=1,  IF(Table2[[#This Row],[Data attivazione]] = "","-",MONTH(Table2[[#This Row],[Data attivazione]])),"-"),"-")</f>
        <v>8</v>
      </c>
      <c r="R9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9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9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6" s="67" t="s">
        <v>2</v>
      </c>
      <c r="V996" s="62"/>
      <c r="W996" s="64">
        <v>42600</v>
      </c>
      <c r="X996" s="29">
        <f>DATE(YEAR(Table2[[#This Row],[Data attivazione]])+VLOOKUP(Table2[[#This Row],[Durata]],VALORE_DURATA,2,FALSE),MONTH(Table2[[#This Row],[Data attivazione]]),DAY(Table2[[#This Row],[Data attivazione]]))</f>
        <v>42965</v>
      </c>
      <c r="Y996" s="65"/>
      <c r="Z996" s="61"/>
      <c r="AA996" s="64" t="s">
        <v>85</v>
      </c>
      <c r="AB996" s="29" t="str">
        <f>IF(Table2[[#This Row],[Data ultimo versamento temp]]=0/1/1900,"-",Table2[[#This Row],[Data ultimo versamento temp]])</f>
        <v>-</v>
      </c>
      <c r="AC996" s="29">
        <f t="array" ref="AC996">MAX(IF(TableVersamenti[Polizza]=Table2[[#This Row],[Polizza]],TableVersamenti[Data prevista versamento],"-"))</f>
        <v>0</v>
      </c>
      <c r="AD996" s="62"/>
      <c r="AE996" s="106">
        <f>DATE(YEAR(Table2[[#This Row],[Data ultimo pagamento]]),MONTH(Table2[[#This Row],[Data ultimo pagamento]]), 1)</f>
        <v>42856</v>
      </c>
      <c r="AF996" s="106">
        <f>DATE(YEAR(Table2[[#This Row],[Data prossima scadenza]]),MONTH(Table2[[#This Row],[Data prossima scadenza]]), 1)</f>
        <v>42948</v>
      </c>
      <c r="AG996" s="33">
        <f>IFERROR(Table2[[#This Row],[Importo annuale]]*VLOOKUP(Table2[[#This Row],[Ramo]],RAMI_POLIZZA,2,FALSE),0)</f>
        <v>27.143999999999998</v>
      </c>
      <c r="AH996" s="65" t="s">
        <v>113</v>
      </c>
      <c r="AI996" s="63" t="str">
        <f>IFERROR(VLOOKUP(Table2[[#This Row],[Contraente]],Table1[[Nome/Ragione sociale]:[Checkbox selezionato]],2,FALSE),"-")</f>
        <v>MAGHERNO</v>
      </c>
      <c r="AJ996" s="63">
        <f>IFERROR(VLOOKUP(Table2[[#This Row],[Contraente]],Table1[[Nome/Ragione sociale]:[Checkbox selezionato]],3,FALSE),"-")</f>
        <v>3337379811</v>
      </c>
      <c r="AK996" s="63">
        <f>IFERROR(VLOOKUP(Table2[[#This Row],[Contraente]],Table1[[Nome/Ragione sociale]:[Checkbox selezionato]],4,FALSE),"-")</f>
        <v>0</v>
      </c>
      <c r="AL996" s="63" t="str">
        <f>IFERROR(VLOOKUP(Table2[[#This Row],[Contraente]],Table1[[Nome/Ragione sociale]:[Checkbox selezionato]],5,FALSE),"-")</f>
        <v>MILCO MARIO</v>
      </c>
      <c r="AM996" s="62">
        <f>IFERROR(VLOOKUP(Table2[[#This Row],[Contraente]],Table1[[Nome/Ragione sociale]:[Checkbox selezionato]],6,FALSE),"-")</f>
        <v>24613</v>
      </c>
      <c r="AN996" s="63" t="str">
        <f>IFERROR(VLOOKUP(Table2[[#This Row],[Contraente]],Table1[[Nome/Ragione sociale]:[Checkbox selezionato]],7,FALSE),"-")</f>
        <v>papies@email.it</v>
      </c>
      <c r="AO996" s="63">
        <f>IFERROR(VLOOKUP(Table2[[#This Row],[Contraente]],Table1[[Nome/Ragione sociale]:[Checkbox selezionato]],8,FALSE),"-")</f>
        <v>0</v>
      </c>
      <c r="AP996" s="63">
        <f>IFERROR(VLOOKUP(Table2[[#This Row],[Contraente]],Table1[[Nome/Ragione sociale]:[Checkbox selezionato]],10,FALSE),"-")</f>
        <v>3337379811</v>
      </c>
      <c r="AQ996" s="63" t="str">
        <f>IFERROR(VLOOKUP(Table2[[#This Row],[Contraente]],Table1[[Nome/Ragione sociale]:[Checkbox selezionato]],11,FALSE),"-")</f>
        <v>SI</v>
      </c>
      <c r="AR996" s="63" t="str">
        <f>IFERROR(VLOOKUP(Table2[[#This Row],[Contraente]],Table1[[Nome/Ragione sociale]:[Checkbox selezionato]],12,FALSE),"-")</f>
        <v>SI</v>
      </c>
    </row>
    <row r="997" spans="1:44" ht="30" hidden="1" customHeight="1" x14ac:dyDescent="0.25">
      <c r="A997" s="60" t="str">
        <f>UPPER(LEFT(Table2[[#This Row],[Contraente]],1))</f>
        <v>S</v>
      </c>
      <c r="B997" s="60" t="s">
        <v>1634</v>
      </c>
      <c r="C997" s="80" t="s">
        <v>181</v>
      </c>
      <c r="D997" s="81" t="s">
        <v>37</v>
      </c>
      <c r="E997" s="86">
        <v>102687782</v>
      </c>
      <c r="F997" s="64">
        <v>42181</v>
      </c>
      <c r="G997" s="64">
        <f>IFERROR(CALCOLASCADENZA(Table2[[#This Row],[Data attivazione]],Table2[[#This Row],[Rateizzazione]],Table2[[#This Row],[Data ultimo pagamento]],Table2[[#This Row],[Data prossima scadenza manuale]]),"-")</f>
        <v>42181</v>
      </c>
      <c r="H997" s="67" t="s">
        <v>31</v>
      </c>
      <c r="I997" s="67" t="s">
        <v>1563</v>
      </c>
      <c r="J997" s="33">
        <v>0</v>
      </c>
      <c r="K997" s="88"/>
      <c r="L997" s="88">
        <v>0</v>
      </c>
      <c r="M997" s="67" t="s">
        <v>43</v>
      </c>
      <c r="N997" s="67" t="s">
        <v>51</v>
      </c>
      <c r="O997" s="27" t="s">
        <v>1631</v>
      </c>
      <c r="P997" s="33" t="s">
        <v>24</v>
      </c>
      <c r="Q99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7" s="67" t="s">
        <v>133</v>
      </c>
      <c r="V997" s="62"/>
      <c r="W997" s="64">
        <v>693597</v>
      </c>
      <c r="X997" s="29">
        <f>DATE(YEAR(Table2[[#This Row],[Data attivazione]])+VLOOKUP(Table2[[#This Row],[Durata]],VALORE_DURATA,2,FALSE),MONTH(Table2[[#This Row],[Data attivazione]]),DAY(Table2[[#This Row],[Data attivazione]]))</f>
        <v>693962</v>
      </c>
      <c r="Y997" s="65"/>
      <c r="Z997" s="61"/>
      <c r="AA997" s="64" t="s">
        <v>88</v>
      </c>
      <c r="AB997" s="29" t="str">
        <f>IF(Table2[[#This Row],[Data ultimo versamento temp]]=0/1/1900,"-",Table2[[#This Row],[Data ultimo versamento temp]])</f>
        <v>-</v>
      </c>
      <c r="AC997" s="29">
        <f t="array" ref="AC997">MAX(IF(TableVersamenti[Polizza]=Table2[[#This Row],[Polizza]],TableVersamenti[Data prevista versamento],"-"))</f>
        <v>0</v>
      </c>
      <c r="AD997" s="62"/>
      <c r="AE997" s="106">
        <f>DATE(YEAR(Table2[[#This Row],[Data ultimo pagamento]]),MONTH(Table2[[#This Row],[Data ultimo pagamento]]), 1)</f>
        <v>42156</v>
      </c>
      <c r="AF997" s="106">
        <f>DATE(YEAR(Table2[[#This Row],[Data prossima scadenza]]),MONTH(Table2[[#This Row],[Data prossima scadenza]]), 1)</f>
        <v>42156</v>
      </c>
      <c r="AG997" s="33">
        <f>IFERROR(Table2[[#This Row],[Importo annuale]]*VLOOKUP(Table2[[#This Row],[Ramo]],RAMI_POLIZZA,2,FALSE),0)</f>
        <v>0</v>
      </c>
      <c r="AH997" s="65" t="s">
        <v>113</v>
      </c>
      <c r="AI997" s="63" t="str">
        <f>IFERROR(VLOOKUP(Table2[[#This Row],[Contraente]],Table1[[Nome/Ragione sociale]:[Checkbox selezionato]],2,FALSE),"-")</f>
        <v>CASTEL SAN GIOVANNI</v>
      </c>
      <c r="AJ997" s="63" t="str">
        <f>IFERROR(VLOOKUP(Table2[[#This Row],[Contraente]],Table1[[Nome/Ragione sociale]:[Checkbox selezionato]],3,FALSE),"-")</f>
        <v>-</v>
      </c>
      <c r="AK997" s="63">
        <f>IFERROR(VLOOKUP(Table2[[#This Row],[Contraente]],Table1[[Nome/Ragione sociale]:[Checkbox selezionato]],4,FALSE),"-")</f>
        <v>0</v>
      </c>
      <c r="AL997" s="63">
        <f>IFERROR(VLOOKUP(Table2[[#This Row],[Contraente]],Table1[[Nome/Ragione sociale]:[Checkbox selezionato]],5,FALSE),"-")</f>
        <v>0</v>
      </c>
      <c r="AM997" s="62">
        <f>IFERROR(VLOOKUP(Table2[[#This Row],[Contraente]],Table1[[Nome/Ragione sociale]:[Checkbox selezionato]],6,FALSE),"-")</f>
        <v>29692</v>
      </c>
      <c r="AN997" s="63" t="str">
        <f>IFERROR(VLOOKUP(Table2[[#This Row],[Contraente]],Table1[[Nome/Ragione sociale]:[Checkbox selezionato]],7,FALSE),"-")</f>
        <v>papies@libero.it</v>
      </c>
      <c r="AO997" s="63">
        <f>IFERROR(VLOOKUP(Table2[[#This Row],[Contraente]],Table1[[Nome/Ragione sociale]:[Checkbox selezionato]],8,FALSE),"-")</f>
        <v>0</v>
      </c>
      <c r="AP997" s="63" t="str">
        <f>IFERROR(VLOOKUP(Table2[[#This Row],[Contraente]],Table1[[Nome/Ragione sociale]:[Checkbox selezionato]],10,FALSE),"-")</f>
        <v>-</v>
      </c>
      <c r="AQ997" s="63" t="str">
        <f>IFERROR(VLOOKUP(Table2[[#This Row],[Contraente]],Table1[[Nome/Ragione sociale]:[Checkbox selezionato]],11,FALSE),"-")</f>
        <v>SI</v>
      </c>
      <c r="AR997" s="63" t="str">
        <f>IFERROR(VLOOKUP(Table2[[#This Row],[Contraente]],Table1[[Nome/Ragione sociale]:[Checkbox selezionato]],12,FALSE),"-")</f>
        <v>SI</v>
      </c>
    </row>
    <row r="998" spans="1:44" ht="30" hidden="1" customHeight="1" x14ac:dyDescent="0.25">
      <c r="A998" s="60" t="str">
        <f>UPPER(LEFT(Table2[[#This Row],[Contraente]],1))</f>
        <v>S</v>
      </c>
      <c r="B998" s="60" t="s">
        <v>1634</v>
      </c>
      <c r="C998" s="81" t="s">
        <v>181</v>
      </c>
      <c r="D998" s="81" t="s">
        <v>37</v>
      </c>
      <c r="E998" s="86">
        <v>106171561</v>
      </c>
      <c r="F998" s="64">
        <v>42886</v>
      </c>
      <c r="G998" s="64">
        <f>IFERROR(CALCOLASCADENZA(Table2[[#This Row],[Data attivazione]],Table2[[#This Row],[Rateizzazione]],Table2[[#This Row],[Data ultimo pagamento]],Table2[[#This Row],[Data prossima scadenza manuale]]),"-")</f>
        <v>43036</v>
      </c>
      <c r="H998" s="67" t="s">
        <v>30</v>
      </c>
      <c r="I998" s="67" t="s">
        <v>113</v>
      </c>
      <c r="J998" s="33">
        <f>IFERROR(Table2[[#This Row],[Importo annuale]]/(12/VLOOKUP(Table2[[#This Row],[Rateizzazione]],TIPI_RATEIZZAZIONI,2,FALSE)),"-")</f>
        <v>160</v>
      </c>
      <c r="K998" s="88">
        <v>160</v>
      </c>
      <c r="L998" s="88">
        <v>320</v>
      </c>
      <c r="M998" s="67" t="s">
        <v>43</v>
      </c>
      <c r="N998" s="67" t="s">
        <v>52</v>
      </c>
      <c r="O998" s="27" t="s">
        <v>1631</v>
      </c>
      <c r="P998" s="33" t="s">
        <v>22</v>
      </c>
      <c r="Q998" s="60">
        <f>IFERROR(IF(12 / VLOOKUP(Table2[[#This Row],[Rateizzazione]],TIPI_RATEIZZAZIONI,2,FALSE) &gt;=1,  IF(Table2[[#This Row],[Data attivazione]] = "","-",MONTH(Table2[[#This Row],[Data attivazione]])),"-"),"-")</f>
        <v>10</v>
      </c>
      <c r="R9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8" s="67" t="s">
        <v>133</v>
      </c>
      <c r="V998" s="62"/>
      <c r="W998" s="64">
        <v>42671</v>
      </c>
      <c r="X998" s="29">
        <f>DATE(YEAR(Table2[[#This Row],[Data attivazione]])+VLOOKUP(Table2[[#This Row],[Durata]],VALORE_DURATA,2,FALSE),MONTH(Table2[[#This Row],[Data attivazione]]),DAY(Table2[[#This Row],[Data attivazione]]))</f>
        <v>43036</v>
      </c>
      <c r="Y998" s="65"/>
      <c r="Z998" s="61"/>
      <c r="AA998" s="64" t="s">
        <v>85</v>
      </c>
      <c r="AB998" s="29" t="str">
        <f>IF(Table2[[#This Row],[Data ultimo versamento temp]]=0/1/1900,"-",Table2[[#This Row],[Data ultimo versamento temp]])</f>
        <v>-</v>
      </c>
      <c r="AC998" s="29">
        <f t="array" ref="AC998">MAX(IF(TableVersamenti[Polizza]=Table2[[#This Row],[Polizza]],TableVersamenti[Data prevista versamento],"-"))</f>
        <v>0</v>
      </c>
      <c r="AD998" s="62"/>
      <c r="AE998" s="106">
        <f>DATE(YEAR(Table2[[#This Row],[Data ultimo pagamento]]),MONTH(Table2[[#This Row],[Data ultimo pagamento]]), 1)</f>
        <v>42856</v>
      </c>
      <c r="AF998" s="106">
        <f>DATE(YEAR(Table2[[#This Row],[Data prossima scadenza]]),MONTH(Table2[[#This Row],[Data prossima scadenza]]), 1)</f>
        <v>43009</v>
      </c>
      <c r="AG998" s="33">
        <f>IFERROR(Table2[[#This Row],[Importo annuale]]*VLOOKUP(Table2[[#This Row],[Ramo]],RAMI_POLIZZA,2,FALSE),0)</f>
        <v>36.800000000000004</v>
      </c>
      <c r="AH998" s="65" t="s">
        <v>113</v>
      </c>
      <c r="AI998" s="63" t="str">
        <f>IFERROR(VLOOKUP(Table2[[#This Row],[Contraente]],Table1[[Nome/Ragione sociale]:[Checkbox selezionato]],2,FALSE),"-")</f>
        <v>CASTEL SAN GIOVANNI</v>
      </c>
      <c r="AJ998" s="63" t="str">
        <f>IFERROR(VLOOKUP(Table2[[#This Row],[Contraente]],Table1[[Nome/Ragione sociale]:[Checkbox selezionato]],3,FALSE),"-")</f>
        <v>-</v>
      </c>
      <c r="AK998" s="63">
        <f>IFERROR(VLOOKUP(Table2[[#This Row],[Contraente]],Table1[[Nome/Ragione sociale]:[Checkbox selezionato]],4,FALSE),"-")</f>
        <v>0</v>
      </c>
      <c r="AL998" s="63">
        <f>IFERROR(VLOOKUP(Table2[[#This Row],[Contraente]],Table1[[Nome/Ragione sociale]:[Checkbox selezionato]],5,FALSE),"-")</f>
        <v>0</v>
      </c>
      <c r="AM998" s="62">
        <f>IFERROR(VLOOKUP(Table2[[#This Row],[Contraente]],Table1[[Nome/Ragione sociale]:[Checkbox selezionato]],6,FALSE),"-")</f>
        <v>29692</v>
      </c>
      <c r="AN998" s="63" t="str">
        <f>IFERROR(VLOOKUP(Table2[[#This Row],[Contraente]],Table1[[Nome/Ragione sociale]:[Checkbox selezionato]],7,FALSE),"-")</f>
        <v>papies@libero.it</v>
      </c>
      <c r="AO998" s="63">
        <f>IFERROR(VLOOKUP(Table2[[#This Row],[Contraente]],Table1[[Nome/Ragione sociale]:[Checkbox selezionato]],8,FALSE),"-")</f>
        <v>0</v>
      </c>
      <c r="AP998" s="63" t="str">
        <f>IFERROR(VLOOKUP(Table2[[#This Row],[Contraente]],Table1[[Nome/Ragione sociale]:[Checkbox selezionato]],10,FALSE),"-")</f>
        <v>-</v>
      </c>
      <c r="AQ998" s="63" t="str">
        <f>IFERROR(VLOOKUP(Table2[[#This Row],[Contraente]],Table1[[Nome/Ragione sociale]:[Checkbox selezionato]],11,FALSE),"-")</f>
        <v>SI</v>
      </c>
      <c r="AR998" s="63" t="str">
        <f>IFERROR(VLOOKUP(Table2[[#This Row],[Contraente]],Table1[[Nome/Ragione sociale]:[Checkbox selezionato]],12,FALSE),"-")</f>
        <v>SI</v>
      </c>
    </row>
    <row r="999" spans="1:44" ht="30" hidden="1" customHeight="1" x14ac:dyDescent="0.25">
      <c r="A999" s="60" t="str">
        <f>UPPER(LEFT(Table2[[#This Row],[Contraente]],1))</f>
        <v>S</v>
      </c>
      <c r="B999" s="60" t="s">
        <v>1634</v>
      </c>
      <c r="C999" s="81" t="s">
        <v>995</v>
      </c>
      <c r="D999" s="81" t="s">
        <v>37</v>
      </c>
      <c r="E999" s="86">
        <v>104338900</v>
      </c>
      <c r="F999" s="64">
        <v>42310</v>
      </c>
      <c r="G999" s="64">
        <f>IFERROR(CALCOLASCADENZA(Table2[[#This Row],[Data attivazione]],Table2[[#This Row],[Rateizzazione]],Table2[[#This Row],[Data ultimo pagamento]],Table2[[#This Row],[Data prossima scadenza manuale]]),"-")</f>
        <v>42484</v>
      </c>
      <c r="H999" s="67" t="s">
        <v>30</v>
      </c>
      <c r="I999" s="67" t="s">
        <v>113</v>
      </c>
      <c r="J999" s="33">
        <f>IFERROR(Table2[[#This Row],[Importo annuale]]/(12/VLOOKUP(Table2[[#This Row],[Rateizzazione]],TIPI_RATEIZZAZIONI,2,FALSE)),"-")</f>
        <v>100</v>
      </c>
      <c r="K999" s="88"/>
      <c r="L999" s="88">
        <v>200</v>
      </c>
      <c r="M999" s="67" t="s">
        <v>43</v>
      </c>
      <c r="N999" s="67" t="s">
        <v>52</v>
      </c>
      <c r="O999" s="27" t="s">
        <v>1631</v>
      </c>
      <c r="P999" s="33" t="s">
        <v>22</v>
      </c>
      <c r="Q999" s="60">
        <f>IFERROR(IF(12 / VLOOKUP(Table2[[#This Row],[Rateizzazione]],TIPI_RATEIZZAZIONI,2,FALSE) &gt;=1,  IF(Table2[[#This Row],[Data attivazione]] = "","-",MONTH(Table2[[#This Row],[Data attivazione]])),"-"),"-")</f>
        <v>4</v>
      </c>
      <c r="R9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9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9" s="67" t="s">
        <v>2</v>
      </c>
      <c r="V999" s="62"/>
      <c r="W999" s="64">
        <v>42118</v>
      </c>
      <c r="X999" s="29">
        <f>DATE(YEAR(Table2[[#This Row],[Data attivazione]])+VLOOKUP(Table2[[#This Row],[Durata]],VALORE_DURATA,2,FALSE),MONTH(Table2[[#This Row],[Data attivazione]]),DAY(Table2[[#This Row],[Data attivazione]]))</f>
        <v>42484</v>
      </c>
      <c r="Y999" s="65"/>
      <c r="Z999" s="61"/>
      <c r="AA999" s="64" t="s">
        <v>88</v>
      </c>
      <c r="AB999" s="29" t="str">
        <f>IF(Table2[[#This Row],[Data ultimo versamento temp]]=0/1/1900,"-",Table2[[#This Row],[Data ultimo versamento temp]])</f>
        <v>-</v>
      </c>
      <c r="AC999" s="29">
        <f t="array" ref="AC999">MAX(IF(TableVersamenti[Polizza]=Table2[[#This Row],[Polizza]],TableVersamenti[Data prevista versamento],"-"))</f>
        <v>0</v>
      </c>
      <c r="AD999" s="62"/>
      <c r="AE999" s="106">
        <f>DATE(YEAR(Table2[[#This Row],[Data ultimo pagamento]]),MONTH(Table2[[#This Row],[Data ultimo pagamento]]), 1)</f>
        <v>42309</v>
      </c>
      <c r="AF999" s="106">
        <f>DATE(YEAR(Table2[[#This Row],[Data prossima scadenza]]),MONTH(Table2[[#This Row],[Data prossima scadenza]]), 1)</f>
        <v>42461</v>
      </c>
      <c r="AG999" s="33">
        <f>IFERROR(Table2[[#This Row],[Importo annuale]]*VLOOKUP(Table2[[#This Row],[Ramo]],RAMI_POLIZZA,2,FALSE),0)</f>
        <v>23</v>
      </c>
      <c r="AH999" s="65" t="s">
        <v>113</v>
      </c>
      <c r="AI999" s="63">
        <f>IFERROR(VLOOKUP(Table2[[#This Row],[Contraente]],Table1[[Nome/Ragione sociale]:[Checkbox selezionato]],2,FALSE),"-")</f>
        <v>0</v>
      </c>
      <c r="AJ999" s="63">
        <f>IFERROR(VLOOKUP(Table2[[#This Row],[Contraente]],Table1[[Nome/Ragione sociale]:[Checkbox selezionato]],3,FALSE),"-")</f>
        <v>0</v>
      </c>
      <c r="AK999" s="63">
        <f>IFERROR(VLOOKUP(Table2[[#This Row],[Contraente]],Table1[[Nome/Ragione sociale]:[Checkbox selezionato]],4,FALSE),"-")</f>
        <v>0</v>
      </c>
      <c r="AL999" s="63">
        <f>IFERROR(VLOOKUP(Table2[[#This Row],[Contraente]],Table1[[Nome/Ragione sociale]:[Checkbox selezionato]],5,FALSE),"-")</f>
        <v>0</v>
      </c>
      <c r="AM999" s="62">
        <f>IFERROR(VLOOKUP(Table2[[#This Row],[Contraente]],Table1[[Nome/Ragione sociale]:[Checkbox selezionato]],6,FALSE),"-")</f>
        <v>0</v>
      </c>
      <c r="AN999" s="63" t="str">
        <f>IFERROR(VLOOKUP(Table2[[#This Row],[Contraente]],Table1[[Nome/Ragione sociale]:[Checkbox selezionato]],7,FALSE),"-")</f>
        <v>papies@libero.it</v>
      </c>
      <c r="AO999" s="63">
        <f>IFERROR(VLOOKUP(Table2[[#This Row],[Contraente]],Table1[[Nome/Ragione sociale]:[Checkbox selezionato]],8,FALSE),"-")</f>
        <v>0</v>
      </c>
      <c r="AP999" s="63">
        <f>IFERROR(VLOOKUP(Table2[[#This Row],[Contraente]],Table1[[Nome/Ragione sociale]:[Checkbox selezionato]],10,FALSE),"-")</f>
        <v>0</v>
      </c>
      <c r="AQ999" s="63" t="str">
        <f>IFERROR(VLOOKUP(Table2[[#This Row],[Contraente]],Table1[[Nome/Ragione sociale]:[Checkbox selezionato]],11,FALSE),"-")</f>
        <v>SI</v>
      </c>
      <c r="AR999" s="63" t="str">
        <f>IFERROR(VLOOKUP(Table2[[#This Row],[Contraente]],Table1[[Nome/Ragione sociale]:[Checkbox selezionato]],12,FALSE),"-")</f>
        <v>SI</v>
      </c>
    </row>
    <row r="1000" spans="1:44" ht="30" hidden="1" customHeight="1" x14ac:dyDescent="0.25">
      <c r="A1000" s="60" t="str">
        <f>UPPER(LEFT(Table2[[#This Row],[Contraente]],1))</f>
        <v>S</v>
      </c>
      <c r="B1000" s="60" t="s">
        <v>1634</v>
      </c>
      <c r="C1000" s="81" t="s">
        <v>999</v>
      </c>
      <c r="D1000" s="81" t="s">
        <v>37</v>
      </c>
      <c r="E1000" s="86">
        <v>106797641</v>
      </c>
      <c r="F1000" s="64">
        <v>42859</v>
      </c>
      <c r="G1000" s="64">
        <f>IFERROR(CALCOLASCADENZA(Table2[[#This Row],[Data attivazione]],Table2[[#This Row],[Rateizzazione]],Table2[[#This Row],[Data ultimo pagamento]],Table2[[#This Row],[Data prossima scadenza manuale]]),"-")</f>
        <v>43212</v>
      </c>
      <c r="H1000" s="67" t="s">
        <v>1628</v>
      </c>
      <c r="I1000" s="67" t="s">
        <v>113</v>
      </c>
      <c r="J1000" s="33">
        <f>IFERROR(Table2[[#This Row],[Importo annuale]]/(12/VLOOKUP(Table2[[#This Row],[Rateizzazione]],TIPI_RATEIZZAZIONI,2,FALSE)),"-")</f>
        <v>82</v>
      </c>
      <c r="K1000" s="88">
        <v>82</v>
      </c>
      <c r="L1000" s="88">
        <v>82</v>
      </c>
      <c r="M1000" s="67" t="s">
        <v>44</v>
      </c>
      <c r="N1000" s="67" t="s">
        <v>51</v>
      </c>
      <c r="O1000" s="27" t="s">
        <v>1631</v>
      </c>
      <c r="P1000" s="33" t="s">
        <v>23</v>
      </c>
      <c r="Q1000" s="60">
        <f>IFERROR(IF(12 / VLOOKUP(Table2[[#This Row],[Rateizzazione]],TIPI_RATEIZZAZIONI,2,FALSE) &gt;=1,  IF(Table2[[#This Row],[Data attivazione]] = "","-",MONTH(Table2[[#This Row],[Data attivazione]])),"-"),"-")</f>
        <v>4</v>
      </c>
      <c r="R10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0" s="67" t="s">
        <v>133</v>
      </c>
      <c r="V1000" s="62"/>
      <c r="W1000" s="64">
        <v>42847</v>
      </c>
      <c r="X1000" s="29">
        <f>DATE(YEAR(Table2[[#This Row],[Data attivazione]])+VLOOKUP(Table2[[#This Row],[Durata]],VALORE_DURATA,2,FALSE),MONTH(Table2[[#This Row],[Data attivazione]]),DAY(Table2[[#This Row],[Data attivazione]]))</f>
        <v>43212</v>
      </c>
      <c r="Y1000" s="65"/>
      <c r="Z1000" s="61"/>
      <c r="AA1000" s="64" t="s">
        <v>85</v>
      </c>
      <c r="AB1000" s="29" t="str">
        <f>IF(Table2[[#This Row],[Data ultimo versamento temp]]=0/1/1900,"-",Table2[[#This Row],[Data ultimo versamento temp]])</f>
        <v>-</v>
      </c>
      <c r="AC1000" s="29">
        <f t="array" ref="AC1000">MAX(IF(TableVersamenti[Polizza]=Table2[[#This Row],[Polizza]],TableVersamenti[Data prevista versamento],"-"))</f>
        <v>0</v>
      </c>
      <c r="AD1000" s="62"/>
      <c r="AE1000" s="106">
        <f>DATE(YEAR(Table2[[#This Row],[Data ultimo pagamento]]),MONTH(Table2[[#This Row],[Data ultimo pagamento]]), 1)</f>
        <v>42856</v>
      </c>
      <c r="AF1000" s="106">
        <f>DATE(YEAR(Table2[[#This Row],[Data prossima scadenza]]),MONTH(Table2[[#This Row],[Data prossima scadenza]]), 1)</f>
        <v>43191</v>
      </c>
      <c r="AG1000" s="33">
        <f>IFERROR(Table2[[#This Row],[Importo annuale]]*VLOOKUP(Table2[[#This Row],[Ramo]],RAMI_POLIZZA,2,FALSE),0)</f>
        <v>0</v>
      </c>
      <c r="AH1000" s="65" t="s">
        <v>113</v>
      </c>
      <c r="AI1000" s="63" t="str">
        <f>IFERROR(VLOOKUP(Table2[[#This Row],[Contraente]],Table1[[Nome/Ragione sociale]:[Checkbox selezionato]],2,FALSE),"-")</f>
        <v>BRONI</v>
      </c>
      <c r="AJ1000" s="63">
        <f>IFERROR(VLOOKUP(Table2[[#This Row],[Contraente]],Table1[[Nome/Ragione sociale]:[Checkbox selezionato]],3,FALSE),"-")</f>
        <v>3331246750</v>
      </c>
      <c r="AK1000" s="63">
        <f>IFERROR(VLOOKUP(Table2[[#This Row],[Contraente]],Table1[[Nome/Ragione sociale]:[Checkbox selezionato]],4,FALSE),"-")</f>
        <v>0</v>
      </c>
      <c r="AL1000" s="63" t="str">
        <f>IFERROR(VLOOKUP(Table2[[#This Row],[Contraente]],Table1[[Nome/Ragione sociale]:[Checkbox selezionato]],5,FALSE),"-")</f>
        <v>PAOLA</v>
      </c>
      <c r="AM1000" s="62">
        <f>IFERROR(VLOOKUP(Table2[[#This Row],[Contraente]],Table1[[Nome/Ragione sociale]:[Checkbox selezionato]],6,FALSE),"-")</f>
        <v>0</v>
      </c>
      <c r="AN1000" s="63" t="str">
        <f>IFERROR(VLOOKUP(Table2[[#This Row],[Contraente]],Table1[[Nome/Ragione sociale]:[Checkbox selezionato]],7,FALSE),"-")</f>
        <v>papies@email.it</v>
      </c>
      <c r="AO1000" s="63">
        <f>IFERROR(VLOOKUP(Table2[[#This Row],[Contraente]],Table1[[Nome/Ragione sociale]:[Checkbox selezionato]],8,FALSE),"-")</f>
        <v>0</v>
      </c>
      <c r="AP1000" s="63">
        <f>IFERROR(VLOOKUP(Table2[[#This Row],[Contraente]],Table1[[Nome/Ragione sociale]:[Checkbox selezionato]],10,FALSE),"-")</f>
        <v>3331246750</v>
      </c>
      <c r="AQ1000" s="63" t="str">
        <f>IFERROR(VLOOKUP(Table2[[#This Row],[Contraente]],Table1[[Nome/Ragione sociale]:[Checkbox selezionato]],11,FALSE),"-")</f>
        <v>SI</v>
      </c>
      <c r="AR1000" s="63" t="str">
        <f>IFERROR(VLOOKUP(Table2[[#This Row],[Contraente]],Table1[[Nome/Ragione sociale]:[Checkbox selezionato]],12,FALSE),"-")</f>
        <v>SI</v>
      </c>
    </row>
    <row r="1001" spans="1:44" ht="30" hidden="1" customHeight="1" x14ac:dyDescent="0.25">
      <c r="A1001" s="60" t="str">
        <f>UPPER(LEFT(Table2[[#This Row],[Contraente]],1))</f>
        <v>S</v>
      </c>
      <c r="B1001" s="60" t="s">
        <v>1634</v>
      </c>
      <c r="C1001" s="81" t="s">
        <v>999</v>
      </c>
      <c r="D1001" s="81" t="s">
        <v>37</v>
      </c>
      <c r="E1001" s="86">
        <v>106797485</v>
      </c>
      <c r="F1001" s="64">
        <v>42859</v>
      </c>
      <c r="G1001" s="64">
        <f>IFERROR(CALCOLASCADENZA(Table2[[#This Row],[Data attivazione]],Table2[[#This Row],[Rateizzazione]],Table2[[#This Row],[Data ultimo pagamento]],Table2[[#This Row],[Data prossima scadenza manuale]]),"-")</f>
        <v>43212</v>
      </c>
      <c r="H1001" s="67" t="s">
        <v>31</v>
      </c>
      <c r="I1001" s="67" t="s">
        <v>1567</v>
      </c>
      <c r="J1001" s="33">
        <f>IFERROR(Table2[[#This Row],[Importo annuale]]/(12/VLOOKUP(Table2[[#This Row],[Rateizzazione]],TIPI_RATEIZZAZIONI,2,FALSE)),"-")</f>
        <v>620</v>
      </c>
      <c r="K1001" s="88">
        <v>620</v>
      </c>
      <c r="L1001" s="88">
        <v>620</v>
      </c>
      <c r="M1001" s="67" t="s">
        <v>44</v>
      </c>
      <c r="N1001" s="67" t="s">
        <v>51</v>
      </c>
      <c r="O1001" s="27" t="s">
        <v>1631</v>
      </c>
      <c r="P1001" s="33" t="s">
        <v>23</v>
      </c>
      <c r="Q1001" s="60">
        <f>IFERROR(IF(12 / VLOOKUP(Table2[[#This Row],[Rateizzazione]],TIPI_RATEIZZAZIONI,2,FALSE) &gt;=1,  IF(Table2[[#This Row],[Data attivazione]] = "","-",MONTH(Table2[[#This Row],[Data attivazione]])),"-"),"-")</f>
        <v>4</v>
      </c>
      <c r="R10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1" s="67" t="s">
        <v>133</v>
      </c>
      <c r="V1001" s="62"/>
      <c r="W1001" s="64">
        <v>42847</v>
      </c>
      <c r="X1001" s="29">
        <f>DATE(YEAR(Table2[[#This Row],[Data attivazione]])+VLOOKUP(Table2[[#This Row],[Durata]],VALORE_DURATA,2,FALSE),MONTH(Table2[[#This Row],[Data attivazione]]),DAY(Table2[[#This Row],[Data attivazione]]))</f>
        <v>43212</v>
      </c>
      <c r="Y1001" s="65"/>
      <c r="Z1001" s="61"/>
      <c r="AA1001" s="64" t="s">
        <v>85</v>
      </c>
      <c r="AB1001" s="29" t="str">
        <f>IF(Table2[[#This Row],[Data ultimo versamento temp]]=0/1/1900,"-",Table2[[#This Row],[Data ultimo versamento temp]])</f>
        <v>-</v>
      </c>
      <c r="AC1001" s="29">
        <f t="array" ref="AC1001">MAX(IF(TableVersamenti[Polizza]=Table2[[#This Row],[Polizza]],TableVersamenti[Data prevista versamento],"-"))</f>
        <v>0</v>
      </c>
      <c r="AD1001" s="62"/>
      <c r="AE1001" s="106">
        <f>DATE(YEAR(Table2[[#This Row],[Data ultimo pagamento]]),MONTH(Table2[[#This Row],[Data ultimo pagamento]]), 1)</f>
        <v>42856</v>
      </c>
      <c r="AF1001" s="106">
        <f>DATE(YEAR(Table2[[#This Row],[Data prossima scadenza]]),MONTH(Table2[[#This Row],[Data prossima scadenza]]), 1)</f>
        <v>43191</v>
      </c>
      <c r="AG1001" s="33">
        <f>IFERROR(Table2[[#This Row],[Importo annuale]]*VLOOKUP(Table2[[#This Row],[Ramo]],RAMI_POLIZZA,2,FALSE),0)</f>
        <v>32.24</v>
      </c>
      <c r="AH1001" s="65" t="s">
        <v>113</v>
      </c>
      <c r="AI1001" s="63" t="str">
        <f>IFERROR(VLOOKUP(Table2[[#This Row],[Contraente]],Table1[[Nome/Ragione sociale]:[Checkbox selezionato]],2,FALSE),"-")</f>
        <v>BRONI</v>
      </c>
      <c r="AJ1001" s="63">
        <f>IFERROR(VLOOKUP(Table2[[#This Row],[Contraente]],Table1[[Nome/Ragione sociale]:[Checkbox selezionato]],3,FALSE),"-")</f>
        <v>3331246750</v>
      </c>
      <c r="AK1001" s="63">
        <f>IFERROR(VLOOKUP(Table2[[#This Row],[Contraente]],Table1[[Nome/Ragione sociale]:[Checkbox selezionato]],4,FALSE),"-")</f>
        <v>0</v>
      </c>
      <c r="AL1001" s="63" t="str">
        <f>IFERROR(VLOOKUP(Table2[[#This Row],[Contraente]],Table1[[Nome/Ragione sociale]:[Checkbox selezionato]],5,FALSE),"-")</f>
        <v>PAOLA</v>
      </c>
      <c r="AM1001" s="62">
        <f>IFERROR(VLOOKUP(Table2[[#This Row],[Contraente]],Table1[[Nome/Ragione sociale]:[Checkbox selezionato]],6,FALSE),"-")</f>
        <v>0</v>
      </c>
      <c r="AN1001" s="63" t="str">
        <f>IFERROR(VLOOKUP(Table2[[#This Row],[Contraente]],Table1[[Nome/Ragione sociale]:[Checkbox selezionato]],7,FALSE),"-")</f>
        <v>papies@email.it</v>
      </c>
      <c r="AO1001" s="63">
        <f>IFERROR(VLOOKUP(Table2[[#This Row],[Contraente]],Table1[[Nome/Ragione sociale]:[Checkbox selezionato]],8,FALSE),"-")</f>
        <v>0</v>
      </c>
      <c r="AP1001" s="63">
        <f>IFERROR(VLOOKUP(Table2[[#This Row],[Contraente]],Table1[[Nome/Ragione sociale]:[Checkbox selezionato]],10,FALSE),"-")</f>
        <v>3331246750</v>
      </c>
      <c r="AQ1001" s="63" t="str">
        <f>IFERROR(VLOOKUP(Table2[[#This Row],[Contraente]],Table1[[Nome/Ragione sociale]:[Checkbox selezionato]],11,FALSE),"-")</f>
        <v>SI</v>
      </c>
      <c r="AR1001" s="63" t="str">
        <f>IFERROR(VLOOKUP(Table2[[#This Row],[Contraente]],Table1[[Nome/Ragione sociale]:[Checkbox selezionato]],12,FALSE),"-")</f>
        <v>SI</v>
      </c>
    </row>
    <row r="1002" spans="1:44" ht="30" hidden="1" customHeight="1" x14ac:dyDescent="0.25">
      <c r="A1002" s="60" t="str">
        <f>UPPER(LEFT(Table2[[#This Row],[Contraente]],1))</f>
        <v>S</v>
      </c>
      <c r="B1002" s="60" t="s">
        <v>1634</v>
      </c>
      <c r="C1002" s="81" t="s">
        <v>1683</v>
      </c>
      <c r="D1002" s="81" t="s">
        <v>37</v>
      </c>
      <c r="E1002" s="86">
        <v>106687444</v>
      </c>
      <c r="F1002" s="64">
        <v>42825</v>
      </c>
      <c r="G1002" s="64">
        <f>IFERROR(CALCOLASCADENZA(Table2[[#This Row],[Data attivazione]],Table2[[#This Row],[Rateizzazione]],Table2[[#This Row],[Data ultimo pagamento]],Table2[[#This Row],[Data prossima scadenza manuale]]),"-")</f>
        <v>42978</v>
      </c>
      <c r="H1002" s="67" t="s">
        <v>31</v>
      </c>
      <c r="I1002" s="67" t="s">
        <v>1699</v>
      </c>
      <c r="J1002" s="33">
        <f>IFERROR(Table2[[#This Row],[Importo annuale]]/(12/VLOOKUP(Table2[[#This Row],[Rateizzazione]],TIPI_RATEIZZAZIONI,2,FALSE)),"-")</f>
        <v>125</v>
      </c>
      <c r="K1002" s="88">
        <v>125</v>
      </c>
      <c r="L1002" s="88">
        <v>125</v>
      </c>
      <c r="M1002" s="67" t="s">
        <v>43</v>
      </c>
      <c r="N1002" s="67" t="s">
        <v>52</v>
      </c>
      <c r="O1002" s="27" t="s">
        <v>1631</v>
      </c>
      <c r="P1002" s="33" t="s">
        <v>23</v>
      </c>
      <c r="Q1002" s="60">
        <f>IFERROR(IF(12 / VLOOKUP(Table2[[#This Row],[Rateizzazione]],TIPI_RATEIZZAZIONI,2,FALSE) &gt;=1,  IF(Table2[[#This Row],[Data attivazione]] = "","-",MONTH(Table2[[#This Row],[Data attivazione]])),"-"),"-")</f>
        <v>8</v>
      </c>
      <c r="R10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2" s="67" t="s">
        <v>2</v>
      </c>
      <c r="V1002" s="62"/>
      <c r="W1002" s="64">
        <v>42613</v>
      </c>
      <c r="X1002" s="29">
        <f>DATE(YEAR(Table2[[#This Row],[Data attivazione]])+VLOOKUP(Table2[[#This Row],[Durata]],VALORE_DURATA,2,FALSE),MONTH(Table2[[#This Row],[Data attivazione]]),DAY(Table2[[#This Row],[Data attivazione]]))</f>
        <v>42978</v>
      </c>
      <c r="Y1002" s="65"/>
      <c r="Z1002" s="61"/>
      <c r="AA1002" s="64" t="s">
        <v>85</v>
      </c>
      <c r="AB1002" s="29" t="str">
        <f>IF(Table2[[#This Row],[Data ultimo versamento temp]]=0/1/1900,"-",Table2[[#This Row],[Data ultimo versamento temp]])</f>
        <v>-</v>
      </c>
      <c r="AC1002" s="29">
        <f t="array" ref="AC1002">MAX(IF(TableVersamenti[Polizza]=Table2[[#This Row],[Polizza]],TableVersamenti[Data prevista versamento],"-"))</f>
        <v>0</v>
      </c>
      <c r="AD1002" s="62"/>
      <c r="AE1002" s="106">
        <f>DATE(YEAR(Table2[[#This Row],[Data ultimo pagamento]]),MONTH(Table2[[#This Row],[Data ultimo pagamento]]), 1)</f>
        <v>42795</v>
      </c>
      <c r="AF1002" s="106">
        <f>DATE(YEAR(Table2[[#This Row],[Data prossima scadenza]]),MONTH(Table2[[#This Row],[Data prossima scadenza]]), 1)</f>
        <v>42948</v>
      </c>
      <c r="AG1002" s="33">
        <f>IFERROR(Table2[[#This Row],[Importo annuale]]*VLOOKUP(Table2[[#This Row],[Ramo]],RAMI_POLIZZA,2,FALSE),0)</f>
        <v>6.5</v>
      </c>
      <c r="AH1002" s="65" t="s">
        <v>113</v>
      </c>
      <c r="AI1002" s="63" t="str">
        <f>IFERROR(VLOOKUP(Table2[[#This Row],[Contraente]],Table1[[Nome/Ragione sociale]:[Checkbox selezionato]],2,FALSE),"-")</f>
        <v>BRONI</v>
      </c>
      <c r="AJ1002" s="63">
        <f>IFERROR(VLOOKUP(Table2[[#This Row],[Contraente]],Table1[[Nome/Ragione sociale]:[Checkbox selezionato]],3,FALSE),"-")</f>
        <v>3281266228</v>
      </c>
      <c r="AK1002" s="63">
        <f>IFERROR(VLOOKUP(Table2[[#This Row],[Contraente]],Table1[[Nome/Ragione sociale]:[Checkbox selezionato]],4,FALSE),"-")</f>
        <v>0</v>
      </c>
      <c r="AL1002" s="63" t="str">
        <f>IFERROR(VLOOKUP(Table2[[#This Row],[Contraente]],Table1[[Nome/Ragione sociale]:[Checkbox selezionato]],5,FALSE),"-")</f>
        <v>DORIS</v>
      </c>
      <c r="AM1002" s="62" t="str">
        <f>IFERROR(VLOOKUP(Table2[[#This Row],[Contraente]],Table1[[Nome/Ragione sociale]:[Checkbox selezionato]],6,FALSE),"-")</f>
        <v>-</v>
      </c>
      <c r="AN1002" s="63" t="str">
        <f>IFERROR(VLOOKUP(Table2[[#This Row],[Contraente]],Table1[[Nome/Ragione sociale]:[Checkbox selezionato]],7,FALSE),"-")</f>
        <v>papies@libero.it</v>
      </c>
      <c r="AO1002" s="63">
        <f>IFERROR(VLOOKUP(Table2[[#This Row],[Contraente]],Table1[[Nome/Ragione sociale]:[Checkbox selezionato]],8,FALSE),"-")</f>
        <v>0</v>
      </c>
      <c r="AP1002" s="63">
        <f>IFERROR(VLOOKUP(Table2[[#This Row],[Contraente]],Table1[[Nome/Ragione sociale]:[Checkbox selezionato]],10,FALSE),"-")</f>
        <v>3281266228</v>
      </c>
      <c r="AQ1002" s="63" t="str">
        <f>IFERROR(VLOOKUP(Table2[[#This Row],[Contraente]],Table1[[Nome/Ragione sociale]:[Checkbox selezionato]],11,FALSE),"-")</f>
        <v>SI</v>
      </c>
      <c r="AR1002" s="63" t="str">
        <f>IFERROR(VLOOKUP(Table2[[#This Row],[Contraente]],Table1[[Nome/Ragione sociale]:[Checkbox selezionato]],12,FALSE),"-")</f>
        <v>SI</v>
      </c>
    </row>
    <row r="1003" spans="1:44" ht="30" hidden="1" customHeight="1" x14ac:dyDescent="0.25">
      <c r="A1003" s="60" t="str">
        <f>UPPER(LEFT(Table2[[#This Row],[Contraente]],1))</f>
        <v>S</v>
      </c>
      <c r="B1003" s="60" t="s">
        <v>1634</v>
      </c>
      <c r="C1003" s="81" t="s">
        <v>997</v>
      </c>
      <c r="D1003" s="81" t="s">
        <v>37</v>
      </c>
      <c r="E1003" s="86">
        <v>104372242</v>
      </c>
      <c r="F1003" s="64">
        <v>42129</v>
      </c>
      <c r="G1003" s="64">
        <f>IFERROR(CALCOLASCADENZA(Table2[[#This Row],[Data attivazione]],Table2[[#This Row],[Rateizzazione]],Table2[[#This Row],[Data ultimo pagamento]],Table2[[#This Row],[Data prossima scadenza manuale]]),"-")</f>
        <v>693778</v>
      </c>
      <c r="H1003" s="67" t="s">
        <v>31</v>
      </c>
      <c r="I1003" s="67" t="s">
        <v>1565</v>
      </c>
      <c r="J1003" s="33">
        <f>IFERROR(Table2[[#This Row],[Importo annuale]]/(12/VLOOKUP(Table2[[#This Row],[Rateizzazione]],TIPI_RATEIZZAZIONI,2,FALSE)),"-")</f>
        <v>374.76</v>
      </c>
      <c r="K1003" s="88"/>
      <c r="L1003" s="88">
        <v>749.52</v>
      </c>
      <c r="M1003" s="67" t="s">
        <v>43</v>
      </c>
      <c r="N1003" s="67" t="s">
        <v>52</v>
      </c>
      <c r="O1003" s="27" t="s">
        <v>1631</v>
      </c>
      <c r="P1003" s="33" t="s">
        <v>22</v>
      </c>
      <c r="Q1003" s="60">
        <f>IFERROR(IF(12 / VLOOKUP(Table2[[#This Row],[Rateizzazione]],TIPI_RATEIZZAZIONI,2,FALSE) &gt;=1,  IF(Table2[[#This Row],[Data attivazione]] = "","-",MONTH(Table2[[#This Row],[Data attivazione]])),"-"),"-")</f>
        <v>12</v>
      </c>
      <c r="R10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3" s="67" t="s">
        <v>2</v>
      </c>
      <c r="V1003" s="62"/>
      <c r="W1003" s="64">
        <v>693597</v>
      </c>
      <c r="X1003" s="29">
        <f>DATE(YEAR(Table2[[#This Row],[Data attivazione]])+VLOOKUP(Table2[[#This Row],[Durata]],VALORE_DURATA,2,FALSE),MONTH(Table2[[#This Row],[Data attivazione]]),DAY(Table2[[#This Row],[Data attivazione]]))</f>
        <v>693962</v>
      </c>
      <c r="Y1003" s="65"/>
      <c r="Z1003" s="61"/>
      <c r="AA1003" s="64" t="s">
        <v>88</v>
      </c>
      <c r="AB1003" s="29" t="str">
        <f>IF(Table2[[#This Row],[Data ultimo versamento temp]]=0/1/1900,"-",Table2[[#This Row],[Data ultimo versamento temp]])</f>
        <v>-</v>
      </c>
      <c r="AC1003" s="29">
        <f t="array" ref="AC1003">MAX(IF(TableVersamenti[Polizza]=Table2[[#This Row],[Polizza]],TableVersamenti[Data prevista versamento],"-"))</f>
        <v>0</v>
      </c>
      <c r="AD1003" s="62"/>
      <c r="AE1003" s="106">
        <f>DATE(YEAR(Table2[[#This Row],[Data ultimo pagamento]]),MONTH(Table2[[#This Row],[Data ultimo pagamento]]), 1)</f>
        <v>42125</v>
      </c>
      <c r="AF1003" s="106">
        <f>DATE(YEAR(Table2[[#This Row],[Data prossima scadenza]]),MONTH(Table2[[#This Row],[Data prossima scadenza]]), 1)</f>
        <v>693749</v>
      </c>
      <c r="AG1003" s="33">
        <f>IFERROR(Table2[[#This Row],[Importo annuale]]*VLOOKUP(Table2[[#This Row],[Ramo]],RAMI_POLIZZA,2,FALSE),0)</f>
        <v>38.97504</v>
      </c>
      <c r="AH1003" s="65" t="s">
        <v>113</v>
      </c>
      <c r="AI1003" s="63" t="str">
        <f>IFERROR(VLOOKUP(Table2[[#This Row],[Contraente]],Table1[[Nome/Ragione sociale]:[Checkbox selezionato]],2,FALSE),"-")</f>
        <v>ASSISI</v>
      </c>
      <c r="AJ1003" s="63">
        <f>IFERROR(VLOOKUP(Table2[[#This Row],[Contraente]],Table1[[Nome/Ragione sociale]:[Checkbox selezionato]],3,FALSE),"-")</f>
        <v>3281266228</v>
      </c>
      <c r="AK1003" s="63">
        <f>IFERROR(VLOOKUP(Table2[[#This Row],[Contraente]],Table1[[Nome/Ragione sociale]:[Checkbox selezionato]],4,FALSE),"-")</f>
        <v>0</v>
      </c>
      <c r="AL1003" s="63" t="str">
        <f>IFERROR(VLOOKUP(Table2[[#This Row],[Contraente]],Table1[[Nome/Ragione sociale]:[Checkbox selezionato]],5,FALSE),"-")</f>
        <v>DORIS</v>
      </c>
      <c r="AM1003" s="62">
        <f>IFERROR(VLOOKUP(Table2[[#This Row],[Contraente]],Table1[[Nome/Ragione sociale]:[Checkbox selezionato]],6,FALSE),"-")</f>
        <v>24983</v>
      </c>
      <c r="AN1003" s="63" t="str">
        <f>IFERROR(VLOOKUP(Table2[[#This Row],[Contraente]],Table1[[Nome/Ragione sociale]:[Checkbox selezionato]],7,FALSE),"-")</f>
        <v>papies@libero.it</v>
      </c>
      <c r="AO1003" s="63">
        <f>IFERROR(VLOOKUP(Table2[[#This Row],[Contraente]],Table1[[Nome/Ragione sociale]:[Checkbox selezionato]],8,FALSE),"-")</f>
        <v>0</v>
      </c>
      <c r="AP1003" s="63">
        <f>IFERROR(VLOOKUP(Table2[[#This Row],[Contraente]],Table1[[Nome/Ragione sociale]:[Checkbox selezionato]],10,FALSE),"-")</f>
        <v>3281266228</v>
      </c>
      <c r="AQ1003" s="63" t="str">
        <f>IFERROR(VLOOKUP(Table2[[#This Row],[Contraente]],Table1[[Nome/Ragione sociale]:[Checkbox selezionato]],11,FALSE),"-")</f>
        <v>SI</v>
      </c>
      <c r="AR1003" s="63" t="str">
        <f>IFERROR(VLOOKUP(Table2[[#This Row],[Contraente]],Table1[[Nome/Ragione sociale]:[Checkbox selezionato]],12,FALSE),"-")</f>
        <v>SI</v>
      </c>
    </row>
    <row r="1004" spans="1:44" ht="30" hidden="1" customHeight="1" x14ac:dyDescent="0.25">
      <c r="A1004" s="60" t="str">
        <f>UPPER(LEFT(Table2[[#This Row],[Contraente]],1))</f>
        <v>S</v>
      </c>
      <c r="B1004" s="60" t="s">
        <v>1634</v>
      </c>
      <c r="C1004" s="81" t="s">
        <v>997</v>
      </c>
      <c r="D1004" s="81" t="s">
        <v>37</v>
      </c>
      <c r="E1004" s="86">
        <v>105278737</v>
      </c>
      <c r="F1004" s="64">
        <v>42783</v>
      </c>
      <c r="G1004" s="64">
        <f>IFERROR(CALCOLASCADENZA(Table2[[#This Row],[Data attivazione]],Table2[[#This Row],[Rateizzazione]],Table2[[#This Row],[Data ultimo pagamento]],Table2[[#This Row],[Data prossima scadenza manuale]]),"-")</f>
        <v>42954</v>
      </c>
      <c r="H1004" s="67" t="s">
        <v>31</v>
      </c>
      <c r="I1004" s="67" t="s">
        <v>1566</v>
      </c>
      <c r="J1004" s="33">
        <f>IFERROR(Table2[[#This Row],[Importo annuale]]/(12/VLOOKUP(Table2[[#This Row],[Rateizzazione]],TIPI_RATEIZZAZIONI,2,FALSE)),"-")</f>
        <v>514.38</v>
      </c>
      <c r="K1004" s="88">
        <v>514.38</v>
      </c>
      <c r="L1004" s="88">
        <v>1028.76</v>
      </c>
      <c r="M1004" s="67" t="s">
        <v>45</v>
      </c>
      <c r="N1004" s="67" t="s">
        <v>51</v>
      </c>
      <c r="O1004" s="27" t="s">
        <v>1631</v>
      </c>
      <c r="P1004" s="33" t="s">
        <v>22</v>
      </c>
      <c r="Q1004" s="60">
        <f>IFERROR(IF(12 / VLOOKUP(Table2[[#This Row],[Rateizzazione]],TIPI_RATEIZZAZIONI,2,FALSE) &gt;=1,  IF(Table2[[#This Row],[Data attivazione]] = "","-",MONTH(Table2[[#This Row],[Data attivazione]])),"-"),"-")</f>
        <v>8</v>
      </c>
      <c r="R10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4" s="67" t="s">
        <v>2</v>
      </c>
      <c r="V1004" s="62"/>
      <c r="W1004" s="64">
        <v>42589</v>
      </c>
      <c r="X1004" s="29">
        <f>DATE(YEAR(Table2[[#This Row],[Data attivazione]])+VLOOKUP(Table2[[#This Row],[Durata]],VALORE_DURATA,2,FALSE),MONTH(Table2[[#This Row],[Data attivazione]]),DAY(Table2[[#This Row],[Data attivazione]]))</f>
        <v>42954</v>
      </c>
      <c r="Y1004" s="65"/>
      <c r="Z1004" s="61"/>
      <c r="AA1004" s="64" t="s">
        <v>85</v>
      </c>
      <c r="AB1004" s="29" t="str">
        <f>IF(Table2[[#This Row],[Data ultimo versamento temp]]=0/1/1900,"-",Table2[[#This Row],[Data ultimo versamento temp]])</f>
        <v>-</v>
      </c>
      <c r="AC1004" s="29">
        <f t="array" ref="AC1004">MAX(IF(TableVersamenti[Polizza]=Table2[[#This Row],[Polizza]],TableVersamenti[Data prevista versamento],"-"))</f>
        <v>0</v>
      </c>
      <c r="AD1004" s="62"/>
      <c r="AE1004" s="106">
        <f>DATE(YEAR(Table2[[#This Row],[Data ultimo pagamento]]),MONTH(Table2[[#This Row],[Data ultimo pagamento]]), 1)</f>
        <v>42767</v>
      </c>
      <c r="AF1004" s="106">
        <f>DATE(YEAR(Table2[[#This Row],[Data prossima scadenza]]),MONTH(Table2[[#This Row],[Data prossima scadenza]]), 1)</f>
        <v>42948</v>
      </c>
      <c r="AG1004" s="33">
        <f>IFERROR(Table2[[#This Row],[Importo annuale]]*VLOOKUP(Table2[[#This Row],[Ramo]],RAMI_POLIZZA,2,FALSE),0)</f>
        <v>53.495519999999999</v>
      </c>
      <c r="AH1004" s="65" t="s">
        <v>113</v>
      </c>
      <c r="AI1004" s="63" t="str">
        <f>IFERROR(VLOOKUP(Table2[[#This Row],[Contraente]],Table1[[Nome/Ragione sociale]:[Checkbox selezionato]],2,FALSE),"-")</f>
        <v>ASSISI</v>
      </c>
      <c r="AJ1004" s="63">
        <f>IFERROR(VLOOKUP(Table2[[#This Row],[Contraente]],Table1[[Nome/Ragione sociale]:[Checkbox selezionato]],3,FALSE),"-")</f>
        <v>3281266228</v>
      </c>
      <c r="AK1004" s="63">
        <f>IFERROR(VLOOKUP(Table2[[#This Row],[Contraente]],Table1[[Nome/Ragione sociale]:[Checkbox selezionato]],4,FALSE),"-")</f>
        <v>0</v>
      </c>
      <c r="AL1004" s="63" t="str">
        <f>IFERROR(VLOOKUP(Table2[[#This Row],[Contraente]],Table1[[Nome/Ragione sociale]:[Checkbox selezionato]],5,FALSE),"-")</f>
        <v>DORIS</v>
      </c>
      <c r="AM1004" s="62">
        <f>IFERROR(VLOOKUP(Table2[[#This Row],[Contraente]],Table1[[Nome/Ragione sociale]:[Checkbox selezionato]],6,FALSE),"-")</f>
        <v>24983</v>
      </c>
      <c r="AN1004" s="63" t="str">
        <f>IFERROR(VLOOKUP(Table2[[#This Row],[Contraente]],Table1[[Nome/Ragione sociale]:[Checkbox selezionato]],7,FALSE),"-")</f>
        <v>papies@libero.it</v>
      </c>
      <c r="AO1004" s="63">
        <f>IFERROR(VLOOKUP(Table2[[#This Row],[Contraente]],Table1[[Nome/Ragione sociale]:[Checkbox selezionato]],8,FALSE),"-")</f>
        <v>0</v>
      </c>
      <c r="AP1004" s="63">
        <f>IFERROR(VLOOKUP(Table2[[#This Row],[Contraente]],Table1[[Nome/Ragione sociale]:[Checkbox selezionato]],10,FALSE),"-")</f>
        <v>3281266228</v>
      </c>
      <c r="AQ1004" s="63" t="str">
        <f>IFERROR(VLOOKUP(Table2[[#This Row],[Contraente]],Table1[[Nome/Ragione sociale]:[Checkbox selezionato]],11,FALSE),"-")</f>
        <v>SI</v>
      </c>
      <c r="AR1004" s="63" t="str">
        <f>IFERROR(VLOOKUP(Table2[[#This Row],[Contraente]],Table1[[Nome/Ragione sociale]:[Checkbox selezionato]],12,FALSE),"-")</f>
        <v>SI</v>
      </c>
    </row>
    <row r="1005" spans="1:44" ht="30" hidden="1" customHeight="1" x14ac:dyDescent="0.25">
      <c r="A1005" s="60" t="str">
        <f>UPPER(LEFT(Table2[[#This Row],[Contraente]],1))</f>
        <v>S</v>
      </c>
      <c r="B1005" s="60" t="s">
        <v>1634</v>
      </c>
      <c r="C1005" s="81" t="s">
        <v>1001</v>
      </c>
      <c r="D1005" s="81" t="s">
        <v>37</v>
      </c>
      <c r="E1005" s="86">
        <v>103360309</v>
      </c>
      <c r="F1005" s="64">
        <v>42852</v>
      </c>
      <c r="G1005" s="64">
        <f>IFERROR(CALCOLASCADENZA(Table2[[#This Row],[Data attivazione]],Table2[[#This Row],[Rateizzazione]],Table2[[#This Row],[Data ultimo pagamento]],Table2[[#This Row],[Data prossima scadenza manuale]]),"-")</f>
        <v>43038</v>
      </c>
      <c r="H1005" s="67" t="s">
        <v>30</v>
      </c>
      <c r="I1005" s="67" t="s">
        <v>113</v>
      </c>
      <c r="J1005" s="33">
        <f>IFERROR(Table2[[#This Row],[Importo annuale]]/(12/VLOOKUP(Table2[[#This Row],[Rateizzazione]],TIPI_RATEIZZAZIONI,2,FALSE)),"-")</f>
        <v>235</v>
      </c>
      <c r="K1005" s="88">
        <v>235</v>
      </c>
      <c r="L1005" s="88">
        <v>470</v>
      </c>
      <c r="M1005" s="67" t="s">
        <v>44</v>
      </c>
      <c r="N1005" s="67" t="s">
        <v>51</v>
      </c>
      <c r="O1005" s="27" t="s">
        <v>1631</v>
      </c>
      <c r="P1005" s="33" t="s">
        <v>22</v>
      </c>
      <c r="Q1005" s="60">
        <f>IFERROR(IF(12 / VLOOKUP(Table2[[#This Row],[Rateizzazione]],TIPI_RATEIZZAZIONI,2,FALSE) &gt;=1,  IF(Table2[[#This Row],[Data attivazione]] = "","-",MONTH(Table2[[#This Row],[Data attivazione]])),"-"),"-")</f>
        <v>10</v>
      </c>
      <c r="R10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5" s="67" t="s">
        <v>2</v>
      </c>
      <c r="V1005" s="62"/>
      <c r="W1005" s="64">
        <v>42673</v>
      </c>
      <c r="X1005" s="29">
        <f>DATE(YEAR(Table2[[#This Row],[Data attivazione]])+VLOOKUP(Table2[[#This Row],[Durata]],VALORE_DURATA,2,FALSE),MONTH(Table2[[#This Row],[Data attivazione]]),DAY(Table2[[#This Row],[Data attivazione]]))</f>
        <v>43038</v>
      </c>
      <c r="Y1005" s="65"/>
      <c r="Z1005" s="61"/>
      <c r="AA1005" s="64" t="s">
        <v>85</v>
      </c>
      <c r="AB1005" s="29" t="str">
        <f>IF(Table2[[#This Row],[Data ultimo versamento temp]]=0/1/1900,"-",Table2[[#This Row],[Data ultimo versamento temp]])</f>
        <v>-</v>
      </c>
      <c r="AC1005" s="29">
        <f t="array" ref="AC1005">MAX(IF(TableVersamenti[Polizza]=Table2[[#This Row],[Polizza]],TableVersamenti[Data prevista versamento],"-"))</f>
        <v>0</v>
      </c>
      <c r="AD1005" s="62"/>
      <c r="AE1005" s="106">
        <f>DATE(YEAR(Table2[[#This Row],[Data ultimo pagamento]]),MONTH(Table2[[#This Row],[Data ultimo pagamento]]), 1)</f>
        <v>42826</v>
      </c>
      <c r="AF1005" s="106">
        <f>DATE(YEAR(Table2[[#This Row],[Data prossima scadenza]]),MONTH(Table2[[#This Row],[Data prossima scadenza]]), 1)</f>
        <v>43009</v>
      </c>
      <c r="AG1005" s="33">
        <f>IFERROR(Table2[[#This Row],[Importo annuale]]*VLOOKUP(Table2[[#This Row],[Ramo]],RAMI_POLIZZA,2,FALSE),0)</f>
        <v>54.050000000000004</v>
      </c>
      <c r="AH1005" s="65" t="s">
        <v>113</v>
      </c>
      <c r="AI1005" s="63" t="str">
        <f>IFERROR(VLOOKUP(Table2[[#This Row],[Contraente]],Table1[[Nome/Ragione sociale]:[Checkbox selezionato]],2,FALSE),"-")</f>
        <v>PAVIA</v>
      </c>
      <c r="AJ1005" s="63">
        <f>IFERROR(VLOOKUP(Table2[[#This Row],[Contraente]],Table1[[Nome/Ragione sociale]:[Checkbox selezionato]],3,FALSE),"-")</f>
        <v>3478269548</v>
      </c>
      <c r="AK1005" s="63">
        <f>IFERROR(VLOOKUP(Table2[[#This Row],[Contraente]],Table1[[Nome/Ragione sociale]:[Checkbox selezionato]],4,FALSE),"-")</f>
        <v>0</v>
      </c>
      <c r="AL1005" s="63" t="str">
        <f>IFERROR(VLOOKUP(Table2[[#This Row],[Contraente]],Table1[[Nome/Ragione sociale]:[Checkbox selezionato]],5,FALSE),"-")</f>
        <v>ANTONIETTA</v>
      </c>
      <c r="AM1005" s="62">
        <f>IFERROR(VLOOKUP(Table2[[#This Row],[Contraente]],Table1[[Nome/Ragione sociale]:[Checkbox selezionato]],6,FALSE),"-")</f>
        <v>0</v>
      </c>
      <c r="AN1005" s="63" t="str">
        <f>IFERROR(VLOOKUP(Table2[[#This Row],[Contraente]],Table1[[Nome/Ragione sociale]:[Checkbox selezionato]],7,FALSE),"-")</f>
        <v>papies@email.it</v>
      </c>
      <c r="AO1005" s="63">
        <f>IFERROR(VLOOKUP(Table2[[#This Row],[Contraente]],Table1[[Nome/Ragione sociale]:[Checkbox selezionato]],8,FALSE),"-")</f>
        <v>0</v>
      </c>
      <c r="AP1005" s="63">
        <f>IFERROR(VLOOKUP(Table2[[#This Row],[Contraente]],Table1[[Nome/Ragione sociale]:[Checkbox selezionato]],10,FALSE),"-")</f>
        <v>3478269548</v>
      </c>
      <c r="AQ1005" s="63" t="str">
        <f>IFERROR(VLOOKUP(Table2[[#This Row],[Contraente]],Table1[[Nome/Ragione sociale]:[Checkbox selezionato]],11,FALSE),"-")</f>
        <v>SI</v>
      </c>
      <c r="AR1005" s="63" t="str">
        <f>IFERROR(VLOOKUP(Table2[[#This Row],[Contraente]],Table1[[Nome/Ragione sociale]:[Checkbox selezionato]],12,FALSE),"-")</f>
        <v>SI</v>
      </c>
    </row>
    <row r="1006" spans="1:44" ht="30" hidden="1" customHeight="1" x14ac:dyDescent="0.25">
      <c r="A1006" s="60" t="str">
        <f>UPPER(LEFT(Table2[[#This Row],[Contraente]],1))</f>
        <v>S</v>
      </c>
      <c r="B1006" s="60" t="s">
        <v>1634</v>
      </c>
      <c r="C1006" s="81" t="s">
        <v>183</v>
      </c>
      <c r="D1006" s="81" t="s">
        <v>37</v>
      </c>
      <c r="E1006" s="86">
        <v>103917970</v>
      </c>
      <c r="F1006" s="64">
        <v>42016</v>
      </c>
      <c r="G1006" s="64">
        <f>IFERROR(CALCOLASCADENZA(Table2[[#This Row],[Data attivazione]],Table2[[#This Row],[Rateizzazione]],Table2[[#This Row],[Data ultimo pagamento]],Table2[[#This Row],[Data prossima scadenza manuale]]),"-")</f>
        <v>693962</v>
      </c>
      <c r="H1006" s="67" t="s">
        <v>30</v>
      </c>
      <c r="I1006" s="67"/>
      <c r="J1006" s="33">
        <f>IFERROR(Table2[[#This Row],[Importo annuale]]/(12/VLOOKUP(Table2[[#This Row],[Rateizzazione]],TIPI_RATEIZZAZIONI,2,FALSE)),"-")</f>
        <v>63</v>
      </c>
      <c r="K1006" s="88"/>
      <c r="L1006" s="88">
        <v>63</v>
      </c>
      <c r="M1006" s="67" t="s">
        <v>43</v>
      </c>
      <c r="N1006" s="67" t="s">
        <v>52</v>
      </c>
      <c r="O1006" s="27" t="s">
        <v>1631</v>
      </c>
      <c r="P1006" s="33" t="s">
        <v>23</v>
      </c>
      <c r="Q1006" s="60">
        <f>IFERROR(IF(12 / VLOOKUP(Table2[[#This Row],[Rateizzazione]],TIPI_RATEIZZAZIONI,2,FALSE) &gt;=1,  IF(Table2[[#This Row],[Data attivazione]] = "","-",MONTH(Table2[[#This Row],[Data attivazione]])),"-"),"-")</f>
        <v>12</v>
      </c>
      <c r="R10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6" s="67" t="s">
        <v>2</v>
      </c>
      <c r="V1006" s="62"/>
      <c r="W1006" s="64">
        <v>693597</v>
      </c>
      <c r="X1006" s="29">
        <f>DATE(YEAR(Table2[[#This Row],[Data attivazione]])+VLOOKUP(Table2[[#This Row],[Durata]],VALORE_DURATA,2,FALSE),MONTH(Table2[[#This Row],[Data attivazione]]),DAY(Table2[[#This Row],[Data attivazione]]))</f>
        <v>693962</v>
      </c>
      <c r="Y1006" s="65"/>
      <c r="Z1006" s="61"/>
      <c r="AA1006" s="64" t="s">
        <v>88</v>
      </c>
      <c r="AB1006" s="29" t="str">
        <f>IF(Table2[[#This Row],[Data ultimo versamento temp]]=0/1/1900,"-",Table2[[#This Row],[Data ultimo versamento temp]])</f>
        <v>-</v>
      </c>
      <c r="AC1006" s="29">
        <f t="array" ref="AC1006">MAX(IF(TableVersamenti[Polizza]=Table2[[#This Row],[Polizza]],TableVersamenti[Data prevista versamento],"-"))</f>
        <v>0</v>
      </c>
      <c r="AD1006" s="62"/>
      <c r="AE1006" s="106">
        <f>DATE(YEAR(Table2[[#This Row],[Data ultimo pagamento]]),MONTH(Table2[[#This Row],[Data ultimo pagamento]]), 1)</f>
        <v>42005</v>
      </c>
      <c r="AF1006" s="106">
        <f>DATE(YEAR(Table2[[#This Row],[Data prossima scadenza]]),MONTH(Table2[[#This Row],[Data prossima scadenza]]), 1)</f>
        <v>693932</v>
      </c>
      <c r="AG1006" s="33">
        <f>IFERROR(Table2[[#This Row],[Importo annuale]]*VLOOKUP(Table2[[#This Row],[Ramo]],RAMI_POLIZZA,2,FALSE),0)</f>
        <v>7.2450000000000001</v>
      </c>
      <c r="AH1006" s="65" t="s">
        <v>113</v>
      </c>
      <c r="AI1006" s="63">
        <f>IFERROR(VLOOKUP(Table2[[#This Row],[Contraente]],Table1[[Nome/Ragione sociale]:[Checkbox selezionato]],2,FALSE),"-")</f>
        <v>0</v>
      </c>
      <c r="AJ1006" s="63">
        <f>IFERROR(VLOOKUP(Table2[[#This Row],[Contraente]],Table1[[Nome/Ragione sociale]:[Checkbox selezionato]],3,FALSE),"-")</f>
        <v>3283896707</v>
      </c>
      <c r="AK1006" s="63">
        <f>IFERROR(VLOOKUP(Table2[[#This Row],[Contraente]],Table1[[Nome/Ragione sociale]:[Checkbox selezionato]],4,FALSE),"-")</f>
        <v>0</v>
      </c>
      <c r="AL1006" s="63" t="str">
        <f>IFERROR(VLOOKUP(Table2[[#This Row],[Contraente]],Table1[[Nome/Ragione sociale]:[Checkbox selezionato]],5,FALSE),"-")</f>
        <v>LUIGI</v>
      </c>
      <c r="AM1006" s="62">
        <f>IFERROR(VLOOKUP(Table2[[#This Row],[Contraente]],Table1[[Nome/Ragione sociale]:[Checkbox selezionato]],6,FALSE),"-")</f>
        <v>0</v>
      </c>
      <c r="AN1006" s="63" t="str">
        <f>IFERROR(VLOOKUP(Table2[[#This Row],[Contraente]],Table1[[Nome/Ragione sociale]:[Checkbox selezionato]],7,FALSE),"-")</f>
        <v>papies@libero.it</v>
      </c>
      <c r="AO1006" s="63">
        <f>IFERROR(VLOOKUP(Table2[[#This Row],[Contraente]],Table1[[Nome/Ragione sociale]:[Checkbox selezionato]],8,FALSE),"-")</f>
        <v>0</v>
      </c>
      <c r="AP1006" s="63">
        <f>IFERROR(VLOOKUP(Table2[[#This Row],[Contraente]],Table1[[Nome/Ragione sociale]:[Checkbox selezionato]],10,FALSE),"-")</f>
        <v>3283896707</v>
      </c>
      <c r="AQ1006" s="63" t="str">
        <f>IFERROR(VLOOKUP(Table2[[#This Row],[Contraente]],Table1[[Nome/Ragione sociale]:[Checkbox selezionato]],11,FALSE),"-")</f>
        <v>SI</v>
      </c>
      <c r="AR1006" s="63" t="str">
        <f>IFERROR(VLOOKUP(Table2[[#This Row],[Contraente]],Table1[[Nome/Ragione sociale]:[Checkbox selezionato]],12,FALSE),"-")</f>
        <v>SI</v>
      </c>
    </row>
    <row r="1007" spans="1:44" ht="30" hidden="1" customHeight="1" x14ac:dyDescent="0.25">
      <c r="A1007" s="60" t="str">
        <f>UPPER(LEFT(Table2[[#This Row],[Contraente]],1))</f>
        <v>S</v>
      </c>
      <c r="B1007" s="60" t="s">
        <v>1634</v>
      </c>
      <c r="C1007" s="81" t="s">
        <v>183</v>
      </c>
      <c r="D1007" s="81" t="s">
        <v>37</v>
      </c>
      <c r="E1007" s="86">
        <v>102928721</v>
      </c>
      <c r="F1007" s="64">
        <v>41739</v>
      </c>
      <c r="G1007" s="64">
        <f>IFERROR(CALCOLASCADENZA(Table2[[#This Row],[Data attivazione]],Table2[[#This Row],[Rateizzazione]],Table2[[#This Row],[Data ultimo pagamento]],Table2[[#This Row],[Data prossima scadenza manuale]]),"-")</f>
        <v>693962</v>
      </c>
      <c r="H1007" s="67" t="s">
        <v>31</v>
      </c>
      <c r="I1007" s="67"/>
      <c r="J1007" s="33">
        <f>IFERROR(Table2[[#This Row],[Importo annuale]]/(12/VLOOKUP(Table2[[#This Row],[Rateizzazione]],TIPI_RATEIZZAZIONI,2,FALSE)),"-")</f>
        <v>244.4</v>
      </c>
      <c r="K1007" s="88"/>
      <c r="L1007" s="88">
        <v>244.4</v>
      </c>
      <c r="M1007" s="67" t="s">
        <v>43</v>
      </c>
      <c r="N1007" s="67" t="s">
        <v>52</v>
      </c>
      <c r="O1007" s="27" t="s">
        <v>1631</v>
      </c>
      <c r="P1007" s="33" t="s">
        <v>23</v>
      </c>
      <c r="Q1007" s="60">
        <f>IFERROR(IF(12 / VLOOKUP(Table2[[#This Row],[Rateizzazione]],TIPI_RATEIZZAZIONI,2,FALSE) &gt;=1,  IF(Table2[[#This Row],[Data attivazione]] = "","-",MONTH(Table2[[#This Row],[Data attivazione]])),"-"),"-")</f>
        <v>12</v>
      </c>
      <c r="R10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7" s="67" t="s">
        <v>2</v>
      </c>
      <c r="V1007" s="62"/>
      <c r="W1007" s="64">
        <v>693597</v>
      </c>
      <c r="X1007" s="29">
        <f>DATE(YEAR(Table2[[#This Row],[Data attivazione]])+VLOOKUP(Table2[[#This Row],[Durata]],VALORE_DURATA,2,FALSE),MONTH(Table2[[#This Row],[Data attivazione]]),DAY(Table2[[#This Row],[Data attivazione]]))</f>
        <v>693962</v>
      </c>
      <c r="Y1007" s="65"/>
      <c r="Z1007" s="61"/>
      <c r="AA1007" s="64" t="s">
        <v>88</v>
      </c>
      <c r="AB1007" s="29" t="str">
        <f>IF(Table2[[#This Row],[Data ultimo versamento temp]]=0/1/1900,"-",Table2[[#This Row],[Data ultimo versamento temp]])</f>
        <v>-</v>
      </c>
      <c r="AC1007" s="29">
        <f t="array" ref="AC1007">MAX(IF(TableVersamenti[Polizza]=Table2[[#This Row],[Polizza]],TableVersamenti[Data prevista versamento],"-"))</f>
        <v>0</v>
      </c>
      <c r="AD1007" s="62"/>
      <c r="AE1007" s="106">
        <f>DATE(YEAR(Table2[[#This Row],[Data ultimo pagamento]]),MONTH(Table2[[#This Row],[Data ultimo pagamento]]), 1)</f>
        <v>41730</v>
      </c>
      <c r="AF1007" s="106">
        <f>DATE(YEAR(Table2[[#This Row],[Data prossima scadenza]]),MONTH(Table2[[#This Row],[Data prossima scadenza]]), 1)</f>
        <v>693932</v>
      </c>
      <c r="AG1007" s="33">
        <f>IFERROR(Table2[[#This Row],[Importo annuale]]*VLOOKUP(Table2[[#This Row],[Ramo]],RAMI_POLIZZA,2,FALSE),0)</f>
        <v>12.7088</v>
      </c>
      <c r="AH1007" s="65" t="s">
        <v>113</v>
      </c>
      <c r="AI1007" s="63">
        <f>IFERROR(VLOOKUP(Table2[[#This Row],[Contraente]],Table1[[Nome/Ragione sociale]:[Checkbox selezionato]],2,FALSE),"-")</f>
        <v>0</v>
      </c>
      <c r="AJ1007" s="63">
        <f>IFERROR(VLOOKUP(Table2[[#This Row],[Contraente]],Table1[[Nome/Ragione sociale]:[Checkbox selezionato]],3,FALSE),"-")</f>
        <v>3283896707</v>
      </c>
      <c r="AK1007" s="63">
        <f>IFERROR(VLOOKUP(Table2[[#This Row],[Contraente]],Table1[[Nome/Ragione sociale]:[Checkbox selezionato]],4,FALSE),"-")</f>
        <v>0</v>
      </c>
      <c r="AL1007" s="63" t="str">
        <f>IFERROR(VLOOKUP(Table2[[#This Row],[Contraente]],Table1[[Nome/Ragione sociale]:[Checkbox selezionato]],5,FALSE),"-")</f>
        <v>LUIGI</v>
      </c>
      <c r="AM1007" s="62">
        <f>IFERROR(VLOOKUP(Table2[[#This Row],[Contraente]],Table1[[Nome/Ragione sociale]:[Checkbox selezionato]],6,FALSE),"-")</f>
        <v>0</v>
      </c>
      <c r="AN1007" s="63" t="str">
        <f>IFERROR(VLOOKUP(Table2[[#This Row],[Contraente]],Table1[[Nome/Ragione sociale]:[Checkbox selezionato]],7,FALSE),"-")</f>
        <v>papies@libero.it</v>
      </c>
      <c r="AO1007" s="63">
        <f>IFERROR(VLOOKUP(Table2[[#This Row],[Contraente]],Table1[[Nome/Ragione sociale]:[Checkbox selezionato]],8,FALSE),"-")</f>
        <v>0</v>
      </c>
      <c r="AP1007" s="63">
        <f>IFERROR(VLOOKUP(Table2[[#This Row],[Contraente]],Table1[[Nome/Ragione sociale]:[Checkbox selezionato]],10,FALSE),"-")</f>
        <v>3283896707</v>
      </c>
      <c r="AQ1007" s="63" t="str">
        <f>IFERROR(VLOOKUP(Table2[[#This Row],[Contraente]],Table1[[Nome/Ragione sociale]:[Checkbox selezionato]],11,FALSE),"-")</f>
        <v>SI</v>
      </c>
      <c r="AR1007" s="63" t="str">
        <f>IFERROR(VLOOKUP(Table2[[#This Row],[Contraente]],Table1[[Nome/Ragione sociale]:[Checkbox selezionato]],12,FALSE),"-")</f>
        <v>SI</v>
      </c>
    </row>
    <row r="1008" spans="1:44" ht="30" hidden="1" customHeight="1" x14ac:dyDescent="0.25">
      <c r="A1008" s="60" t="str">
        <f>UPPER(LEFT(Table2[[#This Row],[Contraente]],1))</f>
        <v>S</v>
      </c>
      <c r="B1008" s="60" t="s">
        <v>1634</v>
      </c>
      <c r="C1008" s="81" t="s">
        <v>1000</v>
      </c>
      <c r="D1008" s="81" t="s">
        <v>37</v>
      </c>
      <c r="E1008" s="86">
        <v>107032525</v>
      </c>
      <c r="F1008" s="64">
        <v>42909</v>
      </c>
      <c r="G1008" s="64">
        <f>IFERROR(CALCOLASCADENZA(Table2[[#This Row],[Data attivazione]],Table2[[#This Row],[Rateizzazione]],Table2[[#This Row],[Data ultimo pagamento]],Table2[[#This Row],[Data prossima scadenza manuale]]),"-")</f>
        <v>42909</v>
      </c>
      <c r="H1008" s="67" t="s">
        <v>31</v>
      </c>
      <c r="I1008" s="67" t="s">
        <v>1761</v>
      </c>
      <c r="J1008" s="33">
        <v>35</v>
      </c>
      <c r="K1008" s="88">
        <v>485</v>
      </c>
      <c r="L1008" s="88">
        <v>485</v>
      </c>
      <c r="M1008" s="67" t="s">
        <v>43</v>
      </c>
      <c r="N1008" s="67" t="s">
        <v>52</v>
      </c>
      <c r="O1008" s="27" t="s">
        <v>1631</v>
      </c>
      <c r="P1008" s="33" t="s">
        <v>24</v>
      </c>
      <c r="Q100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8" s="67" t="s">
        <v>2</v>
      </c>
      <c r="V1008" s="62"/>
      <c r="W1008" s="64">
        <v>42777</v>
      </c>
      <c r="X1008" s="29">
        <f>DATE(YEAR(Table2[[#This Row],[Data attivazione]])+VLOOKUP(Table2[[#This Row],[Durata]],VALORE_DURATA,2,FALSE),MONTH(Table2[[#This Row],[Data attivazione]]),DAY(Table2[[#This Row],[Data attivazione]]))</f>
        <v>43142</v>
      </c>
      <c r="Y1008" s="65"/>
      <c r="Z1008" s="61"/>
      <c r="AA1008" s="64" t="s">
        <v>85</v>
      </c>
      <c r="AB1008" s="29" t="str">
        <f>IF(Table2[[#This Row],[Data ultimo versamento temp]]=0/1/1900,"-",Table2[[#This Row],[Data ultimo versamento temp]])</f>
        <v>-</v>
      </c>
      <c r="AC1008" s="29">
        <f t="array" ref="AC1008">MAX(IF(TableVersamenti[Polizza]=Table2[[#This Row],[Polizza]],TableVersamenti[Data prevista versamento],"-"))</f>
        <v>0</v>
      </c>
      <c r="AD1008" s="62"/>
      <c r="AE1008" s="106">
        <f>DATE(YEAR(Table2[[#This Row],[Data ultimo pagamento]]),MONTH(Table2[[#This Row],[Data ultimo pagamento]]), 1)</f>
        <v>42887</v>
      </c>
      <c r="AF1008" s="106">
        <f>DATE(YEAR(Table2[[#This Row],[Data prossima scadenza]]),MONTH(Table2[[#This Row],[Data prossima scadenza]]), 1)</f>
        <v>42887</v>
      </c>
      <c r="AG1008" s="33">
        <f>IFERROR(Table2[[#This Row],[Importo annuale]]*VLOOKUP(Table2[[#This Row],[Ramo]],RAMI_POLIZZA,2,FALSE),0)</f>
        <v>25.22</v>
      </c>
      <c r="AH1008" s="65" t="s">
        <v>113</v>
      </c>
      <c r="AI1008" s="63" t="str">
        <f>IFERROR(VLOOKUP(Table2[[#This Row],[Contraente]],Table1[[Nome/Ragione sociale]:[Checkbox selezionato]],2,FALSE),"-")</f>
        <v>BELGIOIOSO</v>
      </c>
      <c r="AJ1008" s="63">
        <f>IFERROR(VLOOKUP(Table2[[#This Row],[Contraente]],Table1[[Nome/Ragione sociale]:[Checkbox selezionato]],3,FALSE),"-")</f>
        <v>3494765162</v>
      </c>
      <c r="AK1008" s="63">
        <f>IFERROR(VLOOKUP(Table2[[#This Row],[Contraente]],Table1[[Nome/Ragione sociale]:[Checkbox selezionato]],4,FALSE),"-")</f>
        <v>0</v>
      </c>
      <c r="AL1008" s="63" t="str">
        <f>IFERROR(VLOOKUP(Table2[[#This Row],[Contraente]],Table1[[Nome/Ragione sociale]:[Checkbox selezionato]],5,FALSE),"-")</f>
        <v>FRANCESCA</v>
      </c>
      <c r="AM1008" s="62">
        <f>IFERROR(VLOOKUP(Table2[[#This Row],[Contraente]],Table1[[Nome/Ragione sociale]:[Checkbox selezionato]],6,FALSE),"-")</f>
        <v>27905</v>
      </c>
      <c r="AN1008" s="63" t="str">
        <f>IFERROR(VLOOKUP(Table2[[#This Row],[Contraente]],Table1[[Nome/Ragione sociale]:[Checkbox selezionato]],7,FALSE),"-")</f>
        <v>papies@libero.it</v>
      </c>
      <c r="AO1008" s="63">
        <f>IFERROR(VLOOKUP(Table2[[#This Row],[Contraente]],Table1[[Nome/Ragione sociale]:[Checkbox selezionato]],8,FALSE),"-")</f>
        <v>0</v>
      </c>
      <c r="AP1008" s="63">
        <f>IFERROR(VLOOKUP(Table2[[#This Row],[Contraente]],Table1[[Nome/Ragione sociale]:[Checkbox selezionato]],10,FALSE),"-")</f>
        <v>3494765162</v>
      </c>
      <c r="AQ1008" s="63" t="str">
        <f>IFERROR(VLOOKUP(Table2[[#This Row],[Contraente]],Table1[[Nome/Ragione sociale]:[Checkbox selezionato]],11,FALSE),"-")</f>
        <v>SI</v>
      </c>
      <c r="AR1008" s="63" t="str">
        <f>IFERROR(VLOOKUP(Table2[[#This Row],[Contraente]],Table1[[Nome/Ragione sociale]:[Checkbox selezionato]],12,FALSE),"-")</f>
        <v>SI</v>
      </c>
    </row>
    <row r="1009" spans="1:44" ht="30" hidden="1" customHeight="1" x14ac:dyDescent="0.25">
      <c r="A1009" s="60" t="str">
        <f>UPPER(LEFT(Table2[[#This Row],[Contraente]],1))</f>
        <v>S</v>
      </c>
      <c r="B1009" s="60" t="s">
        <v>1634</v>
      </c>
      <c r="C1009" s="81" t="s">
        <v>1003</v>
      </c>
      <c r="D1009" s="81" t="s">
        <v>37</v>
      </c>
      <c r="E1009" s="86">
        <v>105322394</v>
      </c>
      <c r="F1009" s="64">
        <v>42783</v>
      </c>
      <c r="G1009" s="64">
        <f>IFERROR(CALCOLASCADENZA(Table2[[#This Row],[Data attivazione]],Table2[[#This Row],[Rateizzazione]],Table2[[#This Row],[Data ultimo pagamento]],Table2[[#This Row],[Data prossima scadenza manuale]]),"-")</f>
        <v>42957</v>
      </c>
      <c r="H1009" s="67" t="s">
        <v>30</v>
      </c>
      <c r="I1009" s="67" t="s">
        <v>113</v>
      </c>
      <c r="J1009" s="33">
        <f>IFERROR(Table2[[#This Row],[Importo annuale]]/(12/VLOOKUP(Table2[[#This Row],[Rateizzazione]],TIPI_RATEIZZAZIONI,2,FALSE)),"-")</f>
        <v>173</v>
      </c>
      <c r="K1009" s="88">
        <v>173</v>
      </c>
      <c r="L1009" s="88">
        <v>346</v>
      </c>
      <c r="M1009" s="67" t="s">
        <v>45</v>
      </c>
      <c r="N1009" s="67" t="s">
        <v>51</v>
      </c>
      <c r="O1009" s="27" t="s">
        <v>1631</v>
      </c>
      <c r="P1009" s="33" t="s">
        <v>22</v>
      </c>
      <c r="Q1009" s="60">
        <f>IFERROR(IF(12 / VLOOKUP(Table2[[#This Row],[Rateizzazione]],TIPI_RATEIZZAZIONI,2,FALSE) &gt;=1,  IF(Table2[[#This Row],[Data attivazione]] = "","-",MONTH(Table2[[#This Row],[Data attivazione]])),"-"),"-")</f>
        <v>8</v>
      </c>
      <c r="R10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9" s="67" t="s">
        <v>2</v>
      </c>
      <c r="V1009" s="62"/>
      <c r="W1009" s="64">
        <v>42592</v>
      </c>
      <c r="X1009" s="29">
        <f>DATE(YEAR(Table2[[#This Row],[Data attivazione]])+VLOOKUP(Table2[[#This Row],[Durata]],VALORE_DURATA,2,FALSE),MONTH(Table2[[#This Row],[Data attivazione]]),DAY(Table2[[#This Row],[Data attivazione]]))</f>
        <v>42957</v>
      </c>
      <c r="Y1009" s="65"/>
      <c r="Z1009" s="61"/>
      <c r="AA1009" s="64" t="s">
        <v>85</v>
      </c>
      <c r="AB1009" s="29" t="str">
        <f>IF(Table2[[#This Row],[Data ultimo versamento temp]]=0/1/1900,"-",Table2[[#This Row],[Data ultimo versamento temp]])</f>
        <v>-</v>
      </c>
      <c r="AC1009" s="29">
        <f t="array" ref="AC1009">MAX(IF(TableVersamenti[Polizza]=Table2[[#This Row],[Polizza]],TableVersamenti[Data prevista versamento],"-"))</f>
        <v>0</v>
      </c>
      <c r="AD1009" s="62"/>
      <c r="AE1009" s="106">
        <f>DATE(YEAR(Table2[[#This Row],[Data ultimo pagamento]]),MONTH(Table2[[#This Row],[Data ultimo pagamento]]), 1)</f>
        <v>42767</v>
      </c>
      <c r="AF1009" s="106">
        <f>DATE(YEAR(Table2[[#This Row],[Data prossima scadenza]]),MONTH(Table2[[#This Row],[Data prossima scadenza]]), 1)</f>
        <v>42948</v>
      </c>
      <c r="AG1009" s="33">
        <f>IFERROR(Table2[[#This Row],[Importo annuale]]*VLOOKUP(Table2[[#This Row],[Ramo]],RAMI_POLIZZA,2,FALSE),0)</f>
        <v>39.79</v>
      </c>
      <c r="AH1009" s="65" t="s">
        <v>113</v>
      </c>
      <c r="AI1009" s="63" t="str">
        <f>IFERROR(VLOOKUP(Table2[[#This Row],[Contraente]],Table1[[Nome/Ragione sociale]:[Checkbox selezionato]],2,FALSE),"-")</f>
        <v>FILIGHERA</v>
      </c>
      <c r="AJ1009" s="63">
        <f>IFERROR(VLOOKUP(Table2[[#This Row],[Contraente]],Table1[[Nome/Ragione sociale]:[Checkbox selezionato]],3,FALSE),"-")</f>
        <v>3357539888</v>
      </c>
      <c r="AK1009" s="63">
        <f>IFERROR(VLOOKUP(Table2[[#This Row],[Contraente]],Table1[[Nome/Ragione sociale]:[Checkbox selezionato]],4,FALSE),"-")</f>
        <v>0</v>
      </c>
      <c r="AL1009" s="63" t="str">
        <f>IFERROR(VLOOKUP(Table2[[#This Row],[Contraente]],Table1[[Nome/Ragione sociale]:[Checkbox selezionato]],5,FALSE),"-")</f>
        <v>GIGI</v>
      </c>
      <c r="AM1009" s="62">
        <f>IFERROR(VLOOKUP(Table2[[#This Row],[Contraente]],Table1[[Nome/Ragione sociale]:[Checkbox selezionato]],6,FALSE),"-")</f>
        <v>25581</v>
      </c>
      <c r="AN1009" s="63" t="str">
        <f>IFERROR(VLOOKUP(Table2[[#This Row],[Contraente]],Table1[[Nome/Ragione sociale]:[Checkbox selezionato]],7,FALSE),"-")</f>
        <v>papies@email.it</v>
      </c>
      <c r="AO1009" s="63">
        <f>IFERROR(VLOOKUP(Table2[[#This Row],[Contraente]],Table1[[Nome/Ragione sociale]:[Checkbox selezionato]],8,FALSE),"-")</f>
        <v>0</v>
      </c>
      <c r="AP1009" s="63">
        <f>IFERROR(VLOOKUP(Table2[[#This Row],[Contraente]],Table1[[Nome/Ragione sociale]:[Checkbox selezionato]],10,FALSE),"-")</f>
        <v>3357539888</v>
      </c>
      <c r="AQ1009" s="63" t="str">
        <f>IFERROR(VLOOKUP(Table2[[#This Row],[Contraente]],Table1[[Nome/Ragione sociale]:[Checkbox selezionato]],11,FALSE),"-")</f>
        <v>SI</v>
      </c>
      <c r="AR1009" s="63" t="str">
        <f>IFERROR(VLOOKUP(Table2[[#This Row],[Contraente]],Table1[[Nome/Ragione sociale]:[Checkbox selezionato]],12,FALSE),"-")</f>
        <v>SI</v>
      </c>
    </row>
    <row r="1010" spans="1:44" ht="30" hidden="1" customHeight="1" x14ac:dyDescent="0.25">
      <c r="A1010" s="60" t="str">
        <f>UPPER(LEFT(Table2[[#This Row],[Contraente]],1))</f>
        <v>S</v>
      </c>
      <c r="B1010" s="60" t="s">
        <v>1634</v>
      </c>
      <c r="C1010" s="81" t="s">
        <v>996</v>
      </c>
      <c r="D1010" s="81" t="s">
        <v>37</v>
      </c>
      <c r="E1010" s="86">
        <v>106092762</v>
      </c>
      <c r="F1010" s="64">
        <v>42829</v>
      </c>
      <c r="G1010" s="64">
        <f>IFERROR(CALCOLASCADENZA(Table2[[#This Row],[Data attivazione]],Table2[[#This Row],[Rateizzazione]],Table2[[#This Row],[Data ultimo pagamento]],Table2[[#This Row],[Data prossima scadenza manuale]]),"-")</f>
        <v>43009</v>
      </c>
      <c r="H1010" s="67" t="s">
        <v>31</v>
      </c>
      <c r="I1010" s="67" t="s">
        <v>1564</v>
      </c>
      <c r="J1010" s="33">
        <f>IFERROR(Table2[[#This Row],[Importo annuale]]/(12/VLOOKUP(Table2[[#This Row],[Rateizzazione]],TIPI_RATEIZZAZIONI,2,FALSE)),"-")</f>
        <v>245</v>
      </c>
      <c r="K1010" s="88">
        <v>245</v>
      </c>
      <c r="L1010" s="88">
        <v>490</v>
      </c>
      <c r="M1010" s="67" t="s">
        <v>44</v>
      </c>
      <c r="N1010" s="67" t="s">
        <v>51</v>
      </c>
      <c r="O1010" s="27" t="s">
        <v>1631</v>
      </c>
      <c r="P1010" s="33" t="s">
        <v>22</v>
      </c>
      <c r="Q1010" s="60">
        <f>IFERROR(IF(12 / VLOOKUP(Table2[[#This Row],[Rateizzazione]],TIPI_RATEIZZAZIONI,2,FALSE) &gt;=1,  IF(Table2[[#This Row],[Data attivazione]] = "","-",MONTH(Table2[[#This Row],[Data attivazione]])),"-"),"-")</f>
        <v>10</v>
      </c>
      <c r="R10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0" s="67" t="s">
        <v>2</v>
      </c>
      <c r="V1010" s="62"/>
      <c r="W1010" s="64">
        <v>42644</v>
      </c>
      <c r="X1010" s="29">
        <f>DATE(YEAR(Table2[[#This Row],[Data attivazione]])+VLOOKUP(Table2[[#This Row],[Durata]],VALORE_DURATA,2,FALSE),MONTH(Table2[[#This Row],[Data attivazione]]),DAY(Table2[[#This Row],[Data attivazione]]))</f>
        <v>43009</v>
      </c>
      <c r="Y1010" s="65"/>
      <c r="Z1010" s="61"/>
      <c r="AA1010" s="64" t="s">
        <v>85</v>
      </c>
      <c r="AB1010" s="29" t="str">
        <f>IF(Table2[[#This Row],[Data ultimo versamento temp]]=0/1/1900,"-",Table2[[#This Row],[Data ultimo versamento temp]])</f>
        <v>-</v>
      </c>
      <c r="AC1010" s="29">
        <f t="array" ref="AC1010">MAX(IF(TableVersamenti[Polizza]=Table2[[#This Row],[Polizza]],TableVersamenti[Data prevista versamento],"-"))</f>
        <v>0</v>
      </c>
      <c r="AD1010" s="62"/>
      <c r="AE1010" s="106">
        <f>DATE(YEAR(Table2[[#This Row],[Data ultimo pagamento]]),MONTH(Table2[[#This Row],[Data ultimo pagamento]]), 1)</f>
        <v>42826</v>
      </c>
      <c r="AF1010" s="106">
        <f>DATE(YEAR(Table2[[#This Row],[Data prossima scadenza]]),MONTH(Table2[[#This Row],[Data prossima scadenza]]), 1)</f>
        <v>43009</v>
      </c>
      <c r="AG1010" s="33">
        <f>IFERROR(Table2[[#This Row],[Importo annuale]]*VLOOKUP(Table2[[#This Row],[Ramo]],RAMI_POLIZZA,2,FALSE),0)</f>
        <v>25.48</v>
      </c>
      <c r="AH1010" s="65" t="s">
        <v>113</v>
      </c>
      <c r="AI1010" s="63" t="str">
        <f>IFERROR(VLOOKUP(Table2[[#This Row],[Contraente]],Table1[[Nome/Ragione sociale]:[Checkbox selezionato]],2,FALSE),"-")</f>
        <v>FILIGHERA</v>
      </c>
      <c r="AJ1010" s="63">
        <f>IFERROR(VLOOKUP(Table2[[#This Row],[Contraente]],Table1[[Nome/Ragione sociale]:[Checkbox selezionato]],3,FALSE),"-")</f>
        <v>0</v>
      </c>
      <c r="AK1010" s="63">
        <f>IFERROR(VLOOKUP(Table2[[#This Row],[Contraente]],Table1[[Nome/Ragione sociale]:[Checkbox selezionato]],4,FALSE),"-")</f>
        <v>0</v>
      </c>
      <c r="AL1010" s="63">
        <f>IFERROR(VLOOKUP(Table2[[#This Row],[Contraente]],Table1[[Nome/Ragione sociale]:[Checkbox selezionato]],5,FALSE),"-")</f>
        <v>0</v>
      </c>
      <c r="AM1010" s="62">
        <f>IFERROR(VLOOKUP(Table2[[#This Row],[Contraente]],Table1[[Nome/Ragione sociale]:[Checkbox selezionato]],6,FALSE),"-")</f>
        <v>20433</v>
      </c>
      <c r="AN1010" s="63" t="str">
        <f>IFERROR(VLOOKUP(Table2[[#This Row],[Contraente]],Table1[[Nome/Ragione sociale]:[Checkbox selezionato]],7,FALSE),"-")</f>
        <v>papies@libero.it</v>
      </c>
      <c r="AO1010" s="63">
        <f>IFERROR(VLOOKUP(Table2[[#This Row],[Contraente]],Table1[[Nome/Ragione sociale]:[Checkbox selezionato]],8,FALSE),"-")</f>
        <v>0</v>
      </c>
      <c r="AP1010" s="63">
        <f>IFERROR(VLOOKUP(Table2[[#This Row],[Contraente]],Table1[[Nome/Ragione sociale]:[Checkbox selezionato]],10,FALSE),"-")</f>
        <v>0</v>
      </c>
      <c r="AQ1010" s="63" t="str">
        <f>IFERROR(VLOOKUP(Table2[[#This Row],[Contraente]],Table1[[Nome/Ragione sociale]:[Checkbox selezionato]],11,FALSE),"-")</f>
        <v>SI</v>
      </c>
      <c r="AR1010" s="63" t="str">
        <f>IFERROR(VLOOKUP(Table2[[#This Row],[Contraente]],Table1[[Nome/Ragione sociale]:[Checkbox selezionato]],12,FALSE),"-")</f>
        <v>SI</v>
      </c>
    </row>
    <row r="1011" spans="1:44" ht="30" hidden="1" customHeight="1" x14ac:dyDescent="0.25">
      <c r="A1011" s="60" t="str">
        <f>UPPER(LEFT(Table2[[#This Row],[Contraente]],1))</f>
        <v>S</v>
      </c>
      <c r="B1011" s="60" t="s">
        <v>1634</v>
      </c>
      <c r="C1011" s="81" t="s">
        <v>996</v>
      </c>
      <c r="D1011" s="81" t="s">
        <v>37</v>
      </c>
      <c r="E1011" s="86">
        <v>105222786</v>
      </c>
      <c r="F1011" s="64">
        <v>42829</v>
      </c>
      <c r="G1011" s="64">
        <f>IFERROR(CALCOLASCADENZA(Table2[[#This Row],[Data attivazione]],Table2[[#This Row],[Rateizzazione]],Table2[[#This Row],[Data ultimo pagamento]],Table2[[#This Row],[Data prossima scadenza manuale]]),"-")</f>
        <v>43009</v>
      </c>
      <c r="H1011" s="67" t="s">
        <v>30</v>
      </c>
      <c r="I1011" s="67" t="s">
        <v>113</v>
      </c>
      <c r="J1011" s="33">
        <f>IFERROR(Table2[[#This Row],[Importo annuale]]/(12/VLOOKUP(Table2[[#This Row],[Rateizzazione]],TIPI_RATEIZZAZIONI,2,FALSE)),"-")</f>
        <v>36</v>
      </c>
      <c r="K1011" s="88">
        <v>36</v>
      </c>
      <c r="L1011" s="88">
        <v>72</v>
      </c>
      <c r="M1011" s="67" t="s">
        <v>44</v>
      </c>
      <c r="N1011" s="67" t="s">
        <v>51</v>
      </c>
      <c r="O1011" s="27" t="s">
        <v>1631</v>
      </c>
      <c r="P1011" s="33" t="s">
        <v>22</v>
      </c>
      <c r="Q1011" s="60">
        <f>IFERROR(IF(12 / VLOOKUP(Table2[[#This Row],[Rateizzazione]],TIPI_RATEIZZAZIONI,2,FALSE) &gt;=1,  IF(Table2[[#This Row],[Data attivazione]] = "","-",MONTH(Table2[[#This Row],[Data attivazione]])),"-"),"-")</f>
        <v>10</v>
      </c>
      <c r="R10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1" s="67" t="s">
        <v>2</v>
      </c>
      <c r="V1011" s="62"/>
      <c r="W1011" s="64">
        <v>42644</v>
      </c>
      <c r="X1011" s="29">
        <f>DATE(YEAR(Table2[[#This Row],[Data attivazione]])+VLOOKUP(Table2[[#This Row],[Durata]],VALORE_DURATA,2,FALSE),MONTH(Table2[[#This Row],[Data attivazione]]),DAY(Table2[[#This Row],[Data attivazione]]))</f>
        <v>43009</v>
      </c>
      <c r="Y1011" s="65"/>
      <c r="Z1011" s="61"/>
      <c r="AA1011" s="64" t="s">
        <v>85</v>
      </c>
      <c r="AB1011" s="29" t="str">
        <f>IF(Table2[[#This Row],[Data ultimo versamento temp]]=0/1/1900,"-",Table2[[#This Row],[Data ultimo versamento temp]])</f>
        <v>-</v>
      </c>
      <c r="AC1011" s="29">
        <f t="array" ref="AC1011">MAX(IF(TableVersamenti[Polizza]=Table2[[#This Row],[Polizza]],TableVersamenti[Data prevista versamento],"-"))</f>
        <v>0</v>
      </c>
      <c r="AD1011" s="62"/>
      <c r="AE1011" s="106">
        <f>DATE(YEAR(Table2[[#This Row],[Data ultimo pagamento]]),MONTH(Table2[[#This Row],[Data ultimo pagamento]]), 1)</f>
        <v>42826</v>
      </c>
      <c r="AF1011" s="106">
        <f>DATE(YEAR(Table2[[#This Row],[Data prossima scadenza]]),MONTH(Table2[[#This Row],[Data prossima scadenza]]), 1)</f>
        <v>43009</v>
      </c>
      <c r="AG1011" s="33">
        <f>IFERROR(Table2[[#This Row],[Importo annuale]]*VLOOKUP(Table2[[#This Row],[Ramo]],RAMI_POLIZZA,2,FALSE),0)</f>
        <v>8.2800000000000011</v>
      </c>
      <c r="AH1011" s="65" t="s">
        <v>113</v>
      </c>
      <c r="AI1011" s="63" t="str">
        <f>IFERROR(VLOOKUP(Table2[[#This Row],[Contraente]],Table1[[Nome/Ragione sociale]:[Checkbox selezionato]],2,FALSE),"-")</f>
        <v>FILIGHERA</v>
      </c>
      <c r="AJ1011" s="63">
        <f>IFERROR(VLOOKUP(Table2[[#This Row],[Contraente]],Table1[[Nome/Ragione sociale]:[Checkbox selezionato]],3,FALSE),"-")</f>
        <v>0</v>
      </c>
      <c r="AK1011" s="63">
        <f>IFERROR(VLOOKUP(Table2[[#This Row],[Contraente]],Table1[[Nome/Ragione sociale]:[Checkbox selezionato]],4,FALSE),"-")</f>
        <v>0</v>
      </c>
      <c r="AL1011" s="63">
        <f>IFERROR(VLOOKUP(Table2[[#This Row],[Contraente]],Table1[[Nome/Ragione sociale]:[Checkbox selezionato]],5,FALSE),"-")</f>
        <v>0</v>
      </c>
      <c r="AM1011" s="62">
        <f>IFERROR(VLOOKUP(Table2[[#This Row],[Contraente]],Table1[[Nome/Ragione sociale]:[Checkbox selezionato]],6,FALSE),"-")</f>
        <v>20433</v>
      </c>
      <c r="AN1011" s="63" t="str">
        <f>IFERROR(VLOOKUP(Table2[[#This Row],[Contraente]],Table1[[Nome/Ragione sociale]:[Checkbox selezionato]],7,FALSE),"-")</f>
        <v>papies@libero.it</v>
      </c>
      <c r="AO1011" s="63">
        <f>IFERROR(VLOOKUP(Table2[[#This Row],[Contraente]],Table1[[Nome/Ragione sociale]:[Checkbox selezionato]],8,FALSE),"-")</f>
        <v>0</v>
      </c>
      <c r="AP1011" s="63">
        <f>IFERROR(VLOOKUP(Table2[[#This Row],[Contraente]],Table1[[Nome/Ragione sociale]:[Checkbox selezionato]],10,FALSE),"-")</f>
        <v>0</v>
      </c>
      <c r="AQ1011" s="63" t="str">
        <f>IFERROR(VLOOKUP(Table2[[#This Row],[Contraente]],Table1[[Nome/Ragione sociale]:[Checkbox selezionato]],11,FALSE),"-")</f>
        <v>SI</v>
      </c>
      <c r="AR1011" s="63" t="str">
        <f>IFERROR(VLOOKUP(Table2[[#This Row],[Contraente]],Table1[[Nome/Ragione sociale]:[Checkbox selezionato]],12,FALSE),"-")</f>
        <v>SI</v>
      </c>
    </row>
    <row r="1012" spans="1:44" ht="30" hidden="1" customHeight="1" x14ac:dyDescent="0.25">
      <c r="A1012" s="60" t="str">
        <f>UPPER(LEFT(Table2[[#This Row],[Contraente]],1))</f>
        <v>S</v>
      </c>
      <c r="B1012" s="60" t="s">
        <v>1634</v>
      </c>
      <c r="C1012" s="81" t="s">
        <v>1005</v>
      </c>
      <c r="D1012" s="81" t="s">
        <v>37</v>
      </c>
      <c r="E1012" s="86">
        <v>106381546</v>
      </c>
      <c r="F1012" s="64">
        <v>42733</v>
      </c>
      <c r="G1012" s="64">
        <f>IFERROR(CALCOLASCADENZA(Table2[[#This Row],[Data attivazione]],Table2[[#This Row],[Rateizzazione]],Table2[[#This Row],[Data ultimo pagamento]],Table2[[#This Row],[Data prossima scadenza manuale]]),"-")</f>
        <v>42823</v>
      </c>
      <c r="H1012" s="67" t="s">
        <v>31</v>
      </c>
      <c r="I1012" s="67" t="s">
        <v>1568</v>
      </c>
      <c r="J1012" s="33">
        <f>IFERROR(Table2[[#This Row],[Importo annuale]]/(12/VLOOKUP(Table2[[#This Row],[Rateizzazione]],TIPI_RATEIZZAZIONI,2,FALSE)),"-")</f>
        <v>265</v>
      </c>
      <c r="K1012" s="88"/>
      <c r="L1012" s="88">
        <v>1060</v>
      </c>
      <c r="M1012" s="67" t="s">
        <v>44</v>
      </c>
      <c r="N1012" s="67" t="s">
        <v>52</v>
      </c>
      <c r="O1012" s="27" t="s">
        <v>1631</v>
      </c>
      <c r="P1012" s="33" t="s">
        <v>20</v>
      </c>
      <c r="Q1012" s="60">
        <f>IFERROR(IF(12 / VLOOKUP(Table2[[#This Row],[Rateizzazione]],TIPI_RATEIZZAZIONI,2,FALSE) &gt;=1,  IF(Table2[[#This Row],[Data attivazione]] = "","-",MONTH(Table2[[#This Row],[Data attivazione]])),"-"),"-")</f>
        <v>12</v>
      </c>
      <c r="R10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1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1012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1012" s="67" t="s">
        <v>2</v>
      </c>
      <c r="V1012" s="62"/>
      <c r="W1012" s="64">
        <v>42367</v>
      </c>
      <c r="X1012" s="29">
        <f>DATE(YEAR(Table2[[#This Row],[Data attivazione]])+VLOOKUP(Table2[[#This Row],[Durata]],VALORE_DURATA,2,FALSE),MONTH(Table2[[#This Row],[Data attivazione]]),DAY(Table2[[#This Row],[Data attivazione]]))</f>
        <v>42733</v>
      </c>
      <c r="Y1012" s="65"/>
      <c r="Z1012" s="61"/>
      <c r="AA1012" s="64" t="s">
        <v>88</v>
      </c>
      <c r="AB1012" s="29" t="str">
        <f>IF(Table2[[#This Row],[Data ultimo versamento temp]]=0/1/1900,"-",Table2[[#This Row],[Data ultimo versamento temp]])</f>
        <v>-</v>
      </c>
      <c r="AC1012" s="29">
        <f t="array" ref="AC1012">MAX(IF(TableVersamenti[Polizza]=Table2[[#This Row],[Polizza]],TableVersamenti[Data prevista versamento],"-"))</f>
        <v>0</v>
      </c>
      <c r="AD1012" s="62"/>
      <c r="AE1012" s="106">
        <f>DATE(YEAR(Table2[[#This Row],[Data ultimo pagamento]]),MONTH(Table2[[#This Row],[Data ultimo pagamento]]), 1)</f>
        <v>42705</v>
      </c>
      <c r="AF1012" s="106">
        <f>DATE(YEAR(Table2[[#This Row],[Data prossima scadenza]]),MONTH(Table2[[#This Row],[Data prossima scadenza]]), 1)</f>
        <v>42795</v>
      </c>
      <c r="AG1012" s="33">
        <f>IFERROR(Table2[[#This Row],[Importo annuale]]*VLOOKUP(Table2[[#This Row],[Ramo]],RAMI_POLIZZA,2,FALSE),0)</f>
        <v>55.12</v>
      </c>
      <c r="AH1012" s="65" t="s">
        <v>113</v>
      </c>
      <c r="AI1012" s="63" t="str">
        <f>IFERROR(VLOOKUP(Table2[[#This Row],[Contraente]],Table1[[Nome/Ragione sociale]:[Checkbox selezionato]],2,FALSE),"-")</f>
        <v>BELGIOIOSO</v>
      </c>
      <c r="AJ1012" s="63">
        <f>IFERROR(VLOOKUP(Table2[[#This Row],[Contraente]],Table1[[Nome/Ragione sociale]:[Checkbox selezionato]],3,FALSE),"-")</f>
        <v>0</v>
      </c>
      <c r="AK1012" s="63">
        <f>IFERROR(VLOOKUP(Table2[[#This Row],[Contraente]],Table1[[Nome/Ragione sociale]:[Checkbox selezionato]],4,FALSE),"-")</f>
        <v>0</v>
      </c>
      <c r="AL1012" s="63">
        <f>IFERROR(VLOOKUP(Table2[[#This Row],[Contraente]],Table1[[Nome/Ragione sociale]:[Checkbox selezionato]],5,FALSE),"-")</f>
        <v>0</v>
      </c>
      <c r="AM1012" s="62" t="str">
        <f>IFERROR(VLOOKUP(Table2[[#This Row],[Contraente]],Table1[[Nome/Ragione sociale]:[Checkbox selezionato]],6,FALSE),"-")</f>
        <v>-</v>
      </c>
      <c r="AN1012" s="63" t="str">
        <f>IFERROR(VLOOKUP(Table2[[#This Row],[Contraente]],Table1[[Nome/Ragione sociale]:[Checkbox selezionato]],7,FALSE),"-")</f>
        <v>papies@libero.it</v>
      </c>
      <c r="AO1012" s="63">
        <f>IFERROR(VLOOKUP(Table2[[#This Row],[Contraente]],Table1[[Nome/Ragione sociale]:[Checkbox selezionato]],8,FALSE),"-")</f>
        <v>0</v>
      </c>
      <c r="AP1012" s="63">
        <f>IFERROR(VLOOKUP(Table2[[#This Row],[Contraente]],Table1[[Nome/Ragione sociale]:[Checkbox selezionato]],10,FALSE),"-")</f>
        <v>0</v>
      </c>
      <c r="AQ1012" s="63" t="str">
        <f>IFERROR(VLOOKUP(Table2[[#This Row],[Contraente]],Table1[[Nome/Ragione sociale]:[Checkbox selezionato]],11,FALSE),"-")</f>
        <v>SI</v>
      </c>
      <c r="AR1012" s="63" t="str">
        <f>IFERROR(VLOOKUP(Table2[[#This Row],[Contraente]],Table1[[Nome/Ragione sociale]:[Checkbox selezionato]],12,FALSE),"-")</f>
        <v>SI</v>
      </c>
    </row>
    <row r="1013" spans="1:44" ht="30" hidden="1" customHeight="1" x14ac:dyDescent="0.25">
      <c r="A1013" s="60" t="str">
        <f>UPPER(LEFT(Table2[[#This Row],[Contraente]],1))</f>
        <v>S</v>
      </c>
      <c r="B1013" s="60" t="s">
        <v>1634</v>
      </c>
      <c r="C1013" s="81" t="s">
        <v>1006</v>
      </c>
      <c r="D1013" s="81" t="s">
        <v>37</v>
      </c>
      <c r="E1013" s="86">
        <v>102985004</v>
      </c>
      <c r="F1013" s="64">
        <v>42038</v>
      </c>
      <c r="G1013" s="64">
        <f>IFERROR(CALCOLASCADENZA(Table2[[#This Row],[Data attivazione]],Table2[[#This Row],[Rateizzazione]],Table2[[#This Row],[Data ultimo pagamento]],Table2[[#This Row],[Data prossima scadenza manuale]]),"-")</f>
        <v>42038</v>
      </c>
      <c r="H1013" s="67" t="s">
        <v>31</v>
      </c>
      <c r="I1013" s="67"/>
      <c r="J1013" s="33">
        <v>0</v>
      </c>
      <c r="K1013" s="88"/>
      <c r="L1013" s="88">
        <v>488</v>
      </c>
      <c r="M1013" s="67" t="s">
        <v>43</v>
      </c>
      <c r="N1013" s="67" t="s">
        <v>51</v>
      </c>
      <c r="O1013" s="27" t="s">
        <v>1631</v>
      </c>
      <c r="P1013" s="33" t="s">
        <v>24</v>
      </c>
      <c r="Q101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3" s="67" t="s">
        <v>133</v>
      </c>
      <c r="V1013" s="62"/>
      <c r="W1013" s="64">
        <v>693597</v>
      </c>
      <c r="X1013" s="29">
        <f>DATE(YEAR(Table2[[#This Row],[Data attivazione]])+VLOOKUP(Table2[[#This Row],[Durata]],VALORE_DURATA,2,FALSE),MONTH(Table2[[#This Row],[Data attivazione]]),DAY(Table2[[#This Row],[Data attivazione]]))</f>
        <v>693962</v>
      </c>
      <c r="Y1013" s="65"/>
      <c r="Z1013" s="61"/>
      <c r="AA1013" s="64" t="s">
        <v>88</v>
      </c>
      <c r="AB1013" s="29" t="str">
        <f>IF(Table2[[#This Row],[Data ultimo versamento temp]]=0/1/1900,"-",Table2[[#This Row],[Data ultimo versamento temp]])</f>
        <v>-</v>
      </c>
      <c r="AC1013" s="29">
        <f t="array" ref="AC1013">MAX(IF(TableVersamenti[Polizza]=Table2[[#This Row],[Polizza]],TableVersamenti[Data prevista versamento],"-"))</f>
        <v>0</v>
      </c>
      <c r="AD1013" s="62"/>
      <c r="AE1013" s="106">
        <f>DATE(YEAR(Table2[[#This Row],[Data ultimo pagamento]]),MONTH(Table2[[#This Row],[Data ultimo pagamento]]), 1)</f>
        <v>42036</v>
      </c>
      <c r="AF1013" s="106">
        <f>DATE(YEAR(Table2[[#This Row],[Data prossima scadenza]]),MONTH(Table2[[#This Row],[Data prossima scadenza]]), 1)</f>
        <v>42036</v>
      </c>
      <c r="AG1013" s="33">
        <f>IFERROR(Table2[[#This Row],[Importo annuale]]*VLOOKUP(Table2[[#This Row],[Ramo]],RAMI_POLIZZA,2,FALSE),0)</f>
        <v>25.375999999999998</v>
      </c>
      <c r="AH1013" s="65" t="s">
        <v>113</v>
      </c>
      <c r="AI1013" s="63" t="str">
        <f>IFERROR(VLOOKUP(Table2[[#This Row],[Contraente]],Table1[[Nome/Ragione sociale]:[Checkbox selezionato]],2,FALSE),"-")</f>
        <v>ARENA PO</v>
      </c>
      <c r="AJ1013" s="63">
        <f>IFERROR(VLOOKUP(Table2[[#This Row],[Contraente]],Table1[[Nome/Ragione sociale]:[Checkbox selezionato]],3,FALSE),"-")</f>
        <v>3397693953</v>
      </c>
      <c r="AK1013" s="63">
        <f>IFERROR(VLOOKUP(Table2[[#This Row],[Contraente]],Table1[[Nome/Ragione sociale]:[Checkbox selezionato]],4,FALSE),"-")</f>
        <v>0</v>
      </c>
      <c r="AL1013" s="63" t="str">
        <f>IFERROR(VLOOKUP(Table2[[#This Row],[Contraente]],Table1[[Nome/Ragione sociale]:[Checkbox selezionato]],5,FALSE),"-")</f>
        <v>SOUR</v>
      </c>
      <c r="AM1013" s="62">
        <f>IFERROR(VLOOKUP(Table2[[#This Row],[Contraente]],Table1[[Nome/Ragione sociale]:[Checkbox selezionato]],6,FALSE),"-")</f>
        <v>0</v>
      </c>
      <c r="AN1013" s="63" t="str">
        <f>IFERROR(VLOOKUP(Table2[[#This Row],[Contraente]],Table1[[Nome/Ragione sociale]:[Checkbox selezionato]],7,FALSE),"-")</f>
        <v>papies@email.it</v>
      </c>
      <c r="AO1013" s="63">
        <f>IFERROR(VLOOKUP(Table2[[#This Row],[Contraente]],Table1[[Nome/Ragione sociale]:[Checkbox selezionato]],8,FALSE),"-")</f>
        <v>0</v>
      </c>
      <c r="AP1013" s="63">
        <f>IFERROR(VLOOKUP(Table2[[#This Row],[Contraente]],Table1[[Nome/Ragione sociale]:[Checkbox selezionato]],10,FALSE),"-")</f>
        <v>3397693953</v>
      </c>
      <c r="AQ1013" s="63" t="str">
        <f>IFERROR(VLOOKUP(Table2[[#This Row],[Contraente]],Table1[[Nome/Ragione sociale]:[Checkbox selezionato]],11,FALSE),"-")</f>
        <v>SI</v>
      </c>
      <c r="AR1013" s="63" t="str">
        <f>IFERROR(VLOOKUP(Table2[[#This Row],[Contraente]],Table1[[Nome/Ragione sociale]:[Checkbox selezionato]],12,FALSE),"-")</f>
        <v>SI</v>
      </c>
    </row>
    <row r="1014" spans="1:44" ht="30" hidden="1" customHeight="1" x14ac:dyDescent="0.25">
      <c r="A1014" s="60" t="str">
        <f>UPPER(LEFT(Table2[[#This Row],[Contraente]],1))</f>
        <v>S</v>
      </c>
      <c r="B1014" s="60" t="s">
        <v>1634</v>
      </c>
      <c r="C1014" s="81" t="s">
        <v>1008</v>
      </c>
      <c r="D1014" s="81" t="s">
        <v>37</v>
      </c>
      <c r="E1014" s="86">
        <v>1075373</v>
      </c>
      <c r="F1014" s="64">
        <v>42572</v>
      </c>
      <c r="G1014" s="64">
        <f>IFERROR(CALCOLASCADENZA(Table2[[#This Row],[Data attivazione]],Table2[[#This Row],[Rateizzazione]],Table2[[#This Row],[Data ultimo pagamento]],Table2[[#This Row],[Data prossima scadenza manuale]]),"-")</f>
        <v>42937</v>
      </c>
      <c r="H1014" s="67" t="s">
        <v>32</v>
      </c>
      <c r="I1014" s="67" t="s">
        <v>113</v>
      </c>
      <c r="J1014" s="33">
        <f>IFERROR(Table2[[#This Row],[Importo annuale]]/(12/VLOOKUP(Table2[[#This Row],[Rateizzazione]],TIPI_RATEIZZAZIONI,2,FALSE)),"-")</f>
        <v>200</v>
      </c>
      <c r="K1014" s="88"/>
      <c r="L1014" s="88">
        <v>200</v>
      </c>
      <c r="M1014" s="67" t="s">
        <v>44</v>
      </c>
      <c r="N1014" s="67" t="s">
        <v>52</v>
      </c>
      <c r="O1014" s="27" t="s">
        <v>1631</v>
      </c>
      <c r="P1014" s="33" t="s">
        <v>23</v>
      </c>
      <c r="Q1014" s="60">
        <f>IFERROR(IF(12 / VLOOKUP(Table2[[#This Row],[Rateizzazione]],TIPI_RATEIZZAZIONI,2,FALSE) &gt;=1,  IF(Table2[[#This Row],[Data attivazione]] = "","-",MONTH(Table2[[#This Row],[Data attivazione]])),"-"),"-")</f>
        <v>7</v>
      </c>
      <c r="R10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4" s="67" t="s">
        <v>2</v>
      </c>
      <c r="V1014" s="62"/>
      <c r="W1014" s="64">
        <v>42572</v>
      </c>
      <c r="X1014" s="29">
        <f>DATE(YEAR(Table2[[#This Row],[Data attivazione]])+VLOOKUP(Table2[[#This Row],[Durata]],VALORE_DURATA,2,FALSE),MONTH(Table2[[#This Row],[Data attivazione]]),DAY(Table2[[#This Row],[Data attivazione]]))</f>
        <v>42937</v>
      </c>
      <c r="Y1014" s="65"/>
      <c r="Z1014" s="61"/>
      <c r="AA1014" s="64" t="s">
        <v>85</v>
      </c>
      <c r="AB1014" s="29" t="str">
        <f>IF(Table2[[#This Row],[Data ultimo versamento temp]]=0/1/1900,"-",Table2[[#This Row],[Data ultimo versamento temp]])</f>
        <v>-</v>
      </c>
      <c r="AC1014" s="29">
        <f t="array" ref="AC1014">MAX(IF(TableVersamenti[Polizza]=Table2[[#This Row],[Polizza]],TableVersamenti[Data prevista versamento],"-"))</f>
        <v>0</v>
      </c>
      <c r="AD1014" s="62"/>
      <c r="AE1014" s="106">
        <f>DATE(YEAR(Table2[[#This Row],[Data ultimo pagamento]]),MONTH(Table2[[#This Row],[Data ultimo pagamento]]), 1)</f>
        <v>42552</v>
      </c>
      <c r="AF1014" s="106">
        <f>DATE(YEAR(Table2[[#This Row],[Data prossima scadenza]]),MONTH(Table2[[#This Row],[Data prossima scadenza]]), 1)</f>
        <v>42917</v>
      </c>
      <c r="AG1014" s="33">
        <f>IFERROR(Table2[[#This Row],[Importo annuale]]*VLOOKUP(Table2[[#This Row],[Ramo]],RAMI_POLIZZA,2,FALSE),0)</f>
        <v>3</v>
      </c>
      <c r="AH1014" s="65" t="s">
        <v>113</v>
      </c>
      <c r="AI1014" s="63">
        <f>IFERROR(VLOOKUP(Table2[[#This Row],[Contraente]],Table1[[Nome/Ragione sociale]:[Checkbox selezionato]],2,FALSE),"-")</f>
        <v>0</v>
      </c>
      <c r="AJ1014" s="63">
        <f>IFERROR(VLOOKUP(Table2[[#This Row],[Contraente]],Table1[[Nome/Ragione sociale]:[Checkbox selezionato]],3,FALSE),"-")</f>
        <v>3397834410</v>
      </c>
      <c r="AK1014" s="63">
        <f>IFERROR(VLOOKUP(Table2[[#This Row],[Contraente]],Table1[[Nome/Ragione sociale]:[Checkbox selezionato]],4,FALSE),"-")</f>
        <v>0</v>
      </c>
      <c r="AL1014" s="63" t="str">
        <f>IFERROR(VLOOKUP(Table2[[#This Row],[Contraente]],Table1[[Nome/Ragione sociale]:[Checkbox selezionato]],5,FALSE),"-")</f>
        <v>CLAUDIO</v>
      </c>
      <c r="AM1014" s="62">
        <f>IFERROR(VLOOKUP(Table2[[#This Row],[Contraente]],Table1[[Nome/Ragione sociale]:[Checkbox selezionato]],6,FALSE),"-")</f>
        <v>0</v>
      </c>
      <c r="AN1014" s="63" t="str">
        <f>IFERROR(VLOOKUP(Table2[[#This Row],[Contraente]],Table1[[Nome/Ragione sociale]:[Checkbox selezionato]],7,FALSE),"-")</f>
        <v>papies@libero.it</v>
      </c>
      <c r="AO1014" s="63">
        <f>IFERROR(VLOOKUP(Table2[[#This Row],[Contraente]],Table1[[Nome/Ragione sociale]:[Checkbox selezionato]],8,FALSE),"-")</f>
        <v>0</v>
      </c>
      <c r="AP1014" s="63">
        <f>IFERROR(VLOOKUP(Table2[[#This Row],[Contraente]],Table1[[Nome/Ragione sociale]:[Checkbox selezionato]],10,FALSE),"-")</f>
        <v>3397834410</v>
      </c>
      <c r="AQ1014" s="63" t="str">
        <f>IFERROR(VLOOKUP(Table2[[#This Row],[Contraente]],Table1[[Nome/Ragione sociale]:[Checkbox selezionato]],11,FALSE),"-")</f>
        <v>SI</v>
      </c>
      <c r="AR1014" s="63" t="str">
        <f>IFERROR(VLOOKUP(Table2[[#This Row],[Contraente]],Table1[[Nome/Ragione sociale]:[Checkbox selezionato]],12,FALSE),"-")</f>
        <v>SI</v>
      </c>
    </row>
    <row r="1015" spans="1:44" ht="30" hidden="1" customHeight="1" x14ac:dyDescent="0.25">
      <c r="A1015" s="60" t="str">
        <f>UPPER(LEFT(Table2[[#This Row],[Contraente]],1))</f>
        <v>S</v>
      </c>
      <c r="B1015" s="60" t="s">
        <v>1634</v>
      </c>
      <c r="C1015" s="81" t="s">
        <v>188</v>
      </c>
      <c r="D1015" s="81" t="s">
        <v>37</v>
      </c>
      <c r="E1015" s="86">
        <v>106990294</v>
      </c>
      <c r="F1015" s="64">
        <v>42901</v>
      </c>
      <c r="G1015" s="64">
        <f>IFERROR(CALCOLASCADENZA(Table2[[#This Row],[Data attivazione]],Table2[[#This Row],[Rateizzazione]],Table2[[#This Row],[Data ultimo pagamento]],Table2[[#This Row],[Data prossima scadenza manuale]]),"-")</f>
        <v>43023</v>
      </c>
      <c r="H1015" s="67" t="s">
        <v>31</v>
      </c>
      <c r="I1015" s="67" t="s">
        <v>1762</v>
      </c>
      <c r="J1015" s="33">
        <f>IFERROR(Table2[[#This Row],[Importo annuale]]/(12/VLOOKUP(Table2[[#This Row],[Rateizzazione]],TIPI_RATEIZZAZIONI,2,FALSE)),"-")</f>
        <v>131</v>
      </c>
      <c r="K1015" s="88">
        <v>131</v>
      </c>
      <c r="L1015" s="88">
        <v>131</v>
      </c>
      <c r="M1015" s="67" t="s">
        <v>44</v>
      </c>
      <c r="N1015" s="67" t="s">
        <v>52</v>
      </c>
      <c r="O1015" s="27" t="s">
        <v>1631</v>
      </c>
      <c r="P1015" s="33" t="s">
        <v>23</v>
      </c>
      <c r="Q1015" s="60">
        <f>IFERROR(IF(12 / VLOOKUP(Table2[[#This Row],[Rateizzazione]],TIPI_RATEIZZAZIONI,2,FALSE) &gt;=1,  IF(Table2[[#This Row],[Data attivazione]] = "","-",MONTH(Table2[[#This Row],[Data attivazione]])),"-"),"-")</f>
        <v>10</v>
      </c>
      <c r="R10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5" s="67" t="s">
        <v>2</v>
      </c>
      <c r="V1015" s="62"/>
      <c r="W1015" s="64">
        <v>42658</v>
      </c>
      <c r="X1015" s="29">
        <f>DATE(YEAR(Table2[[#This Row],[Data attivazione]])+VLOOKUP(Table2[[#This Row],[Durata]],VALORE_DURATA,2,FALSE),MONTH(Table2[[#This Row],[Data attivazione]]),DAY(Table2[[#This Row],[Data attivazione]]))</f>
        <v>43023</v>
      </c>
      <c r="Y1015" s="65"/>
      <c r="Z1015" s="61"/>
      <c r="AA1015" s="64" t="s">
        <v>85</v>
      </c>
      <c r="AB1015" s="29" t="str">
        <f>IF(Table2[[#This Row],[Data ultimo versamento temp]]=0/1/1900,"-",Table2[[#This Row],[Data ultimo versamento temp]])</f>
        <v>-</v>
      </c>
      <c r="AC1015" s="29">
        <f t="array" ref="AC1015">MAX(IF(TableVersamenti[Polizza]=Table2[[#This Row],[Polizza]],TableVersamenti[Data prevista versamento],"-"))</f>
        <v>0</v>
      </c>
      <c r="AD1015" s="62"/>
      <c r="AE1015" s="106">
        <f>DATE(YEAR(Table2[[#This Row],[Data ultimo pagamento]]),MONTH(Table2[[#This Row],[Data ultimo pagamento]]), 1)</f>
        <v>42887</v>
      </c>
      <c r="AF1015" s="106">
        <f>DATE(YEAR(Table2[[#This Row],[Data prossima scadenza]]),MONTH(Table2[[#This Row],[Data prossima scadenza]]), 1)</f>
        <v>43009</v>
      </c>
      <c r="AG1015" s="33">
        <f>IFERROR(Table2[[#This Row],[Importo annuale]]*VLOOKUP(Table2[[#This Row],[Ramo]],RAMI_POLIZZA,2,FALSE),0)</f>
        <v>6.8119999999999994</v>
      </c>
      <c r="AH1015" s="65" t="s">
        <v>113</v>
      </c>
      <c r="AI1015" s="63" t="str">
        <f>IFERROR(VLOOKUP(Table2[[#This Row],[Contraente]],Table1[[Nome/Ragione sociale]:[Checkbox selezionato]],2,FALSE),"-")</f>
        <v>GODIASCO</v>
      </c>
      <c r="AJ1015" s="63">
        <f>IFERROR(VLOOKUP(Table2[[#This Row],[Contraente]],Table1[[Nome/Ragione sociale]:[Checkbox selezionato]],3,FALSE),"-")</f>
        <v>3494693197</v>
      </c>
      <c r="AK1015" s="63">
        <f>IFERROR(VLOOKUP(Table2[[#This Row],[Contraente]],Table1[[Nome/Ragione sociale]:[Checkbox selezionato]],4,FALSE),"-")</f>
        <v>0</v>
      </c>
      <c r="AL1015" s="63" t="str">
        <f>IFERROR(VLOOKUP(Table2[[#This Row],[Contraente]],Table1[[Nome/Ragione sociale]:[Checkbox selezionato]],5,FALSE),"-")</f>
        <v>MARCO</v>
      </c>
      <c r="AM1015" s="62">
        <f>IFERROR(VLOOKUP(Table2[[#This Row],[Contraente]],Table1[[Nome/Ragione sociale]:[Checkbox selezionato]],6,FALSE),"-")</f>
        <v>24139</v>
      </c>
      <c r="AN1015" s="63" t="str">
        <f>IFERROR(VLOOKUP(Table2[[#This Row],[Contraente]],Table1[[Nome/Ragione sociale]:[Checkbox selezionato]],7,FALSE),"-")</f>
        <v>papies@libero.it</v>
      </c>
      <c r="AO1015" s="63">
        <f>IFERROR(VLOOKUP(Table2[[#This Row],[Contraente]],Table1[[Nome/Ragione sociale]:[Checkbox selezionato]],8,FALSE),"-")</f>
        <v>0</v>
      </c>
      <c r="AP1015" s="63">
        <f>IFERROR(VLOOKUP(Table2[[#This Row],[Contraente]],Table1[[Nome/Ragione sociale]:[Checkbox selezionato]],10,FALSE),"-")</f>
        <v>3494693197</v>
      </c>
      <c r="AQ1015" s="63" t="str">
        <f>IFERROR(VLOOKUP(Table2[[#This Row],[Contraente]],Table1[[Nome/Ragione sociale]:[Checkbox selezionato]],11,FALSE),"-")</f>
        <v>SI</v>
      </c>
      <c r="AR1015" s="63" t="str">
        <f>IFERROR(VLOOKUP(Table2[[#This Row],[Contraente]],Table1[[Nome/Ragione sociale]:[Checkbox selezionato]],12,FALSE),"-")</f>
        <v>SI</v>
      </c>
    </row>
    <row r="1016" spans="1:44" ht="30" hidden="1" customHeight="1" x14ac:dyDescent="0.25">
      <c r="A1016" s="60" t="str">
        <f>UPPER(LEFT(Table2[[#This Row],[Contraente]],1))</f>
        <v>S</v>
      </c>
      <c r="B1016" s="60" t="s">
        <v>1634</v>
      </c>
      <c r="C1016" s="81" t="s">
        <v>188</v>
      </c>
      <c r="D1016" s="81" t="s">
        <v>37</v>
      </c>
      <c r="E1016" s="86">
        <v>106990159</v>
      </c>
      <c r="F1016" s="64">
        <v>42901</v>
      </c>
      <c r="G1016" s="64">
        <f>IFERROR(CALCOLASCADENZA(Table2[[#This Row],[Data attivazione]],Table2[[#This Row],[Rateizzazione]],Table2[[#This Row],[Data ultimo pagamento]],Table2[[#This Row],[Data prossima scadenza manuale]]),"-")</f>
        <v>43282</v>
      </c>
      <c r="H1016" s="67" t="s">
        <v>30</v>
      </c>
      <c r="I1016" s="67" t="s">
        <v>113</v>
      </c>
      <c r="J1016" s="33">
        <f>IFERROR(Table2[[#This Row],[Importo annuale]]/(12/VLOOKUP(Table2[[#This Row],[Rateizzazione]],TIPI_RATEIZZAZIONI,2,FALSE)),"-")</f>
        <v>80</v>
      </c>
      <c r="K1016" s="88">
        <v>80</v>
      </c>
      <c r="L1016" s="88">
        <v>80</v>
      </c>
      <c r="M1016" s="67" t="s">
        <v>44</v>
      </c>
      <c r="N1016" s="67" t="s">
        <v>51</v>
      </c>
      <c r="O1016" s="27" t="s">
        <v>1631</v>
      </c>
      <c r="P1016" s="33" t="s">
        <v>23</v>
      </c>
      <c r="Q1016" s="60">
        <f>IFERROR(IF(12 / VLOOKUP(Table2[[#This Row],[Rateizzazione]],TIPI_RATEIZZAZIONI,2,FALSE) &gt;=1,  IF(Table2[[#This Row],[Data attivazione]] = "","-",MONTH(Table2[[#This Row],[Data attivazione]])),"-"),"-")</f>
        <v>7</v>
      </c>
      <c r="R10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6" s="67" t="s">
        <v>2</v>
      </c>
      <c r="V1016" s="62"/>
      <c r="W1016" s="64">
        <v>42917</v>
      </c>
      <c r="X1016" s="29">
        <f>DATE(YEAR(Table2[[#This Row],[Data attivazione]])+VLOOKUP(Table2[[#This Row],[Durata]],VALORE_DURATA,2,FALSE),MONTH(Table2[[#This Row],[Data attivazione]]),DAY(Table2[[#This Row],[Data attivazione]]))</f>
        <v>43282</v>
      </c>
      <c r="Y1016" s="65"/>
      <c r="Z1016" s="61"/>
      <c r="AA1016" s="64" t="s">
        <v>85</v>
      </c>
      <c r="AB1016" s="29" t="str">
        <f>IF(Table2[[#This Row],[Data ultimo versamento temp]]=0/1/1900,"-",Table2[[#This Row],[Data ultimo versamento temp]])</f>
        <v>-</v>
      </c>
      <c r="AC1016" s="29">
        <f t="array" ref="AC1016">MAX(IF(TableVersamenti[Polizza]=Table2[[#This Row],[Polizza]],TableVersamenti[Data prevista versamento],"-"))</f>
        <v>0</v>
      </c>
      <c r="AD1016" s="62"/>
      <c r="AE1016" s="106">
        <f>DATE(YEAR(Table2[[#This Row],[Data ultimo pagamento]]),MONTH(Table2[[#This Row],[Data ultimo pagamento]]), 1)</f>
        <v>42887</v>
      </c>
      <c r="AF1016" s="106">
        <f>DATE(YEAR(Table2[[#This Row],[Data prossima scadenza]]),MONTH(Table2[[#This Row],[Data prossima scadenza]]), 1)</f>
        <v>43282</v>
      </c>
      <c r="AG1016" s="33">
        <f>IFERROR(Table2[[#This Row],[Importo annuale]]*VLOOKUP(Table2[[#This Row],[Ramo]],RAMI_POLIZZA,2,FALSE),0)</f>
        <v>9.2000000000000011</v>
      </c>
      <c r="AH1016" s="65" t="s">
        <v>113</v>
      </c>
      <c r="AI1016" s="63" t="str">
        <f>IFERROR(VLOOKUP(Table2[[#This Row],[Contraente]],Table1[[Nome/Ragione sociale]:[Checkbox selezionato]],2,FALSE),"-")</f>
        <v>GODIASCO</v>
      </c>
      <c r="AJ1016" s="63">
        <f>IFERROR(VLOOKUP(Table2[[#This Row],[Contraente]],Table1[[Nome/Ragione sociale]:[Checkbox selezionato]],3,FALSE),"-")</f>
        <v>3494693197</v>
      </c>
      <c r="AK1016" s="63">
        <f>IFERROR(VLOOKUP(Table2[[#This Row],[Contraente]],Table1[[Nome/Ragione sociale]:[Checkbox selezionato]],4,FALSE),"-")</f>
        <v>0</v>
      </c>
      <c r="AL1016" s="63" t="str">
        <f>IFERROR(VLOOKUP(Table2[[#This Row],[Contraente]],Table1[[Nome/Ragione sociale]:[Checkbox selezionato]],5,FALSE),"-")</f>
        <v>MARCO</v>
      </c>
      <c r="AM1016" s="62">
        <f>IFERROR(VLOOKUP(Table2[[#This Row],[Contraente]],Table1[[Nome/Ragione sociale]:[Checkbox selezionato]],6,FALSE),"-")</f>
        <v>24139</v>
      </c>
      <c r="AN1016" s="63" t="str">
        <f>IFERROR(VLOOKUP(Table2[[#This Row],[Contraente]],Table1[[Nome/Ragione sociale]:[Checkbox selezionato]],7,FALSE),"-")</f>
        <v>papies@libero.it</v>
      </c>
      <c r="AO1016" s="63">
        <f>IFERROR(VLOOKUP(Table2[[#This Row],[Contraente]],Table1[[Nome/Ragione sociale]:[Checkbox selezionato]],8,FALSE),"-")</f>
        <v>0</v>
      </c>
      <c r="AP1016" s="63">
        <f>IFERROR(VLOOKUP(Table2[[#This Row],[Contraente]],Table1[[Nome/Ragione sociale]:[Checkbox selezionato]],10,FALSE),"-")</f>
        <v>3494693197</v>
      </c>
      <c r="AQ1016" s="63" t="str">
        <f>IFERROR(VLOOKUP(Table2[[#This Row],[Contraente]],Table1[[Nome/Ragione sociale]:[Checkbox selezionato]],11,FALSE),"-")</f>
        <v>SI</v>
      </c>
      <c r="AR1016" s="63" t="str">
        <f>IFERROR(VLOOKUP(Table2[[#This Row],[Contraente]],Table1[[Nome/Ragione sociale]:[Checkbox selezionato]],12,FALSE),"-")</f>
        <v>SI</v>
      </c>
    </row>
    <row r="1017" spans="1:44" ht="30" hidden="1" customHeight="1" x14ac:dyDescent="0.25">
      <c r="A1017" s="60" t="str">
        <f>UPPER(LEFT(Table2[[#This Row],[Contraente]],1))</f>
        <v>S</v>
      </c>
      <c r="B1017" s="60" t="s">
        <v>1634</v>
      </c>
      <c r="C1017" s="81" t="s">
        <v>188</v>
      </c>
      <c r="D1017" s="81" t="s">
        <v>37</v>
      </c>
      <c r="E1017" s="86">
        <v>106990135</v>
      </c>
      <c r="F1017" s="64">
        <v>42901</v>
      </c>
      <c r="G1017" s="64">
        <f>IFERROR(CALCOLASCADENZA(Table2[[#This Row],[Data attivazione]],Table2[[#This Row],[Rateizzazione]],Table2[[#This Row],[Data ultimo pagamento]],Table2[[#This Row],[Data prossima scadenza manuale]]),"-")</f>
        <v>43269</v>
      </c>
      <c r="H1017" s="67" t="s">
        <v>31</v>
      </c>
      <c r="I1017" s="67" t="s">
        <v>1572</v>
      </c>
      <c r="J1017" s="33">
        <f>IFERROR(Table2[[#This Row],[Importo annuale]]/(12/VLOOKUP(Table2[[#This Row],[Rateizzazione]],TIPI_RATEIZZAZIONI,2,FALSE)),"-")</f>
        <v>440</v>
      </c>
      <c r="K1017" s="88">
        <v>440</v>
      </c>
      <c r="L1017" s="88">
        <v>440</v>
      </c>
      <c r="M1017" s="67" t="s">
        <v>44</v>
      </c>
      <c r="N1017" s="67" t="s">
        <v>51</v>
      </c>
      <c r="O1017" s="27" t="s">
        <v>1631</v>
      </c>
      <c r="P1017" s="33" t="s">
        <v>23</v>
      </c>
      <c r="Q1017" s="60">
        <f>IFERROR(IF(12 / VLOOKUP(Table2[[#This Row],[Rateizzazione]],TIPI_RATEIZZAZIONI,2,FALSE) &gt;=1,  IF(Table2[[#This Row],[Data attivazione]] = "","-",MONTH(Table2[[#This Row],[Data attivazione]])),"-"),"-")</f>
        <v>6</v>
      </c>
      <c r="R10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7" s="67" t="s">
        <v>2</v>
      </c>
      <c r="V1017" s="62"/>
      <c r="W1017" s="64">
        <v>42904</v>
      </c>
      <c r="X1017" s="29">
        <f>DATE(YEAR(Table2[[#This Row],[Data attivazione]])+VLOOKUP(Table2[[#This Row],[Durata]],VALORE_DURATA,2,FALSE),MONTH(Table2[[#This Row],[Data attivazione]]),DAY(Table2[[#This Row],[Data attivazione]]))</f>
        <v>43269</v>
      </c>
      <c r="Y1017" s="65"/>
      <c r="Z1017" s="61"/>
      <c r="AA1017" s="64" t="s">
        <v>85</v>
      </c>
      <c r="AB1017" s="29" t="str">
        <f>IF(Table2[[#This Row],[Data ultimo versamento temp]]=0/1/1900,"-",Table2[[#This Row],[Data ultimo versamento temp]])</f>
        <v>-</v>
      </c>
      <c r="AC1017" s="29">
        <f t="array" ref="AC1017">MAX(IF(TableVersamenti[Polizza]=Table2[[#This Row],[Polizza]],TableVersamenti[Data prevista versamento],"-"))</f>
        <v>0</v>
      </c>
      <c r="AD1017" s="62"/>
      <c r="AE1017" s="106">
        <f>DATE(YEAR(Table2[[#This Row],[Data ultimo pagamento]]),MONTH(Table2[[#This Row],[Data ultimo pagamento]]), 1)</f>
        <v>42887</v>
      </c>
      <c r="AF1017" s="106">
        <f>DATE(YEAR(Table2[[#This Row],[Data prossima scadenza]]),MONTH(Table2[[#This Row],[Data prossima scadenza]]), 1)</f>
        <v>43252</v>
      </c>
      <c r="AG1017" s="33">
        <f>IFERROR(Table2[[#This Row],[Importo annuale]]*VLOOKUP(Table2[[#This Row],[Ramo]],RAMI_POLIZZA,2,FALSE),0)</f>
        <v>22.88</v>
      </c>
      <c r="AH1017" s="65" t="s">
        <v>113</v>
      </c>
      <c r="AI1017" s="63" t="str">
        <f>IFERROR(VLOOKUP(Table2[[#This Row],[Contraente]],Table1[[Nome/Ragione sociale]:[Checkbox selezionato]],2,FALSE),"-")</f>
        <v>GODIASCO</v>
      </c>
      <c r="AJ1017" s="63">
        <f>IFERROR(VLOOKUP(Table2[[#This Row],[Contraente]],Table1[[Nome/Ragione sociale]:[Checkbox selezionato]],3,FALSE),"-")</f>
        <v>3494693197</v>
      </c>
      <c r="AK1017" s="63">
        <f>IFERROR(VLOOKUP(Table2[[#This Row],[Contraente]],Table1[[Nome/Ragione sociale]:[Checkbox selezionato]],4,FALSE),"-")</f>
        <v>0</v>
      </c>
      <c r="AL1017" s="63" t="str">
        <f>IFERROR(VLOOKUP(Table2[[#This Row],[Contraente]],Table1[[Nome/Ragione sociale]:[Checkbox selezionato]],5,FALSE),"-")</f>
        <v>MARCO</v>
      </c>
      <c r="AM1017" s="62">
        <f>IFERROR(VLOOKUP(Table2[[#This Row],[Contraente]],Table1[[Nome/Ragione sociale]:[Checkbox selezionato]],6,FALSE),"-")</f>
        <v>24139</v>
      </c>
      <c r="AN1017" s="63" t="str">
        <f>IFERROR(VLOOKUP(Table2[[#This Row],[Contraente]],Table1[[Nome/Ragione sociale]:[Checkbox selezionato]],7,FALSE),"-")</f>
        <v>papies@libero.it</v>
      </c>
      <c r="AO1017" s="63">
        <f>IFERROR(VLOOKUP(Table2[[#This Row],[Contraente]],Table1[[Nome/Ragione sociale]:[Checkbox selezionato]],8,FALSE),"-")</f>
        <v>0</v>
      </c>
      <c r="AP1017" s="63">
        <f>IFERROR(VLOOKUP(Table2[[#This Row],[Contraente]],Table1[[Nome/Ragione sociale]:[Checkbox selezionato]],10,FALSE),"-")</f>
        <v>3494693197</v>
      </c>
      <c r="AQ1017" s="63" t="str">
        <f>IFERROR(VLOOKUP(Table2[[#This Row],[Contraente]],Table1[[Nome/Ragione sociale]:[Checkbox selezionato]],11,FALSE),"-")</f>
        <v>SI</v>
      </c>
      <c r="AR1017" s="63" t="str">
        <f>IFERROR(VLOOKUP(Table2[[#This Row],[Contraente]],Table1[[Nome/Ragione sociale]:[Checkbox selezionato]],12,FALSE),"-")</f>
        <v>SI</v>
      </c>
    </row>
    <row r="1018" spans="1:44" ht="30" hidden="1" customHeight="1" x14ac:dyDescent="0.25">
      <c r="A1018" s="60" t="str">
        <f>UPPER(LEFT(Table2[[#This Row],[Contraente]],1))</f>
        <v>S</v>
      </c>
      <c r="B1018" s="60" t="s">
        <v>1634</v>
      </c>
      <c r="C1018" s="81" t="s">
        <v>1771</v>
      </c>
      <c r="D1018" s="81" t="s">
        <v>37</v>
      </c>
      <c r="E1018" s="86">
        <v>1092389</v>
      </c>
      <c r="F1018" s="64">
        <v>42914</v>
      </c>
      <c r="G1018" s="64" t="str">
        <f>IFERROR(CALCOLASCADENZA(Table2[[#This Row],[Data attivazione]],Table2[[#This Row],[Rateizzazione]],Table2[[#This Row],[Data ultimo pagamento]],Table2[[#This Row],[Data prossima scadenza manuale]]),"-")</f>
        <v>-</v>
      </c>
      <c r="H1018" s="67" t="s">
        <v>1763</v>
      </c>
      <c r="I1018" s="67" t="s">
        <v>113</v>
      </c>
      <c r="J1018" s="33">
        <f>IFERROR(Table2[[#This Row],[Importo annuale]]/(12/VLOOKUP(Table2[[#This Row],[Rateizzazione]],TIPI_RATEIZZAZIONI,2,FALSE)),"-")</f>
        <v>60000</v>
      </c>
      <c r="K1018" s="88">
        <v>60000</v>
      </c>
      <c r="L1018" s="88">
        <v>60000</v>
      </c>
      <c r="M1018" s="67" t="s">
        <v>44</v>
      </c>
      <c r="N1018" s="67" t="s">
        <v>52</v>
      </c>
      <c r="O1018" s="27" t="s">
        <v>1631</v>
      </c>
      <c r="P1018" s="33" t="s">
        <v>23</v>
      </c>
      <c r="Q101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8" s="67" t="s">
        <v>133</v>
      </c>
      <c r="V1018" s="62"/>
      <c r="W1018" s="64" t="e">
        <v>#VALUE!</v>
      </c>
      <c r="X1018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018" s="65"/>
      <c r="Z1018" s="61"/>
      <c r="AA1018" s="64" t="s">
        <v>85</v>
      </c>
      <c r="AB1018" s="29" t="str">
        <f>IF(Table2[[#This Row],[Data ultimo versamento temp]]=0/1/1900,"-",Table2[[#This Row],[Data ultimo versamento temp]])</f>
        <v>-</v>
      </c>
      <c r="AC1018" s="29">
        <f t="array" ref="AC1018">MAX(IF(TableVersamenti[Polizza]=Table2[[#This Row],[Polizza]],TableVersamenti[Data prevista versamento],"-"))</f>
        <v>0</v>
      </c>
      <c r="AD1018" s="62"/>
      <c r="AE1018" s="106">
        <f>DATE(YEAR(Table2[[#This Row],[Data ultimo pagamento]]),MONTH(Table2[[#This Row],[Data ultimo pagamento]]), 1)</f>
        <v>42887</v>
      </c>
      <c r="AF1018" s="106" t="e">
        <f>DATE(YEAR(Table2[[#This Row],[Data prossima scadenza]]),MONTH(Table2[[#This Row],[Data prossima scadenza]]), 1)</f>
        <v>#VALUE!</v>
      </c>
      <c r="AG1018" s="33">
        <f>IFERROR(Table2[[#This Row],[Importo annuale]]*VLOOKUP(Table2[[#This Row],[Ramo]],RAMI_POLIZZA,2,FALSE),0)</f>
        <v>0</v>
      </c>
      <c r="AH1018" s="65" t="s">
        <v>113</v>
      </c>
      <c r="AI1018" s="63" t="str">
        <f>IFERROR(VLOOKUP(Table2[[#This Row],[Contraente]],Table1[[Nome/Ragione sociale]:[Checkbox selezionato]],2,FALSE),"-")</f>
        <v>ZIANO PIACENTINO</v>
      </c>
      <c r="AJ1018" s="63">
        <f>IFERROR(VLOOKUP(Table2[[#This Row],[Contraente]],Table1[[Nome/Ragione sociale]:[Checkbox selezionato]],3,FALSE),"-")</f>
        <v>3272393969</v>
      </c>
      <c r="AK1018" s="63">
        <f>IFERROR(VLOOKUP(Table2[[#This Row],[Contraente]],Table1[[Nome/Ragione sociale]:[Checkbox selezionato]],4,FALSE),"-")</f>
        <v>0</v>
      </c>
      <c r="AL1018" s="63">
        <f>IFERROR(VLOOKUP(Table2[[#This Row],[Contraente]],Table1[[Nome/Ragione sociale]:[Checkbox selezionato]],5,FALSE),"-")</f>
        <v>0</v>
      </c>
      <c r="AM1018" s="62" t="str">
        <f>IFERROR(VLOOKUP(Table2[[#This Row],[Contraente]],Table1[[Nome/Ragione sociale]:[Checkbox selezionato]],6,FALSE),"-")</f>
        <v>-</v>
      </c>
      <c r="AN1018" s="63" t="str">
        <f>IFERROR(VLOOKUP(Table2[[#This Row],[Contraente]],Table1[[Nome/Ragione sociale]:[Checkbox selezionato]],7,FALSE),"-")</f>
        <v>papies@email.it</v>
      </c>
      <c r="AO1018" s="63">
        <f>IFERROR(VLOOKUP(Table2[[#This Row],[Contraente]],Table1[[Nome/Ragione sociale]:[Checkbox selezionato]],8,FALSE),"-")</f>
        <v>0</v>
      </c>
      <c r="AP1018" s="63">
        <f>IFERROR(VLOOKUP(Table2[[#This Row],[Contraente]],Table1[[Nome/Ragione sociale]:[Checkbox selezionato]],10,FALSE),"-")</f>
        <v>3272393969</v>
      </c>
      <c r="AQ1018" s="63" t="str">
        <f>IFERROR(VLOOKUP(Table2[[#This Row],[Contraente]],Table1[[Nome/Ragione sociale]:[Checkbox selezionato]],11,FALSE),"-")</f>
        <v>SI</v>
      </c>
      <c r="AR1018" s="63" t="str">
        <f>IFERROR(VLOOKUP(Table2[[#This Row],[Contraente]],Table1[[Nome/Ragione sociale]:[Checkbox selezionato]],12,FALSE),"-")</f>
        <v>SI</v>
      </c>
    </row>
    <row r="1019" spans="1:44" ht="30" hidden="1" customHeight="1" x14ac:dyDescent="0.25">
      <c r="A1019" s="60" t="str">
        <f>UPPER(LEFT(Table2[[#This Row],[Contraente]],1))</f>
        <v>S</v>
      </c>
      <c r="B1019" s="60" t="s">
        <v>1634</v>
      </c>
      <c r="C1019" s="81" t="s">
        <v>1009</v>
      </c>
      <c r="D1019" s="81" t="s">
        <v>37</v>
      </c>
      <c r="E1019" s="86">
        <v>102985035</v>
      </c>
      <c r="F1019" s="64">
        <v>42852</v>
      </c>
      <c r="G1019" s="64">
        <f>IFERROR(CALCOLASCADENZA(Table2[[#This Row],[Data attivazione]],Table2[[#This Row],[Rateizzazione]],Table2[[#This Row],[Data ultimo pagamento]],Table2[[#This Row],[Data prossima scadenza manuale]]),"-")</f>
        <v>43031</v>
      </c>
      <c r="H1019" s="67" t="s">
        <v>1628</v>
      </c>
      <c r="I1019" s="67" t="s">
        <v>113</v>
      </c>
      <c r="J1019" s="33">
        <f>IFERROR(Table2[[#This Row],[Importo annuale]]/(12/VLOOKUP(Table2[[#This Row],[Rateizzazione]],TIPI_RATEIZZAZIONI,2,FALSE)),"-")</f>
        <v>34</v>
      </c>
      <c r="K1019" s="88">
        <v>34</v>
      </c>
      <c r="L1019" s="88">
        <v>68</v>
      </c>
      <c r="M1019" s="67" t="s">
        <v>45</v>
      </c>
      <c r="N1019" s="67" t="s">
        <v>51</v>
      </c>
      <c r="O1019" s="27" t="s">
        <v>1631</v>
      </c>
      <c r="P1019" s="33" t="s">
        <v>22</v>
      </c>
      <c r="Q1019" s="60">
        <f>IFERROR(IF(12 / VLOOKUP(Table2[[#This Row],[Rateizzazione]],TIPI_RATEIZZAZIONI,2,FALSE) &gt;=1,  IF(Table2[[#This Row],[Data attivazione]] = "","-",MONTH(Table2[[#This Row],[Data attivazione]])),"-"),"-")</f>
        <v>10</v>
      </c>
      <c r="R10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9" s="67" t="s">
        <v>2</v>
      </c>
      <c r="V1019" s="62"/>
      <c r="W1019" s="64">
        <v>42666</v>
      </c>
      <c r="X1019" s="29">
        <f>DATE(YEAR(Table2[[#This Row],[Data attivazione]])+VLOOKUP(Table2[[#This Row],[Durata]],VALORE_DURATA,2,FALSE),MONTH(Table2[[#This Row],[Data attivazione]]),DAY(Table2[[#This Row],[Data attivazione]]))</f>
        <v>43031</v>
      </c>
      <c r="Y1019" s="65"/>
      <c r="Z1019" s="61"/>
      <c r="AA1019" s="64" t="s">
        <v>85</v>
      </c>
      <c r="AB1019" s="29" t="str">
        <f>IF(Table2[[#This Row],[Data ultimo versamento temp]]=0/1/1900,"-",Table2[[#This Row],[Data ultimo versamento temp]])</f>
        <v>-</v>
      </c>
      <c r="AC1019" s="29">
        <f t="array" ref="AC1019">MAX(IF(TableVersamenti[Polizza]=Table2[[#This Row],[Polizza]],TableVersamenti[Data prevista versamento],"-"))</f>
        <v>0</v>
      </c>
      <c r="AD1019" s="62"/>
      <c r="AE1019" s="106">
        <f>DATE(YEAR(Table2[[#This Row],[Data ultimo pagamento]]),MONTH(Table2[[#This Row],[Data ultimo pagamento]]), 1)</f>
        <v>42826</v>
      </c>
      <c r="AF1019" s="106">
        <f>DATE(YEAR(Table2[[#This Row],[Data prossima scadenza]]),MONTH(Table2[[#This Row],[Data prossima scadenza]]), 1)</f>
        <v>43009</v>
      </c>
      <c r="AG1019" s="33">
        <f>IFERROR(Table2[[#This Row],[Importo annuale]]*VLOOKUP(Table2[[#This Row],[Ramo]],RAMI_POLIZZA,2,FALSE),0)</f>
        <v>0</v>
      </c>
      <c r="AH1019" s="65" t="s">
        <v>113</v>
      </c>
      <c r="AI1019" s="63" t="str">
        <f>IFERROR(VLOOKUP(Table2[[#This Row],[Contraente]],Table1[[Nome/Ragione sociale]:[Checkbox selezionato]],2,FALSE),"-")</f>
        <v>SAN GENESIO ED UNITI</v>
      </c>
      <c r="AJ1019" s="63">
        <f>IFERROR(VLOOKUP(Table2[[#This Row],[Contraente]],Table1[[Nome/Ragione sociale]:[Checkbox selezionato]],3,FALSE),"-")</f>
        <v>330464059</v>
      </c>
      <c r="AK1019" s="63">
        <f>IFERROR(VLOOKUP(Table2[[#This Row],[Contraente]],Table1[[Nome/Ragione sociale]:[Checkbox selezionato]],4,FALSE),"-")</f>
        <v>3351022443</v>
      </c>
      <c r="AL1019" s="63" t="str">
        <f>IFERROR(VLOOKUP(Table2[[#This Row],[Contraente]],Table1[[Nome/Ragione sociale]:[Checkbox selezionato]],5,FALSE),"-")</f>
        <v>SUOCERA RASIM</v>
      </c>
      <c r="AM1019" s="62">
        <f>IFERROR(VLOOKUP(Table2[[#This Row],[Contraente]],Table1[[Nome/Ragione sociale]:[Checkbox selezionato]],6,FALSE),"-")</f>
        <v>16365</v>
      </c>
      <c r="AN1019" s="63" t="str">
        <f>IFERROR(VLOOKUP(Table2[[#This Row],[Contraente]],Table1[[Nome/Ragione sociale]:[Checkbox selezionato]],7,FALSE),"-")</f>
        <v>papies@libero.it</v>
      </c>
      <c r="AO1019" s="63">
        <f>IFERROR(VLOOKUP(Table2[[#This Row],[Contraente]],Table1[[Nome/Ragione sociale]:[Checkbox selezionato]],8,FALSE),"-")</f>
        <v>0</v>
      </c>
      <c r="AP1019" s="63">
        <f>IFERROR(VLOOKUP(Table2[[#This Row],[Contraente]],Table1[[Nome/Ragione sociale]:[Checkbox selezionato]],10,FALSE),"-")</f>
        <v>330464059</v>
      </c>
      <c r="AQ1019" s="63" t="str">
        <f>IFERROR(VLOOKUP(Table2[[#This Row],[Contraente]],Table1[[Nome/Ragione sociale]:[Checkbox selezionato]],11,FALSE),"-")</f>
        <v>SI</v>
      </c>
      <c r="AR1019" s="63" t="str">
        <f>IFERROR(VLOOKUP(Table2[[#This Row],[Contraente]],Table1[[Nome/Ragione sociale]:[Checkbox selezionato]],12,FALSE),"-")</f>
        <v>SI</v>
      </c>
    </row>
    <row r="1020" spans="1:44" ht="30" hidden="1" customHeight="1" x14ac:dyDescent="0.25">
      <c r="A1020" s="60" t="str">
        <f>UPPER(LEFT(Table2[[#This Row],[Contraente]],1))</f>
        <v>S</v>
      </c>
      <c r="B1020" s="60" t="s">
        <v>1634</v>
      </c>
      <c r="C1020" s="81" t="s">
        <v>1009</v>
      </c>
      <c r="D1020" s="81" t="s">
        <v>37</v>
      </c>
      <c r="E1020" s="86">
        <v>105553335</v>
      </c>
      <c r="F1020" s="64">
        <v>42852</v>
      </c>
      <c r="G1020" s="64">
        <f>IFERROR(CALCOLASCADENZA(Table2[[#This Row],[Data attivazione]],Table2[[#This Row],[Rateizzazione]],Table2[[#This Row],[Data ultimo pagamento]],Table2[[#This Row],[Data prossima scadenza manuale]]),"-")</f>
        <v>43031</v>
      </c>
      <c r="H1020" s="67" t="s">
        <v>31</v>
      </c>
      <c r="I1020" s="67" t="s">
        <v>1573</v>
      </c>
      <c r="J1020" s="33">
        <f>IFERROR(Table2[[#This Row],[Importo annuale]]/(12/VLOOKUP(Table2[[#This Row],[Rateizzazione]],TIPI_RATEIZZAZIONI,2,FALSE)),"-")</f>
        <v>354</v>
      </c>
      <c r="K1020" s="88">
        <v>354</v>
      </c>
      <c r="L1020" s="88">
        <v>708</v>
      </c>
      <c r="M1020" s="67" t="s">
        <v>45</v>
      </c>
      <c r="N1020" s="67" t="s">
        <v>51</v>
      </c>
      <c r="O1020" s="27" t="s">
        <v>1631</v>
      </c>
      <c r="P1020" s="33" t="s">
        <v>22</v>
      </c>
      <c r="Q1020" s="60">
        <f>IFERROR(IF(12 / VLOOKUP(Table2[[#This Row],[Rateizzazione]],TIPI_RATEIZZAZIONI,2,FALSE) &gt;=1,  IF(Table2[[#This Row],[Data attivazione]] = "","-",MONTH(Table2[[#This Row],[Data attivazione]])),"-"),"-")</f>
        <v>10</v>
      </c>
      <c r="R10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0" s="67" t="s">
        <v>2</v>
      </c>
      <c r="V1020" s="62"/>
      <c r="W1020" s="64">
        <v>42666</v>
      </c>
      <c r="X1020" s="29">
        <f>DATE(YEAR(Table2[[#This Row],[Data attivazione]])+VLOOKUP(Table2[[#This Row],[Durata]],VALORE_DURATA,2,FALSE),MONTH(Table2[[#This Row],[Data attivazione]]),DAY(Table2[[#This Row],[Data attivazione]]))</f>
        <v>43031</v>
      </c>
      <c r="Y1020" s="65"/>
      <c r="Z1020" s="61"/>
      <c r="AA1020" s="64" t="s">
        <v>85</v>
      </c>
      <c r="AB1020" s="29" t="str">
        <f>IF(Table2[[#This Row],[Data ultimo versamento temp]]=0/1/1900,"-",Table2[[#This Row],[Data ultimo versamento temp]])</f>
        <v>-</v>
      </c>
      <c r="AC1020" s="29">
        <f t="array" ref="AC1020">MAX(IF(TableVersamenti[Polizza]=Table2[[#This Row],[Polizza]],TableVersamenti[Data prevista versamento],"-"))</f>
        <v>0</v>
      </c>
      <c r="AD1020" s="62"/>
      <c r="AE1020" s="106">
        <f>DATE(YEAR(Table2[[#This Row],[Data ultimo pagamento]]),MONTH(Table2[[#This Row],[Data ultimo pagamento]]), 1)</f>
        <v>42826</v>
      </c>
      <c r="AF1020" s="106">
        <f>DATE(YEAR(Table2[[#This Row],[Data prossima scadenza]]),MONTH(Table2[[#This Row],[Data prossima scadenza]]), 1)</f>
        <v>43009</v>
      </c>
      <c r="AG1020" s="33">
        <f>IFERROR(Table2[[#This Row],[Importo annuale]]*VLOOKUP(Table2[[#This Row],[Ramo]],RAMI_POLIZZA,2,FALSE),0)</f>
        <v>36.815999999999995</v>
      </c>
      <c r="AH1020" s="65" t="s">
        <v>113</v>
      </c>
      <c r="AI1020" s="63" t="str">
        <f>IFERROR(VLOOKUP(Table2[[#This Row],[Contraente]],Table1[[Nome/Ragione sociale]:[Checkbox selezionato]],2,FALSE),"-")</f>
        <v>SAN GENESIO ED UNITI</v>
      </c>
      <c r="AJ1020" s="63">
        <f>IFERROR(VLOOKUP(Table2[[#This Row],[Contraente]],Table1[[Nome/Ragione sociale]:[Checkbox selezionato]],3,FALSE),"-")</f>
        <v>330464059</v>
      </c>
      <c r="AK1020" s="63">
        <f>IFERROR(VLOOKUP(Table2[[#This Row],[Contraente]],Table1[[Nome/Ragione sociale]:[Checkbox selezionato]],4,FALSE),"-")</f>
        <v>3351022443</v>
      </c>
      <c r="AL1020" s="63" t="str">
        <f>IFERROR(VLOOKUP(Table2[[#This Row],[Contraente]],Table1[[Nome/Ragione sociale]:[Checkbox selezionato]],5,FALSE),"-")</f>
        <v>SUOCERA RASIM</v>
      </c>
      <c r="AM1020" s="62">
        <f>IFERROR(VLOOKUP(Table2[[#This Row],[Contraente]],Table1[[Nome/Ragione sociale]:[Checkbox selezionato]],6,FALSE),"-")</f>
        <v>16365</v>
      </c>
      <c r="AN1020" s="63" t="str">
        <f>IFERROR(VLOOKUP(Table2[[#This Row],[Contraente]],Table1[[Nome/Ragione sociale]:[Checkbox selezionato]],7,FALSE),"-")</f>
        <v>papies@libero.it</v>
      </c>
      <c r="AO1020" s="63">
        <f>IFERROR(VLOOKUP(Table2[[#This Row],[Contraente]],Table1[[Nome/Ragione sociale]:[Checkbox selezionato]],8,FALSE),"-")</f>
        <v>0</v>
      </c>
      <c r="AP1020" s="63">
        <f>IFERROR(VLOOKUP(Table2[[#This Row],[Contraente]],Table1[[Nome/Ragione sociale]:[Checkbox selezionato]],10,FALSE),"-")</f>
        <v>330464059</v>
      </c>
      <c r="AQ1020" s="63" t="str">
        <f>IFERROR(VLOOKUP(Table2[[#This Row],[Contraente]],Table1[[Nome/Ragione sociale]:[Checkbox selezionato]],11,FALSE),"-")</f>
        <v>SI</v>
      </c>
      <c r="AR1020" s="63" t="str">
        <f>IFERROR(VLOOKUP(Table2[[#This Row],[Contraente]],Table1[[Nome/Ragione sociale]:[Checkbox selezionato]],12,FALSE),"-")</f>
        <v>SI</v>
      </c>
    </row>
    <row r="1021" spans="1:44" ht="30" hidden="1" customHeight="1" x14ac:dyDescent="0.25">
      <c r="A1021" s="60" t="str">
        <f>UPPER(LEFT(Table2[[#This Row],[Contraente]],1))</f>
        <v>S</v>
      </c>
      <c r="B1021" s="60" t="s">
        <v>1634</v>
      </c>
      <c r="C1021" s="81" t="s">
        <v>1011</v>
      </c>
      <c r="D1021" s="81" t="s">
        <v>37</v>
      </c>
      <c r="E1021" s="86">
        <v>106193892</v>
      </c>
      <c r="F1021" s="64">
        <v>42678</v>
      </c>
      <c r="G1021" s="64">
        <f>IFERROR(CALCOLASCADENZA(Table2[[#This Row],[Data attivazione]],Table2[[#This Row],[Rateizzazione]],Table2[[#This Row],[Data ultimo pagamento]],Table2[[#This Row],[Data prossima scadenza manuale]]),"-")</f>
        <v>43052</v>
      </c>
      <c r="H1021" s="67" t="s">
        <v>31</v>
      </c>
      <c r="I1021" s="67" t="s">
        <v>1574</v>
      </c>
      <c r="J1021" s="33">
        <f>IFERROR(Table2[[#This Row],[Importo annuale]]/(12/VLOOKUP(Table2[[#This Row],[Rateizzazione]],TIPI_RATEIZZAZIONI,2,FALSE)),"-")</f>
        <v>440</v>
      </c>
      <c r="K1021" s="88"/>
      <c r="L1021" s="88">
        <v>440</v>
      </c>
      <c r="M1021" s="67" t="s">
        <v>43</v>
      </c>
      <c r="N1021" s="67" t="s">
        <v>52</v>
      </c>
      <c r="O1021" s="27" t="s">
        <v>1631</v>
      </c>
      <c r="P1021" s="33" t="s">
        <v>23</v>
      </c>
      <c r="Q1021" s="60">
        <f>IFERROR(IF(12 / VLOOKUP(Table2[[#This Row],[Rateizzazione]],TIPI_RATEIZZAZIONI,2,FALSE) &gt;=1,  IF(Table2[[#This Row],[Data attivazione]] = "","-",MONTH(Table2[[#This Row],[Data attivazione]])),"-"),"-")</f>
        <v>11</v>
      </c>
      <c r="R10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1" s="67" t="s">
        <v>2</v>
      </c>
      <c r="V1021" s="62"/>
      <c r="W1021" s="64">
        <v>42687</v>
      </c>
      <c r="X1021" s="29">
        <f>DATE(YEAR(Table2[[#This Row],[Data attivazione]])+VLOOKUP(Table2[[#This Row],[Durata]],VALORE_DURATA,2,FALSE),MONTH(Table2[[#This Row],[Data attivazione]]),DAY(Table2[[#This Row],[Data attivazione]]))</f>
        <v>43052</v>
      </c>
      <c r="Y1021" s="65"/>
      <c r="Z1021" s="61"/>
      <c r="AA1021" s="64" t="s">
        <v>85</v>
      </c>
      <c r="AB1021" s="29" t="str">
        <f>IF(Table2[[#This Row],[Data ultimo versamento temp]]=0/1/1900,"-",Table2[[#This Row],[Data ultimo versamento temp]])</f>
        <v>-</v>
      </c>
      <c r="AC1021" s="29">
        <f t="array" ref="AC1021">MAX(IF(TableVersamenti[Polizza]=Table2[[#This Row],[Polizza]],TableVersamenti[Data prevista versamento],"-"))</f>
        <v>0</v>
      </c>
      <c r="AD1021" s="62"/>
      <c r="AE1021" s="106">
        <f>DATE(YEAR(Table2[[#This Row],[Data ultimo pagamento]]),MONTH(Table2[[#This Row],[Data ultimo pagamento]]), 1)</f>
        <v>42675</v>
      </c>
      <c r="AF1021" s="106">
        <f>DATE(YEAR(Table2[[#This Row],[Data prossima scadenza]]),MONTH(Table2[[#This Row],[Data prossima scadenza]]), 1)</f>
        <v>43040</v>
      </c>
      <c r="AG1021" s="33">
        <f>IFERROR(Table2[[#This Row],[Importo annuale]]*VLOOKUP(Table2[[#This Row],[Ramo]],RAMI_POLIZZA,2,FALSE),0)</f>
        <v>22.88</v>
      </c>
      <c r="AH1021" s="65" t="s">
        <v>113</v>
      </c>
      <c r="AI1021" s="63" t="str">
        <f>IFERROR(VLOOKUP(Table2[[#This Row],[Contraente]],Table1[[Nome/Ragione sociale]:[Checkbox selezionato]],2,FALSE),"-")</f>
        <v>ALBUZZANO</v>
      </c>
      <c r="AJ1021" s="63">
        <f>IFERROR(VLOOKUP(Table2[[#This Row],[Contraente]],Table1[[Nome/Ragione sociale]:[Checkbox selezionato]],3,FALSE),"-")</f>
        <v>3246184290</v>
      </c>
      <c r="AK1021" s="63">
        <f>IFERROR(VLOOKUP(Table2[[#This Row],[Contraente]],Table1[[Nome/Ragione sociale]:[Checkbox selezionato]],4,FALSE),"-")</f>
        <v>3428431807</v>
      </c>
      <c r="AL1021" s="63">
        <f>IFERROR(VLOOKUP(Table2[[#This Row],[Contraente]],Table1[[Nome/Ragione sociale]:[Checkbox selezionato]],5,FALSE),"-")</f>
        <v>0</v>
      </c>
      <c r="AM1021" s="62">
        <f>IFERROR(VLOOKUP(Table2[[#This Row],[Contraente]],Table1[[Nome/Ragione sociale]:[Checkbox selezionato]],6,FALSE),"-")</f>
        <v>12506</v>
      </c>
      <c r="AN1021" s="63" t="str">
        <f>IFERROR(VLOOKUP(Table2[[#This Row],[Contraente]],Table1[[Nome/Ragione sociale]:[Checkbox selezionato]],7,FALSE),"-")</f>
        <v>papies@libero.it</v>
      </c>
      <c r="AO1021" s="63">
        <f>IFERROR(VLOOKUP(Table2[[#This Row],[Contraente]],Table1[[Nome/Ragione sociale]:[Checkbox selezionato]],8,FALSE),"-")</f>
        <v>0</v>
      </c>
      <c r="AP1021" s="63">
        <f>IFERROR(VLOOKUP(Table2[[#This Row],[Contraente]],Table1[[Nome/Ragione sociale]:[Checkbox selezionato]],10,FALSE),"-")</f>
        <v>3246184290</v>
      </c>
      <c r="AQ1021" s="63" t="str">
        <f>IFERROR(VLOOKUP(Table2[[#This Row],[Contraente]],Table1[[Nome/Ragione sociale]:[Checkbox selezionato]],11,FALSE),"-")</f>
        <v>SI</v>
      </c>
      <c r="AR1021" s="63" t="str">
        <f>IFERROR(VLOOKUP(Table2[[#This Row],[Contraente]],Table1[[Nome/Ragione sociale]:[Checkbox selezionato]],12,FALSE),"-")</f>
        <v>SI</v>
      </c>
    </row>
    <row r="1022" spans="1:44" ht="30" hidden="1" customHeight="1" x14ac:dyDescent="0.25">
      <c r="A1022" s="60" t="str">
        <f>UPPER(LEFT(Table2[[#This Row],[Contraente]],1))</f>
        <v>S</v>
      </c>
      <c r="B1022" s="60" t="s">
        <v>1634</v>
      </c>
      <c r="C1022" s="81" t="s">
        <v>1014</v>
      </c>
      <c r="D1022" s="81" t="s">
        <v>37</v>
      </c>
      <c r="E1022" s="86">
        <v>102687606</v>
      </c>
      <c r="F1022" s="64">
        <v>42202</v>
      </c>
      <c r="G1022" s="64">
        <f>IFERROR(CALCOLASCADENZA(Table2[[#This Row],[Data attivazione]],Table2[[#This Row],[Rateizzazione]],Table2[[#This Row],[Data ultimo pagamento]],Table2[[#This Row],[Data prossima scadenza manuale]]),"-")</f>
        <v>693962</v>
      </c>
      <c r="H1022" s="67" t="s">
        <v>30</v>
      </c>
      <c r="I1022" s="67" t="s">
        <v>113</v>
      </c>
      <c r="J1022" s="33">
        <f>IFERROR(Table2[[#This Row],[Importo annuale]]/(12/VLOOKUP(Table2[[#This Row],[Rateizzazione]],TIPI_RATEIZZAZIONI,2,FALSE)),"-")</f>
        <v>83</v>
      </c>
      <c r="K1022" s="88"/>
      <c r="L1022" s="88">
        <v>83</v>
      </c>
      <c r="M1022" s="67" t="s">
        <v>43</v>
      </c>
      <c r="N1022" s="67" t="s">
        <v>51</v>
      </c>
      <c r="O1022" s="27" t="s">
        <v>1631</v>
      </c>
      <c r="P1022" s="33" t="s">
        <v>23</v>
      </c>
      <c r="Q1022" s="60">
        <f>IFERROR(IF(12 / VLOOKUP(Table2[[#This Row],[Rateizzazione]],TIPI_RATEIZZAZIONI,2,FALSE) &gt;=1,  IF(Table2[[#This Row],[Data attivazione]] = "","-",MONTH(Table2[[#This Row],[Data attivazione]])),"-"),"-")</f>
        <v>12</v>
      </c>
      <c r="R10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2" s="67" t="s">
        <v>2</v>
      </c>
      <c r="V1022" s="62"/>
      <c r="W1022" s="64">
        <v>693597</v>
      </c>
      <c r="X1022" s="29">
        <f>DATE(YEAR(Table2[[#This Row],[Data attivazione]])+VLOOKUP(Table2[[#This Row],[Durata]],VALORE_DURATA,2,FALSE),MONTH(Table2[[#This Row],[Data attivazione]]),DAY(Table2[[#This Row],[Data attivazione]]))</f>
        <v>693962</v>
      </c>
      <c r="Y1022" s="65"/>
      <c r="Z1022" s="61"/>
      <c r="AA1022" s="64" t="s">
        <v>88</v>
      </c>
      <c r="AB1022" s="29" t="str">
        <f>IF(Table2[[#This Row],[Data ultimo versamento temp]]=0/1/1900,"-",Table2[[#This Row],[Data ultimo versamento temp]])</f>
        <v>-</v>
      </c>
      <c r="AC1022" s="29">
        <f t="array" ref="AC1022">MAX(IF(TableVersamenti[Polizza]=Table2[[#This Row],[Polizza]],TableVersamenti[Data prevista versamento],"-"))</f>
        <v>0</v>
      </c>
      <c r="AD1022" s="62"/>
      <c r="AE1022" s="106">
        <f>DATE(YEAR(Table2[[#This Row],[Data ultimo pagamento]]),MONTH(Table2[[#This Row],[Data ultimo pagamento]]), 1)</f>
        <v>42186</v>
      </c>
      <c r="AF1022" s="106">
        <f>DATE(YEAR(Table2[[#This Row],[Data prossima scadenza]]),MONTH(Table2[[#This Row],[Data prossima scadenza]]), 1)</f>
        <v>693932</v>
      </c>
      <c r="AG1022" s="33">
        <f>IFERROR(Table2[[#This Row],[Importo annuale]]*VLOOKUP(Table2[[#This Row],[Ramo]],RAMI_POLIZZA,2,FALSE),0)</f>
        <v>9.5449999999999999</v>
      </c>
      <c r="AH1022" s="65" t="s">
        <v>113</v>
      </c>
      <c r="AI1022" s="63">
        <f>IFERROR(VLOOKUP(Table2[[#This Row],[Contraente]],Table1[[Nome/Ragione sociale]:[Checkbox selezionato]],2,FALSE),"-")</f>
        <v>0</v>
      </c>
      <c r="AJ1022" s="63">
        <f>IFERROR(VLOOKUP(Table2[[#This Row],[Contraente]],Table1[[Nome/Ragione sociale]:[Checkbox selezionato]],3,FALSE),"-")</f>
        <v>0</v>
      </c>
      <c r="AK1022" s="63" t="str">
        <f>IFERROR(VLOOKUP(Table2[[#This Row],[Contraente]],Table1[[Nome/Ragione sociale]:[Checkbox selezionato]],4,FALSE),"-")</f>
        <v>.0523787233</v>
      </c>
      <c r="AL1022" s="63" t="str">
        <f>IFERROR(VLOOKUP(Table2[[#This Row],[Contraente]],Table1[[Nome/Ragione sociale]:[Checkbox selezionato]],5,FALSE),"-")</f>
        <v>GIANNINO</v>
      </c>
      <c r="AM1022" s="62">
        <f>IFERROR(VLOOKUP(Table2[[#This Row],[Contraente]],Table1[[Nome/Ragione sociale]:[Checkbox selezionato]],6,FALSE),"-")</f>
        <v>0</v>
      </c>
      <c r="AN1022" s="63" t="str">
        <f>IFERROR(VLOOKUP(Table2[[#This Row],[Contraente]],Table1[[Nome/Ragione sociale]:[Checkbox selezionato]],7,FALSE),"-")</f>
        <v>papies@email.it</v>
      </c>
      <c r="AO1022" s="63">
        <f>IFERROR(VLOOKUP(Table2[[#This Row],[Contraente]],Table1[[Nome/Ragione sociale]:[Checkbox selezionato]],8,FALSE),"-")</f>
        <v>0</v>
      </c>
      <c r="AP1022" s="63">
        <f>IFERROR(VLOOKUP(Table2[[#This Row],[Contraente]],Table1[[Nome/Ragione sociale]:[Checkbox selezionato]],10,FALSE),"-")</f>
        <v>0</v>
      </c>
      <c r="AQ1022" s="63" t="str">
        <f>IFERROR(VLOOKUP(Table2[[#This Row],[Contraente]],Table1[[Nome/Ragione sociale]:[Checkbox selezionato]],11,FALSE),"-")</f>
        <v>SI</v>
      </c>
      <c r="AR1022" s="63" t="str">
        <f>IFERROR(VLOOKUP(Table2[[#This Row],[Contraente]],Table1[[Nome/Ragione sociale]:[Checkbox selezionato]],12,FALSE),"-")</f>
        <v>SI</v>
      </c>
    </row>
    <row r="1023" spans="1:44" ht="30" hidden="1" customHeight="1" x14ac:dyDescent="0.25">
      <c r="A1023" s="60" t="str">
        <f>UPPER(LEFT(Table2[[#This Row],[Contraente]],1))</f>
        <v>S</v>
      </c>
      <c r="B1023" s="60" t="s">
        <v>1634</v>
      </c>
      <c r="C1023" s="81" t="s">
        <v>189</v>
      </c>
      <c r="D1023" s="81" t="s">
        <v>37</v>
      </c>
      <c r="E1023" s="86">
        <v>106385079</v>
      </c>
      <c r="F1023" s="64">
        <v>42934</v>
      </c>
      <c r="G1023" s="64">
        <f>IFERROR(CALCOLASCADENZA(Table2[[#This Row],[Data attivazione]],Table2[[#This Row],[Rateizzazione]],Table2[[#This Row],[Data ultimo pagamento]],Table2[[#This Row],[Data prossima scadenza manuale]]),"-")</f>
        <v>43103</v>
      </c>
      <c r="H1023" s="67" t="s">
        <v>31</v>
      </c>
      <c r="I1023" s="67" t="s">
        <v>1575</v>
      </c>
      <c r="J1023" s="33">
        <v>250.2</v>
      </c>
      <c r="K1023" s="88">
        <v>510.4</v>
      </c>
      <c r="L1023" s="88">
        <v>540.4</v>
      </c>
      <c r="M1023" s="67" t="s">
        <v>43</v>
      </c>
      <c r="N1023" s="67" t="s">
        <v>52</v>
      </c>
      <c r="O1023" s="27" t="s">
        <v>1631</v>
      </c>
      <c r="P1023" s="33" t="s">
        <v>22</v>
      </c>
      <c r="Q1023" s="60">
        <f>IFERROR(IF(12 / VLOOKUP(Table2[[#This Row],[Rateizzazione]],TIPI_RATEIZZAZIONI,2,FALSE) &gt;=1,  IF(Table2[[#This Row],[Data attivazione]] = "","-",MONTH(Table2[[#This Row],[Data attivazione]])),"-"),"-")</f>
        <v>1</v>
      </c>
      <c r="R10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3" s="67" t="s">
        <v>133</v>
      </c>
      <c r="V1023" s="62"/>
      <c r="W1023" s="64">
        <v>42738</v>
      </c>
      <c r="X1023" s="29">
        <f>DATE(YEAR(Table2[[#This Row],[Data attivazione]])+VLOOKUP(Table2[[#This Row],[Durata]],VALORE_DURATA,2,FALSE),MONTH(Table2[[#This Row],[Data attivazione]]),DAY(Table2[[#This Row],[Data attivazione]]))</f>
        <v>43103</v>
      </c>
      <c r="Y1023" s="65"/>
      <c r="Z1023" s="61"/>
      <c r="AA1023" s="64" t="s">
        <v>85</v>
      </c>
      <c r="AB1023" s="29">
        <f>IF(Table2[[#This Row],[Data ultimo versamento temp]]=0/1/1900,"-",Table2[[#This Row],[Data ultimo versamento temp]])</f>
        <v>42938</v>
      </c>
      <c r="AC1023" s="29">
        <f t="array" ref="AC1023">MAX(IF(TableVersamenti[Polizza]=Table2[[#This Row],[Polizza]],TableVersamenti[Data prevista versamento],"-"))</f>
        <v>42938</v>
      </c>
      <c r="AD1023" s="62"/>
      <c r="AE1023" s="106">
        <f>DATE(YEAR(Table2[[#This Row],[Data ultimo pagamento]]),MONTH(Table2[[#This Row],[Data ultimo pagamento]]), 1)</f>
        <v>42917</v>
      </c>
      <c r="AF1023" s="106">
        <f>DATE(YEAR(Table2[[#This Row],[Data prossima scadenza]]),MONTH(Table2[[#This Row],[Data prossima scadenza]]), 1)</f>
        <v>43101</v>
      </c>
      <c r="AG1023" s="33">
        <f>IFERROR(Table2[[#This Row],[Importo annuale]]*VLOOKUP(Table2[[#This Row],[Ramo]],RAMI_POLIZZA,2,FALSE),0)</f>
        <v>28.100799999999996</v>
      </c>
      <c r="AH1023" s="65" t="s">
        <v>113</v>
      </c>
      <c r="AI1023" s="63" t="str">
        <f>IFERROR(VLOOKUP(Table2[[#This Row],[Contraente]],Table1[[Nome/Ragione sociale]:[Checkbox selezionato]],2,FALSE),"-")</f>
        <v>ZIANO PIACENTINO</v>
      </c>
      <c r="AJ1023" s="63">
        <f>IFERROR(VLOOKUP(Table2[[#This Row],[Contraente]],Table1[[Nome/Ragione sociale]:[Checkbox selezionato]],3,FALSE),"-")</f>
        <v>3292479022</v>
      </c>
      <c r="AK1023" s="63">
        <f>IFERROR(VLOOKUP(Table2[[#This Row],[Contraente]],Table1[[Nome/Ragione sociale]:[Checkbox selezionato]],4,FALSE),"-")</f>
        <v>0</v>
      </c>
      <c r="AL1023" s="63" t="str">
        <f>IFERROR(VLOOKUP(Table2[[#This Row],[Contraente]],Table1[[Nome/Ragione sociale]:[Checkbox selezionato]],5,FALSE),"-")</f>
        <v>SIMION (MARITO)</v>
      </c>
      <c r="AM1023" s="62" t="str">
        <f>IFERROR(VLOOKUP(Table2[[#This Row],[Contraente]],Table1[[Nome/Ragione sociale]:[Checkbox selezionato]],6,FALSE),"-")</f>
        <v>-</v>
      </c>
      <c r="AN1023" s="63" t="str">
        <f>IFERROR(VLOOKUP(Table2[[#This Row],[Contraente]],Table1[[Nome/Ragione sociale]:[Checkbox selezionato]],7,FALSE),"-")</f>
        <v>papies@libero.it</v>
      </c>
      <c r="AO1023" s="63">
        <f>IFERROR(VLOOKUP(Table2[[#This Row],[Contraente]],Table1[[Nome/Ragione sociale]:[Checkbox selezionato]],8,FALSE),"-")</f>
        <v>0</v>
      </c>
      <c r="AP1023" s="63">
        <f>IFERROR(VLOOKUP(Table2[[#This Row],[Contraente]],Table1[[Nome/Ragione sociale]:[Checkbox selezionato]],10,FALSE),"-")</f>
        <v>3292479022</v>
      </c>
      <c r="AQ1023" s="63" t="str">
        <f>IFERROR(VLOOKUP(Table2[[#This Row],[Contraente]],Table1[[Nome/Ragione sociale]:[Checkbox selezionato]],11,FALSE),"-")</f>
        <v>SI</v>
      </c>
      <c r="AR1023" s="63" t="str">
        <f>IFERROR(VLOOKUP(Table2[[#This Row],[Contraente]],Table1[[Nome/Ragione sociale]:[Checkbox selezionato]],12,FALSE),"-")</f>
        <v>SI</v>
      </c>
    </row>
    <row r="1024" spans="1:44" ht="30" hidden="1" customHeight="1" x14ac:dyDescent="0.25">
      <c r="A1024" s="60" t="str">
        <f>UPPER(LEFT(Table2[[#This Row],[Contraente]],1))</f>
        <v>S</v>
      </c>
      <c r="B1024" s="60" t="s">
        <v>1634</v>
      </c>
      <c r="C1024" s="81" t="s">
        <v>189</v>
      </c>
      <c r="D1024" s="81" t="s">
        <v>37</v>
      </c>
      <c r="E1024" s="86">
        <v>106268212</v>
      </c>
      <c r="F1024" s="64">
        <v>42899</v>
      </c>
      <c r="G1024" s="64">
        <f>IFERROR(CALCOLASCADENZA(Table2[[#This Row],[Data attivazione]],Table2[[#This Row],[Rateizzazione]],Table2[[#This Row],[Data ultimo pagamento]],Table2[[#This Row],[Data prossima scadenza manuale]]),"-")</f>
        <v>43069</v>
      </c>
      <c r="H1024" s="67" t="s">
        <v>31</v>
      </c>
      <c r="I1024" s="67" t="s">
        <v>1576</v>
      </c>
      <c r="J1024" s="33">
        <f>IFERROR(Table2[[#This Row],[Importo annuale]]/(12/VLOOKUP(Table2[[#This Row],[Rateizzazione]],TIPI_RATEIZZAZIONI,2,FALSE)),"-")</f>
        <v>165</v>
      </c>
      <c r="K1024" s="88">
        <v>165</v>
      </c>
      <c r="L1024" s="88">
        <v>330</v>
      </c>
      <c r="M1024" s="67" t="s">
        <v>43</v>
      </c>
      <c r="N1024" s="67" t="s">
        <v>51</v>
      </c>
      <c r="O1024" s="27" t="s">
        <v>1631</v>
      </c>
      <c r="P1024" s="33" t="s">
        <v>22</v>
      </c>
      <c r="Q1024" s="60">
        <f>IFERROR(IF(12 / VLOOKUP(Table2[[#This Row],[Rateizzazione]],TIPI_RATEIZZAZIONI,2,FALSE) &gt;=1,  IF(Table2[[#This Row],[Data attivazione]] = "","-",MONTH(Table2[[#This Row],[Data attivazione]])),"-"),"-")</f>
        <v>11</v>
      </c>
      <c r="R10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0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4" s="67" t="s">
        <v>133</v>
      </c>
      <c r="V1024" s="62"/>
      <c r="W1024" s="64">
        <v>42704</v>
      </c>
      <c r="X1024" s="29">
        <f>DATE(YEAR(Table2[[#This Row],[Data attivazione]])+VLOOKUP(Table2[[#This Row],[Durata]],VALORE_DURATA,2,FALSE),MONTH(Table2[[#This Row],[Data attivazione]]),DAY(Table2[[#This Row],[Data attivazione]]))</f>
        <v>43069</v>
      </c>
      <c r="Y1024" s="65"/>
      <c r="Z1024" s="61"/>
      <c r="AA1024" s="64" t="s">
        <v>85</v>
      </c>
      <c r="AB1024" s="29" t="str">
        <f>IF(Table2[[#This Row],[Data ultimo versamento temp]]=0/1/1900,"-",Table2[[#This Row],[Data ultimo versamento temp]])</f>
        <v>-</v>
      </c>
      <c r="AC1024" s="29">
        <f t="array" ref="AC1024">MAX(IF(TableVersamenti[Polizza]=Table2[[#This Row],[Polizza]],TableVersamenti[Data prevista versamento],"-"))</f>
        <v>0</v>
      </c>
      <c r="AD1024" s="62"/>
      <c r="AE1024" s="106">
        <f>DATE(YEAR(Table2[[#This Row],[Data ultimo pagamento]]),MONTH(Table2[[#This Row],[Data ultimo pagamento]]), 1)</f>
        <v>42887</v>
      </c>
      <c r="AF1024" s="106">
        <f>DATE(YEAR(Table2[[#This Row],[Data prossima scadenza]]),MONTH(Table2[[#This Row],[Data prossima scadenza]]), 1)</f>
        <v>43040</v>
      </c>
      <c r="AG1024" s="33">
        <f>IFERROR(Table2[[#This Row],[Importo annuale]]*VLOOKUP(Table2[[#This Row],[Ramo]],RAMI_POLIZZA,2,FALSE),0)</f>
        <v>17.16</v>
      </c>
      <c r="AH1024" s="65" t="s">
        <v>113</v>
      </c>
      <c r="AI1024" s="63" t="str">
        <f>IFERROR(VLOOKUP(Table2[[#This Row],[Contraente]],Table1[[Nome/Ragione sociale]:[Checkbox selezionato]],2,FALSE),"-")</f>
        <v>ZIANO PIACENTINO</v>
      </c>
      <c r="AJ1024" s="63">
        <f>IFERROR(VLOOKUP(Table2[[#This Row],[Contraente]],Table1[[Nome/Ragione sociale]:[Checkbox selezionato]],3,FALSE),"-")</f>
        <v>3292479022</v>
      </c>
      <c r="AK1024" s="63">
        <f>IFERROR(VLOOKUP(Table2[[#This Row],[Contraente]],Table1[[Nome/Ragione sociale]:[Checkbox selezionato]],4,FALSE),"-")</f>
        <v>0</v>
      </c>
      <c r="AL1024" s="63" t="str">
        <f>IFERROR(VLOOKUP(Table2[[#This Row],[Contraente]],Table1[[Nome/Ragione sociale]:[Checkbox selezionato]],5,FALSE),"-")</f>
        <v>SIMION (MARITO)</v>
      </c>
      <c r="AM1024" s="62" t="str">
        <f>IFERROR(VLOOKUP(Table2[[#This Row],[Contraente]],Table1[[Nome/Ragione sociale]:[Checkbox selezionato]],6,FALSE),"-")</f>
        <v>-</v>
      </c>
      <c r="AN1024" s="63" t="str">
        <f>IFERROR(VLOOKUP(Table2[[#This Row],[Contraente]],Table1[[Nome/Ragione sociale]:[Checkbox selezionato]],7,FALSE),"-")</f>
        <v>papies@libero.it</v>
      </c>
      <c r="AO1024" s="63">
        <f>IFERROR(VLOOKUP(Table2[[#This Row],[Contraente]],Table1[[Nome/Ragione sociale]:[Checkbox selezionato]],8,FALSE),"-")</f>
        <v>0</v>
      </c>
      <c r="AP1024" s="63">
        <f>IFERROR(VLOOKUP(Table2[[#This Row],[Contraente]],Table1[[Nome/Ragione sociale]:[Checkbox selezionato]],10,FALSE),"-")</f>
        <v>3292479022</v>
      </c>
      <c r="AQ1024" s="63" t="str">
        <f>IFERROR(VLOOKUP(Table2[[#This Row],[Contraente]],Table1[[Nome/Ragione sociale]:[Checkbox selezionato]],11,FALSE),"-")</f>
        <v>SI</v>
      </c>
      <c r="AR1024" s="63" t="str">
        <f>IFERROR(VLOOKUP(Table2[[#This Row],[Contraente]],Table1[[Nome/Ragione sociale]:[Checkbox selezionato]],12,FALSE),"-")</f>
        <v>SI</v>
      </c>
    </row>
    <row r="1025" spans="1:44" ht="30" hidden="1" customHeight="1" x14ac:dyDescent="0.25">
      <c r="A1025" s="60" t="str">
        <f>UPPER(LEFT(Table2[[#This Row],[Contraente]],1))</f>
        <v>S</v>
      </c>
      <c r="B1025" s="60" t="s">
        <v>1634</v>
      </c>
      <c r="C1025" s="81" t="s">
        <v>1012</v>
      </c>
      <c r="D1025" s="81" t="s">
        <v>37</v>
      </c>
      <c r="E1025" s="86">
        <v>104725171</v>
      </c>
      <c r="F1025" s="64">
        <v>42587</v>
      </c>
      <c r="G1025" s="64">
        <f>IFERROR(CALCOLASCADENZA(Table2[[#This Row],[Data attivazione]],Table2[[#This Row],[Rateizzazione]],Table2[[#This Row],[Data ultimo pagamento]],Table2[[#This Row],[Data prossima scadenza manuale]]),"-")</f>
        <v>42958</v>
      </c>
      <c r="H1025" s="67" t="s">
        <v>30</v>
      </c>
      <c r="I1025" s="67" t="s">
        <v>113</v>
      </c>
      <c r="J1025" s="33">
        <f>IFERROR(Table2[[#This Row],[Importo annuale]]/(12/VLOOKUP(Table2[[#This Row],[Rateizzazione]],TIPI_RATEIZZAZIONI,2,FALSE)),"-")</f>
        <v>393</v>
      </c>
      <c r="K1025" s="88"/>
      <c r="L1025" s="88">
        <v>393</v>
      </c>
      <c r="M1025" s="67" t="s">
        <v>44</v>
      </c>
      <c r="N1025" s="67" t="s">
        <v>51</v>
      </c>
      <c r="O1025" s="27" t="s">
        <v>1631</v>
      </c>
      <c r="P1025" s="33" t="s">
        <v>23</v>
      </c>
      <c r="Q1025" s="60">
        <f>IFERROR(IF(12 / VLOOKUP(Table2[[#This Row],[Rateizzazione]],TIPI_RATEIZZAZIONI,2,FALSE) &gt;=1,  IF(Table2[[#This Row],[Data attivazione]] = "","-",MONTH(Table2[[#This Row],[Data attivazione]])),"-"),"-")</f>
        <v>8</v>
      </c>
      <c r="R10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5" s="67" t="s">
        <v>2</v>
      </c>
      <c r="V1025" s="62"/>
      <c r="W1025" s="64">
        <v>42593</v>
      </c>
      <c r="X1025" s="29">
        <f>DATE(YEAR(Table2[[#This Row],[Data attivazione]])+VLOOKUP(Table2[[#This Row],[Durata]],VALORE_DURATA,2,FALSE),MONTH(Table2[[#This Row],[Data attivazione]]),DAY(Table2[[#This Row],[Data attivazione]]))</f>
        <v>42958</v>
      </c>
      <c r="Y1025" s="65"/>
      <c r="Z1025" s="61"/>
      <c r="AA1025" s="64" t="s">
        <v>85</v>
      </c>
      <c r="AB1025" s="29" t="str">
        <f>IF(Table2[[#This Row],[Data ultimo versamento temp]]=0/1/1900,"-",Table2[[#This Row],[Data ultimo versamento temp]])</f>
        <v>-</v>
      </c>
      <c r="AC1025" s="29">
        <f t="array" ref="AC1025">MAX(IF(TableVersamenti[Polizza]=Table2[[#This Row],[Polizza]],TableVersamenti[Data prevista versamento],"-"))</f>
        <v>0</v>
      </c>
      <c r="AD1025" s="62"/>
      <c r="AE1025" s="106">
        <f>DATE(YEAR(Table2[[#This Row],[Data ultimo pagamento]]),MONTH(Table2[[#This Row],[Data ultimo pagamento]]), 1)</f>
        <v>42583</v>
      </c>
      <c r="AF1025" s="106">
        <f>DATE(YEAR(Table2[[#This Row],[Data prossima scadenza]]),MONTH(Table2[[#This Row],[Data prossima scadenza]]), 1)</f>
        <v>42948</v>
      </c>
      <c r="AG1025" s="33">
        <f>IFERROR(Table2[[#This Row],[Importo annuale]]*VLOOKUP(Table2[[#This Row],[Ramo]],RAMI_POLIZZA,2,FALSE),0)</f>
        <v>45.195</v>
      </c>
      <c r="AH1025" s="65" t="s">
        <v>113</v>
      </c>
      <c r="AI1025" s="63" t="str">
        <f>IFERROR(VLOOKUP(Table2[[#This Row],[Contraente]],Table1[[Nome/Ragione sociale]:[Checkbox selezionato]],2,FALSE),"-")</f>
        <v>BORGO SAN SIRO</v>
      </c>
      <c r="AJ1025" s="63">
        <f>IFERROR(VLOOKUP(Table2[[#This Row],[Contraente]],Table1[[Nome/Ragione sociale]:[Checkbox selezionato]],3,FALSE),"-")</f>
        <v>3470522453</v>
      </c>
      <c r="AK1025" s="63">
        <f>IFERROR(VLOOKUP(Table2[[#This Row],[Contraente]],Table1[[Nome/Ragione sociale]:[Checkbox selezionato]],4,FALSE),"-")</f>
        <v>0</v>
      </c>
      <c r="AL1025" s="63" t="str">
        <f>IFERROR(VLOOKUP(Table2[[#This Row],[Contraente]],Table1[[Nome/Ragione sociale]:[Checkbox selezionato]],5,FALSE),"-")</f>
        <v>STEFANO</v>
      </c>
      <c r="AM1025" s="62">
        <f>IFERROR(VLOOKUP(Table2[[#This Row],[Contraente]],Table1[[Nome/Ragione sociale]:[Checkbox selezionato]],6,FALSE),"-")</f>
        <v>0</v>
      </c>
      <c r="AN1025" s="63" t="str">
        <f>IFERROR(VLOOKUP(Table2[[#This Row],[Contraente]],Table1[[Nome/Ragione sociale]:[Checkbox selezionato]],7,FALSE),"-")</f>
        <v>papies@libero.it</v>
      </c>
      <c r="AO1025" s="63">
        <f>IFERROR(VLOOKUP(Table2[[#This Row],[Contraente]],Table1[[Nome/Ragione sociale]:[Checkbox selezionato]],8,FALSE),"-")</f>
        <v>0</v>
      </c>
      <c r="AP1025" s="63">
        <f>IFERROR(VLOOKUP(Table2[[#This Row],[Contraente]],Table1[[Nome/Ragione sociale]:[Checkbox selezionato]],10,FALSE),"-")</f>
        <v>3470522453</v>
      </c>
      <c r="AQ1025" s="63" t="str">
        <f>IFERROR(VLOOKUP(Table2[[#This Row],[Contraente]],Table1[[Nome/Ragione sociale]:[Checkbox selezionato]],11,FALSE),"-")</f>
        <v>SI</v>
      </c>
      <c r="AR1025" s="63" t="str">
        <f>IFERROR(VLOOKUP(Table2[[#This Row],[Contraente]],Table1[[Nome/Ragione sociale]:[Checkbox selezionato]],12,FALSE),"-")</f>
        <v>SI</v>
      </c>
    </row>
    <row r="1026" spans="1:44" ht="30" hidden="1" customHeight="1" x14ac:dyDescent="0.25">
      <c r="A1026" s="60" t="str">
        <f>UPPER(LEFT(Table2[[#This Row],[Contraente]],1))</f>
        <v>S</v>
      </c>
      <c r="B1026" s="60" t="s">
        <v>1634</v>
      </c>
      <c r="C1026" s="81" t="s">
        <v>1017</v>
      </c>
      <c r="D1026" s="81" t="s">
        <v>37</v>
      </c>
      <c r="E1026" s="86">
        <v>104419943</v>
      </c>
      <c r="F1026" s="64">
        <v>42717</v>
      </c>
      <c r="G1026" s="64">
        <f>IFERROR(CALCOLASCADENZA(Table2[[#This Row],[Data attivazione]],Table2[[#This Row],[Rateizzazione]],Table2[[#This Row],[Data ultimo pagamento]],Table2[[#This Row],[Data prossima scadenza manuale]]),"-")</f>
        <v>42859</v>
      </c>
      <c r="H1026" s="67" t="s">
        <v>31</v>
      </c>
      <c r="I1026" s="67" t="s">
        <v>1577</v>
      </c>
      <c r="J1026" s="33">
        <f>IFERROR(Table2[[#This Row],[Importo annuale]]/(12/VLOOKUP(Table2[[#This Row],[Rateizzazione]],TIPI_RATEIZZAZIONI,2,FALSE)),"-")</f>
        <v>349</v>
      </c>
      <c r="K1026" s="88"/>
      <c r="L1026" s="88">
        <v>698</v>
      </c>
      <c r="M1026" s="67" t="s">
        <v>43</v>
      </c>
      <c r="N1026" s="67" t="s">
        <v>51</v>
      </c>
      <c r="O1026" s="27" t="s">
        <v>1631</v>
      </c>
      <c r="P1026" s="33" t="s">
        <v>22</v>
      </c>
      <c r="Q1026" s="60">
        <f>IFERROR(IF(12 / VLOOKUP(Table2[[#This Row],[Rateizzazione]],TIPI_RATEIZZAZIONI,2,FALSE) &gt;=1,  IF(Table2[[#This Row],[Data attivazione]] = "","-",MONTH(Table2[[#This Row],[Data attivazione]])),"-"),"-")</f>
        <v>5</v>
      </c>
      <c r="R10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6" s="67" t="s">
        <v>2</v>
      </c>
      <c r="V1026" s="62"/>
      <c r="W1026" s="64">
        <v>42494</v>
      </c>
      <c r="X1026" s="29">
        <f>DATE(YEAR(Table2[[#This Row],[Data attivazione]])+VLOOKUP(Table2[[#This Row],[Durata]],VALORE_DURATA,2,FALSE),MONTH(Table2[[#This Row],[Data attivazione]]),DAY(Table2[[#This Row],[Data attivazione]]))</f>
        <v>42859</v>
      </c>
      <c r="Y1026" s="65"/>
      <c r="Z1026" s="61"/>
      <c r="AA1026" s="64" t="s">
        <v>88</v>
      </c>
      <c r="AB1026" s="29" t="str">
        <f>IF(Table2[[#This Row],[Data ultimo versamento temp]]=0/1/1900,"-",Table2[[#This Row],[Data ultimo versamento temp]])</f>
        <v>-</v>
      </c>
      <c r="AC1026" s="29">
        <f t="array" ref="AC1026">MAX(IF(TableVersamenti[Polizza]=Table2[[#This Row],[Polizza]],TableVersamenti[Data prevista versamento],"-"))</f>
        <v>0</v>
      </c>
      <c r="AD1026" s="62"/>
      <c r="AE1026" s="106">
        <f>DATE(YEAR(Table2[[#This Row],[Data ultimo pagamento]]),MONTH(Table2[[#This Row],[Data ultimo pagamento]]), 1)</f>
        <v>42705</v>
      </c>
      <c r="AF1026" s="106">
        <f>DATE(YEAR(Table2[[#This Row],[Data prossima scadenza]]),MONTH(Table2[[#This Row],[Data prossima scadenza]]), 1)</f>
        <v>42856</v>
      </c>
      <c r="AG1026" s="33">
        <f>IFERROR(Table2[[#This Row],[Importo annuale]]*VLOOKUP(Table2[[#This Row],[Ramo]],RAMI_POLIZZA,2,FALSE),0)</f>
        <v>36.295999999999999</v>
      </c>
      <c r="AH1026" s="65" t="s">
        <v>113</v>
      </c>
      <c r="AI1026" s="63" t="str">
        <f>IFERROR(VLOOKUP(Table2[[#This Row],[Contraente]],Table1[[Nome/Ragione sociale]:[Checkbox selezionato]],2,FALSE),"-")</f>
        <v>ALBUZZANO</v>
      </c>
      <c r="AJ1026" s="63">
        <f>IFERROR(VLOOKUP(Table2[[#This Row],[Contraente]],Table1[[Nome/Ragione sociale]:[Checkbox selezionato]],3,FALSE),"-")</f>
        <v>3293473669</v>
      </c>
      <c r="AK1026" s="63">
        <f>IFERROR(VLOOKUP(Table2[[#This Row],[Contraente]],Table1[[Nome/Ragione sociale]:[Checkbox selezionato]],4,FALSE),"-")</f>
        <v>0</v>
      </c>
      <c r="AL1026" s="63" t="str">
        <f>IFERROR(VLOOKUP(Table2[[#This Row],[Contraente]],Table1[[Nome/Ragione sociale]:[Checkbox selezionato]],5,FALSE),"-")</f>
        <v>NIKUTA</v>
      </c>
      <c r="AM1026" s="62">
        <f>IFERROR(VLOOKUP(Table2[[#This Row],[Contraente]],Table1[[Nome/Ragione sociale]:[Checkbox selezionato]],6,FALSE),"-")</f>
        <v>28672</v>
      </c>
      <c r="AN1026" s="63" t="str">
        <f>IFERROR(VLOOKUP(Table2[[#This Row],[Contraente]],Table1[[Nome/Ragione sociale]:[Checkbox selezionato]],7,FALSE),"-")</f>
        <v>papies@email.it</v>
      </c>
      <c r="AO1026" s="63">
        <f>IFERROR(VLOOKUP(Table2[[#This Row],[Contraente]],Table1[[Nome/Ragione sociale]:[Checkbox selezionato]],8,FALSE),"-")</f>
        <v>0</v>
      </c>
      <c r="AP1026" s="63">
        <f>IFERROR(VLOOKUP(Table2[[#This Row],[Contraente]],Table1[[Nome/Ragione sociale]:[Checkbox selezionato]],10,FALSE),"-")</f>
        <v>3293473669</v>
      </c>
      <c r="AQ1026" s="63" t="str">
        <f>IFERROR(VLOOKUP(Table2[[#This Row],[Contraente]],Table1[[Nome/Ragione sociale]:[Checkbox selezionato]],11,FALSE),"-")</f>
        <v>SI</v>
      </c>
      <c r="AR1026" s="63" t="str">
        <f>IFERROR(VLOOKUP(Table2[[#This Row],[Contraente]],Table1[[Nome/Ragione sociale]:[Checkbox selezionato]],12,FALSE),"-")</f>
        <v>SI</v>
      </c>
    </row>
    <row r="1027" spans="1:44" ht="30" hidden="1" customHeight="1" x14ac:dyDescent="0.25">
      <c r="A1027" s="60" t="str">
        <f>UPPER(LEFT(Table2[[#This Row],[Contraente]],1))</f>
        <v>S</v>
      </c>
      <c r="B1027" s="60" t="s">
        <v>1634</v>
      </c>
      <c r="C1027" s="81" t="s">
        <v>187</v>
      </c>
      <c r="D1027" s="81" t="s">
        <v>37</v>
      </c>
      <c r="E1027" s="86">
        <v>104826086</v>
      </c>
      <c r="F1027" s="64">
        <v>42906</v>
      </c>
      <c r="G1027" s="64">
        <f>IFERROR(CALCOLASCADENZA(Table2[[#This Row],[Data attivazione]],Table2[[#This Row],[Rateizzazione]],Table2[[#This Row],[Data ultimo pagamento]],Table2[[#This Row],[Data prossima scadenza manuale]]),"-")</f>
        <v>43096</v>
      </c>
      <c r="H1027" s="67" t="s">
        <v>30</v>
      </c>
      <c r="I1027" s="67" t="s">
        <v>113</v>
      </c>
      <c r="J1027" s="33">
        <f>IFERROR(Table2[[#This Row],[Importo annuale]]/(12/VLOOKUP(Table2[[#This Row],[Rateizzazione]],TIPI_RATEIZZAZIONI,2,FALSE)),"-")</f>
        <v>80</v>
      </c>
      <c r="K1027" s="88">
        <v>80</v>
      </c>
      <c r="L1027" s="88">
        <v>80</v>
      </c>
      <c r="M1027" s="67" t="s">
        <v>43</v>
      </c>
      <c r="N1027" s="67" t="s">
        <v>51</v>
      </c>
      <c r="O1027" s="27" t="s">
        <v>1631</v>
      </c>
      <c r="P1027" s="33" t="s">
        <v>23</v>
      </c>
      <c r="Q1027" s="60">
        <f>IFERROR(IF(12 / VLOOKUP(Table2[[#This Row],[Rateizzazione]],TIPI_RATEIZZAZIONI,2,FALSE) &gt;=1,  IF(Table2[[#This Row],[Data attivazione]] = "","-",MONTH(Table2[[#This Row],[Data attivazione]])),"-"),"-")</f>
        <v>12</v>
      </c>
      <c r="R10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7" s="67" t="s">
        <v>2</v>
      </c>
      <c r="V1027" s="62"/>
      <c r="W1027" s="64">
        <v>42731</v>
      </c>
      <c r="X1027" s="29">
        <f>DATE(YEAR(Table2[[#This Row],[Data attivazione]])+VLOOKUP(Table2[[#This Row],[Durata]],VALORE_DURATA,2,FALSE),MONTH(Table2[[#This Row],[Data attivazione]]),DAY(Table2[[#This Row],[Data attivazione]]))</f>
        <v>43096</v>
      </c>
      <c r="Y1027" s="65"/>
      <c r="Z1027" s="61"/>
      <c r="AA1027" s="64" t="s">
        <v>85</v>
      </c>
      <c r="AB1027" s="29" t="str">
        <f>IF(Table2[[#This Row],[Data ultimo versamento temp]]=0/1/1900,"-",Table2[[#This Row],[Data ultimo versamento temp]])</f>
        <v>-</v>
      </c>
      <c r="AC1027" s="29">
        <f t="array" ref="AC1027">MAX(IF(TableVersamenti[Polizza]=Table2[[#This Row],[Polizza]],TableVersamenti[Data prevista versamento],"-"))</f>
        <v>0</v>
      </c>
      <c r="AD1027" s="62"/>
      <c r="AE1027" s="106">
        <f>DATE(YEAR(Table2[[#This Row],[Data ultimo pagamento]]),MONTH(Table2[[#This Row],[Data ultimo pagamento]]), 1)</f>
        <v>42887</v>
      </c>
      <c r="AF1027" s="106">
        <f>DATE(YEAR(Table2[[#This Row],[Data prossima scadenza]]),MONTH(Table2[[#This Row],[Data prossima scadenza]]), 1)</f>
        <v>43070</v>
      </c>
      <c r="AG1027" s="33">
        <f>IFERROR(Table2[[#This Row],[Importo annuale]]*VLOOKUP(Table2[[#This Row],[Ramo]],RAMI_POLIZZA,2,FALSE),0)</f>
        <v>9.2000000000000011</v>
      </c>
      <c r="AH1027" s="65" t="s">
        <v>113</v>
      </c>
      <c r="AI1027" s="63" t="str">
        <f>IFERROR(VLOOKUP(Table2[[#This Row],[Contraente]],Table1[[Nome/Ragione sociale]:[Checkbox selezionato]],2,FALSE),"-")</f>
        <v>FILIGHERA</v>
      </c>
      <c r="AJ1027" s="63">
        <f>IFERROR(VLOOKUP(Table2[[#This Row],[Contraente]],Table1[[Nome/Ragione sociale]:[Checkbox selezionato]],3,FALSE),"-")</f>
        <v>3491814596</v>
      </c>
      <c r="AK1027" s="63">
        <f>IFERROR(VLOOKUP(Table2[[#This Row],[Contraente]],Table1[[Nome/Ragione sociale]:[Checkbox selezionato]],4,FALSE),"-")</f>
        <v>0</v>
      </c>
      <c r="AL1027" s="63" t="str">
        <f>IFERROR(VLOOKUP(Table2[[#This Row],[Contraente]],Table1[[Nome/Ragione sociale]:[Checkbox selezionato]],5,FALSE),"-")</f>
        <v>MOGLIE</v>
      </c>
      <c r="AM1027" s="62" t="str">
        <f>IFERROR(VLOOKUP(Table2[[#This Row],[Contraente]],Table1[[Nome/Ragione sociale]:[Checkbox selezionato]],6,FALSE),"-")</f>
        <v>-</v>
      </c>
      <c r="AN1027" s="63" t="str">
        <f>IFERROR(VLOOKUP(Table2[[#This Row],[Contraente]],Table1[[Nome/Ragione sociale]:[Checkbox selezionato]],7,FALSE),"-")</f>
        <v>papies@libero.it</v>
      </c>
      <c r="AO1027" s="63">
        <f>IFERROR(VLOOKUP(Table2[[#This Row],[Contraente]],Table1[[Nome/Ragione sociale]:[Checkbox selezionato]],8,FALSE),"-")</f>
        <v>0</v>
      </c>
      <c r="AP1027" s="63">
        <f>IFERROR(VLOOKUP(Table2[[#This Row],[Contraente]],Table1[[Nome/Ragione sociale]:[Checkbox selezionato]],10,FALSE),"-")</f>
        <v>3491814596</v>
      </c>
      <c r="AQ1027" s="63" t="str">
        <f>IFERROR(VLOOKUP(Table2[[#This Row],[Contraente]],Table1[[Nome/Ragione sociale]:[Checkbox selezionato]],11,FALSE),"-")</f>
        <v>SI</v>
      </c>
      <c r="AR1027" s="63" t="str">
        <f>IFERROR(VLOOKUP(Table2[[#This Row],[Contraente]],Table1[[Nome/Ragione sociale]:[Checkbox selezionato]],12,FALSE),"-")</f>
        <v>SI</v>
      </c>
    </row>
    <row r="1028" spans="1:44" ht="30" hidden="1" customHeight="1" x14ac:dyDescent="0.25">
      <c r="A1028" s="60" t="str">
        <f>UPPER(LEFT(Table2[[#This Row],[Contraente]],1))</f>
        <v>S</v>
      </c>
      <c r="B1028" s="60" t="s">
        <v>1634</v>
      </c>
      <c r="C1028" s="81" t="s">
        <v>187</v>
      </c>
      <c r="D1028" s="81" t="s">
        <v>37</v>
      </c>
      <c r="E1028" s="86">
        <v>104594052</v>
      </c>
      <c r="F1028" s="64">
        <v>42381</v>
      </c>
      <c r="G1028" s="64">
        <f>IFERROR(CALCOLASCADENZA(Table2[[#This Row],[Data attivazione]],Table2[[#This Row],[Rateizzazione]],Table2[[#This Row],[Data ultimo pagamento]],Table2[[#This Row],[Data prossima scadenza manuale]]),"-")</f>
        <v>42553</v>
      </c>
      <c r="H1028" s="67" t="s">
        <v>31</v>
      </c>
      <c r="I1028" s="67" t="s">
        <v>1571</v>
      </c>
      <c r="J1028" s="33">
        <f>IFERROR(Table2[[#This Row],[Importo annuale]]/(12/VLOOKUP(Table2[[#This Row],[Rateizzazione]],TIPI_RATEIZZAZIONI,2,FALSE)),"-")</f>
        <v>450</v>
      </c>
      <c r="K1028" s="88"/>
      <c r="L1028" s="88">
        <v>900</v>
      </c>
      <c r="M1028" s="67" t="s">
        <v>43</v>
      </c>
      <c r="N1028" s="67" t="s">
        <v>52</v>
      </c>
      <c r="O1028" s="27" t="s">
        <v>1631</v>
      </c>
      <c r="P1028" s="33" t="s">
        <v>22</v>
      </c>
      <c r="Q1028" s="60">
        <f>IFERROR(IF(12 / VLOOKUP(Table2[[#This Row],[Rateizzazione]],TIPI_RATEIZZAZIONI,2,FALSE) &gt;=1,  IF(Table2[[#This Row],[Data attivazione]] = "","-",MONTH(Table2[[#This Row],[Data attivazione]])),"-"),"-")</f>
        <v>7</v>
      </c>
      <c r="R10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0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8" s="67" t="s">
        <v>2</v>
      </c>
      <c r="V1028" s="62"/>
      <c r="W1028" s="64">
        <v>42187</v>
      </c>
      <c r="X1028" s="29">
        <f>DATE(YEAR(Table2[[#This Row],[Data attivazione]])+VLOOKUP(Table2[[#This Row],[Durata]],VALORE_DURATA,2,FALSE),MONTH(Table2[[#This Row],[Data attivazione]]),DAY(Table2[[#This Row],[Data attivazione]]))</f>
        <v>42553</v>
      </c>
      <c r="Y1028" s="65"/>
      <c r="Z1028" s="61"/>
      <c r="AA1028" s="64" t="s">
        <v>88</v>
      </c>
      <c r="AB1028" s="29" t="str">
        <f>IF(Table2[[#This Row],[Data ultimo versamento temp]]=0/1/1900,"-",Table2[[#This Row],[Data ultimo versamento temp]])</f>
        <v>-</v>
      </c>
      <c r="AC1028" s="29">
        <f t="array" ref="AC1028">MAX(IF(TableVersamenti[Polizza]=Table2[[#This Row],[Polizza]],TableVersamenti[Data prevista versamento],"-"))</f>
        <v>0</v>
      </c>
      <c r="AD1028" s="62"/>
      <c r="AE1028" s="106">
        <f>DATE(YEAR(Table2[[#This Row],[Data ultimo pagamento]]),MONTH(Table2[[#This Row],[Data ultimo pagamento]]), 1)</f>
        <v>42370</v>
      </c>
      <c r="AF1028" s="106">
        <f>DATE(YEAR(Table2[[#This Row],[Data prossima scadenza]]),MONTH(Table2[[#This Row],[Data prossima scadenza]]), 1)</f>
        <v>42552</v>
      </c>
      <c r="AG1028" s="33">
        <f>IFERROR(Table2[[#This Row],[Importo annuale]]*VLOOKUP(Table2[[#This Row],[Ramo]],RAMI_POLIZZA,2,FALSE),0)</f>
        <v>46.8</v>
      </c>
      <c r="AH1028" s="65" t="s">
        <v>113</v>
      </c>
      <c r="AI1028" s="63" t="str">
        <f>IFERROR(VLOOKUP(Table2[[#This Row],[Contraente]],Table1[[Nome/Ragione sociale]:[Checkbox selezionato]],2,FALSE),"-")</f>
        <v>FILIGHERA</v>
      </c>
      <c r="AJ1028" s="63">
        <f>IFERROR(VLOOKUP(Table2[[#This Row],[Contraente]],Table1[[Nome/Ragione sociale]:[Checkbox selezionato]],3,FALSE),"-")</f>
        <v>3491814596</v>
      </c>
      <c r="AK1028" s="63">
        <f>IFERROR(VLOOKUP(Table2[[#This Row],[Contraente]],Table1[[Nome/Ragione sociale]:[Checkbox selezionato]],4,FALSE),"-")</f>
        <v>0</v>
      </c>
      <c r="AL1028" s="63" t="str">
        <f>IFERROR(VLOOKUP(Table2[[#This Row],[Contraente]],Table1[[Nome/Ragione sociale]:[Checkbox selezionato]],5,FALSE),"-")</f>
        <v>MOGLIE</v>
      </c>
      <c r="AM1028" s="62" t="str">
        <f>IFERROR(VLOOKUP(Table2[[#This Row],[Contraente]],Table1[[Nome/Ragione sociale]:[Checkbox selezionato]],6,FALSE),"-")</f>
        <v>-</v>
      </c>
      <c r="AN1028" s="63" t="str">
        <f>IFERROR(VLOOKUP(Table2[[#This Row],[Contraente]],Table1[[Nome/Ragione sociale]:[Checkbox selezionato]],7,FALSE),"-")</f>
        <v>papies@libero.it</v>
      </c>
      <c r="AO1028" s="63">
        <f>IFERROR(VLOOKUP(Table2[[#This Row],[Contraente]],Table1[[Nome/Ragione sociale]:[Checkbox selezionato]],8,FALSE),"-")</f>
        <v>0</v>
      </c>
      <c r="AP1028" s="63">
        <f>IFERROR(VLOOKUP(Table2[[#This Row],[Contraente]],Table1[[Nome/Ragione sociale]:[Checkbox selezionato]],10,FALSE),"-")</f>
        <v>3491814596</v>
      </c>
      <c r="AQ1028" s="63" t="str">
        <f>IFERROR(VLOOKUP(Table2[[#This Row],[Contraente]],Table1[[Nome/Ragione sociale]:[Checkbox selezionato]],11,FALSE),"-")</f>
        <v>SI</v>
      </c>
      <c r="AR1028" s="63" t="str">
        <f>IFERROR(VLOOKUP(Table2[[#This Row],[Contraente]],Table1[[Nome/Ragione sociale]:[Checkbox selezionato]],12,FALSE),"-")</f>
        <v>SI</v>
      </c>
    </row>
    <row r="1029" spans="1:44" ht="30" hidden="1" customHeight="1" x14ac:dyDescent="0.25">
      <c r="A1029" s="60" t="str">
        <f>UPPER(LEFT(Table2[[#This Row],[Contraente]],1))</f>
        <v>S</v>
      </c>
      <c r="B1029" s="60" t="s">
        <v>1634</v>
      </c>
      <c r="C1029" s="81" t="s">
        <v>185</v>
      </c>
      <c r="D1029" s="81" t="s">
        <v>37</v>
      </c>
      <c r="E1029" s="86">
        <v>103834696</v>
      </c>
      <c r="F1029" s="64">
        <v>42117</v>
      </c>
      <c r="G1029" s="64">
        <f>IFERROR(CALCOLASCADENZA(Table2[[#This Row],[Data attivazione]],Table2[[#This Row],[Rateizzazione]],Table2[[#This Row],[Data ultimo pagamento]],Table2[[#This Row],[Data prossima scadenza manuale]]),"-")</f>
        <v>693717</v>
      </c>
      <c r="H1029" s="67" t="s">
        <v>31</v>
      </c>
      <c r="I1029" s="67" t="s">
        <v>1569</v>
      </c>
      <c r="J1029" s="33">
        <f>IFERROR(Table2[[#This Row],[Importo annuale]]/(12/VLOOKUP(Table2[[#This Row],[Rateizzazione]],TIPI_RATEIZZAZIONI,2,FALSE)),"-")</f>
        <v>220</v>
      </c>
      <c r="K1029" s="88"/>
      <c r="L1029" s="88">
        <v>660</v>
      </c>
      <c r="M1029" s="67" t="s">
        <v>43</v>
      </c>
      <c r="N1029" s="67" t="s">
        <v>52</v>
      </c>
      <c r="O1029" s="27" t="s">
        <v>1631</v>
      </c>
      <c r="P1029" s="33" t="s">
        <v>21</v>
      </c>
      <c r="Q1029" s="60">
        <f>IFERROR(IF(12 / VLOOKUP(Table2[[#This Row],[Rateizzazione]],TIPI_RATEIZZAZIONI,2,FALSE) &gt;=1,  IF(Table2[[#This Row],[Data attivazione]] = "","-",MONTH(Table2[[#This Row],[Data attivazione]])),"-"),"-")</f>
        <v>12</v>
      </c>
      <c r="R10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2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10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9" s="67" t="s">
        <v>2</v>
      </c>
      <c r="V1029" s="62"/>
      <c r="W1029" s="64">
        <v>693597</v>
      </c>
      <c r="X1029" s="29">
        <f>DATE(YEAR(Table2[[#This Row],[Data attivazione]])+VLOOKUP(Table2[[#This Row],[Durata]],VALORE_DURATA,2,FALSE),MONTH(Table2[[#This Row],[Data attivazione]]),DAY(Table2[[#This Row],[Data attivazione]]))</f>
        <v>693962</v>
      </c>
      <c r="Y1029" s="65"/>
      <c r="Z1029" s="61"/>
      <c r="AA1029" s="64" t="s">
        <v>88</v>
      </c>
      <c r="AB1029" s="29" t="str">
        <f>IF(Table2[[#This Row],[Data ultimo versamento temp]]=0/1/1900,"-",Table2[[#This Row],[Data ultimo versamento temp]])</f>
        <v>-</v>
      </c>
      <c r="AC1029" s="29">
        <f t="array" ref="AC1029">MAX(IF(TableVersamenti[Polizza]=Table2[[#This Row],[Polizza]],TableVersamenti[Data prevista versamento],"-"))</f>
        <v>0</v>
      </c>
      <c r="AD1029" s="62"/>
      <c r="AE1029" s="106">
        <f>DATE(YEAR(Table2[[#This Row],[Data ultimo pagamento]]),MONTH(Table2[[#This Row],[Data ultimo pagamento]]), 1)</f>
        <v>42095</v>
      </c>
      <c r="AF1029" s="106">
        <f>DATE(YEAR(Table2[[#This Row],[Data prossima scadenza]]),MONTH(Table2[[#This Row],[Data prossima scadenza]]), 1)</f>
        <v>693688</v>
      </c>
      <c r="AG1029" s="33">
        <f>IFERROR(Table2[[#This Row],[Importo annuale]]*VLOOKUP(Table2[[#This Row],[Ramo]],RAMI_POLIZZA,2,FALSE),0)</f>
        <v>34.32</v>
      </c>
      <c r="AH1029" s="65" t="s">
        <v>113</v>
      </c>
      <c r="AI1029" s="63" t="str">
        <f>IFERROR(VLOOKUP(Table2[[#This Row],[Contraente]],Table1[[Nome/Ragione sociale]:[Checkbox selezionato]],2,FALSE),"-")</f>
        <v>FILIGHERA</v>
      </c>
      <c r="AJ1029" s="63">
        <f>IFERROR(VLOOKUP(Table2[[#This Row],[Contraente]],Table1[[Nome/Ragione sociale]:[Checkbox selezionato]],3,FALSE),"-")</f>
        <v>3485739034</v>
      </c>
      <c r="AK1029" s="63">
        <f>IFERROR(VLOOKUP(Table2[[#This Row],[Contraente]],Table1[[Nome/Ragione sociale]:[Checkbox selezionato]],4,FALSE),"-")</f>
        <v>0</v>
      </c>
      <c r="AL1029" s="63" t="str">
        <f>IFERROR(VLOOKUP(Table2[[#This Row],[Contraente]],Table1[[Nome/Ragione sociale]:[Checkbox selezionato]],5,FALSE),"-")</f>
        <v>MARINO</v>
      </c>
      <c r="AM1029" s="62" t="str">
        <f>IFERROR(VLOOKUP(Table2[[#This Row],[Contraente]],Table1[[Nome/Ragione sociale]:[Checkbox selezionato]],6,FALSE),"-")</f>
        <v>-</v>
      </c>
      <c r="AN1029" s="63" t="str">
        <f>IFERROR(VLOOKUP(Table2[[#This Row],[Contraente]],Table1[[Nome/Ragione sociale]:[Checkbox selezionato]],7,FALSE),"-")</f>
        <v>papies@libero.it</v>
      </c>
      <c r="AO1029" s="63">
        <f>IFERROR(VLOOKUP(Table2[[#This Row],[Contraente]],Table1[[Nome/Ragione sociale]:[Checkbox selezionato]],8,FALSE),"-")</f>
        <v>0</v>
      </c>
      <c r="AP1029" s="63">
        <f>IFERROR(VLOOKUP(Table2[[#This Row],[Contraente]],Table1[[Nome/Ragione sociale]:[Checkbox selezionato]],10,FALSE),"-")</f>
        <v>3485739034</v>
      </c>
      <c r="AQ1029" s="63" t="str">
        <f>IFERROR(VLOOKUP(Table2[[#This Row],[Contraente]],Table1[[Nome/Ragione sociale]:[Checkbox selezionato]],11,FALSE),"-")</f>
        <v>SI</v>
      </c>
      <c r="AR1029" s="63" t="str">
        <f>IFERROR(VLOOKUP(Table2[[#This Row],[Contraente]],Table1[[Nome/Ragione sociale]:[Checkbox selezionato]],12,FALSE),"-")</f>
        <v>SI</v>
      </c>
    </row>
    <row r="1030" spans="1:44" ht="30" hidden="1" customHeight="1" x14ac:dyDescent="0.25">
      <c r="A1030" s="60" t="str">
        <f>UPPER(LEFT(Table2[[#This Row],[Contraente]],1))</f>
        <v>S</v>
      </c>
      <c r="B1030" s="60" t="s">
        <v>1634</v>
      </c>
      <c r="C1030" s="81" t="s">
        <v>185</v>
      </c>
      <c r="D1030" s="81" t="s">
        <v>37</v>
      </c>
      <c r="E1030" s="86">
        <v>105426392</v>
      </c>
      <c r="F1030" s="64">
        <v>42628</v>
      </c>
      <c r="G1030" s="64">
        <f>IFERROR(CALCOLASCADENZA(Table2[[#This Row],[Data attivazione]],Table2[[#This Row],[Rateizzazione]],Table2[[#This Row],[Data ultimo pagamento]],Table2[[#This Row],[Data prossima scadenza manuale]]),"-")</f>
        <v>42807</v>
      </c>
      <c r="H1030" s="67" t="s">
        <v>31</v>
      </c>
      <c r="I1030" s="67" t="s">
        <v>1570</v>
      </c>
      <c r="J1030" s="33">
        <f>IFERROR(Table2[[#This Row],[Importo annuale]]/(12/VLOOKUP(Table2[[#This Row],[Rateizzazione]],TIPI_RATEIZZAZIONI,2,FALSE)),"-")</f>
        <v>325</v>
      </c>
      <c r="K1030" s="88"/>
      <c r="L1030" s="88">
        <v>650</v>
      </c>
      <c r="M1030" s="67" t="s">
        <v>43</v>
      </c>
      <c r="N1030" s="67" t="s">
        <v>51</v>
      </c>
      <c r="O1030" s="27" t="s">
        <v>1631</v>
      </c>
      <c r="P1030" s="33" t="s">
        <v>22</v>
      </c>
      <c r="Q1030" s="60">
        <f>IFERROR(IF(12 / VLOOKUP(Table2[[#This Row],[Rateizzazione]],TIPI_RATEIZZAZIONI,2,FALSE) &gt;=1,  IF(Table2[[#This Row],[Data attivazione]] = "","-",MONTH(Table2[[#This Row],[Data attivazione]])),"-"),"-")</f>
        <v>3</v>
      </c>
      <c r="R10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10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0" s="67" t="s">
        <v>2</v>
      </c>
      <c r="V1030" s="62"/>
      <c r="W1030" s="64">
        <v>42442</v>
      </c>
      <c r="X1030" s="29">
        <f>DATE(YEAR(Table2[[#This Row],[Data attivazione]])+VLOOKUP(Table2[[#This Row],[Durata]],VALORE_DURATA,2,FALSE),MONTH(Table2[[#This Row],[Data attivazione]]),DAY(Table2[[#This Row],[Data attivazione]]))</f>
        <v>42807</v>
      </c>
      <c r="Y1030" s="65"/>
      <c r="Z1030" s="61"/>
      <c r="AA1030" s="64" t="s">
        <v>88</v>
      </c>
      <c r="AB1030" s="29" t="str">
        <f>IF(Table2[[#This Row],[Data ultimo versamento temp]]=0/1/1900,"-",Table2[[#This Row],[Data ultimo versamento temp]])</f>
        <v>-</v>
      </c>
      <c r="AC1030" s="29">
        <f t="array" ref="AC1030">MAX(IF(TableVersamenti[Polizza]=Table2[[#This Row],[Polizza]],TableVersamenti[Data prevista versamento],"-"))</f>
        <v>0</v>
      </c>
      <c r="AD1030" s="62"/>
      <c r="AE1030" s="106">
        <f>DATE(YEAR(Table2[[#This Row],[Data ultimo pagamento]]),MONTH(Table2[[#This Row],[Data ultimo pagamento]]), 1)</f>
        <v>42614</v>
      </c>
      <c r="AF1030" s="106">
        <f>DATE(YEAR(Table2[[#This Row],[Data prossima scadenza]]),MONTH(Table2[[#This Row],[Data prossima scadenza]]), 1)</f>
        <v>42795</v>
      </c>
      <c r="AG1030" s="33">
        <f>IFERROR(Table2[[#This Row],[Importo annuale]]*VLOOKUP(Table2[[#This Row],[Ramo]],RAMI_POLIZZA,2,FALSE),0)</f>
        <v>33.799999999999997</v>
      </c>
      <c r="AH1030" s="65" t="s">
        <v>113</v>
      </c>
      <c r="AI1030" s="63" t="str">
        <f>IFERROR(VLOOKUP(Table2[[#This Row],[Contraente]],Table1[[Nome/Ragione sociale]:[Checkbox selezionato]],2,FALSE),"-")</f>
        <v>FILIGHERA</v>
      </c>
      <c r="AJ1030" s="63">
        <f>IFERROR(VLOOKUP(Table2[[#This Row],[Contraente]],Table1[[Nome/Ragione sociale]:[Checkbox selezionato]],3,FALSE),"-")</f>
        <v>3485739034</v>
      </c>
      <c r="AK1030" s="63">
        <f>IFERROR(VLOOKUP(Table2[[#This Row],[Contraente]],Table1[[Nome/Ragione sociale]:[Checkbox selezionato]],4,FALSE),"-")</f>
        <v>0</v>
      </c>
      <c r="AL1030" s="63" t="str">
        <f>IFERROR(VLOOKUP(Table2[[#This Row],[Contraente]],Table1[[Nome/Ragione sociale]:[Checkbox selezionato]],5,FALSE),"-")</f>
        <v>MARINO</v>
      </c>
      <c r="AM1030" s="62" t="str">
        <f>IFERROR(VLOOKUP(Table2[[#This Row],[Contraente]],Table1[[Nome/Ragione sociale]:[Checkbox selezionato]],6,FALSE),"-")</f>
        <v>-</v>
      </c>
      <c r="AN1030" s="63" t="str">
        <f>IFERROR(VLOOKUP(Table2[[#This Row],[Contraente]],Table1[[Nome/Ragione sociale]:[Checkbox selezionato]],7,FALSE),"-")</f>
        <v>papies@libero.it</v>
      </c>
      <c r="AO1030" s="63">
        <f>IFERROR(VLOOKUP(Table2[[#This Row],[Contraente]],Table1[[Nome/Ragione sociale]:[Checkbox selezionato]],8,FALSE),"-")</f>
        <v>0</v>
      </c>
      <c r="AP1030" s="63">
        <f>IFERROR(VLOOKUP(Table2[[#This Row],[Contraente]],Table1[[Nome/Ragione sociale]:[Checkbox selezionato]],10,FALSE),"-")</f>
        <v>3485739034</v>
      </c>
      <c r="AQ1030" s="63" t="str">
        <f>IFERROR(VLOOKUP(Table2[[#This Row],[Contraente]],Table1[[Nome/Ragione sociale]:[Checkbox selezionato]],11,FALSE),"-")</f>
        <v>SI</v>
      </c>
      <c r="AR1030" s="63" t="str">
        <f>IFERROR(VLOOKUP(Table2[[#This Row],[Contraente]],Table1[[Nome/Ragione sociale]:[Checkbox selezionato]],12,FALSE),"-")</f>
        <v>SI</v>
      </c>
    </row>
    <row r="1031" spans="1:44" ht="30" hidden="1" customHeight="1" x14ac:dyDescent="0.25">
      <c r="A1031" s="60" t="str">
        <f>UPPER(LEFT(Table2[[#This Row],[Contraente]],1))</f>
        <v>T</v>
      </c>
      <c r="B1031" s="60" t="s">
        <v>1634</v>
      </c>
      <c r="C1031" s="81" t="s">
        <v>1019</v>
      </c>
      <c r="D1031" s="81" t="s">
        <v>37</v>
      </c>
      <c r="E1031" s="86">
        <v>105917263</v>
      </c>
      <c r="F1031" s="64">
        <v>42846</v>
      </c>
      <c r="G1031" s="64">
        <f>IFERROR(CALCOLASCADENZA(Table2[[#This Row],[Data attivazione]],Table2[[#This Row],[Rateizzazione]],Table2[[#This Row],[Data ultimo pagamento]],Table2[[#This Row],[Data prossima scadenza manuale]]),"-")</f>
        <v>42950</v>
      </c>
      <c r="H1031" s="67" t="s">
        <v>31</v>
      </c>
      <c r="I1031" s="67" t="s">
        <v>1579</v>
      </c>
      <c r="J1031" s="33">
        <f>IFERROR(Table2[[#This Row],[Importo annuale]]/(12/VLOOKUP(Table2[[#This Row],[Rateizzazione]],TIPI_RATEIZZAZIONI,2,FALSE)),"-")</f>
        <v>267</v>
      </c>
      <c r="K1031" s="88">
        <v>267</v>
      </c>
      <c r="L1031" s="88">
        <v>801</v>
      </c>
      <c r="M1031" s="67" t="s">
        <v>44</v>
      </c>
      <c r="N1031" s="67" t="s">
        <v>52</v>
      </c>
      <c r="O1031" s="27" t="s">
        <v>1631</v>
      </c>
      <c r="P1031" s="33" t="s">
        <v>21</v>
      </c>
      <c r="Q1031" s="60">
        <f>IFERROR(IF(12 / VLOOKUP(Table2[[#This Row],[Rateizzazione]],TIPI_RATEIZZAZIONI,2,FALSE) &gt;=1,  IF(Table2[[#This Row],[Data attivazione]] = "","-",MONTH(Table2[[#This Row],[Data attivazione]])),"-"),"-")</f>
        <v>8</v>
      </c>
      <c r="R10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3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1" s="67" t="s">
        <v>2</v>
      </c>
      <c r="V1031" s="62"/>
      <c r="W1031" s="64">
        <v>42585</v>
      </c>
      <c r="X1031" s="29">
        <f>DATE(YEAR(Table2[[#This Row],[Data attivazione]])+VLOOKUP(Table2[[#This Row],[Durata]],VALORE_DURATA,2,FALSE),MONTH(Table2[[#This Row],[Data attivazione]]),DAY(Table2[[#This Row],[Data attivazione]]))</f>
        <v>42950</v>
      </c>
      <c r="Y1031" s="65"/>
      <c r="Z1031" s="61"/>
      <c r="AA1031" s="64" t="s">
        <v>85</v>
      </c>
      <c r="AB1031" s="29" t="str">
        <f>IF(Table2[[#This Row],[Data ultimo versamento temp]]=0/1/1900,"-",Table2[[#This Row],[Data ultimo versamento temp]])</f>
        <v>-</v>
      </c>
      <c r="AC1031" s="29">
        <f t="array" ref="AC1031">MAX(IF(TableVersamenti[Polizza]=Table2[[#This Row],[Polizza]],TableVersamenti[Data prevista versamento],"-"))</f>
        <v>0</v>
      </c>
      <c r="AD1031" s="62"/>
      <c r="AE1031" s="106">
        <f>DATE(YEAR(Table2[[#This Row],[Data ultimo pagamento]]),MONTH(Table2[[#This Row],[Data ultimo pagamento]]), 1)</f>
        <v>42826</v>
      </c>
      <c r="AF1031" s="106">
        <f>DATE(YEAR(Table2[[#This Row],[Data prossima scadenza]]),MONTH(Table2[[#This Row],[Data prossima scadenza]]), 1)</f>
        <v>42948</v>
      </c>
      <c r="AG1031" s="33">
        <f>IFERROR(Table2[[#This Row],[Importo annuale]]*VLOOKUP(Table2[[#This Row],[Ramo]],RAMI_POLIZZA,2,FALSE),0)</f>
        <v>41.652000000000001</v>
      </c>
      <c r="AH1031" s="65" t="s">
        <v>113</v>
      </c>
      <c r="AI1031" s="63" t="str">
        <f>IFERROR(VLOOKUP(Table2[[#This Row],[Contraente]],Table1[[Nome/Ragione sociale]:[Checkbox selezionato]],2,FALSE),"-")</f>
        <v>CHIGNOLO PO</v>
      </c>
      <c r="AJ1031" s="63">
        <f>IFERROR(VLOOKUP(Table2[[#This Row],[Contraente]],Table1[[Nome/Ragione sociale]:[Checkbox selezionato]],3,FALSE),"-")</f>
        <v>3383120338</v>
      </c>
      <c r="AK1031" s="63">
        <f>IFERROR(VLOOKUP(Table2[[#This Row],[Contraente]],Table1[[Nome/Ragione sociale]:[Checkbox selezionato]],4,FALSE),"-")</f>
        <v>0</v>
      </c>
      <c r="AL1031" s="63" t="str">
        <f>IFERROR(VLOOKUP(Table2[[#This Row],[Contraente]],Table1[[Nome/Ragione sociale]:[Checkbox selezionato]],5,FALSE),"-")</f>
        <v>SIMONA</v>
      </c>
      <c r="AM1031" s="62">
        <f>IFERROR(VLOOKUP(Table2[[#This Row],[Contraente]],Table1[[Nome/Ragione sociale]:[Checkbox selezionato]],6,FALSE),"-")</f>
        <v>26696</v>
      </c>
      <c r="AN1031" s="63" t="str">
        <f>IFERROR(VLOOKUP(Table2[[#This Row],[Contraente]],Table1[[Nome/Ragione sociale]:[Checkbox selezionato]],7,FALSE),"-")</f>
        <v>papies@email.it</v>
      </c>
      <c r="AO1031" s="63">
        <f>IFERROR(VLOOKUP(Table2[[#This Row],[Contraente]],Table1[[Nome/Ragione sociale]:[Checkbox selezionato]],8,FALSE),"-")</f>
        <v>0</v>
      </c>
      <c r="AP1031" s="63">
        <f>IFERROR(VLOOKUP(Table2[[#This Row],[Contraente]],Table1[[Nome/Ragione sociale]:[Checkbox selezionato]],10,FALSE),"-")</f>
        <v>3383120338</v>
      </c>
      <c r="AQ1031" s="63" t="str">
        <f>IFERROR(VLOOKUP(Table2[[#This Row],[Contraente]],Table1[[Nome/Ragione sociale]:[Checkbox selezionato]],11,FALSE),"-")</f>
        <v>SI</v>
      </c>
      <c r="AR1031" s="63" t="str">
        <f>IFERROR(VLOOKUP(Table2[[#This Row],[Contraente]],Table1[[Nome/Ragione sociale]:[Checkbox selezionato]],12,FALSE),"-")</f>
        <v>SI</v>
      </c>
    </row>
    <row r="1032" spans="1:44" ht="30" hidden="1" customHeight="1" x14ac:dyDescent="0.25">
      <c r="A1032" s="60" t="str">
        <f>UPPER(LEFT(Table2[[#This Row],[Contraente]],1))</f>
        <v>T</v>
      </c>
      <c r="B1032" s="60" t="s">
        <v>1634</v>
      </c>
      <c r="C1032" s="81" t="s">
        <v>1021</v>
      </c>
      <c r="D1032" s="81" t="s">
        <v>37</v>
      </c>
      <c r="E1032" s="86">
        <v>106848309</v>
      </c>
      <c r="F1032" s="64">
        <v>42865</v>
      </c>
      <c r="G1032" s="64">
        <f>IFERROR(CALCOLASCADENZA(Table2[[#This Row],[Data attivazione]],Table2[[#This Row],[Rateizzazione]],Table2[[#This Row],[Data ultimo pagamento]],Table2[[#This Row],[Data prossima scadenza manuale]]),"-")</f>
        <v>43226</v>
      </c>
      <c r="H1032" s="67" t="s">
        <v>31</v>
      </c>
      <c r="I1032" s="67" t="s">
        <v>1580</v>
      </c>
      <c r="J1032" s="33">
        <f>IFERROR(Table2[[#This Row],[Importo annuale]]/(12/VLOOKUP(Table2[[#This Row],[Rateizzazione]],TIPI_RATEIZZAZIONI,2,FALSE)),"-")</f>
        <v>685</v>
      </c>
      <c r="K1032" s="88">
        <v>685</v>
      </c>
      <c r="L1032" s="88">
        <v>685</v>
      </c>
      <c r="M1032" s="67" t="s">
        <v>45</v>
      </c>
      <c r="N1032" s="67" t="s">
        <v>51</v>
      </c>
      <c r="O1032" s="27" t="s">
        <v>1631</v>
      </c>
      <c r="P1032" s="33" t="s">
        <v>23</v>
      </c>
      <c r="Q1032" s="60">
        <f>IFERROR(IF(12 / VLOOKUP(Table2[[#This Row],[Rateizzazione]],TIPI_RATEIZZAZIONI,2,FALSE) &gt;=1,  IF(Table2[[#This Row],[Data attivazione]] = "","-",MONTH(Table2[[#This Row],[Data attivazione]])),"-"),"-")</f>
        <v>5</v>
      </c>
      <c r="R10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2" s="67" t="s">
        <v>2</v>
      </c>
      <c r="V1032" s="62"/>
      <c r="W1032" s="64">
        <v>42861</v>
      </c>
      <c r="X1032" s="29">
        <f>DATE(YEAR(Table2[[#This Row],[Data attivazione]])+VLOOKUP(Table2[[#This Row],[Durata]],VALORE_DURATA,2,FALSE),MONTH(Table2[[#This Row],[Data attivazione]]),DAY(Table2[[#This Row],[Data attivazione]]))</f>
        <v>43226</v>
      </c>
      <c r="Y1032" s="65"/>
      <c r="Z1032" s="61"/>
      <c r="AA1032" s="64" t="s">
        <v>85</v>
      </c>
      <c r="AB1032" s="29" t="str">
        <f>IF(Table2[[#This Row],[Data ultimo versamento temp]]=0/1/1900,"-",Table2[[#This Row],[Data ultimo versamento temp]])</f>
        <v>-</v>
      </c>
      <c r="AC1032" s="29">
        <f t="array" ref="AC1032">MAX(IF(TableVersamenti[Polizza]=Table2[[#This Row],[Polizza]],TableVersamenti[Data prevista versamento],"-"))</f>
        <v>0</v>
      </c>
      <c r="AD1032" s="62"/>
      <c r="AE1032" s="106">
        <f>DATE(YEAR(Table2[[#This Row],[Data ultimo pagamento]]),MONTH(Table2[[#This Row],[Data ultimo pagamento]]), 1)</f>
        <v>42856</v>
      </c>
      <c r="AF1032" s="106">
        <f>DATE(YEAR(Table2[[#This Row],[Data prossima scadenza]]),MONTH(Table2[[#This Row],[Data prossima scadenza]]), 1)</f>
        <v>43221</v>
      </c>
      <c r="AG1032" s="33">
        <f>IFERROR(Table2[[#This Row],[Importo annuale]]*VLOOKUP(Table2[[#This Row],[Ramo]],RAMI_POLIZZA,2,FALSE),0)</f>
        <v>35.619999999999997</v>
      </c>
      <c r="AH1032" s="65" t="s">
        <v>113</v>
      </c>
      <c r="AI1032" s="63" t="str">
        <f>IFERROR(VLOOKUP(Table2[[#This Row],[Contraente]],Table1[[Nome/Ragione sociale]:[Checkbox selezionato]],2,FALSE),"-")</f>
        <v>MIRADOLO TERME</v>
      </c>
      <c r="AJ1032" s="63">
        <f>IFERROR(VLOOKUP(Table2[[#This Row],[Contraente]],Table1[[Nome/Ragione sociale]:[Checkbox selezionato]],3,FALSE),"-")</f>
        <v>3334989863</v>
      </c>
      <c r="AK1032" s="63">
        <f>IFERROR(VLOOKUP(Table2[[#This Row],[Contraente]],Table1[[Nome/Ragione sociale]:[Checkbox selezionato]],4,FALSE),"-")</f>
        <v>0</v>
      </c>
      <c r="AL1032" s="63" t="str">
        <f>IFERROR(VLOOKUP(Table2[[#This Row],[Contraente]],Table1[[Nome/Ragione sociale]:[Checkbox selezionato]],5,FALSE),"-")</f>
        <v>EGIDIO ANGELO</v>
      </c>
      <c r="AM1032" s="62">
        <f>IFERROR(VLOOKUP(Table2[[#This Row],[Contraente]],Table1[[Nome/Ragione sociale]:[Checkbox selezionato]],6,FALSE),"-")</f>
        <v>29665</v>
      </c>
      <c r="AN1032" s="63" t="str">
        <f>IFERROR(VLOOKUP(Table2[[#This Row],[Contraente]],Table1[[Nome/Ragione sociale]:[Checkbox selezionato]],7,FALSE),"-")</f>
        <v>papies@libero.it</v>
      </c>
      <c r="AO1032" s="63">
        <f>IFERROR(VLOOKUP(Table2[[#This Row],[Contraente]],Table1[[Nome/Ragione sociale]:[Checkbox selezionato]],8,FALSE),"-")</f>
        <v>0</v>
      </c>
      <c r="AP1032" s="63">
        <f>IFERROR(VLOOKUP(Table2[[#This Row],[Contraente]],Table1[[Nome/Ragione sociale]:[Checkbox selezionato]],10,FALSE),"-")</f>
        <v>3334989863</v>
      </c>
      <c r="AQ1032" s="63" t="str">
        <f>IFERROR(VLOOKUP(Table2[[#This Row],[Contraente]],Table1[[Nome/Ragione sociale]:[Checkbox selezionato]],11,FALSE),"-")</f>
        <v>SI</v>
      </c>
      <c r="AR1032" s="63" t="str">
        <f>IFERROR(VLOOKUP(Table2[[#This Row],[Contraente]],Table1[[Nome/Ragione sociale]:[Checkbox selezionato]],12,FALSE),"-")</f>
        <v>SI</v>
      </c>
    </row>
    <row r="1033" spans="1:44" ht="30" hidden="1" customHeight="1" x14ac:dyDescent="0.25">
      <c r="A1033" s="60" t="str">
        <f>UPPER(LEFT(Table2[[#This Row],[Contraente]],1))</f>
        <v>T</v>
      </c>
      <c r="B1033" s="60" t="s">
        <v>1634</v>
      </c>
      <c r="C1033" s="81" t="s">
        <v>192</v>
      </c>
      <c r="D1033" s="81" t="s">
        <v>37</v>
      </c>
      <c r="E1033" s="86">
        <v>106963000</v>
      </c>
      <c r="F1033" s="64">
        <v>42895</v>
      </c>
      <c r="G1033" s="64">
        <f>IFERROR(CALCOLASCADENZA(Table2[[#This Row],[Data attivazione]],Table2[[#This Row],[Rateizzazione]],Table2[[#This Row],[Data ultimo pagamento]],Table2[[#This Row],[Data prossima scadenza manuale]]),"-")</f>
        <v>43072</v>
      </c>
      <c r="H1033" s="67" t="s">
        <v>31</v>
      </c>
      <c r="I1033" s="67" t="s">
        <v>1578</v>
      </c>
      <c r="J1033" s="33">
        <f>IFERROR(Table2[[#This Row],[Importo annuale]]/(12/VLOOKUP(Table2[[#This Row],[Rateizzazione]],TIPI_RATEIZZAZIONI,2,FALSE)),"-")</f>
        <v>280</v>
      </c>
      <c r="K1033" s="88">
        <v>280</v>
      </c>
      <c r="L1033" s="88">
        <v>560</v>
      </c>
      <c r="M1033" s="67" t="s">
        <v>43</v>
      </c>
      <c r="N1033" s="67" t="s">
        <v>51</v>
      </c>
      <c r="O1033" s="27" t="s">
        <v>1631</v>
      </c>
      <c r="P1033" s="33" t="s">
        <v>22</v>
      </c>
      <c r="Q1033" s="60">
        <f>IFERROR(IF(12 / VLOOKUP(Table2[[#This Row],[Rateizzazione]],TIPI_RATEIZZAZIONI,2,FALSE) &gt;=1,  IF(Table2[[#This Row],[Data attivazione]] = "","-",MONTH(Table2[[#This Row],[Data attivazione]])),"-"),"-")</f>
        <v>12</v>
      </c>
      <c r="R10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3" s="67" t="s">
        <v>2</v>
      </c>
      <c r="V1033" s="62"/>
      <c r="W1033" s="64">
        <v>42707</v>
      </c>
      <c r="X1033" s="29">
        <f>DATE(YEAR(Table2[[#This Row],[Data attivazione]])+VLOOKUP(Table2[[#This Row],[Durata]],VALORE_DURATA,2,FALSE),MONTH(Table2[[#This Row],[Data attivazione]]),DAY(Table2[[#This Row],[Data attivazione]]))</f>
        <v>43072</v>
      </c>
      <c r="Y1033" s="65"/>
      <c r="Z1033" s="61"/>
      <c r="AA1033" s="64" t="s">
        <v>85</v>
      </c>
      <c r="AB1033" s="29" t="str">
        <f>IF(Table2[[#This Row],[Data ultimo versamento temp]]=0/1/1900,"-",Table2[[#This Row],[Data ultimo versamento temp]])</f>
        <v>-</v>
      </c>
      <c r="AC1033" s="29">
        <f t="array" ref="AC1033">MAX(IF(TableVersamenti[Polizza]=Table2[[#This Row],[Polizza]],TableVersamenti[Data prevista versamento],"-"))</f>
        <v>0</v>
      </c>
      <c r="AD1033" s="62"/>
      <c r="AE1033" s="106">
        <f>DATE(YEAR(Table2[[#This Row],[Data ultimo pagamento]]),MONTH(Table2[[#This Row],[Data ultimo pagamento]]), 1)</f>
        <v>42887</v>
      </c>
      <c r="AF1033" s="106">
        <f>DATE(YEAR(Table2[[#This Row],[Data prossima scadenza]]),MONTH(Table2[[#This Row],[Data prossima scadenza]]), 1)</f>
        <v>43070</v>
      </c>
      <c r="AG1033" s="33">
        <f>IFERROR(Table2[[#This Row],[Importo annuale]]*VLOOKUP(Table2[[#This Row],[Ramo]],RAMI_POLIZZA,2,FALSE),0)</f>
        <v>29.119999999999997</v>
      </c>
      <c r="AH1033" s="65" t="s">
        <v>113</v>
      </c>
      <c r="AI1033" s="63" t="str">
        <f>IFERROR(VLOOKUP(Table2[[#This Row],[Contraente]],Table1[[Nome/Ragione sociale]:[Checkbox selezionato]],2,FALSE),"-")</f>
        <v>SAN MARTINO SICCOMARIO</v>
      </c>
      <c r="AJ1033" s="63">
        <f>IFERROR(VLOOKUP(Table2[[#This Row],[Contraente]],Table1[[Nome/Ragione sociale]:[Checkbox selezionato]],3,FALSE),"-")</f>
        <v>3389318754</v>
      </c>
      <c r="AK1033" s="63">
        <f>IFERROR(VLOOKUP(Table2[[#This Row],[Contraente]],Table1[[Nome/Ragione sociale]:[Checkbox selezionato]],4,FALSE),"-")</f>
        <v>0</v>
      </c>
      <c r="AL1033" s="63" t="str">
        <f>IFERROR(VLOOKUP(Table2[[#This Row],[Contraente]],Table1[[Nome/Ragione sociale]:[Checkbox selezionato]],5,FALSE),"-")</f>
        <v>FERDINANDO</v>
      </c>
      <c r="AM1033" s="62">
        <f>IFERROR(VLOOKUP(Table2[[#This Row],[Contraente]],Table1[[Nome/Ragione sociale]:[Checkbox selezionato]],6,FALSE),"-")</f>
        <v>22684</v>
      </c>
      <c r="AN1033" s="63" t="str">
        <f>IFERROR(VLOOKUP(Table2[[#This Row],[Contraente]],Table1[[Nome/Ragione sociale]:[Checkbox selezionato]],7,FALSE),"-")</f>
        <v>papies@libero.it</v>
      </c>
      <c r="AO1033" s="63">
        <f>IFERROR(VLOOKUP(Table2[[#This Row],[Contraente]],Table1[[Nome/Ragione sociale]:[Checkbox selezionato]],8,FALSE),"-")</f>
        <v>0</v>
      </c>
      <c r="AP1033" s="63">
        <f>IFERROR(VLOOKUP(Table2[[#This Row],[Contraente]],Table1[[Nome/Ragione sociale]:[Checkbox selezionato]],10,FALSE),"-")</f>
        <v>3389318754</v>
      </c>
      <c r="AQ1033" s="63" t="str">
        <f>IFERROR(VLOOKUP(Table2[[#This Row],[Contraente]],Table1[[Nome/Ragione sociale]:[Checkbox selezionato]],11,FALSE),"-")</f>
        <v>SI</v>
      </c>
      <c r="AR1033" s="63" t="str">
        <f>IFERROR(VLOOKUP(Table2[[#This Row],[Contraente]],Table1[[Nome/Ragione sociale]:[Checkbox selezionato]],12,FALSE),"-")</f>
        <v>SI</v>
      </c>
    </row>
    <row r="1034" spans="1:44" ht="30" hidden="1" customHeight="1" x14ac:dyDescent="0.25">
      <c r="A1034" s="60" t="str">
        <f>UPPER(LEFT(Table2[[#This Row],[Contraente]],1))</f>
        <v>T</v>
      </c>
      <c r="B1034" s="60" t="s">
        <v>1634</v>
      </c>
      <c r="C1034" s="81" t="s">
        <v>192</v>
      </c>
      <c r="D1034" s="81" t="s">
        <v>37</v>
      </c>
      <c r="E1034" s="86">
        <v>105451427</v>
      </c>
      <c r="F1034" s="64">
        <v>42822</v>
      </c>
      <c r="G1034" s="64">
        <f>IFERROR(CALCOLASCADENZA(Table2[[#This Row],[Data attivazione]],Table2[[#This Row],[Rateizzazione]],Table2[[#This Row],[Data ultimo pagamento]],Table2[[#This Row],[Data prossima scadenza manuale]]),"-")</f>
        <v>42993</v>
      </c>
      <c r="H1034" s="67" t="s">
        <v>1628</v>
      </c>
      <c r="I1034" s="67" t="s">
        <v>113</v>
      </c>
      <c r="J1034" s="33">
        <f>IFERROR(Table2[[#This Row],[Importo annuale]]/(12/VLOOKUP(Table2[[#This Row],[Rateizzazione]],TIPI_RATEIZZAZIONI,2,FALSE)),"-")</f>
        <v>31</v>
      </c>
      <c r="K1034" s="88">
        <v>31</v>
      </c>
      <c r="L1034" s="88">
        <v>62</v>
      </c>
      <c r="M1034" s="67" t="s">
        <v>43</v>
      </c>
      <c r="N1034" s="67" t="s">
        <v>51</v>
      </c>
      <c r="O1034" s="27" t="s">
        <v>1631</v>
      </c>
      <c r="P1034" s="33" t="s">
        <v>22</v>
      </c>
      <c r="Q1034" s="60">
        <f>IFERROR(IF(12 / VLOOKUP(Table2[[#This Row],[Rateizzazione]],TIPI_RATEIZZAZIONI,2,FALSE) &gt;=1,  IF(Table2[[#This Row],[Data attivazione]] = "","-",MONTH(Table2[[#This Row],[Data attivazione]])),"-"),"-")</f>
        <v>9</v>
      </c>
      <c r="R10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4" s="67" t="s">
        <v>2</v>
      </c>
      <c r="V1034" s="62"/>
      <c r="W1034" s="64">
        <v>42628</v>
      </c>
      <c r="X1034" s="29">
        <f>DATE(YEAR(Table2[[#This Row],[Data attivazione]])+VLOOKUP(Table2[[#This Row],[Durata]],VALORE_DURATA,2,FALSE),MONTH(Table2[[#This Row],[Data attivazione]]),DAY(Table2[[#This Row],[Data attivazione]]))</f>
        <v>42993</v>
      </c>
      <c r="Y1034" s="65"/>
      <c r="Z1034" s="61"/>
      <c r="AA1034" s="64" t="s">
        <v>85</v>
      </c>
      <c r="AB1034" s="29" t="str">
        <f>IF(Table2[[#This Row],[Data ultimo versamento temp]]=0/1/1900,"-",Table2[[#This Row],[Data ultimo versamento temp]])</f>
        <v>-</v>
      </c>
      <c r="AC1034" s="29">
        <f t="array" ref="AC1034">MAX(IF(TableVersamenti[Polizza]=Table2[[#This Row],[Polizza]],TableVersamenti[Data prevista versamento],"-"))</f>
        <v>0</v>
      </c>
      <c r="AD1034" s="62"/>
      <c r="AE1034" s="106">
        <f>DATE(YEAR(Table2[[#This Row],[Data ultimo pagamento]]),MONTH(Table2[[#This Row],[Data ultimo pagamento]]), 1)</f>
        <v>42795</v>
      </c>
      <c r="AF1034" s="106">
        <f>DATE(YEAR(Table2[[#This Row],[Data prossima scadenza]]),MONTH(Table2[[#This Row],[Data prossima scadenza]]), 1)</f>
        <v>42979</v>
      </c>
      <c r="AG1034" s="33">
        <f>IFERROR(Table2[[#This Row],[Importo annuale]]*VLOOKUP(Table2[[#This Row],[Ramo]],RAMI_POLIZZA,2,FALSE),0)</f>
        <v>0</v>
      </c>
      <c r="AH1034" s="65" t="s">
        <v>113</v>
      </c>
      <c r="AI1034" s="63" t="str">
        <f>IFERROR(VLOOKUP(Table2[[#This Row],[Contraente]],Table1[[Nome/Ragione sociale]:[Checkbox selezionato]],2,FALSE),"-")</f>
        <v>SAN MARTINO SICCOMARIO</v>
      </c>
      <c r="AJ1034" s="63">
        <f>IFERROR(VLOOKUP(Table2[[#This Row],[Contraente]],Table1[[Nome/Ragione sociale]:[Checkbox selezionato]],3,FALSE),"-")</f>
        <v>3389318754</v>
      </c>
      <c r="AK1034" s="63">
        <f>IFERROR(VLOOKUP(Table2[[#This Row],[Contraente]],Table1[[Nome/Ragione sociale]:[Checkbox selezionato]],4,FALSE),"-")</f>
        <v>0</v>
      </c>
      <c r="AL1034" s="63" t="str">
        <f>IFERROR(VLOOKUP(Table2[[#This Row],[Contraente]],Table1[[Nome/Ragione sociale]:[Checkbox selezionato]],5,FALSE),"-")</f>
        <v>FERDINANDO</v>
      </c>
      <c r="AM1034" s="62">
        <f>IFERROR(VLOOKUP(Table2[[#This Row],[Contraente]],Table1[[Nome/Ragione sociale]:[Checkbox selezionato]],6,FALSE),"-")</f>
        <v>22684</v>
      </c>
      <c r="AN1034" s="63" t="str">
        <f>IFERROR(VLOOKUP(Table2[[#This Row],[Contraente]],Table1[[Nome/Ragione sociale]:[Checkbox selezionato]],7,FALSE),"-")</f>
        <v>papies@libero.it</v>
      </c>
      <c r="AO1034" s="63">
        <f>IFERROR(VLOOKUP(Table2[[#This Row],[Contraente]],Table1[[Nome/Ragione sociale]:[Checkbox selezionato]],8,FALSE),"-")</f>
        <v>0</v>
      </c>
      <c r="AP1034" s="63">
        <f>IFERROR(VLOOKUP(Table2[[#This Row],[Contraente]],Table1[[Nome/Ragione sociale]:[Checkbox selezionato]],10,FALSE),"-")</f>
        <v>3389318754</v>
      </c>
      <c r="AQ1034" s="63" t="str">
        <f>IFERROR(VLOOKUP(Table2[[#This Row],[Contraente]],Table1[[Nome/Ragione sociale]:[Checkbox selezionato]],11,FALSE),"-")</f>
        <v>SI</v>
      </c>
      <c r="AR1034" s="63" t="str">
        <f>IFERROR(VLOOKUP(Table2[[#This Row],[Contraente]],Table1[[Nome/Ragione sociale]:[Checkbox selezionato]],12,FALSE),"-")</f>
        <v>SI</v>
      </c>
    </row>
    <row r="1035" spans="1:44" ht="30" hidden="1" customHeight="1" x14ac:dyDescent="0.25">
      <c r="A1035" s="60" t="str">
        <f>UPPER(LEFT(Table2[[#This Row],[Contraente]],1))</f>
        <v>T</v>
      </c>
      <c r="B1035" s="60" t="s">
        <v>1634</v>
      </c>
      <c r="C1035" s="81" t="s">
        <v>1684</v>
      </c>
      <c r="D1035" s="81" t="s">
        <v>37</v>
      </c>
      <c r="E1035" s="86">
        <v>106735811</v>
      </c>
      <c r="F1035" s="64">
        <v>42836</v>
      </c>
      <c r="G1035" s="64">
        <f>IFERROR(CALCOLASCADENZA(Table2[[#This Row],[Data attivazione]],Table2[[#This Row],[Rateizzazione]],Table2[[#This Row],[Data ultimo pagamento]],Table2[[#This Row],[Data prossima scadenza manuale]]),"-")</f>
        <v>43019</v>
      </c>
      <c r="H1035" s="67" t="s">
        <v>31</v>
      </c>
      <c r="I1035" s="67" t="s">
        <v>1700</v>
      </c>
      <c r="J1035" s="33">
        <f>IFERROR(Table2[[#This Row],[Importo annuale]]/(12/VLOOKUP(Table2[[#This Row],[Rateizzazione]],TIPI_RATEIZZAZIONI,2,FALSE)),"-")</f>
        <v>210</v>
      </c>
      <c r="K1035" s="88">
        <v>210</v>
      </c>
      <c r="L1035" s="88">
        <v>420</v>
      </c>
      <c r="M1035" s="67" t="s">
        <v>44</v>
      </c>
      <c r="N1035" s="67" t="s">
        <v>52</v>
      </c>
      <c r="O1035" s="27" t="s">
        <v>1631</v>
      </c>
      <c r="P1035" s="33" t="s">
        <v>22</v>
      </c>
      <c r="Q1035" s="60">
        <f>IFERROR(IF(12 / VLOOKUP(Table2[[#This Row],[Rateizzazione]],TIPI_RATEIZZAZIONI,2,FALSE) &gt;=1,  IF(Table2[[#This Row],[Data attivazione]] = "","-",MONTH(Table2[[#This Row],[Data attivazione]])),"-"),"-")</f>
        <v>10</v>
      </c>
      <c r="R10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5" s="67" t="s">
        <v>2</v>
      </c>
      <c r="V1035" s="62"/>
      <c r="W1035" s="64">
        <v>42654</v>
      </c>
      <c r="X1035" s="29">
        <f>DATE(YEAR(Table2[[#This Row],[Data attivazione]])+VLOOKUP(Table2[[#This Row],[Durata]],VALORE_DURATA,2,FALSE),MONTH(Table2[[#This Row],[Data attivazione]]),DAY(Table2[[#This Row],[Data attivazione]]))</f>
        <v>43019</v>
      </c>
      <c r="Y1035" s="65"/>
      <c r="Z1035" s="61"/>
      <c r="AA1035" s="64" t="s">
        <v>85</v>
      </c>
      <c r="AB1035" s="29" t="str">
        <f>IF(Table2[[#This Row],[Data ultimo versamento temp]]=0/1/1900,"-",Table2[[#This Row],[Data ultimo versamento temp]])</f>
        <v>-</v>
      </c>
      <c r="AC1035" s="29">
        <f t="array" ref="AC1035">MAX(IF(TableVersamenti[Polizza]=Table2[[#This Row],[Polizza]],TableVersamenti[Data prevista versamento],"-"))</f>
        <v>0</v>
      </c>
      <c r="AD1035" s="62"/>
      <c r="AE1035" s="106">
        <f>DATE(YEAR(Table2[[#This Row],[Data ultimo pagamento]]),MONTH(Table2[[#This Row],[Data ultimo pagamento]]), 1)</f>
        <v>42826</v>
      </c>
      <c r="AF1035" s="106">
        <f>DATE(YEAR(Table2[[#This Row],[Data prossima scadenza]]),MONTH(Table2[[#This Row],[Data prossima scadenza]]), 1)</f>
        <v>43009</v>
      </c>
      <c r="AG1035" s="33">
        <f>IFERROR(Table2[[#This Row],[Importo annuale]]*VLOOKUP(Table2[[#This Row],[Ramo]],RAMI_POLIZZA,2,FALSE),0)</f>
        <v>21.84</v>
      </c>
      <c r="AH1035" s="65" t="s">
        <v>113</v>
      </c>
      <c r="AI1035" s="63" t="str">
        <f>IFERROR(VLOOKUP(Table2[[#This Row],[Contraente]],Table1[[Nome/Ragione sociale]:[Checkbox selezionato]],2,FALSE),"-")</f>
        <v>RONCARO</v>
      </c>
      <c r="AJ1035" s="63">
        <f>IFERROR(VLOOKUP(Table2[[#This Row],[Contraente]],Table1[[Nome/Ragione sociale]:[Checkbox selezionato]],3,FALSE),"-")</f>
        <v>3474374239</v>
      </c>
      <c r="AK1035" s="63">
        <f>IFERROR(VLOOKUP(Table2[[#This Row],[Contraente]],Table1[[Nome/Ragione sociale]:[Checkbox selezionato]],4,FALSE),"-")</f>
        <v>0</v>
      </c>
      <c r="AL1035" s="63" t="str">
        <f>IFERROR(VLOOKUP(Table2[[#This Row],[Contraente]],Table1[[Nome/Ragione sociale]:[Checkbox selezionato]],5,FALSE),"-")</f>
        <v>TEODORO</v>
      </c>
      <c r="AM1035" s="62">
        <f>IFERROR(VLOOKUP(Table2[[#This Row],[Contraente]],Table1[[Nome/Ragione sociale]:[Checkbox selezionato]],6,FALSE),"-")</f>
        <v>20143</v>
      </c>
      <c r="AN1035" s="63" t="str">
        <f>IFERROR(VLOOKUP(Table2[[#This Row],[Contraente]],Table1[[Nome/Ragione sociale]:[Checkbox selezionato]],7,FALSE),"-")</f>
        <v>papies@email.it</v>
      </c>
      <c r="AO1035" s="63">
        <f>IFERROR(VLOOKUP(Table2[[#This Row],[Contraente]],Table1[[Nome/Ragione sociale]:[Checkbox selezionato]],8,FALSE),"-")</f>
        <v>0</v>
      </c>
      <c r="AP1035" s="63">
        <f>IFERROR(VLOOKUP(Table2[[#This Row],[Contraente]],Table1[[Nome/Ragione sociale]:[Checkbox selezionato]],10,FALSE),"-")</f>
        <v>3474374239</v>
      </c>
      <c r="AQ1035" s="63" t="str">
        <f>IFERROR(VLOOKUP(Table2[[#This Row],[Contraente]],Table1[[Nome/Ragione sociale]:[Checkbox selezionato]],11,FALSE),"-")</f>
        <v>SI</v>
      </c>
      <c r="AR1035" s="63" t="str">
        <f>IFERROR(VLOOKUP(Table2[[#This Row],[Contraente]],Table1[[Nome/Ragione sociale]:[Checkbox selezionato]],12,FALSE),"-")</f>
        <v>SI</v>
      </c>
    </row>
    <row r="1036" spans="1:44" ht="30" hidden="1" customHeight="1" x14ac:dyDescent="0.25">
      <c r="A1036" s="60" t="str">
        <f>UPPER(LEFT(Table2[[#This Row],[Contraente]],1))</f>
        <v>T</v>
      </c>
      <c r="B1036" s="60" t="s">
        <v>1634</v>
      </c>
      <c r="C1036" s="81" t="s">
        <v>1028</v>
      </c>
      <c r="D1036" s="81" t="s">
        <v>37</v>
      </c>
      <c r="E1036" s="86">
        <v>103584066</v>
      </c>
      <c r="F1036" s="64">
        <v>42153</v>
      </c>
      <c r="G1036" s="64">
        <f>IFERROR(CALCOLASCADENZA(Table2[[#This Row],[Data attivazione]],Table2[[#This Row],[Rateizzazione]],Table2[[#This Row],[Data ultimo pagamento]],Table2[[#This Row],[Data prossima scadenza manuale]]),"-")</f>
        <v>42153</v>
      </c>
      <c r="H1036" s="67" t="s">
        <v>31</v>
      </c>
      <c r="I1036" s="67" t="s">
        <v>1584</v>
      </c>
      <c r="J1036" s="33">
        <v>0</v>
      </c>
      <c r="K1036" s="88"/>
      <c r="L1036" s="88">
        <v>0</v>
      </c>
      <c r="M1036" s="67" t="s">
        <v>44</v>
      </c>
      <c r="N1036" s="67" t="s">
        <v>51</v>
      </c>
      <c r="O1036" s="27" t="s">
        <v>1631</v>
      </c>
      <c r="P1036" s="33" t="s">
        <v>24</v>
      </c>
      <c r="Q103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6" s="67" t="s">
        <v>2</v>
      </c>
      <c r="V1036" s="62"/>
      <c r="W1036" s="64">
        <v>693597</v>
      </c>
      <c r="X1036" s="29">
        <f>DATE(YEAR(Table2[[#This Row],[Data attivazione]])+VLOOKUP(Table2[[#This Row],[Durata]],VALORE_DURATA,2,FALSE),MONTH(Table2[[#This Row],[Data attivazione]]),DAY(Table2[[#This Row],[Data attivazione]]))</f>
        <v>693962</v>
      </c>
      <c r="Y1036" s="65"/>
      <c r="Z1036" s="61"/>
      <c r="AA1036" s="64" t="s">
        <v>88</v>
      </c>
      <c r="AB1036" s="29" t="str">
        <f>IF(Table2[[#This Row],[Data ultimo versamento temp]]=0/1/1900,"-",Table2[[#This Row],[Data ultimo versamento temp]])</f>
        <v>-</v>
      </c>
      <c r="AC1036" s="29">
        <f t="array" ref="AC1036">MAX(IF(TableVersamenti[Polizza]=Table2[[#This Row],[Polizza]],TableVersamenti[Data prevista versamento],"-"))</f>
        <v>0</v>
      </c>
      <c r="AD1036" s="62"/>
      <c r="AE1036" s="106">
        <f>DATE(YEAR(Table2[[#This Row],[Data ultimo pagamento]]),MONTH(Table2[[#This Row],[Data ultimo pagamento]]), 1)</f>
        <v>42125</v>
      </c>
      <c r="AF1036" s="106">
        <f>DATE(YEAR(Table2[[#This Row],[Data prossima scadenza]]),MONTH(Table2[[#This Row],[Data prossima scadenza]]), 1)</f>
        <v>42125</v>
      </c>
      <c r="AG1036" s="33">
        <f>IFERROR(Table2[[#This Row],[Importo annuale]]*VLOOKUP(Table2[[#This Row],[Ramo]],RAMI_POLIZZA,2,FALSE),0)</f>
        <v>0</v>
      </c>
      <c r="AH1036" s="65" t="s">
        <v>113</v>
      </c>
      <c r="AI1036" s="63" t="str">
        <f>IFERROR(VLOOKUP(Table2[[#This Row],[Contraente]],Table1[[Nome/Ragione sociale]:[Checkbox selezionato]],2,FALSE),"-")</f>
        <v>BELGIOIOSO</v>
      </c>
      <c r="AJ1036" s="63">
        <f>IFERROR(VLOOKUP(Table2[[#This Row],[Contraente]],Table1[[Nome/Ragione sociale]:[Checkbox selezionato]],3,FALSE),"-")</f>
        <v>3343924533</v>
      </c>
      <c r="AK1036" s="63">
        <f>IFERROR(VLOOKUP(Table2[[#This Row],[Contraente]],Table1[[Nome/Ragione sociale]:[Checkbox selezionato]],4,FALSE),"-")</f>
        <v>0</v>
      </c>
      <c r="AL1036" s="63" t="str">
        <f>IFERROR(VLOOKUP(Table2[[#This Row],[Contraente]],Table1[[Nome/Ragione sociale]:[Checkbox selezionato]],5,FALSE),"-")</f>
        <v>ANGELO</v>
      </c>
      <c r="AM1036" s="62">
        <f>IFERROR(VLOOKUP(Table2[[#This Row],[Contraente]],Table1[[Nome/Ragione sociale]:[Checkbox selezionato]],6,FALSE),"-")</f>
        <v>27532</v>
      </c>
      <c r="AN1036" s="63" t="str">
        <f>IFERROR(VLOOKUP(Table2[[#This Row],[Contraente]],Table1[[Nome/Ragione sociale]:[Checkbox selezionato]],7,FALSE),"-")</f>
        <v>papies@libero.it</v>
      </c>
      <c r="AO1036" s="63">
        <f>IFERROR(VLOOKUP(Table2[[#This Row],[Contraente]],Table1[[Nome/Ragione sociale]:[Checkbox selezionato]],8,FALSE),"-")</f>
        <v>0</v>
      </c>
      <c r="AP1036" s="63">
        <f>IFERROR(VLOOKUP(Table2[[#This Row],[Contraente]],Table1[[Nome/Ragione sociale]:[Checkbox selezionato]],10,FALSE),"-")</f>
        <v>3343924533</v>
      </c>
      <c r="AQ1036" s="63" t="str">
        <f>IFERROR(VLOOKUP(Table2[[#This Row],[Contraente]],Table1[[Nome/Ragione sociale]:[Checkbox selezionato]],11,FALSE),"-")</f>
        <v>SI</v>
      </c>
      <c r="AR1036" s="63" t="str">
        <f>IFERROR(VLOOKUP(Table2[[#This Row],[Contraente]],Table1[[Nome/Ragione sociale]:[Checkbox selezionato]],12,FALSE),"-")</f>
        <v>SI</v>
      </c>
    </row>
    <row r="1037" spans="1:44" ht="30" hidden="1" customHeight="1" x14ac:dyDescent="0.25">
      <c r="A1037" s="60" t="str">
        <f>UPPER(LEFT(Table2[[#This Row],[Contraente]],1))</f>
        <v>T</v>
      </c>
      <c r="B1037" s="60" t="s">
        <v>1634</v>
      </c>
      <c r="C1037" s="81" t="s">
        <v>1028</v>
      </c>
      <c r="D1037" s="81" t="s">
        <v>37</v>
      </c>
      <c r="E1037" s="86">
        <v>102159209</v>
      </c>
      <c r="F1037" s="64">
        <v>42809</v>
      </c>
      <c r="G1037" s="64">
        <f>IFERROR(CALCOLASCADENZA(Table2[[#This Row],[Data attivazione]],Table2[[#This Row],[Rateizzazione]],Table2[[#This Row],[Data ultimo pagamento]],Table2[[#This Row],[Data prossima scadenza manuale]]),"-")</f>
        <v>42993</v>
      </c>
      <c r="H1037" s="67" t="s">
        <v>30</v>
      </c>
      <c r="I1037" s="67" t="s">
        <v>113</v>
      </c>
      <c r="J1037" s="33">
        <f>IFERROR(Table2[[#This Row],[Importo annuale]]/(12/VLOOKUP(Table2[[#This Row],[Rateizzazione]],TIPI_RATEIZZAZIONI,2,FALSE)),"-")</f>
        <v>35</v>
      </c>
      <c r="K1037" s="88">
        <v>35</v>
      </c>
      <c r="L1037" s="88">
        <v>70</v>
      </c>
      <c r="M1037" s="67" t="s">
        <v>43</v>
      </c>
      <c r="N1037" s="67" t="s">
        <v>51</v>
      </c>
      <c r="O1037" s="27" t="s">
        <v>1631</v>
      </c>
      <c r="P1037" s="33" t="s">
        <v>22</v>
      </c>
      <c r="Q1037" s="60">
        <f>IFERROR(IF(12 / VLOOKUP(Table2[[#This Row],[Rateizzazione]],TIPI_RATEIZZAZIONI,2,FALSE) &gt;=1,  IF(Table2[[#This Row],[Data attivazione]] = "","-",MONTH(Table2[[#This Row],[Data attivazione]])),"-"),"-")</f>
        <v>9</v>
      </c>
      <c r="R10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7" s="67" t="s">
        <v>2</v>
      </c>
      <c r="V1037" s="62"/>
      <c r="W1037" s="64">
        <v>42628</v>
      </c>
      <c r="X1037" s="29">
        <f>DATE(YEAR(Table2[[#This Row],[Data attivazione]])+VLOOKUP(Table2[[#This Row],[Durata]],VALORE_DURATA,2,FALSE),MONTH(Table2[[#This Row],[Data attivazione]]),DAY(Table2[[#This Row],[Data attivazione]]))</f>
        <v>42993</v>
      </c>
      <c r="Y1037" s="65"/>
      <c r="Z1037" s="61"/>
      <c r="AA1037" s="64" t="s">
        <v>85</v>
      </c>
      <c r="AB1037" s="29" t="str">
        <f>IF(Table2[[#This Row],[Data ultimo versamento temp]]=0/1/1900,"-",Table2[[#This Row],[Data ultimo versamento temp]])</f>
        <v>-</v>
      </c>
      <c r="AC1037" s="29">
        <f t="array" ref="AC1037">MAX(IF(TableVersamenti[Polizza]=Table2[[#This Row],[Polizza]],TableVersamenti[Data prevista versamento],"-"))</f>
        <v>0</v>
      </c>
      <c r="AD1037" s="62"/>
      <c r="AE1037" s="106">
        <f>DATE(YEAR(Table2[[#This Row],[Data ultimo pagamento]]),MONTH(Table2[[#This Row],[Data ultimo pagamento]]), 1)</f>
        <v>42795</v>
      </c>
      <c r="AF1037" s="106">
        <f>DATE(YEAR(Table2[[#This Row],[Data prossima scadenza]]),MONTH(Table2[[#This Row],[Data prossima scadenza]]), 1)</f>
        <v>42979</v>
      </c>
      <c r="AG1037" s="33">
        <f>IFERROR(Table2[[#This Row],[Importo annuale]]*VLOOKUP(Table2[[#This Row],[Ramo]],RAMI_POLIZZA,2,FALSE),0)</f>
        <v>8.0500000000000007</v>
      </c>
      <c r="AH1037" s="65" t="s">
        <v>113</v>
      </c>
      <c r="AI1037" s="63" t="str">
        <f>IFERROR(VLOOKUP(Table2[[#This Row],[Contraente]],Table1[[Nome/Ragione sociale]:[Checkbox selezionato]],2,FALSE),"-")</f>
        <v>BELGIOIOSO</v>
      </c>
      <c r="AJ1037" s="63">
        <f>IFERROR(VLOOKUP(Table2[[#This Row],[Contraente]],Table1[[Nome/Ragione sociale]:[Checkbox selezionato]],3,FALSE),"-")</f>
        <v>3343924533</v>
      </c>
      <c r="AK1037" s="63">
        <f>IFERROR(VLOOKUP(Table2[[#This Row],[Contraente]],Table1[[Nome/Ragione sociale]:[Checkbox selezionato]],4,FALSE),"-")</f>
        <v>0</v>
      </c>
      <c r="AL1037" s="63" t="str">
        <f>IFERROR(VLOOKUP(Table2[[#This Row],[Contraente]],Table1[[Nome/Ragione sociale]:[Checkbox selezionato]],5,FALSE),"-")</f>
        <v>ANGELO</v>
      </c>
      <c r="AM1037" s="62">
        <f>IFERROR(VLOOKUP(Table2[[#This Row],[Contraente]],Table1[[Nome/Ragione sociale]:[Checkbox selezionato]],6,FALSE),"-")</f>
        <v>27532</v>
      </c>
      <c r="AN1037" s="63" t="str">
        <f>IFERROR(VLOOKUP(Table2[[#This Row],[Contraente]],Table1[[Nome/Ragione sociale]:[Checkbox selezionato]],7,FALSE),"-")</f>
        <v>papies@libero.it</v>
      </c>
      <c r="AO1037" s="63">
        <f>IFERROR(VLOOKUP(Table2[[#This Row],[Contraente]],Table1[[Nome/Ragione sociale]:[Checkbox selezionato]],8,FALSE),"-")</f>
        <v>0</v>
      </c>
      <c r="AP1037" s="63">
        <f>IFERROR(VLOOKUP(Table2[[#This Row],[Contraente]],Table1[[Nome/Ragione sociale]:[Checkbox selezionato]],10,FALSE),"-")</f>
        <v>3343924533</v>
      </c>
      <c r="AQ1037" s="63" t="str">
        <f>IFERROR(VLOOKUP(Table2[[#This Row],[Contraente]],Table1[[Nome/Ragione sociale]:[Checkbox selezionato]],11,FALSE),"-")</f>
        <v>SI</v>
      </c>
      <c r="AR1037" s="63" t="str">
        <f>IFERROR(VLOOKUP(Table2[[#This Row],[Contraente]],Table1[[Nome/Ragione sociale]:[Checkbox selezionato]],12,FALSE),"-")</f>
        <v>SI</v>
      </c>
    </row>
    <row r="1038" spans="1:44" ht="30" hidden="1" customHeight="1" x14ac:dyDescent="0.25">
      <c r="A1038" s="60" t="str">
        <f>UPPER(LEFT(Table2[[#This Row],[Contraente]],1))</f>
        <v>T</v>
      </c>
      <c r="B1038" s="60" t="s">
        <v>1634</v>
      </c>
      <c r="C1038" s="81" t="s">
        <v>1028</v>
      </c>
      <c r="D1038" s="81" t="s">
        <v>37</v>
      </c>
      <c r="E1038" s="86">
        <v>1078364</v>
      </c>
      <c r="F1038" s="64">
        <v>42852</v>
      </c>
      <c r="G1038" s="64">
        <f>IFERROR(CALCOLASCADENZA(Table2[[#This Row],[Data attivazione]],Table2[[#This Row],[Rateizzazione]],Table2[[#This Row],[Data ultimo pagamento]],Table2[[#This Row],[Data prossima scadenza manuale]]),"-")</f>
        <v>43028</v>
      </c>
      <c r="H1038" s="67" t="s">
        <v>32</v>
      </c>
      <c r="I1038" s="67" t="s">
        <v>113</v>
      </c>
      <c r="J1038" s="33">
        <f>IFERROR(Table2[[#This Row],[Importo annuale]]/(12/VLOOKUP(Table2[[#This Row],[Rateizzazione]],TIPI_RATEIZZAZIONI,2,FALSE)),"-")</f>
        <v>71.89</v>
      </c>
      <c r="K1038" s="88">
        <v>71.89</v>
      </c>
      <c r="L1038" s="88">
        <v>143.78</v>
      </c>
      <c r="M1038" s="67" t="s">
        <v>44</v>
      </c>
      <c r="N1038" s="67" t="s">
        <v>51</v>
      </c>
      <c r="O1038" s="27" t="s">
        <v>1631</v>
      </c>
      <c r="P1038" s="33" t="s">
        <v>22</v>
      </c>
      <c r="Q1038" s="60">
        <f>IFERROR(IF(12 / VLOOKUP(Table2[[#This Row],[Rateizzazione]],TIPI_RATEIZZAZIONI,2,FALSE) &gt;=1,  IF(Table2[[#This Row],[Data attivazione]] = "","-",MONTH(Table2[[#This Row],[Data attivazione]])),"-"),"-")</f>
        <v>10</v>
      </c>
      <c r="R10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8" s="67" t="s">
        <v>2</v>
      </c>
      <c r="V1038" s="62"/>
      <c r="W1038" s="64">
        <v>42663</v>
      </c>
      <c r="X1038" s="29">
        <f>DATE(YEAR(Table2[[#This Row],[Data attivazione]])+VLOOKUP(Table2[[#This Row],[Durata]],VALORE_DURATA,2,FALSE),MONTH(Table2[[#This Row],[Data attivazione]]),DAY(Table2[[#This Row],[Data attivazione]]))</f>
        <v>43028</v>
      </c>
      <c r="Y1038" s="65"/>
      <c r="Z1038" s="61"/>
      <c r="AA1038" s="64" t="s">
        <v>85</v>
      </c>
      <c r="AB1038" s="29" t="str">
        <f>IF(Table2[[#This Row],[Data ultimo versamento temp]]=0/1/1900,"-",Table2[[#This Row],[Data ultimo versamento temp]])</f>
        <v>-</v>
      </c>
      <c r="AC1038" s="29">
        <f t="array" ref="AC1038">MAX(IF(TableVersamenti[Polizza]=Table2[[#This Row],[Polizza]],TableVersamenti[Data prevista versamento],"-"))</f>
        <v>0</v>
      </c>
      <c r="AD1038" s="62"/>
      <c r="AE1038" s="106">
        <f>DATE(YEAR(Table2[[#This Row],[Data ultimo pagamento]]),MONTH(Table2[[#This Row],[Data ultimo pagamento]]), 1)</f>
        <v>42826</v>
      </c>
      <c r="AF1038" s="106">
        <f>DATE(YEAR(Table2[[#This Row],[Data prossima scadenza]]),MONTH(Table2[[#This Row],[Data prossima scadenza]]), 1)</f>
        <v>43009</v>
      </c>
      <c r="AG1038" s="33">
        <f>IFERROR(Table2[[#This Row],[Importo annuale]]*VLOOKUP(Table2[[#This Row],[Ramo]],RAMI_POLIZZA,2,FALSE),0)</f>
        <v>2.1566999999999998</v>
      </c>
      <c r="AH1038" s="65" t="s">
        <v>113</v>
      </c>
      <c r="AI1038" s="63" t="str">
        <f>IFERROR(VLOOKUP(Table2[[#This Row],[Contraente]],Table1[[Nome/Ragione sociale]:[Checkbox selezionato]],2,FALSE),"-")</f>
        <v>BELGIOIOSO</v>
      </c>
      <c r="AJ1038" s="63">
        <f>IFERROR(VLOOKUP(Table2[[#This Row],[Contraente]],Table1[[Nome/Ragione sociale]:[Checkbox selezionato]],3,FALSE),"-")</f>
        <v>3343924533</v>
      </c>
      <c r="AK1038" s="63">
        <f>IFERROR(VLOOKUP(Table2[[#This Row],[Contraente]],Table1[[Nome/Ragione sociale]:[Checkbox selezionato]],4,FALSE),"-")</f>
        <v>0</v>
      </c>
      <c r="AL1038" s="63" t="str">
        <f>IFERROR(VLOOKUP(Table2[[#This Row],[Contraente]],Table1[[Nome/Ragione sociale]:[Checkbox selezionato]],5,FALSE),"-")</f>
        <v>ANGELO</v>
      </c>
      <c r="AM1038" s="62">
        <f>IFERROR(VLOOKUP(Table2[[#This Row],[Contraente]],Table1[[Nome/Ragione sociale]:[Checkbox selezionato]],6,FALSE),"-")</f>
        <v>27532</v>
      </c>
      <c r="AN1038" s="63" t="str">
        <f>IFERROR(VLOOKUP(Table2[[#This Row],[Contraente]],Table1[[Nome/Ragione sociale]:[Checkbox selezionato]],7,FALSE),"-")</f>
        <v>papies@libero.it</v>
      </c>
      <c r="AO1038" s="63">
        <f>IFERROR(VLOOKUP(Table2[[#This Row],[Contraente]],Table1[[Nome/Ragione sociale]:[Checkbox selezionato]],8,FALSE),"-")</f>
        <v>0</v>
      </c>
      <c r="AP1038" s="63">
        <f>IFERROR(VLOOKUP(Table2[[#This Row],[Contraente]],Table1[[Nome/Ragione sociale]:[Checkbox selezionato]],10,FALSE),"-")</f>
        <v>3343924533</v>
      </c>
      <c r="AQ1038" s="63" t="str">
        <f>IFERROR(VLOOKUP(Table2[[#This Row],[Contraente]],Table1[[Nome/Ragione sociale]:[Checkbox selezionato]],11,FALSE),"-")</f>
        <v>SI</v>
      </c>
      <c r="AR1038" s="63" t="str">
        <f>IFERROR(VLOOKUP(Table2[[#This Row],[Contraente]],Table1[[Nome/Ragione sociale]:[Checkbox selezionato]],12,FALSE),"-")</f>
        <v>SI</v>
      </c>
    </row>
    <row r="1039" spans="1:44" ht="30" hidden="1" customHeight="1" x14ac:dyDescent="0.25">
      <c r="A1039" s="60" t="str">
        <f>UPPER(LEFT(Table2[[#This Row],[Contraente]],1))</f>
        <v>T</v>
      </c>
      <c r="B1039" s="60" t="s">
        <v>1634</v>
      </c>
      <c r="C1039" s="81" t="s">
        <v>654</v>
      </c>
      <c r="D1039" s="81" t="s">
        <v>37</v>
      </c>
      <c r="E1039" s="86">
        <v>103259454</v>
      </c>
      <c r="F1039" s="64">
        <v>41816</v>
      </c>
      <c r="G1039" s="64">
        <f>IFERROR(CALCOLASCADENZA(Table2[[#This Row],[Data attivazione]],Table2[[#This Row],[Rateizzazione]],Table2[[#This Row],[Data ultimo pagamento]],Table2[[#This Row],[Data prossima scadenza manuale]]),"-")</f>
        <v>693962</v>
      </c>
      <c r="H1039" s="67" t="s">
        <v>31</v>
      </c>
      <c r="I1039" s="67"/>
      <c r="J1039" s="33">
        <f>IFERROR(Table2[[#This Row],[Importo annuale]]/(12/VLOOKUP(Table2[[#This Row],[Rateizzazione]],TIPI_RATEIZZAZIONI,2,FALSE)),"-")</f>
        <v>90</v>
      </c>
      <c r="K1039" s="88"/>
      <c r="L1039" s="88">
        <v>90</v>
      </c>
      <c r="M1039" s="67" t="s">
        <v>43</v>
      </c>
      <c r="N1039" s="67" t="s">
        <v>52</v>
      </c>
      <c r="O1039" s="27" t="s">
        <v>1631</v>
      </c>
      <c r="P1039" s="33" t="s">
        <v>23</v>
      </c>
      <c r="Q1039" s="60">
        <f>IFERROR(IF(12 / VLOOKUP(Table2[[#This Row],[Rateizzazione]],TIPI_RATEIZZAZIONI,2,FALSE) &gt;=1,  IF(Table2[[#This Row],[Data attivazione]] = "","-",MONTH(Table2[[#This Row],[Data attivazione]])),"-"),"-")</f>
        <v>12</v>
      </c>
      <c r="R10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9" s="67" t="s">
        <v>2</v>
      </c>
      <c r="V1039" s="62"/>
      <c r="W1039" s="64">
        <v>693597</v>
      </c>
      <c r="X1039" s="29">
        <f>DATE(YEAR(Table2[[#This Row],[Data attivazione]])+VLOOKUP(Table2[[#This Row],[Durata]],VALORE_DURATA,2,FALSE),MONTH(Table2[[#This Row],[Data attivazione]]),DAY(Table2[[#This Row],[Data attivazione]]))</f>
        <v>693962</v>
      </c>
      <c r="Y1039" s="65"/>
      <c r="Z1039" s="61"/>
      <c r="AA1039" s="64" t="s">
        <v>88</v>
      </c>
      <c r="AB1039" s="29" t="str">
        <f>IF(Table2[[#This Row],[Data ultimo versamento temp]]=0/1/1900,"-",Table2[[#This Row],[Data ultimo versamento temp]])</f>
        <v>-</v>
      </c>
      <c r="AC1039" s="29">
        <f t="array" ref="AC1039">MAX(IF(TableVersamenti[Polizza]=Table2[[#This Row],[Polizza]],TableVersamenti[Data prevista versamento],"-"))</f>
        <v>0</v>
      </c>
      <c r="AD1039" s="62"/>
      <c r="AE1039" s="106">
        <f>DATE(YEAR(Table2[[#This Row],[Data ultimo pagamento]]),MONTH(Table2[[#This Row],[Data ultimo pagamento]]), 1)</f>
        <v>41791</v>
      </c>
      <c r="AF1039" s="106">
        <f>DATE(YEAR(Table2[[#This Row],[Data prossima scadenza]]),MONTH(Table2[[#This Row],[Data prossima scadenza]]), 1)</f>
        <v>693932</v>
      </c>
      <c r="AG1039" s="33">
        <f>IFERROR(Table2[[#This Row],[Importo annuale]]*VLOOKUP(Table2[[#This Row],[Ramo]],RAMI_POLIZZA,2,FALSE),0)</f>
        <v>4.68</v>
      </c>
      <c r="AH1039" s="65" t="s">
        <v>113</v>
      </c>
      <c r="AI1039" s="63" t="str">
        <f>IFERROR(VLOOKUP(Table2[[#This Row],[Contraente]],Table1[[Nome/Ragione sociale]:[Checkbox selezionato]],2,FALSE),"-")</f>
        <v>BELGIOIOSO</v>
      </c>
      <c r="AJ1039" s="63">
        <f>IFERROR(VLOOKUP(Table2[[#This Row],[Contraente]],Table1[[Nome/Ragione sociale]:[Checkbox selezionato]],3,FALSE),"-")</f>
        <v>3392276697</v>
      </c>
      <c r="AK1039" s="63">
        <f>IFERROR(VLOOKUP(Table2[[#This Row],[Contraente]],Table1[[Nome/Ragione sociale]:[Checkbox selezionato]],4,FALSE),"-")</f>
        <v>0</v>
      </c>
      <c r="AL1039" s="63" t="str">
        <f>IFERROR(VLOOKUP(Table2[[#This Row],[Contraente]],Table1[[Nome/Ragione sociale]:[Checkbox selezionato]],5,FALSE),"-")</f>
        <v>GIOVANNI</v>
      </c>
      <c r="AM1039" s="62">
        <f>IFERROR(VLOOKUP(Table2[[#This Row],[Contraente]],Table1[[Nome/Ragione sociale]:[Checkbox selezionato]],6,FALSE),"-")</f>
        <v>20417</v>
      </c>
      <c r="AN1039" s="63" t="str">
        <f>IFERROR(VLOOKUP(Table2[[#This Row],[Contraente]],Table1[[Nome/Ragione sociale]:[Checkbox selezionato]],7,FALSE),"-")</f>
        <v>papies@libero.it</v>
      </c>
      <c r="AO1039" s="63">
        <f>IFERROR(VLOOKUP(Table2[[#This Row],[Contraente]],Table1[[Nome/Ragione sociale]:[Checkbox selezionato]],8,FALSE),"-")</f>
        <v>0</v>
      </c>
      <c r="AP1039" s="63">
        <f>IFERROR(VLOOKUP(Table2[[#This Row],[Contraente]],Table1[[Nome/Ragione sociale]:[Checkbox selezionato]],10,FALSE),"-")</f>
        <v>3392276697</v>
      </c>
      <c r="AQ1039" s="63" t="str">
        <f>IFERROR(VLOOKUP(Table2[[#This Row],[Contraente]],Table1[[Nome/Ragione sociale]:[Checkbox selezionato]],11,FALSE),"-")</f>
        <v>SI</v>
      </c>
      <c r="AR1039" s="63" t="str">
        <f>IFERROR(VLOOKUP(Table2[[#This Row],[Contraente]],Table1[[Nome/Ragione sociale]:[Checkbox selezionato]],12,FALSE),"-")</f>
        <v>SI</v>
      </c>
    </row>
    <row r="1040" spans="1:44" ht="30" hidden="1" customHeight="1" x14ac:dyDescent="0.25">
      <c r="A1040" s="60" t="str">
        <f>UPPER(LEFT(Table2[[#This Row],[Contraente]],1))</f>
        <v>T</v>
      </c>
      <c r="B1040" s="60" t="s">
        <v>1634</v>
      </c>
      <c r="C1040" s="81" t="s">
        <v>654</v>
      </c>
      <c r="D1040" s="81" t="s">
        <v>37</v>
      </c>
      <c r="E1040" s="86">
        <v>103320545</v>
      </c>
      <c r="F1040" s="64"/>
      <c r="G1040" s="64">
        <f>IFERROR(CALCOLASCADENZA(Table2[[#This Row],[Data attivazione]],Table2[[#This Row],[Rateizzazione]],Table2[[#This Row],[Data ultimo pagamento]],Table2[[#This Row],[Data prossima scadenza manuale]]),"-")</f>
        <v>0</v>
      </c>
      <c r="H1040" s="67" t="s">
        <v>30</v>
      </c>
      <c r="I1040" s="67"/>
      <c r="J1040" s="33"/>
      <c r="K1040" s="88"/>
      <c r="L1040" s="88"/>
      <c r="M1040" s="67" t="s">
        <v>43</v>
      </c>
      <c r="N1040" s="67" t="s">
        <v>51</v>
      </c>
      <c r="O1040" s="27" t="s">
        <v>1631</v>
      </c>
      <c r="P1040" s="33" t="s">
        <v>24</v>
      </c>
      <c r="Q104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0" s="67" t="s">
        <v>2</v>
      </c>
      <c r="V1040" s="62"/>
      <c r="W1040" s="64">
        <v>693597</v>
      </c>
      <c r="X1040" s="29">
        <f>DATE(YEAR(Table2[[#This Row],[Data attivazione]])+VLOOKUP(Table2[[#This Row],[Durata]],VALORE_DURATA,2,FALSE),MONTH(Table2[[#This Row],[Data attivazione]]),DAY(Table2[[#This Row],[Data attivazione]]))</f>
        <v>693962</v>
      </c>
      <c r="Y1040" s="65"/>
      <c r="Z1040" s="61"/>
      <c r="AA1040" s="64" t="s">
        <v>88</v>
      </c>
      <c r="AB1040" s="29" t="str">
        <f>IF(Table2[[#This Row],[Data ultimo versamento temp]]=0/1/1900,"-",Table2[[#This Row],[Data ultimo versamento temp]])</f>
        <v>-</v>
      </c>
      <c r="AC1040" s="29">
        <f t="array" ref="AC1040">MAX(IF(TableVersamenti[Polizza]=Table2[[#This Row],[Polizza]],TableVersamenti[Data prevista versamento],"-"))</f>
        <v>0</v>
      </c>
      <c r="AD1040" s="62"/>
      <c r="AE1040" s="106">
        <f>DATE(YEAR(Table2[[#This Row],[Data ultimo pagamento]]),MONTH(Table2[[#This Row],[Data ultimo pagamento]]), 1)</f>
        <v>1</v>
      </c>
      <c r="AF1040" s="106">
        <f>DATE(YEAR(Table2[[#This Row],[Data prossima scadenza]]),MONTH(Table2[[#This Row],[Data prossima scadenza]]), 1)</f>
        <v>1</v>
      </c>
      <c r="AG1040" s="33">
        <f>IFERROR(Table2[[#This Row],[Importo annuale]]*VLOOKUP(Table2[[#This Row],[Ramo]],RAMI_POLIZZA,2,FALSE),0)</f>
        <v>0</v>
      </c>
      <c r="AH1040" s="65" t="s">
        <v>113</v>
      </c>
      <c r="AI1040" s="63" t="str">
        <f>IFERROR(VLOOKUP(Table2[[#This Row],[Contraente]],Table1[[Nome/Ragione sociale]:[Checkbox selezionato]],2,FALSE),"-")</f>
        <v>BELGIOIOSO</v>
      </c>
      <c r="AJ1040" s="63">
        <f>IFERROR(VLOOKUP(Table2[[#This Row],[Contraente]],Table1[[Nome/Ragione sociale]:[Checkbox selezionato]],3,FALSE),"-")</f>
        <v>3392276697</v>
      </c>
      <c r="AK1040" s="63">
        <f>IFERROR(VLOOKUP(Table2[[#This Row],[Contraente]],Table1[[Nome/Ragione sociale]:[Checkbox selezionato]],4,FALSE),"-")</f>
        <v>0</v>
      </c>
      <c r="AL1040" s="63" t="str">
        <f>IFERROR(VLOOKUP(Table2[[#This Row],[Contraente]],Table1[[Nome/Ragione sociale]:[Checkbox selezionato]],5,FALSE),"-")</f>
        <v>GIOVANNI</v>
      </c>
      <c r="AM1040" s="62">
        <f>IFERROR(VLOOKUP(Table2[[#This Row],[Contraente]],Table1[[Nome/Ragione sociale]:[Checkbox selezionato]],6,FALSE),"-")</f>
        <v>20417</v>
      </c>
      <c r="AN1040" s="63" t="str">
        <f>IFERROR(VLOOKUP(Table2[[#This Row],[Contraente]],Table1[[Nome/Ragione sociale]:[Checkbox selezionato]],7,FALSE),"-")</f>
        <v>papies@libero.it</v>
      </c>
      <c r="AO1040" s="63">
        <f>IFERROR(VLOOKUP(Table2[[#This Row],[Contraente]],Table1[[Nome/Ragione sociale]:[Checkbox selezionato]],8,FALSE),"-")</f>
        <v>0</v>
      </c>
      <c r="AP1040" s="63">
        <f>IFERROR(VLOOKUP(Table2[[#This Row],[Contraente]],Table1[[Nome/Ragione sociale]:[Checkbox selezionato]],10,FALSE),"-")</f>
        <v>3392276697</v>
      </c>
      <c r="AQ1040" s="63" t="str">
        <f>IFERROR(VLOOKUP(Table2[[#This Row],[Contraente]],Table1[[Nome/Ragione sociale]:[Checkbox selezionato]],11,FALSE),"-")</f>
        <v>SI</v>
      </c>
      <c r="AR1040" s="63" t="str">
        <f>IFERROR(VLOOKUP(Table2[[#This Row],[Contraente]],Table1[[Nome/Ragione sociale]:[Checkbox selezionato]],12,FALSE),"-")</f>
        <v>SI</v>
      </c>
    </row>
    <row r="1041" spans="1:44" ht="30" hidden="1" customHeight="1" x14ac:dyDescent="0.25">
      <c r="A1041" s="60" t="str">
        <f>UPPER(LEFT(Table2[[#This Row],[Contraente]],1))</f>
        <v>T</v>
      </c>
      <c r="B1041" s="60" t="s">
        <v>1634</v>
      </c>
      <c r="C1041" s="81" t="s">
        <v>654</v>
      </c>
      <c r="D1041" s="81" t="s">
        <v>37</v>
      </c>
      <c r="E1041" s="86">
        <v>107044809</v>
      </c>
      <c r="F1041" s="64">
        <v>42914</v>
      </c>
      <c r="G1041" s="64">
        <f>IFERROR(CALCOLASCADENZA(Table2[[#This Row],[Data attivazione]],Table2[[#This Row],[Rateizzazione]],Table2[[#This Row],[Data ultimo pagamento]],Table2[[#This Row],[Data prossima scadenza manuale]]),"-")</f>
        <v>43103</v>
      </c>
      <c r="H1041" s="67" t="s">
        <v>31</v>
      </c>
      <c r="I1041" s="67" t="s">
        <v>1585</v>
      </c>
      <c r="J1041" s="33">
        <f>IFERROR(Table2[[#This Row],[Importo annuale]]/(12/VLOOKUP(Table2[[#This Row],[Rateizzazione]],TIPI_RATEIZZAZIONI,2,FALSE)),"-")</f>
        <v>120</v>
      </c>
      <c r="K1041" s="88">
        <v>240</v>
      </c>
      <c r="L1041" s="88">
        <v>240</v>
      </c>
      <c r="M1041" s="67" t="s">
        <v>43</v>
      </c>
      <c r="N1041" s="67" t="s">
        <v>51</v>
      </c>
      <c r="O1041" s="27" t="s">
        <v>1631</v>
      </c>
      <c r="P1041" s="33" t="s">
        <v>22</v>
      </c>
      <c r="Q1041" s="60">
        <f>IFERROR(IF(12 / VLOOKUP(Table2[[#This Row],[Rateizzazione]],TIPI_RATEIZZAZIONI,2,FALSE) &gt;=1,  IF(Table2[[#This Row],[Data attivazione]] = "","-",MONTH(Table2[[#This Row],[Data attivazione]])),"-"),"-")</f>
        <v>1</v>
      </c>
      <c r="R10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1" s="67" t="s">
        <v>2</v>
      </c>
      <c r="V1041" s="62"/>
      <c r="W1041" s="64">
        <v>42738</v>
      </c>
      <c r="X1041" s="29">
        <f>DATE(YEAR(Table2[[#This Row],[Data attivazione]])+VLOOKUP(Table2[[#This Row],[Durata]],VALORE_DURATA,2,FALSE),MONTH(Table2[[#This Row],[Data attivazione]]),DAY(Table2[[#This Row],[Data attivazione]]))</f>
        <v>43103</v>
      </c>
      <c r="Y1041" s="65"/>
      <c r="Z1041" s="61"/>
      <c r="AA1041" s="64" t="s">
        <v>85</v>
      </c>
      <c r="AB1041" s="29" t="str">
        <f>IF(Table2[[#This Row],[Data ultimo versamento temp]]=0/1/1900,"-",Table2[[#This Row],[Data ultimo versamento temp]])</f>
        <v>-</v>
      </c>
      <c r="AC1041" s="29">
        <f t="array" ref="AC1041">MAX(IF(TableVersamenti[Polizza]=Table2[[#This Row],[Polizza]],TableVersamenti[Data prevista versamento],"-"))</f>
        <v>0</v>
      </c>
      <c r="AD1041" s="62"/>
      <c r="AE1041" s="106">
        <f>DATE(YEAR(Table2[[#This Row],[Data ultimo pagamento]]),MONTH(Table2[[#This Row],[Data ultimo pagamento]]), 1)</f>
        <v>42887</v>
      </c>
      <c r="AF1041" s="106">
        <f>DATE(YEAR(Table2[[#This Row],[Data prossima scadenza]]),MONTH(Table2[[#This Row],[Data prossima scadenza]]), 1)</f>
        <v>43101</v>
      </c>
      <c r="AG1041" s="33">
        <f>IFERROR(Table2[[#This Row],[Importo annuale]]*VLOOKUP(Table2[[#This Row],[Ramo]],RAMI_POLIZZA,2,FALSE),0)</f>
        <v>12.479999999999999</v>
      </c>
      <c r="AH1041" s="65" t="s">
        <v>113</v>
      </c>
      <c r="AI1041" s="63" t="str">
        <f>IFERROR(VLOOKUP(Table2[[#This Row],[Contraente]],Table1[[Nome/Ragione sociale]:[Checkbox selezionato]],2,FALSE),"-")</f>
        <v>BELGIOIOSO</v>
      </c>
      <c r="AJ1041" s="63">
        <f>IFERROR(VLOOKUP(Table2[[#This Row],[Contraente]],Table1[[Nome/Ragione sociale]:[Checkbox selezionato]],3,FALSE),"-")</f>
        <v>3392276697</v>
      </c>
      <c r="AK1041" s="63">
        <f>IFERROR(VLOOKUP(Table2[[#This Row],[Contraente]],Table1[[Nome/Ragione sociale]:[Checkbox selezionato]],4,FALSE),"-")</f>
        <v>0</v>
      </c>
      <c r="AL1041" s="63" t="str">
        <f>IFERROR(VLOOKUP(Table2[[#This Row],[Contraente]],Table1[[Nome/Ragione sociale]:[Checkbox selezionato]],5,FALSE),"-")</f>
        <v>GIOVANNI</v>
      </c>
      <c r="AM1041" s="62">
        <f>IFERROR(VLOOKUP(Table2[[#This Row],[Contraente]],Table1[[Nome/Ragione sociale]:[Checkbox selezionato]],6,FALSE),"-")</f>
        <v>20417</v>
      </c>
      <c r="AN1041" s="63" t="str">
        <f>IFERROR(VLOOKUP(Table2[[#This Row],[Contraente]],Table1[[Nome/Ragione sociale]:[Checkbox selezionato]],7,FALSE),"-")</f>
        <v>papies@libero.it</v>
      </c>
      <c r="AO1041" s="63">
        <f>IFERROR(VLOOKUP(Table2[[#This Row],[Contraente]],Table1[[Nome/Ragione sociale]:[Checkbox selezionato]],8,FALSE),"-")</f>
        <v>0</v>
      </c>
      <c r="AP1041" s="63">
        <f>IFERROR(VLOOKUP(Table2[[#This Row],[Contraente]],Table1[[Nome/Ragione sociale]:[Checkbox selezionato]],10,FALSE),"-")</f>
        <v>3392276697</v>
      </c>
      <c r="AQ1041" s="63" t="str">
        <f>IFERROR(VLOOKUP(Table2[[#This Row],[Contraente]],Table1[[Nome/Ragione sociale]:[Checkbox selezionato]],11,FALSE),"-")</f>
        <v>SI</v>
      </c>
      <c r="AR1041" s="63" t="str">
        <f>IFERROR(VLOOKUP(Table2[[#This Row],[Contraente]],Table1[[Nome/Ragione sociale]:[Checkbox selezionato]],12,FALSE),"-")</f>
        <v>SI</v>
      </c>
    </row>
    <row r="1042" spans="1:44" ht="30" hidden="1" customHeight="1" x14ac:dyDescent="0.25">
      <c r="A1042" s="60" t="str">
        <f>UPPER(LEFT(Table2[[#This Row],[Contraente]],1))</f>
        <v>T</v>
      </c>
      <c r="B1042" s="60" t="s">
        <v>1634</v>
      </c>
      <c r="C1042" s="81" t="s">
        <v>1032</v>
      </c>
      <c r="D1042" s="81" t="s">
        <v>37</v>
      </c>
      <c r="E1042" s="86">
        <v>106175039</v>
      </c>
      <c r="F1042" s="64">
        <v>42852</v>
      </c>
      <c r="G1042" s="64">
        <f>IFERROR(CALCOLASCADENZA(Table2[[#This Row],[Data attivazione]],Table2[[#This Row],[Rateizzazione]],Table2[[#This Row],[Data ultimo pagamento]],Table2[[#This Row],[Data prossima scadenza manuale]]),"-")</f>
        <v>43024</v>
      </c>
      <c r="H1042" s="67" t="s">
        <v>31</v>
      </c>
      <c r="I1042" s="67" t="s">
        <v>1586</v>
      </c>
      <c r="J1042" s="33">
        <f>IFERROR(Table2[[#This Row],[Importo annuale]]/(12/VLOOKUP(Table2[[#This Row],[Rateizzazione]],TIPI_RATEIZZAZIONI,2,FALSE)),"-")</f>
        <v>205</v>
      </c>
      <c r="K1042" s="88">
        <v>205</v>
      </c>
      <c r="L1042" s="88">
        <v>410</v>
      </c>
      <c r="M1042" s="67" t="s">
        <v>43</v>
      </c>
      <c r="N1042" s="67" t="s">
        <v>51</v>
      </c>
      <c r="O1042" s="27" t="s">
        <v>1631</v>
      </c>
      <c r="P1042" s="33" t="s">
        <v>22</v>
      </c>
      <c r="Q1042" s="60">
        <f>IFERROR(IF(12 / VLOOKUP(Table2[[#This Row],[Rateizzazione]],TIPI_RATEIZZAZIONI,2,FALSE) &gt;=1,  IF(Table2[[#This Row],[Data attivazione]] = "","-",MONTH(Table2[[#This Row],[Data attivazione]])),"-"),"-")</f>
        <v>10</v>
      </c>
      <c r="R10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2" s="67" t="s">
        <v>2</v>
      </c>
      <c r="V1042" s="62"/>
      <c r="W1042" s="64">
        <v>42659</v>
      </c>
      <c r="X1042" s="29">
        <f>DATE(YEAR(Table2[[#This Row],[Data attivazione]])+VLOOKUP(Table2[[#This Row],[Durata]],VALORE_DURATA,2,FALSE),MONTH(Table2[[#This Row],[Data attivazione]]),DAY(Table2[[#This Row],[Data attivazione]]))</f>
        <v>43024</v>
      </c>
      <c r="Y1042" s="65"/>
      <c r="Z1042" s="61"/>
      <c r="AA1042" s="64" t="s">
        <v>85</v>
      </c>
      <c r="AB1042" s="29" t="str">
        <f>IF(Table2[[#This Row],[Data ultimo versamento temp]]=0/1/1900,"-",Table2[[#This Row],[Data ultimo versamento temp]])</f>
        <v>-</v>
      </c>
      <c r="AC1042" s="29">
        <f t="array" ref="AC1042">MAX(IF(TableVersamenti[Polizza]=Table2[[#This Row],[Polizza]],TableVersamenti[Data prevista versamento],"-"))</f>
        <v>0</v>
      </c>
      <c r="AD1042" s="62"/>
      <c r="AE1042" s="106">
        <f>DATE(YEAR(Table2[[#This Row],[Data ultimo pagamento]]),MONTH(Table2[[#This Row],[Data ultimo pagamento]]), 1)</f>
        <v>42826</v>
      </c>
      <c r="AF1042" s="106">
        <f>DATE(YEAR(Table2[[#This Row],[Data prossima scadenza]]),MONTH(Table2[[#This Row],[Data prossima scadenza]]), 1)</f>
        <v>43009</v>
      </c>
      <c r="AG1042" s="33">
        <f>IFERROR(Table2[[#This Row],[Importo annuale]]*VLOOKUP(Table2[[#This Row],[Ramo]],RAMI_POLIZZA,2,FALSE),0)</f>
        <v>21.32</v>
      </c>
      <c r="AH1042" s="65" t="s">
        <v>113</v>
      </c>
      <c r="AI1042" s="63" t="str">
        <f>IFERROR(VLOOKUP(Table2[[#This Row],[Contraente]],Table1[[Nome/Ragione sociale]:[Checkbox selezionato]],2,FALSE),"-")</f>
        <v>BELGIOIOSO</v>
      </c>
      <c r="AJ1042" s="63">
        <f>IFERROR(VLOOKUP(Table2[[#This Row],[Contraente]],Table1[[Nome/Ragione sociale]:[Checkbox selezionato]],3,FALSE),"-")</f>
        <v>3664415008</v>
      </c>
      <c r="AK1042" s="63">
        <f>IFERROR(VLOOKUP(Table2[[#This Row],[Contraente]],Table1[[Nome/Ragione sociale]:[Checkbox selezionato]],4,FALSE),"-")</f>
        <v>0</v>
      </c>
      <c r="AL1042" s="63" t="str">
        <f>IFERROR(VLOOKUP(Table2[[#This Row],[Contraente]],Table1[[Nome/Ragione sociale]:[Checkbox selezionato]],5,FALSE),"-")</f>
        <v>RAFFAELE</v>
      </c>
      <c r="AM1042" s="62">
        <f>IFERROR(VLOOKUP(Table2[[#This Row],[Contraente]],Table1[[Nome/Ragione sociale]:[Checkbox selezionato]],6,FALSE),"-")</f>
        <v>29537</v>
      </c>
      <c r="AN1042" s="63" t="str">
        <f>IFERROR(VLOOKUP(Table2[[#This Row],[Contraente]],Table1[[Nome/Ragione sociale]:[Checkbox selezionato]],7,FALSE),"-")</f>
        <v>papies@email.it</v>
      </c>
      <c r="AO1042" s="63">
        <f>IFERROR(VLOOKUP(Table2[[#This Row],[Contraente]],Table1[[Nome/Ragione sociale]:[Checkbox selezionato]],8,FALSE),"-")</f>
        <v>0</v>
      </c>
      <c r="AP1042" s="63">
        <f>IFERROR(VLOOKUP(Table2[[#This Row],[Contraente]],Table1[[Nome/Ragione sociale]:[Checkbox selezionato]],10,FALSE),"-")</f>
        <v>3664415008</v>
      </c>
      <c r="AQ1042" s="63" t="str">
        <f>IFERROR(VLOOKUP(Table2[[#This Row],[Contraente]],Table1[[Nome/Ragione sociale]:[Checkbox selezionato]],11,FALSE),"-")</f>
        <v>SI</v>
      </c>
      <c r="AR1042" s="63" t="str">
        <f>IFERROR(VLOOKUP(Table2[[#This Row],[Contraente]],Table1[[Nome/Ragione sociale]:[Checkbox selezionato]],12,FALSE),"-")</f>
        <v>SI</v>
      </c>
    </row>
    <row r="1043" spans="1:44" ht="30" hidden="1" customHeight="1" x14ac:dyDescent="0.25">
      <c r="A1043" s="60" t="str">
        <f>UPPER(LEFT(Table2[[#This Row],[Contraente]],1))</f>
        <v>T</v>
      </c>
      <c r="B1043" s="60" t="s">
        <v>1634</v>
      </c>
      <c r="C1043" s="81" t="s">
        <v>1036</v>
      </c>
      <c r="D1043" s="81" t="s">
        <v>37</v>
      </c>
      <c r="E1043" s="86">
        <v>104391609</v>
      </c>
      <c r="F1043" s="64">
        <v>42135</v>
      </c>
      <c r="G1043" s="64">
        <f>IFERROR(CALCOLASCADENZA(Table2[[#This Row],[Data attivazione]],Table2[[#This Row],[Rateizzazione]],Table2[[#This Row],[Data ultimo pagamento]],Table2[[#This Row],[Data prossima scadenza manuale]]),"-")</f>
        <v>42135</v>
      </c>
      <c r="H1043" s="67" t="s">
        <v>31</v>
      </c>
      <c r="I1043" s="67" t="s">
        <v>1587</v>
      </c>
      <c r="J1043" s="33">
        <v>0</v>
      </c>
      <c r="K1043" s="88"/>
      <c r="L1043" s="88">
        <v>0</v>
      </c>
      <c r="M1043" s="67" t="s">
        <v>43</v>
      </c>
      <c r="N1043" s="67" t="s">
        <v>51</v>
      </c>
      <c r="O1043" s="27" t="s">
        <v>1631</v>
      </c>
      <c r="P1043" s="33" t="s">
        <v>24</v>
      </c>
      <c r="Q104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3" s="67" t="s">
        <v>2</v>
      </c>
      <c r="V1043" s="62"/>
      <c r="W1043" s="64">
        <v>693597</v>
      </c>
      <c r="X1043" s="29">
        <f>DATE(YEAR(Table2[[#This Row],[Data attivazione]])+VLOOKUP(Table2[[#This Row],[Durata]],VALORE_DURATA,2,FALSE),MONTH(Table2[[#This Row],[Data attivazione]]),DAY(Table2[[#This Row],[Data attivazione]]))</f>
        <v>693962</v>
      </c>
      <c r="Y1043" s="65"/>
      <c r="Z1043" s="61"/>
      <c r="AA1043" s="64" t="s">
        <v>88</v>
      </c>
      <c r="AB1043" s="29" t="str">
        <f>IF(Table2[[#This Row],[Data ultimo versamento temp]]=0/1/1900,"-",Table2[[#This Row],[Data ultimo versamento temp]])</f>
        <v>-</v>
      </c>
      <c r="AC1043" s="29">
        <f t="array" ref="AC1043">MAX(IF(TableVersamenti[Polizza]=Table2[[#This Row],[Polizza]],TableVersamenti[Data prevista versamento],"-"))</f>
        <v>0</v>
      </c>
      <c r="AD1043" s="62"/>
      <c r="AE1043" s="106">
        <f>DATE(YEAR(Table2[[#This Row],[Data ultimo pagamento]]),MONTH(Table2[[#This Row],[Data ultimo pagamento]]), 1)</f>
        <v>42125</v>
      </c>
      <c r="AF1043" s="106">
        <f>DATE(YEAR(Table2[[#This Row],[Data prossima scadenza]]),MONTH(Table2[[#This Row],[Data prossima scadenza]]), 1)</f>
        <v>42125</v>
      </c>
      <c r="AG1043" s="33">
        <f>IFERROR(Table2[[#This Row],[Importo annuale]]*VLOOKUP(Table2[[#This Row],[Ramo]],RAMI_POLIZZA,2,FALSE),0)</f>
        <v>0</v>
      </c>
      <c r="AH1043" s="65" t="s">
        <v>113</v>
      </c>
      <c r="AI1043" s="63">
        <f>IFERROR(VLOOKUP(Table2[[#This Row],[Contraente]],Table1[[Nome/Ragione sociale]:[Checkbox selezionato]],2,FALSE),"-")</f>
        <v>0</v>
      </c>
      <c r="AJ1043" s="63">
        <f>IFERROR(VLOOKUP(Table2[[#This Row],[Contraente]],Table1[[Nome/Ragione sociale]:[Checkbox selezionato]],3,FALSE),"-")</f>
        <v>0</v>
      </c>
      <c r="AK1043" s="63">
        <f>IFERROR(VLOOKUP(Table2[[#This Row],[Contraente]],Table1[[Nome/Ragione sociale]:[Checkbox selezionato]],4,FALSE),"-")</f>
        <v>0</v>
      </c>
      <c r="AL1043" s="63">
        <f>IFERROR(VLOOKUP(Table2[[#This Row],[Contraente]],Table1[[Nome/Ragione sociale]:[Checkbox selezionato]],5,FALSE),"-")</f>
        <v>0</v>
      </c>
      <c r="AM1043" s="62">
        <f>IFERROR(VLOOKUP(Table2[[#This Row],[Contraente]],Table1[[Nome/Ragione sociale]:[Checkbox selezionato]],6,FALSE),"-")</f>
        <v>0</v>
      </c>
      <c r="AN1043" s="63" t="str">
        <f>IFERROR(VLOOKUP(Table2[[#This Row],[Contraente]],Table1[[Nome/Ragione sociale]:[Checkbox selezionato]],7,FALSE),"-")</f>
        <v>papies@libero.it</v>
      </c>
      <c r="AO1043" s="63">
        <f>IFERROR(VLOOKUP(Table2[[#This Row],[Contraente]],Table1[[Nome/Ragione sociale]:[Checkbox selezionato]],8,FALSE),"-")</f>
        <v>0</v>
      </c>
      <c r="AP1043" s="63">
        <f>IFERROR(VLOOKUP(Table2[[#This Row],[Contraente]],Table1[[Nome/Ragione sociale]:[Checkbox selezionato]],10,FALSE),"-")</f>
        <v>0</v>
      </c>
      <c r="AQ1043" s="63" t="str">
        <f>IFERROR(VLOOKUP(Table2[[#This Row],[Contraente]],Table1[[Nome/Ragione sociale]:[Checkbox selezionato]],11,FALSE),"-")</f>
        <v>SI</v>
      </c>
      <c r="AR1043" s="63" t="str">
        <f>IFERROR(VLOOKUP(Table2[[#This Row],[Contraente]],Table1[[Nome/Ragione sociale]:[Checkbox selezionato]],12,FALSE),"-")</f>
        <v>SI</v>
      </c>
    </row>
    <row r="1044" spans="1:44" ht="30" hidden="1" customHeight="1" x14ac:dyDescent="0.25">
      <c r="A1044" s="60" t="str">
        <f>UPPER(LEFT(Table2[[#This Row],[Contraente]],1))</f>
        <v>T</v>
      </c>
      <c r="B1044" s="60" t="s">
        <v>1634</v>
      </c>
      <c r="C1044" s="81" t="s">
        <v>1037</v>
      </c>
      <c r="D1044" s="81" t="s">
        <v>37</v>
      </c>
      <c r="E1044" s="86">
        <v>102687338</v>
      </c>
      <c r="F1044" s="64">
        <v>42762</v>
      </c>
      <c r="G1044" s="64">
        <f>IFERROR(CALCOLASCADENZA(Table2[[#This Row],[Data attivazione]],Table2[[#This Row],[Rateizzazione]],Table2[[#This Row],[Data ultimo pagamento]],Table2[[#This Row],[Data prossima scadenza manuale]]),"-")</f>
        <v>43112</v>
      </c>
      <c r="H1044" s="67" t="s">
        <v>30</v>
      </c>
      <c r="I1044" s="67" t="s">
        <v>113</v>
      </c>
      <c r="J1044" s="33">
        <f>IFERROR(Table2[[#This Row],[Importo annuale]]/(12/VLOOKUP(Table2[[#This Row],[Rateizzazione]],TIPI_RATEIZZAZIONI,2,FALSE)),"-")</f>
        <v>860</v>
      </c>
      <c r="K1044" s="88">
        <v>860</v>
      </c>
      <c r="L1044" s="88">
        <v>860</v>
      </c>
      <c r="M1044" s="67" t="s">
        <v>43</v>
      </c>
      <c r="N1044" s="67" t="s">
        <v>51</v>
      </c>
      <c r="O1044" s="27" t="s">
        <v>1631</v>
      </c>
      <c r="P1044" s="33" t="s">
        <v>23</v>
      </c>
      <c r="Q1044" s="60">
        <f>IFERROR(IF(12 / VLOOKUP(Table2[[#This Row],[Rateizzazione]],TIPI_RATEIZZAZIONI,2,FALSE) &gt;=1,  IF(Table2[[#This Row],[Data attivazione]] = "","-",MONTH(Table2[[#This Row],[Data attivazione]])),"-"),"-")</f>
        <v>1</v>
      </c>
      <c r="R10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4" s="67" t="s">
        <v>2</v>
      </c>
      <c r="V1044" s="62"/>
      <c r="W1044" s="64">
        <v>42747</v>
      </c>
      <c r="X1044" s="29">
        <f>DATE(YEAR(Table2[[#This Row],[Data attivazione]])+VLOOKUP(Table2[[#This Row],[Durata]],VALORE_DURATA,2,FALSE),MONTH(Table2[[#This Row],[Data attivazione]]),DAY(Table2[[#This Row],[Data attivazione]]))</f>
        <v>43112</v>
      </c>
      <c r="Y1044" s="65"/>
      <c r="Z1044" s="61"/>
      <c r="AA1044" s="64" t="s">
        <v>85</v>
      </c>
      <c r="AB1044" s="29" t="str">
        <f>IF(Table2[[#This Row],[Data ultimo versamento temp]]=0/1/1900,"-",Table2[[#This Row],[Data ultimo versamento temp]])</f>
        <v>-</v>
      </c>
      <c r="AC1044" s="29">
        <f t="array" ref="AC1044">MAX(IF(TableVersamenti[Polizza]=Table2[[#This Row],[Polizza]],TableVersamenti[Data prevista versamento],"-"))</f>
        <v>0</v>
      </c>
      <c r="AD1044" s="62"/>
      <c r="AE1044" s="106">
        <f>DATE(YEAR(Table2[[#This Row],[Data ultimo pagamento]]),MONTH(Table2[[#This Row],[Data ultimo pagamento]]), 1)</f>
        <v>42736</v>
      </c>
      <c r="AF1044" s="106">
        <f>DATE(YEAR(Table2[[#This Row],[Data prossima scadenza]]),MONTH(Table2[[#This Row],[Data prossima scadenza]]), 1)</f>
        <v>43101</v>
      </c>
      <c r="AG1044" s="33">
        <f>IFERROR(Table2[[#This Row],[Importo annuale]]*VLOOKUP(Table2[[#This Row],[Ramo]],RAMI_POLIZZA,2,FALSE),0)</f>
        <v>98.9</v>
      </c>
      <c r="AH1044" s="65" t="s">
        <v>113</v>
      </c>
      <c r="AI1044" s="63" t="str">
        <f>IFERROR(VLOOKUP(Table2[[#This Row],[Contraente]],Table1[[Nome/Ragione sociale]:[Checkbox selezionato]],2,FALSE),"-")</f>
        <v>PAVIA</v>
      </c>
      <c r="AJ1044" s="63">
        <f>IFERROR(VLOOKUP(Table2[[#This Row],[Contraente]],Table1[[Nome/Ragione sociale]:[Checkbox selezionato]],3,FALSE),"-")</f>
        <v>3480037190</v>
      </c>
      <c r="AK1044" s="63">
        <f>IFERROR(VLOOKUP(Table2[[#This Row],[Contraente]],Table1[[Nome/Ragione sociale]:[Checkbox selezionato]],4,FALSE),"-")</f>
        <v>0</v>
      </c>
      <c r="AL1044" s="63" t="str">
        <f>IFERROR(VLOOKUP(Table2[[#This Row],[Contraente]],Table1[[Nome/Ragione sociale]:[Checkbox selezionato]],5,FALSE),"-")</f>
        <v>MARIO</v>
      </c>
      <c r="AM1044" s="62">
        <f>IFERROR(VLOOKUP(Table2[[#This Row],[Contraente]],Table1[[Nome/Ragione sociale]:[Checkbox selezionato]],6,FALSE),"-")</f>
        <v>8761</v>
      </c>
      <c r="AN1044" s="63" t="str">
        <f>IFERROR(VLOOKUP(Table2[[#This Row],[Contraente]],Table1[[Nome/Ragione sociale]:[Checkbox selezionato]],7,FALSE),"-")</f>
        <v>papies@libero.it</v>
      </c>
      <c r="AO1044" s="63">
        <f>IFERROR(VLOOKUP(Table2[[#This Row],[Contraente]],Table1[[Nome/Ragione sociale]:[Checkbox selezionato]],8,FALSE),"-")</f>
        <v>0</v>
      </c>
      <c r="AP1044" s="63">
        <f>IFERROR(VLOOKUP(Table2[[#This Row],[Contraente]],Table1[[Nome/Ragione sociale]:[Checkbox selezionato]],10,FALSE),"-")</f>
        <v>3480037190</v>
      </c>
      <c r="AQ1044" s="63" t="str">
        <f>IFERROR(VLOOKUP(Table2[[#This Row],[Contraente]],Table1[[Nome/Ragione sociale]:[Checkbox selezionato]],11,FALSE),"-")</f>
        <v>SI</v>
      </c>
      <c r="AR1044" s="63" t="str">
        <f>IFERROR(VLOOKUP(Table2[[#This Row],[Contraente]],Table1[[Nome/Ragione sociale]:[Checkbox selezionato]],12,FALSE),"-")</f>
        <v>SI</v>
      </c>
    </row>
    <row r="1045" spans="1:44" ht="30" hidden="1" customHeight="1" x14ac:dyDescent="0.25">
      <c r="A1045" s="60" t="str">
        <f>UPPER(LEFT(Table2[[#This Row],[Contraente]],1))</f>
        <v>T</v>
      </c>
      <c r="B1045" s="60" t="s">
        <v>1634</v>
      </c>
      <c r="C1045" s="81" t="s">
        <v>1039</v>
      </c>
      <c r="D1045" s="81" t="s">
        <v>37</v>
      </c>
      <c r="E1045" s="86">
        <v>106582145</v>
      </c>
      <c r="F1045" s="64">
        <v>42797</v>
      </c>
      <c r="G1045" s="64">
        <f>IFERROR(CALCOLASCADENZA(Table2[[#This Row],[Data attivazione]],Table2[[#This Row],[Rateizzazione]],Table2[[#This Row],[Data ultimo pagamento]],Table2[[#This Row],[Data prossima scadenza manuale]]),"-")</f>
        <v>43157</v>
      </c>
      <c r="H1045" s="67" t="s">
        <v>30</v>
      </c>
      <c r="I1045" s="67" t="s">
        <v>113</v>
      </c>
      <c r="J1045" s="33">
        <f>IFERROR(Table2[[#This Row],[Importo annuale]]/(12/VLOOKUP(Table2[[#This Row],[Rateizzazione]],TIPI_RATEIZZAZIONI,2,FALSE)),"-")</f>
        <v>335</v>
      </c>
      <c r="K1045" s="88">
        <v>335</v>
      </c>
      <c r="L1045" s="88">
        <v>335</v>
      </c>
      <c r="M1045" s="67" t="s">
        <v>44</v>
      </c>
      <c r="N1045" s="67" t="s">
        <v>51</v>
      </c>
      <c r="O1045" s="27" t="s">
        <v>1631</v>
      </c>
      <c r="P1045" s="33" t="s">
        <v>23</v>
      </c>
      <c r="Q1045" s="60">
        <f>IFERROR(IF(12 / VLOOKUP(Table2[[#This Row],[Rateizzazione]],TIPI_RATEIZZAZIONI,2,FALSE) &gt;=1,  IF(Table2[[#This Row],[Data attivazione]] = "","-",MONTH(Table2[[#This Row],[Data attivazione]])),"-"),"-")</f>
        <v>2</v>
      </c>
      <c r="R10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5" s="67" t="s">
        <v>2</v>
      </c>
      <c r="V1045" s="62"/>
      <c r="W1045" s="64">
        <v>42792</v>
      </c>
      <c r="X1045" s="29">
        <f>DATE(YEAR(Table2[[#This Row],[Data attivazione]])+VLOOKUP(Table2[[#This Row],[Durata]],VALORE_DURATA,2,FALSE),MONTH(Table2[[#This Row],[Data attivazione]]),DAY(Table2[[#This Row],[Data attivazione]]))</f>
        <v>43157</v>
      </c>
      <c r="Y1045" s="65"/>
      <c r="Z1045" s="61"/>
      <c r="AA1045" s="64" t="s">
        <v>85</v>
      </c>
      <c r="AB1045" s="29" t="str">
        <f>IF(Table2[[#This Row],[Data ultimo versamento temp]]=0/1/1900,"-",Table2[[#This Row],[Data ultimo versamento temp]])</f>
        <v>-</v>
      </c>
      <c r="AC1045" s="29">
        <f t="array" ref="AC1045">MAX(IF(TableVersamenti[Polizza]=Table2[[#This Row],[Polizza]],TableVersamenti[Data prevista versamento],"-"))</f>
        <v>0</v>
      </c>
      <c r="AD1045" s="62"/>
      <c r="AE1045" s="106">
        <f>DATE(YEAR(Table2[[#This Row],[Data ultimo pagamento]]),MONTH(Table2[[#This Row],[Data ultimo pagamento]]), 1)</f>
        <v>42795</v>
      </c>
      <c r="AF1045" s="106">
        <f>DATE(YEAR(Table2[[#This Row],[Data prossima scadenza]]),MONTH(Table2[[#This Row],[Data prossima scadenza]]), 1)</f>
        <v>43132</v>
      </c>
      <c r="AG1045" s="33">
        <f>IFERROR(Table2[[#This Row],[Importo annuale]]*VLOOKUP(Table2[[#This Row],[Ramo]],RAMI_POLIZZA,2,FALSE),0)</f>
        <v>38.524999999999999</v>
      </c>
      <c r="AH1045" s="65" t="s">
        <v>113</v>
      </c>
      <c r="AI1045" s="63" t="str">
        <f>IFERROR(VLOOKUP(Table2[[#This Row],[Contraente]],Table1[[Nome/Ragione sociale]:[Checkbox selezionato]],2,FALSE),"-")</f>
        <v>LINAROLO</v>
      </c>
      <c r="AJ1045" s="63">
        <f>IFERROR(VLOOKUP(Table2[[#This Row],[Contraente]],Table1[[Nome/Ragione sociale]:[Checkbox selezionato]],3,FALSE),"-")</f>
        <v>3356947473</v>
      </c>
      <c r="AK1045" s="63">
        <f>IFERROR(VLOOKUP(Table2[[#This Row],[Contraente]],Table1[[Nome/Ragione sociale]:[Checkbox selezionato]],4,FALSE),"-")</f>
        <v>0</v>
      </c>
      <c r="AL1045" s="63" t="str">
        <f>IFERROR(VLOOKUP(Table2[[#This Row],[Contraente]],Table1[[Nome/Ragione sociale]:[Checkbox selezionato]],5,FALSE),"-")</f>
        <v>FRANCESCO</v>
      </c>
      <c r="AM1045" s="62">
        <f>IFERROR(VLOOKUP(Table2[[#This Row],[Contraente]],Table1[[Nome/Ragione sociale]:[Checkbox selezionato]],6,FALSE),"-")</f>
        <v>28293</v>
      </c>
      <c r="AN1045" s="63" t="str">
        <f>IFERROR(VLOOKUP(Table2[[#This Row],[Contraente]],Table1[[Nome/Ragione sociale]:[Checkbox selezionato]],7,FALSE),"-")</f>
        <v>papies@email.it</v>
      </c>
      <c r="AO1045" s="63">
        <f>IFERROR(VLOOKUP(Table2[[#This Row],[Contraente]],Table1[[Nome/Ragione sociale]:[Checkbox selezionato]],8,FALSE),"-")</f>
        <v>0</v>
      </c>
      <c r="AP1045" s="63">
        <f>IFERROR(VLOOKUP(Table2[[#This Row],[Contraente]],Table1[[Nome/Ragione sociale]:[Checkbox selezionato]],10,FALSE),"-")</f>
        <v>3356947473</v>
      </c>
      <c r="AQ1045" s="63" t="str">
        <f>IFERROR(VLOOKUP(Table2[[#This Row],[Contraente]],Table1[[Nome/Ragione sociale]:[Checkbox selezionato]],11,FALSE),"-")</f>
        <v>SI</v>
      </c>
      <c r="AR1045" s="63" t="str">
        <f>IFERROR(VLOOKUP(Table2[[#This Row],[Contraente]],Table1[[Nome/Ragione sociale]:[Checkbox selezionato]],12,FALSE),"-")</f>
        <v>SI</v>
      </c>
    </row>
    <row r="1046" spans="1:44" ht="30" hidden="1" customHeight="1" x14ac:dyDescent="0.25">
      <c r="A1046" s="60" t="str">
        <f>UPPER(LEFT(Table2[[#This Row],[Contraente]],1))</f>
        <v>T</v>
      </c>
      <c r="B1046" s="60" t="s">
        <v>1634</v>
      </c>
      <c r="C1046" s="81" t="s">
        <v>1039</v>
      </c>
      <c r="D1046" s="81" t="s">
        <v>37</v>
      </c>
      <c r="E1046" s="86">
        <v>106396185</v>
      </c>
      <c r="F1046" s="64">
        <v>42739</v>
      </c>
      <c r="G1046" s="64">
        <f>IFERROR(CALCOLASCADENZA(Table2[[#This Row],[Data attivazione]],Table2[[#This Row],[Rateizzazione]],Table2[[#This Row],[Data ultimo pagamento]],Table2[[#This Row],[Data prossima scadenza manuale]]),"-")</f>
        <v>43104</v>
      </c>
      <c r="H1046" s="67" t="s">
        <v>30</v>
      </c>
      <c r="I1046" s="67" t="s">
        <v>113</v>
      </c>
      <c r="J1046" s="33">
        <f>IFERROR(Table2[[#This Row],[Importo annuale]]/(12/VLOOKUP(Table2[[#This Row],[Rateizzazione]],TIPI_RATEIZZAZIONI,2,FALSE)),"-")</f>
        <v>62</v>
      </c>
      <c r="K1046" s="88">
        <v>62</v>
      </c>
      <c r="L1046" s="88">
        <v>62</v>
      </c>
      <c r="M1046" s="67" t="s">
        <v>44</v>
      </c>
      <c r="N1046" s="67" t="s">
        <v>51</v>
      </c>
      <c r="O1046" s="27" t="s">
        <v>1631</v>
      </c>
      <c r="P1046" s="33" t="s">
        <v>23</v>
      </c>
      <c r="Q1046" s="60">
        <f>IFERROR(IF(12 / VLOOKUP(Table2[[#This Row],[Rateizzazione]],TIPI_RATEIZZAZIONI,2,FALSE) &gt;=1,  IF(Table2[[#This Row],[Data attivazione]] = "","-",MONTH(Table2[[#This Row],[Data attivazione]])),"-"),"-")</f>
        <v>1</v>
      </c>
      <c r="R10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6" s="67" t="s">
        <v>2</v>
      </c>
      <c r="V1046" s="62"/>
      <c r="W1046" s="64">
        <v>42739</v>
      </c>
      <c r="X1046" s="29">
        <f>DATE(YEAR(Table2[[#This Row],[Data attivazione]])+VLOOKUP(Table2[[#This Row],[Durata]],VALORE_DURATA,2,FALSE),MONTH(Table2[[#This Row],[Data attivazione]]),DAY(Table2[[#This Row],[Data attivazione]]))</f>
        <v>43104</v>
      </c>
      <c r="Y1046" s="65"/>
      <c r="Z1046" s="61"/>
      <c r="AA1046" s="64" t="s">
        <v>85</v>
      </c>
      <c r="AB1046" s="29" t="str">
        <f>IF(Table2[[#This Row],[Data ultimo versamento temp]]=0/1/1900,"-",Table2[[#This Row],[Data ultimo versamento temp]])</f>
        <v>-</v>
      </c>
      <c r="AC1046" s="29">
        <f t="array" ref="AC1046">MAX(IF(TableVersamenti[Polizza]=Table2[[#This Row],[Polizza]],TableVersamenti[Data prevista versamento],"-"))</f>
        <v>0</v>
      </c>
      <c r="AD1046" s="62"/>
      <c r="AE1046" s="106">
        <f>DATE(YEAR(Table2[[#This Row],[Data ultimo pagamento]]),MONTH(Table2[[#This Row],[Data ultimo pagamento]]), 1)</f>
        <v>42736</v>
      </c>
      <c r="AF1046" s="106">
        <f>DATE(YEAR(Table2[[#This Row],[Data prossima scadenza]]),MONTH(Table2[[#This Row],[Data prossima scadenza]]), 1)</f>
        <v>43101</v>
      </c>
      <c r="AG1046" s="33">
        <f>IFERROR(Table2[[#This Row],[Importo annuale]]*VLOOKUP(Table2[[#This Row],[Ramo]],RAMI_POLIZZA,2,FALSE),0)</f>
        <v>7.13</v>
      </c>
      <c r="AH1046" s="65" t="s">
        <v>113</v>
      </c>
      <c r="AI1046" s="63" t="str">
        <f>IFERROR(VLOOKUP(Table2[[#This Row],[Contraente]],Table1[[Nome/Ragione sociale]:[Checkbox selezionato]],2,FALSE),"-")</f>
        <v>LINAROLO</v>
      </c>
      <c r="AJ1046" s="63">
        <f>IFERROR(VLOOKUP(Table2[[#This Row],[Contraente]],Table1[[Nome/Ragione sociale]:[Checkbox selezionato]],3,FALSE),"-")</f>
        <v>3356947473</v>
      </c>
      <c r="AK1046" s="63">
        <f>IFERROR(VLOOKUP(Table2[[#This Row],[Contraente]],Table1[[Nome/Ragione sociale]:[Checkbox selezionato]],4,FALSE),"-")</f>
        <v>0</v>
      </c>
      <c r="AL1046" s="63" t="str">
        <f>IFERROR(VLOOKUP(Table2[[#This Row],[Contraente]],Table1[[Nome/Ragione sociale]:[Checkbox selezionato]],5,FALSE),"-")</f>
        <v>FRANCESCO</v>
      </c>
      <c r="AM1046" s="62">
        <f>IFERROR(VLOOKUP(Table2[[#This Row],[Contraente]],Table1[[Nome/Ragione sociale]:[Checkbox selezionato]],6,FALSE),"-")</f>
        <v>28293</v>
      </c>
      <c r="AN1046" s="63" t="str">
        <f>IFERROR(VLOOKUP(Table2[[#This Row],[Contraente]],Table1[[Nome/Ragione sociale]:[Checkbox selezionato]],7,FALSE),"-")</f>
        <v>papies@email.it</v>
      </c>
      <c r="AO1046" s="63">
        <f>IFERROR(VLOOKUP(Table2[[#This Row],[Contraente]],Table1[[Nome/Ragione sociale]:[Checkbox selezionato]],8,FALSE),"-")</f>
        <v>0</v>
      </c>
      <c r="AP1046" s="63">
        <f>IFERROR(VLOOKUP(Table2[[#This Row],[Contraente]],Table1[[Nome/Ragione sociale]:[Checkbox selezionato]],10,FALSE),"-")</f>
        <v>3356947473</v>
      </c>
      <c r="AQ1046" s="63" t="str">
        <f>IFERROR(VLOOKUP(Table2[[#This Row],[Contraente]],Table1[[Nome/Ragione sociale]:[Checkbox selezionato]],11,FALSE),"-")</f>
        <v>SI</v>
      </c>
      <c r="AR1046" s="63" t="str">
        <f>IFERROR(VLOOKUP(Table2[[#This Row],[Contraente]],Table1[[Nome/Ragione sociale]:[Checkbox selezionato]],12,FALSE),"-")</f>
        <v>SI</v>
      </c>
    </row>
    <row r="1047" spans="1:44" ht="30" hidden="1" customHeight="1" x14ac:dyDescent="0.25">
      <c r="A1047" s="60" t="str">
        <f>UPPER(LEFT(Table2[[#This Row],[Contraente]],1))</f>
        <v>T</v>
      </c>
      <c r="B1047" s="60" t="s">
        <v>1634</v>
      </c>
      <c r="C1047" s="81" t="s">
        <v>1039</v>
      </c>
      <c r="D1047" s="81" t="s">
        <v>37</v>
      </c>
      <c r="E1047" s="86">
        <v>105748868</v>
      </c>
      <c r="F1047" s="64">
        <v>42901</v>
      </c>
      <c r="G1047" s="64">
        <f>IFERROR(CALCOLASCADENZA(Table2[[#This Row],[Data attivazione]],Table2[[#This Row],[Rateizzazione]],Table2[[#This Row],[Data ultimo pagamento]],Table2[[#This Row],[Data prossima scadenza manuale]]),"-")</f>
        <v>43261</v>
      </c>
      <c r="H1047" s="67" t="s">
        <v>30</v>
      </c>
      <c r="I1047" s="67" t="s">
        <v>113</v>
      </c>
      <c r="J1047" s="33">
        <f>IFERROR(Table2[[#This Row],[Importo annuale]]/(12/VLOOKUP(Table2[[#This Row],[Rateizzazione]],TIPI_RATEIZZAZIONI,2,FALSE)),"-")</f>
        <v>315</v>
      </c>
      <c r="K1047" s="88">
        <v>315</v>
      </c>
      <c r="L1047" s="88">
        <v>315</v>
      </c>
      <c r="M1047" s="67" t="s">
        <v>44</v>
      </c>
      <c r="N1047" s="67" t="s">
        <v>51</v>
      </c>
      <c r="O1047" s="27" t="s">
        <v>1631</v>
      </c>
      <c r="P1047" s="33" t="s">
        <v>23</v>
      </c>
      <c r="Q1047" s="60">
        <f>IFERROR(IF(12 / VLOOKUP(Table2[[#This Row],[Rateizzazione]],TIPI_RATEIZZAZIONI,2,FALSE) &gt;=1,  IF(Table2[[#This Row],[Data attivazione]] = "","-",MONTH(Table2[[#This Row],[Data attivazione]])),"-"),"-")</f>
        <v>6</v>
      </c>
      <c r="R10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7" s="67" t="s">
        <v>2</v>
      </c>
      <c r="V1047" s="62"/>
      <c r="W1047" s="64">
        <v>42896</v>
      </c>
      <c r="X1047" s="29">
        <f>DATE(YEAR(Table2[[#This Row],[Data attivazione]])+VLOOKUP(Table2[[#This Row],[Durata]],VALORE_DURATA,2,FALSE),MONTH(Table2[[#This Row],[Data attivazione]]),DAY(Table2[[#This Row],[Data attivazione]]))</f>
        <v>43261</v>
      </c>
      <c r="Y1047" s="65"/>
      <c r="Z1047" s="61"/>
      <c r="AA1047" s="64" t="s">
        <v>85</v>
      </c>
      <c r="AB1047" s="29" t="str">
        <f>IF(Table2[[#This Row],[Data ultimo versamento temp]]=0/1/1900,"-",Table2[[#This Row],[Data ultimo versamento temp]])</f>
        <v>-</v>
      </c>
      <c r="AC1047" s="29">
        <f t="array" ref="AC1047">MAX(IF(TableVersamenti[Polizza]=Table2[[#This Row],[Polizza]],TableVersamenti[Data prevista versamento],"-"))</f>
        <v>0</v>
      </c>
      <c r="AD1047" s="62"/>
      <c r="AE1047" s="106">
        <f>DATE(YEAR(Table2[[#This Row],[Data ultimo pagamento]]),MONTH(Table2[[#This Row],[Data ultimo pagamento]]), 1)</f>
        <v>42887</v>
      </c>
      <c r="AF1047" s="106">
        <f>DATE(YEAR(Table2[[#This Row],[Data prossima scadenza]]),MONTH(Table2[[#This Row],[Data prossima scadenza]]), 1)</f>
        <v>43252</v>
      </c>
      <c r="AG1047" s="33">
        <f>IFERROR(Table2[[#This Row],[Importo annuale]]*VLOOKUP(Table2[[#This Row],[Ramo]],RAMI_POLIZZA,2,FALSE),0)</f>
        <v>36.225000000000001</v>
      </c>
      <c r="AH1047" s="65" t="s">
        <v>113</v>
      </c>
      <c r="AI1047" s="63" t="str">
        <f>IFERROR(VLOOKUP(Table2[[#This Row],[Contraente]],Table1[[Nome/Ragione sociale]:[Checkbox selezionato]],2,FALSE),"-")</f>
        <v>LINAROLO</v>
      </c>
      <c r="AJ1047" s="63">
        <f>IFERROR(VLOOKUP(Table2[[#This Row],[Contraente]],Table1[[Nome/Ragione sociale]:[Checkbox selezionato]],3,FALSE),"-")</f>
        <v>3356947473</v>
      </c>
      <c r="AK1047" s="63">
        <f>IFERROR(VLOOKUP(Table2[[#This Row],[Contraente]],Table1[[Nome/Ragione sociale]:[Checkbox selezionato]],4,FALSE),"-")</f>
        <v>0</v>
      </c>
      <c r="AL1047" s="63" t="str">
        <f>IFERROR(VLOOKUP(Table2[[#This Row],[Contraente]],Table1[[Nome/Ragione sociale]:[Checkbox selezionato]],5,FALSE),"-")</f>
        <v>FRANCESCO</v>
      </c>
      <c r="AM1047" s="62">
        <f>IFERROR(VLOOKUP(Table2[[#This Row],[Contraente]],Table1[[Nome/Ragione sociale]:[Checkbox selezionato]],6,FALSE),"-")</f>
        <v>28293</v>
      </c>
      <c r="AN1047" s="63" t="str">
        <f>IFERROR(VLOOKUP(Table2[[#This Row],[Contraente]],Table1[[Nome/Ragione sociale]:[Checkbox selezionato]],7,FALSE),"-")</f>
        <v>papies@email.it</v>
      </c>
      <c r="AO1047" s="63">
        <f>IFERROR(VLOOKUP(Table2[[#This Row],[Contraente]],Table1[[Nome/Ragione sociale]:[Checkbox selezionato]],8,FALSE),"-")</f>
        <v>0</v>
      </c>
      <c r="AP1047" s="63">
        <f>IFERROR(VLOOKUP(Table2[[#This Row],[Contraente]],Table1[[Nome/Ragione sociale]:[Checkbox selezionato]],10,FALSE),"-")</f>
        <v>3356947473</v>
      </c>
      <c r="AQ1047" s="63" t="str">
        <f>IFERROR(VLOOKUP(Table2[[#This Row],[Contraente]],Table1[[Nome/Ragione sociale]:[Checkbox selezionato]],11,FALSE),"-")</f>
        <v>SI</v>
      </c>
      <c r="AR1047" s="63" t="str">
        <f>IFERROR(VLOOKUP(Table2[[#This Row],[Contraente]],Table1[[Nome/Ragione sociale]:[Checkbox selezionato]],12,FALSE),"-")</f>
        <v>SI</v>
      </c>
    </row>
    <row r="1048" spans="1:44" ht="30" hidden="1" customHeight="1" x14ac:dyDescent="0.25">
      <c r="A1048" s="60" t="str">
        <f>UPPER(LEFT(Table2[[#This Row],[Contraente]],1))</f>
        <v>T</v>
      </c>
      <c r="B1048" s="60" t="s">
        <v>1634</v>
      </c>
      <c r="C1048" s="81" t="s">
        <v>1039</v>
      </c>
      <c r="D1048" s="81" t="s">
        <v>37</v>
      </c>
      <c r="E1048" s="86">
        <v>106396069</v>
      </c>
      <c r="F1048" s="64">
        <v>42739</v>
      </c>
      <c r="G1048" s="64">
        <f>IFERROR(CALCOLASCADENZA(Table2[[#This Row],[Data attivazione]],Table2[[#This Row],[Rateizzazione]],Table2[[#This Row],[Data ultimo pagamento]],Table2[[#This Row],[Data prossima scadenza manuale]]),"-")</f>
        <v>43116</v>
      </c>
      <c r="H1048" s="67" t="s">
        <v>31</v>
      </c>
      <c r="I1048" s="67" t="s">
        <v>1589</v>
      </c>
      <c r="J1048" s="33">
        <f>IFERROR(Table2[[#This Row],[Importo annuale]]/(12/VLOOKUP(Table2[[#This Row],[Rateizzazione]],TIPI_RATEIZZAZIONI,2,FALSE)),"-")</f>
        <v>308</v>
      </c>
      <c r="K1048" s="88">
        <v>308</v>
      </c>
      <c r="L1048" s="88">
        <v>308</v>
      </c>
      <c r="M1048" s="67" t="s">
        <v>44</v>
      </c>
      <c r="N1048" s="67" t="s">
        <v>51</v>
      </c>
      <c r="O1048" s="27" t="s">
        <v>1631</v>
      </c>
      <c r="P1048" s="33" t="s">
        <v>23</v>
      </c>
      <c r="Q1048" s="60">
        <f>IFERROR(IF(12 / VLOOKUP(Table2[[#This Row],[Rateizzazione]],TIPI_RATEIZZAZIONI,2,FALSE) &gt;=1,  IF(Table2[[#This Row],[Data attivazione]] = "","-",MONTH(Table2[[#This Row],[Data attivazione]])),"-"),"-")</f>
        <v>1</v>
      </c>
      <c r="R10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8" s="67" t="s">
        <v>2</v>
      </c>
      <c r="V1048" s="62"/>
      <c r="W1048" s="64">
        <v>42751</v>
      </c>
      <c r="X1048" s="29">
        <f>DATE(YEAR(Table2[[#This Row],[Data attivazione]])+VLOOKUP(Table2[[#This Row],[Durata]],VALORE_DURATA,2,FALSE),MONTH(Table2[[#This Row],[Data attivazione]]),DAY(Table2[[#This Row],[Data attivazione]]))</f>
        <v>43116</v>
      </c>
      <c r="Y1048" s="65"/>
      <c r="Z1048" s="61"/>
      <c r="AA1048" s="64" t="s">
        <v>85</v>
      </c>
      <c r="AB1048" s="29" t="str">
        <f>IF(Table2[[#This Row],[Data ultimo versamento temp]]=0/1/1900,"-",Table2[[#This Row],[Data ultimo versamento temp]])</f>
        <v>-</v>
      </c>
      <c r="AC1048" s="29">
        <f t="array" ref="AC1048">MAX(IF(TableVersamenti[Polizza]=Table2[[#This Row],[Polizza]],TableVersamenti[Data prevista versamento],"-"))</f>
        <v>0</v>
      </c>
      <c r="AD1048" s="62"/>
      <c r="AE1048" s="106">
        <f>DATE(YEAR(Table2[[#This Row],[Data ultimo pagamento]]),MONTH(Table2[[#This Row],[Data ultimo pagamento]]), 1)</f>
        <v>42736</v>
      </c>
      <c r="AF1048" s="106">
        <f>DATE(YEAR(Table2[[#This Row],[Data prossima scadenza]]),MONTH(Table2[[#This Row],[Data prossima scadenza]]), 1)</f>
        <v>43101</v>
      </c>
      <c r="AG1048" s="33">
        <f>IFERROR(Table2[[#This Row],[Importo annuale]]*VLOOKUP(Table2[[#This Row],[Ramo]],RAMI_POLIZZA,2,FALSE),0)</f>
        <v>16.015999999999998</v>
      </c>
      <c r="AH1048" s="65" t="s">
        <v>113</v>
      </c>
      <c r="AI1048" s="63" t="str">
        <f>IFERROR(VLOOKUP(Table2[[#This Row],[Contraente]],Table1[[Nome/Ragione sociale]:[Checkbox selezionato]],2,FALSE),"-")</f>
        <v>LINAROLO</v>
      </c>
      <c r="AJ1048" s="63">
        <f>IFERROR(VLOOKUP(Table2[[#This Row],[Contraente]],Table1[[Nome/Ragione sociale]:[Checkbox selezionato]],3,FALSE),"-")</f>
        <v>3356947473</v>
      </c>
      <c r="AK1048" s="63">
        <f>IFERROR(VLOOKUP(Table2[[#This Row],[Contraente]],Table1[[Nome/Ragione sociale]:[Checkbox selezionato]],4,FALSE),"-")</f>
        <v>0</v>
      </c>
      <c r="AL1048" s="63" t="str">
        <f>IFERROR(VLOOKUP(Table2[[#This Row],[Contraente]],Table1[[Nome/Ragione sociale]:[Checkbox selezionato]],5,FALSE),"-")</f>
        <v>FRANCESCO</v>
      </c>
      <c r="AM1048" s="62">
        <f>IFERROR(VLOOKUP(Table2[[#This Row],[Contraente]],Table1[[Nome/Ragione sociale]:[Checkbox selezionato]],6,FALSE),"-")</f>
        <v>28293</v>
      </c>
      <c r="AN1048" s="63" t="str">
        <f>IFERROR(VLOOKUP(Table2[[#This Row],[Contraente]],Table1[[Nome/Ragione sociale]:[Checkbox selezionato]],7,FALSE),"-")</f>
        <v>papies@email.it</v>
      </c>
      <c r="AO1048" s="63">
        <f>IFERROR(VLOOKUP(Table2[[#This Row],[Contraente]],Table1[[Nome/Ragione sociale]:[Checkbox selezionato]],8,FALSE),"-")</f>
        <v>0</v>
      </c>
      <c r="AP1048" s="63">
        <f>IFERROR(VLOOKUP(Table2[[#This Row],[Contraente]],Table1[[Nome/Ragione sociale]:[Checkbox selezionato]],10,FALSE),"-")</f>
        <v>3356947473</v>
      </c>
      <c r="AQ1048" s="63" t="str">
        <f>IFERROR(VLOOKUP(Table2[[#This Row],[Contraente]],Table1[[Nome/Ragione sociale]:[Checkbox selezionato]],11,FALSE),"-")</f>
        <v>SI</v>
      </c>
      <c r="AR1048" s="63" t="str">
        <f>IFERROR(VLOOKUP(Table2[[#This Row],[Contraente]],Table1[[Nome/Ragione sociale]:[Checkbox selezionato]],12,FALSE),"-")</f>
        <v>SI</v>
      </c>
    </row>
    <row r="1049" spans="1:44" ht="30" hidden="1" customHeight="1" x14ac:dyDescent="0.25">
      <c r="A1049" s="60" t="str">
        <f>UPPER(LEFT(Table2[[#This Row],[Contraente]],1))</f>
        <v>T</v>
      </c>
      <c r="B1049" s="60" t="s">
        <v>1634</v>
      </c>
      <c r="C1049" s="81" t="s">
        <v>1039</v>
      </c>
      <c r="D1049" s="81" t="s">
        <v>37</v>
      </c>
      <c r="E1049" s="86">
        <v>105749037</v>
      </c>
      <c r="F1049" s="64">
        <v>42668</v>
      </c>
      <c r="G1049" s="64" t="str">
        <f>IFERROR(CALCOLASCADENZA(Table2[[#This Row],[Data attivazione]],Table2[[#This Row],[Rateizzazione]],Table2[[#This Row],[Data ultimo pagamento]],Table2[[#This Row],[Data prossima scadenza manuale]]),"-")</f>
        <v>-</v>
      </c>
      <c r="H1049" s="67" t="s">
        <v>31</v>
      </c>
      <c r="I1049" s="67" t="s">
        <v>1588</v>
      </c>
      <c r="J1049" s="33">
        <v>0</v>
      </c>
      <c r="K1049" s="88"/>
      <c r="L1049" s="88">
        <v>300</v>
      </c>
      <c r="M1049" s="67" t="s">
        <v>44</v>
      </c>
      <c r="N1049" s="67" t="s">
        <v>52</v>
      </c>
      <c r="O1049" s="27" t="s">
        <v>1631</v>
      </c>
      <c r="P1049" s="33" t="s">
        <v>24</v>
      </c>
      <c r="Q104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9" s="67" t="s">
        <v>2</v>
      </c>
      <c r="V1049" s="62"/>
      <c r="W1049" s="64" t="e">
        <v>#VALUE!</v>
      </c>
      <c r="X104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049" s="65"/>
      <c r="Z1049" s="61"/>
      <c r="AA1049" s="64" t="s">
        <v>85</v>
      </c>
      <c r="AB1049" s="29" t="str">
        <f>IF(Table2[[#This Row],[Data ultimo versamento temp]]=0/1/1900,"-",Table2[[#This Row],[Data ultimo versamento temp]])</f>
        <v>-</v>
      </c>
      <c r="AC1049" s="29">
        <f t="array" ref="AC1049">MAX(IF(TableVersamenti[Polizza]=Table2[[#This Row],[Polizza]],TableVersamenti[Data prevista versamento],"-"))</f>
        <v>0</v>
      </c>
      <c r="AD1049" s="62"/>
      <c r="AE1049" s="106">
        <f>DATE(YEAR(Table2[[#This Row],[Data ultimo pagamento]]),MONTH(Table2[[#This Row],[Data ultimo pagamento]]), 1)</f>
        <v>42644</v>
      </c>
      <c r="AF1049" s="106" t="e">
        <f>DATE(YEAR(Table2[[#This Row],[Data prossima scadenza]]),MONTH(Table2[[#This Row],[Data prossima scadenza]]), 1)</f>
        <v>#VALUE!</v>
      </c>
      <c r="AG1049" s="33">
        <f>IFERROR(Table2[[#This Row],[Importo annuale]]*VLOOKUP(Table2[[#This Row],[Ramo]],RAMI_POLIZZA,2,FALSE),0)</f>
        <v>15.6</v>
      </c>
      <c r="AH1049" s="65" t="s">
        <v>113</v>
      </c>
      <c r="AI1049" s="63" t="str">
        <f>IFERROR(VLOOKUP(Table2[[#This Row],[Contraente]],Table1[[Nome/Ragione sociale]:[Checkbox selezionato]],2,FALSE),"-")</f>
        <v>LINAROLO</v>
      </c>
      <c r="AJ1049" s="63">
        <f>IFERROR(VLOOKUP(Table2[[#This Row],[Contraente]],Table1[[Nome/Ragione sociale]:[Checkbox selezionato]],3,FALSE),"-")</f>
        <v>3356947473</v>
      </c>
      <c r="AK1049" s="63">
        <f>IFERROR(VLOOKUP(Table2[[#This Row],[Contraente]],Table1[[Nome/Ragione sociale]:[Checkbox selezionato]],4,FALSE),"-")</f>
        <v>0</v>
      </c>
      <c r="AL1049" s="63" t="str">
        <f>IFERROR(VLOOKUP(Table2[[#This Row],[Contraente]],Table1[[Nome/Ragione sociale]:[Checkbox selezionato]],5,FALSE),"-")</f>
        <v>FRANCESCO</v>
      </c>
      <c r="AM1049" s="62">
        <f>IFERROR(VLOOKUP(Table2[[#This Row],[Contraente]],Table1[[Nome/Ragione sociale]:[Checkbox selezionato]],6,FALSE),"-")</f>
        <v>28293</v>
      </c>
      <c r="AN1049" s="63" t="str">
        <f>IFERROR(VLOOKUP(Table2[[#This Row],[Contraente]],Table1[[Nome/Ragione sociale]:[Checkbox selezionato]],7,FALSE),"-")</f>
        <v>papies@email.it</v>
      </c>
      <c r="AO1049" s="63">
        <f>IFERROR(VLOOKUP(Table2[[#This Row],[Contraente]],Table1[[Nome/Ragione sociale]:[Checkbox selezionato]],8,FALSE),"-")</f>
        <v>0</v>
      </c>
      <c r="AP1049" s="63">
        <f>IFERROR(VLOOKUP(Table2[[#This Row],[Contraente]],Table1[[Nome/Ragione sociale]:[Checkbox selezionato]],10,FALSE),"-")</f>
        <v>3356947473</v>
      </c>
      <c r="AQ1049" s="63" t="str">
        <f>IFERROR(VLOOKUP(Table2[[#This Row],[Contraente]],Table1[[Nome/Ragione sociale]:[Checkbox selezionato]],11,FALSE),"-")</f>
        <v>SI</v>
      </c>
      <c r="AR1049" s="63" t="str">
        <f>IFERROR(VLOOKUP(Table2[[#This Row],[Contraente]],Table1[[Nome/Ragione sociale]:[Checkbox selezionato]],12,FALSE),"-")</f>
        <v>SI</v>
      </c>
    </row>
    <row r="1050" spans="1:44" ht="30" hidden="1" customHeight="1" x14ac:dyDescent="0.25">
      <c r="A1050" s="60" t="str">
        <f>UPPER(LEFT(Table2[[#This Row],[Contraente]],1))</f>
        <v>T</v>
      </c>
      <c r="B1050" s="60" t="s">
        <v>1634</v>
      </c>
      <c r="C1050" s="81" t="s">
        <v>1039</v>
      </c>
      <c r="D1050" s="81" t="s">
        <v>37</v>
      </c>
      <c r="E1050" s="86">
        <v>1074353</v>
      </c>
      <c r="F1050" s="64">
        <v>42901</v>
      </c>
      <c r="G1050" s="64">
        <f>IFERROR(CALCOLASCADENZA(Table2[[#This Row],[Data attivazione]],Table2[[#This Row],[Rateizzazione]],Table2[[#This Row],[Data ultimo pagamento]],Table2[[#This Row],[Data prossima scadenza manuale]]),"-")</f>
        <v>43092</v>
      </c>
      <c r="H1050" s="67" t="s">
        <v>32</v>
      </c>
      <c r="I1050" s="67" t="s">
        <v>113</v>
      </c>
      <c r="J1050" s="33">
        <f>IFERROR(Table2[[#This Row],[Importo annuale]]/(12/VLOOKUP(Table2[[#This Row],[Rateizzazione]],TIPI_RATEIZZAZIONI,2,FALSE)),"-")</f>
        <v>71.89</v>
      </c>
      <c r="K1050" s="88">
        <v>143.78</v>
      </c>
      <c r="L1050" s="88">
        <v>143.78</v>
      </c>
      <c r="M1050" s="67" t="s">
        <v>44</v>
      </c>
      <c r="N1050" s="67" t="s">
        <v>52</v>
      </c>
      <c r="O1050" s="27" t="s">
        <v>1631</v>
      </c>
      <c r="P1050" s="33" t="s">
        <v>22</v>
      </c>
      <c r="Q1050" s="60">
        <f>IFERROR(IF(12 / VLOOKUP(Table2[[#This Row],[Rateizzazione]],TIPI_RATEIZZAZIONI,2,FALSE) &gt;=1,  IF(Table2[[#This Row],[Data attivazione]] = "","-",MONTH(Table2[[#This Row],[Data attivazione]])),"-"),"-")</f>
        <v>12</v>
      </c>
      <c r="R10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0" s="67" t="s">
        <v>2</v>
      </c>
      <c r="V1050" s="62"/>
      <c r="W1050" s="64">
        <v>42727</v>
      </c>
      <c r="X1050" s="29">
        <f>DATE(YEAR(Table2[[#This Row],[Data attivazione]])+VLOOKUP(Table2[[#This Row],[Durata]],VALORE_DURATA,2,FALSE),MONTH(Table2[[#This Row],[Data attivazione]]),DAY(Table2[[#This Row],[Data attivazione]]))</f>
        <v>43092</v>
      </c>
      <c r="Y1050" s="65"/>
      <c r="Z1050" s="61"/>
      <c r="AA1050" s="64" t="s">
        <v>85</v>
      </c>
      <c r="AB1050" s="29" t="str">
        <f>IF(Table2[[#This Row],[Data ultimo versamento temp]]=0/1/1900,"-",Table2[[#This Row],[Data ultimo versamento temp]])</f>
        <v>-</v>
      </c>
      <c r="AC1050" s="29">
        <f t="array" ref="AC1050">MAX(IF(TableVersamenti[Polizza]=Table2[[#This Row],[Polizza]],TableVersamenti[Data prevista versamento],"-"))</f>
        <v>0</v>
      </c>
      <c r="AD1050" s="62"/>
      <c r="AE1050" s="106">
        <f>DATE(YEAR(Table2[[#This Row],[Data ultimo pagamento]]),MONTH(Table2[[#This Row],[Data ultimo pagamento]]), 1)</f>
        <v>42887</v>
      </c>
      <c r="AF1050" s="106">
        <f>DATE(YEAR(Table2[[#This Row],[Data prossima scadenza]]),MONTH(Table2[[#This Row],[Data prossima scadenza]]), 1)</f>
        <v>43070</v>
      </c>
      <c r="AG1050" s="33">
        <f>IFERROR(Table2[[#This Row],[Importo annuale]]*VLOOKUP(Table2[[#This Row],[Ramo]],RAMI_POLIZZA,2,FALSE),0)</f>
        <v>2.1566999999999998</v>
      </c>
      <c r="AH1050" s="65" t="s">
        <v>113</v>
      </c>
      <c r="AI1050" s="63" t="str">
        <f>IFERROR(VLOOKUP(Table2[[#This Row],[Contraente]],Table1[[Nome/Ragione sociale]:[Checkbox selezionato]],2,FALSE),"-")</f>
        <v>LINAROLO</v>
      </c>
      <c r="AJ1050" s="63">
        <f>IFERROR(VLOOKUP(Table2[[#This Row],[Contraente]],Table1[[Nome/Ragione sociale]:[Checkbox selezionato]],3,FALSE),"-")</f>
        <v>3356947473</v>
      </c>
      <c r="AK1050" s="63">
        <f>IFERROR(VLOOKUP(Table2[[#This Row],[Contraente]],Table1[[Nome/Ragione sociale]:[Checkbox selezionato]],4,FALSE),"-")</f>
        <v>0</v>
      </c>
      <c r="AL1050" s="63" t="str">
        <f>IFERROR(VLOOKUP(Table2[[#This Row],[Contraente]],Table1[[Nome/Ragione sociale]:[Checkbox selezionato]],5,FALSE),"-")</f>
        <v>FRANCESCO</v>
      </c>
      <c r="AM1050" s="62">
        <f>IFERROR(VLOOKUP(Table2[[#This Row],[Contraente]],Table1[[Nome/Ragione sociale]:[Checkbox selezionato]],6,FALSE),"-")</f>
        <v>28293</v>
      </c>
      <c r="AN1050" s="63" t="str">
        <f>IFERROR(VLOOKUP(Table2[[#This Row],[Contraente]],Table1[[Nome/Ragione sociale]:[Checkbox selezionato]],7,FALSE),"-")</f>
        <v>papies@email.it</v>
      </c>
      <c r="AO1050" s="63">
        <f>IFERROR(VLOOKUP(Table2[[#This Row],[Contraente]],Table1[[Nome/Ragione sociale]:[Checkbox selezionato]],8,FALSE),"-")</f>
        <v>0</v>
      </c>
      <c r="AP1050" s="63">
        <f>IFERROR(VLOOKUP(Table2[[#This Row],[Contraente]],Table1[[Nome/Ragione sociale]:[Checkbox selezionato]],10,FALSE),"-")</f>
        <v>3356947473</v>
      </c>
      <c r="AQ1050" s="63" t="str">
        <f>IFERROR(VLOOKUP(Table2[[#This Row],[Contraente]],Table1[[Nome/Ragione sociale]:[Checkbox selezionato]],11,FALSE),"-")</f>
        <v>SI</v>
      </c>
      <c r="AR1050" s="63" t="str">
        <f>IFERROR(VLOOKUP(Table2[[#This Row],[Contraente]],Table1[[Nome/Ragione sociale]:[Checkbox selezionato]],12,FALSE),"-")</f>
        <v>SI</v>
      </c>
    </row>
    <row r="1051" spans="1:44" ht="30" hidden="1" customHeight="1" x14ac:dyDescent="0.25">
      <c r="A1051" s="60" t="str">
        <f>UPPER(LEFT(Table2[[#This Row],[Contraente]],1))</f>
        <v>T</v>
      </c>
      <c r="B1051" s="60" t="s">
        <v>1634</v>
      </c>
      <c r="C1051" s="81" t="s">
        <v>1024</v>
      </c>
      <c r="D1051" s="81" t="s">
        <v>37</v>
      </c>
      <c r="E1051" s="86">
        <v>106349849</v>
      </c>
      <c r="F1051" s="64">
        <v>42726</v>
      </c>
      <c r="G1051" s="64">
        <f>IFERROR(CALCOLASCADENZA(Table2[[#This Row],[Data attivazione]],Table2[[#This Row],[Rateizzazione]],Table2[[#This Row],[Data ultimo pagamento]],Table2[[#This Row],[Data prossima scadenza manuale]]),"-")</f>
        <v>43091</v>
      </c>
      <c r="H1051" s="67" t="s">
        <v>30</v>
      </c>
      <c r="I1051" s="67" t="s">
        <v>113</v>
      </c>
      <c r="J1051" s="33">
        <f>IFERROR(Table2[[#This Row],[Importo annuale]]/(12/VLOOKUP(Table2[[#This Row],[Rateizzazione]],TIPI_RATEIZZAZIONI,2,FALSE)),"-")</f>
        <v>153</v>
      </c>
      <c r="K1051" s="88"/>
      <c r="L1051" s="88">
        <v>153</v>
      </c>
      <c r="M1051" s="67" t="s">
        <v>44</v>
      </c>
      <c r="N1051" s="67" t="s">
        <v>52</v>
      </c>
      <c r="O1051" s="27" t="s">
        <v>1631</v>
      </c>
      <c r="P1051" s="33" t="s">
        <v>23</v>
      </c>
      <c r="Q1051" s="60">
        <f>IFERROR(IF(12 / VLOOKUP(Table2[[#This Row],[Rateizzazione]],TIPI_RATEIZZAZIONI,2,FALSE) &gt;=1,  IF(Table2[[#This Row],[Data attivazione]] = "","-",MONTH(Table2[[#This Row],[Data attivazione]])),"-"),"-")</f>
        <v>12</v>
      </c>
      <c r="R10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1" s="67" t="s">
        <v>133</v>
      </c>
      <c r="V1051" s="62"/>
      <c r="W1051" s="64">
        <v>42726</v>
      </c>
      <c r="X1051" s="29">
        <f>DATE(YEAR(Table2[[#This Row],[Data attivazione]])+VLOOKUP(Table2[[#This Row],[Durata]],VALORE_DURATA,2,FALSE),MONTH(Table2[[#This Row],[Data attivazione]]),DAY(Table2[[#This Row],[Data attivazione]]))</f>
        <v>43091</v>
      </c>
      <c r="Y1051" s="65"/>
      <c r="Z1051" s="61"/>
      <c r="AA1051" s="64" t="s">
        <v>85</v>
      </c>
      <c r="AB1051" s="29" t="str">
        <f>IF(Table2[[#This Row],[Data ultimo versamento temp]]=0/1/1900,"-",Table2[[#This Row],[Data ultimo versamento temp]])</f>
        <v>-</v>
      </c>
      <c r="AC1051" s="29">
        <f t="array" ref="AC1051">MAX(IF(TableVersamenti[Polizza]=Table2[[#This Row],[Polizza]],TableVersamenti[Data prevista versamento],"-"))</f>
        <v>0</v>
      </c>
      <c r="AD1051" s="62"/>
      <c r="AE1051" s="106">
        <f>DATE(YEAR(Table2[[#This Row],[Data ultimo pagamento]]),MONTH(Table2[[#This Row],[Data ultimo pagamento]]), 1)</f>
        <v>42705</v>
      </c>
      <c r="AF1051" s="106">
        <f>DATE(YEAR(Table2[[#This Row],[Data prossima scadenza]]),MONTH(Table2[[#This Row],[Data prossima scadenza]]), 1)</f>
        <v>43070</v>
      </c>
      <c r="AG1051" s="33">
        <f>IFERROR(Table2[[#This Row],[Importo annuale]]*VLOOKUP(Table2[[#This Row],[Ramo]],RAMI_POLIZZA,2,FALSE),0)</f>
        <v>17.595000000000002</v>
      </c>
      <c r="AH1051" s="65" t="s">
        <v>113</v>
      </c>
      <c r="AI1051" s="63" t="str">
        <f>IFERROR(VLOOKUP(Table2[[#This Row],[Contraente]],Table1[[Nome/Ragione sociale]:[Checkbox selezionato]],2,FALSE),"-")</f>
        <v>CASTEL SAN GIOVANNI</v>
      </c>
      <c r="AJ1051" s="63">
        <f>IFERROR(VLOOKUP(Table2[[#This Row],[Contraente]],Table1[[Nome/Ragione sociale]:[Checkbox selezionato]],3,FALSE),"-")</f>
        <v>3200529968</v>
      </c>
      <c r="AK1051" s="63">
        <f>IFERROR(VLOOKUP(Table2[[#This Row],[Contraente]],Table1[[Nome/Ragione sociale]:[Checkbox selezionato]],4,FALSE),"-")</f>
        <v>0</v>
      </c>
      <c r="AL1051" s="63">
        <f>IFERROR(VLOOKUP(Table2[[#This Row],[Contraente]],Table1[[Nome/Ragione sociale]:[Checkbox selezionato]],5,FALSE),"-")</f>
        <v>0</v>
      </c>
      <c r="AM1051" s="62" t="str">
        <f>IFERROR(VLOOKUP(Table2[[#This Row],[Contraente]],Table1[[Nome/Ragione sociale]:[Checkbox selezionato]],6,FALSE),"-")</f>
        <v>-</v>
      </c>
      <c r="AN1051" s="63" t="str">
        <f>IFERROR(VLOOKUP(Table2[[#This Row],[Contraente]],Table1[[Nome/Ragione sociale]:[Checkbox selezionato]],7,FALSE),"-")</f>
        <v>papies@libero.it</v>
      </c>
      <c r="AO1051" s="63">
        <f>IFERROR(VLOOKUP(Table2[[#This Row],[Contraente]],Table1[[Nome/Ragione sociale]:[Checkbox selezionato]],8,FALSE),"-")</f>
        <v>0</v>
      </c>
      <c r="AP1051" s="63">
        <f>IFERROR(VLOOKUP(Table2[[#This Row],[Contraente]],Table1[[Nome/Ragione sociale]:[Checkbox selezionato]],10,FALSE),"-")</f>
        <v>3200529968</v>
      </c>
      <c r="AQ1051" s="63" t="str">
        <f>IFERROR(VLOOKUP(Table2[[#This Row],[Contraente]],Table1[[Nome/Ragione sociale]:[Checkbox selezionato]],11,FALSE),"-")</f>
        <v>SI</v>
      </c>
      <c r="AR1051" s="63" t="str">
        <f>IFERROR(VLOOKUP(Table2[[#This Row],[Contraente]],Table1[[Nome/Ragione sociale]:[Checkbox selezionato]],12,FALSE),"-")</f>
        <v>SI</v>
      </c>
    </row>
    <row r="1052" spans="1:44" ht="30" hidden="1" customHeight="1" x14ac:dyDescent="0.25">
      <c r="A1052" s="60" t="str">
        <f>UPPER(LEFT(Table2[[#This Row],[Contraente]],1))</f>
        <v>T</v>
      </c>
      <c r="B1052" s="60" t="s">
        <v>1634</v>
      </c>
      <c r="C1052" s="81" t="s">
        <v>1025</v>
      </c>
      <c r="D1052" s="81" t="s">
        <v>37</v>
      </c>
      <c r="E1052" s="86">
        <v>105357742</v>
      </c>
      <c r="F1052" s="64">
        <v>42810</v>
      </c>
      <c r="G1052" s="64">
        <f>IFERROR(CALCOLASCADENZA(Table2[[#This Row],[Data attivazione]],Table2[[#This Row],[Rateizzazione]],Table2[[#This Row],[Data ultimo pagamento]],Table2[[#This Row],[Data prossima scadenza manuale]]),"-")</f>
        <v>43163</v>
      </c>
      <c r="H1052" s="67" t="s">
        <v>30</v>
      </c>
      <c r="I1052" s="67" t="s">
        <v>113</v>
      </c>
      <c r="J1052" s="33">
        <f>IFERROR(Table2[[#This Row],[Importo annuale]]/(12/VLOOKUP(Table2[[#This Row],[Rateizzazione]],TIPI_RATEIZZAZIONI,2,FALSE)),"-")</f>
        <v>400</v>
      </c>
      <c r="K1052" s="88">
        <v>400</v>
      </c>
      <c r="L1052" s="88">
        <v>400</v>
      </c>
      <c r="M1052" s="67" t="s">
        <v>44</v>
      </c>
      <c r="N1052" s="67" t="s">
        <v>51</v>
      </c>
      <c r="O1052" s="27" t="s">
        <v>1631</v>
      </c>
      <c r="P1052" s="33" t="s">
        <v>23</v>
      </c>
      <c r="Q1052" s="60">
        <f>IFERROR(IF(12 / VLOOKUP(Table2[[#This Row],[Rateizzazione]],TIPI_RATEIZZAZIONI,2,FALSE) &gt;=1,  IF(Table2[[#This Row],[Data attivazione]] = "","-",MONTH(Table2[[#This Row],[Data attivazione]])),"-"),"-")</f>
        <v>3</v>
      </c>
      <c r="R10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2" s="67" t="s">
        <v>133</v>
      </c>
      <c r="V1052" s="62"/>
      <c r="W1052" s="64">
        <v>42798</v>
      </c>
      <c r="X1052" s="29">
        <f>DATE(YEAR(Table2[[#This Row],[Data attivazione]])+VLOOKUP(Table2[[#This Row],[Durata]],VALORE_DURATA,2,FALSE),MONTH(Table2[[#This Row],[Data attivazione]]),DAY(Table2[[#This Row],[Data attivazione]]))</f>
        <v>43163</v>
      </c>
      <c r="Y1052" s="65"/>
      <c r="Z1052" s="61"/>
      <c r="AA1052" s="64" t="s">
        <v>85</v>
      </c>
      <c r="AB1052" s="29" t="str">
        <f>IF(Table2[[#This Row],[Data ultimo versamento temp]]=0/1/1900,"-",Table2[[#This Row],[Data ultimo versamento temp]])</f>
        <v>-</v>
      </c>
      <c r="AC1052" s="29">
        <f t="array" ref="AC1052">MAX(IF(TableVersamenti[Polizza]=Table2[[#This Row],[Polizza]],TableVersamenti[Data prevista versamento],"-"))</f>
        <v>0</v>
      </c>
      <c r="AD1052" s="62"/>
      <c r="AE1052" s="106">
        <f>DATE(YEAR(Table2[[#This Row],[Data ultimo pagamento]]),MONTH(Table2[[#This Row],[Data ultimo pagamento]]), 1)</f>
        <v>42795</v>
      </c>
      <c r="AF1052" s="106">
        <f>DATE(YEAR(Table2[[#This Row],[Data prossima scadenza]]),MONTH(Table2[[#This Row],[Data prossima scadenza]]), 1)</f>
        <v>43160</v>
      </c>
      <c r="AG1052" s="33">
        <f>IFERROR(Table2[[#This Row],[Importo annuale]]*VLOOKUP(Table2[[#This Row],[Ramo]],RAMI_POLIZZA,2,FALSE),0)</f>
        <v>46</v>
      </c>
      <c r="AH1052" s="65" t="s">
        <v>113</v>
      </c>
      <c r="AI1052" s="63" t="str">
        <f>IFERROR(VLOOKUP(Table2[[#This Row],[Contraente]],Table1[[Nome/Ragione sociale]:[Checkbox selezionato]],2,FALSE),"-")</f>
        <v>CASTEL SAN GIOVANNI</v>
      </c>
      <c r="AJ1052" s="63">
        <f>IFERROR(VLOOKUP(Table2[[#This Row],[Contraente]],Table1[[Nome/Ragione sociale]:[Checkbox selezionato]],3,FALSE),"-")</f>
        <v>3205640179</v>
      </c>
      <c r="AK1052" s="63">
        <f>IFERROR(VLOOKUP(Table2[[#This Row],[Contraente]],Table1[[Nome/Ragione sociale]:[Checkbox selezionato]],4,FALSE),"-")</f>
        <v>0</v>
      </c>
      <c r="AL1052" s="63">
        <f>IFERROR(VLOOKUP(Table2[[#This Row],[Contraente]],Table1[[Nome/Ragione sociale]:[Checkbox selezionato]],5,FALSE),"-")</f>
        <v>0</v>
      </c>
      <c r="AM1052" s="62" t="str">
        <f>IFERROR(VLOOKUP(Table2[[#This Row],[Contraente]],Table1[[Nome/Ragione sociale]:[Checkbox selezionato]],6,FALSE),"-")</f>
        <v>-</v>
      </c>
      <c r="AN1052" s="63" t="str">
        <f>IFERROR(VLOOKUP(Table2[[#This Row],[Contraente]],Table1[[Nome/Ragione sociale]:[Checkbox selezionato]],7,FALSE),"-")</f>
        <v>papies@libero.it</v>
      </c>
      <c r="AO1052" s="63">
        <f>IFERROR(VLOOKUP(Table2[[#This Row],[Contraente]],Table1[[Nome/Ragione sociale]:[Checkbox selezionato]],8,FALSE),"-")</f>
        <v>0</v>
      </c>
      <c r="AP1052" s="63">
        <f>IFERROR(VLOOKUP(Table2[[#This Row],[Contraente]],Table1[[Nome/Ragione sociale]:[Checkbox selezionato]],10,FALSE),"-")</f>
        <v>3205640179</v>
      </c>
      <c r="AQ1052" s="63" t="str">
        <f>IFERROR(VLOOKUP(Table2[[#This Row],[Contraente]],Table1[[Nome/Ragione sociale]:[Checkbox selezionato]],11,FALSE),"-")</f>
        <v>SI</v>
      </c>
      <c r="AR1052" s="63" t="str">
        <f>IFERROR(VLOOKUP(Table2[[#This Row],[Contraente]],Table1[[Nome/Ragione sociale]:[Checkbox selezionato]],12,FALSE),"-")</f>
        <v>SI</v>
      </c>
    </row>
    <row r="1053" spans="1:44" ht="30" hidden="1" customHeight="1" x14ac:dyDescent="0.25">
      <c r="A1053" s="60" t="str">
        <f>UPPER(LEFT(Table2[[#This Row],[Contraente]],1))</f>
        <v>T</v>
      </c>
      <c r="B1053" s="60" t="s">
        <v>1634</v>
      </c>
      <c r="C1053" s="81" t="s">
        <v>1025</v>
      </c>
      <c r="D1053" s="81" t="s">
        <v>37</v>
      </c>
      <c r="E1053" s="86">
        <v>105357750</v>
      </c>
      <c r="F1053" s="64">
        <v>42810</v>
      </c>
      <c r="G1053" s="64">
        <f>IFERROR(CALCOLASCADENZA(Table2[[#This Row],[Data attivazione]],Table2[[#This Row],[Rateizzazione]],Table2[[#This Row],[Data ultimo pagamento]],Table2[[#This Row],[Data prossima scadenza manuale]]),"-")</f>
        <v>43163</v>
      </c>
      <c r="H1053" s="67" t="s">
        <v>30</v>
      </c>
      <c r="I1053" s="67" t="s">
        <v>113</v>
      </c>
      <c r="J1053" s="33">
        <f>IFERROR(Table2[[#This Row],[Importo annuale]]/(12/VLOOKUP(Table2[[#This Row],[Rateizzazione]],TIPI_RATEIZZAZIONI,2,FALSE)),"-")</f>
        <v>140</v>
      </c>
      <c r="K1053" s="88">
        <v>140</v>
      </c>
      <c r="L1053" s="88">
        <v>140</v>
      </c>
      <c r="M1053" s="67" t="s">
        <v>44</v>
      </c>
      <c r="N1053" s="67" t="s">
        <v>51</v>
      </c>
      <c r="O1053" s="27" t="s">
        <v>1631</v>
      </c>
      <c r="P1053" s="33" t="s">
        <v>23</v>
      </c>
      <c r="Q1053" s="60">
        <f>IFERROR(IF(12 / VLOOKUP(Table2[[#This Row],[Rateizzazione]],TIPI_RATEIZZAZIONI,2,FALSE) &gt;=1,  IF(Table2[[#This Row],[Data attivazione]] = "","-",MONTH(Table2[[#This Row],[Data attivazione]])),"-"),"-")</f>
        <v>3</v>
      </c>
      <c r="R10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3" s="67" t="s">
        <v>133</v>
      </c>
      <c r="V1053" s="62"/>
      <c r="W1053" s="64">
        <v>42798</v>
      </c>
      <c r="X1053" s="29">
        <f>DATE(YEAR(Table2[[#This Row],[Data attivazione]])+VLOOKUP(Table2[[#This Row],[Durata]],VALORE_DURATA,2,FALSE),MONTH(Table2[[#This Row],[Data attivazione]]),DAY(Table2[[#This Row],[Data attivazione]]))</f>
        <v>43163</v>
      </c>
      <c r="Y1053" s="65"/>
      <c r="Z1053" s="61"/>
      <c r="AA1053" s="64" t="s">
        <v>85</v>
      </c>
      <c r="AB1053" s="29" t="str">
        <f>IF(Table2[[#This Row],[Data ultimo versamento temp]]=0/1/1900,"-",Table2[[#This Row],[Data ultimo versamento temp]])</f>
        <v>-</v>
      </c>
      <c r="AC1053" s="29">
        <f t="array" ref="AC1053">MAX(IF(TableVersamenti[Polizza]=Table2[[#This Row],[Polizza]],TableVersamenti[Data prevista versamento],"-"))</f>
        <v>0</v>
      </c>
      <c r="AD1053" s="62"/>
      <c r="AE1053" s="106">
        <f>DATE(YEAR(Table2[[#This Row],[Data ultimo pagamento]]),MONTH(Table2[[#This Row],[Data ultimo pagamento]]), 1)</f>
        <v>42795</v>
      </c>
      <c r="AF1053" s="106">
        <f>DATE(YEAR(Table2[[#This Row],[Data prossima scadenza]]),MONTH(Table2[[#This Row],[Data prossima scadenza]]), 1)</f>
        <v>43160</v>
      </c>
      <c r="AG1053" s="33">
        <f>IFERROR(Table2[[#This Row],[Importo annuale]]*VLOOKUP(Table2[[#This Row],[Ramo]],RAMI_POLIZZA,2,FALSE),0)</f>
        <v>16.100000000000001</v>
      </c>
      <c r="AH1053" s="65" t="s">
        <v>113</v>
      </c>
      <c r="AI1053" s="63" t="str">
        <f>IFERROR(VLOOKUP(Table2[[#This Row],[Contraente]],Table1[[Nome/Ragione sociale]:[Checkbox selezionato]],2,FALSE),"-")</f>
        <v>CASTEL SAN GIOVANNI</v>
      </c>
      <c r="AJ1053" s="63">
        <f>IFERROR(VLOOKUP(Table2[[#This Row],[Contraente]],Table1[[Nome/Ragione sociale]:[Checkbox selezionato]],3,FALSE),"-")</f>
        <v>3205640179</v>
      </c>
      <c r="AK1053" s="63">
        <f>IFERROR(VLOOKUP(Table2[[#This Row],[Contraente]],Table1[[Nome/Ragione sociale]:[Checkbox selezionato]],4,FALSE),"-")</f>
        <v>0</v>
      </c>
      <c r="AL1053" s="63">
        <f>IFERROR(VLOOKUP(Table2[[#This Row],[Contraente]],Table1[[Nome/Ragione sociale]:[Checkbox selezionato]],5,FALSE),"-")</f>
        <v>0</v>
      </c>
      <c r="AM1053" s="62" t="str">
        <f>IFERROR(VLOOKUP(Table2[[#This Row],[Contraente]],Table1[[Nome/Ragione sociale]:[Checkbox selezionato]],6,FALSE),"-")</f>
        <v>-</v>
      </c>
      <c r="AN1053" s="63" t="str">
        <f>IFERROR(VLOOKUP(Table2[[#This Row],[Contraente]],Table1[[Nome/Ragione sociale]:[Checkbox selezionato]],7,FALSE),"-")</f>
        <v>papies@libero.it</v>
      </c>
      <c r="AO1053" s="63">
        <f>IFERROR(VLOOKUP(Table2[[#This Row],[Contraente]],Table1[[Nome/Ragione sociale]:[Checkbox selezionato]],8,FALSE),"-")</f>
        <v>0</v>
      </c>
      <c r="AP1053" s="63">
        <f>IFERROR(VLOOKUP(Table2[[#This Row],[Contraente]],Table1[[Nome/Ragione sociale]:[Checkbox selezionato]],10,FALSE),"-")</f>
        <v>3205640179</v>
      </c>
      <c r="AQ1053" s="63" t="str">
        <f>IFERROR(VLOOKUP(Table2[[#This Row],[Contraente]],Table1[[Nome/Ragione sociale]:[Checkbox selezionato]],11,FALSE),"-")</f>
        <v>SI</v>
      </c>
      <c r="AR1053" s="63" t="str">
        <f>IFERROR(VLOOKUP(Table2[[#This Row],[Contraente]],Table1[[Nome/Ragione sociale]:[Checkbox selezionato]],12,FALSE),"-")</f>
        <v>SI</v>
      </c>
    </row>
    <row r="1054" spans="1:44" ht="30" hidden="1" customHeight="1" x14ac:dyDescent="0.25">
      <c r="A1054" s="60" t="str">
        <f>UPPER(LEFT(Table2[[#This Row],[Contraente]],1))</f>
        <v>T</v>
      </c>
      <c r="B1054" s="60" t="s">
        <v>1634</v>
      </c>
      <c r="C1054" s="81" t="s">
        <v>1025</v>
      </c>
      <c r="D1054" s="81" t="s">
        <v>37</v>
      </c>
      <c r="E1054" s="86">
        <v>105357763</v>
      </c>
      <c r="F1054" s="64">
        <v>42810</v>
      </c>
      <c r="G1054" s="64">
        <f>IFERROR(CALCOLASCADENZA(Table2[[#This Row],[Data attivazione]],Table2[[#This Row],[Rateizzazione]],Table2[[#This Row],[Data ultimo pagamento]],Table2[[#This Row],[Data prossima scadenza manuale]]),"-")</f>
        <v>43163</v>
      </c>
      <c r="H1054" s="67" t="s">
        <v>31</v>
      </c>
      <c r="I1054" s="67" t="s">
        <v>1582</v>
      </c>
      <c r="J1054" s="33">
        <f>IFERROR(Table2[[#This Row],[Importo annuale]]/(12/VLOOKUP(Table2[[#This Row],[Rateizzazione]],TIPI_RATEIZZAZIONI,2,FALSE)),"-")</f>
        <v>475</v>
      </c>
      <c r="K1054" s="88">
        <v>475</v>
      </c>
      <c r="L1054" s="88">
        <v>475</v>
      </c>
      <c r="M1054" s="67" t="s">
        <v>44</v>
      </c>
      <c r="N1054" s="67" t="s">
        <v>51</v>
      </c>
      <c r="O1054" s="27" t="s">
        <v>1631</v>
      </c>
      <c r="P1054" s="33" t="s">
        <v>23</v>
      </c>
      <c r="Q1054" s="60">
        <f>IFERROR(IF(12 / VLOOKUP(Table2[[#This Row],[Rateizzazione]],TIPI_RATEIZZAZIONI,2,FALSE) &gt;=1,  IF(Table2[[#This Row],[Data attivazione]] = "","-",MONTH(Table2[[#This Row],[Data attivazione]])),"-"),"-")</f>
        <v>3</v>
      </c>
      <c r="R10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4" s="67" t="s">
        <v>133</v>
      </c>
      <c r="V1054" s="62"/>
      <c r="W1054" s="64">
        <v>42798</v>
      </c>
      <c r="X1054" s="29">
        <f>DATE(YEAR(Table2[[#This Row],[Data attivazione]])+VLOOKUP(Table2[[#This Row],[Durata]],VALORE_DURATA,2,FALSE),MONTH(Table2[[#This Row],[Data attivazione]]),DAY(Table2[[#This Row],[Data attivazione]]))</f>
        <v>43163</v>
      </c>
      <c r="Y1054" s="65"/>
      <c r="Z1054" s="61"/>
      <c r="AA1054" s="64" t="s">
        <v>85</v>
      </c>
      <c r="AB1054" s="29" t="str">
        <f>IF(Table2[[#This Row],[Data ultimo versamento temp]]=0/1/1900,"-",Table2[[#This Row],[Data ultimo versamento temp]])</f>
        <v>-</v>
      </c>
      <c r="AC1054" s="29">
        <f t="array" ref="AC1054">MAX(IF(TableVersamenti[Polizza]=Table2[[#This Row],[Polizza]],TableVersamenti[Data prevista versamento],"-"))</f>
        <v>0</v>
      </c>
      <c r="AD1054" s="62"/>
      <c r="AE1054" s="106">
        <f>DATE(YEAR(Table2[[#This Row],[Data ultimo pagamento]]),MONTH(Table2[[#This Row],[Data ultimo pagamento]]), 1)</f>
        <v>42795</v>
      </c>
      <c r="AF1054" s="106">
        <f>DATE(YEAR(Table2[[#This Row],[Data prossima scadenza]]),MONTH(Table2[[#This Row],[Data prossima scadenza]]), 1)</f>
        <v>43160</v>
      </c>
      <c r="AG1054" s="33">
        <f>IFERROR(Table2[[#This Row],[Importo annuale]]*VLOOKUP(Table2[[#This Row],[Ramo]],RAMI_POLIZZA,2,FALSE),0)</f>
        <v>24.7</v>
      </c>
      <c r="AH1054" s="65" t="s">
        <v>113</v>
      </c>
      <c r="AI1054" s="63" t="str">
        <f>IFERROR(VLOOKUP(Table2[[#This Row],[Contraente]],Table1[[Nome/Ragione sociale]:[Checkbox selezionato]],2,FALSE),"-")</f>
        <v>CASTEL SAN GIOVANNI</v>
      </c>
      <c r="AJ1054" s="63">
        <f>IFERROR(VLOOKUP(Table2[[#This Row],[Contraente]],Table1[[Nome/Ragione sociale]:[Checkbox selezionato]],3,FALSE),"-")</f>
        <v>3205640179</v>
      </c>
      <c r="AK1054" s="63">
        <f>IFERROR(VLOOKUP(Table2[[#This Row],[Contraente]],Table1[[Nome/Ragione sociale]:[Checkbox selezionato]],4,FALSE),"-")</f>
        <v>0</v>
      </c>
      <c r="AL1054" s="63">
        <f>IFERROR(VLOOKUP(Table2[[#This Row],[Contraente]],Table1[[Nome/Ragione sociale]:[Checkbox selezionato]],5,FALSE),"-")</f>
        <v>0</v>
      </c>
      <c r="AM1054" s="62" t="str">
        <f>IFERROR(VLOOKUP(Table2[[#This Row],[Contraente]],Table1[[Nome/Ragione sociale]:[Checkbox selezionato]],6,FALSE),"-")</f>
        <v>-</v>
      </c>
      <c r="AN1054" s="63" t="str">
        <f>IFERROR(VLOOKUP(Table2[[#This Row],[Contraente]],Table1[[Nome/Ragione sociale]:[Checkbox selezionato]],7,FALSE),"-")</f>
        <v>papies@libero.it</v>
      </c>
      <c r="AO1054" s="63">
        <f>IFERROR(VLOOKUP(Table2[[#This Row],[Contraente]],Table1[[Nome/Ragione sociale]:[Checkbox selezionato]],8,FALSE),"-")</f>
        <v>0</v>
      </c>
      <c r="AP1054" s="63">
        <f>IFERROR(VLOOKUP(Table2[[#This Row],[Contraente]],Table1[[Nome/Ragione sociale]:[Checkbox selezionato]],10,FALSE),"-")</f>
        <v>3205640179</v>
      </c>
      <c r="AQ1054" s="63" t="str">
        <f>IFERROR(VLOOKUP(Table2[[#This Row],[Contraente]],Table1[[Nome/Ragione sociale]:[Checkbox selezionato]],11,FALSE),"-")</f>
        <v>SI</v>
      </c>
      <c r="AR1054" s="63" t="str">
        <f>IFERROR(VLOOKUP(Table2[[#This Row],[Contraente]],Table1[[Nome/Ragione sociale]:[Checkbox selezionato]],12,FALSE),"-")</f>
        <v>SI</v>
      </c>
    </row>
    <row r="1055" spans="1:44" ht="30" hidden="1" customHeight="1" x14ac:dyDescent="0.25">
      <c r="A1055" s="60" t="str">
        <f>UPPER(LEFT(Table2[[#This Row],[Contraente]],1))</f>
        <v>T</v>
      </c>
      <c r="B1055" s="60" t="s">
        <v>1634</v>
      </c>
      <c r="C1055" s="81" t="s">
        <v>1026</v>
      </c>
      <c r="D1055" s="81" t="s">
        <v>37</v>
      </c>
      <c r="E1055" s="86">
        <v>106143541</v>
      </c>
      <c r="F1055" s="64">
        <v>42860</v>
      </c>
      <c r="G1055" s="64">
        <f>IFERROR(CALCOLASCADENZA(Table2[[#This Row],[Data attivazione]],Table2[[#This Row],[Rateizzazione]],Table2[[#This Row],[Data ultimo pagamento]],Table2[[#This Row],[Data prossima scadenza manuale]]),"-")</f>
        <v>43028</v>
      </c>
      <c r="H1055" s="67" t="s">
        <v>31</v>
      </c>
      <c r="I1055" s="67" t="s">
        <v>1583</v>
      </c>
      <c r="J1055" s="33">
        <f>IFERROR(Table2[[#This Row],[Importo annuale]]/(12/VLOOKUP(Table2[[#This Row],[Rateizzazione]],TIPI_RATEIZZAZIONI,2,FALSE)),"-")</f>
        <v>280</v>
      </c>
      <c r="K1055" s="88">
        <v>280</v>
      </c>
      <c r="L1055" s="88">
        <v>560</v>
      </c>
      <c r="M1055" s="67" t="s">
        <v>43</v>
      </c>
      <c r="N1055" s="67" t="s">
        <v>51</v>
      </c>
      <c r="O1055" s="27" t="s">
        <v>1631</v>
      </c>
      <c r="P1055" s="33" t="s">
        <v>22</v>
      </c>
      <c r="Q1055" s="60">
        <f>IFERROR(IF(12 / VLOOKUP(Table2[[#This Row],[Rateizzazione]],TIPI_RATEIZZAZIONI,2,FALSE) &gt;=1,  IF(Table2[[#This Row],[Data attivazione]] = "","-",MONTH(Table2[[#This Row],[Data attivazione]])),"-"),"-")</f>
        <v>10</v>
      </c>
      <c r="R10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5" s="67" t="s">
        <v>2</v>
      </c>
      <c r="V1055" s="62"/>
      <c r="W1055" s="64">
        <v>42663</v>
      </c>
      <c r="X1055" s="29">
        <f>DATE(YEAR(Table2[[#This Row],[Data attivazione]])+VLOOKUP(Table2[[#This Row],[Durata]],VALORE_DURATA,2,FALSE),MONTH(Table2[[#This Row],[Data attivazione]]),DAY(Table2[[#This Row],[Data attivazione]]))</f>
        <v>43028</v>
      </c>
      <c r="Y1055" s="65"/>
      <c r="Z1055" s="61"/>
      <c r="AA1055" s="64" t="s">
        <v>85</v>
      </c>
      <c r="AB1055" s="29" t="str">
        <f>IF(Table2[[#This Row],[Data ultimo versamento temp]]=0/1/1900,"-",Table2[[#This Row],[Data ultimo versamento temp]])</f>
        <v>-</v>
      </c>
      <c r="AC1055" s="29">
        <f t="array" ref="AC1055">MAX(IF(TableVersamenti[Polizza]=Table2[[#This Row],[Polizza]],TableVersamenti[Data prevista versamento],"-"))</f>
        <v>0</v>
      </c>
      <c r="AD1055" s="62"/>
      <c r="AE1055" s="106">
        <f>DATE(YEAR(Table2[[#This Row],[Data ultimo pagamento]]),MONTH(Table2[[#This Row],[Data ultimo pagamento]]), 1)</f>
        <v>42856</v>
      </c>
      <c r="AF1055" s="106">
        <f>DATE(YEAR(Table2[[#This Row],[Data prossima scadenza]]),MONTH(Table2[[#This Row],[Data prossima scadenza]]), 1)</f>
        <v>43009</v>
      </c>
      <c r="AG1055" s="33">
        <f>IFERROR(Table2[[#This Row],[Importo annuale]]*VLOOKUP(Table2[[#This Row],[Ramo]],RAMI_POLIZZA,2,FALSE),0)</f>
        <v>29.119999999999997</v>
      </c>
      <c r="AH1055" s="65" t="s">
        <v>113</v>
      </c>
      <c r="AI1055" s="63" t="str">
        <f>IFERROR(VLOOKUP(Table2[[#This Row],[Contraente]],Table1[[Nome/Ragione sociale]:[Checkbox selezionato]],2,FALSE),"-")</f>
        <v>MARUDO</v>
      </c>
      <c r="AJ1055" s="63">
        <f>IFERROR(VLOOKUP(Table2[[#This Row],[Contraente]],Table1[[Nome/Ragione sociale]:[Checkbox selezionato]],3,FALSE),"-")</f>
        <v>3298684544</v>
      </c>
      <c r="AK1055" s="63">
        <f>IFERROR(VLOOKUP(Table2[[#This Row],[Contraente]],Table1[[Nome/Ragione sociale]:[Checkbox selezionato]],4,FALSE),"-")</f>
        <v>0</v>
      </c>
      <c r="AL1055" s="63" t="str">
        <f>IFERROR(VLOOKUP(Table2[[#This Row],[Contraente]],Table1[[Nome/Ragione sociale]:[Checkbox selezionato]],5,FALSE),"-")</f>
        <v>MARITO</v>
      </c>
      <c r="AM1055" s="62" t="str">
        <f>IFERROR(VLOOKUP(Table2[[#This Row],[Contraente]],Table1[[Nome/Ragione sociale]:[Checkbox selezionato]],6,FALSE),"-")</f>
        <v>-</v>
      </c>
      <c r="AN1055" s="63" t="str">
        <f>IFERROR(VLOOKUP(Table2[[#This Row],[Contraente]],Table1[[Nome/Ragione sociale]:[Checkbox selezionato]],7,FALSE),"-")</f>
        <v>papies@email.it</v>
      </c>
      <c r="AO1055" s="63">
        <f>IFERROR(VLOOKUP(Table2[[#This Row],[Contraente]],Table1[[Nome/Ragione sociale]:[Checkbox selezionato]],8,FALSE),"-")</f>
        <v>0</v>
      </c>
      <c r="AP1055" s="63">
        <f>IFERROR(VLOOKUP(Table2[[#This Row],[Contraente]],Table1[[Nome/Ragione sociale]:[Checkbox selezionato]],10,FALSE),"-")</f>
        <v>3298684544</v>
      </c>
      <c r="AQ1055" s="63" t="str">
        <f>IFERROR(VLOOKUP(Table2[[#This Row],[Contraente]],Table1[[Nome/Ragione sociale]:[Checkbox selezionato]],11,FALSE),"-")</f>
        <v>SI</v>
      </c>
      <c r="AR1055" s="63" t="str">
        <f>IFERROR(VLOOKUP(Table2[[#This Row],[Contraente]],Table1[[Nome/Ragione sociale]:[Checkbox selezionato]],12,FALSE),"-")</f>
        <v>SI</v>
      </c>
    </row>
    <row r="1056" spans="1:44" ht="30" hidden="1" customHeight="1" x14ac:dyDescent="0.25">
      <c r="A1056" s="60" t="str">
        <f>UPPER(LEFT(Table2[[#This Row],[Contraente]],1))</f>
        <v>T</v>
      </c>
      <c r="B1056" s="60" t="s">
        <v>1634</v>
      </c>
      <c r="C1056" s="81" t="s">
        <v>1686</v>
      </c>
      <c r="D1056" s="81" t="s">
        <v>37</v>
      </c>
      <c r="E1056" s="86">
        <v>106727566</v>
      </c>
      <c r="F1056" s="64">
        <v>42837</v>
      </c>
      <c r="G1056" s="64">
        <f>IFERROR(CALCOLASCADENZA(Table2[[#This Row],[Data attivazione]],Table2[[#This Row],[Rateizzazione]],Table2[[#This Row],[Data ultimo pagamento]],Table2[[#This Row],[Data prossima scadenza manuale]]),"-")</f>
        <v>43020</v>
      </c>
      <c r="H1056" s="67" t="s">
        <v>31</v>
      </c>
      <c r="I1056" s="67" t="s">
        <v>1701</v>
      </c>
      <c r="J1056" s="33">
        <f>IFERROR(Table2[[#This Row],[Importo annuale]]/(12/VLOOKUP(Table2[[#This Row],[Rateizzazione]],TIPI_RATEIZZAZIONI,2,FALSE)),"-")</f>
        <v>215.2</v>
      </c>
      <c r="K1056" s="88">
        <v>215.2</v>
      </c>
      <c r="L1056" s="88">
        <v>430.4</v>
      </c>
      <c r="M1056" s="67" t="s">
        <v>43</v>
      </c>
      <c r="N1056" s="67" t="s">
        <v>52</v>
      </c>
      <c r="O1056" s="27" t="s">
        <v>1631</v>
      </c>
      <c r="P1056" s="33" t="s">
        <v>22</v>
      </c>
      <c r="Q1056" s="60">
        <f>IFERROR(IF(12 / VLOOKUP(Table2[[#This Row],[Rateizzazione]],TIPI_RATEIZZAZIONI,2,FALSE) &gt;=1,  IF(Table2[[#This Row],[Data attivazione]] = "","-",MONTH(Table2[[#This Row],[Data attivazione]])),"-"),"-")</f>
        <v>10</v>
      </c>
      <c r="R10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6" s="67" t="s">
        <v>133</v>
      </c>
      <c r="V1056" s="62"/>
      <c r="W1056" s="64">
        <v>42655</v>
      </c>
      <c r="X1056" s="29">
        <f>DATE(YEAR(Table2[[#This Row],[Data attivazione]])+VLOOKUP(Table2[[#This Row],[Durata]],VALORE_DURATA,2,FALSE),MONTH(Table2[[#This Row],[Data attivazione]]),DAY(Table2[[#This Row],[Data attivazione]]))</f>
        <v>43020</v>
      </c>
      <c r="Y1056" s="65"/>
      <c r="Z1056" s="61"/>
      <c r="AA1056" s="64" t="s">
        <v>85</v>
      </c>
      <c r="AB1056" s="29" t="str">
        <f>IF(Table2[[#This Row],[Data ultimo versamento temp]]=0/1/1900,"-",Table2[[#This Row],[Data ultimo versamento temp]])</f>
        <v>-</v>
      </c>
      <c r="AC1056" s="29">
        <f t="array" ref="AC1056">MAX(IF(TableVersamenti[Polizza]=Table2[[#This Row],[Polizza]],TableVersamenti[Data prevista versamento],"-"))</f>
        <v>0</v>
      </c>
      <c r="AD1056" s="62"/>
      <c r="AE1056" s="106">
        <f>DATE(YEAR(Table2[[#This Row],[Data ultimo pagamento]]),MONTH(Table2[[#This Row],[Data ultimo pagamento]]), 1)</f>
        <v>42826</v>
      </c>
      <c r="AF1056" s="106">
        <f>DATE(YEAR(Table2[[#This Row],[Data prossima scadenza]]),MONTH(Table2[[#This Row],[Data prossima scadenza]]), 1)</f>
        <v>43009</v>
      </c>
      <c r="AG1056" s="33">
        <f>IFERROR(Table2[[#This Row],[Importo annuale]]*VLOOKUP(Table2[[#This Row],[Ramo]],RAMI_POLIZZA,2,FALSE),0)</f>
        <v>22.380799999999997</v>
      </c>
      <c r="AH1056" s="65" t="s">
        <v>113</v>
      </c>
      <c r="AI1056" s="63" t="str">
        <f>IFERROR(VLOOKUP(Table2[[#This Row],[Contraente]],Table1[[Nome/Ragione sociale]:[Checkbox selezionato]],2,FALSE),"-")</f>
        <v>ARENA PO</v>
      </c>
      <c r="AJ1056" s="63">
        <f>IFERROR(VLOOKUP(Table2[[#This Row],[Contraente]],Table1[[Nome/Ragione sociale]:[Checkbox selezionato]],3,FALSE),"-")</f>
        <v>3295432375</v>
      </c>
      <c r="AK1056" s="63">
        <f>IFERROR(VLOOKUP(Table2[[#This Row],[Contraente]],Table1[[Nome/Ragione sociale]:[Checkbox selezionato]],4,FALSE),"-")</f>
        <v>0</v>
      </c>
      <c r="AL1056" s="63">
        <f>IFERROR(VLOOKUP(Table2[[#This Row],[Contraente]],Table1[[Nome/Ragione sociale]:[Checkbox selezionato]],5,FALSE),"-")</f>
        <v>0</v>
      </c>
      <c r="AM1056" s="62" t="str">
        <f>IFERROR(VLOOKUP(Table2[[#This Row],[Contraente]],Table1[[Nome/Ragione sociale]:[Checkbox selezionato]],6,FALSE),"-")</f>
        <v>-</v>
      </c>
      <c r="AN1056" s="63" t="str">
        <f>IFERROR(VLOOKUP(Table2[[#This Row],[Contraente]],Table1[[Nome/Ragione sociale]:[Checkbox selezionato]],7,FALSE),"-")</f>
        <v>papies@libero.it</v>
      </c>
      <c r="AO1056" s="63">
        <f>IFERROR(VLOOKUP(Table2[[#This Row],[Contraente]],Table1[[Nome/Ragione sociale]:[Checkbox selezionato]],8,FALSE),"-")</f>
        <v>0</v>
      </c>
      <c r="AP1056" s="63">
        <f>IFERROR(VLOOKUP(Table2[[#This Row],[Contraente]],Table1[[Nome/Ragione sociale]:[Checkbox selezionato]],10,FALSE),"-")</f>
        <v>3295432375</v>
      </c>
      <c r="AQ1056" s="63" t="str">
        <f>IFERROR(VLOOKUP(Table2[[#This Row],[Contraente]],Table1[[Nome/Ragione sociale]:[Checkbox selezionato]],11,FALSE),"-")</f>
        <v>SI</v>
      </c>
      <c r="AR1056" s="63" t="str">
        <f>IFERROR(VLOOKUP(Table2[[#This Row],[Contraente]],Table1[[Nome/Ragione sociale]:[Checkbox selezionato]],12,FALSE),"-")</f>
        <v>SI</v>
      </c>
    </row>
    <row r="1057" spans="1:44" ht="30" hidden="1" customHeight="1" x14ac:dyDescent="0.25">
      <c r="A1057" s="60" t="str">
        <f>UPPER(LEFT(Table2[[#This Row],[Contraente]],1))</f>
        <v>T</v>
      </c>
      <c r="B1057" s="60" t="s">
        <v>1634</v>
      </c>
      <c r="C1057" s="81" t="s">
        <v>1049</v>
      </c>
      <c r="D1057" s="81" t="s">
        <v>37</v>
      </c>
      <c r="E1057" s="86">
        <v>107033561</v>
      </c>
      <c r="F1057" s="64">
        <v>42912</v>
      </c>
      <c r="G1057" s="64">
        <f>IFERROR(CALCOLASCADENZA(Table2[[#This Row],[Data attivazione]],Table2[[#This Row],[Rateizzazione]],Table2[[#This Row],[Data ultimo pagamento]],Table2[[#This Row],[Data prossima scadenza manuale]]),"-")</f>
        <v>43281</v>
      </c>
      <c r="H1057" s="67" t="s">
        <v>30</v>
      </c>
      <c r="I1057" s="67" t="s">
        <v>113</v>
      </c>
      <c r="J1057" s="33">
        <f>IFERROR(Table2[[#This Row],[Importo annuale]]/(12/VLOOKUP(Table2[[#This Row],[Rateizzazione]],TIPI_RATEIZZAZIONI,2,FALSE)),"-")</f>
        <v>450</v>
      </c>
      <c r="K1057" s="88">
        <v>450</v>
      </c>
      <c r="L1057" s="88">
        <v>450</v>
      </c>
      <c r="M1057" s="67" t="s">
        <v>44</v>
      </c>
      <c r="N1057" s="67" t="s">
        <v>52</v>
      </c>
      <c r="O1057" s="27" t="s">
        <v>1631</v>
      </c>
      <c r="P1057" s="33" t="s">
        <v>23</v>
      </c>
      <c r="Q1057" s="60">
        <f>IFERROR(IF(12 / VLOOKUP(Table2[[#This Row],[Rateizzazione]],TIPI_RATEIZZAZIONI,2,FALSE) &gt;=1,  IF(Table2[[#This Row],[Data attivazione]] = "","-",MONTH(Table2[[#This Row],[Data attivazione]])),"-"),"-")</f>
        <v>6</v>
      </c>
      <c r="R10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7" s="67" t="s">
        <v>2</v>
      </c>
      <c r="V1057" s="62"/>
      <c r="W1057" s="64">
        <v>42916</v>
      </c>
      <c r="X1057" s="29">
        <f>DATE(YEAR(Table2[[#This Row],[Data attivazione]])+VLOOKUP(Table2[[#This Row],[Durata]],VALORE_DURATA,2,FALSE),MONTH(Table2[[#This Row],[Data attivazione]]),DAY(Table2[[#This Row],[Data attivazione]]))</f>
        <v>43281</v>
      </c>
      <c r="Y1057" s="65"/>
      <c r="Z1057" s="61"/>
      <c r="AA1057" s="64" t="s">
        <v>85</v>
      </c>
      <c r="AB1057" s="29" t="str">
        <f>IF(Table2[[#This Row],[Data ultimo versamento temp]]=0/1/1900,"-",Table2[[#This Row],[Data ultimo versamento temp]])</f>
        <v>-</v>
      </c>
      <c r="AC1057" s="29">
        <f t="array" ref="AC1057">MAX(IF(TableVersamenti[Polizza]=Table2[[#This Row],[Polizza]],TableVersamenti[Data prevista versamento],"-"))</f>
        <v>0</v>
      </c>
      <c r="AD1057" s="62"/>
      <c r="AE1057" s="106">
        <f>DATE(YEAR(Table2[[#This Row],[Data ultimo pagamento]]),MONTH(Table2[[#This Row],[Data ultimo pagamento]]), 1)</f>
        <v>42887</v>
      </c>
      <c r="AF1057" s="106">
        <f>DATE(YEAR(Table2[[#This Row],[Data prossima scadenza]]),MONTH(Table2[[#This Row],[Data prossima scadenza]]), 1)</f>
        <v>43252</v>
      </c>
      <c r="AG1057" s="33">
        <f>IFERROR(Table2[[#This Row],[Importo annuale]]*VLOOKUP(Table2[[#This Row],[Ramo]],RAMI_POLIZZA,2,FALSE),0)</f>
        <v>51.75</v>
      </c>
      <c r="AH1057" s="65" t="s">
        <v>113</v>
      </c>
      <c r="AI1057" s="63" t="str">
        <f>IFERROR(VLOOKUP(Table2[[#This Row],[Contraente]],Table1[[Nome/Ragione sociale]:[Checkbox selezionato]],2,FALSE),"-")</f>
        <v>BELGIOIOSO</v>
      </c>
      <c r="AJ1057" s="63">
        <f>IFERROR(VLOOKUP(Table2[[#This Row],[Contraente]],Table1[[Nome/Ragione sociale]:[Checkbox selezionato]],3,FALSE),"-")</f>
        <v>3341133430</v>
      </c>
      <c r="AK1057" s="63">
        <f>IFERROR(VLOOKUP(Table2[[#This Row],[Contraente]],Table1[[Nome/Ragione sociale]:[Checkbox selezionato]],4,FALSE),"-")</f>
        <v>0</v>
      </c>
      <c r="AL1057" s="63" t="str">
        <f>IFERROR(VLOOKUP(Table2[[#This Row],[Contraente]],Table1[[Nome/Ragione sociale]:[Checkbox selezionato]],5,FALSE),"-")</f>
        <v>ALESSIA</v>
      </c>
      <c r="AM1057" s="62">
        <f>IFERROR(VLOOKUP(Table2[[#This Row],[Contraente]],Table1[[Nome/Ragione sociale]:[Checkbox selezionato]],6,FALSE),"-")</f>
        <v>27590</v>
      </c>
      <c r="AN1057" s="63" t="str">
        <f>IFERROR(VLOOKUP(Table2[[#This Row],[Contraente]],Table1[[Nome/Ragione sociale]:[Checkbox selezionato]],7,FALSE),"-")</f>
        <v>papies@libero.it</v>
      </c>
      <c r="AO1057" s="63">
        <f>IFERROR(VLOOKUP(Table2[[#This Row],[Contraente]],Table1[[Nome/Ragione sociale]:[Checkbox selezionato]],8,FALSE),"-")</f>
        <v>0</v>
      </c>
      <c r="AP1057" s="63">
        <f>IFERROR(VLOOKUP(Table2[[#This Row],[Contraente]],Table1[[Nome/Ragione sociale]:[Checkbox selezionato]],10,FALSE),"-")</f>
        <v>3341133430</v>
      </c>
      <c r="AQ1057" s="63" t="str">
        <f>IFERROR(VLOOKUP(Table2[[#This Row],[Contraente]],Table1[[Nome/Ragione sociale]:[Checkbox selezionato]],11,FALSE),"-")</f>
        <v>SI</v>
      </c>
      <c r="AR1057" s="63" t="str">
        <f>IFERROR(VLOOKUP(Table2[[#This Row],[Contraente]],Table1[[Nome/Ragione sociale]:[Checkbox selezionato]],12,FALSE),"-")</f>
        <v>SI</v>
      </c>
    </row>
    <row r="1058" spans="1:44" ht="30" hidden="1" customHeight="1" x14ac:dyDescent="0.25">
      <c r="A1058" s="60" t="str">
        <f>UPPER(LEFT(Table2[[#This Row],[Contraente]],1))</f>
        <v>T</v>
      </c>
      <c r="B1058" s="60" t="s">
        <v>1634</v>
      </c>
      <c r="C1058" s="81" t="s">
        <v>1049</v>
      </c>
      <c r="D1058" s="81" t="s">
        <v>37</v>
      </c>
      <c r="E1058" s="86">
        <v>105389266</v>
      </c>
      <c r="F1058" s="64">
        <v>42661</v>
      </c>
      <c r="G1058" s="64">
        <f>IFERROR(CALCOLASCADENZA(Table2[[#This Row],[Data attivazione]],Table2[[#This Row],[Rateizzazione]],Table2[[#This Row],[Data ultimo pagamento]],Table2[[#This Row],[Data prossima scadenza manuale]]),"-")</f>
        <v>42661</v>
      </c>
      <c r="H1058" s="67" t="s">
        <v>31</v>
      </c>
      <c r="I1058" s="67" t="s">
        <v>1594</v>
      </c>
      <c r="J1058" s="33">
        <v>-77.959999999999994</v>
      </c>
      <c r="K1058" s="88"/>
      <c r="L1058" s="88">
        <v>0</v>
      </c>
      <c r="M1058" s="67" t="s">
        <v>44</v>
      </c>
      <c r="N1058" s="67" t="s">
        <v>52</v>
      </c>
      <c r="O1058" s="27" t="s">
        <v>1631</v>
      </c>
      <c r="P1058" s="33" t="s">
        <v>24</v>
      </c>
      <c r="Q105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8" s="67" t="s">
        <v>2</v>
      </c>
      <c r="V1058" s="62"/>
      <c r="W1058" s="64">
        <v>693597</v>
      </c>
      <c r="X1058" s="29">
        <f>DATE(YEAR(Table2[[#This Row],[Data attivazione]])+VLOOKUP(Table2[[#This Row],[Durata]],VALORE_DURATA,2,FALSE),MONTH(Table2[[#This Row],[Data attivazione]]),DAY(Table2[[#This Row],[Data attivazione]]))</f>
        <v>693962</v>
      </c>
      <c r="Y1058" s="65"/>
      <c r="Z1058" s="61"/>
      <c r="AA1058" s="64" t="s">
        <v>88</v>
      </c>
      <c r="AB1058" s="29" t="str">
        <f>IF(Table2[[#This Row],[Data ultimo versamento temp]]=0/1/1900,"-",Table2[[#This Row],[Data ultimo versamento temp]])</f>
        <v>-</v>
      </c>
      <c r="AC1058" s="29">
        <f t="array" ref="AC1058">MAX(IF(TableVersamenti[Polizza]=Table2[[#This Row],[Polizza]],TableVersamenti[Data prevista versamento],"-"))</f>
        <v>0</v>
      </c>
      <c r="AD1058" s="62"/>
      <c r="AE1058" s="106">
        <f>DATE(YEAR(Table2[[#This Row],[Data ultimo pagamento]]),MONTH(Table2[[#This Row],[Data ultimo pagamento]]), 1)</f>
        <v>42644</v>
      </c>
      <c r="AF1058" s="106">
        <f>DATE(YEAR(Table2[[#This Row],[Data prossima scadenza]]),MONTH(Table2[[#This Row],[Data prossima scadenza]]), 1)</f>
        <v>42644</v>
      </c>
      <c r="AG1058" s="33">
        <f>IFERROR(Table2[[#This Row],[Importo annuale]]*VLOOKUP(Table2[[#This Row],[Ramo]],RAMI_POLIZZA,2,FALSE),0)</f>
        <v>0</v>
      </c>
      <c r="AH1058" s="65" t="s">
        <v>113</v>
      </c>
      <c r="AI1058" s="63" t="str">
        <f>IFERROR(VLOOKUP(Table2[[#This Row],[Contraente]],Table1[[Nome/Ragione sociale]:[Checkbox selezionato]],2,FALSE),"-")</f>
        <v>BELGIOIOSO</v>
      </c>
      <c r="AJ1058" s="63">
        <f>IFERROR(VLOOKUP(Table2[[#This Row],[Contraente]],Table1[[Nome/Ragione sociale]:[Checkbox selezionato]],3,FALSE),"-")</f>
        <v>3341133430</v>
      </c>
      <c r="AK1058" s="63">
        <f>IFERROR(VLOOKUP(Table2[[#This Row],[Contraente]],Table1[[Nome/Ragione sociale]:[Checkbox selezionato]],4,FALSE),"-")</f>
        <v>0</v>
      </c>
      <c r="AL1058" s="63" t="str">
        <f>IFERROR(VLOOKUP(Table2[[#This Row],[Contraente]],Table1[[Nome/Ragione sociale]:[Checkbox selezionato]],5,FALSE),"-")</f>
        <v>ALESSIA</v>
      </c>
      <c r="AM1058" s="62">
        <f>IFERROR(VLOOKUP(Table2[[#This Row],[Contraente]],Table1[[Nome/Ragione sociale]:[Checkbox selezionato]],6,FALSE),"-")</f>
        <v>27590</v>
      </c>
      <c r="AN1058" s="63" t="str">
        <f>IFERROR(VLOOKUP(Table2[[#This Row],[Contraente]],Table1[[Nome/Ragione sociale]:[Checkbox selezionato]],7,FALSE),"-")</f>
        <v>papies@libero.it</v>
      </c>
      <c r="AO1058" s="63">
        <f>IFERROR(VLOOKUP(Table2[[#This Row],[Contraente]],Table1[[Nome/Ragione sociale]:[Checkbox selezionato]],8,FALSE),"-")</f>
        <v>0</v>
      </c>
      <c r="AP1058" s="63">
        <f>IFERROR(VLOOKUP(Table2[[#This Row],[Contraente]],Table1[[Nome/Ragione sociale]:[Checkbox selezionato]],10,FALSE),"-")</f>
        <v>3341133430</v>
      </c>
      <c r="AQ1058" s="63" t="str">
        <f>IFERROR(VLOOKUP(Table2[[#This Row],[Contraente]],Table1[[Nome/Ragione sociale]:[Checkbox selezionato]],11,FALSE),"-")</f>
        <v>SI</v>
      </c>
      <c r="AR1058" s="63" t="str">
        <f>IFERROR(VLOOKUP(Table2[[#This Row],[Contraente]],Table1[[Nome/Ragione sociale]:[Checkbox selezionato]],12,FALSE),"-")</f>
        <v>SI</v>
      </c>
    </row>
    <row r="1059" spans="1:44" ht="30" hidden="1" customHeight="1" x14ac:dyDescent="0.25">
      <c r="A1059" s="60" t="str">
        <f>UPPER(LEFT(Table2[[#This Row],[Contraente]],1))</f>
        <v>T</v>
      </c>
      <c r="B1059" s="60" t="s">
        <v>1634</v>
      </c>
      <c r="C1059" s="81" t="s">
        <v>1052</v>
      </c>
      <c r="D1059" s="81" t="s">
        <v>37</v>
      </c>
      <c r="E1059" s="86">
        <v>105292532</v>
      </c>
      <c r="F1059" s="64">
        <v>42585</v>
      </c>
      <c r="G1059" s="64">
        <f>IFERROR(CALCOLASCADENZA(Table2[[#This Row],[Data attivazione]],Table2[[#This Row],[Rateizzazione]],Table2[[#This Row],[Data ultimo pagamento]],Table2[[#This Row],[Data prossima scadenza manuale]]),"-")</f>
        <v>42786</v>
      </c>
      <c r="H1059" s="67" t="s">
        <v>31</v>
      </c>
      <c r="I1059" s="67" t="s">
        <v>1597</v>
      </c>
      <c r="J1059" s="33">
        <f>IFERROR(Table2[[#This Row],[Importo annuale]]/(12/VLOOKUP(Table2[[#This Row],[Rateizzazione]],TIPI_RATEIZZAZIONI,2,FALSE)),"-")</f>
        <v>285</v>
      </c>
      <c r="K1059" s="88"/>
      <c r="L1059" s="88">
        <v>570</v>
      </c>
      <c r="M1059" s="67" t="s">
        <v>45</v>
      </c>
      <c r="N1059" s="67" t="s">
        <v>51</v>
      </c>
      <c r="O1059" s="27" t="s">
        <v>1631</v>
      </c>
      <c r="P1059" s="33" t="s">
        <v>22</v>
      </c>
      <c r="Q1059" s="60">
        <f>IFERROR(IF(12 / VLOOKUP(Table2[[#This Row],[Rateizzazione]],TIPI_RATEIZZAZIONI,2,FALSE) &gt;=1,  IF(Table2[[#This Row],[Data attivazione]] = "","-",MONTH(Table2[[#This Row],[Data attivazione]])),"-"),"-")</f>
        <v>2</v>
      </c>
      <c r="R10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10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9" s="67" t="s">
        <v>2</v>
      </c>
      <c r="V1059" s="62"/>
      <c r="W1059" s="64">
        <v>42420</v>
      </c>
      <c r="X1059" s="29">
        <f>DATE(YEAR(Table2[[#This Row],[Data attivazione]])+VLOOKUP(Table2[[#This Row],[Durata]],VALORE_DURATA,2,FALSE),MONTH(Table2[[#This Row],[Data attivazione]]),DAY(Table2[[#This Row],[Data attivazione]]))</f>
        <v>42786</v>
      </c>
      <c r="Y1059" s="65"/>
      <c r="Z1059" s="61"/>
      <c r="AA1059" s="64" t="s">
        <v>88</v>
      </c>
      <c r="AB1059" s="29" t="str">
        <f>IF(Table2[[#This Row],[Data ultimo versamento temp]]=0/1/1900,"-",Table2[[#This Row],[Data ultimo versamento temp]])</f>
        <v>-</v>
      </c>
      <c r="AC1059" s="29">
        <f t="array" ref="AC1059">MAX(IF(TableVersamenti[Polizza]=Table2[[#This Row],[Polizza]],TableVersamenti[Data prevista versamento],"-"))</f>
        <v>0</v>
      </c>
      <c r="AD1059" s="62"/>
      <c r="AE1059" s="106">
        <f>DATE(YEAR(Table2[[#This Row],[Data ultimo pagamento]]),MONTH(Table2[[#This Row],[Data ultimo pagamento]]), 1)</f>
        <v>42583</v>
      </c>
      <c r="AF1059" s="106">
        <f>DATE(YEAR(Table2[[#This Row],[Data prossima scadenza]]),MONTH(Table2[[#This Row],[Data prossima scadenza]]), 1)</f>
        <v>42767</v>
      </c>
      <c r="AG1059" s="33">
        <f>IFERROR(Table2[[#This Row],[Importo annuale]]*VLOOKUP(Table2[[#This Row],[Ramo]],RAMI_POLIZZA,2,FALSE),0)</f>
        <v>29.639999999999997</v>
      </c>
      <c r="AH1059" s="65" t="s">
        <v>113</v>
      </c>
      <c r="AI1059" s="63" t="str">
        <f>IFERROR(VLOOKUP(Table2[[#This Row],[Contraente]],Table1[[Nome/Ragione sociale]:[Checkbox selezionato]],2,FALSE),"-")</f>
        <v>BELGIOIOSO</v>
      </c>
      <c r="AJ1059" s="63">
        <f>IFERROR(VLOOKUP(Table2[[#This Row],[Contraente]],Table1[[Nome/Ragione sociale]:[Checkbox selezionato]],3,FALSE),"-")</f>
        <v>3356432764</v>
      </c>
      <c r="AK1059" s="63">
        <f>IFERROR(VLOOKUP(Table2[[#This Row],[Contraente]],Table1[[Nome/Ragione sociale]:[Checkbox selezionato]],4,FALSE),"-")</f>
        <v>0</v>
      </c>
      <c r="AL1059" s="63" t="str">
        <f>IFERROR(VLOOKUP(Table2[[#This Row],[Contraente]],Table1[[Nome/Ragione sociale]:[Checkbox selezionato]],5,FALSE),"-")</f>
        <v>BRUNO</v>
      </c>
      <c r="AM1059" s="62">
        <f>IFERROR(VLOOKUP(Table2[[#This Row],[Contraente]],Table1[[Nome/Ragione sociale]:[Checkbox selezionato]],6,FALSE),"-")</f>
        <v>18789</v>
      </c>
      <c r="AN1059" s="63" t="str">
        <f>IFERROR(VLOOKUP(Table2[[#This Row],[Contraente]],Table1[[Nome/Ragione sociale]:[Checkbox selezionato]],7,FALSE),"-")</f>
        <v>papies@email.it</v>
      </c>
      <c r="AO1059" s="63">
        <f>IFERROR(VLOOKUP(Table2[[#This Row],[Contraente]],Table1[[Nome/Ragione sociale]:[Checkbox selezionato]],8,FALSE),"-")</f>
        <v>0</v>
      </c>
      <c r="AP1059" s="63">
        <f>IFERROR(VLOOKUP(Table2[[#This Row],[Contraente]],Table1[[Nome/Ragione sociale]:[Checkbox selezionato]],10,FALSE),"-")</f>
        <v>3356432764</v>
      </c>
      <c r="AQ1059" s="63" t="str">
        <f>IFERROR(VLOOKUP(Table2[[#This Row],[Contraente]],Table1[[Nome/Ragione sociale]:[Checkbox selezionato]],11,FALSE),"-")</f>
        <v>SI</v>
      </c>
      <c r="AR1059" s="63" t="str">
        <f>IFERROR(VLOOKUP(Table2[[#This Row],[Contraente]],Table1[[Nome/Ragione sociale]:[Checkbox selezionato]],12,FALSE),"-")</f>
        <v>SI</v>
      </c>
    </row>
    <row r="1060" spans="1:44" ht="30" hidden="1" customHeight="1" x14ac:dyDescent="0.25">
      <c r="A1060" s="60" t="str">
        <f>UPPER(LEFT(Table2[[#This Row],[Contraente]],1))</f>
        <v>T</v>
      </c>
      <c r="B1060" s="60" t="s">
        <v>1634</v>
      </c>
      <c r="C1060" s="81" t="s">
        <v>1051</v>
      </c>
      <c r="D1060" s="81" t="s">
        <v>37</v>
      </c>
      <c r="E1060" s="86">
        <v>106545886</v>
      </c>
      <c r="F1060" s="64">
        <v>42787</v>
      </c>
      <c r="G1060" s="64">
        <f>IFERROR(CALCOLASCADENZA(Table2[[#This Row],[Data attivazione]],Table2[[#This Row],[Rateizzazione]],Table2[[#This Row],[Data ultimo pagamento]],Table2[[#This Row],[Data prossima scadenza manuale]]),"-")</f>
        <v>42971</v>
      </c>
      <c r="H1060" s="67" t="s">
        <v>30</v>
      </c>
      <c r="I1060" s="67" t="s">
        <v>113</v>
      </c>
      <c r="J1060" s="33">
        <f>IFERROR(Table2[[#This Row],[Importo annuale]]/(12/VLOOKUP(Table2[[#This Row],[Rateizzazione]],TIPI_RATEIZZAZIONI,2,FALSE)),"-")</f>
        <v>105</v>
      </c>
      <c r="K1060" s="88">
        <v>105</v>
      </c>
      <c r="L1060" s="88">
        <v>210</v>
      </c>
      <c r="M1060" s="67" t="s">
        <v>45</v>
      </c>
      <c r="N1060" s="67" t="s">
        <v>52</v>
      </c>
      <c r="O1060" s="27" t="s">
        <v>1631</v>
      </c>
      <c r="P1060" s="33" t="s">
        <v>22</v>
      </c>
      <c r="Q1060" s="60">
        <f>IFERROR(IF(12 / VLOOKUP(Table2[[#This Row],[Rateizzazione]],TIPI_RATEIZZAZIONI,2,FALSE) &gt;=1,  IF(Table2[[#This Row],[Data attivazione]] = "","-",MONTH(Table2[[#This Row],[Data attivazione]])),"-"),"-")</f>
        <v>8</v>
      </c>
      <c r="R10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0" s="67" t="s">
        <v>2</v>
      </c>
      <c r="V1060" s="62"/>
      <c r="W1060" s="64">
        <v>42606</v>
      </c>
      <c r="X1060" s="29">
        <f>DATE(YEAR(Table2[[#This Row],[Data attivazione]])+VLOOKUP(Table2[[#This Row],[Durata]],VALORE_DURATA,2,FALSE),MONTH(Table2[[#This Row],[Data attivazione]]),DAY(Table2[[#This Row],[Data attivazione]]))</f>
        <v>42971</v>
      </c>
      <c r="Y1060" s="65"/>
      <c r="Z1060" s="61"/>
      <c r="AA1060" s="64" t="s">
        <v>85</v>
      </c>
      <c r="AB1060" s="29" t="str">
        <f>IF(Table2[[#This Row],[Data ultimo versamento temp]]=0/1/1900,"-",Table2[[#This Row],[Data ultimo versamento temp]])</f>
        <v>-</v>
      </c>
      <c r="AC1060" s="29">
        <f t="array" ref="AC1060">MAX(IF(TableVersamenti[Polizza]=Table2[[#This Row],[Polizza]],TableVersamenti[Data prevista versamento],"-"))</f>
        <v>0</v>
      </c>
      <c r="AD1060" s="62"/>
      <c r="AE1060" s="106">
        <f>DATE(YEAR(Table2[[#This Row],[Data ultimo pagamento]]),MONTH(Table2[[#This Row],[Data ultimo pagamento]]), 1)</f>
        <v>42767</v>
      </c>
      <c r="AF1060" s="106">
        <f>DATE(YEAR(Table2[[#This Row],[Data prossima scadenza]]),MONTH(Table2[[#This Row],[Data prossima scadenza]]), 1)</f>
        <v>42948</v>
      </c>
      <c r="AG1060" s="33">
        <f>IFERROR(Table2[[#This Row],[Importo annuale]]*VLOOKUP(Table2[[#This Row],[Ramo]],RAMI_POLIZZA,2,FALSE),0)</f>
        <v>24.150000000000002</v>
      </c>
      <c r="AH1060" s="65" t="s">
        <v>113</v>
      </c>
      <c r="AI1060" s="63" t="str">
        <f>IFERROR(VLOOKUP(Table2[[#This Row],[Contraente]],Table1[[Nome/Ragione sociale]:[Checkbox selezionato]],2,FALSE),"-")</f>
        <v>BELGIOIOSO</v>
      </c>
      <c r="AJ1060" s="63">
        <f>IFERROR(VLOOKUP(Table2[[#This Row],[Contraente]],Table1[[Nome/Ragione sociale]:[Checkbox selezionato]],3,FALSE),"-")</f>
        <v>3349206558</v>
      </c>
      <c r="AK1060" s="63">
        <f>IFERROR(VLOOKUP(Table2[[#This Row],[Contraente]],Table1[[Nome/Ragione sociale]:[Checkbox selezionato]],4,FALSE),"-")</f>
        <v>0</v>
      </c>
      <c r="AL1060" s="63" t="str">
        <f>IFERROR(VLOOKUP(Table2[[#This Row],[Contraente]],Table1[[Nome/Ragione sociale]:[Checkbox selezionato]],5,FALSE),"-")</f>
        <v>CLAUDIO</v>
      </c>
      <c r="AM1060" s="62">
        <f>IFERROR(VLOOKUP(Table2[[#This Row],[Contraente]],Table1[[Nome/Ragione sociale]:[Checkbox selezionato]],6,FALSE),"-")</f>
        <v>32225</v>
      </c>
      <c r="AN1060" s="63" t="str">
        <f>IFERROR(VLOOKUP(Table2[[#This Row],[Contraente]],Table1[[Nome/Ragione sociale]:[Checkbox selezionato]],7,FALSE),"-")</f>
        <v>papies@libero.it</v>
      </c>
      <c r="AO1060" s="63">
        <f>IFERROR(VLOOKUP(Table2[[#This Row],[Contraente]],Table1[[Nome/Ragione sociale]:[Checkbox selezionato]],8,FALSE),"-")</f>
        <v>0</v>
      </c>
      <c r="AP1060" s="63">
        <f>IFERROR(VLOOKUP(Table2[[#This Row],[Contraente]],Table1[[Nome/Ragione sociale]:[Checkbox selezionato]],10,FALSE),"-")</f>
        <v>3349206558</v>
      </c>
      <c r="AQ1060" s="63" t="str">
        <f>IFERROR(VLOOKUP(Table2[[#This Row],[Contraente]],Table1[[Nome/Ragione sociale]:[Checkbox selezionato]],11,FALSE),"-")</f>
        <v>SI</v>
      </c>
      <c r="AR1060" s="63" t="str">
        <f>IFERROR(VLOOKUP(Table2[[#This Row],[Contraente]],Table1[[Nome/Ragione sociale]:[Checkbox selezionato]],12,FALSE),"-")</f>
        <v>SI</v>
      </c>
    </row>
    <row r="1061" spans="1:44" ht="30" hidden="1" customHeight="1" x14ac:dyDescent="0.25">
      <c r="A1061" s="60" t="str">
        <f>UPPER(LEFT(Table2[[#This Row],[Contraente]],1))</f>
        <v>T</v>
      </c>
      <c r="B1061" s="60" t="s">
        <v>1634</v>
      </c>
      <c r="C1061" s="81" t="s">
        <v>1051</v>
      </c>
      <c r="D1061" s="81" t="s">
        <v>37</v>
      </c>
      <c r="E1061" s="86">
        <v>106517396</v>
      </c>
      <c r="F1061" s="64">
        <v>42776</v>
      </c>
      <c r="G1061" s="64">
        <f>IFERROR(CALCOLASCADENZA(Table2[[#This Row],[Data attivazione]],Table2[[#This Row],[Rateizzazione]],Table2[[#This Row],[Data ultimo pagamento]],Table2[[#This Row],[Data prossima scadenza manuale]]),"-")</f>
        <v>42957</v>
      </c>
      <c r="H1061" s="67" t="s">
        <v>31</v>
      </c>
      <c r="I1061" s="67" t="s">
        <v>1596</v>
      </c>
      <c r="J1061" s="33">
        <f>IFERROR(Table2[[#This Row],[Importo annuale]]/(12/VLOOKUP(Table2[[#This Row],[Rateizzazione]],TIPI_RATEIZZAZIONI,2,FALSE)),"-")</f>
        <v>535.35</v>
      </c>
      <c r="K1061" s="88">
        <v>535.35</v>
      </c>
      <c r="L1061" s="88">
        <v>1070.7</v>
      </c>
      <c r="M1061" s="67" t="s">
        <v>45</v>
      </c>
      <c r="N1061" s="67" t="s">
        <v>52</v>
      </c>
      <c r="O1061" s="27" t="s">
        <v>1631</v>
      </c>
      <c r="P1061" s="33" t="s">
        <v>22</v>
      </c>
      <c r="Q1061" s="60">
        <f>IFERROR(IF(12 / VLOOKUP(Table2[[#This Row],[Rateizzazione]],TIPI_RATEIZZAZIONI,2,FALSE) &gt;=1,  IF(Table2[[#This Row],[Data attivazione]] = "","-",MONTH(Table2[[#This Row],[Data attivazione]])),"-"),"-")</f>
        <v>8</v>
      </c>
      <c r="R10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1" s="67" t="s">
        <v>2</v>
      </c>
      <c r="V1061" s="62"/>
      <c r="W1061" s="64">
        <v>42592</v>
      </c>
      <c r="X1061" s="29">
        <f>DATE(YEAR(Table2[[#This Row],[Data attivazione]])+VLOOKUP(Table2[[#This Row],[Durata]],VALORE_DURATA,2,FALSE),MONTH(Table2[[#This Row],[Data attivazione]]),DAY(Table2[[#This Row],[Data attivazione]]))</f>
        <v>42957</v>
      </c>
      <c r="Y1061" s="65"/>
      <c r="Z1061" s="61"/>
      <c r="AA1061" s="64" t="s">
        <v>85</v>
      </c>
      <c r="AB1061" s="29" t="str">
        <f>IF(Table2[[#This Row],[Data ultimo versamento temp]]=0/1/1900,"-",Table2[[#This Row],[Data ultimo versamento temp]])</f>
        <v>-</v>
      </c>
      <c r="AC1061" s="29">
        <f t="array" ref="AC1061">MAX(IF(TableVersamenti[Polizza]=Table2[[#This Row],[Polizza]],TableVersamenti[Data prevista versamento],"-"))</f>
        <v>0</v>
      </c>
      <c r="AD1061" s="62"/>
      <c r="AE1061" s="106">
        <f>DATE(YEAR(Table2[[#This Row],[Data ultimo pagamento]]),MONTH(Table2[[#This Row],[Data ultimo pagamento]]), 1)</f>
        <v>42767</v>
      </c>
      <c r="AF1061" s="106">
        <f>DATE(YEAR(Table2[[#This Row],[Data prossima scadenza]]),MONTH(Table2[[#This Row],[Data prossima scadenza]]), 1)</f>
        <v>42948</v>
      </c>
      <c r="AG1061" s="33">
        <f>IFERROR(Table2[[#This Row],[Importo annuale]]*VLOOKUP(Table2[[#This Row],[Ramo]],RAMI_POLIZZA,2,FALSE),0)</f>
        <v>55.676400000000001</v>
      </c>
      <c r="AH1061" s="65" t="s">
        <v>113</v>
      </c>
      <c r="AI1061" s="63" t="str">
        <f>IFERROR(VLOOKUP(Table2[[#This Row],[Contraente]],Table1[[Nome/Ragione sociale]:[Checkbox selezionato]],2,FALSE),"-")</f>
        <v>BELGIOIOSO</v>
      </c>
      <c r="AJ1061" s="63">
        <f>IFERROR(VLOOKUP(Table2[[#This Row],[Contraente]],Table1[[Nome/Ragione sociale]:[Checkbox selezionato]],3,FALSE),"-")</f>
        <v>3349206558</v>
      </c>
      <c r="AK1061" s="63">
        <f>IFERROR(VLOOKUP(Table2[[#This Row],[Contraente]],Table1[[Nome/Ragione sociale]:[Checkbox selezionato]],4,FALSE),"-")</f>
        <v>0</v>
      </c>
      <c r="AL1061" s="63" t="str">
        <f>IFERROR(VLOOKUP(Table2[[#This Row],[Contraente]],Table1[[Nome/Ragione sociale]:[Checkbox selezionato]],5,FALSE),"-")</f>
        <v>CLAUDIO</v>
      </c>
      <c r="AM1061" s="62">
        <f>IFERROR(VLOOKUP(Table2[[#This Row],[Contraente]],Table1[[Nome/Ragione sociale]:[Checkbox selezionato]],6,FALSE),"-")</f>
        <v>32225</v>
      </c>
      <c r="AN1061" s="63" t="str">
        <f>IFERROR(VLOOKUP(Table2[[#This Row],[Contraente]],Table1[[Nome/Ragione sociale]:[Checkbox selezionato]],7,FALSE),"-")</f>
        <v>papies@libero.it</v>
      </c>
      <c r="AO1061" s="63">
        <f>IFERROR(VLOOKUP(Table2[[#This Row],[Contraente]],Table1[[Nome/Ragione sociale]:[Checkbox selezionato]],8,FALSE),"-")</f>
        <v>0</v>
      </c>
      <c r="AP1061" s="63">
        <f>IFERROR(VLOOKUP(Table2[[#This Row],[Contraente]],Table1[[Nome/Ragione sociale]:[Checkbox selezionato]],10,FALSE),"-")</f>
        <v>3349206558</v>
      </c>
      <c r="AQ1061" s="63" t="str">
        <f>IFERROR(VLOOKUP(Table2[[#This Row],[Contraente]],Table1[[Nome/Ragione sociale]:[Checkbox selezionato]],11,FALSE),"-")</f>
        <v>SI</v>
      </c>
      <c r="AR1061" s="63" t="str">
        <f>IFERROR(VLOOKUP(Table2[[#This Row],[Contraente]],Table1[[Nome/Ragione sociale]:[Checkbox selezionato]],12,FALSE),"-")</f>
        <v>SI</v>
      </c>
    </row>
    <row r="1062" spans="1:44" ht="30" hidden="1" customHeight="1" x14ac:dyDescent="0.25">
      <c r="A1062" s="60" t="str">
        <f>UPPER(LEFT(Table2[[#This Row],[Contraente]],1))</f>
        <v>T</v>
      </c>
      <c r="B1062" s="60" t="s">
        <v>1634</v>
      </c>
      <c r="C1062" s="81" t="s">
        <v>197</v>
      </c>
      <c r="D1062" s="81" t="s">
        <v>38</v>
      </c>
      <c r="E1062" s="86">
        <v>7000078002</v>
      </c>
      <c r="F1062" s="64">
        <v>42815</v>
      </c>
      <c r="G1062" s="64">
        <f>IFERROR(CALCOLASCADENZA(Table2[[#This Row],[Data attivazione]],Table2[[#This Row],[Rateizzazione]],Table2[[#This Row],[Data ultimo pagamento]],Table2[[#This Row],[Data prossima scadenza manuale]]),"-")</f>
        <v>43173</v>
      </c>
      <c r="H1062" s="67" t="s">
        <v>30</v>
      </c>
      <c r="I1062" s="67" t="s">
        <v>113</v>
      </c>
      <c r="J1062" s="33">
        <f>IFERROR(Table2[[#This Row],[Importo annuale]]/(12/VLOOKUP(Table2[[#This Row],[Rateizzazione]],TIPI_RATEIZZAZIONI,2,FALSE)),"-")</f>
        <v>95</v>
      </c>
      <c r="K1062" s="88">
        <v>95</v>
      </c>
      <c r="L1062" s="88">
        <v>95</v>
      </c>
      <c r="M1062" s="67" t="s">
        <v>44</v>
      </c>
      <c r="N1062" s="67" t="s">
        <v>52</v>
      </c>
      <c r="O1062" s="27" t="s">
        <v>1631</v>
      </c>
      <c r="P1062" s="33" t="s">
        <v>23</v>
      </c>
      <c r="Q1062" s="60">
        <f>IFERROR(IF(12 / VLOOKUP(Table2[[#This Row],[Rateizzazione]],TIPI_RATEIZZAZIONI,2,FALSE) &gt;=1,  IF(Table2[[#This Row],[Data attivazione]] = "","-",MONTH(Table2[[#This Row],[Data attivazione]])),"-"),"-")</f>
        <v>3</v>
      </c>
      <c r="R10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2" s="67" t="s">
        <v>2</v>
      </c>
      <c r="V1062" s="62"/>
      <c r="W1062" s="64">
        <v>42808</v>
      </c>
      <c r="X1062" s="29">
        <f>DATE(YEAR(Table2[[#This Row],[Data attivazione]])+VLOOKUP(Table2[[#This Row],[Durata]],VALORE_DURATA,2,FALSE),MONTH(Table2[[#This Row],[Data attivazione]]),DAY(Table2[[#This Row],[Data attivazione]]))</f>
        <v>43173</v>
      </c>
      <c r="Y1062" s="65"/>
      <c r="Z1062" s="61"/>
      <c r="AA1062" s="64" t="s">
        <v>85</v>
      </c>
      <c r="AB1062" s="29" t="str">
        <f>IF(Table2[[#This Row],[Data ultimo versamento temp]]=0/1/1900,"-",Table2[[#This Row],[Data ultimo versamento temp]])</f>
        <v>-</v>
      </c>
      <c r="AC1062" s="29">
        <f t="array" ref="AC1062">MAX(IF(TableVersamenti[Polizza]=Table2[[#This Row],[Polizza]],TableVersamenti[Data prevista versamento],"-"))</f>
        <v>0</v>
      </c>
      <c r="AD1062" s="62"/>
      <c r="AE1062" s="106">
        <f>DATE(YEAR(Table2[[#This Row],[Data ultimo pagamento]]),MONTH(Table2[[#This Row],[Data ultimo pagamento]]), 1)</f>
        <v>42795</v>
      </c>
      <c r="AF1062" s="106">
        <f>DATE(YEAR(Table2[[#This Row],[Data prossima scadenza]]),MONTH(Table2[[#This Row],[Data prossima scadenza]]), 1)</f>
        <v>43160</v>
      </c>
      <c r="AG1062" s="33">
        <f>IFERROR(Table2[[#This Row],[Importo annuale]]*VLOOKUP(Table2[[#This Row],[Ramo]],RAMI_POLIZZA,2,FALSE),0)</f>
        <v>10.925000000000001</v>
      </c>
      <c r="AH1062" s="65" t="s">
        <v>113</v>
      </c>
      <c r="AI1062" s="63" t="str">
        <f>IFERROR(VLOOKUP(Table2[[#This Row],[Contraente]],Table1[[Nome/Ragione sociale]:[Checkbox selezionato]],2,FALSE),"-")</f>
        <v>BELGIOIOSO</v>
      </c>
      <c r="AJ1062" s="63">
        <f>IFERROR(VLOOKUP(Table2[[#This Row],[Contraente]],Table1[[Nome/Ragione sociale]:[Checkbox selezionato]],3,FALSE),"-")</f>
        <v>3385082826</v>
      </c>
      <c r="AK1062" s="63">
        <f>IFERROR(VLOOKUP(Table2[[#This Row],[Contraente]],Table1[[Nome/Ragione sociale]:[Checkbox selezionato]],4,FALSE),"-")</f>
        <v>0</v>
      </c>
      <c r="AL1062" s="63" t="str">
        <f>IFERROR(VLOOKUP(Table2[[#This Row],[Contraente]],Table1[[Nome/Ragione sociale]:[Checkbox selezionato]],5,FALSE),"-")</f>
        <v>MASSIMILIANO</v>
      </c>
      <c r="AM1062" s="62">
        <f>IFERROR(VLOOKUP(Table2[[#This Row],[Contraente]],Table1[[Nome/Ragione sociale]:[Checkbox selezionato]],6,FALSE),"-")</f>
        <v>28477</v>
      </c>
      <c r="AN1062" s="63" t="str">
        <f>IFERROR(VLOOKUP(Table2[[#This Row],[Contraente]],Table1[[Nome/Ragione sociale]:[Checkbox selezionato]],7,FALSE),"-")</f>
        <v>papies@libero.it</v>
      </c>
      <c r="AO1062" s="63">
        <f>IFERROR(VLOOKUP(Table2[[#This Row],[Contraente]],Table1[[Nome/Ragione sociale]:[Checkbox selezionato]],8,FALSE),"-")</f>
        <v>0</v>
      </c>
      <c r="AP1062" s="63">
        <f>IFERROR(VLOOKUP(Table2[[#This Row],[Contraente]],Table1[[Nome/Ragione sociale]:[Checkbox selezionato]],10,FALSE),"-")</f>
        <v>3385082826</v>
      </c>
      <c r="AQ1062" s="63" t="str">
        <f>IFERROR(VLOOKUP(Table2[[#This Row],[Contraente]],Table1[[Nome/Ragione sociale]:[Checkbox selezionato]],11,FALSE),"-")</f>
        <v>SI</v>
      </c>
      <c r="AR1062" s="63" t="str">
        <f>IFERROR(VLOOKUP(Table2[[#This Row],[Contraente]],Table1[[Nome/Ragione sociale]:[Checkbox selezionato]],12,FALSE),"-")</f>
        <v>SI</v>
      </c>
    </row>
    <row r="1063" spans="1:44" ht="30" hidden="1" customHeight="1" x14ac:dyDescent="0.25">
      <c r="A1063" s="60" t="str">
        <f>UPPER(LEFT(Table2[[#This Row],[Contraente]],1))</f>
        <v>T</v>
      </c>
      <c r="B1063" s="60" t="s">
        <v>1634</v>
      </c>
      <c r="C1063" s="81" t="s">
        <v>197</v>
      </c>
      <c r="D1063" s="81" t="s">
        <v>37</v>
      </c>
      <c r="E1063" s="86">
        <v>106142367</v>
      </c>
      <c r="F1063" s="64">
        <v>42662</v>
      </c>
      <c r="G1063" s="64">
        <f>IFERROR(CALCOLASCADENZA(Table2[[#This Row],[Data attivazione]],Table2[[#This Row],[Rateizzazione]],Table2[[#This Row],[Data ultimo pagamento]],Table2[[#This Row],[Data prossima scadenza manuale]]),"-")</f>
        <v>43026</v>
      </c>
      <c r="H1063" s="67" t="s">
        <v>31</v>
      </c>
      <c r="I1063" s="67" t="s">
        <v>1594</v>
      </c>
      <c r="J1063" s="33">
        <f>IFERROR(Table2[[#This Row],[Importo annuale]]/(12/VLOOKUP(Table2[[#This Row],[Rateizzazione]],TIPI_RATEIZZAZIONI,2,FALSE)),"-")</f>
        <v>310</v>
      </c>
      <c r="K1063" s="88"/>
      <c r="L1063" s="88">
        <v>310</v>
      </c>
      <c r="M1063" s="67" t="s">
        <v>44</v>
      </c>
      <c r="N1063" s="67" t="s">
        <v>52</v>
      </c>
      <c r="O1063" s="27" t="s">
        <v>1631</v>
      </c>
      <c r="P1063" s="33" t="s">
        <v>23</v>
      </c>
      <c r="Q1063" s="60">
        <f>IFERROR(IF(12 / VLOOKUP(Table2[[#This Row],[Rateizzazione]],TIPI_RATEIZZAZIONI,2,FALSE) &gt;=1,  IF(Table2[[#This Row],[Data attivazione]] = "","-",MONTH(Table2[[#This Row],[Data attivazione]])),"-"),"-")</f>
        <v>10</v>
      </c>
      <c r="R10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3" s="67" t="s">
        <v>2</v>
      </c>
      <c r="V1063" s="62"/>
      <c r="W1063" s="64">
        <v>42661</v>
      </c>
      <c r="X1063" s="29">
        <f>DATE(YEAR(Table2[[#This Row],[Data attivazione]])+VLOOKUP(Table2[[#This Row],[Durata]],VALORE_DURATA,2,FALSE),MONTH(Table2[[#This Row],[Data attivazione]]),DAY(Table2[[#This Row],[Data attivazione]]))</f>
        <v>43026</v>
      </c>
      <c r="Y1063" s="65"/>
      <c r="Z1063" s="61"/>
      <c r="AA1063" s="64" t="s">
        <v>85</v>
      </c>
      <c r="AB1063" s="29" t="str">
        <f>IF(Table2[[#This Row],[Data ultimo versamento temp]]=0/1/1900,"-",Table2[[#This Row],[Data ultimo versamento temp]])</f>
        <v>-</v>
      </c>
      <c r="AC1063" s="29">
        <f t="array" ref="AC1063">MAX(IF(TableVersamenti[Polizza]=Table2[[#This Row],[Polizza]],TableVersamenti[Data prevista versamento],"-"))</f>
        <v>0</v>
      </c>
      <c r="AD1063" s="62"/>
      <c r="AE1063" s="106">
        <f>DATE(YEAR(Table2[[#This Row],[Data ultimo pagamento]]),MONTH(Table2[[#This Row],[Data ultimo pagamento]]), 1)</f>
        <v>42644</v>
      </c>
      <c r="AF1063" s="106">
        <f>DATE(YEAR(Table2[[#This Row],[Data prossima scadenza]]),MONTH(Table2[[#This Row],[Data prossima scadenza]]), 1)</f>
        <v>43009</v>
      </c>
      <c r="AG1063" s="33">
        <f>IFERROR(Table2[[#This Row],[Importo annuale]]*VLOOKUP(Table2[[#This Row],[Ramo]],RAMI_POLIZZA,2,FALSE),0)</f>
        <v>16.12</v>
      </c>
      <c r="AH1063" s="65" t="s">
        <v>113</v>
      </c>
      <c r="AI1063" s="63" t="str">
        <f>IFERROR(VLOOKUP(Table2[[#This Row],[Contraente]],Table1[[Nome/Ragione sociale]:[Checkbox selezionato]],2,FALSE),"-")</f>
        <v>BELGIOIOSO</v>
      </c>
      <c r="AJ1063" s="63">
        <f>IFERROR(VLOOKUP(Table2[[#This Row],[Contraente]],Table1[[Nome/Ragione sociale]:[Checkbox selezionato]],3,FALSE),"-")</f>
        <v>3385082826</v>
      </c>
      <c r="AK1063" s="63">
        <f>IFERROR(VLOOKUP(Table2[[#This Row],[Contraente]],Table1[[Nome/Ragione sociale]:[Checkbox selezionato]],4,FALSE),"-")</f>
        <v>0</v>
      </c>
      <c r="AL1063" s="63" t="str">
        <f>IFERROR(VLOOKUP(Table2[[#This Row],[Contraente]],Table1[[Nome/Ragione sociale]:[Checkbox selezionato]],5,FALSE),"-")</f>
        <v>MASSIMILIANO</v>
      </c>
      <c r="AM1063" s="62">
        <f>IFERROR(VLOOKUP(Table2[[#This Row],[Contraente]],Table1[[Nome/Ragione sociale]:[Checkbox selezionato]],6,FALSE),"-")</f>
        <v>28477</v>
      </c>
      <c r="AN1063" s="63" t="str">
        <f>IFERROR(VLOOKUP(Table2[[#This Row],[Contraente]],Table1[[Nome/Ragione sociale]:[Checkbox selezionato]],7,FALSE),"-")</f>
        <v>papies@libero.it</v>
      </c>
      <c r="AO1063" s="63">
        <f>IFERROR(VLOOKUP(Table2[[#This Row],[Contraente]],Table1[[Nome/Ragione sociale]:[Checkbox selezionato]],8,FALSE),"-")</f>
        <v>0</v>
      </c>
      <c r="AP1063" s="63">
        <f>IFERROR(VLOOKUP(Table2[[#This Row],[Contraente]],Table1[[Nome/Ragione sociale]:[Checkbox selezionato]],10,FALSE),"-")</f>
        <v>3385082826</v>
      </c>
      <c r="AQ1063" s="63" t="str">
        <f>IFERROR(VLOOKUP(Table2[[#This Row],[Contraente]],Table1[[Nome/Ragione sociale]:[Checkbox selezionato]],11,FALSE),"-")</f>
        <v>SI</v>
      </c>
      <c r="AR1063" s="63" t="str">
        <f>IFERROR(VLOOKUP(Table2[[#This Row],[Contraente]],Table1[[Nome/Ragione sociale]:[Checkbox selezionato]],12,FALSE),"-")</f>
        <v>SI</v>
      </c>
    </row>
    <row r="1064" spans="1:44" ht="30" hidden="1" customHeight="1" x14ac:dyDescent="0.25">
      <c r="A1064" s="60" t="str">
        <f>UPPER(LEFT(Table2[[#This Row],[Contraente]],1))</f>
        <v>T</v>
      </c>
      <c r="B1064" s="60" t="s">
        <v>1634</v>
      </c>
      <c r="C1064" s="81" t="s">
        <v>197</v>
      </c>
      <c r="D1064" s="81" t="s">
        <v>37</v>
      </c>
      <c r="E1064" s="86">
        <v>105058577</v>
      </c>
      <c r="F1064" s="64">
        <v>42699</v>
      </c>
      <c r="G1064" s="64">
        <f>IFERROR(CALCOLASCADENZA(Table2[[#This Row],[Data attivazione]],Table2[[#This Row],[Rateizzazione]],Table2[[#This Row],[Data ultimo pagamento]],Table2[[#This Row],[Data prossima scadenza manuale]]),"-")</f>
        <v>43069</v>
      </c>
      <c r="H1064" s="67" t="s">
        <v>30</v>
      </c>
      <c r="I1064" s="67" t="s">
        <v>113</v>
      </c>
      <c r="J1064" s="33">
        <f>IFERROR(Table2[[#This Row],[Importo annuale]]/(12/VLOOKUP(Table2[[#This Row],[Rateizzazione]],TIPI_RATEIZZAZIONI,2,FALSE)),"-")</f>
        <v>2000</v>
      </c>
      <c r="K1064" s="88"/>
      <c r="L1064" s="88">
        <v>2000</v>
      </c>
      <c r="M1064" s="67" t="s">
        <v>44</v>
      </c>
      <c r="N1064" s="67" t="s">
        <v>51</v>
      </c>
      <c r="O1064" s="27" t="s">
        <v>1631</v>
      </c>
      <c r="P1064" s="33" t="s">
        <v>23</v>
      </c>
      <c r="Q1064" s="60">
        <f>IFERROR(IF(12 / VLOOKUP(Table2[[#This Row],[Rateizzazione]],TIPI_RATEIZZAZIONI,2,FALSE) &gt;=1,  IF(Table2[[#This Row],[Data attivazione]] = "","-",MONTH(Table2[[#This Row],[Data attivazione]])),"-"),"-")</f>
        <v>11</v>
      </c>
      <c r="R10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4" s="67" t="s">
        <v>2</v>
      </c>
      <c r="V1064" s="62"/>
      <c r="W1064" s="64">
        <v>42704</v>
      </c>
      <c r="X1064" s="29">
        <f>DATE(YEAR(Table2[[#This Row],[Data attivazione]])+VLOOKUP(Table2[[#This Row],[Durata]],VALORE_DURATA,2,FALSE),MONTH(Table2[[#This Row],[Data attivazione]]),DAY(Table2[[#This Row],[Data attivazione]]))</f>
        <v>43069</v>
      </c>
      <c r="Y1064" s="65"/>
      <c r="Z1064" s="61"/>
      <c r="AA1064" s="64" t="s">
        <v>85</v>
      </c>
      <c r="AB1064" s="29" t="str">
        <f>IF(Table2[[#This Row],[Data ultimo versamento temp]]=0/1/1900,"-",Table2[[#This Row],[Data ultimo versamento temp]])</f>
        <v>-</v>
      </c>
      <c r="AC1064" s="29">
        <f t="array" ref="AC1064">MAX(IF(TableVersamenti[Polizza]=Table2[[#This Row],[Polizza]],TableVersamenti[Data prevista versamento],"-"))</f>
        <v>0</v>
      </c>
      <c r="AD1064" s="62"/>
      <c r="AE1064" s="106">
        <f>DATE(YEAR(Table2[[#This Row],[Data ultimo pagamento]]),MONTH(Table2[[#This Row],[Data ultimo pagamento]]), 1)</f>
        <v>42675</v>
      </c>
      <c r="AF1064" s="106">
        <f>DATE(YEAR(Table2[[#This Row],[Data prossima scadenza]]),MONTH(Table2[[#This Row],[Data prossima scadenza]]), 1)</f>
        <v>43040</v>
      </c>
      <c r="AG1064" s="33">
        <f>IFERROR(Table2[[#This Row],[Importo annuale]]*VLOOKUP(Table2[[#This Row],[Ramo]],RAMI_POLIZZA,2,FALSE),0)</f>
        <v>230</v>
      </c>
      <c r="AH1064" s="65" t="s">
        <v>113</v>
      </c>
      <c r="AI1064" s="63" t="str">
        <f>IFERROR(VLOOKUP(Table2[[#This Row],[Contraente]],Table1[[Nome/Ragione sociale]:[Checkbox selezionato]],2,FALSE),"-")</f>
        <v>BELGIOIOSO</v>
      </c>
      <c r="AJ1064" s="63">
        <f>IFERROR(VLOOKUP(Table2[[#This Row],[Contraente]],Table1[[Nome/Ragione sociale]:[Checkbox selezionato]],3,FALSE),"-")</f>
        <v>3385082826</v>
      </c>
      <c r="AK1064" s="63">
        <f>IFERROR(VLOOKUP(Table2[[#This Row],[Contraente]],Table1[[Nome/Ragione sociale]:[Checkbox selezionato]],4,FALSE),"-")</f>
        <v>0</v>
      </c>
      <c r="AL1064" s="63" t="str">
        <f>IFERROR(VLOOKUP(Table2[[#This Row],[Contraente]],Table1[[Nome/Ragione sociale]:[Checkbox selezionato]],5,FALSE),"-")</f>
        <v>MASSIMILIANO</v>
      </c>
      <c r="AM1064" s="62">
        <f>IFERROR(VLOOKUP(Table2[[#This Row],[Contraente]],Table1[[Nome/Ragione sociale]:[Checkbox selezionato]],6,FALSE),"-")</f>
        <v>28477</v>
      </c>
      <c r="AN1064" s="63" t="str">
        <f>IFERROR(VLOOKUP(Table2[[#This Row],[Contraente]],Table1[[Nome/Ragione sociale]:[Checkbox selezionato]],7,FALSE),"-")</f>
        <v>papies@libero.it</v>
      </c>
      <c r="AO1064" s="63">
        <f>IFERROR(VLOOKUP(Table2[[#This Row],[Contraente]],Table1[[Nome/Ragione sociale]:[Checkbox selezionato]],8,FALSE),"-")</f>
        <v>0</v>
      </c>
      <c r="AP1064" s="63">
        <f>IFERROR(VLOOKUP(Table2[[#This Row],[Contraente]],Table1[[Nome/Ragione sociale]:[Checkbox selezionato]],10,FALSE),"-")</f>
        <v>3385082826</v>
      </c>
      <c r="AQ1064" s="63" t="str">
        <f>IFERROR(VLOOKUP(Table2[[#This Row],[Contraente]],Table1[[Nome/Ragione sociale]:[Checkbox selezionato]],11,FALSE),"-")</f>
        <v>SI</v>
      </c>
      <c r="AR1064" s="63" t="str">
        <f>IFERROR(VLOOKUP(Table2[[#This Row],[Contraente]],Table1[[Nome/Ragione sociale]:[Checkbox selezionato]],12,FALSE),"-")</f>
        <v>SI</v>
      </c>
    </row>
    <row r="1065" spans="1:44" ht="30" hidden="1" customHeight="1" x14ac:dyDescent="0.25">
      <c r="A1065" s="60" t="str">
        <f>UPPER(LEFT(Table2[[#This Row],[Contraente]],1))</f>
        <v>T</v>
      </c>
      <c r="B1065" s="60" t="s">
        <v>1634</v>
      </c>
      <c r="C1065" s="81" t="s">
        <v>197</v>
      </c>
      <c r="D1065" s="81" t="s">
        <v>37</v>
      </c>
      <c r="E1065" s="86">
        <v>106412036</v>
      </c>
      <c r="F1065" s="64">
        <v>42746</v>
      </c>
      <c r="G1065" s="64">
        <f>IFERROR(CALCOLASCADENZA(Table2[[#This Row],[Data attivazione]],Table2[[#This Row],[Rateizzazione]],Table2[[#This Row],[Data ultimo pagamento]],Table2[[#This Row],[Data prossima scadenza manuale]]),"-")</f>
        <v>43104</v>
      </c>
      <c r="H1065" s="67" t="s">
        <v>31</v>
      </c>
      <c r="I1065" s="67" t="s">
        <v>1595</v>
      </c>
      <c r="J1065" s="33">
        <f>IFERROR(Table2[[#This Row],[Importo annuale]]/(12/VLOOKUP(Table2[[#This Row],[Rateizzazione]],TIPI_RATEIZZAZIONI,2,FALSE)),"-")</f>
        <v>1000</v>
      </c>
      <c r="K1065" s="88">
        <v>1000</v>
      </c>
      <c r="L1065" s="88">
        <v>1000</v>
      </c>
      <c r="M1065" s="67" t="s">
        <v>44</v>
      </c>
      <c r="N1065" s="67" t="s">
        <v>51</v>
      </c>
      <c r="O1065" s="27" t="s">
        <v>1631</v>
      </c>
      <c r="P1065" s="33" t="s">
        <v>23</v>
      </c>
      <c r="Q1065" s="60">
        <f>IFERROR(IF(12 / VLOOKUP(Table2[[#This Row],[Rateizzazione]],TIPI_RATEIZZAZIONI,2,FALSE) &gt;=1,  IF(Table2[[#This Row],[Data attivazione]] = "","-",MONTH(Table2[[#This Row],[Data attivazione]])),"-"),"-")</f>
        <v>1</v>
      </c>
      <c r="R10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5" s="67" t="s">
        <v>2</v>
      </c>
      <c r="V1065" s="62"/>
      <c r="W1065" s="64">
        <v>42739</v>
      </c>
      <c r="X1065" s="29">
        <f>DATE(YEAR(Table2[[#This Row],[Data attivazione]])+VLOOKUP(Table2[[#This Row],[Durata]],VALORE_DURATA,2,FALSE),MONTH(Table2[[#This Row],[Data attivazione]]),DAY(Table2[[#This Row],[Data attivazione]]))</f>
        <v>43104</v>
      </c>
      <c r="Y1065" s="65"/>
      <c r="Z1065" s="61"/>
      <c r="AA1065" s="64" t="s">
        <v>85</v>
      </c>
      <c r="AB1065" s="29" t="str">
        <f>IF(Table2[[#This Row],[Data ultimo versamento temp]]=0/1/1900,"-",Table2[[#This Row],[Data ultimo versamento temp]])</f>
        <v>-</v>
      </c>
      <c r="AC1065" s="29">
        <f t="array" ref="AC1065">MAX(IF(TableVersamenti[Polizza]=Table2[[#This Row],[Polizza]],TableVersamenti[Data prevista versamento],"-"))</f>
        <v>0</v>
      </c>
      <c r="AD1065" s="62"/>
      <c r="AE1065" s="106">
        <f>DATE(YEAR(Table2[[#This Row],[Data ultimo pagamento]]),MONTH(Table2[[#This Row],[Data ultimo pagamento]]), 1)</f>
        <v>42736</v>
      </c>
      <c r="AF1065" s="106">
        <f>DATE(YEAR(Table2[[#This Row],[Data prossima scadenza]]),MONTH(Table2[[#This Row],[Data prossima scadenza]]), 1)</f>
        <v>43101</v>
      </c>
      <c r="AG1065" s="33">
        <f>IFERROR(Table2[[#This Row],[Importo annuale]]*VLOOKUP(Table2[[#This Row],[Ramo]],RAMI_POLIZZA,2,FALSE),0)</f>
        <v>52</v>
      </c>
      <c r="AH1065" s="65" t="s">
        <v>113</v>
      </c>
      <c r="AI1065" s="63" t="str">
        <f>IFERROR(VLOOKUP(Table2[[#This Row],[Contraente]],Table1[[Nome/Ragione sociale]:[Checkbox selezionato]],2,FALSE),"-")</f>
        <v>BELGIOIOSO</v>
      </c>
      <c r="AJ1065" s="63">
        <f>IFERROR(VLOOKUP(Table2[[#This Row],[Contraente]],Table1[[Nome/Ragione sociale]:[Checkbox selezionato]],3,FALSE),"-")</f>
        <v>3385082826</v>
      </c>
      <c r="AK1065" s="63">
        <f>IFERROR(VLOOKUP(Table2[[#This Row],[Contraente]],Table1[[Nome/Ragione sociale]:[Checkbox selezionato]],4,FALSE),"-")</f>
        <v>0</v>
      </c>
      <c r="AL1065" s="63" t="str">
        <f>IFERROR(VLOOKUP(Table2[[#This Row],[Contraente]],Table1[[Nome/Ragione sociale]:[Checkbox selezionato]],5,FALSE),"-")</f>
        <v>MASSIMILIANO</v>
      </c>
      <c r="AM1065" s="62">
        <f>IFERROR(VLOOKUP(Table2[[#This Row],[Contraente]],Table1[[Nome/Ragione sociale]:[Checkbox selezionato]],6,FALSE),"-")</f>
        <v>28477</v>
      </c>
      <c r="AN1065" s="63" t="str">
        <f>IFERROR(VLOOKUP(Table2[[#This Row],[Contraente]],Table1[[Nome/Ragione sociale]:[Checkbox selezionato]],7,FALSE),"-")</f>
        <v>papies@libero.it</v>
      </c>
      <c r="AO1065" s="63">
        <f>IFERROR(VLOOKUP(Table2[[#This Row],[Contraente]],Table1[[Nome/Ragione sociale]:[Checkbox selezionato]],8,FALSE),"-")</f>
        <v>0</v>
      </c>
      <c r="AP1065" s="63">
        <f>IFERROR(VLOOKUP(Table2[[#This Row],[Contraente]],Table1[[Nome/Ragione sociale]:[Checkbox selezionato]],10,FALSE),"-")</f>
        <v>3385082826</v>
      </c>
      <c r="AQ1065" s="63" t="str">
        <f>IFERROR(VLOOKUP(Table2[[#This Row],[Contraente]],Table1[[Nome/Ragione sociale]:[Checkbox selezionato]],11,FALSE),"-")</f>
        <v>SI</v>
      </c>
      <c r="AR1065" s="63" t="str">
        <f>IFERROR(VLOOKUP(Table2[[#This Row],[Contraente]],Table1[[Nome/Ragione sociale]:[Checkbox selezionato]],12,FALSE),"-")</f>
        <v>SI</v>
      </c>
    </row>
    <row r="1066" spans="1:44" ht="30" hidden="1" customHeight="1" x14ac:dyDescent="0.25">
      <c r="A1066" s="60" t="str">
        <f>UPPER(LEFT(Table2[[#This Row],[Contraente]],1))</f>
        <v>T</v>
      </c>
      <c r="B1066" s="60" t="s">
        <v>1634</v>
      </c>
      <c r="C1066" s="81" t="s">
        <v>197</v>
      </c>
      <c r="D1066" s="81" t="s">
        <v>37</v>
      </c>
      <c r="E1066" s="86">
        <v>1082987</v>
      </c>
      <c r="F1066" s="64">
        <v>42746</v>
      </c>
      <c r="G1066" s="64">
        <f>IFERROR(CALCOLASCADENZA(Table2[[#This Row],[Data attivazione]],Table2[[#This Row],[Rateizzazione]],Table2[[#This Row],[Data ultimo pagamento]],Table2[[#This Row],[Data prossima scadenza manuale]]),"-")</f>
        <v>43112</v>
      </c>
      <c r="H1066" s="67" t="s">
        <v>32</v>
      </c>
      <c r="I1066" s="67" t="s">
        <v>113</v>
      </c>
      <c r="J1066" s="33">
        <f>IFERROR(Table2[[#This Row],[Importo annuale]]/(12/VLOOKUP(Table2[[#This Row],[Rateizzazione]],TIPI_RATEIZZAZIONI,2,FALSE)),"-")</f>
        <v>200</v>
      </c>
      <c r="K1066" s="88">
        <v>200</v>
      </c>
      <c r="L1066" s="88">
        <v>200</v>
      </c>
      <c r="M1066" s="67" t="s">
        <v>44</v>
      </c>
      <c r="N1066" s="67" t="s">
        <v>52</v>
      </c>
      <c r="O1066" s="27" t="s">
        <v>1631</v>
      </c>
      <c r="P1066" s="33" t="s">
        <v>23</v>
      </c>
      <c r="Q1066" s="60">
        <f>IFERROR(IF(12 / VLOOKUP(Table2[[#This Row],[Rateizzazione]],TIPI_RATEIZZAZIONI,2,FALSE) &gt;=1,  IF(Table2[[#This Row],[Data attivazione]] = "","-",MONTH(Table2[[#This Row],[Data attivazione]])),"-"),"-")</f>
        <v>1</v>
      </c>
      <c r="R10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6" s="67" t="s">
        <v>2</v>
      </c>
      <c r="V1066" s="62"/>
      <c r="W1066" s="64">
        <v>42747</v>
      </c>
      <c r="X1066" s="29">
        <f>DATE(YEAR(Table2[[#This Row],[Data attivazione]])+VLOOKUP(Table2[[#This Row],[Durata]],VALORE_DURATA,2,FALSE),MONTH(Table2[[#This Row],[Data attivazione]]),DAY(Table2[[#This Row],[Data attivazione]]))</f>
        <v>43112</v>
      </c>
      <c r="Y1066" s="65"/>
      <c r="Z1066" s="61"/>
      <c r="AA1066" s="64" t="s">
        <v>85</v>
      </c>
      <c r="AB1066" s="29" t="str">
        <f>IF(Table2[[#This Row],[Data ultimo versamento temp]]=0/1/1900,"-",Table2[[#This Row],[Data ultimo versamento temp]])</f>
        <v>-</v>
      </c>
      <c r="AC1066" s="29">
        <f t="array" ref="AC1066">MAX(IF(TableVersamenti[Polizza]=Table2[[#This Row],[Polizza]],TableVersamenti[Data prevista versamento],"-"))</f>
        <v>0</v>
      </c>
      <c r="AD1066" s="62"/>
      <c r="AE1066" s="106">
        <f>DATE(YEAR(Table2[[#This Row],[Data ultimo pagamento]]),MONTH(Table2[[#This Row],[Data ultimo pagamento]]), 1)</f>
        <v>42736</v>
      </c>
      <c r="AF1066" s="106">
        <f>DATE(YEAR(Table2[[#This Row],[Data prossima scadenza]]),MONTH(Table2[[#This Row],[Data prossima scadenza]]), 1)</f>
        <v>43101</v>
      </c>
      <c r="AG1066" s="33">
        <f>IFERROR(Table2[[#This Row],[Importo annuale]]*VLOOKUP(Table2[[#This Row],[Ramo]],RAMI_POLIZZA,2,FALSE),0)</f>
        <v>3</v>
      </c>
      <c r="AH1066" s="65" t="s">
        <v>113</v>
      </c>
      <c r="AI1066" s="63" t="str">
        <f>IFERROR(VLOOKUP(Table2[[#This Row],[Contraente]],Table1[[Nome/Ragione sociale]:[Checkbox selezionato]],2,FALSE),"-")</f>
        <v>BELGIOIOSO</v>
      </c>
      <c r="AJ1066" s="63">
        <f>IFERROR(VLOOKUP(Table2[[#This Row],[Contraente]],Table1[[Nome/Ragione sociale]:[Checkbox selezionato]],3,FALSE),"-")</f>
        <v>3385082826</v>
      </c>
      <c r="AK1066" s="63">
        <f>IFERROR(VLOOKUP(Table2[[#This Row],[Contraente]],Table1[[Nome/Ragione sociale]:[Checkbox selezionato]],4,FALSE),"-")</f>
        <v>0</v>
      </c>
      <c r="AL1066" s="63" t="str">
        <f>IFERROR(VLOOKUP(Table2[[#This Row],[Contraente]],Table1[[Nome/Ragione sociale]:[Checkbox selezionato]],5,FALSE),"-")</f>
        <v>MASSIMILIANO</v>
      </c>
      <c r="AM1066" s="62">
        <f>IFERROR(VLOOKUP(Table2[[#This Row],[Contraente]],Table1[[Nome/Ragione sociale]:[Checkbox selezionato]],6,FALSE),"-")</f>
        <v>28477</v>
      </c>
      <c r="AN1066" s="63" t="str">
        <f>IFERROR(VLOOKUP(Table2[[#This Row],[Contraente]],Table1[[Nome/Ragione sociale]:[Checkbox selezionato]],7,FALSE),"-")</f>
        <v>papies@libero.it</v>
      </c>
      <c r="AO1066" s="63">
        <f>IFERROR(VLOOKUP(Table2[[#This Row],[Contraente]],Table1[[Nome/Ragione sociale]:[Checkbox selezionato]],8,FALSE),"-")</f>
        <v>0</v>
      </c>
      <c r="AP1066" s="63">
        <f>IFERROR(VLOOKUP(Table2[[#This Row],[Contraente]],Table1[[Nome/Ragione sociale]:[Checkbox selezionato]],10,FALSE),"-")</f>
        <v>3385082826</v>
      </c>
      <c r="AQ1066" s="63" t="str">
        <f>IFERROR(VLOOKUP(Table2[[#This Row],[Contraente]],Table1[[Nome/Ragione sociale]:[Checkbox selezionato]],11,FALSE),"-")</f>
        <v>SI</v>
      </c>
      <c r="AR1066" s="63" t="str">
        <f>IFERROR(VLOOKUP(Table2[[#This Row],[Contraente]],Table1[[Nome/Ragione sociale]:[Checkbox selezionato]],12,FALSE),"-")</f>
        <v>SI</v>
      </c>
    </row>
    <row r="1067" spans="1:44" ht="30" hidden="1" customHeight="1" x14ac:dyDescent="0.25">
      <c r="A1067" s="60" t="str">
        <f>UPPER(LEFT(Table2[[#This Row],[Contraente]],1))</f>
        <v>T</v>
      </c>
      <c r="B1067" s="60" t="s">
        <v>1634</v>
      </c>
      <c r="C1067" s="81" t="s">
        <v>197</v>
      </c>
      <c r="D1067" s="81" t="s">
        <v>37</v>
      </c>
      <c r="E1067" s="86">
        <v>105408601</v>
      </c>
      <c r="F1067" s="64">
        <v>42815</v>
      </c>
      <c r="G1067" s="64">
        <f>IFERROR(CALCOLASCADENZA(Table2[[#This Row],[Data attivazione]],Table2[[#This Row],[Rateizzazione]],Table2[[#This Row],[Data ultimo pagamento]],Table2[[#This Row],[Data prossima scadenza manuale]]),"-")</f>
        <v>43177</v>
      </c>
      <c r="H1067" s="67" t="s">
        <v>30</v>
      </c>
      <c r="I1067" s="67" t="s">
        <v>113</v>
      </c>
      <c r="J1067" s="33">
        <f>IFERROR(Table2[[#This Row],[Importo annuale]]/(12/VLOOKUP(Table2[[#This Row],[Rateizzazione]],TIPI_RATEIZZAZIONI,2,FALSE)),"-")</f>
        <v>400</v>
      </c>
      <c r="K1067" s="88">
        <v>400</v>
      </c>
      <c r="L1067" s="88">
        <v>400</v>
      </c>
      <c r="M1067" s="67" t="s">
        <v>44</v>
      </c>
      <c r="N1067" s="67" t="s">
        <v>51</v>
      </c>
      <c r="O1067" s="27" t="s">
        <v>1631</v>
      </c>
      <c r="P1067" s="33" t="s">
        <v>23</v>
      </c>
      <c r="Q1067" s="60">
        <f>IFERROR(IF(12 / VLOOKUP(Table2[[#This Row],[Rateizzazione]],TIPI_RATEIZZAZIONI,2,FALSE) &gt;=1,  IF(Table2[[#This Row],[Data attivazione]] = "","-",MONTH(Table2[[#This Row],[Data attivazione]])),"-"),"-")</f>
        <v>3</v>
      </c>
      <c r="R10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7" s="67" t="s">
        <v>2</v>
      </c>
      <c r="V1067" s="62"/>
      <c r="W1067" s="64">
        <v>42812</v>
      </c>
      <c r="X1067" s="29">
        <f>DATE(YEAR(Table2[[#This Row],[Data attivazione]])+VLOOKUP(Table2[[#This Row],[Durata]],VALORE_DURATA,2,FALSE),MONTH(Table2[[#This Row],[Data attivazione]]),DAY(Table2[[#This Row],[Data attivazione]]))</f>
        <v>43177</v>
      </c>
      <c r="Y1067" s="65"/>
      <c r="Z1067" s="61"/>
      <c r="AA1067" s="64" t="s">
        <v>85</v>
      </c>
      <c r="AB1067" s="29" t="str">
        <f>IF(Table2[[#This Row],[Data ultimo versamento temp]]=0/1/1900,"-",Table2[[#This Row],[Data ultimo versamento temp]])</f>
        <v>-</v>
      </c>
      <c r="AC1067" s="29">
        <f t="array" ref="AC1067">MAX(IF(TableVersamenti[Polizza]=Table2[[#This Row],[Polizza]],TableVersamenti[Data prevista versamento],"-"))</f>
        <v>0</v>
      </c>
      <c r="AD1067" s="62"/>
      <c r="AE1067" s="106">
        <f>DATE(YEAR(Table2[[#This Row],[Data ultimo pagamento]]),MONTH(Table2[[#This Row],[Data ultimo pagamento]]), 1)</f>
        <v>42795</v>
      </c>
      <c r="AF1067" s="106">
        <f>DATE(YEAR(Table2[[#This Row],[Data prossima scadenza]]),MONTH(Table2[[#This Row],[Data prossima scadenza]]), 1)</f>
        <v>43160</v>
      </c>
      <c r="AG1067" s="33">
        <f>IFERROR(Table2[[#This Row],[Importo annuale]]*VLOOKUP(Table2[[#This Row],[Ramo]],RAMI_POLIZZA,2,FALSE),0)</f>
        <v>46</v>
      </c>
      <c r="AH1067" s="65" t="s">
        <v>113</v>
      </c>
      <c r="AI1067" s="63" t="str">
        <f>IFERROR(VLOOKUP(Table2[[#This Row],[Contraente]],Table1[[Nome/Ragione sociale]:[Checkbox selezionato]],2,FALSE),"-")</f>
        <v>BELGIOIOSO</v>
      </c>
      <c r="AJ1067" s="63">
        <f>IFERROR(VLOOKUP(Table2[[#This Row],[Contraente]],Table1[[Nome/Ragione sociale]:[Checkbox selezionato]],3,FALSE),"-")</f>
        <v>3385082826</v>
      </c>
      <c r="AK1067" s="63">
        <f>IFERROR(VLOOKUP(Table2[[#This Row],[Contraente]],Table1[[Nome/Ragione sociale]:[Checkbox selezionato]],4,FALSE),"-")</f>
        <v>0</v>
      </c>
      <c r="AL1067" s="63" t="str">
        <f>IFERROR(VLOOKUP(Table2[[#This Row],[Contraente]],Table1[[Nome/Ragione sociale]:[Checkbox selezionato]],5,FALSE),"-")</f>
        <v>MASSIMILIANO</v>
      </c>
      <c r="AM1067" s="62">
        <f>IFERROR(VLOOKUP(Table2[[#This Row],[Contraente]],Table1[[Nome/Ragione sociale]:[Checkbox selezionato]],6,FALSE),"-")</f>
        <v>28477</v>
      </c>
      <c r="AN1067" s="63" t="str">
        <f>IFERROR(VLOOKUP(Table2[[#This Row],[Contraente]],Table1[[Nome/Ragione sociale]:[Checkbox selezionato]],7,FALSE),"-")</f>
        <v>papies@libero.it</v>
      </c>
      <c r="AO1067" s="63">
        <f>IFERROR(VLOOKUP(Table2[[#This Row],[Contraente]],Table1[[Nome/Ragione sociale]:[Checkbox selezionato]],8,FALSE),"-")</f>
        <v>0</v>
      </c>
      <c r="AP1067" s="63">
        <f>IFERROR(VLOOKUP(Table2[[#This Row],[Contraente]],Table1[[Nome/Ragione sociale]:[Checkbox selezionato]],10,FALSE),"-")</f>
        <v>3385082826</v>
      </c>
      <c r="AQ1067" s="63" t="str">
        <f>IFERROR(VLOOKUP(Table2[[#This Row],[Contraente]],Table1[[Nome/Ragione sociale]:[Checkbox selezionato]],11,FALSE),"-")</f>
        <v>SI</v>
      </c>
      <c r="AR1067" s="63" t="str">
        <f>IFERROR(VLOOKUP(Table2[[#This Row],[Contraente]],Table1[[Nome/Ragione sociale]:[Checkbox selezionato]],12,FALSE),"-")</f>
        <v>SI</v>
      </c>
    </row>
    <row r="1068" spans="1:44" ht="30" hidden="1" customHeight="1" x14ac:dyDescent="0.25">
      <c r="A1068" s="60" t="str">
        <f>UPPER(LEFT(Table2[[#This Row],[Contraente]],1))</f>
        <v>T</v>
      </c>
      <c r="B1068" s="60" t="s">
        <v>1634</v>
      </c>
      <c r="C1068" s="81" t="s">
        <v>197</v>
      </c>
      <c r="D1068" s="81" t="s">
        <v>37</v>
      </c>
      <c r="E1068" s="86">
        <v>105408525</v>
      </c>
      <c r="F1068" s="64">
        <v>42815</v>
      </c>
      <c r="G1068" s="64">
        <f>IFERROR(CALCOLASCADENZA(Table2[[#This Row],[Data attivazione]],Table2[[#This Row],[Rateizzazione]],Table2[[#This Row],[Data ultimo pagamento]],Table2[[#This Row],[Data prossima scadenza manuale]]),"-")</f>
        <v>43177</v>
      </c>
      <c r="H1068" s="67" t="s">
        <v>30</v>
      </c>
      <c r="I1068" s="67" t="s">
        <v>113</v>
      </c>
      <c r="J1068" s="33">
        <f>IFERROR(Table2[[#This Row],[Importo annuale]]/(12/VLOOKUP(Table2[[#This Row],[Rateizzazione]],TIPI_RATEIZZAZIONI,2,FALSE)),"-")</f>
        <v>400</v>
      </c>
      <c r="K1068" s="88">
        <v>400</v>
      </c>
      <c r="L1068" s="88">
        <v>400</v>
      </c>
      <c r="M1068" s="67" t="s">
        <v>44</v>
      </c>
      <c r="N1068" s="67" t="s">
        <v>51</v>
      </c>
      <c r="O1068" s="27" t="s">
        <v>1631</v>
      </c>
      <c r="P1068" s="33" t="s">
        <v>23</v>
      </c>
      <c r="Q1068" s="60">
        <f>IFERROR(IF(12 / VLOOKUP(Table2[[#This Row],[Rateizzazione]],TIPI_RATEIZZAZIONI,2,FALSE) &gt;=1,  IF(Table2[[#This Row],[Data attivazione]] = "","-",MONTH(Table2[[#This Row],[Data attivazione]])),"-"),"-")</f>
        <v>3</v>
      </c>
      <c r="R10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8" s="67" t="s">
        <v>2</v>
      </c>
      <c r="V1068" s="62"/>
      <c r="W1068" s="64">
        <v>42812</v>
      </c>
      <c r="X1068" s="29">
        <f>DATE(YEAR(Table2[[#This Row],[Data attivazione]])+VLOOKUP(Table2[[#This Row],[Durata]],VALORE_DURATA,2,FALSE),MONTH(Table2[[#This Row],[Data attivazione]]),DAY(Table2[[#This Row],[Data attivazione]]))</f>
        <v>43177</v>
      </c>
      <c r="Y1068" s="65"/>
      <c r="Z1068" s="61"/>
      <c r="AA1068" s="64" t="s">
        <v>85</v>
      </c>
      <c r="AB1068" s="29" t="str">
        <f>IF(Table2[[#This Row],[Data ultimo versamento temp]]=0/1/1900,"-",Table2[[#This Row],[Data ultimo versamento temp]])</f>
        <v>-</v>
      </c>
      <c r="AC1068" s="29">
        <f t="array" ref="AC1068">MAX(IF(TableVersamenti[Polizza]=Table2[[#This Row],[Polizza]],TableVersamenti[Data prevista versamento],"-"))</f>
        <v>0</v>
      </c>
      <c r="AD1068" s="62"/>
      <c r="AE1068" s="106">
        <f>DATE(YEAR(Table2[[#This Row],[Data ultimo pagamento]]),MONTH(Table2[[#This Row],[Data ultimo pagamento]]), 1)</f>
        <v>42795</v>
      </c>
      <c r="AF1068" s="106">
        <f>DATE(YEAR(Table2[[#This Row],[Data prossima scadenza]]),MONTH(Table2[[#This Row],[Data prossima scadenza]]), 1)</f>
        <v>43160</v>
      </c>
      <c r="AG1068" s="33">
        <f>IFERROR(Table2[[#This Row],[Importo annuale]]*VLOOKUP(Table2[[#This Row],[Ramo]],RAMI_POLIZZA,2,FALSE),0)</f>
        <v>46</v>
      </c>
      <c r="AH1068" s="65" t="s">
        <v>113</v>
      </c>
      <c r="AI1068" s="63" t="str">
        <f>IFERROR(VLOOKUP(Table2[[#This Row],[Contraente]],Table1[[Nome/Ragione sociale]:[Checkbox selezionato]],2,FALSE),"-")</f>
        <v>BELGIOIOSO</v>
      </c>
      <c r="AJ1068" s="63">
        <f>IFERROR(VLOOKUP(Table2[[#This Row],[Contraente]],Table1[[Nome/Ragione sociale]:[Checkbox selezionato]],3,FALSE),"-")</f>
        <v>3385082826</v>
      </c>
      <c r="AK1068" s="63">
        <f>IFERROR(VLOOKUP(Table2[[#This Row],[Contraente]],Table1[[Nome/Ragione sociale]:[Checkbox selezionato]],4,FALSE),"-")</f>
        <v>0</v>
      </c>
      <c r="AL1068" s="63" t="str">
        <f>IFERROR(VLOOKUP(Table2[[#This Row],[Contraente]],Table1[[Nome/Ragione sociale]:[Checkbox selezionato]],5,FALSE),"-")</f>
        <v>MASSIMILIANO</v>
      </c>
      <c r="AM1068" s="62">
        <f>IFERROR(VLOOKUP(Table2[[#This Row],[Contraente]],Table1[[Nome/Ragione sociale]:[Checkbox selezionato]],6,FALSE),"-")</f>
        <v>28477</v>
      </c>
      <c r="AN1068" s="63" t="str">
        <f>IFERROR(VLOOKUP(Table2[[#This Row],[Contraente]],Table1[[Nome/Ragione sociale]:[Checkbox selezionato]],7,FALSE),"-")</f>
        <v>papies@libero.it</v>
      </c>
      <c r="AO1068" s="63">
        <f>IFERROR(VLOOKUP(Table2[[#This Row],[Contraente]],Table1[[Nome/Ragione sociale]:[Checkbox selezionato]],8,FALSE),"-")</f>
        <v>0</v>
      </c>
      <c r="AP1068" s="63">
        <f>IFERROR(VLOOKUP(Table2[[#This Row],[Contraente]],Table1[[Nome/Ragione sociale]:[Checkbox selezionato]],10,FALSE),"-")</f>
        <v>3385082826</v>
      </c>
      <c r="AQ1068" s="63" t="str">
        <f>IFERROR(VLOOKUP(Table2[[#This Row],[Contraente]],Table1[[Nome/Ragione sociale]:[Checkbox selezionato]],11,FALSE),"-")</f>
        <v>SI</v>
      </c>
      <c r="AR1068" s="63" t="str">
        <f>IFERROR(VLOOKUP(Table2[[#This Row],[Contraente]],Table1[[Nome/Ragione sociale]:[Checkbox selezionato]],12,FALSE),"-")</f>
        <v>SI</v>
      </c>
    </row>
    <row r="1069" spans="1:44" ht="30" hidden="1" customHeight="1" x14ac:dyDescent="0.25">
      <c r="A1069" s="60" t="str">
        <f>UPPER(LEFT(Table2[[#This Row],[Contraente]],1))</f>
        <v>T</v>
      </c>
      <c r="B1069" s="60" t="s">
        <v>1634</v>
      </c>
      <c r="C1069" s="81" t="s">
        <v>1042</v>
      </c>
      <c r="D1069" s="81" t="s">
        <v>37</v>
      </c>
      <c r="E1069" s="86">
        <v>106825609</v>
      </c>
      <c r="F1069" s="64">
        <v>42860</v>
      </c>
      <c r="G1069" s="64">
        <f>IFERROR(CALCOLASCADENZA(Table2[[#This Row],[Data attivazione]],Table2[[#This Row],[Rateizzazione]],Table2[[#This Row],[Data ultimo pagamento]],Table2[[#This Row],[Data prossima scadenza manuale]]),"-")</f>
        <v>43231</v>
      </c>
      <c r="H1069" s="67" t="s">
        <v>31</v>
      </c>
      <c r="I1069" s="67" t="s">
        <v>1590</v>
      </c>
      <c r="J1069" s="33">
        <f>IFERROR(Table2[[#This Row],[Importo annuale]]/(12/VLOOKUP(Table2[[#This Row],[Rateizzazione]],TIPI_RATEIZZAZIONI,2,FALSE)),"-")</f>
        <v>260</v>
      </c>
      <c r="K1069" s="88">
        <v>260</v>
      </c>
      <c r="L1069" s="88">
        <v>260</v>
      </c>
      <c r="M1069" s="67" t="s">
        <v>43</v>
      </c>
      <c r="N1069" s="67" t="s">
        <v>51</v>
      </c>
      <c r="O1069" s="27" t="s">
        <v>1631</v>
      </c>
      <c r="P1069" s="33" t="s">
        <v>23</v>
      </c>
      <c r="Q1069" s="60">
        <f>IFERROR(IF(12 / VLOOKUP(Table2[[#This Row],[Rateizzazione]],TIPI_RATEIZZAZIONI,2,FALSE) &gt;=1,  IF(Table2[[#This Row],[Data attivazione]] = "","-",MONTH(Table2[[#This Row],[Data attivazione]])),"-"),"-")</f>
        <v>5</v>
      </c>
      <c r="R10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9" s="67" t="s">
        <v>2</v>
      </c>
      <c r="V1069" s="62"/>
      <c r="W1069" s="64">
        <v>42866</v>
      </c>
      <c r="X1069" s="29">
        <f>DATE(YEAR(Table2[[#This Row],[Data attivazione]])+VLOOKUP(Table2[[#This Row],[Durata]],VALORE_DURATA,2,FALSE),MONTH(Table2[[#This Row],[Data attivazione]]),DAY(Table2[[#This Row],[Data attivazione]]))</f>
        <v>43231</v>
      </c>
      <c r="Y1069" s="65"/>
      <c r="Z1069" s="61"/>
      <c r="AA1069" s="64" t="s">
        <v>85</v>
      </c>
      <c r="AB1069" s="29" t="str">
        <f>IF(Table2[[#This Row],[Data ultimo versamento temp]]=0/1/1900,"-",Table2[[#This Row],[Data ultimo versamento temp]])</f>
        <v>-</v>
      </c>
      <c r="AC1069" s="29">
        <f t="array" ref="AC1069">MAX(IF(TableVersamenti[Polizza]=Table2[[#This Row],[Polizza]],TableVersamenti[Data prevista versamento],"-"))</f>
        <v>0</v>
      </c>
      <c r="AD1069" s="62"/>
      <c r="AE1069" s="106">
        <f>DATE(YEAR(Table2[[#This Row],[Data ultimo pagamento]]),MONTH(Table2[[#This Row],[Data ultimo pagamento]]), 1)</f>
        <v>42856</v>
      </c>
      <c r="AF1069" s="106">
        <f>DATE(YEAR(Table2[[#This Row],[Data prossima scadenza]]),MONTH(Table2[[#This Row],[Data prossima scadenza]]), 1)</f>
        <v>43221</v>
      </c>
      <c r="AG1069" s="33">
        <f>IFERROR(Table2[[#This Row],[Importo annuale]]*VLOOKUP(Table2[[#This Row],[Ramo]],RAMI_POLIZZA,2,FALSE),0)</f>
        <v>13.52</v>
      </c>
      <c r="AH1069" s="65" t="s">
        <v>113</v>
      </c>
      <c r="AI1069" s="63" t="str">
        <f>IFERROR(VLOOKUP(Table2[[#This Row],[Contraente]],Table1[[Nome/Ragione sociale]:[Checkbox selezionato]],2,FALSE),"-")</f>
        <v>BORNASCO</v>
      </c>
      <c r="AJ1069" s="63">
        <f>IFERROR(VLOOKUP(Table2[[#This Row],[Contraente]],Table1[[Nome/Ragione sociale]:[Checkbox selezionato]],3,FALSE),"-")</f>
        <v>335245118</v>
      </c>
      <c r="AK1069" s="63">
        <f>IFERROR(VLOOKUP(Table2[[#This Row],[Contraente]],Table1[[Nome/Ragione sociale]:[Checkbox selezionato]],4,FALSE),"-")</f>
        <v>0</v>
      </c>
      <c r="AL1069" s="63" t="str">
        <f>IFERROR(VLOOKUP(Table2[[#This Row],[Contraente]],Table1[[Nome/Ragione sociale]:[Checkbox selezionato]],5,FALSE),"-")</f>
        <v>RENATO</v>
      </c>
      <c r="AM1069" s="62" t="str">
        <f>IFERROR(VLOOKUP(Table2[[#This Row],[Contraente]],Table1[[Nome/Ragione sociale]:[Checkbox selezionato]],6,FALSE),"-")</f>
        <v>-</v>
      </c>
      <c r="AN1069" s="63" t="str">
        <f>IFERROR(VLOOKUP(Table2[[#This Row],[Contraente]],Table1[[Nome/Ragione sociale]:[Checkbox selezionato]],7,FALSE),"-")</f>
        <v>papies@email.it</v>
      </c>
      <c r="AO1069" s="63">
        <f>IFERROR(VLOOKUP(Table2[[#This Row],[Contraente]],Table1[[Nome/Ragione sociale]:[Checkbox selezionato]],8,FALSE),"-")</f>
        <v>0</v>
      </c>
      <c r="AP1069" s="63">
        <f>IFERROR(VLOOKUP(Table2[[#This Row],[Contraente]],Table1[[Nome/Ragione sociale]:[Checkbox selezionato]],10,FALSE),"-")</f>
        <v>335245118</v>
      </c>
      <c r="AQ1069" s="63" t="str">
        <f>IFERROR(VLOOKUP(Table2[[#This Row],[Contraente]],Table1[[Nome/Ragione sociale]:[Checkbox selezionato]],11,FALSE),"-")</f>
        <v>SI</v>
      </c>
      <c r="AR1069" s="63" t="str">
        <f>IFERROR(VLOOKUP(Table2[[#This Row],[Contraente]],Table1[[Nome/Ragione sociale]:[Checkbox selezionato]],12,FALSE),"-")</f>
        <v>SI</v>
      </c>
    </row>
    <row r="1070" spans="1:44" ht="30" hidden="1" customHeight="1" x14ac:dyDescent="0.25">
      <c r="A1070" s="60" t="str">
        <f>UPPER(LEFT(Table2[[#This Row],[Contraente]],1))</f>
        <v>T</v>
      </c>
      <c r="B1070" s="60" t="s">
        <v>1634</v>
      </c>
      <c r="C1070" s="81" t="s">
        <v>1023</v>
      </c>
      <c r="D1070" s="81" t="s">
        <v>37</v>
      </c>
      <c r="E1070" s="86">
        <v>105871352</v>
      </c>
      <c r="F1070" s="64">
        <v>42573</v>
      </c>
      <c r="G1070" s="64">
        <f>IFERROR(CALCOLASCADENZA(Table2[[#This Row],[Data attivazione]],Table2[[#This Row],[Rateizzazione]],Table2[[#This Row],[Data ultimo pagamento]],Table2[[#This Row],[Data prossima scadenza manuale]]),"-")</f>
        <v>42945</v>
      </c>
      <c r="H1070" s="67" t="s">
        <v>31</v>
      </c>
      <c r="I1070" s="67" t="s">
        <v>1581</v>
      </c>
      <c r="J1070" s="33">
        <f>IFERROR(Table2[[#This Row],[Importo annuale]]/(12/VLOOKUP(Table2[[#This Row],[Rateizzazione]],TIPI_RATEIZZAZIONI,2,FALSE)),"-")</f>
        <v>570.70000000000005</v>
      </c>
      <c r="K1070" s="88"/>
      <c r="L1070" s="88">
        <v>570.70000000000005</v>
      </c>
      <c r="M1070" s="67" t="s">
        <v>44</v>
      </c>
      <c r="N1070" s="67" t="s">
        <v>51</v>
      </c>
      <c r="O1070" s="27" t="s">
        <v>1631</v>
      </c>
      <c r="P1070" s="33" t="s">
        <v>23</v>
      </c>
      <c r="Q1070" s="60">
        <f>IFERROR(IF(12 / VLOOKUP(Table2[[#This Row],[Rateizzazione]],TIPI_RATEIZZAZIONI,2,FALSE) &gt;=1,  IF(Table2[[#This Row],[Data attivazione]] = "","-",MONTH(Table2[[#This Row],[Data attivazione]])),"-"),"-")</f>
        <v>7</v>
      </c>
      <c r="R10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0" s="67" t="s">
        <v>2</v>
      </c>
      <c r="V1070" s="62"/>
      <c r="W1070" s="64">
        <v>42580</v>
      </c>
      <c r="X1070" s="29">
        <f>DATE(YEAR(Table2[[#This Row],[Data attivazione]])+VLOOKUP(Table2[[#This Row],[Durata]],VALORE_DURATA,2,FALSE),MONTH(Table2[[#This Row],[Data attivazione]]),DAY(Table2[[#This Row],[Data attivazione]]))</f>
        <v>42945</v>
      </c>
      <c r="Y1070" s="65"/>
      <c r="Z1070" s="61"/>
      <c r="AA1070" s="64" t="s">
        <v>85</v>
      </c>
      <c r="AB1070" s="29" t="str">
        <f>IF(Table2[[#This Row],[Data ultimo versamento temp]]=0/1/1900,"-",Table2[[#This Row],[Data ultimo versamento temp]])</f>
        <v>-</v>
      </c>
      <c r="AC1070" s="29">
        <f t="array" ref="AC1070">MAX(IF(TableVersamenti[Polizza]=Table2[[#This Row],[Polizza]],TableVersamenti[Data prevista versamento],"-"))</f>
        <v>0</v>
      </c>
      <c r="AD1070" s="62"/>
      <c r="AE1070" s="106">
        <f>DATE(YEAR(Table2[[#This Row],[Data ultimo pagamento]]),MONTH(Table2[[#This Row],[Data ultimo pagamento]]), 1)</f>
        <v>42552</v>
      </c>
      <c r="AF1070" s="106">
        <f>DATE(YEAR(Table2[[#This Row],[Data prossima scadenza]]),MONTH(Table2[[#This Row],[Data prossima scadenza]]), 1)</f>
        <v>42917</v>
      </c>
      <c r="AG1070" s="33">
        <f>IFERROR(Table2[[#This Row],[Importo annuale]]*VLOOKUP(Table2[[#This Row],[Ramo]],RAMI_POLIZZA,2,FALSE),0)</f>
        <v>29.676400000000001</v>
      </c>
      <c r="AH1070" s="65" t="s">
        <v>113</v>
      </c>
      <c r="AI1070" s="63">
        <f>IFERROR(VLOOKUP(Table2[[#This Row],[Contraente]],Table1[[Nome/Ragione sociale]:[Checkbox selezionato]],2,FALSE),"-")</f>
        <v>0</v>
      </c>
      <c r="AJ1070" s="63">
        <f>IFERROR(VLOOKUP(Table2[[#This Row],[Contraente]],Table1[[Nome/Ragione sociale]:[Checkbox selezionato]],3,FALSE),"-")</f>
        <v>3889753670</v>
      </c>
      <c r="AK1070" s="63">
        <f>IFERROR(VLOOKUP(Table2[[#This Row],[Contraente]],Table1[[Nome/Ragione sociale]:[Checkbox selezionato]],4,FALSE),"-")</f>
        <v>0</v>
      </c>
      <c r="AL1070" s="63" t="str">
        <f>IFERROR(VLOOKUP(Table2[[#This Row],[Contraente]],Table1[[Nome/Ragione sociale]:[Checkbox selezionato]],5,FALSE),"-")</f>
        <v>GIUSEPPE</v>
      </c>
      <c r="AM1070" s="62">
        <f>IFERROR(VLOOKUP(Table2[[#This Row],[Contraente]],Table1[[Nome/Ragione sociale]:[Checkbox selezionato]],6,FALSE),"-")</f>
        <v>0</v>
      </c>
      <c r="AN1070" s="63" t="str">
        <f>IFERROR(VLOOKUP(Table2[[#This Row],[Contraente]],Table1[[Nome/Ragione sociale]:[Checkbox selezionato]],7,FALSE),"-")</f>
        <v>papies@libero.it</v>
      </c>
      <c r="AO1070" s="63">
        <f>IFERROR(VLOOKUP(Table2[[#This Row],[Contraente]],Table1[[Nome/Ragione sociale]:[Checkbox selezionato]],8,FALSE),"-")</f>
        <v>0</v>
      </c>
      <c r="AP1070" s="63">
        <f>IFERROR(VLOOKUP(Table2[[#This Row],[Contraente]],Table1[[Nome/Ragione sociale]:[Checkbox selezionato]],10,FALSE),"-")</f>
        <v>3889753670</v>
      </c>
      <c r="AQ1070" s="63" t="str">
        <f>IFERROR(VLOOKUP(Table2[[#This Row],[Contraente]],Table1[[Nome/Ragione sociale]:[Checkbox selezionato]],11,FALSE),"-")</f>
        <v>SI</v>
      </c>
      <c r="AR1070" s="63" t="str">
        <f>IFERROR(VLOOKUP(Table2[[#This Row],[Contraente]],Table1[[Nome/Ragione sociale]:[Checkbox selezionato]],12,FALSE),"-")</f>
        <v>SI</v>
      </c>
    </row>
    <row r="1071" spans="1:44" ht="30" hidden="1" customHeight="1" x14ac:dyDescent="0.25">
      <c r="A1071" s="60" t="str">
        <f>UPPER(LEFT(Table2[[#This Row],[Contraente]],1))</f>
        <v>T</v>
      </c>
      <c r="B1071" s="60" t="s">
        <v>1634</v>
      </c>
      <c r="C1071" s="81" t="s">
        <v>1030</v>
      </c>
      <c r="D1071" s="81" t="s">
        <v>37</v>
      </c>
      <c r="E1071" s="86">
        <v>105236739</v>
      </c>
      <c r="F1071" s="64">
        <v>42769</v>
      </c>
      <c r="G1071" s="64">
        <f>IFERROR(CALCOLASCADENZA(Table2[[#This Row],[Data attivazione]],Table2[[#This Row],[Rateizzazione]],Table2[[#This Row],[Data ultimo pagamento]],Table2[[#This Row],[Data prossima scadenza manuale]]),"-")</f>
        <v>43118</v>
      </c>
      <c r="H1071" s="67" t="s">
        <v>30</v>
      </c>
      <c r="I1071" s="67" t="s">
        <v>113</v>
      </c>
      <c r="J1071" s="33">
        <f>IFERROR(Table2[[#This Row],[Importo annuale]]/(12/VLOOKUP(Table2[[#This Row],[Rateizzazione]],TIPI_RATEIZZAZIONI,2,FALSE)),"-")</f>
        <v>131</v>
      </c>
      <c r="K1071" s="88">
        <v>131</v>
      </c>
      <c r="L1071" s="88">
        <v>131</v>
      </c>
      <c r="M1071" s="67" t="s">
        <v>45</v>
      </c>
      <c r="N1071" s="67" t="s">
        <v>51</v>
      </c>
      <c r="O1071" s="27" t="s">
        <v>1631</v>
      </c>
      <c r="P1071" s="33" t="s">
        <v>23</v>
      </c>
      <c r="Q1071" s="60">
        <f>IFERROR(IF(12 / VLOOKUP(Table2[[#This Row],[Rateizzazione]],TIPI_RATEIZZAZIONI,2,FALSE) &gt;=1,  IF(Table2[[#This Row],[Data attivazione]] = "","-",MONTH(Table2[[#This Row],[Data attivazione]])),"-"),"-")</f>
        <v>1</v>
      </c>
      <c r="R10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1" s="67" t="s">
        <v>2</v>
      </c>
      <c r="V1071" s="62"/>
      <c r="W1071" s="64">
        <v>42753</v>
      </c>
      <c r="X1071" s="29">
        <f>DATE(YEAR(Table2[[#This Row],[Data attivazione]])+VLOOKUP(Table2[[#This Row],[Durata]],VALORE_DURATA,2,FALSE),MONTH(Table2[[#This Row],[Data attivazione]]),DAY(Table2[[#This Row],[Data attivazione]]))</f>
        <v>43118</v>
      </c>
      <c r="Y1071" s="65"/>
      <c r="Z1071" s="61"/>
      <c r="AA1071" s="64" t="s">
        <v>85</v>
      </c>
      <c r="AB1071" s="29" t="str">
        <f>IF(Table2[[#This Row],[Data ultimo versamento temp]]=0/1/1900,"-",Table2[[#This Row],[Data ultimo versamento temp]])</f>
        <v>-</v>
      </c>
      <c r="AC1071" s="29">
        <f t="array" ref="AC1071">MAX(IF(TableVersamenti[Polizza]=Table2[[#This Row],[Polizza]],TableVersamenti[Data prevista versamento],"-"))</f>
        <v>0</v>
      </c>
      <c r="AD1071" s="62"/>
      <c r="AE1071" s="106">
        <f>DATE(YEAR(Table2[[#This Row],[Data ultimo pagamento]]),MONTH(Table2[[#This Row],[Data ultimo pagamento]]), 1)</f>
        <v>42767</v>
      </c>
      <c r="AF1071" s="106">
        <f>DATE(YEAR(Table2[[#This Row],[Data prossima scadenza]]),MONTH(Table2[[#This Row],[Data prossima scadenza]]), 1)</f>
        <v>43101</v>
      </c>
      <c r="AG1071" s="33">
        <f>IFERROR(Table2[[#This Row],[Importo annuale]]*VLOOKUP(Table2[[#This Row],[Ramo]],RAMI_POLIZZA,2,FALSE),0)</f>
        <v>15.065000000000001</v>
      </c>
      <c r="AH1071" s="65" t="s">
        <v>113</v>
      </c>
      <c r="AI1071" s="63" t="str">
        <f>IFERROR(VLOOKUP(Table2[[#This Row],[Contraente]],Table1[[Nome/Ragione sociale]:[Checkbox selezionato]],2,FALSE),"-")</f>
        <v>CARBONARA AL TICINO</v>
      </c>
      <c r="AJ1071" s="63">
        <f>IFERROR(VLOOKUP(Table2[[#This Row],[Contraente]],Table1[[Nome/Ragione sociale]:[Checkbox selezionato]],3,FALSE),"-")</f>
        <v>3357436982</v>
      </c>
      <c r="AK1071" s="63">
        <f>IFERROR(VLOOKUP(Table2[[#This Row],[Contraente]],Table1[[Nome/Ragione sociale]:[Checkbox selezionato]],4,FALSE),"-")</f>
        <v>0</v>
      </c>
      <c r="AL1071" s="63" t="str">
        <f>IFERROR(VLOOKUP(Table2[[#This Row],[Contraente]],Table1[[Nome/Ragione sociale]:[Checkbox selezionato]],5,FALSE),"-")</f>
        <v>ALESSANDRA</v>
      </c>
      <c r="AM1071" s="62">
        <f>IFERROR(VLOOKUP(Table2[[#This Row],[Contraente]],Table1[[Nome/Ragione sociale]:[Checkbox selezionato]],6,FALSE),"-")</f>
        <v>27178</v>
      </c>
      <c r="AN1071" s="63" t="str">
        <f>IFERROR(VLOOKUP(Table2[[#This Row],[Contraente]],Table1[[Nome/Ragione sociale]:[Checkbox selezionato]],7,FALSE),"-")</f>
        <v>papies@libero.it</v>
      </c>
      <c r="AO1071" s="63">
        <f>IFERROR(VLOOKUP(Table2[[#This Row],[Contraente]],Table1[[Nome/Ragione sociale]:[Checkbox selezionato]],8,FALSE),"-")</f>
        <v>0</v>
      </c>
      <c r="AP1071" s="63">
        <f>IFERROR(VLOOKUP(Table2[[#This Row],[Contraente]],Table1[[Nome/Ragione sociale]:[Checkbox selezionato]],10,FALSE),"-")</f>
        <v>3357436982</v>
      </c>
      <c r="AQ1071" s="63" t="str">
        <f>IFERROR(VLOOKUP(Table2[[#This Row],[Contraente]],Table1[[Nome/Ragione sociale]:[Checkbox selezionato]],11,FALSE),"-")</f>
        <v>SI</v>
      </c>
      <c r="AR1071" s="63" t="str">
        <f>IFERROR(VLOOKUP(Table2[[#This Row],[Contraente]],Table1[[Nome/Ragione sociale]:[Checkbox selezionato]],12,FALSE),"-")</f>
        <v>SI</v>
      </c>
    </row>
    <row r="1072" spans="1:44" ht="30" hidden="1" customHeight="1" x14ac:dyDescent="0.25">
      <c r="A1072" s="60" t="str">
        <f>UPPER(LEFT(Table2[[#This Row],[Contraente]],1))</f>
        <v>T</v>
      </c>
      <c r="B1072" s="60" t="s">
        <v>1634</v>
      </c>
      <c r="C1072" s="84" t="s">
        <v>1030</v>
      </c>
      <c r="D1072" s="81" t="s">
        <v>37</v>
      </c>
      <c r="E1072" s="86">
        <v>105236719</v>
      </c>
      <c r="F1072" s="64">
        <v>42769</v>
      </c>
      <c r="G1072" s="64">
        <f>IFERROR(CALCOLASCADENZA(Table2[[#This Row],[Data attivazione]],Table2[[#This Row],[Rateizzazione]],Table2[[#This Row],[Data ultimo pagamento]],Table2[[#This Row],[Data prossima scadenza manuale]]),"-")</f>
        <v>43118</v>
      </c>
      <c r="H1072" s="67" t="s">
        <v>30</v>
      </c>
      <c r="I1072" s="67" t="s">
        <v>113</v>
      </c>
      <c r="J1072" s="33">
        <f>IFERROR(Table2[[#This Row],[Importo annuale]]/(12/VLOOKUP(Table2[[#This Row],[Rateizzazione]],TIPI_RATEIZZAZIONI,2,FALSE)),"-")</f>
        <v>440</v>
      </c>
      <c r="K1072" s="88">
        <v>440</v>
      </c>
      <c r="L1072" s="88">
        <v>440</v>
      </c>
      <c r="M1072" s="67" t="s">
        <v>45</v>
      </c>
      <c r="N1072" s="67" t="s">
        <v>51</v>
      </c>
      <c r="O1072" s="27" t="s">
        <v>1631</v>
      </c>
      <c r="P1072" s="33" t="s">
        <v>23</v>
      </c>
      <c r="Q1072" s="60">
        <f>IFERROR(IF(12 / VLOOKUP(Table2[[#This Row],[Rateizzazione]],TIPI_RATEIZZAZIONI,2,FALSE) &gt;=1,  IF(Table2[[#This Row],[Data attivazione]] = "","-",MONTH(Table2[[#This Row],[Data attivazione]])),"-"),"-")</f>
        <v>1</v>
      </c>
      <c r="R10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2" s="67" t="s">
        <v>2</v>
      </c>
      <c r="V1072" s="62"/>
      <c r="W1072" s="64">
        <v>42753</v>
      </c>
      <c r="X1072" s="29">
        <f>DATE(YEAR(Table2[[#This Row],[Data attivazione]])+VLOOKUP(Table2[[#This Row],[Durata]],VALORE_DURATA,2,FALSE),MONTH(Table2[[#This Row],[Data attivazione]]),DAY(Table2[[#This Row],[Data attivazione]]))</f>
        <v>43118</v>
      </c>
      <c r="Y1072" s="65"/>
      <c r="Z1072" s="61"/>
      <c r="AA1072" s="64" t="s">
        <v>85</v>
      </c>
      <c r="AB1072" s="29" t="str">
        <f>IF(Table2[[#This Row],[Data ultimo versamento temp]]=0/1/1900,"-",Table2[[#This Row],[Data ultimo versamento temp]])</f>
        <v>-</v>
      </c>
      <c r="AC1072" s="29">
        <f t="array" ref="AC1072">MAX(IF(TableVersamenti[Polizza]=Table2[[#This Row],[Polizza]],TableVersamenti[Data prevista versamento],"-"))</f>
        <v>0</v>
      </c>
      <c r="AD1072" s="62"/>
      <c r="AE1072" s="106">
        <f>DATE(YEAR(Table2[[#This Row],[Data ultimo pagamento]]),MONTH(Table2[[#This Row],[Data ultimo pagamento]]), 1)</f>
        <v>42767</v>
      </c>
      <c r="AF1072" s="106">
        <f>DATE(YEAR(Table2[[#This Row],[Data prossima scadenza]]),MONTH(Table2[[#This Row],[Data prossima scadenza]]), 1)</f>
        <v>43101</v>
      </c>
      <c r="AG1072" s="33">
        <f>IFERROR(Table2[[#This Row],[Importo annuale]]*VLOOKUP(Table2[[#This Row],[Ramo]],RAMI_POLIZZA,2,FALSE),0)</f>
        <v>50.6</v>
      </c>
      <c r="AH1072" s="65" t="s">
        <v>113</v>
      </c>
      <c r="AI1072" s="63" t="str">
        <f>IFERROR(VLOOKUP(Table2[[#This Row],[Contraente]],Table1[[Nome/Ragione sociale]:[Checkbox selezionato]],2,FALSE),"-")</f>
        <v>CARBONARA AL TICINO</v>
      </c>
      <c r="AJ1072" s="63">
        <f>IFERROR(VLOOKUP(Table2[[#This Row],[Contraente]],Table1[[Nome/Ragione sociale]:[Checkbox selezionato]],3,FALSE),"-")</f>
        <v>3357436982</v>
      </c>
      <c r="AK1072" s="63">
        <f>IFERROR(VLOOKUP(Table2[[#This Row],[Contraente]],Table1[[Nome/Ragione sociale]:[Checkbox selezionato]],4,FALSE),"-")</f>
        <v>0</v>
      </c>
      <c r="AL1072" s="63" t="str">
        <f>IFERROR(VLOOKUP(Table2[[#This Row],[Contraente]],Table1[[Nome/Ragione sociale]:[Checkbox selezionato]],5,FALSE),"-")</f>
        <v>ALESSANDRA</v>
      </c>
      <c r="AM1072" s="62">
        <f>IFERROR(VLOOKUP(Table2[[#This Row],[Contraente]],Table1[[Nome/Ragione sociale]:[Checkbox selezionato]],6,FALSE),"-")</f>
        <v>27178</v>
      </c>
      <c r="AN1072" s="63" t="str">
        <f>IFERROR(VLOOKUP(Table2[[#This Row],[Contraente]],Table1[[Nome/Ragione sociale]:[Checkbox selezionato]],7,FALSE),"-")</f>
        <v>papies@libero.it</v>
      </c>
      <c r="AO1072" s="63">
        <f>IFERROR(VLOOKUP(Table2[[#This Row],[Contraente]],Table1[[Nome/Ragione sociale]:[Checkbox selezionato]],8,FALSE),"-")</f>
        <v>0</v>
      </c>
      <c r="AP1072" s="63">
        <f>IFERROR(VLOOKUP(Table2[[#This Row],[Contraente]],Table1[[Nome/Ragione sociale]:[Checkbox selezionato]],10,FALSE),"-")</f>
        <v>3357436982</v>
      </c>
      <c r="AQ1072" s="63" t="str">
        <f>IFERROR(VLOOKUP(Table2[[#This Row],[Contraente]],Table1[[Nome/Ragione sociale]:[Checkbox selezionato]],11,FALSE),"-")</f>
        <v>SI</v>
      </c>
      <c r="AR1072" s="63" t="str">
        <f>IFERROR(VLOOKUP(Table2[[#This Row],[Contraente]],Table1[[Nome/Ragione sociale]:[Checkbox selezionato]],12,FALSE),"-")</f>
        <v>SI</v>
      </c>
    </row>
    <row r="1073" spans="1:44" ht="30" hidden="1" customHeight="1" x14ac:dyDescent="0.25">
      <c r="A1073" s="60" t="str">
        <f>UPPER(LEFT(Table2[[#This Row],[Contraente]],1))</f>
        <v>T</v>
      </c>
      <c r="B1073" s="60" t="s">
        <v>1634</v>
      </c>
      <c r="C1073" s="81" t="s">
        <v>1034</v>
      </c>
      <c r="D1073" s="81" t="s">
        <v>37</v>
      </c>
      <c r="E1073" s="86">
        <v>105236678</v>
      </c>
      <c r="F1073" s="64">
        <v>42776</v>
      </c>
      <c r="G1073" s="64">
        <f>IFERROR(CALCOLASCADENZA(Table2[[#This Row],[Data attivazione]],Table2[[#This Row],[Rateizzazione]],Table2[[#This Row],[Data ultimo pagamento]],Table2[[#This Row],[Data prossima scadenza manuale]]),"-")</f>
        <v>43118</v>
      </c>
      <c r="H1073" s="67" t="s">
        <v>30</v>
      </c>
      <c r="I1073" s="67" t="s">
        <v>113</v>
      </c>
      <c r="J1073" s="33">
        <f>IFERROR(Table2[[#This Row],[Importo annuale]]/(12/VLOOKUP(Table2[[#This Row],[Rateizzazione]],TIPI_RATEIZZAZIONI,2,FALSE)),"-")</f>
        <v>245</v>
      </c>
      <c r="K1073" s="88">
        <v>245</v>
      </c>
      <c r="L1073" s="88">
        <v>245</v>
      </c>
      <c r="M1073" s="67" t="s">
        <v>44</v>
      </c>
      <c r="N1073" s="67" t="s">
        <v>51</v>
      </c>
      <c r="O1073" s="27" t="s">
        <v>1631</v>
      </c>
      <c r="P1073" s="33" t="s">
        <v>23</v>
      </c>
      <c r="Q1073" s="60">
        <f>IFERROR(IF(12 / VLOOKUP(Table2[[#This Row],[Rateizzazione]],TIPI_RATEIZZAZIONI,2,FALSE) &gt;=1,  IF(Table2[[#This Row],[Data attivazione]] = "","-",MONTH(Table2[[#This Row],[Data attivazione]])),"-"),"-")</f>
        <v>1</v>
      </c>
      <c r="R10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3" s="67" t="s">
        <v>2</v>
      </c>
      <c r="V1073" s="62"/>
      <c r="W1073" s="64">
        <v>42753</v>
      </c>
      <c r="X1073" s="29">
        <f>DATE(YEAR(Table2[[#This Row],[Data attivazione]])+VLOOKUP(Table2[[#This Row],[Durata]],VALORE_DURATA,2,FALSE),MONTH(Table2[[#This Row],[Data attivazione]]),DAY(Table2[[#This Row],[Data attivazione]]))</f>
        <v>43118</v>
      </c>
      <c r="Y1073" s="65"/>
      <c r="Z1073" s="61"/>
      <c r="AA1073" s="64" t="s">
        <v>85</v>
      </c>
      <c r="AB1073" s="29" t="str">
        <f>IF(Table2[[#This Row],[Data ultimo versamento temp]]=0/1/1900,"-",Table2[[#This Row],[Data ultimo versamento temp]])</f>
        <v>-</v>
      </c>
      <c r="AC1073" s="29">
        <f t="array" ref="AC1073">MAX(IF(TableVersamenti[Polizza]=Table2[[#This Row],[Polizza]],TableVersamenti[Data prevista versamento],"-"))</f>
        <v>0</v>
      </c>
      <c r="AD1073" s="62"/>
      <c r="AE1073" s="106">
        <f>DATE(YEAR(Table2[[#This Row],[Data ultimo pagamento]]),MONTH(Table2[[#This Row],[Data ultimo pagamento]]), 1)</f>
        <v>42767</v>
      </c>
      <c r="AF1073" s="106">
        <f>DATE(YEAR(Table2[[#This Row],[Data prossima scadenza]]),MONTH(Table2[[#This Row],[Data prossima scadenza]]), 1)</f>
        <v>43101</v>
      </c>
      <c r="AG1073" s="33">
        <f>IFERROR(Table2[[#This Row],[Importo annuale]]*VLOOKUP(Table2[[#This Row],[Ramo]],RAMI_POLIZZA,2,FALSE),0)</f>
        <v>28.175000000000001</v>
      </c>
      <c r="AH1073" s="65" t="s">
        <v>113</v>
      </c>
      <c r="AI1073" s="63" t="str">
        <f>IFERROR(VLOOKUP(Table2[[#This Row],[Contraente]],Table1[[Nome/Ragione sociale]:[Checkbox selezionato]],2,FALSE),"-")</f>
        <v>CARBONARA AL TICINO</v>
      </c>
      <c r="AJ1073" s="63">
        <f>IFERROR(VLOOKUP(Table2[[#This Row],[Contraente]],Table1[[Nome/Ragione sociale]:[Checkbox selezionato]],3,FALSE),"-")</f>
        <v>3356818133</v>
      </c>
      <c r="AK1073" s="63">
        <f>IFERROR(VLOOKUP(Table2[[#This Row],[Contraente]],Table1[[Nome/Ragione sociale]:[Checkbox selezionato]],4,FALSE),"-")</f>
        <v>0</v>
      </c>
      <c r="AL1073" s="63" t="str">
        <f>IFERROR(VLOOKUP(Table2[[#This Row],[Contraente]],Table1[[Nome/Ragione sociale]:[Checkbox selezionato]],5,FALSE),"-")</f>
        <v>PIETRO</v>
      </c>
      <c r="AM1073" s="62">
        <f>IFERROR(VLOOKUP(Table2[[#This Row],[Contraente]],Table1[[Nome/Ragione sociale]:[Checkbox selezionato]],6,FALSE),"-")</f>
        <v>15077</v>
      </c>
      <c r="AN1073" s="63" t="str">
        <f>IFERROR(VLOOKUP(Table2[[#This Row],[Contraente]],Table1[[Nome/Ragione sociale]:[Checkbox selezionato]],7,FALSE),"-")</f>
        <v>papies@email.it</v>
      </c>
      <c r="AO1073" s="63">
        <f>IFERROR(VLOOKUP(Table2[[#This Row],[Contraente]],Table1[[Nome/Ragione sociale]:[Checkbox selezionato]],8,FALSE),"-")</f>
        <v>0</v>
      </c>
      <c r="AP1073" s="63">
        <f>IFERROR(VLOOKUP(Table2[[#This Row],[Contraente]],Table1[[Nome/Ragione sociale]:[Checkbox selezionato]],10,FALSE),"-")</f>
        <v>3356818133</v>
      </c>
      <c r="AQ1073" s="63" t="str">
        <f>IFERROR(VLOOKUP(Table2[[#This Row],[Contraente]],Table1[[Nome/Ragione sociale]:[Checkbox selezionato]],11,FALSE),"-")</f>
        <v>SI</v>
      </c>
      <c r="AR1073" s="63" t="str">
        <f>IFERROR(VLOOKUP(Table2[[#This Row],[Contraente]],Table1[[Nome/Ragione sociale]:[Checkbox selezionato]],12,FALSE),"-")</f>
        <v>SI</v>
      </c>
    </row>
    <row r="1074" spans="1:44" ht="30" hidden="1" customHeight="1" x14ac:dyDescent="0.25">
      <c r="A1074" s="60" t="str">
        <f>UPPER(LEFT(Table2[[#This Row],[Contraente]],1))</f>
        <v>T</v>
      </c>
      <c r="B1074" s="60" t="s">
        <v>1634</v>
      </c>
      <c r="C1074" s="81" t="s">
        <v>1034</v>
      </c>
      <c r="D1074" s="81" t="s">
        <v>37</v>
      </c>
      <c r="E1074" s="86">
        <v>105236629</v>
      </c>
      <c r="F1074" s="64">
        <v>42776</v>
      </c>
      <c r="G1074" s="64">
        <f>IFERROR(CALCOLASCADENZA(Table2[[#This Row],[Data attivazione]],Table2[[#This Row],[Rateizzazione]],Table2[[#This Row],[Data ultimo pagamento]],Table2[[#This Row],[Data prossima scadenza manuale]]),"-")</f>
        <v>43118</v>
      </c>
      <c r="H1074" s="67" t="s">
        <v>30</v>
      </c>
      <c r="I1074" s="67" t="s">
        <v>113</v>
      </c>
      <c r="J1074" s="33">
        <f>IFERROR(Table2[[#This Row],[Importo annuale]]/(12/VLOOKUP(Table2[[#This Row],[Rateizzazione]],TIPI_RATEIZZAZIONI,2,FALSE)),"-")</f>
        <v>114</v>
      </c>
      <c r="K1074" s="88">
        <v>114</v>
      </c>
      <c r="L1074" s="88">
        <v>114</v>
      </c>
      <c r="M1074" s="67" t="s">
        <v>44</v>
      </c>
      <c r="N1074" s="67" t="s">
        <v>51</v>
      </c>
      <c r="O1074" s="27" t="s">
        <v>1631</v>
      </c>
      <c r="P1074" s="33" t="s">
        <v>23</v>
      </c>
      <c r="Q1074" s="60">
        <f>IFERROR(IF(12 / VLOOKUP(Table2[[#This Row],[Rateizzazione]],TIPI_RATEIZZAZIONI,2,FALSE) &gt;=1,  IF(Table2[[#This Row],[Data attivazione]] = "","-",MONTH(Table2[[#This Row],[Data attivazione]])),"-"),"-")</f>
        <v>1</v>
      </c>
      <c r="R10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4" s="67" t="s">
        <v>2</v>
      </c>
      <c r="V1074" s="62"/>
      <c r="W1074" s="64">
        <v>42753</v>
      </c>
      <c r="X1074" s="29">
        <f>DATE(YEAR(Table2[[#This Row],[Data attivazione]])+VLOOKUP(Table2[[#This Row],[Durata]],VALORE_DURATA,2,FALSE),MONTH(Table2[[#This Row],[Data attivazione]]),DAY(Table2[[#This Row],[Data attivazione]]))</f>
        <v>43118</v>
      </c>
      <c r="Y1074" s="65"/>
      <c r="Z1074" s="61"/>
      <c r="AA1074" s="64" t="s">
        <v>85</v>
      </c>
      <c r="AB1074" s="29" t="str">
        <f>IF(Table2[[#This Row],[Data ultimo versamento temp]]=0/1/1900,"-",Table2[[#This Row],[Data ultimo versamento temp]])</f>
        <v>-</v>
      </c>
      <c r="AC1074" s="29">
        <f t="array" ref="AC1074">MAX(IF(TableVersamenti[Polizza]=Table2[[#This Row],[Polizza]],TableVersamenti[Data prevista versamento],"-"))</f>
        <v>0</v>
      </c>
      <c r="AD1074" s="62"/>
      <c r="AE1074" s="106">
        <f>DATE(YEAR(Table2[[#This Row],[Data ultimo pagamento]]),MONTH(Table2[[#This Row],[Data ultimo pagamento]]), 1)</f>
        <v>42767</v>
      </c>
      <c r="AF1074" s="106">
        <f>DATE(YEAR(Table2[[#This Row],[Data prossima scadenza]]),MONTH(Table2[[#This Row],[Data prossima scadenza]]), 1)</f>
        <v>43101</v>
      </c>
      <c r="AG1074" s="33">
        <f>IFERROR(Table2[[#This Row],[Importo annuale]]*VLOOKUP(Table2[[#This Row],[Ramo]],RAMI_POLIZZA,2,FALSE),0)</f>
        <v>13.110000000000001</v>
      </c>
      <c r="AH1074" s="65" t="s">
        <v>113</v>
      </c>
      <c r="AI1074" s="63" t="str">
        <f>IFERROR(VLOOKUP(Table2[[#This Row],[Contraente]],Table1[[Nome/Ragione sociale]:[Checkbox selezionato]],2,FALSE),"-")</f>
        <v>CARBONARA AL TICINO</v>
      </c>
      <c r="AJ1074" s="63">
        <f>IFERROR(VLOOKUP(Table2[[#This Row],[Contraente]],Table1[[Nome/Ragione sociale]:[Checkbox selezionato]],3,FALSE),"-")</f>
        <v>3356818133</v>
      </c>
      <c r="AK1074" s="63">
        <f>IFERROR(VLOOKUP(Table2[[#This Row],[Contraente]],Table1[[Nome/Ragione sociale]:[Checkbox selezionato]],4,FALSE),"-")</f>
        <v>0</v>
      </c>
      <c r="AL1074" s="63" t="str">
        <f>IFERROR(VLOOKUP(Table2[[#This Row],[Contraente]],Table1[[Nome/Ragione sociale]:[Checkbox selezionato]],5,FALSE),"-")</f>
        <v>PIETRO</v>
      </c>
      <c r="AM1074" s="62">
        <f>IFERROR(VLOOKUP(Table2[[#This Row],[Contraente]],Table1[[Nome/Ragione sociale]:[Checkbox selezionato]],6,FALSE),"-")</f>
        <v>15077</v>
      </c>
      <c r="AN1074" s="63" t="str">
        <f>IFERROR(VLOOKUP(Table2[[#This Row],[Contraente]],Table1[[Nome/Ragione sociale]:[Checkbox selezionato]],7,FALSE),"-")</f>
        <v>papies@email.it</v>
      </c>
      <c r="AO1074" s="63">
        <f>IFERROR(VLOOKUP(Table2[[#This Row],[Contraente]],Table1[[Nome/Ragione sociale]:[Checkbox selezionato]],8,FALSE),"-")</f>
        <v>0</v>
      </c>
      <c r="AP1074" s="63">
        <f>IFERROR(VLOOKUP(Table2[[#This Row],[Contraente]],Table1[[Nome/Ragione sociale]:[Checkbox selezionato]],10,FALSE),"-")</f>
        <v>3356818133</v>
      </c>
      <c r="AQ1074" s="63" t="str">
        <f>IFERROR(VLOOKUP(Table2[[#This Row],[Contraente]],Table1[[Nome/Ragione sociale]:[Checkbox selezionato]],11,FALSE),"-")</f>
        <v>SI</v>
      </c>
      <c r="AR1074" s="63" t="str">
        <f>IFERROR(VLOOKUP(Table2[[#This Row],[Contraente]],Table1[[Nome/Ragione sociale]:[Checkbox selezionato]],12,FALSE),"-")</f>
        <v>SI</v>
      </c>
    </row>
    <row r="1075" spans="1:44" ht="30" hidden="1" customHeight="1" x14ac:dyDescent="0.25">
      <c r="A1075" s="60" t="str">
        <f>UPPER(LEFT(Table2[[#This Row],[Contraente]],1))</f>
        <v>T</v>
      </c>
      <c r="B1075" s="60" t="s">
        <v>1634</v>
      </c>
      <c r="C1075" s="81" t="s">
        <v>195</v>
      </c>
      <c r="D1075" s="81" t="s">
        <v>37</v>
      </c>
      <c r="E1075" s="86">
        <v>106723700</v>
      </c>
      <c r="F1075" s="64">
        <v>42832</v>
      </c>
      <c r="G1075" s="64">
        <f>IFERROR(CALCOLASCADENZA(Table2[[#This Row],[Data attivazione]],Table2[[#This Row],[Rateizzazione]],Table2[[#This Row],[Data ultimo pagamento]],Table2[[#This Row],[Data prossima scadenza manuale]]),"-")</f>
        <v>43003</v>
      </c>
      <c r="H1075" s="67" t="s">
        <v>31</v>
      </c>
      <c r="I1075" s="67" t="s">
        <v>1592</v>
      </c>
      <c r="J1075" s="33">
        <f>IFERROR(Table2[[#This Row],[Importo annuale]]/(12/VLOOKUP(Table2[[#This Row],[Rateizzazione]],TIPI_RATEIZZAZIONI,2,FALSE)),"-")</f>
        <v>175</v>
      </c>
      <c r="K1075" s="88">
        <v>175</v>
      </c>
      <c r="L1075" s="88">
        <v>350</v>
      </c>
      <c r="M1075" s="67" t="s">
        <v>43</v>
      </c>
      <c r="N1075" s="67" t="s">
        <v>51</v>
      </c>
      <c r="O1075" s="27" t="s">
        <v>1631</v>
      </c>
      <c r="P1075" s="33" t="s">
        <v>22</v>
      </c>
      <c r="Q1075" s="60">
        <f>IFERROR(IF(12 / VLOOKUP(Table2[[#This Row],[Rateizzazione]],TIPI_RATEIZZAZIONI,2,FALSE) &gt;=1,  IF(Table2[[#This Row],[Data attivazione]] = "","-",MONTH(Table2[[#This Row],[Data attivazione]])),"-"),"-")</f>
        <v>9</v>
      </c>
      <c r="R10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5" s="67" t="s">
        <v>2</v>
      </c>
      <c r="V1075" s="62"/>
      <c r="W1075" s="64">
        <v>42638</v>
      </c>
      <c r="X1075" s="29">
        <f>DATE(YEAR(Table2[[#This Row],[Data attivazione]])+VLOOKUP(Table2[[#This Row],[Durata]],VALORE_DURATA,2,FALSE),MONTH(Table2[[#This Row],[Data attivazione]]),DAY(Table2[[#This Row],[Data attivazione]]))</f>
        <v>43003</v>
      </c>
      <c r="Y1075" s="65"/>
      <c r="Z1075" s="61"/>
      <c r="AA1075" s="64" t="s">
        <v>85</v>
      </c>
      <c r="AB1075" s="29" t="str">
        <f>IF(Table2[[#This Row],[Data ultimo versamento temp]]=0/1/1900,"-",Table2[[#This Row],[Data ultimo versamento temp]])</f>
        <v>-</v>
      </c>
      <c r="AC1075" s="29">
        <f t="array" ref="AC1075">MAX(IF(TableVersamenti[Polizza]=Table2[[#This Row],[Polizza]],TableVersamenti[Data prevista versamento],"-"))</f>
        <v>0</v>
      </c>
      <c r="AD1075" s="62"/>
      <c r="AE1075" s="106">
        <f>DATE(YEAR(Table2[[#This Row],[Data ultimo pagamento]]),MONTH(Table2[[#This Row],[Data ultimo pagamento]]), 1)</f>
        <v>42826</v>
      </c>
      <c r="AF1075" s="106">
        <f>DATE(YEAR(Table2[[#This Row],[Data prossima scadenza]]),MONTH(Table2[[#This Row],[Data prossima scadenza]]), 1)</f>
        <v>42979</v>
      </c>
      <c r="AG1075" s="33">
        <f>IFERROR(Table2[[#This Row],[Importo annuale]]*VLOOKUP(Table2[[#This Row],[Ramo]],RAMI_POLIZZA,2,FALSE),0)</f>
        <v>18.2</v>
      </c>
      <c r="AH1075" s="65" t="s">
        <v>113</v>
      </c>
      <c r="AI1075" s="63" t="str">
        <f>IFERROR(VLOOKUP(Table2[[#This Row],[Contraente]],Table1[[Nome/Ragione sociale]:[Checkbox selezionato]],2,FALSE),"-")</f>
        <v>CORTEOLONA</v>
      </c>
      <c r="AJ1075" s="63">
        <f>IFERROR(VLOOKUP(Table2[[#This Row],[Contraente]],Table1[[Nome/Ragione sociale]:[Checkbox selezionato]],3,FALSE),"-")</f>
        <v>3421401946</v>
      </c>
      <c r="AK1075" s="63">
        <f>IFERROR(VLOOKUP(Table2[[#This Row],[Contraente]],Table1[[Nome/Ragione sociale]:[Checkbox selezionato]],4,FALSE),"-")</f>
        <v>0</v>
      </c>
      <c r="AL1075" s="63" t="str">
        <f>IFERROR(VLOOKUP(Table2[[#This Row],[Contraente]],Table1[[Nome/Ragione sociale]:[Checkbox selezionato]],5,FALSE),"-")</f>
        <v>STEFANO</v>
      </c>
      <c r="AM1075" s="62">
        <f>IFERROR(VLOOKUP(Table2[[#This Row],[Contraente]],Table1[[Nome/Ragione sociale]:[Checkbox selezionato]],6,FALSE),"-")</f>
        <v>22140</v>
      </c>
      <c r="AN1075" s="63" t="str">
        <f>IFERROR(VLOOKUP(Table2[[#This Row],[Contraente]],Table1[[Nome/Ragione sociale]:[Checkbox selezionato]],7,FALSE),"-")</f>
        <v>papies@libero.it</v>
      </c>
      <c r="AO1075" s="63">
        <f>IFERROR(VLOOKUP(Table2[[#This Row],[Contraente]],Table1[[Nome/Ragione sociale]:[Checkbox selezionato]],8,FALSE),"-")</f>
        <v>0</v>
      </c>
      <c r="AP1075" s="63">
        <f>IFERROR(VLOOKUP(Table2[[#This Row],[Contraente]],Table1[[Nome/Ragione sociale]:[Checkbox selezionato]],10,FALSE),"-")</f>
        <v>3421401946</v>
      </c>
      <c r="AQ1075" s="63" t="str">
        <f>IFERROR(VLOOKUP(Table2[[#This Row],[Contraente]],Table1[[Nome/Ragione sociale]:[Checkbox selezionato]],11,FALSE),"-")</f>
        <v>SI</v>
      </c>
      <c r="AR1075" s="63" t="str">
        <f>IFERROR(VLOOKUP(Table2[[#This Row],[Contraente]],Table1[[Nome/Ragione sociale]:[Checkbox selezionato]],12,FALSE),"-")</f>
        <v>SI</v>
      </c>
    </row>
    <row r="1076" spans="1:44" ht="30" hidden="1" customHeight="1" x14ac:dyDescent="0.25">
      <c r="A1076" s="60" t="str">
        <f>UPPER(LEFT(Table2[[#This Row],[Contraente]],1))</f>
        <v>T</v>
      </c>
      <c r="B1076" s="60" t="s">
        <v>1634</v>
      </c>
      <c r="C1076" s="81" t="s">
        <v>195</v>
      </c>
      <c r="D1076" s="81" t="s">
        <v>37</v>
      </c>
      <c r="E1076" s="86">
        <v>106112902</v>
      </c>
      <c r="F1076" s="64">
        <v>42832</v>
      </c>
      <c r="G1076" s="64">
        <f>IFERROR(CALCOLASCADENZA(Table2[[#This Row],[Data attivazione]],Table2[[#This Row],[Rateizzazione]],Table2[[#This Row],[Data ultimo pagamento]],Table2[[#This Row],[Data prossima scadenza manuale]]),"-")</f>
        <v>43003</v>
      </c>
      <c r="H1076" s="67" t="s">
        <v>30</v>
      </c>
      <c r="I1076" s="67" t="s">
        <v>113</v>
      </c>
      <c r="J1076" s="33">
        <f>IFERROR(Table2[[#This Row],[Importo annuale]]/(12/VLOOKUP(Table2[[#This Row],[Rateizzazione]],TIPI_RATEIZZAZIONI,2,FALSE)),"-")</f>
        <v>34</v>
      </c>
      <c r="K1076" s="88">
        <v>34</v>
      </c>
      <c r="L1076" s="88">
        <v>68</v>
      </c>
      <c r="M1076" s="67" t="s">
        <v>43</v>
      </c>
      <c r="N1076" s="67" t="s">
        <v>51</v>
      </c>
      <c r="O1076" s="27" t="s">
        <v>1631</v>
      </c>
      <c r="P1076" s="33" t="s">
        <v>22</v>
      </c>
      <c r="Q1076" s="60">
        <f>IFERROR(IF(12 / VLOOKUP(Table2[[#This Row],[Rateizzazione]],TIPI_RATEIZZAZIONI,2,FALSE) &gt;=1,  IF(Table2[[#This Row],[Data attivazione]] = "","-",MONTH(Table2[[#This Row],[Data attivazione]])),"-"),"-")</f>
        <v>9</v>
      </c>
      <c r="R10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6" s="67" t="s">
        <v>2</v>
      </c>
      <c r="V1076" s="62"/>
      <c r="W1076" s="64">
        <v>42638</v>
      </c>
      <c r="X1076" s="29">
        <f>DATE(YEAR(Table2[[#This Row],[Data attivazione]])+VLOOKUP(Table2[[#This Row],[Durata]],VALORE_DURATA,2,FALSE),MONTH(Table2[[#This Row],[Data attivazione]]),DAY(Table2[[#This Row],[Data attivazione]]))</f>
        <v>43003</v>
      </c>
      <c r="Y1076" s="65"/>
      <c r="Z1076" s="61"/>
      <c r="AA1076" s="64" t="s">
        <v>85</v>
      </c>
      <c r="AB1076" s="29" t="str">
        <f>IF(Table2[[#This Row],[Data ultimo versamento temp]]=0/1/1900,"-",Table2[[#This Row],[Data ultimo versamento temp]])</f>
        <v>-</v>
      </c>
      <c r="AC1076" s="29">
        <f t="array" ref="AC1076">MAX(IF(TableVersamenti[Polizza]=Table2[[#This Row],[Polizza]],TableVersamenti[Data prevista versamento],"-"))</f>
        <v>0</v>
      </c>
      <c r="AD1076" s="62"/>
      <c r="AE1076" s="106">
        <f>DATE(YEAR(Table2[[#This Row],[Data ultimo pagamento]]),MONTH(Table2[[#This Row],[Data ultimo pagamento]]), 1)</f>
        <v>42826</v>
      </c>
      <c r="AF1076" s="106">
        <f>DATE(YEAR(Table2[[#This Row],[Data prossima scadenza]]),MONTH(Table2[[#This Row],[Data prossima scadenza]]), 1)</f>
        <v>42979</v>
      </c>
      <c r="AG1076" s="33">
        <f>IFERROR(Table2[[#This Row],[Importo annuale]]*VLOOKUP(Table2[[#This Row],[Ramo]],RAMI_POLIZZA,2,FALSE),0)</f>
        <v>7.82</v>
      </c>
      <c r="AH1076" s="65" t="s">
        <v>113</v>
      </c>
      <c r="AI1076" s="63" t="str">
        <f>IFERROR(VLOOKUP(Table2[[#This Row],[Contraente]],Table1[[Nome/Ragione sociale]:[Checkbox selezionato]],2,FALSE),"-")</f>
        <v>CORTEOLONA</v>
      </c>
      <c r="AJ1076" s="63">
        <f>IFERROR(VLOOKUP(Table2[[#This Row],[Contraente]],Table1[[Nome/Ragione sociale]:[Checkbox selezionato]],3,FALSE),"-")</f>
        <v>3421401946</v>
      </c>
      <c r="AK1076" s="63">
        <f>IFERROR(VLOOKUP(Table2[[#This Row],[Contraente]],Table1[[Nome/Ragione sociale]:[Checkbox selezionato]],4,FALSE),"-")</f>
        <v>0</v>
      </c>
      <c r="AL1076" s="63" t="str">
        <f>IFERROR(VLOOKUP(Table2[[#This Row],[Contraente]],Table1[[Nome/Ragione sociale]:[Checkbox selezionato]],5,FALSE),"-")</f>
        <v>STEFANO</v>
      </c>
      <c r="AM1076" s="62">
        <f>IFERROR(VLOOKUP(Table2[[#This Row],[Contraente]],Table1[[Nome/Ragione sociale]:[Checkbox selezionato]],6,FALSE),"-")</f>
        <v>22140</v>
      </c>
      <c r="AN1076" s="63" t="str">
        <f>IFERROR(VLOOKUP(Table2[[#This Row],[Contraente]],Table1[[Nome/Ragione sociale]:[Checkbox selezionato]],7,FALSE),"-")</f>
        <v>papies@libero.it</v>
      </c>
      <c r="AO1076" s="63">
        <f>IFERROR(VLOOKUP(Table2[[#This Row],[Contraente]],Table1[[Nome/Ragione sociale]:[Checkbox selezionato]],8,FALSE),"-")</f>
        <v>0</v>
      </c>
      <c r="AP1076" s="63">
        <f>IFERROR(VLOOKUP(Table2[[#This Row],[Contraente]],Table1[[Nome/Ragione sociale]:[Checkbox selezionato]],10,FALSE),"-")</f>
        <v>3421401946</v>
      </c>
      <c r="AQ1076" s="63" t="str">
        <f>IFERROR(VLOOKUP(Table2[[#This Row],[Contraente]],Table1[[Nome/Ragione sociale]:[Checkbox selezionato]],11,FALSE),"-")</f>
        <v>SI</v>
      </c>
      <c r="AR1076" s="63" t="str">
        <f>IFERROR(VLOOKUP(Table2[[#This Row],[Contraente]],Table1[[Nome/Ragione sociale]:[Checkbox selezionato]],12,FALSE),"-")</f>
        <v>SI</v>
      </c>
    </row>
    <row r="1077" spans="1:44" ht="30" hidden="1" customHeight="1" x14ac:dyDescent="0.25">
      <c r="A1077" s="60" t="str">
        <f>UPPER(LEFT(Table2[[#This Row],[Contraente]],1))</f>
        <v>T</v>
      </c>
      <c r="B1077" s="60" t="s">
        <v>1634</v>
      </c>
      <c r="C1077" s="81" t="s">
        <v>1046</v>
      </c>
      <c r="D1077" s="81" t="s">
        <v>37</v>
      </c>
      <c r="E1077" s="86">
        <v>106123528</v>
      </c>
      <c r="F1077" s="64">
        <v>42656</v>
      </c>
      <c r="G1077" s="64">
        <f>IFERROR(CALCOLASCADENZA(Table2[[#This Row],[Data attivazione]],Table2[[#This Row],[Rateizzazione]],Table2[[#This Row],[Data ultimo pagamento]],Table2[[#This Row],[Data prossima scadenza manuale]]),"-")</f>
        <v>43021</v>
      </c>
      <c r="H1077" s="67" t="s">
        <v>31</v>
      </c>
      <c r="I1077" s="67" t="s">
        <v>1593</v>
      </c>
      <c r="J1077" s="33">
        <f>IFERROR(Table2[[#This Row],[Importo annuale]]/(12/VLOOKUP(Table2[[#This Row],[Rateizzazione]],TIPI_RATEIZZAZIONI,2,FALSE)),"-")</f>
        <v>750</v>
      </c>
      <c r="K1077" s="88"/>
      <c r="L1077" s="88">
        <v>750</v>
      </c>
      <c r="M1077" s="67" t="s">
        <v>43</v>
      </c>
      <c r="N1077" s="67" t="s">
        <v>52</v>
      </c>
      <c r="O1077" s="27" t="s">
        <v>1631</v>
      </c>
      <c r="P1077" s="33" t="s">
        <v>23</v>
      </c>
      <c r="Q1077" s="60">
        <f>IFERROR(IF(12 / VLOOKUP(Table2[[#This Row],[Rateizzazione]],TIPI_RATEIZZAZIONI,2,FALSE) &gt;=1,  IF(Table2[[#This Row],[Data attivazione]] = "","-",MONTH(Table2[[#This Row],[Data attivazione]])),"-"),"-")</f>
        <v>10</v>
      </c>
      <c r="R10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7" s="67" t="s">
        <v>2</v>
      </c>
      <c r="V1077" s="62"/>
      <c r="W1077" s="64">
        <v>42656</v>
      </c>
      <c r="X1077" s="29">
        <f>DATE(YEAR(Table2[[#This Row],[Data attivazione]])+VLOOKUP(Table2[[#This Row],[Durata]],VALORE_DURATA,2,FALSE),MONTH(Table2[[#This Row],[Data attivazione]]),DAY(Table2[[#This Row],[Data attivazione]]))</f>
        <v>43021</v>
      </c>
      <c r="Y1077" s="65"/>
      <c r="Z1077" s="61"/>
      <c r="AA1077" s="64" t="s">
        <v>85</v>
      </c>
      <c r="AB1077" s="29" t="str">
        <f>IF(Table2[[#This Row],[Data ultimo versamento temp]]=0/1/1900,"-",Table2[[#This Row],[Data ultimo versamento temp]])</f>
        <v>-</v>
      </c>
      <c r="AC1077" s="29">
        <f t="array" ref="AC1077">MAX(IF(TableVersamenti[Polizza]=Table2[[#This Row],[Polizza]],TableVersamenti[Data prevista versamento],"-"))</f>
        <v>0</v>
      </c>
      <c r="AD1077" s="62"/>
      <c r="AE1077" s="106">
        <f>DATE(YEAR(Table2[[#This Row],[Data ultimo pagamento]]),MONTH(Table2[[#This Row],[Data ultimo pagamento]]), 1)</f>
        <v>42644</v>
      </c>
      <c r="AF1077" s="106">
        <f>DATE(YEAR(Table2[[#This Row],[Data prossima scadenza]]),MONTH(Table2[[#This Row],[Data prossima scadenza]]), 1)</f>
        <v>43009</v>
      </c>
      <c r="AG1077" s="33">
        <f>IFERROR(Table2[[#This Row],[Importo annuale]]*VLOOKUP(Table2[[#This Row],[Ramo]],RAMI_POLIZZA,2,FALSE),0)</f>
        <v>39</v>
      </c>
      <c r="AH1077" s="65" t="s">
        <v>113</v>
      </c>
      <c r="AI1077" s="63" t="str">
        <f>IFERROR(VLOOKUP(Table2[[#This Row],[Contraente]],Table1[[Nome/Ragione sociale]:[Checkbox selezionato]],2,FALSE),"-")</f>
        <v>BELGIOIOSO</v>
      </c>
      <c r="AJ1077" s="63">
        <f>IFERROR(VLOOKUP(Table2[[#This Row],[Contraente]],Table1[[Nome/Ragione sociale]:[Checkbox selezionato]],3,FALSE),"-")</f>
        <v>3203142142</v>
      </c>
      <c r="AK1077" s="63">
        <f>IFERROR(VLOOKUP(Table2[[#This Row],[Contraente]],Table1[[Nome/Ragione sociale]:[Checkbox selezionato]],4,FALSE),"-")</f>
        <v>0</v>
      </c>
      <c r="AL1077" s="63" t="str">
        <f>IFERROR(VLOOKUP(Table2[[#This Row],[Contraente]],Table1[[Nome/Ragione sociale]:[Checkbox selezionato]],5,FALSE),"-")</f>
        <v>GEORGE</v>
      </c>
      <c r="AM1077" s="62">
        <f>IFERROR(VLOOKUP(Table2[[#This Row],[Contraente]],Table1[[Nome/Ragione sociale]:[Checkbox selezionato]],6,FALSE),"-")</f>
        <v>30846</v>
      </c>
      <c r="AN1077" s="63" t="str">
        <f>IFERROR(VLOOKUP(Table2[[#This Row],[Contraente]],Table1[[Nome/Ragione sociale]:[Checkbox selezionato]],7,FALSE),"-")</f>
        <v>papies@libero.it</v>
      </c>
      <c r="AO1077" s="63">
        <f>IFERROR(VLOOKUP(Table2[[#This Row],[Contraente]],Table1[[Nome/Ragione sociale]:[Checkbox selezionato]],8,FALSE),"-")</f>
        <v>0</v>
      </c>
      <c r="AP1077" s="63">
        <f>IFERROR(VLOOKUP(Table2[[#This Row],[Contraente]],Table1[[Nome/Ragione sociale]:[Checkbox selezionato]],10,FALSE),"-")</f>
        <v>3203142142</v>
      </c>
      <c r="AQ1077" s="63" t="str">
        <f>IFERROR(VLOOKUP(Table2[[#This Row],[Contraente]],Table1[[Nome/Ragione sociale]:[Checkbox selezionato]],11,FALSE),"-")</f>
        <v>SI</v>
      </c>
      <c r="AR1077" s="63" t="str">
        <f>IFERROR(VLOOKUP(Table2[[#This Row],[Contraente]],Table1[[Nome/Ragione sociale]:[Checkbox selezionato]],12,FALSE),"-")</f>
        <v>SI</v>
      </c>
    </row>
    <row r="1078" spans="1:44" ht="30" hidden="1" customHeight="1" x14ac:dyDescent="0.25">
      <c r="A1078" s="60" t="str">
        <f>UPPER(LEFT(Table2[[#This Row],[Contraente]],1))</f>
        <v>T</v>
      </c>
      <c r="B1078" s="60" t="s">
        <v>1634</v>
      </c>
      <c r="C1078" s="81" t="s">
        <v>1043</v>
      </c>
      <c r="D1078" s="81" t="s">
        <v>37</v>
      </c>
      <c r="E1078" s="86">
        <v>103751891</v>
      </c>
      <c r="F1078" s="64">
        <v>42461</v>
      </c>
      <c r="G1078" s="64">
        <f>IFERROR(CALCOLASCADENZA(Table2[[#This Row],[Data attivazione]],Table2[[#This Row],[Rateizzazione]],Table2[[#This Row],[Data ultimo pagamento]],Table2[[#This Row],[Data prossima scadenza manuale]]),"-")</f>
        <v>42565</v>
      </c>
      <c r="H1078" s="67" t="s">
        <v>31</v>
      </c>
      <c r="I1078" s="67" t="s">
        <v>1591</v>
      </c>
      <c r="J1078" s="33">
        <f>IFERROR(Table2[[#This Row],[Importo annuale]]/(12/VLOOKUP(Table2[[#This Row],[Rateizzazione]],TIPI_RATEIZZAZIONI,2,FALSE)),"-")</f>
        <v>204.4</v>
      </c>
      <c r="K1078" s="88"/>
      <c r="L1078" s="88">
        <v>613.20000000000005</v>
      </c>
      <c r="M1078" s="67" t="s">
        <v>43</v>
      </c>
      <c r="N1078" s="67" t="s">
        <v>51</v>
      </c>
      <c r="O1078" s="27" t="s">
        <v>1631</v>
      </c>
      <c r="P1078" s="33" t="s">
        <v>21</v>
      </c>
      <c r="Q1078" s="60">
        <f>IFERROR(IF(12 / VLOOKUP(Table2[[#This Row],[Rateizzazione]],TIPI_RATEIZZAZIONI,2,FALSE) &gt;=1,  IF(Table2[[#This Row],[Data attivazione]] = "","-",MONTH(Table2[[#This Row],[Data attivazione]])),"-"),"-")</f>
        <v>7</v>
      </c>
      <c r="R10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7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10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8" s="67" t="s">
        <v>2</v>
      </c>
      <c r="V1078" s="62"/>
      <c r="W1078" s="64">
        <v>42199</v>
      </c>
      <c r="X1078" s="29">
        <f>DATE(YEAR(Table2[[#This Row],[Data attivazione]])+VLOOKUP(Table2[[#This Row],[Durata]],VALORE_DURATA,2,FALSE),MONTH(Table2[[#This Row],[Data attivazione]]),DAY(Table2[[#This Row],[Data attivazione]]))</f>
        <v>42565</v>
      </c>
      <c r="Y1078" s="65"/>
      <c r="Z1078" s="61"/>
      <c r="AA1078" s="64" t="s">
        <v>88</v>
      </c>
      <c r="AB1078" s="29" t="str">
        <f>IF(Table2[[#This Row],[Data ultimo versamento temp]]=0/1/1900,"-",Table2[[#This Row],[Data ultimo versamento temp]])</f>
        <v>-</v>
      </c>
      <c r="AC1078" s="29">
        <f t="array" ref="AC1078">MAX(IF(TableVersamenti[Polizza]=Table2[[#This Row],[Polizza]],TableVersamenti[Data prevista versamento],"-"))</f>
        <v>0</v>
      </c>
      <c r="AD1078" s="62"/>
      <c r="AE1078" s="106">
        <f>DATE(YEAR(Table2[[#This Row],[Data ultimo pagamento]]),MONTH(Table2[[#This Row],[Data ultimo pagamento]]), 1)</f>
        <v>42461</v>
      </c>
      <c r="AF1078" s="106">
        <f>DATE(YEAR(Table2[[#This Row],[Data prossima scadenza]]),MONTH(Table2[[#This Row],[Data prossima scadenza]]), 1)</f>
        <v>42552</v>
      </c>
      <c r="AG1078" s="33">
        <f>IFERROR(Table2[[#This Row],[Importo annuale]]*VLOOKUP(Table2[[#This Row],[Ramo]],RAMI_POLIZZA,2,FALSE),0)</f>
        <v>31.886400000000002</v>
      </c>
      <c r="AH1078" s="65" t="s">
        <v>113</v>
      </c>
      <c r="AI1078" s="63" t="str">
        <f>IFERROR(VLOOKUP(Table2[[#This Row],[Contraente]],Table1[[Nome/Ragione sociale]:[Checkbox selezionato]],2,FALSE),"-")</f>
        <v>FILIGHERA</v>
      </c>
      <c r="AJ1078" s="63" t="str">
        <f>IFERROR(VLOOKUP(Table2[[#This Row],[Contraente]],Table1[[Nome/Ragione sociale]:[Checkbox selezionato]],3,FALSE),"-")</f>
        <v>335-1567440</v>
      </c>
      <c r="AK1078" s="63">
        <f>IFERROR(VLOOKUP(Table2[[#This Row],[Contraente]],Table1[[Nome/Ragione sociale]:[Checkbox selezionato]],4,FALSE),"-")</f>
        <v>0</v>
      </c>
      <c r="AL1078" s="63" t="str">
        <f>IFERROR(VLOOKUP(Table2[[#This Row],[Contraente]],Table1[[Nome/Ragione sociale]:[Checkbox selezionato]],5,FALSE),"-")</f>
        <v>MARIO RIPA</v>
      </c>
      <c r="AM1078" s="62" t="str">
        <f>IFERROR(VLOOKUP(Table2[[#This Row],[Contraente]],Table1[[Nome/Ragione sociale]:[Checkbox selezionato]],6,FALSE),"-")</f>
        <v>-</v>
      </c>
      <c r="AN1078" s="63" t="str">
        <f>IFERROR(VLOOKUP(Table2[[#This Row],[Contraente]],Table1[[Nome/Ragione sociale]:[Checkbox selezionato]],7,FALSE),"-")</f>
        <v>papies@email.it</v>
      </c>
      <c r="AO1078" s="63">
        <f>IFERROR(VLOOKUP(Table2[[#This Row],[Contraente]],Table1[[Nome/Ragione sociale]:[Checkbox selezionato]],8,FALSE),"-")</f>
        <v>0</v>
      </c>
      <c r="AP1078" s="63" t="str">
        <f>IFERROR(VLOOKUP(Table2[[#This Row],[Contraente]],Table1[[Nome/Ragione sociale]:[Checkbox selezionato]],10,FALSE),"-")</f>
        <v>335-1567440</v>
      </c>
      <c r="AQ1078" s="63" t="str">
        <f>IFERROR(VLOOKUP(Table2[[#This Row],[Contraente]],Table1[[Nome/Ragione sociale]:[Checkbox selezionato]],11,FALSE),"-")</f>
        <v>SI</v>
      </c>
      <c r="AR1078" s="63" t="str">
        <f>IFERROR(VLOOKUP(Table2[[#This Row],[Contraente]],Table1[[Nome/Ragione sociale]:[Checkbox selezionato]],12,FALSE),"-")</f>
        <v>SI</v>
      </c>
    </row>
    <row r="1079" spans="1:44" ht="30" hidden="1" customHeight="1" x14ac:dyDescent="0.25">
      <c r="A1079" s="60" t="str">
        <f>UPPER(LEFT(Table2[[#This Row],[Contraente]],1))</f>
        <v>T</v>
      </c>
      <c r="B1079" s="60" t="s">
        <v>1634</v>
      </c>
      <c r="C1079" s="81" t="s">
        <v>1048</v>
      </c>
      <c r="D1079" s="81" t="s">
        <v>37</v>
      </c>
      <c r="E1079" s="86">
        <v>104624623</v>
      </c>
      <c r="F1079" s="64">
        <v>42195</v>
      </c>
      <c r="G1079" s="64">
        <f>IFERROR(CALCOLASCADENZA(Table2[[#This Row],[Data attivazione]],Table2[[#This Row],[Rateizzazione]],Table2[[#This Row],[Data ultimo pagamento]],Table2[[#This Row],[Data prossima scadenza manuale]]),"-")</f>
        <v>693778</v>
      </c>
      <c r="H1079" s="67" t="s">
        <v>30</v>
      </c>
      <c r="I1079" s="67" t="s">
        <v>113</v>
      </c>
      <c r="J1079" s="33">
        <f>IFERROR(Table2[[#This Row],[Importo annuale]]/(12/VLOOKUP(Table2[[#This Row],[Rateizzazione]],TIPI_RATEIZZAZIONI,2,FALSE)),"-")</f>
        <v>225</v>
      </c>
      <c r="K1079" s="88"/>
      <c r="L1079" s="88">
        <v>450</v>
      </c>
      <c r="M1079" s="67" t="s">
        <v>44</v>
      </c>
      <c r="N1079" s="67" t="s">
        <v>52</v>
      </c>
      <c r="O1079" s="27" t="s">
        <v>1631</v>
      </c>
      <c r="P1079" s="33" t="s">
        <v>22</v>
      </c>
      <c r="Q1079" s="60">
        <f>IFERROR(IF(12 / VLOOKUP(Table2[[#This Row],[Rateizzazione]],TIPI_RATEIZZAZIONI,2,FALSE) &gt;=1,  IF(Table2[[#This Row],[Data attivazione]] = "","-",MONTH(Table2[[#This Row],[Data attivazione]])),"-"),"-")</f>
        <v>12</v>
      </c>
      <c r="R10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9" s="67" t="s">
        <v>2</v>
      </c>
      <c r="V1079" s="62"/>
      <c r="W1079" s="64">
        <v>693597</v>
      </c>
      <c r="X1079" s="29">
        <f>DATE(YEAR(Table2[[#This Row],[Data attivazione]])+VLOOKUP(Table2[[#This Row],[Durata]],VALORE_DURATA,2,FALSE),MONTH(Table2[[#This Row],[Data attivazione]]),DAY(Table2[[#This Row],[Data attivazione]]))</f>
        <v>693962</v>
      </c>
      <c r="Y1079" s="65"/>
      <c r="Z1079" s="61"/>
      <c r="AA1079" s="64" t="s">
        <v>88</v>
      </c>
      <c r="AB1079" s="29" t="str">
        <f>IF(Table2[[#This Row],[Data ultimo versamento temp]]=0/1/1900,"-",Table2[[#This Row],[Data ultimo versamento temp]])</f>
        <v>-</v>
      </c>
      <c r="AC1079" s="29">
        <f t="array" ref="AC1079">MAX(IF(TableVersamenti[Polizza]=Table2[[#This Row],[Polizza]],TableVersamenti[Data prevista versamento],"-"))</f>
        <v>0</v>
      </c>
      <c r="AD1079" s="62"/>
      <c r="AE1079" s="106">
        <f>DATE(YEAR(Table2[[#This Row],[Data ultimo pagamento]]),MONTH(Table2[[#This Row],[Data ultimo pagamento]]), 1)</f>
        <v>42186</v>
      </c>
      <c r="AF1079" s="106">
        <f>DATE(YEAR(Table2[[#This Row],[Data prossima scadenza]]),MONTH(Table2[[#This Row],[Data prossima scadenza]]), 1)</f>
        <v>693749</v>
      </c>
      <c r="AG1079" s="33">
        <f>IFERROR(Table2[[#This Row],[Importo annuale]]*VLOOKUP(Table2[[#This Row],[Ramo]],RAMI_POLIZZA,2,FALSE),0)</f>
        <v>51.75</v>
      </c>
      <c r="AH1079" s="65" t="s">
        <v>113</v>
      </c>
      <c r="AI1079" s="63" t="str">
        <f>IFERROR(VLOOKUP(Table2[[#This Row],[Contraente]],Table1[[Nome/Ragione sociale]:[Checkbox selezionato]],2,FALSE),"-")</f>
        <v>PAVIA</v>
      </c>
      <c r="AJ1079" s="63">
        <f>IFERROR(VLOOKUP(Table2[[#This Row],[Contraente]],Table1[[Nome/Ragione sociale]:[Checkbox selezionato]],3,FALSE),"-")</f>
        <v>3398401587</v>
      </c>
      <c r="AK1079" s="63">
        <f>IFERROR(VLOOKUP(Table2[[#This Row],[Contraente]],Table1[[Nome/Ragione sociale]:[Checkbox selezionato]],4,FALSE),"-")</f>
        <v>0</v>
      </c>
      <c r="AL1079" s="63" t="str">
        <f>IFERROR(VLOOKUP(Table2[[#This Row],[Contraente]],Table1[[Nome/Ragione sociale]:[Checkbox selezionato]],5,FALSE),"-")</f>
        <v>FRANCESCO</v>
      </c>
      <c r="AM1079" s="62">
        <f>IFERROR(VLOOKUP(Table2[[#This Row],[Contraente]],Table1[[Nome/Ragione sociale]:[Checkbox selezionato]],6,FALSE),"-")</f>
        <v>24825</v>
      </c>
      <c r="AN1079" s="63" t="str">
        <f>IFERROR(VLOOKUP(Table2[[#This Row],[Contraente]],Table1[[Nome/Ragione sociale]:[Checkbox selezionato]],7,FALSE),"-")</f>
        <v>papies@libero.it</v>
      </c>
      <c r="AO1079" s="63">
        <f>IFERROR(VLOOKUP(Table2[[#This Row],[Contraente]],Table1[[Nome/Ragione sociale]:[Checkbox selezionato]],8,FALSE),"-")</f>
        <v>0</v>
      </c>
      <c r="AP1079" s="63">
        <f>IFERROR(VLOOKUP(Table2[[#This Row],[Contraente]],Table1[[Nome/Ragione sociale]:[Checkbox selezionato]],10,FALSE),"-")</f>
        <v>3398401587</v>
      </c>
      <c r="AQ1079" s="63" t="str">
        <f>IFERROR(VLOOKUP(Table2[[#This Row],[Contraente]],Table1[[Nome/Ragione sociale]:[Checkbox selezionato]],11,FALSE),"-")</f>
        <v>SI</v>
      </c>
      <c r="AR1079" s="63" t="str">
        <f>IFERROR(VLOOKUP(Table2[[#This Row],[Contraente]],Table1[[Nome/Ragione sociale]:[Checkbox selezionato]],12,FALSE),"-")</f>
        <v>SI</v>
      </c>
    </row>
    <row r="1080" spans="1:44" ht="30" hidden="1" customHeight="1" x14ac:dyDescent="0.25">
      <c r="A1080" s="60" t="str">
        <f>UPPER(LEFT(Table2[[#This Row],[Contraente]],1))</f>
        <v>T</v>
      </c>
      <c r="B1080" s="60" t="s">
        <v>1634</v>
      </c>
      <c r="C1080" s="84" t="s">
        <v>1040</v>
      </c>
      <c r="D1080" s="81" t="s">
        <v>37</v>
      </c>
      <c r="E1080" s="86">
        <v>105233687</v>
      </c>
      <c r="F1080" s="64">
        <v>42788</v>
      </c>
      <c r="G1080" s="64">
        <f>IFERROR(CALCOLASCADENZA(Table2[[#This Row],[Data attivazione]],Table2[[#This Row],[Rateizzazione]],Table2[[#This Row],[Data ultimo pagamento]],Table2[[#This Row],[Data prossima scadenza manuale]]),"-")</f>
        <v>43123</v>
      </c>
      <c r="H1080" s="67" t="s">
        <v>30</v>
      </c>
      <c r="I1080" s="67" t="s">
        <v>113</v>
      </c>
      <c r="J1080" s="33">
        <f>IFERROR(Table2[[#This Row],[Importo annuale]]/(12/VLOOKUP(Table2[[#This Row],[Rateizzazione]],TIPI_RATEIZZAZIONI,2,FALSE)),"-")</f>
        <v>748</v>
      </c>
      <c r="K1080" s="88">
        <v>748</v>
      </c>
      <c r="L1080" s="88">
        <v>748</v>
      </c>
      <c r="M1080" s="67" t="s">
        <v>44</v>
      </c>
      <c r="N1080" s="67" t="s">
        <v>51</v>
      </c>
      <c r="O1080" s="27" t="s">
        <v>1631</v>
      </c>
      <c r="P1080" s="33" t="s">
        <v>23</v>
      </c>
      <c r="Q1080" s="60">
        <f>IFERROR(IF(12 / VLOOKUP(Table2[[#This Row],[Rateizzazione]],TIPI_RATEIZZAZIONI,2,FALSE) &gt;=1,  IF(Table2[[#This Row],[Data attivazione]] = "","-",MONTH(Table2[[#This Row],[Data attivazione]])),"-"),"-")</f>
        <v>1</v>
      </c>
      <c r="R10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0" s="67" t="s">
        <v>2</v>
      </c>
      <c r="V1080" s="62"/>
      <c r="W1080" s="64">
        <v>42758</v>
      </c>
      <c r="X1080" s="29">
        <f>DATE(YEAR(Table2[[#This Row],[Data attivazione]])+VLOOKUP(Table2[[#This Row],[Durata]],VALORE_DURATA,2,FALSE),MONTH(Table2[[#This Row],[Data attivazione]]),DAY(Table2[[#This Row],[Data attivazione]]))</f>
        <v>43123</v>
      </c>
      <c r="Y1080" s="65"/>
      <c r="Z1080" s="61"/>
      <c r="AA1080" s="64" t="s">
        <v>85</v>
      </c>
      <c r="AB1080" s="29" t="str">
        <f>IF(Table2[[#This Row],[Data ultimo versamento temp]]=0/1/1900,"-",Table2[[#This Row],[Data ultimo versamento temp]])</f>
        <v>-</v>
      </c>
      <c r="AC1080" s="29">
        <f t="array" ref="AC1080">MAX(IF(TableVersamenti[Polizza]=Table2[[#This Row],[Polizza]],TableVersamenti[Data prevista versamento],"-"))</f>
        <v>0</v>
      </c>
      <c r="AD1080" s="62"/>
      <c r="AE1080" s="106">
        <f>DATE(YEAR(Table2[[#This Row],[Data ultimo pagamento]]),MONTH(Table2[[#This Row],[Data ultimo pagamento]]), 1)</f>
        <v>42767</v>
      </c>
      <c r="AF1080" s="106">
        <f>DATE(YEAR(Table2[[#This Row],[Data prossima scadenza]]),MONTH(Table2[[#This Row],[Data prossima scadenza]]), 1)</f>
        <v>43101</v>
      </c>
      <c r="AG1080" s="33">
        <f>IFERROR(Table2[[#This Row],[Importo annuale]]*VLOOKUP(Table2[[#This Row],[Ramo]],RAMI_POLIZZA,2,FALSE),0)</f>
        <v>86.02000000000001</v>
      </c>
      <c r="AH1080" s="65" t="s">
        <v>113</v>
      </c>
      <c r="AI1080" s="63" t="str">
        <f>IFERROR(VLOOKUP(Table2[[#This Row],[Contraente]],Table1[[Nome/Ragione sociale]:[Checkbox selezionato]],2,FALSE),"-")</f>
        <v>COPIANO</v>
      </c>
      <c r="AJ1080" s="63">
        <f>IFERROR(VLOOKUP(Table2[[#This Row],[Contraente]],Table1[[Nome/Ragione sociale]:[Checkbox selezionato]],3,FALSE),"-")</f>
        <v>3381278254</v>
      </c>
      <c r="AK1080" s="63">
        <f>IFERROR(VLOOKUP(Table2[[#This Row],[Contraente]],Table1[[Nome/Ragione sociale]:[Checkbox selezionato]],4,FALSE),"-")</f>
        <v>0</v>
      </c>
      <c r="AL1080" s="63" t="str">
        <f>IFERROR(VLOOKUP(Table2[[#This Row],[Contraente]],Table1[[Nome/Ragione sociale]:[Checkbox selezionato]],5,FALSE),"-")</f>
        <v>VALERIO</v>
      </c>
      <c r="AM1080" s="62" t="str">
        <f>IFERROR(VLOOKUP(Table2[[#This Row],[Contraente]],Table1[[Nome/Ragione sociale]:[Checkbox selezionato]],6,FALSE),"-")</f>
        <v>-</v>
      </c>
      <c r="AN1080" s="63" t="str">
        <f>IFERROR(VLOOKUP(Table2[[#This Row],[Contraente]],Table1[[Nome/Ragione sociale]:[Checkbox selezionato]],7,FALSE),"-")</f>
        <v>papies@libero.it</v>
      </c>
      <c r="AO1080" s="63">
        <f>IFERROR(VLOOKUP(Table2[[#This Row],[Contraente]],Table1[[Nome/Ragione sociale]:[Checkbox selezionato]],8,FALSE),"-")</f>
        <v>0</v>
      </c>
      <c r="AP1080" s="63">
        <f>IFERROR(VLOOKUP(Table2[[#This Row],[Contraente]],Table1[[Nome/Ragione sociale]:[Checkbox selezionato]],10,FALSE),"-")</f>
        <v>3381278254</v>
      </c>
      <c r="AQ1080" s="63" t="str">
        <f>IFERROR(VLOOKUP(Table2[[#This Row],[Contraente]],Table1[[Nome/Ragione sociale]:[Checkbox selezionato]],11,FALSE),"-")</f>
        <v>SI</v>
      </c>
      <c r="AR1080" s="63" t="str">
        <f>IFERROR(VLOOKUP(Table2[[#This Row],[Contraente]],Table1[[Nome/Ragione sociale]:[Checkbox selezionato]],12,FALSE),"-")</f>
        <v>SI</v>
      </c>
    </row>
    <row r="1081" spans="1:44" ht="30" hidden="1" customHeight="1" x14ac:dyDescent="0.25">
      <c r="A1081" s="60" t="str">
        <f>UPPER(LEFT(Table2[[#This Row],[Contraente]],1))</f>
        <v>T</v>
      </c>
      <c r="B1081" s="60" t="s">
        <v>1634</v>
      </c>
      <c r="C1081" s="84" t="s">
        <v>1038</v>
      </c>
      <c r="D1081" s="81" t="s">
        <v>37</v>
      </c>
      <c r="E1081" s="86">
        <v>104075018</v>
      </c>
      <c r="F1081" s="64">
        <v>42404</v>
      </c>
      <c r="G1081" s="64">
        <f>IFERROR(CALCOLASCADENZA(Table2[[#This Row],[Data attivazione]],Table2[[#This Row],[Rateizzazione]],Table2[[#This Row],[Data ultimo pagamento]],Table2[[#This Row],[Data prossima scadenza manuale]]),"-")</f>
        <v>42777</v>
      </c>
      <c r="H1081" s="67" t="s">
        <v>31</v>
      </c>
      <c r="I1081" s="67" t="s">
        <v>113</v>
      </c>
      <c r="J1081" s="33">
        <f>IFERROR(Table2[[#This Row],[Importo annuale]]/(12/VLOOKUP(Table2[[#This Row],[Rateizzazione]],TIPI_RATEIZZAZIONI,2,FALSE)),"-")</f>
        <v>76.650000000000006</v>
      </c>
      <c r="K1081" s="88"/>
      <c r="L1081" s="88">
        <v>76.650000000000006</v>
      </c>
      <c r="M1081" s="67" t="s">
        <v>44</v>
      </c>
      <c r="N1081" s="67" t="s">
        <v>51</v>
      </c>
      <c r="O1081" s="27" t="s">
        <v>1631</v>
      </c>
      <c r="P1081" s="33" t="s">
        <v>23</v>
      </c>
      <c r="Q1081" s="60">
        <f>IFERROR(IF(12 / VLOOKUP(Table2[[#This Row],[Rateizzazione]],TIPI_RATEIZZAZIONI,2,FALSE) &gt;=1,  IF(Table2[[#This Row],[Data attivazione]] = "","-",MONTH(Table2[[#This Row],[Data attivazione]])),"-"),"-")</f>
        <v>2</v>
      </c>
      <c r="R10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1" s="67" t="s">
        <v>2</v>
      </c>
      <c r="V1081" s="62"/>
      <c r="W1081" s="64">
        <v>42411</v>
      </c>
      <c r="X1081" s="29">
        <f>DATE(YEAR(Table2[[#This Row],[Data attivazione]])+VLOOKUP(Table2[[#This Row],[Durata]],VALORE_DURATA,2,FALSE),MONTH(Table2[[#This Row],[Data attivazione]]),DAY(Table2[[#This Row],[Data attivazione]]))</f>
        <v>42777</v>
      </c>
      <c r="Y1081" s="65"/>
      <c r="Z1081" s="61"/>
      <c r="AA1081" s="64" t="s">
        <v>88</v>
      </c>
      <c r="AB1081" s="29" t="str">
        <f>IF(Table2[[#This Row],[Data ultimo versamento temp]]=0/1/1900,"-",Table2[[#This Row],[Data ultimo versamento temp]])</f>
        <v>-</v>
      </c>
      <c r="AC1081" s="29">
        <f t="array" ref="AC1081">MAX(IF(TableVersamenti[Polizza]=Table2[[#This Row],[Polizza]],TableVersamenti[Data prevista versamento],"-"))</f>
        <v>0</v>
      </c>
      <c r="AD1081" s="62"/>
      <c r="AE1081" s="106">
        <f>DATE(YEAR(Table2[[#This Row],[Data ultimo pagamento]]),MONTH(Table2[[#This Row],[Data ultimo pagamento]]), 1)</f>
        <v>42401</v>
      </c>
      <c r="AF1081" s="106">
        <f>DATE(YEAR(Table2[[#This Row],[Data prossima scadenza]]),MONTH(Table2[[#This Row],[Data prossima scadenza]]), 1)</f>
        <v>42767</v>
      </c>
      <c r="AG1081" s="33">
        <f>IFERROR(Table2[[#This Row],[Importo annuale]]*VLOOKUP(Table2[[#This Row],[Ramo]],RAMI_POLIZZA,2,FALSE),0)</f>
        <v>3.9858000000000002</v>
      </c>
      <c r="AH1081" s="65" t="s">
        <v>113</v>
      </c>
      <c r="AI1081" s="63" t="str">
        <f>IFERROR(VLOOKUP(Table2[[#This Row],[Contraente]],Table1[[Nome/Ragione sociale]:[Checkbox selezionato]],2,FALSE),"-")</f>
        <v>CERANOVA</v>
      </c>
      <c r="AJ1081" s="63">
        <f>IFERROR(VLOOKUP(Table2[[#This Row],[Contraente]],Table1[[Nome/Ragione sociale]:[Checkbox selezionato]],3,FALSE),"-")</f>
        <v>3400626447</v>
      </c>
      <c r="AK1081" s="63">
        <f>IFERROR(VLOOKUP(Table2[[#This Row],[Contraente]],Table1[[Nome/Ragione sociale]:[Checkbox selezionato]],4,FALSE),"-")</f>
        <v>0</v>
      </c>
      <c r="AL1081" s="63" t="str">
        <f>IFERROR(VLOOKUP(Table2[[#This Row],[Contraente]],Table1[[Nome/Ragione sociale]:[Checkbox selezionato]],5,FALSE),"-")</f>
        <v>VINCENZO</v>
      </c>
      <c r="AM1081" s="62">
        <f>IFERROR(VLOOKUP(Table2[[#This Row],[Contraente]],Table1[[Nome/Ragione sociale]:[Checkbox selezionato]],6,FALSE),"-")</f>
        <v>19479</v>
      </c>
      <c r="AN1081" s="63" t="str">
        <f>IFERROR(VLOOKUP(Table2[[#This Row],[Contraente]],Table1[[Nome/Ragione sociale]:[Checkbox selezionato]],7,FALSE),"-")</f>
        <v>papies@email.it</v>
      </c>
      <c r="AO1081" s="63">
        <f>IFERROR(VLOOKUP(Table2[[#This Row],[Contraente]],Table1[[Nome/Ragione sociale]:[Checkbox selezionato]],8,FALSE),"-")</f>
        <v>0</v>
      </c>
      <c r="AP1081" s="63">
        <f>IFERROR(VLOOKUP(Table2[[#This Row],[Contraente]],Table1[[Nome/Ragione sociale]:[Checkbox selezionato]],10,FALSE),"-")</f>
        <v>3400626447</v>
      </c>
      <c r="AQ1081" s="63" t="str">
        <f>IFERROR(VLOOKUP(Table2[[#This Row],[Contraente]],Table1[[Nome/Ragione sociale]:[Checkbox selezionato]],11,FALSE),"-")</f>
        <v>SI</v>
      </c>
      <c r="AR1081" s="63" t="str">
        <f>IFERROR(VLOOKUP(Table2[[#This Row],[Contraente]],Table1[[Nome/Ragione sociale]:[Checkbox selezionato]],12,FALSE),"-")</f>
        <v>SI</v>
      </c>
    </row>
    <row r="1082" spans="1:44" ht="30" hidden="1" customHeight="1" x14ac:dyDescent="0.25">
      <c r="A1082" s="60" t="str">
        <f>UPPER(LEFT(Table2[[#This Row],[Contraente]],1))</f>
        <v>T</v>
      </c>
      <c r="B1082" s="60" t="s">
        <v>1634</v>
      </c>
      <c r="C1082" s="84" t="s">
        <v>1038</v>
      </c>
      <c r="D1082" s="81" t="s">
        <v>37</v>
      </c>
      <c r="E1082" s="86">
        <v>104074880</v>
      </c>
      <c r="F1082" s="64">
        <v>42404</v>
      </c>
      <c r="G1082" s="64">
        <f>IFERROR(CALCOLASCADENZA(Table2[[#This Row],[Data attivazione]],Table2[[#This Row],[Rateizzazione]],Table2[[#This Row],[Data ultimo pagamento]],Table2[[#This Row],[Data prossima scadenza manuale]]),"-")</f>
        <v>42777</v>
      </c>
      <c r="H1082" s="67" t="s">
        <v>31</v>
      </c>
      <c r="I1082" s="67" t="s">
        <v>113</v>
      </c>
      <c r="J1082" s="33">
        <f>IFERROR(Table2[[#This Row],[Importo annuale]]/(12/VLOOKUP(Table2[[#This Row],[Rateizzazione]],TIPI_RATEIZZAZIONI,2,FALSE)),"-")</f>
        <v>62.57</v>
      </c>
      <c r="K1082" s="88"/>
      <c r="L1082" s="88">
        <v>62.57</v>
      </c>
      <c r="M1082" s="67" t="s">
        <v>44</v>
      </c>
      <c r="N1082" s="67" t="s">
        <v>51</v>
      </c>
      <c r="O1082" s="27" t="s">
        <v>1631</v>
      </c>
      <c r="P1082" s="33" t="s">
        <v>23</v>
      </c>
      <c r="Q1082" s="60">
        <f>IFERROR(IF(12 / VLOOKUP(Table2[[#This Row],[Rateizzazione]],TIPI_RATEIZZAZIONI,2,FALSE) &gt;=1,  IF(Table2[[#This Row],[Data attivazione]] = "","-",MONTH(Table2[[#This Row],[Data attivazione]])),"-"),"-")</f>
        <v>2</v>
      </c>
      <c r="R10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2" s="67" t="s">
        <v>2</v>
      </c>
      <c r="V1082" s="62"/>
      <c r="W1082" s="64">
        <v>42411</v>
      </c>
      <c r="X1082" s="29">
        <f>DATE(YEAR(Table2[[#This Row],[Data attivazione]])+VLOOKUP(Table2[[#This Row],[Durata]],VALORE_DURATA,2,FALSE),MONTH(Table2[[#This Row],[Data attivazione]]),DAY(Table2[[#This Row],[Data attivazione]]))</f>
        <v>42777</v>
      </c>
      <c r="Y1082" s="65"/>
      <c r="Z1082" s="61"/>
      <c r="AA1082" s="64" t="s">
        <v>88</v>
      </c>
      <c r="AB1082" s="29" t="str">
        <f>IF(Table2[[#This Row],[Data ultimo versamento temp]]=0/1/1900,"-",Table2[[#This Row],[Data ultimo versamento temp]])</f>
        <v>-</v>
      </c>
      <c r="AC1082" s="29">
        <f t="array" ref="AC1082">MAX(IF(TableVersamenti[Polizza]=Table2[[#This Row],[Polizza]],TableVersamenti[Data prevista versamento],"-"))</f>
        <v>0</v>
      </c>
      <c r="AD1082" s="62"/>
      <c r="AE1082" s="106">
        <f>DATE(YEAR(Table2[[#This Row],[Data ultimo pagamento]]),MONTH(Table2[[#This Row],[Data ultimo pagamento]]), 1)</f>
        <v>42401</v>
      </c>
      <c r="AF1082" s="106">
        <f>DATE(YEAR(Table2[[#This Row],[Data prossima scadenza]]),MONTH(Table2[[#This Row],[Data prossima scadenza]]), 1)</f>
        <v>42767</v>
      </c>
      <c r="AG1082" s="33">
        <f>IFERROR(Table2[[#This Row],[Importo annuale]]*VLOOKUP(Table2[[#This Row],[Ramo]],RAMI_POLIZZA,2,FALSE),0)</f>
        <v>3.2536399999999999</v>
      </c>
      <c r="AH1082" s="65" t="s">
        <v>113</v>
      </c>
      <c r="AI1082" s="63" t="str">
        <f>IFERROR(VLOOKUP(Table2[[#This Row],[Contraente]],Table1[[Nome/Ragione sociale]:[Checkbox selezionato]],2,FALSE),"-")</f>
        <v>CERANOVA</v>
      </c>
      <c r="AJ1082" s="63">
        <f>IFERROR(VLOOKUP(Table2[[#This Row],[Contraente]],Table1[[Nome/Ragione sociale]:[Checkbox selezionato]],3,FALSE),"-")</f>
        <v>3400626447</v>
      </c>
      <c r="AK1082" s="63">
        <f>IFERROR(VLOOKUP(Table2[[#This Row],[Contraente]],Table1[[Nome/Ragione sociale]:[Checkbox selezionato]],4,FALSE),"-")</f>
        <v>0</v>
      </c>
      <c r="AL1082" s="63" t="str">
        <f>IFERROR(VLOOKUP(Table2[[#This Row],[Contraente]],Table1[[Nome/Ragione sociale]:[Checkbox selezionato]],5,FALSE),"-")</f>
        <v>VINCENZO</v>
      </c>
      <c r="AM1082" s="62">
        <f>IFERROR(VLOOKUP(Table2[[#This Row],[Contraente]],Table1[[Nome/Ragione sociale]:[Checkbox selezionato]],6,FALSE),"-")</f>
        <v>19479</v>
      </c>
      <c r="AN1082" s="63" t="str">
        <f>IFERROR(VLOOKUP(Table2[[#This Row],[Contraente]],Table1[[Nome/Ragione sociale]:[Checkbox selezionato]],7,FALSE),"-")</f>
        <v>papies@email.it</v>
      </c>
      <c r="AO1082" s="63">
        <f>IFERROR(VLOOKUP(Table2[[#This Row],[Contraente]],Table1[[Nome/Ragione sociale]:[Checkbox selezionato]],8,FALSE),"-")</f>
        <v>0</v>
      </c>
      <c r="AP1082" s="63">
        <f>IFERROR(VLOOKUP(Table2[[#This Row],[Contraente]],Table1[[Nome/Ragione sociale]:[Checkbox selezionato]],10,FALSE),"-")</f>
        <v>3400626447</v>
      </c>
      <c r="AQ1082" s="63" t="str">
        <f>IFERROR(VLOOKUP(Table2[[#This Row],[Contraente]],Table1[[Nome/Ragione sociale]:[Checkbox selezionato]],11,FALSE),"-")</f>
        <v>SI</v>
      </c>
      <c r="AR1082" s="63" t="str">
        <f>IFERROR(VLOOKUP(Table2[[#This Row],[Contraente]],Table1[[Nome/Ragione sociale]:[Checkbox selezionato]],12,FALSE),"-")</f>
        <v>SI</v>
      </c>
    </row>
    <row r="1083" spans="1:44" ht="30" hidden="1" customHeight="1" x14ac:dyDescent="0.25">
      <c r="A1083" s="60" t="str">
        <f>UPPER(LEFT(Table2[[#This Row],[Contraente]],1))</f>
        <v>U</v>
      </c>
      <c r="B1083" s="60" t="s">
        <v>1634</v>
      </c>
      <c r="C1083" s="84" t="s">
        <v>1053</v>
      </c>
      <c r="D1083" s="81" t="s">
        <v>37</v>
      </c>
      <c r="E1083" s="86">
        <v>103375886</v>
      </c>
      <c r="F1083" s="64"/>
      <c r="G1083" s="64">
        <f>IFERROR(CALCOLASCADENZA(Table2[[#This Row],[Data attivazione]],Table2[[#This Row],[Rateizzazione]],Table2[[#This Row],[Data ultimo pagamento]],Table2[[#This Row],[Data prossima scadenza manuale]]),"-")</f>
        <v>0</v>
      </c>
      <c r="H1083" s="67" t="s">
        <v>31</v>
      </c>
      <c r="I1083" s="67"/>
      <c r="J1083" s="33">
        <v>0</v>
      </c>
      <c r="K1083" s="88"/>
      <c r="L1083" s="88">
        <v>0</v>
      </c>
      <c r="M1083" s="67" t="s">
        <v>43</v>
      </c>
      <c r="N1083" s="67" t="s">
        <v>52</v>
      </c>
      <c r="O1083" s="27" t="s">
        <v>1631</v>
      </c>
      <c r="P1083" s="33" t="s">
        <v>24</v>
      </c>
      <c r="Q108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3" s="67" t="s">
        <v>2</v>
      </c>
      <c r="V1083" s="62"/>
      <c r="W1083" s="64">
        <v>693597</v>
      </c>
      <c r="X1083" s="29">
        <f>DATE(YEAR(Table2[[#This Row],[Data attivazione]])+VLOOKUP(Table2[[#This Row],[Durata]],VALORE_DURATA,2,FALSE),MONTH(Table2[[#This Row],[Data attivazione]]),DAY(Table2[[#This Row],[Data attivazione]]))</f>
        <v>693962</v>
      </c>
      <c r="Y1083" s="65"/>
      <c r="Z1083" s="61"/>
      <c r="AA1083" s="64" t="s">
        <v>88</v>
      </c>
      <c r="AB1083" s="29" t="str">
        <f>IF(Table2[[#This Row],[Data ultimo versamento temp]]=0/1/1900,"-",Table2[[#This Row],[Data ultimo versamento temp]])</f>
        <v>-</v>
      </c>
      <c r="AC1083" s="29">
        <f t="array" ref="AC1083">MAX(IF(TableVersamenti[Polizza]=Table2[[#This Row],[Polizza]],TableVersamenti[Data prevista versamento],"-"))</f>
        <v>0</v>
      </c>
      <c r="AD1083" s="62"/>
      <c r="AE1083" s="106">
        <f>DATE(YEAR(Table2[[#This Row],[Data ultimo pagamento]]),MONTH(Table2[[#This Row],[Data ultimo pagamento]]), 1)</f>
        <v>1</v>
      </c>
      <c r="AF1083" s="106">
        <f>DATE(YEAR(Table2[[#This Row],[Data prossima scadenza]]),MONTH(Table2[[#This Row],[Data prossima scadenza]]), 1)</f>
        <v>1</v>
      </c>
      <c r="AG1083" s="33">
        <f>IFERROR(Table2[[#This Row],[Importo annuale]]*VLOOKUP(Table2[[#This Row],[Ramo]],RAMI_POLIZZA,2,FALSE),0)</f>
        <v>0</v>
      </c>
      <c r="AH1083" s="65" t="s">
        <v>113</v>
      </c>
      <c r="AI1083" s="63" t="str">
        <f>IFERROR(VLOOKUP(Table2[[#This Row],[Contraente]],Table1[[Nome/Ragione sociale]:[Checkbox selezionato]],2,FALSE),"-")</f>
        <v>CASTEGGIO</v>
      </c>
      <c r="AJ1083" s="63">
        <f>IFERROR(VLOOKUP(Table2[[#This Row],[Contraente]],Table1[[Nome/Ragione sociale]:[Checkbox selezionato]],3,FALSE),"-")</f>
        <v>0</v>
      </c>
      <c r="AK1083" s="63">
        <f>IFERROR(VLOOKUP(Table2[[#This Row],[Contraente]],Table1[[Nome/Ragione sociale]:[Checkbox selezionato]],4,FALSE),"-")</f>
        <v>0</v>
      </c>
      <c r="AL1083" s="63">
        <f>IFERROR(VLOOKUP(Table2[[#This Row],[Contraente]],Table1[[Nome/Ragione sociale]:[Checkbox selezionato]],5,FALSE),"-")</f>
        <v>0</v>
      </c>
      <c r="AM1083" s="62">
        <f>IFERROR(VLOOKUP(Table2[[#This Row],[Contraente]],Table1[[Nome/Ragione sociale]:[Checkbox selezionato]],6,FALSE),"-")</f>
        <v>20711</v>
      </c>
      <c r="AN1083" s="63" t="str">
        <f>IFERROR(VLOOKUP(Table2[[#This Row],[Contraente]],Table1[[Nome/Ragione sociale]:[Checkbox selezionato]],7,FALSE),"-")</f>
        <v>papies@libero.it</v>
      </c>
      <c r="AO1083" s="63">
        <f>IFERROR(VLOOKUP(Table2[[#This Row],[Contraente]],Table1[[Nome/Ragione sociale]:[Checkbox selezionato]],8,FALSE),"-")</f>
        <v>0</v>
      </c>
      <c r="AP1083" s="63">
        <f>IFERROR(VLOOKUP(Table2[[#This Row],[Contraente]],Table1[[Nome/Ragione sociale]:[Checkbox selezionato]],10,FALSE),"-")</f>
        <v>0</v>
      </c>
      <c r="AQ1083" s="63" t="str">
        <f>IFERROR(VLOOKUP(Table2[[#This Row],[Contraente]],Table1[[Nome/Ragione sociale]:[Checkbox selezionato]],11,FALSE),"-")</f>
        <v>SI</v>
      </c>
      <c r="AR1083" s="63" t="str">
        <f>IFERROR(VLOOKUP(Table2[[#This Row],[Contraente]],Table1[[Nome/Ragione sociale]:[Checkbox selezionato]],12,FALSE),"-")</f>
        <v>SI</v>
      </c>
    </row>
    <row r="1084" spans="1:44" ht="30" hidden="1" customHeight="1" x14ac:dyDescent="0.25">
      <c r="A1084" s="60" t="str">
        <f>UPPER(LEFT(Table2[[#This Row],[Contraente]],1))</f>
        <v>V</v>
      </c>
      <c r="B1084" s="60" t="s">
        <v>1634</v>
      </c>
      <c r="C1084" s="84" t="s">
        <v>199</v>
      </c>
      <c r="D1084" s="81" t="s">
        <v>37</v>
      </c>
      <c r="E1084" s="86">
        <v>106370102</v>
      </c>
      <c r="F1084" s="64">
        <v>42912</v>
      </c>
      <c r="G1084" s="64">
        <f>IFERROR(CALCOLASCADENZA(Table2[[#This Row],[Data attivazione]],Table2[[#This Row],[Rateizzazione]],Table2[[#This Row],[Data ultimo pagamento]],Table2[[#This Row],[Data prossima scadenza manuale]]),"-")</f>
        <v>43097</v>
      </c>
      <c r="H1084" s="67" t="s">
        <v>30</v>
      </c>
      <c r="I1084" s="67" t="s">
        <v>113</v>
      </c>
      <c r="J1084" s="33">
        <f>IFERROR(Table2[[#This Row],[Importo annuale]]/(12/VLOOKUP(Table2[[#This Row],[Rateizzazione]],TIPI_RATEIZZAZIONI,2,FALSE)),"-")</f>
        <v>420</v>
      </c>
      <c r="K1084" s="88">
        <v>420</v>
      </c>
      <c r="L1084" s="88">
        <v>840</v>
      </c>
      <c r="M1084" s="67" t="s">
        <v>45</v>
      </c>
      <c r="N1084" s="67" t="s">
        <v>52</v>
      </c>
      <c r="O1084" s="27" t="s">
        <v>1631</v>
      </c>
      <c r="P1084" s="33" t="s">
        <v>22</v>
      </c>
      <c r="Q1084" s="60">
        <f>IFERROR(IF(12 / VLOOKUP(Table2[[#This Row],[Rateizzazione]],TIPI_RATEIZZAZIONI,2,FALSE) &gt;=1,  IF(Table2[[#This Row],[Data attivazione]] = "","-",MONTH(Table2[[#This Row],[Data attivazione]])),"-"),"-")</f>
        <v>12</v>
      </c>
      <c r="R10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4" s="67" t="s">
        <v>2</v>
      </c>
      <c r="V1084" s="62"/>
      <c r="W1084" s="64">
        <v>42732</v>
      </c>
      <c r="X1084" s="29">
        <f>DATE(YEAR(Table2[[#This Row],[Data attivazione]])+VLOOKUP(Table2[[#This Row],[Durata]],VALORE_DURATA,2,FALSE),MONTH(Table2[[#This Row],[Data attivazione]]),DAY(Table2[[#This Row],[Data attivazione]]))</f>
        <v>43097</v>
      </c>
      <c r="Y1084" s="65"/>
      <c r="Z1084" s="61"/>
      <c r="AA1084" s="64" t="s">
        <v>85</v>
      </c>
      <c r="AB1084" s="29" t="str">
        <f>IF(Table2[[#This Row],[Data ultimo versamento temp]]=0/1/1900,"-",Table2[[#This Row],[Data ultimo versamento temp]])</f>
        <v>-</v>
      </c>
      <c r="AC1084" s="29">
        <f t="array" ref="AC1084">MAX(IF(TableVersamenti[Polizza]=Table2[[#This Row],[Polizza]],TableVersamenti[Data prevista versamento],"-"))</f>
        <v>0</v>
      </c>
      <c r="AD1084" s="62"/>
      <c r="AE1084" s="106">
        <f>DATE(YEAR(Table2[[#This Row],[Data ultimo pagamento]]),MONTH(Table2[[#This Row],[Data ultimo pagamento]]), 1)</f>
        <v>42887</v>
      </c>
      <c r="AF1084" s="106">
        <f>DATE(YEAR(Table2[[#This Row],[Data prossima scadenza]]),MONTH(Table2[[#This Row],[Data prossima scadenza]]), 1)</f>
        <v>43070</v>
      </c>
      <c r="AG1084" s="33">
        <f>IFERROR(Table2[[#This Row],[Importo annuale]]*VLOOKUP(Table2[[#This Row],[Ramo]],RAMI_POLIZZA,2,FALSE),0)</f>
        <v>96.600000000000009</v>
      </c>
      <c r="AH1084" s="65" t="s">
        <v>113</v>
      </c>
      <c r="AI1084" s="63" t="str">
        <f>IFERROR(VLOOKUP(Table2[[#This Row],[Contraente]],Table1[[Nome/Ragione sociale]:[Checkbox selezionato]],2,FALSE),"-")</f>
        <v>BELGIOIOSO</v>
      </c>
      <c r="AJ1084" s="63">
        <f>IFERROR(VLOOKUP(Table2[[#This Row],[Contraente]],Table1[[Nome/Ragione sociale]:[Checkbox selezionato]],3,FALSE),"-")</f>
        <v>3287956453</v>
      </c>
      <c r="AK1084" s="63">
        <f>IFERROR(VLOOKUP(Table2[[#This Row],[Contraente]],Table1[[Nome/Ragione sociale]:[Checkbox selezionato]],4,FALSE),"-")</f>
        <v>0</v>
      </c>
      <c r="AL1084" s="63" t="str">
        <f>IFERROR(VLOOKUP(Table2[[#This Row],[Contraente]],Table1[[Nome/Ragione sociale]:[Checkbox selezionato]],5,FALSE),"-")</f>
        <v>SABINA</v>
      </c>
      <c r="AM1084" s="62" t="str">
        <f>IFERROR(VLOOKUP(Table2[[#This Row],[Contraente]],Table1[[Nome/Ragione sociale]:[Checkbox selezionato]],6,FALSE),"-")</f>
        <v>-</v>
      </c>
      <c r="AN1084" s="63" t="str">
        <f>IFERROR(VLOOKUP(Table2[[#This Row],[Contraente]],Table1[[Nome/Ragione sociale]:[Checkbox selezionato]],7,FALSE),"-")</f>
        <v>papies@libero.it</v>
      </c>
      <c r="AO1084" s="63">
        <f>IFERROR(VLOOKUP(Table2[[#This Row],[Contraente]],Table1[[Nome/Ragione sociale]:[Checkbox selezionato]],8,FALSE),"-")</f>
        <v>0</v>
      </c>
      <c r="AP1084" s="63">
        <f>IFERROR(VLOOKUP(Table2[[#This Row],[Contraente]],Table1[[Nome/Ragione sociale]:[Checkbox selezionato]],10,FALSE),"-")</f>
        <v>3287956453</v>
      </c>
      <c r="AQ1084" s="63" t="str">
        <f>IFERROR(VLOOKUP(Table2[[#This Row],[Contraente]],Table1[[Nome/Ragione sociale]:[Checkbox selezionato]],11,FALSE),"-")</f>
        <v>SI</v>
      </c>
      <c r="AR1084" s="63" t="str">
        <f>IFERROR(VLOOKUP(Table2[[#This Row],[Contraente]],Table1[[Nome/Ragione sociale]:[Checkbox selezionato]],12,FALSE),"-")</f>
        <v>SI</v>
      </c>
    </row>
    <row r="1085" spans="1:44" ht="30" hidden="1" customHeight="1" x14ac:dyDescent="0.25">
      <c r="A1085" s="60" t="str">
        <f>UPPER(LEFT(Table2[[#This Row],[Contraente]],1))</f>
        <v>V</v>
      </c>
      <c r="B1085" s="60" t="s">
        <v>1634</v>
      </c>
      <c r="C1085" s="84" t="s">
        <v>199</v>
      </c>
      <c r="D1085" s="81" t="s">
        <v>37</v>
      </c>
      <c r="E1085" s="86">
        <v>105750517</v>
      </c>
      <c r="F1085" s="64">
        <v>42912</v>
      </c>
      <c r="G1085" s="64">
        <f>IFERROR(CALCOLASCADENZA(Table2[[#This Row],[Data attivazione]],Table2[[#This Row],[Rateizzazione]],Table2[[#This Row],[Data ultimo pagamento]],Table2[[#This Row],[Data prossima scadenza manuale]]),"-")</f>
        <v>42989</v>
      </c>
      <c r="H1085" s="67" t="s">
        <v>31</v>
      </c>
      <c r="I1085" s="67" t="s">
        <v>1598</v>
      </c>
      <c r="J1085" s="33">
        <f>IFERROR(Table2[[#This Row],[Importo annuale]]/(12/VLOOKUP(Table2[[#This Row],[Rateizzazione]],TIPI_RATEIZZAZIONI,2,FALSE)),"-")</f>
        <v>137</v>
      </c>
      <c r="K1085" s="88">
        <v>266</v>
      </c>
      <c r="L1085" s="88">
        <v>548</v>
      </c>
      <c r="M1085" s="67" t="s">
        <v>45</v>
      </c>
      <c r="N1085" s="67" t="s">
        <v>51</v>
      </c>
      <c r="O1085" s="27" t="s">
        <v>1631</v>
      </c>
      <c r="P1085" s="33" t="s">
        <v>20</v>
      </c>
      <c r="Q1085" s="60">
        <f>IFERROR(IF(12 / VLOOKUP(Table2[[#This Row],[Rateizzazione]],TIPI_RATEIZZAZIONI,2,FALSE) &gt;=1,  IF(Table2[[#This Row],[Data attivazione]] = "","-",MONTH(Table2[[#This Row],[Data attivazione]])),"-"),"-")</f>
        <v>9</v>
      </c>
      <c r="R10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8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1085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1085" s="67" t="s">
        <v>2</v>
      </c>
      <c r="V1085" s="62"/>
      <c r="W1085" s="64">
        <v>42624</v>
      </c>
      <c r="X1085" s="29">
        <f>DATE(YEAR(Table2[[#This Row],[Data attivazione]])+VLOOKUP(Table2[[#This Row],[Durata]],VALORE_DURATA,2,FALSE),MONTH(Table2[[#This Row],[Data attivazione]]),DAY(Table2[[#This Row],[Data attivazione]]))</f>
        <v>42989</v>
      </c>
      <c r="Y1085" s="65"/>
      <c r="Z1085" s="61"/>
      <c r="AA1085" s="64" t="s">
        <v>85</v>
      </c>
      <c r="AB1085" s="29" t="str">
        <f>IF(Table2[[#This Row],[Data ultimo versamento temp]]=0/1/1900,"-",Table2[[#This Row],[Data ultimo versamento temp]])</f>
        <v>-</v>
      </c>
      <c r="AC1085" s="29">
        <f t="array" ref="AC1085">MAX(IF(TableVersamenti[Polizza]=Table2[[#This Row],[Polizza]],TableVersamenti[Data prevista versamento],"-"))</f>
        <v>0</v>
      </c>
      <c r="AD1085" s="62"/>
      <c r="AE1085" s="106">
        <f>DATE(YEAR(Table2[[#This Row],[Data ultimo pagamento]]),MONTH(Table2[[#This Row],[Data ultimo pagamento]]), 1)</f>
        <v>42887</v>
      </c>
      <c r="AF1085" s="106">
        <f>DATE(YEAR(Table2[[#This Row],[Data prossima scadenza]]),MONTH(Table2[[#This Row],[Data prossima scadenza]]), 1)</f>
        <v>42979</v>
      </c>
      <c r="AG1085" s="33">
        <f>IFERROR(Table2[[#This Row],[Importo annuale]]*VLOOKUP(Table2[[#This Row],[Ramo]],RAMI_POLIZZA,2,FALSE),0)</f>
        <v>28.495999999999999</v>
      </c>
      <c r="AH1085" s="65" t="s">
        <v>113</v>
      </c>
      <c r="AI1085" s="63" t="str">
        <f>IFERROR(VLOOKUP(Table2[[#This Row],[Contraente]],Table1[[Nome/Ragione sociale]:[Checkbox selezionato]],2,FALSE),"-")</f>
        <v>BELGIOIOSO</v>
      </c>
      <c r="AJ1085" s="63">
        <f>IFERROR(VLOOKUP(Table2[[#This Row],[Contraente]],Table1[[Nome/Ragione sociale]:[Checkbox selezionato]],3,FALSE),"-")</f>
        <v>3287956453</v>
      </c>
      <c r="AK1085" s="63">
        <f>IFERROR(VLOOKUP(Table2[[#This Row],[Contraente]],Table1[[Nome/Ragione sociale]:[Checkbox selezionato]],4,FALSE),"-")</f>
        <v>0</v>
      </c>
      <c r="AL1085" s="63" t="str">
        <f>IFERROR(VLOOKUP(Table2[[#This Row],[Contraente]],Table1[[Nome/Ragione sociale]:[Checkbox selezionato]],5,FALSE),"-")</f>
        <v>SABINA</v>
      </c>
      <c r="AM1085" s="62" t="str">
        <f>IFERROR(VLOOKUP(Table2[[#This Row],[Contraente]],Table1[[Nome/Ragione sociale]:[Checkbox selezionato]],6,FALSE),"-")</f>
        <v>-</v>
      </c>
      <c r="AN1085" s="63" t="str">
        <f>IFERROR(VLOOKUP(Table2[[#This Row],[Contraente]],Table1[[Nome/Ragione sociale]:[Checkbox selezionato]],7,FALSE),"-")</f>
        <v>papies@libero.it</v>
      </c>
      <c r="AO1085" s="63">
        <f>IFERROR(VLOOKUP(Table2[[#This Row],[Contraente]],Table1[[Nome/Ragione sociale]:[Checkbox selezionato]],8,FALSE),"-")</f>
        <v>0</v>
      </c>
      <c r="AP1085" s="63">
        <f>IFERROR(VLOOKUP(Table2[[#This Row],[Contraente]],Table1[[Nome/Ragione sociale]:[Checkbox selezionato]],10,FALSE),"-")</f>
        <v>3287956453</v>
      </c>
      <c r="AQ1085" s="63" t="str">
        <f>IFERROR(VLOOKUP(Table2[[#This Row],[Contraente]],Table1[[Nome/Ragione sociale]:[Checkbox selezionato]],11,FALSE),"-")</f>
        <v>SI</v>
      </c>
      <c r="AR1085" s="63" t="str">
        <f>IFERROR(VLOOKUP(Table2[[#This Row],[Contraente]],Table1[[Nome/Ragione sociale]:[Checkbox selezionato]],12,FALSE),"-")</f>
        <v>SI</v>
      </c>
    </row>
    <row r="1086" spans="1:44" ht="30" hidden="1" customHeight="1" x14ac:dyDescent="0.25">
      <c r="A1086" s="60" t="str">
        <f>UPPER(LEFT(Table2[[#This Row],[Contraente]],1))</f>
        <v>V</v>
      </c>
      <c r="B1086" s="60" t="s">
        <v>1634</v>
      </c>
      <c r="C1086" s="84" t="s">
        <v>1057</v>
      </c>
      <c r="D1086" s="81" t="s">
        <v>37</v>
      </c>
      <c r="E1086" s="86">
        <v>104117771</v>
      </c>
      <c r="F1086" s="64">
        <v>42793</v>
      </c>
      <c r="G1086" s="64">
        <f>IFERROR(CALCOLASCADENZA(Table2[[#This Row],[Data attivazione]],Table2[[#This Row],[Rateizzazione]],Table2[[#This Row],[Data ultimo pagamento]],Table2[[#This Row],[Data prossima scadenza manuale]]),"-")</f>
        <v>43156</v>
      </c>
      <c r="H1086" s="67" t="s">
        <v>30</v>
      </c>
      <c r="I1086" s="67" t="s">
        <v>113</v>
      </c>
      <c r="J1086" s="33">
        <f>IFERROR(Table2[[#This Row],[Importo annuale]]/(12/VLOOKUP(Table2[[#This Row],[Rateizzazione]],TIPI_RATEIZZAZIONI,2,FALSE)),"-")</f>
        <v>61</v>
      </c>
      <c r="K1086" s="88">
        <v>61</v>
      </c>
      <c r="L1086" s="88">
        <v>61</v>
      </c>
      <c r="M1086" s="67" t="s">
        <v>45</v>
      </c>
      <c r="N1086" s="67" t="s">
        <v>51</v>
      </c>
      <c r="O1086" s="27" t="s">
        <v>1631</v>
      </c>
      <c r="P1086" s="33" t="s">
        <v>23</v>
      </c>
      <c r="Q1086" s="60">
        <f>IFERROR(IF(12 / VLOOKUP(Table2[[#This Row],[Rateizzazione]],TIPI_RATEIZZAZIONI,2,FALSE) &gt;=1,  IF(Table2[[#This Row],[Data attivazione]] = "","-",MONTH(Table2[[#This Row],[Data attivazione]])),"-"),"-")</f>
        <v>2</v>
      </c>
      <c r="R10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6" s="67" t="s">
        <v>2</v>
      </c>
      <c r="V1086" s="62"/>
      <c r="W1086" s="64">
        <v>42791</v>
      </c>
      <c r="X1086" s="29">
        <f>DATE(YEAR(Table2[[#This Row],[Data attivazione]])+VLOOKUP(Table2[[#This Row],[Durata]],VALORE_DURATA,2,FALSE),MONTH(Table2[[#This Row],[Data attivazione]]),DAY(Table2[[#This Row],[Data attivazione]]))</f>
        <v>43156</v>
      </c>
      <c r="Y1086" s="65"/>
      <c r="Z1086" s="61"/>
      <c r="AA1086" s="64" t="s">
        <v>85</v>
      </c>
      <c r="AB1086" s="29" t="str">
        <f>IF(Table2[[#This Row],[Data ultimo versamento temp]]=0/1/1900,"-",Table2[[#This Row],[Data ultimo versamento temp]])</f>
        <v>-</v>
      </c>
      <c r="AC1086" s="29">
        <f t="array" ref="AC1086">MAX(IF(TableVersamenti[Polizza]=Table2[[#This Row],[Polizza]],TableVersamenti[Data prevista versamento],"-"))</f>
        <v>0</v>
      </c>
      <c r="AD1086" s="62"/>
      <c r="AE1086" s="106">
        <f>DATE(YEAR(Table2[[#This Row],[Data ultimo pagamento]]),MONTH(Table2[[#This Row],[Data ultimo pagamento]]), 1)</f>
        <v>42767</v>
      </c>
      <c r="AF1086" s="106">
        <f>DATE(YEAR(Table2[[#This Row],[Data prossima scadenza]]),MONTH(Table2[[#This Row],[Data prossima scadenza]]), 1)</f>
        <v>43132</v>
      </c>
      <c r="AG1086" s="33">
        <f>IFERROR(Table2[[#This Row],[Importo annuale]]*VLOOKUP(Table2[[#This Row],[Ramo]],RAMI_POLIZZA,2,FALSE),0)</f>
        <v>7.0150000000000006</v>
      </c>
      <c r="AH1086" s="65" t="s">
        <v>113</v>
      </c>
      <c r="AI1086" s="63" t="str">
        <f>IFERROR(VLOOKUP(Table2[[#This Row],[Contraente]],Table1[[Nome/Ragione sociale]:[Checkbox selezionato]],2,FALSE),"-")</f>
        <v>PAVIA</v>
      </c>
      <c r="AJ1086" s="63">
        <f>IFERROR(VLOOKUP(Table2[[#This Row],[Contraente]],Table1[[Nome/Ragione sociale]:[Checkbox selezionato]],3,FALSE),"-")</f>
        <v>3478950050</v>
      </c>
      <c r="AK1086" s="63">
        <f>IFERROR(VLOOKUP(Table2[[#This Row],[Contraente]],Table1[[Nome/Ragione sociale]:[Checkbox selezionato]],4,FALSE),"-")</f>
        <v>0</v>
      </c>
      <c r="AL1086" s="63" t="str">
        <f>IFERROR(VLOOKUP(Table2[[#This Row],[Contraente]],Table1[[Nome/Ragione sociale]:[Checkbox selezionato]],5,FALSE),"-")</f>
        <v>RUGGERO</v>
      </c>
      <c r="AM1086" s="62">
        <f>IFERROR(VLOOKUP(Table2[[#This Row],[Contraente]],Table1[[Nome/Ragione sociale]:[Checkbox selezionato]],6,FALSE),"-")</f>
        <v>28819</v>
      </c>
      <c r="AN1086" s="63" t="str">
        <f>IFERROR(VLOOKUP(Table2[[#This Row],[Contraente]],Table1[[Nome/Ragione sociale]:[Checkbox selezionato]],7,FALSE),"-")</f>
        <v>papies@email.it</v>
      </c>
      <c r="AO1086" s="63">
        <f>IFERROR(VLOOKUP(Table2[[#This Row],[Contraente]],Table1[[Nome/Ragione sociale]:[Checkbox selezionato]],8,FALSE),"-")</f>
        <v>0</v>
      </c>
      <c r="AP1086" s="63">
        <f>IFERROR(VLOOKUP(Table2[[#This Row],[Contraente]],Table1[[Nome/Ragione sociale]:[Checkbox selezionato]],10,FALSE),"-")</f>
        <v>3478950050</v>
      </c>
      <c r="AQ1086" s="63" t="str">
        <f>IFERROR(VLOOKUP(Table2[[#This Row],[Contraente]],Table1[[Nome/Ragione sociale]:[Checkbox selezionato]],11,FALSE),"-")</f>
        <v>SI</v>
      </c>
      <c r="AR1086" s="63" t="str">
        <f>IFERROR(VLOOKUP(Table2[[#This Row],[Contraente]],Table1[[Nome/Ragione sociale]:[Checkbox selezionato]],12,FALSE),"-")</f>
        <v>SI</v>
      </c>
    </row>
    <row r="1087" spans="1:44" ht="30" hidden="1" customHeight="1" x14ac:dyDescent="0.25">
      <c r="A1087" s="60" t="str">
        <f>UPPER(LEFT(Table2[[#This Row],[Contraente]],1))</f>
        <v>V</v>
      </c>
      <c r="B1087" s="60" t="s">
        <v>1634</v>
      </c>
      <c r="C1087" s="84" t="s">
        <v>229</v>
      </c>
      <c r="D1087" s="81" t="s">
        <v>37</v>
      </c>
      <c r="E1087" s="86">
        <v>101634102</v>
      </c>
      <c r="F1087" s="64">
        <v>42852</v>
      </c>
      <c r="G1087" s="64">
        <f>IFERROR(CALCOLASCADENZA(Table2[[#This Row],[Data attivazione]],Table2[[#This Row],[Rateizzazione]],Table2[[#This Row],[Data ultimo pagamento]],Table2[[#This Row],[Data prossima scadenza manuale]]),"-")</f>
        <v>43216</v>
      </c>
      <c r="H1087" s="67" t="s">
        <v>1628</v>
      </c>
      <c r="I1087" s="67" t="s">
        <v>113</v>
      </c>
      <c r="J1087" s="33">
        <f>IFERROR(Table2[[#This Row],[Importo annuale]]/(12/VLOOKUP(Table2[[#This Row],[Rateizzazione]],TIPI_RATEIZZAZIONI,2,FALSE)),"-")</f>
        <v>620</v>
      </c>
      <c r="K1087" s="88">
        <v>620</v>
      </c>
      <c r="L1087" s="88">
        <v>620</v>
      </c>
      <c r="M1087" s="67" t="s">
        <v>44</v>
      </c>
      <c r="N1087" s="67" t="s">
        <v>51</v>
      </c>
      <c r="O1087" s="27" t="s">
        <v>1631</v>
      </c>
      <c r="P1087" s="33" t="s">
        <v>23</v>
      </c>
      <c r="Q1087" s="60">
        <f>IFERROR(IF(12 / VLOOKUP(Table2[[#This Row],[Rateizzazione]],TIPI_RATEIZZAZIONI,2,FALSE) &gt;=1,  IF(Table2[[#This Row],[Data attivazione]] = "","-",MONTH(Table2[[#This Row],[Data attivazione]])),"-"),"-")</f>
        <v>4</v>
      </c>
      <c r="R10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7" s="67" t="s">
        <v>2</v>
      </c>
      <c r="V1087" s="62"/>
      <c r="W1087" s="64">
        <v>42851</v>
      </c>
      <c r="X1087" s="29">
        <f>DATE(YEAR(Table2[[#This Row],[Data attivazione]])+VLOOKUP(Table2[[#This Row],[Durata]],VALORE_DURATA,2,FALSE),MONTH(Table2[[#This Row],[Data attivazione]]),DAY(Table2[[#This Row],[Data attivazione]]))</f>
        <v>43216</v>
      </c>
      <c r="Y1087" s="65"/>
      <c r="Z1087" s="61"/>
      <c r="AA1087" s="64" t="s">
        <v>85</v>
      </c>
      <c r="AB1087" s="29" t="str">
        <f>IF(Table2[[#This Row],[Data ultimo versamento temp]]=0/1/1900,"-",Table2[[#This Row],[Data ultimo versamento temp]])</f>
        <v>-</v>
      </c>
      <c r="AC1087" s="29">
        <f t="array" ref="AC1087">MAX(IF(TableVersamenti[Polizza]=Table2[[#This Row],[Polizza]],TableVersamenti[Data prevista versamento],"-"))</f>
        <v>0</v>
      </c>
      <c r="AD1087" s="62"/>
      <c r="AE1087" s="106">
        <f>DATE(YEAR(Table2[[#This Row],[Data ultimo pagamento]]),MONTH(Table2[[#This Row],[Data ultimo pagamento]]), 1)</f>
        <v>42826</v>
      </c>
      <c r="AF1087" s="106">
        <f>DATE(YEAR(Table2[[#This Row],[Data prossima scadenza]]),MONTH(Table2[[#This Row],[Data prossima scadenza]]), 1)</f>
        <v>43191</v>
      </c>
      <c r="AG1087" s="33">
        <f>IFERROR(Table2[[#This Row],[Importo annuale]]*VLOOKUP(Table2[[#This Row],[Ramo]],RAMI_POLIZZA,2,FALSE),0)</f>
        <v>0</v>
      </c>
      <c r="AH1087" s="65" t="s">
        <v>113</v>
      </c>
      <c r="AI1087" s="63" t="str">
        <f>IFERROR(VLOOKUP(Table2[[#This Row],[Contraente]],Table1[[Nome/Ragione sociale]:[Checkbox selezionato]],2,FALSE),"-")</f>
        <v>PIEVE PORTO MORONE</v>
      </c>
      <c r="AJ1087" s="63">
        <f>IFERROR(VLOOKUP(Table2[[#This Row],[Contraente]],Table1[[Nome/Ragione sociale]:[Checkbox selezionato]],3,FALSE),"-")</f>
        <v>3668154025</v>
      </c>
      <c r="AK1087" s="63">
        <f>IFERROR(VLOOKUP(Table2[[#This Row],[Contraente]],Table1[[Nome/Ragione sociale]:[Checkbox selezionato]],4,FALSE),"-")</f>
        <v>0</v>
      </c>
      <c r="AL1087" s="63" t="str">
        <f>IFERROR(VLOOKUP(Table2[[#This Row],[Contraente]],Table1[[Nome/Ragione sociale]:[Checkbox selezionato]],5,FALSE),"-")</f>
        <v>MATTEO</v>
      </c>
      <c r="AM1087" s="62">
        <f>IFERROR(VLOOKUP(Table2[[#This Row],[Contraente]],Table1[[Nome/Ragione sociale]:[Checkbox selezionato]],6,FALSE),"-")</f>
        <v>27516</v>
      </c>
      <c r="AN1087" s="63" t="str">
        <f>IFERROR(VLOOKUP(Table2[[#This Row],[Contraente]],Table1[[Nome/Ragione sociale]:[Checkbox selezionato]],7,FALSE),"-")</f>
        <v>papies@libero.it</v>
      </c>
      <c r="AO1087" s="63">
        <f>IFERROR(VLOOKUP(Table2[[#This Row],[Contraente]],Table1[[Nome/Ragione sociale]:[Checkbox selezionato]],8,FALSE),"-")</f>
        <v>0</v>
      </c>
      <c r="AP1087" s="63">
        <f>IFERROR(VLOOKUP(Table2[[#This Row],[Contraente]],Table1[[Nome/Ragione sociale]:[Checkbox selezionato]],10,FALSE),"-")</f>
        <v>3668154025</v>
      </c>
      <c r="AQ1087" s="63" t="str">
        <f>IFERROR(VLOOKUP(Table2[[#This Row],[Contraente]],Table1[[Nome/Ragione sociale]:[Checkbox selezionato]],11,FALSE),"-")</f>
        <v>SI</v>
      </c>
      <c r="AR1087" s="63" t="str">
        <f>IFERROR(VLOOKUP(Table2[[#This Row],[Contraente]],Table1[[Nome/Ragione sociale]:[Checkbox selezionato]],12,FALSE),"-")</f>
        <v>SI</v>
      </c>
    </row>
    <row r="1088" spans="1:44" ht="30" hidden="1" customHeight="1" x14ac:dyDescent="0.25">
      <c r="A1088" s="60" t="str">
        <f>UPPER(LEFT(Table2[[#This Row],[Contraente]],1))</f>
        <v>V</v>
      </c>
      <c r="B1088" s="60" t="s">
        <v>1634</v>
      </c>
      <c r="C1088" s="84" t="s">
        <v>229</v>
      </c>
      <c r="D1088" s="81" t="s">
        <v>37</v>
      </c>
      <c r="E1088" s="86">
        <v>106630188</v>
      </c>
      <c r="F1088" s="64">
        <v>42809</v>
      </c>
      <c r="G1088" s="64">
        <f>IFERROR(CALCOLASCADENZA(Table2[[#This Row],[Data attivazione]],Table2[[#This Row],[Rateizzazione]],Table2[[#This Row],[Data ultimo pagamento]],Table2[[#This Row],[Data prossima scadenza manuale]]),"-")</f>
        <v>42975</v>
      </c>
      <c r="H1088" s="67" t="s">
        <v>31</v>
      </c>
      <c r="I1088" s="67" t="s">
        <v>1600</v>
      </c>
      <c r="J1088" s="33">
        <f>IFERROR(Table2[[#This Row],[Importo annuale]]/(12/VLOOKUP(Table2[[#This Row],[Rateizzazione]],TIPI_RATEIZZAZIONI,2,FALSE)),"-")</f>
        <v>459.35</v>
      </c>
      <c r="K1088" s="88">
        <v>459.35</v>
      </c>
      <c r="L1088" s="88">
        <v>918.7</v>
      </c>
      <c r="M1088" s="67" t="s">
        <v>44</v>
      </c>
      <c r="N1088" s="67" t="s">
        <v>51</v>
      </c>
      <c r="O1088" s="27" t="s">
        <v>1631</v>
      </c>
      <c r="P1088" s="33" t="s">
        <v>22</v>
      </c>
      <c r="Q1088" s="60">
        <f>IFERROR(IF(12 / VLOOKUP(Table2[[#This Row],[Rateizzazione]],TIPI_RATEIZZAZIONI,2,FALSE) &gt;=1,  IF(Table2[[#This Row],[Data attivazione]] = "","-",MONTH(Table2[[#This Row],[Data attivazione]])),"-"),"-")</f>
        <v>8</v>
      </c>
      <c r="R10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8" s="67" t="s">
        <v>2</v>
      </c>
      <c r="V1088" s="62"/>
      <c r="W1088" s="64">
        <v>42610</v>
      </c>
      <c r="X1088" s="29">
        <f>DATE(YEAR(Table2[[#This Row],[Data attivazione]])+VLOOKUP(Table2[[#This Row],[Durata]],VALORE_DURATA,2,FALSE),MONTH(Table2[[#This Row],[Data attivazione]]),DAY(Table2[[#This Row],[Data attivazione]]))</f>
        <v>42975</v>
      </c>
      <c r="Y1088" s="65"/>
      <c r="Z1088" s="61"/>
      <c r="AA1088" s="64" t="s">
        <v>85</v>
      </c>
      <c r="AB1088" s="29" t="str">
        <f>IF(Table2[[#This Row],[Data ultimo versamento temp]]=0/1/1900,"-",Table2[[#This Row],[Data ultimo versamento temp]])</f>
        <v>-</v>
      </c>
      <c r="AC1088" s="29">
        <f t="array" ref="AC1088">MAX(IF(TableVersamenti[Polizza]=Table2[[#This Row],[Polizza]],TableVersamenti[Data prevista versamento],"-"))</f>
        <v>0</v>
      </c>
      <c r="AD1088" s="62"/>
      <c r="AE1088" s="106">
        <f>DATE(YEAR(Table2[[#This Row],[Data ultimo pagamento]]),MONTH(Table2[[#This Row],[Data ultimo pagamento]]), 1)</f>
        <v>42795</v>
      </c>
      <c r="AF1088" s="106">
        <f>DATE(YEAR(Table2[[#This Row],[Data prossima scadenza]]),MONTH(Table2[[#This Row],[Data prossima scadenza]]), 1)</f>
        <v>42948</v>
      </c>
      <c r="AG1088" s="33">
        <f>IFERROR(Table2[[#This Row],[Importo annuale]]*VLOOKUP(Table2[[#This Row],[Ramo]],RAMI_POLIZZA,2,FALSE),0)</f>
        <v>47.772399999999998</v>
      </c>
      <c r="AH1088" s="65" t="s">
        <v>113</v>
      </c>
      <c r="AI1088" s="63" t="str">
        <f>IFERROR(VLOOKUP(Table2[[#This Row],[Contraente]],Table1[[Nome/Ragione sociale]:[Checkbox selezionato]],2,FALSE),"-")</f>
        <v>PIEVE PORTO MORONE</v>
      </c>
      <c r="AJ1088" s="63">
        <f>IFERROR(VLOOKUP(Table2[[#This Row],[Contraente]],Table1[[Nome/Ragione sociale]:[Checkbox selezionato]],3,FALSE),"-")</f>
        <v>3668154025</v>
      </c>
      <c r="AK1088" s="63">
        <f>IFERROR(VLOOKUP(Table2[[#This Row],[Contraente]],Table1[[Nome/Ragione sociale]:[Checkbox selezionato]],4,FALSE),"-")</f>
        <v>0</v>
      </c>
      <c r="AL1088" s="63" t="str">
        <f>IFERROR(VLOOKUP(Table2[[#This Row],[Contraente]],Table1[[Nome/Ragione sociale]:[Checkbox selezionato]],5,FALSE),"-")</f>
        <v>MATTEO</v>
      </c>
      <c r="AM1088" s="62">
        <f>IFERROR(VLOOKUP(Table2[[#This Row],[Contraente]],Table1[[Nome/Ragione sociale]:[Checkbox selezionato]],6,FALSE),"-")</f>
        <v>27516</v>
      </c>
      <c r="AN1088" s="63" t="str">
        <f>IFERROR(VLOOKUP(Table2[[#This Row],[Contraente]],Table1[[Nome/Ragione sociale]:[Checkbox selezionato]],7,FALSE),"-")</f>
        <v>papies@libero.it</v>
      </c>
      <c r="AO1088" s="63">
        <f>IFERROR(VLOOKUP(Table2[[#This Row],[Contraente]],Table1[[Nome/Ragione sociale]:[Checkbox selezionato]],8,FALSE),"-")</f>
        <v>0</v>
      </c>
      <c r="AP1088" s="63">
        <f>IFERROR(VLOOKUP(Table2[[#This Row],[Contraente]],Table1[[Nome/Ragione sociale]:[Checkbox selezionato]],10,FALSE),"-")</f>
        <v>3668154025</v>
      </c>
      <c r="AQ1088" s="63" t="str">
        <f>IFERROR(VLOOKUP(Table2[[#This Row],[Contraente]],Table1[[Nome/Ragione sociale]:[Checkbox selezionato]],11,FALSE),"-")</f>
        <v>SI</v>
      </c>
      <c r="AR1088" s="63" t="str">
        <f>IFERROR(VLOOKUP(Table2[[#This Row],[Contraente]],Table1[[Nome/Ragione sociale]:[Checkbox selezionato]],12,FALSE),"-")</f>
        <v>SI</v>
      </c>
    </row>
    <row r="1089" spans="1:44" ht="30" hidden="1" customHeight="1" x14ac:dyDescent="0.25">
      <c r="A1089" s="60" t="str">
        <f>UPPER(LEFT(Table2[[#This Row],[Contraente]],1))</f>
        <v>V</v>
      </c>
      <c r="B1089" s="60" t="s">
        <v>1634</v>
      </c>
      <c r="C1089" s="84" t="s">
        <v>1055</v>
      </c>
      <c r="D1089" s="81" t="s">
        <v>37</v>
      </c>
      <c r="E1089" s="86">
        <v>105450081</v>
      </c>
      <c r="F1089" s="64">
        <v>42461</v>
      </c>
      <c r="G1089" s="64">
        <f>IFERROR(CALCOLASCADENZA(Table2[[#This Row],[Data attivazione]],Table2[[#This Row],[Rateizzazione]],Table2[[#This Row],[Data ultimo pagamento]],Table2[[#This Row],[Data prossima scadenza manuale]]),"-")</f>
        <v>42583</v>
      </c>
      <c r="H1089" s="67" t="s">
        <v>30</v>
      </c>
      <c r="I1089" s="67" t="s">
        <v>113</v>
      </c>
      <c r="J1089" s="33">
        <f>IFERROR(Table2[[#This Row],[Importo annuale]]/(12/VLOOKUP(Table2[[#This Row],[Rateizzazione]],TIPI_RATEIZZAZIONI,2,FALSE)),"-")</f>
        <v>79</v>
      </c>
      <c r="K1089" s="88"/>
      <c r="L1089" s="88">
        <v>237</v>
      </c>
      <c r="M1089" s="67" t="s">
        <v>43</v>
      </c>
      <c r="N1089" s="67" t="s">
        <v>52</v>
      </c>
      <c r="O1089" s="27" t="s">
        <v>1631</v>
      </c>
      <c r="P1089" s="33" t="s">
        <v>21</v>
      </c>
      <c r="Q1089" s="60">
        <f>IFERROR(IF(12 / VLOOKUP(Table2[[#This Row],[Rateizzazione]],TIPI_RATEIZZAZIONI,2,FALSE) &gt;=1,  IF(Table2[[#This Row],[Data attivazione]] = "","-",MONTH(Table2[[#This Row],[Data attivazione]])),"-"),"-")</f>
        <v>8</v>
      </c>
      <c r="R10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8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9" s="67" t="s">
        <v>2</v>
      </c>
      <c r="V1089" s="62"/>
      <c r="W1089" s="64">
        <v>42217</v>
      </c>
      <c r="X1089" s="29">
        <f>DATE(YEAR(Table2[[#This Row],[Data attivazione]])+VLOOKUP(Table2[[#This Row],[Durata]],VALORE_DURATA,2,FALSE),MONTH(Table2[[#This Row],[Data attivazione]]),DAY(Table2[[#This Row],[Data attivazione]]))</f>
        <v>42583</v>
      </c>
      <c r="Y1089" s="65"/>
      <c r="Z1089" s="61"/>
      <c r="AA1089" s="64" t="s">
        <v>88</v>
      </c>
      <c r="AB1089" s="29" t="str">
        <f>IF(Table2[[#This Row],[Data ultimo versamento temp]]=0/1/1900,"-",Table2[[#This Row],[Data ultimo versamento temp]])</f>
        <v>-</v>
      </c>
      <c r="AC1089" s="29">
        <f t="array" ref="AC1089">MAX(IF(TableVersamenti[Polizza]=Table2[[#This Row],[Polizza]],TableVersamenti[Data prevista versamento],"-"))</f>
        <v>0</v>
      </c>
      <c r="AD1089" s="62"/>
      <c r="AE1089" s="106">
        <f>DATE(YEAR(Table2[[#This Row],[Data ultimo pagamento]]),MONTH(Table2[[#This Row],[Data ultimo pagamento]]), 1)</f>
        <v>42461</v>
      </c>
      <c r="AF1089" s="106">
        <f>DATE(YEAR(Table2[[#This Row],[Data prossima scadenza]]),MONTH(Table2[[#This Row],[Data prossima scadenza]]), 1)</f>
        <v>42583</v>
      </c>
      <c r="AG1089" s="33">
        <f>IFERROR(Table2[[#This Row],[Importo annuale]]*VLOOKUP(Table2[[#This Row],[Ramo]],RAMI_POLIZZA,2,FALSE),0)</f>
        <v>27.255000000000003</v>
      </c>
      <c r="AH1089" s="65" t="s">
        <v>113</v>
      </c>
      <c r="AI1089" s="63" t="str">
        <f>IFERROR(VLOOKUP(Table2[[#This Row],[Contraente]],Table1[[Nome/Ragione sociale]:[Checkbox selezionato]],2,FALSE),"-")</f>
        <v>SPESSA</v>
      </c>
      <c r="AJ1089" s="63">
        <f>IFERROR(VLOOKUP(Table2[[#This Row],[Contraente]],Table1[[Nome/Ragione sociale]:[Checkbox selezionato]],3,FALSE),"-")</f>
        <v>3313264442</v>
      </c>
      <c r="AK1089" s="63">
        <f>IFERROR(VLOOKUP(Table2[[#This Row],[Contraente]],Table1[[Nome/Ragione sociale]:[Checkbox selezionato]],4,FALSE),"-")</f>
        <v>0</v>
      </c>
      <c r="AL1089" s="63" t="str">
        <f>IFERROR(VLOOKUP(Table2[[#This Row],[Contraente]],Table1[[Nome/Ragione sociale]:[Checkbox selezionato]],5,FALSE),"-")</f>
        <v>ERNESTO</v>
      </c>
      <c r="AM1089" s="62">
        <f>IFERROR(VLOOKUP(Table2[[#This Row],[Contraente]],Table1[[Nome/Ragione sociale]:[Checkbox selezionato]],6,FALSE),"-")</f>
        <v>19519</v>
      </c>
      <c r="AN1089" s="63" t="str">
        <f>IFERROR(VLOOKUP(Table2[[#This Row],[Contraente]],Table1[[Nome/Ragione sociale]:[Checkbox selezionato]],7,FALSE),"-")</f>
        <v>papies@libero.it</v>
      </c>
      <c r="AO1089" s="63">
        <f>IFERROR(VLOOKUP(Table2[[#This Row],[Contraente]],Table1[[Nome/Ragione sociale]:[Checkbox selezionato]],8,FALSE),"-")</f>
        <v>0</v>
      </c>
      <c r="AP1089" s="63">
        <f>IFERROR(VLOOKUP(Table2[[#This Row],[Contraente]],Table1[[Nome/Ragione sociale]:[Checkbox selezionato]],10,FALSE),"-")</f>
        <v>3313264442</v>
      </c>
      <c r="AQ1089" s="63" t="str">
        <f>IFERROR(VLOOKUP(Table2[[#This Row],[Contraente]],Table1[[Nome/Ragione sociale]:[Checkbox selezionato]],11,FALSE),"-")</f>
        <v>SI</v>
      </c>
      <c r="AR1089" s="63" t="str">
        <f>IFERROR(VLOOKUP(Table2[[#This Row],[Contraente]],Table1[[Nome/Ragione sociale]:[Checkbox selezionato]],12,FALSE),"-")</f>
        <v>SI</v>
      </c>
    </row>
    <row r="1090" spans="1:44" ht="30" hidden="1" customHeight="1" x14ac:dyDescent="0.25">
      <c r="A1090" s="60" t="str">
        <f>UPPER(LEFT(Table2[[#This Row],[Contraente]],1))</f>
        <v>V</v>
      </c>
      <c r="B1090" s="60" t="s">
        <v>1634</v>
      </c>
      <c r="C1090" s="84" t="s">
        <v>1055</v>
      </c>
      <c r="D1090" s="81" t="s">
        <v>37</v>
      </c>
      <c r="E1090" s="86">
        <v>105450064</v>
      </c>
      <c r="F1090" s="64">
        <v>42461</v>
      </c>
      <c r="G1090" s="64">
        <f>IFERROR(CALCOLASCADENZA(Table2[[#This Row],[Data attivazione]],Table2[[#This Row],[Rateizzazione]],Table2[[#This Row],[Data ultimo pagamento]],Table2[[#This Row],[Data prossima scadenza manuale]]),"-")</f>
        <v>42583</v>
      </c>
      <c r="H1090" s="67" t="s">
        <v>31</v>
      </c>
      <c r="I1090" s="67" t="s">
        <v>1599</v>
      </c>
      <c r="J1090" s="33">
        <f>IFERROR(Table2[[#This Row],[Importo annuale]]/(12/VLOOKUP(Table2[[#This Row],[Rateizzazione]],TIPI_RATEIZZAZIONI,2,FALSE)),"-")</f>
        <v>320</v>
      </c>
      <c r="K1090" s="88"/>
      <c r="L1090" s="88">
        <v>960</v>
      </c>
      <c r="M1090" s="67" t="s">
        <v>43</v>
      </c>
      <c r="N1090" s="67" t="s">
        <v>52</v>
      </c>
      <c r="O1090" s="27" t="s">
        <v>1631</v>
      </c>
      <c r="P1090" s="33" t="s">
        <v>21</v>
      </c>
      <c r="Q1090" s="60">
        <f>IFERROR(IF(12 / VLOOKUP(Table2[[#This Row],[Rateizzazione]],TIPI_RATEIZZAZIONI,2,FALSE) &gt;=1,  IF(Table2[[#This Row],[Data attivazione]] = "","-",MONTH(Table2[[#This Row],[Data attivazione]])),"-"),"-")</f>
        <v>8</v>
      </c>
      <c r="R10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9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0" s="67" t="s">
        <v>2</v>
      </c>
      <c r="V1090" s="62"/>
      <c r="W1090" s="64">
        <v>42217</v>
      </c>
      <c r="X1090" s="29">
        <f>DATE(YEAR(Table2[[#This Row],[Data attivazione]])+VLOOKUP(Table2[[#This Row],[Durata]],VALORE_DURATA,2,FALSE),MONTH(Table2[[#This Row],[Data attivazione]]),DAY(Table2[[#This Row],[Data attivazione]]))</f>
        <v>42583</v>
      </c>
      <c r="Y1090" s="65"/>
      <c r="Z1090" s="61"/>
      <c r="AA1090" s="64" t="s">
        <v>88</v>
      </c>
      <c r="AB1090" s="29" t="str">
        <f>IF(Table2[[#This Row],[Data ultimo versamento temp]]=0/1/1900,"-",Table2[[#This Row],[Data ultimo versamento temp]])</f>
        <v>-</v>
      </c>
      <c r="AC1090" s="29">
        <f t="array" ref="AC1090">MAX(IF(TableVersamenti[Polizza]=Table2[[#This Row],[Polizza]],TableVersamenti[Data prevista versamento],"-"))</f>
        <v>0</v>
      </c>
      <c r="AD1090" s="62"/>
      <c r="AE1090" s="106">
        <f>DATE(YEAR(Table2[[#This Row],[Data ultimo pagamento]]),MONTH(Table2[[#This Row],[Data ultimo pagamento]]), 1)</f>
        <v>42461</v>
      </c>
      <c r="AF1090" s="106">
        <f>DATE(YEAR(Table2[[#This Row],[Data prossima scadenza]]),MONTH(Table2[[#This Row],[Data prossima scadenza]]), 1)</f>
        <v>42583</v>
      </c>
      <c r="AG1090" s="33">
        <f>IFERROR(Table2[[#This Row],[Importo annuale]]*VLOOKUP(Table2[[#This Row],[Ramo]],RAMI_POLIZZA,2,FALSE),0)</f>
        <v>49.919999999999995</v>
      </c>
      <c r="AH1090" s="65" t="s">
        <v>113</v>
      </c>
      <c r="AI1090" s="63" t="str">
        <f>IFERROR(VLOOKUP(Table2[[#This Row],[Contraente]],Table1[[Nome/Ragione sociale]:[Checkbox selezionato]],2,FALSE),"-")</f>
        <v>SPESSA</v>
      </c>
      <c r="AJ1090" s="63">
        <f>IFERROR(VLOOKUP(Table2[[#This Row],[Contraente]],Table1[[Nome/Ragione sociale]:[Checkbox selezionato]],3,FALSE),"-")</f>
        <v>3313264442</v>
      </c>
      <c r="AK1090" s="63">
        <f>IFERROR(VLOOKUP(Table2[[#This Row],[Contraente]],Table1[[Nome/Ragione sociale]:[Checkbox selezionato]],4,FALSE),"-")</f>
        <v>0</v>
      </c>
      <c r="AL1090" s="63" t="str">
        <f>IFERROR(VLOOKUP(Table2[[#This Row],[Contraente]],Table1[[Nome/Ragione sociale]:[Checkbox selezionato]],5,FALSE),"-")</f>
        <v>ERNESTO</v>
      </c>
      <c r="AM1090" s="62">
        <f>IFERROR(VLOOKUP(Table2[[#This Row],[Contraente]],Table1[[Nome/Ragione sociale]:[Checkbox selezionato]],6,FALSE),"-")</f>
        <v>19519</v>
      </c>
      <c r="AN1090" s="63" t="str">
        <f>IFERROR(VLOOKUP(Table2[[#This Row],[Contraente]],Table1[[Nome/Ragione sociale]:[Checkbox selezionato]],7,FALSE),"-")</f>
        <v>papies@libero.it</v>
      </c>
      <c r="AO1090" s="63">
        <f>IFERROR(VLOOKUP(Table2[[#This Row],[Contraente]],Table1[[Nome/Ragione sociale]:[Checkbox selezionato]],8,FALSE),"-")</f>
        <v>0</v>
      </c>
      <c r="AP1090" s="63">
        <f>IFERROR(VLOOKUP(Table2[[#This Row],[Contraente]],Table1[[Nome/Ragione sociale]:[Checkbox selezionato]],10,FALSE),"-")</f>
        <v>3313264442</v>
      </c>
      <c r="AQ1090" s="63" t="str">
        <f>IFERROR(VLOOKUP(Table2[[#This Row],[Contraente]],Table1[[Nome/Ragione sociale]:[Checkbox selezionato]],11,FALSE),"-")</f>
        <v>SI</v>
      </c>
      <c r="AR1090" s="63" t="str">
        <f>IFERROR(VLOOKUP(Table2[[#This Row],[Contraente]],Table1[[Nome/Ragione sociale]:[Checkbox selezionato]],12,FALSE),"-")</f>
        <v>SI</v>
      </c>
    </row>
    <row r="1091" spans="1:44" ht="30" hidden="1" customHeight="1" x14ac:dyDescent="0.25">
      <c r="A1091" s="60" t="str">
        <f>UPPER(LEFT(Table2[[#This Row],[Contraente]],1))</f>
        <v>V</v>
      </c>
      <c r="B1091" s="60" t="s">
        <v>1634</v>
      </c>
      <c r="C1091" s="84" t="s">
        <v>1064</v>
      </c>
      <c r="D1091" s="81" t="s">
        <v>37</v>
      </c>
      <c r="E1091" s="86">
        <v>1083618</v>
      </c>
      <c r="F1091" s="64">
        <v>42762</v>
      </c>
      <c r="G1091" s="64">
        <f>IFERROR(CALCOLASCADENZA(Table2[[#This Row],[Data attivazione]],Table2[[#This Row],[Rateizzazione]],Table2[[#This Row],[Data ultimo pagamento]],Table2[[#This Row],[Data prossima scadenza manuale]]),"-")</f>
        <v>43127</v>
      </c>
      <c r="H1091" s="67" t="s">
        <v>32</v>
      </c>
      <c r="I1091" s="67" t="s">
        <v>113</v>
      </c>
      <c r="J1091" s="33">
        <f>IFERROR(Table2[[#This Row],[Importo annuale]]/(12/VLOOKUP(Table2[[#This Row],[Rateizzazione]],TIPI_RATEIZZAZIONI,2,FALSE)),"-")</f>
        <v>200</v>
      </c>
      <c r="K1091" s="88">
        <v>200</v>
      </c>
      <c r="L1091" s="88">
        <v>200</v>
      </c>
      <c r="M1091" s="67" t="s">
        <v>45</v>
      </c>
      <c r="N1091" s="67" t="s">
        <v>52</v>
      </c>
      <c r="O1091" s="27" t="s">
        <v>1632</v>
      </c>
      <c r="P1091" s="33" t="s">
        <v>23</v>
      </c>
      <c r="Q1091" s="60">
        <f>IFERROR(IF(12 / VLOOKUP(Table2[[#This Row],[Rateizzazione]],TIPI_RATEIZZAZIONI,2,FALSE) &gt;=1,  IF(Table2[[#This Row],[Data attivazione]] = "","-",MONTH(Table2[[#This Row],[Data attivazione]])),"-"),"-")</f>
        <v>1</v>
      </c>
      <c r="R10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1" s="67" t="s">
        <v>2</v>
      </c>
      <c r="V1091" s="62"/>
      <c r="W1091" s="64">
        <v>39474</v>
      </c>
      <c r="X1091" s="29">
        <f>DATE(YEAR(Table2[[#This Row],[Data attivazione]])+VLOOKUP(Table2[[#This Row],[Durata]],VALORE_DURATA,2,FALSE),MONTH(Table2[[#This Row],[Data attivazione]]),DAY(Table2[[#This Row],[Data attivazione]]))</f>
        <v>43127</v>
      </c>
      <c r="Y1091" s="65"/>
      <c r="Z1091" s="61"/>
      <c r="AA1091" s="64" t="s">
        <v>85</v>
      </c>
      <c r="AB1091" s="29" t="str">
        <f>IF(Table2[[#This Row],[Data ultimo versamento temp]]=0/1/1900,"-",Table2[[#This Row],[Data ultimo versamento temp]])</f>
        <v>-</v>
      </c>
      <c r="AC1091" s="29">
        <f t="array" ref="AC1091">MAX(IF(TableVersamenti[Polizza]=Table2[[#This Row],[Polizza]],TableVersamenti[Data prevista versamento],"-"))</f>
        <v>0</v>
      </c>
      <c r="AD1091" s="62"/>
      <c r="AE1091" s="106">
        <f>DATE(YEAR(Table2[[#This Row],[Data ultimo pagamento]]),MONTH(Table2[[#This Row],[Data ultimo pagamento]]), 1)</f>
        <v>42736</v>
      </c>
      <c r="AF1091" s="106">
        <f>DATE(YEAR(Table2[[#This Row],[Data prossima scadenza]]),MONTH(Table2[[#This Row],[Data prossima scadenza]]), 1)</f>
        <v>43101</v>
      </c>
      <c r="AG1091" s="33">
        <f>IFERROR(Table2[[#This Row],[Importo annuale]]*VLOOKUP(Table2[[#This Row],[Ramo]],RAMI_POLIZZA,2,FALSE),0)</f>
        <v>3</v>
      </c>
      <c r="AH1091" s="65" t="s">
        <v>113</v>
      </c>
      <c r="AI1091" s="63" t="str">
        <f>IFERROR(VLOOKUP(Table2[[#This Row],[Contraente]],Table1[[Nome/Ragione sociale]:[Checkbox selezionato]],2,FALSE),"-")</f>
        <v>VIBO VALENTIA</v>
      </c>
      <c r="AJ1091" s="63">
        <f>IFERROR(VLOOKUP(Table2[[#This Row],[Contraente]],Table1[[Nome/Ragione sociale]:[Checkbox selezionato]],3,FALSE),"-")</f>
        <v>3294190283</v>
      </c>
      <c r="AK1091" s="63">
        <f>IFERROR(VLOOKUP(Table2[[#This Row],[Contraente]],Table1[[Nome/Ragione sociale]:[Checkbox selezionato]],4,FALSE),"-")</f>
        <v>0</v>
      </c>
      <c r="AL1091" s="63" t="str">
        <f>IFERROR(VLOOKUP(Table2[[#This Row],[Contraente]],Table1[[Nome/Ragione sociale]:[Checkbox selezionato]],5,FALSE),"-")</f>
        <v>MARIA ROSARIA</v>
      </c>
      <c r="AM1091" s="62">
        <f>IFERROR(VLOOKUP(Table2[[#This Row],[Contraente]],Table1[[Nome/Ragione sociale]:[Checkbox selezionato]],6,FALSE),"-")</f>
        <v>26762</v>
      </c>
      <c r="AN1091" s="63" t="str">
        <f>IFERROR(VLOOKUP(Table2[[#This Row],[Contraente]],Table1[[Nome/Ragione sociale]:[Checkbox selezionato]],7,FALSE),"-")</f>
        <v>papies@email.it</v>
      </c>
      <c r="AO1091" s="63">
        <f>IFERROR(VLOOKUP(Table2[[#This Row],[Contraente]],Table1[[Nome/Ragione sociale]:[Checkbox selezionato]],8,FALSE),"-")</f>
        <v>0</v>
      </c>
      <c r="AP1091" s="63">
        <f>IFERROR(VLOOKUP(Table2[[#This Row],[Contraente]],Table1[[Nome/Ragione sociale]:[Checkbox selezionato]],10,FALSE),"-")</f>
        <v>3294190283</v>
      </c>
      <c r="AQ1091" s="63" t="str">
        <f>IFERROR(VLOOKUP(Table2[[#This Row],[Contraente]],Table1[[Nome/Ragione sociale]:[Checkbox selezionato]],11,FALSE),"-")</f>
        <v>SI</v>
      </c>
      <c r="AR1091" s="63" t="str">
        <f>IFERROR(VLOOKUP(Table2[[#This Row],[Contraente]],Table1[[Nome/Ragione sociale]:[Checkbox selezionato]],12,FALSE),"-")</f>
        <v>SI</v>
      </c>
    </row>
    <row r="1092" spans="1:44" ht="30" hidden="1" customHeight="1" x14ac:dyDescent="0.25">
      <c r="A1092" s="60" t="str">
        <f>UPPER(LEFT(Table2[[#This Row],[Contraente]],1))</f>
        <v>V</v>
      </c>
      <c r="B1092" s="60" t="s">
        <v>1634</v>
      </c>
      <c r="C1092" s="84" t="s">
        <v>1064</v>
      </c>
      <c r="D1092" s="81" t="s">
        <v>37</v>
      </c>
      <c r="E1092" s="86">
        <v>106468171</v>
      </c>
      <c r="F1092" s="64">
        <v>42762</v>
      </c>
      <c r="G1092" s="64">
        <f>IFERROR(CALCOLASCADENZA(Table2[[#This Row],[Data attivazione]],Table2[[#This Row],[Rateizzazione]],Table2[[#This Row],[Data ultimo pagamento]],Table2[[#This Row],[Data prossima scadenza manuale]]),"-")</f>
        <v>43128</v>
      </c>
      <c r="H1092" s="67" t="s">
        <v>30</v>
      </c>
      <c r="I1092" s="67" t="s">
        <v>113</v>
      </c>
      <c r="J1092" s="33">
        <f>IFERROR(Table2[[#This Row],[Importo annuale]]/(12/VLOOKUP(Table2[[#This Row],[Rateizzazione]],TIPI_RATEIZZAZIONI,2,FALSE)),"-")</f>
        <v>234</v>
      </c>
      <c r="K1092" s="88">
        <v>234</v>
      </c>
      <c r="L1092" s="88">
        <v>234</v>
      </c>
      <c r="M1092" s="67" t="s">
        <v>43</v>
      </c>
      <c r="N1092" s="67" t="s">
        <v>52</v>
      </c>
      <c r="O1092" s="27" t="s">
        <v>1631</v>
      </c>
      <c r="P1092" s="33" t="s">
        <v>23</v>
      </c>
      <c r="Q1092" s="60">
        <f>IFERROR(IF(12 / VLOOKUP(Table2[[#This Row],[Rateizzazione]],TIPI_RATEIZZAZIONI,2,FALSE) &gt;=1,  IF(Table2[[#This Row],[Data attivazione]] = "","-",MONTH(Table2[[#This Row],[Data attivazione]])),"-"),"-")</f>
        <v>1</v>
      </c>
      <c r="R10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2" s="67" t="s">
        <v>2</v>
      </c>
      <c r="V1092" s="62"/>
      <c r="W1092" s="64">
        <v>42763</v>
      </c>
      <c r="X1092" s="29">
        <f>DATE(YEAR(Table2[[#This Row],[Data attivazione]])+VLOOKUP(Table2[[#This Row],[Durata]],VALORE_DURATA,2,FALSE),MONTH(Table2[[#This Row],[Data attivazione]]),DAY(Table2[[#This Row],[Data attivazione]]))</f>
        <v>43128</v>
      </c>
      <c r="Y1092" s="65"/>
      <c r="Z1092" s="61"/>
      <c r="AA1092" s="64" t="s">
        <v>85</v>
      </c>
      <c r="AB1092" s="29" t="str">
        <f>IF(Table2[[#This Row],[Data ultimo versamento temp]]=0/1/1900,"-",Table2[[#This Row],[Data ultimo versamento temp]])</f>
        <v>-</v>
      </c>
      <c r="AC1092" s="29">
        <f t="array" ref="AC1092">MAX(IF(TableVersamenti[Polizza]=Table2[[#This Row],[Polizza]],TableVersamenti[Data prevista versamento],"-"))</f>
        <v>0</v>
      </c>
      <c r="AD1092" s="62"/>
      <c r="AE1092" s="106">
        <f>DATE(YEAR(Table2[[#This Row],[Data ultimo pagamento]]),MONTH(Table2[[#This Row],[Data ultimo pagamento]]), 1)</f>
        <v>42736</v>
      </c>
      <c r="AF1092" s="106">
        <f>DATE(YEAR(Table2[[#This Row],[Data prossima scadenza]]),MONTH(Table2[[#This Row],[Data prossima scadenza]]), 1)</f>
        <v>43101</v>
      </c>
      <c r="AG1092" s="33">
        <f>IFERROR(Table2[[#This Row],[Importo annuale]]*VLOOKUP(Table2[[#This Row],[Ramo]],RAMI_POLIZZA,2,FALSE),0)</f>
        <v>26.91</v>
      </c>
      <c r="AH1092" s="65" t="s">
        <v>113</v>
      </c>
      <c r="AI1092" s="63" t="str">
        <f>IFERROR(VLOOKUP(Table2[[#This Row],[Contraente]],Table1[[Nome/Ragione sociale]:[Checkbox selezionato]],2,FALSE),"-")</f>
        <v>VIBO VALENTIA</v>
      </c>
      <c r="AJ1092" s="63">
        <f>IFERROR(VLOOKUP(Table2[[#This Row],[Contraente]],Table1[[Nome/Ragione sociale]:[Checkbox selezionato]],3,FALSE),"-")</f>
        <v>3294190283</v>
      </c>
      <c r="AK1092" s="63">
        <f>IFERROR(VLOOKUP(Table2[[#This Row],[Contraente]],Table1[[Nome/Ragione sociale]:[Checkbox selezionato]],4,FALSE),"-")</f>
        <v>0</v>
      </c>
      <c r="AL1092" s="63" t="str">
        <f>IFERROR(VLOOKUP(Table2[[#This Row],[Contraente]],Table1[[Nome/Ragione sociale]:[Checkbox selezionato]],5,FALSE),"-")</f>
        <v>MARIA ROSARIA</v>
      </c>
      <c r="AM1092" s="62">
        <f>IFERROR(VLOOKUP(Table2[[#This Row],[Contraente]],Table1[[Nome/Ragione sociale]:[Checkbox selezionato]],6,FALSE),"-")</f>
        <v>26762</v>
      </c>
      <c r="AN1092" s="63" t="str">
        <f>IFERROR(VLOOKUP(Table2[[#This Row],[Contraente]],Table1[[Nome/Ragione sociale]:[Checkbox selezionato]],7,FALSE),"-")</f>
        <v>papies@email.it</v>
      </c>
      <c r="AO1092" s="63">
        <f>IFERROR(VLOOKUP(Table2[[#This Row],[Contraente]],Table1[[Nome/Ragione sociale]:[Checkbox selezionato]],8,FALSE),"-")</f>
        <v>0</v>
      </c>
      <c r="AP1092" s="63">
        <f>IFERROR(VLOOKUP(Table2[[#This Row],[Contraente]],Table1[[Nome/Ragione sociale]:[Checkbox selezionato]],10,FALSE),"-")</f>
        <v>3294190283</v>
      </c>
      <c r="AQ1092" s="63" t="str">
        <f>IFERROR(VLOOKUP(Table2[[#This Row],[Contraente]],Table1[[Nome/Ragione sociale]:[Checkbox selezionato]],11,FALSE),"-")</f>
        <v>SI</v>
      </c>
      <c r="AR1092" s="63" t="str">
        <f>IFERROR(VLOOKUP(Table2[[#This Row],[Contraente]],Table1[[Nome/Ragione sociale]:[Checkbox selezionato]],12,FALSE),"-")</f>
        <v>SI</v>
      </c>
    </row>
    <row r="1093" spans="1:44" ht="30" hidden="1" customHeight="1" x14ac:dyDescent="0.25">
      <c r="A1093" s="60" t="str">
        <f>UPPER(LEFT(Table2[[#This Row],[Contraente]],1))</f>
        <v>V</v>
      </c>
      <c r="B1093" s="60" t="s">
        <v>1634</v>
      </c>
      <c r="C1093" s="84" t="s">
        <v>1064</v>
      </c>
      <c r="D1093" s="81" t="s">
        <v>37</v>
      </c>
      <c r="E1093" s="86">
        <v>106468360</v>
      </c>
      <c r="F1093" s="64">
        <v>42762</v>
      </c>
      <c r="G1093" s="64">
        <f>IFERROR(CALCOLASCADENZA(Table2[[#This Row],[Data attivazione]],Table2[[#This Row],[Rateizzazione]],Table2[[#This Row],[Data ultimo pagamento]],Table2[[#This Row],[Data prossima scadenza manuale]]),"-")</f>
        <v>43128</v>
      </c>
      <c r="H1093" s="67" t="s">
        <v>31</v>
      </c>
      <c r="I1093" s="67" t="s">
        <v>1605</v>
      </c>
      <c r="J1093" s="33">
        <f>IFERROR(Table2[[#This Row],[Importo annuale]]/(12/VLOOKUP(Table2[[#This Row],[Rateizzazione]],TIPI_RATEIZZAZIONI,2,FALSE)),"-")</f>
        <v>600</v>
      </c>
      <c r="K1093" s="88">
        <v>600</v>
      </c>
      <c r="L1093" s="88">
        <v>600</v>
      </c>
      <c r="M1093" s="67" t="s">
        <v>43</v>
      </c>
      <c r="N1093" s="67" t="s">
        <v>51</v>
      </c>
      <c r="O1093" s="27" t="s">
        <v>1631</v>
      </c>
      <c r="P1093" s="33" t="s">
        <v>23</v>
      </c>
      <c r="Q1093" s="60">
        <f>IFERROR(IF(12 / VLOOKUP(Table2[[#This Row],[Rateizzazione]],TIPI_RATEIZZAZIONI,2,FALSE) &gt;=1,  IF(Table2[[#This Row],[Data attivazione]] = "","-",MONTH(Table2[[#This Row],[Data attivazione]])),"-"),"-")</f>
        <v>1</v>
      </c>
      <c r="R10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3" s="67" t="s">
        <v>2</v>
      </c>
      <c r="V1093" s="62"/>
      <c r="W1093" s="64">
        <v>42763</v>
      </c>
      <c r="X1093" s="29">
        <f>DATE(YEAR(Table2[[#This Row],[Data attivazione]])+VLOOKUP(Table2[[#This Row],[Durata]],VALORE_DURATA,2,FALSE),MONTH(Table2[[#This Row],[Data attivazione]]),DAY(Table2[[#This Row],[Data attivazione]]))</f>
        <v>43128</v>
      </c>
      <c r="Y1093" s="65"/>
      <c r="Z1093" s="61"/>
      <c r="AA1093" s="64" t="s">
        <v>85</v>
      </c>
      <c r="AB1093" s="29" t="str">
        <f>IF(Table2[[#This Row],[Data ultimo versamento temp]]=0/1/1900,"-",Table2[[#This Row],[Data ultimo versamento temp]])</f>
        <v>-</v>
      </c>
      <c r="AC1093" s="29">
        <f t="array" ref="AC1093">MAX(IF(TableVersamenti[Polizza]=Table2[[#This Row],[Polizza]],TableVersamenti[Data prevista versamento],"-"))</f>
        <v>0</v>
      </c>
      <c r="AD1093" s="62"/>
      <c r="AE1093" s="106">
        <f>DATE(YEAR(Table2[[#This Row],[Data ultimo pagamento]]),MONTH(Table2[[#This Row],[Data ultimo pagamento]]), 1)</f>
        <v>42736</v>
      </c>
      <c r="AF1093" s="106">
        <f>DATE(YEAR(Table2[[#This Row],[Data prossima scadenza]]),MONTH(Table2[[#This Row],[Data prossima scadenza]]), 1)</f>
        <v>43101</v>
      </c>
      <c r="AG1093" s="33">
        <f>IFERROR(Table2[[#This Row],[Importo annuale]]*VLOOKUP(Table2[[#This Row],[Ramo]],RAMI_POLIZZA,2,FALSE),0)</f>
        <v>31.2</v>
      </c>
      <c r="AH1093" s="65" t="s">
        <v>113</v>
      </c>
      <c r="AI1093" s="63" t="str">
        <f>IFERROR(VLOOKUP(Table2[[#This Row],[Contraente]],Table1[[Nome/Ragione sociale]:[Checkbox selezionato]],2,FALSE),"-")</f>
        <v>VIBO VALENTIA</v>
      </c>
      <c r="AJ1093" s="63">
        <f>IFERROR(VLOOKUP(Table2[[#This Row],[Contraente]],Table1[[Nome/Ragione sociale]:[Checkbox selezionato]],3,FALSE),"-")</f>
        <v>3294190283</v>
      </c>
      <c r="AK1093" s="63">
        <f>IFERROR(VLOOKUP(Table2[[#This Row],[Contraente]],Table1[[Nome/Ragione sociale]:[Checkbox selezionato]],4,FALSE),"-")</f>
        <v>0</v>
      </c>
      <c r="AL1093" s="63" t="str">
        <f>IFERROR(VLOOKUP(Table2[[#This Row],[Contraente]],Table1[[Nome/Ragione sociale]:[Checkbox selezionato]],5,FALSE),"-")</f>
        <v>MARIA ROSARIA</v>
      </c>
      <c r="AM1093" s="62">
        <f>IFERROR(VLOOKUP(Table2[[#This Row],[Contraente]],Table1[[Nome/Ragione sociale]:[Checkbox selezionato]],6,FALSE),"-")</f>
        <v>26762</v>
      </c>
      <c r="AN1093" s="63" t="str">
        <f>IFERROR(VLOOKUP(Table2[[#This Row],[Contraente]],Table1[[Nome/Ragione sociale]:[Checkbox selezionato]],7,FALSE),"-")</f>
        <v>papies@email.it</v>
      </c>
      <c r="AO1093" s="63">
        <f>IFERROR(VLOOKUP(Table2[[#This Row],[Contraente]],Table1[[Nome/Ragione sociale]:[Checkbox selezionato]],8,FALSE),"-")</f>
        <v>0</v>
      </c>
      <c r="AP1093" s="63">
        <f>IFERROR(VLOOKUP(Table2[[#This Row],[Contraente]],Table1[[Nome/Ragione sociale]:[Checkbox selezionato]],10,FALSE),"-")</f>
        <v>3294190283</v>
      </c>
      <c r="AQ1093" s="63" t="str">
        <f>IFERROR(VLOOKUP(Table2[[#This Row],[Contraente]],Table1[[Nome/Ragione sociale]:[Checkbox selezionato]],11,FALSE),"-")</f>
        <v>SI</v>
      </c>
      <c r="AR1093" s="63" t="str">
        <f>IFERROR(VLOOKUP(Table2[[#This Row],[Contraente]],Table1[[Nome/Ragione sociale]:[Checkbox selezionato]],12,FALSE),"-")</f>
        <v>SI</v>
      </c>
    </row>
    <row r="1094" spans="1:44" ht="30" hidden="1" customHeight="1" x14ac:dyDescent="0.25">
      <c r="A1094" s="60" t="str">
        <f>UPPER(LEFT(Table2[[#This Row],[Contraente]],1))</f>
        <v>V</v>
      </c>
      <c r="B1094" s="60" t="s">
        <v>1634</v>
      </c>
      <c r="C1094" s="84" t="s">
        <v>1060</v>
      </c>
      <c r="D1094" s="81" t="s">
        <v>37</v>
      </c>
      <c r="E1094" s="86">
        <v>104427036</v>
      </c>
      <c r="F1094" s="64">
        <v>42352</v>
      </c>
      <c r="G1094" s="64">
        <f>IFERROR(CALCOLASCADENZA(Table2[[#This Row],[Data attivazione]],Table2[[#This Row],[Rateizzazione]],Table2[[#This Row],[Data ultimo pagamento]],Table2[[#This Row],[Data prossima scadenza manuale]]),"-")</f>
        <v>42510</v>
      </c>
      <c r="H1094" s="67" t="s">
        <v>31</v>
      </c>
      <c r="I1094" s="67" t="s">
        <v>1602</v>
      </c>
      <c r="J1094" s="33">
        <f>IFERROR(Table2[[#This Row],[Importo annuale]]/(12/VLOOKUP(Table2[[#This Row],[Rateizzazione]],TIPI_RATEIZZAZIONI,2,FALSE)),"-")</f>
        <v>275</v>
      </c>
      <c r="K1094" s="88"/>
      <c r="L1094" s="88">
        <v>550</v>
      </c>
      <c r="M1094" s="67" t="s">
        <v>44</v>
      </c>
      <c r="N1094" s="67" t="s">
        <v>52</v>
      </c>
      <c r="O1094" s="27" t="s">
        <v>1631</v>
      </c>
      <c r="P1094" s="33" t="s">
        <v>22</v>
      </c>
      <c r="Q1094" s="60">
        <f>IFERROR(IF(12 / VLOOKUP(Table2[[#This Row],[Rateizzazione]],TIPI_RATEIZZAZIONI,2,FALSE) &gt;=1,  IF(Table2[[#This Row],[Data attivazione]] = "","-",MONTH(Table2[[#This Row],[Data attivazione]])),"-"),"-")</f>
        <v>5</v>
      </c>
      <c r="R10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4" s="67" t="s">
        <v>2</v>
      </c>
      <c r="V1094" s="62"/>
      <c r="W1094" s="64">
        <v>42144</v>
      </c>
      <c r="X1094" s="29">
        <f>DATE(YEAR(Table2[[#This Row],[Data attivazione]])+VLOOKUP(Table2[[#This Row],[Durata]],VALORE_DURATA,2,FALSE),MONTH(Table2[[#This Row],[Data attivazione]]),DAY(Table2[[#This Row],[Data attivazione]]))</f>
        <v>42510</v>
      </c>
      <c r="Y1094" s="65"/>
      <c r="Z1094" s="61"/>
      <c r="AA1094" s="64" t="s">
        <v>88</v>
      </c>
      <c r="AB1094" s="29" t="str">
        <f>IF(Table2[[#This Row],[Data ultimo versamento temp]]=0/1/1900,"-",Table2[[#This Row],[Data ultimo versamento temp]])</f>
        <v>-</v>
      </c>
      <c r="AC1094" s="29">
        <f t="array" ref="AC1094">MAX(IF(TableVersamenti[Polizza]=Table2[[#This Row],[Polizza]],TableVersamenti[Data prevista versamento],"-"))</f>
        <v>0</v>
      </c>
      <c r="AD1094" s="62"/>
      <c r="AE1094" s="106">
        <f>DATE(YEAR(Table2[[#This Row],[Data ultimo pagamento]]),MONTH(Table2[[#This Row],[Data ultimo pagamento]]), 1)</f>
        <v>42339</v>
      </c>
      <c r="AF1094" s="106">
        <f>DATE(YEAR(Table2[[#This Row],[Data prossima scadenza]]),MONTH(Table2[[#This Row],[Data prossima scadenza]]), 1)</f>
        <v>42491</v>
      </c>
      <c r="AG1094" s="33">
        <f>IFERROR(Table2[[#This Row],[Importo annuale]]*VLOOKUP(Table2[[#This Row],[Ramo]],RAMI_POLIZZA,2,FALSE),0)</f>
        <v>28.599999999999998</v>
      </c>
      <c r="AH1094" s="65" t="s">
        <v>113</v>
      </c>
      <c r="AI1094" s="63">
        <f>IFERROR(VLOOKUP(Table2[[#This Row],[Contraente]],Table1[[Nome/Ragione sociale]:[Checkbox selezionato]],2,FALSE),"-")</f>
        <v>0</v>
      </c>
      <c r="AJ1094" s="63">
        <f>IFERROR(VLOOKUP(Table2[[#This Row],[Contraente]],Table1[[Nome/Ragione sociale]:[Checkbox selezionato]],3,FALSE),"-")</f>
        <v>3466839841</v>
      </c>
      <c r="AK1094" s="63">
        <f>IFERROR(VLOOKUP(Table2[[#This Row],[Contraente]],Table1[[Nome/Ragione sociale]:[Checkbox selezionato]],4,FALSE),"-")</f>
        <v>0</v>
      </c>
      <c r="AL1094" s="63" t="str">
        <f>IFERROR(VLOOKUP(Table2[[#This Row],[Contraente]],Table1[[Nome/Ragione sociale]:[Checkbox selezionato]],5,FALSE),"-")</f>
        <v>ILONA</v>
      </c>
      <c r="AM1094" s="62">
        <f>IFERROR(VLOOKUP(Table2[[#This Row],[Contraente]],Table1[[Nome/Ragione sociale]:[Checkbox selezionato]],6,FALSE),"-")</f>
        <v>0</v>
      </c>
      <c r="AN1094" s="63" t="str">
        <f>IFERROR(VLOOKUP(Table2[[#This Row],[Contraente]],Table1[[Nome/Ragione sociale]:[Checkbox selezionato]],7,FALSE),"-")</f>
        <v>papies@libero.it</v>
      </c>
      <c r="AO1094" s="63">
        <f>IFERROR(VLOOKUP(Table2[[#This Row],[Contraente]],Table1[[Nome/Ragione sociale]:[Checkbox selezionato]],8,FALSE),"-")</f>
        <v>0</v>
      </c>
      <c r="AP1094" s="63">
        <f>IFERROR(VLOOKUP(Table2[[#This Row],[Contraente]],Table1[[Nome/Ragione sociale]:[Checkbox selezionato]],10,FALSE),"-")</f>
        <v>3466839841</v>
      </c>
      <c r="AQ1094" s="63" t="str">
        <f>IFERROR(VLOOKUP(Table2[[#This Row],[Contraente]],Table1[[Nome/Ragione sociale]:[Checkbox selezionato]],11,FALSE),"-")</f>
        <v>SI</v>
      </c>
      <c r="AR1094" s="63" t="str">
        <f>IFERROR(VLOOKUP(Table2[[#This Row],[Contraente]],Table1[[Nome/Ragione sociale]:[Checkbox selezionato]],12,FALSE),"-")</f>
        <v>SI</v>
      </c>
    </row>
    <row r="1095" spans="1:44" ht="30" hidden="1" customHeight="1" x14ac:dyDescent="0.25">
      <c r="A1095" s="60" t="str">
        <f>UPPER(LEFT(Table2[[#This Row],[Contraente]],1))</f>
        <v>V</v>
      </c>
      <c r="B1095" s="60" t="s">
        <v>1634</v>
      </c>
      <c r="C1095" s="84" t="s">
        <v>1058</v>
      </c>
      <c r="D1095" s="81" t="s">
        <v>37</v>
      </c>
      <c r="E1095" s="86">
        <v>103545065</v>
      </c>
      <c r="F1095" s="64">
        <v>42265</v>
      </c>
      <c r="G1095" s="64">
        <f>IFERROR(CALCOLASCADENZA(Table2[[#This Row],[Data attivazione]],Table2[[#This Row],[Rateizzazione]],Table2[[#This Row],[Data ultimo pagamento]],Table2[[#This Row],[Data prossima scadenza manuale]]),"-")</f>
        <v>693962</v>
      </c>
      <c r="H1095" s="67" t="s">
        <v>30</v>
      </c>
      <c r="I1095" s="67" t="s">
        <v>113</v>
      </c>
      <c r="J1095" s="33">
        <f>IFERROR(Table2[[#This Row],[Importo annuale]]/(12/VLOOKUP(Table2[[#This Row],[Rateizzazione]],TIPI_RATEIZZAZIONI,2,FALSE)),"-")</f>
        <v>122</v>
      </c>
      <c r="K1095" s="88"/>
      <c r="L1095" s="88">
        <v>122</v>
      </c>
      <c r="M1095" s="67" t="s">
        <v>43</v>
      </c>
      <c r="N1095" s="67" t="s">
        <v>52</v>
      </c>
      <c r="O1095" s="27" t="s">
        <v>1631</v>
      </c>
      <c r="P1095" s="33" t="s">
        <v>23</v>
      </c>
      <c r="Q1095" s="60">
        <f>IFERROR(IF(12 / VLOOKUP(Table2[[#This Row],[Rateizzazione]],TIPI_RATEIZZAZIONI,2,FALSE) &gt;=1,  IF(Table2[[#This Row],[Data attivazione]] = "","-",MONTH(Table2[[#This Row],[Data attivazione]])),"-"),"-")</f>
        <v>12</v>
      </c>
      <c r="R10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5" s="67" t="s">
        <v>2</v>
      </c>
      <c r="V1095" s="62"/>
      <c r="W1095" s="64">
        <v>693597</v>
      </c>
      <c r="X1095" s="29">
        <f>DATE(YEAR(Table2[[#This Row],[Data attivazione]])+VLOOKUP(Table2[[#This Row],[Durata]],VALORE_DURATA,2,FALSE),MONTH(Table2[[#This Row],[Data attivazione]]),DAY(Table2[[#This Row],[Data attivazione]]))</f>
        <v>693962</v>
      </c>
      <c r="Y1095" s="65"/>
      <c r="Z1095" s="61"/>
      <c r="AA1095" s="64" t="s">
        <v>88</v>
      </c>
      <c r="AB1095" s="29" t="str">
        <f>IF(Table2[[#This Row],[Data ultimo versamento temp]]=0/1/1900,"-",Table2[[#This Row],[Data ultimo versamento temp]])</f>
        <v>-</v>
      </c>
      <c r="AC1095" s="29">
        <f t="array" ref="AC1095">MAX(IF(TableVersamenti[Polizza]=Table2[[#This Row],[Polizza]],TableVersamenti[Data prevista versamento],"-"))</f>
        <v>0</v>
      </c>
      <c r="AD1095" s="62"/>
      <c r="AE1095" s="106">
        <f>DATE(YEAR(Table2[[#This Row],[Data ultimo pagamento]]),MONTH(Table2[[#This Row],[Data ultimo pagamento]]), 1)</f>
        <v>42248</v>
      </c>
      <c r="AF1095" s="106">
        <f>DATE(YEAR(Table2[[#This Row],[Data prossima scadenza]]),MONTH(Table2[[#This Row],[Data prossima scadenza]]), 1)</f>
        <v>693932</v>
      </c>
      <c r="AG1095" s="33">
        <f>IFERROR(Table2[[#This Row],[Importo annuale]]*VLOOKUP(Table2[[#This Row],[Ramo]],RAMI_POLIZZA,2,FALSE),0)</f>
        <v>14.030000000000001</v>
      </c>
      <c r="AH1095" s="65" t="s">
        <v>113</v>
      </c>
      <c r="AI1095" s="63" t="str">
        <f>IFERROR(VLOOKUP(Table2[[#This Row],[Contraente]],Table1[[Nome/Ragione sociale]:[Checkbox selezionato]],2,FALSE),"-")</f>
        <v>BELGIOIOSO</v>
      </c>
      <c r="AJ1095" s="63">
        <f>IFERROR(VLOOKUP(Table2[[#This Row],[Contraente]],Table1[[Nome/Ragione sociale]:[Checkbox selezionato]],3,FALSE),"-")</f>
        <v>3664097684</v>
      </c>
      <c r="AK1095" s="63">
        <f>IFERROR(VLOOKUP(Table2[[#This Row],[Contraente]],Table1[[Nome/Ragione sociale]:[Checkbox selezionato]],4,FALSE),"-")</f>
        <v>0</v>
      </c>
      <c r="AL1095" s="63" t="str">
        <f>IFERROR(VLOOKUP(Table2[[#This Row],[Contraente]],Table1[[Nome/Ragione sociale]:[Checkbox selezionato]],5,FALSE),"-")</f>
        <v>MAMMA</v>
      </c>
      <c r="AM1095" s="62">
        <f>IFERROR(VLOOKUP(Table2[[#This Row],[Contraente]],Table1[[Nome/Ragione sociale]:[Checkbox selezionato]],6,FALSE),"-")</f>
        <v>30411</v>
      </c>
      <c r="AN1095" s="63" t="str">
        <f>IFERROR(VLOOKUP(Table2[[#This Row],[Contraente]],Table1[[Nome/Ragione sociale]:[Checkbox selezionato]],7,FALSE),"-")</f>
        <v>papies@libero.it</v>
      </c>
      <c r="AO1095" s="63">
        <f>IFERROR(VLOOKUP(Table2[[#This Row],[Contraente]],Table1[[Nome/Ragione sociale]:[Checkbox selezionato]],8,FALSE),"-")</f>
        <v>0</v>
      </c>
      <c r="AP1095" s="63">
        <f>IFERROR(VLOOKUP(Table2[[#This Row],[Contraente]],Table1[[Nome/Ragione sociale]:[Checkbox selezionato]],10,FALSE),"-")</f>
        <v>3664097684</v>
      </c>
      <c r="AQ1095" s="63" t="str">
        <f>IFERROR(VLOOKUP(Table2[[#This Row],[Contraente]],Table1[[Nome/Ragione sociale]:[Checkbox selezionato]],11,FALSE),"-")</f>
        <v>SI</v>
      </c>
      <c r="AR1095" s="63" t="str">
        <f>IFERROR(VLOOKUP(Table2[[#This Row],[Contraente]],Table1[[Nome/Ragione sociale]:[Checkbox selezionato]],12,FALSE),"-")</f>
        <v>SI</v>
      </c>
    </row>
    <row r="1096" spans="1:44" ht="30" hidden="1" customHeight="1" x14ac:dyDescent="0.25">
      <c r="A1096" s="60" t="str">
        <f>UPPER(LEFT(Table2[[#This Row],[Contraente]],1))</f>
        <v>V</v>
      </c>
      <c r="B1096" s="60" t="s">
        <v>1634</v>
      </c>
      <c r="C1096" s="84" t="s">
        <v>1058</v>
      </c>
      <c r="D1096" s="81" t="s">
        <v>37</v>
      </c>
      <c r="E1096" s="86">
        <v>103545051</v>
      </c>
      <c r="F1096" s="64">
        <v>42446</v>
      </c>
      <c r="G1096" s="64">
        <f>IFERROR(CALCOLASCADENZA(Table2[[#This Row],[Data attivazione]],Table2[[#This Row],[Rateizzazione]],Table2[[#This Row],[Data ultimo pagamento]],Table2[[#This Row],[Data prossima scadenza manuale]]),"-")</f>
        <v>42631</v>
      </c>
      <c r="H1096" s="67" t="s">
        <v>31</v>
      </c>
      <c r="I1096" s="67" t="s">
        <v>1601</v>
      </c>
      <c r="J1096" s="33">
        <f>IFERROR(Table2[[#This Row],[Importo annuale]]/(12/VLOOKUP(Table2[[#This Row],[Rateizzazione]],TIPI_RATEIZZAZIONI,2,FALSE)),"-")</f>
        <v>359</v>
      </c>
      <c r="K1096" s="88"/>
      <c r="L1096" s="88">
        <v>718</v>
      </c>
      <c r="M1096" s="67" t="s">
        <v>43</v>
      </c>
      <c r="N1096" s="67" t="s">
        <v>52</v>
      </c>
      <c r="O1096" s="27" t="s">
        <v>1631</v>
      </c>
      <c r="P1096" s="33" t="s">
        <v>22</v>
      </c>
      <c r="Q1096" s="60">
        <f>IFERROR(IF(12 / VLOOKUP(Table2[[#This Row],[Rateizzazione]],TIPI_RATEIZZAZIONI,2,FALSE) &gt;=1,  IF(Table2[[#This Row],[Data attivazione]] = "","-",MONTH(Table2[[#This Row],[Data attivazione]])),"-"),"-")</f>
        <v>9</v>
      </c>
      <c r="R10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6" s="67" t="s">
        <v>2</v>
      </c>
      <c r="V1096" s="62"/>
      <c r="W1096" s="64">
        <v>42265</v>
      </c>
      <c r="X1096" s="29">
        <f>DATE(YEAR(Table2[[#This Row],[Data attivazione]])+VLOOKUP(Table2[[#This Row],[Durata]],VALORE_DURATA,2,FALSE),MONTH(Table2[[#This Row],[Data attivazione]]),DAY(Table2[[#This Row],[Data attivazione]]))</f>
        <v>42631</v>
      </c>
      <c r="Y1096" s="65"/>
      <c r="Z1096" s="61"/>
      <c r="AA1096" s="64" t="s">
        <v>88</v>
      </c>
      <c r="AB1096" s="29" t="str">
        <f>IF(Table2[[#This Row],[Data ultimo versamento temp]]=0/1/1900,"-",Table2[[#This Row],[Data ultimo versamento temp]])</f>
        <v>-</v>
      </c>
      <c r="AC1096" s="29">
        <f t="array" ref="AC1096">MAX(IF(TableVersamenti[Polizza]=Table2[[#This Row],[Polizza]],TableVersamenti[Data prevista versamento],"-"))</f>
        <v>0</v>
      </c>
      <c r="AD1096" s="62"/>
      <c r="AE1096" s="106">
        <f>DATE(YEAR(Table2[[#This Row],[Data ultimo pagamento]]),MONTH(Table2[[#This Row],[Data ultimo pagamento]]), 1)</f>
        <v>42430</v>
      </c>
      <c r="AF1096" s="106">
        <f>DATE(YEAR(Table2[[#This Row],[Data prossima scadenza]]),MONTH(Table2[[#This Row],[Data prossima scadenza]]), 1)</f>
        <v>42614</v>
      </c>
      <c r="AG1096" s="33">
        <f>IFERROR(Table2[[#This Row],[Importo annuale]]*VLOOKUP(Table2[[#This Row],[Ramo]],RAMI_POLIZZA,2,FALSE),0)</f>
        <v>37.335999999999999</v>
      </c>
      <c r="AH1096" s="65" t="s">
        <v>113</v>
      </c>
      <c r="AI1096" s="63" t="str">
        <f>IFERROR(VLOOKUP(Table2[[#This Row],[Contraente]],Table1[[Nome/Ragione sociale]:[Checkbox selezionato]],2,FALSE),"-")</f>
        <v>BELGIOIOSO</v>
      </c>
      <c r="AJ1096" s="63">
        <f>IFERROR(VLOOKUP(Table2[[#This Row],[Contraente]],Table1[[Nome/Ragione sociale]:[Checkbox selezionato]],3,FALSE),"-")</f>
        <v>3664097684</v>
      </c>
      <c r="AK1096" s="63">
        <f>IFERROR(VLOOKUP(Table2[[#This Row],[Contraente]],Table1[[Nome/Ragione sociale]:[Checkbox selezionato]],4,FALSE),"-")</f>
        <v>0</v>
      </c>
      <c r="AL1096" s="63" t="str">
        <f>IFERROR(VLOOKUP(Table2[[#This Row],[Contraente]],Table1[[Nome/Ragione sociale]:[Checkbox selezionato]],5,FALSE),"-")</f>
        <v>MAMMA</v>
      </c>
      <c r="AM1096" s="62">
        <f>IFERROR(VLOOKUP(Table2[[#This Row],[Contraente]],Table1[[Nome/Ragione sociale]:[Checkbox selezionato]],6,FALSE),"-")</f>
        <v>30411</v>
      </c>
      <c r="AN1096" s="63" t="str">
        <f>IFERROR(VLOOKUP(Table2[[#This Row],[Contraente]],Table1[[Nome/Ragione sociale]:[Checkbox selezionato]],7,FALSE),"-")</f>
        <v>papies@libero.it</v>
      </c>
      <c r="AO1096" s="63">
        <f>IFERROR(VLOOKUP(Table2[[#This Row],[Contraente]],Table1[[Nome/Ragione sociale]:[Checkbox selezionato]],8,FALSE),"-")</f>
        <v>0</v>
      </c>
      <c r="AP1096" s="63">
        <f>IFERROR(VLOOKUP(Table2[[#This Row],[Contraente]],Table1[[Nome/Ragione sociale]:[Checkbox selezionato]],10,FALSE),"-")</f>
        <v>3664097684</v>
      </c>
      <c r="AQ1096" s="63" t="str">
        <f>IFERROR(VLOOKUP(Table2[[#This Row],[Contraente]],Table1[[Nome/Ragione sociale]:[Checkbox selezionato]],11,FALSE),"-")</f>
        <v>SI</v>
      </c>
      <c r="AR1096" s="63" t="str">
        <f>IFERROR(VLOOKUP(Table2[[#This Row],[Contraente]],Table1[[Nome/Ragione sociale]:[Checkbox selezionato]],12,FALSE),"-")</f>
        <v>SI</v>
      </c>
    </row>
    <row r="1097" spans="1:44" ht="30" hidden="1" customHeight="1" x14ac:dyDescent="0.25">
      <c r="A1097" s="60" t="str">
        <f>UPPER(LEFT(Table2[[#This Row],[Contraente]],1))</f>
        <v>V</v>
      </c>
      <c r="B1097" s="60" t="s">
        <v>1634</v>
      </c>
      <c r="C1097" s="84" t="s">
        <v>1067</v>
      </c>
      <c r="D1097" s="81" t="s">
        <v>37</v>
      </c>
      <c r="E1097" s="86">
        <v>105844415</v>
      </c>
      <c r="F1097" s="64">
        <v>42930</v>
      </c>
      <c r="G1097" s="64">
        <f>IFERROR(CALCOLASCADENZA(Table2[[#This Row],[Data attivazione]],Table2[[#This Row],[Rateizzazione]],Table2[[#This Row],[Data ultimo pagamento]],Table2[[#This Row],[Data prossima scadenza manuale]]),"-")</f>
        <v>43115</v>
      </c>
      <c r="H1097" s="67" t="s">
        <v>31</v>
      </c>
      <c r="I1097" s="67" t="s">
        <v>1606</v>
      </c>
      <c r="J1097" s="33">
        <f>IFERROR(Table2[[#This Row],[Importo annuale]]/(12/VLOOKUP(Table2[[#This Row],[Rateizzazione]],TIPI_RATEIZZAZIONI,2,FALSE)),"-")</f>
        <v>262.35000000000002</v>
      </c>
      <c r="K1097" s="88">
        <v>526.70000000000005</v>
      </c>
      <c r="L1097" s="88">
        <v>524.70000000000005</v>
      </c>
      <c r="M1097" s="67" t="s">
        <v>44</v>
      </c>
      <c r="N1097" s="67" t="s">
        <v>52</v>
      </c>
      <c r="O1097" s="27" t="s">
        <v>1631</v>
      </c>
      <c r="P1097" s="33" t="s">
        <v>22</v>
      </c>
      <c r="Q1097" s="60">
        <f>IFERROR(IF(12 / VLOOKUP(Table2[[#This Row],[Rateizzazione]],TIPI_RATEIZZAZIONI,2,FALSE) &gt;=1,  IF(Table2[[#This Row],[Data attivazione]] = "","-",MONTH(Table2[[#This Row],[Data attivazione]])),"-"),"-")</f>
        <v>7</v>
      </c>
      <c r="R10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0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7" s="67" t="s">
        <v>2</v>
      </c>
      <c r="V1097" s="62"/>
      <c r="W1097" s="64">
        <v>42931</v>
      </c>
      <c r="X1097" s="29">
        <f>DATE(YEAR(Table2[[#This Row],[Data attivazione]])+VLOOKUP(Table2[[#This Row],[Durata]],VALORE_DURATA,2,FALSE),MONTH(Table2[[#This Row],[Data attivazione]]),DAY(Table2[[#This Row],[Data attivazione]]))</f>
        <v>43296</v>
      </c>
      <c r="Y1097" s="65"/>
      <c r="Z1097" s="61"/>
      <c r="AA1097" s="64" t="s">
        <v>85</v>
      </c>
      <c r="AB1097" s="29">
        <f>IF(Table2[[#This Row],[Data ultimo versamento temp]]=0/1/1900,"-",Table2[[#This Row],[Data ultimo versamento temp]])</f>
        <v>42933</v>
      </c>
      <c r="AC1097" s="29">
        <f t="array" ref="AC1097">MAX(IF(TableVersamenti[Polizza]=Table2[[#This Row],[Polizza]],TableVersamenti[Data prevista versamento],"-"))</f>
        <v>42933</v>
      </c>
      <c r="AD1097" s="62"/>
      <c r="AE1097" s="106">
        <f>DATE(YEAR(Table2[[#This Row],[Data ultimo pagamento]]),MONTH(Table2[[#This Row],[Data ultimo pagamento]]), 1)</f>
        <v>42917</v>
      </c>
      <c r="AF1097" s="106">
        <f>DATE(YEAR(Table2[[#This Row],[Data prossima scadenza]]),MONTH(Table2[[#This Row],[Data prossima scadenza]]), 1)</f>
        <v>43101</v>
      </c>
      <c r="AG1097" s="33">
        <f>IFERROR(Table2[[#This Row],[Importo annuale]]*VLOOKUP(Table2[[#This Row],[Ramo]],RAMI_POLIZZA,2,FALSE),0)</f>
        <v>27.284400000000002</v>
      </c>
      <c r="AH1097" s="65" t="s">
        <v>113</v>
      </c>
      <c r="AI1097" s="63" t="str">
        <f>IFERROR(VLOOKUP(Table2[[#This Row],[Contraente]],Table1[[Nome/Ragione sociale]:[Checkbox selezionato]],2,FALSE),"-")</f>
        <v>BELGIOIOSO</v>
      </c>
      <c r="AJ1097" s="63">
        <f>IFERROR(VLOOKUP(Table2[[#This Row],[Contraente]],Table1[[Nome/Ragione sociale]:[Checkbox selezionato]],3,FALSE),"-")</f>
        <v>3396302390</v>
      </c>
      <c r="AK1097" s="63">
        <f>IFERROR(VLOOKUP(Table2[[#This Row],[Contraente]],Table1[[Nome/Ragione sociale]:[Checkbox selezionato]],4,FALSE),"-")</f>
        <v>0</v>
      </c>
      <c r="AL1097" s="63" t="str">
        <f>IFERROR(VLOOKUP(Table2[[#This Row],[Contraente]],Table1[[Nome/Ragione sociale]:[Checkbox selezionato]],5,FALSE),"-")</f>
        <v>D'AMORE GIORGIO</v>
      </c>
      <c r="AM1097" s="62">
        <f>IFERROR(VLOOKUP(Table2[[#This Row],[Contraente]],Table1[[Nome/Ragione sociale]:[Checkbox selezionato]],6,FALSE),"-")</f>
        <v>20617</v>
      </c>
      <c r="AN1097" s="63" t="str">
        <f>IFERROR(VLOOKUP(Table2[[#This Row],[Contraente]],Table1[[Nome/Ragione sociale]:[Checkbox selezionato]],7,FALSE),"-")</f>
        <v>papies@email.it</v>
      </c>
      <c r="AO1097" s="63">
        <f>IFERROR(VLOOKUP(Table2[[#This Row],[Contraente]],Table1[[Nome/Ragione sociale]:[Checkbox selezionato]],8,FALSE),"-")</f>
        <v>0</v>
      </c>
      <c r="AP1097" s="63">
        <f>IFERROR(VLOOKUP(Table2[[#This Row],[Contraente]],Table1[[Nome/Ragione sociale]:[Checkbox selezionato]],10,FALSE),"-")</f>
        <v>3396302390</v>
      </c>
      <c r="AQ1097" s="63" t="str">
        <f>IFERROR(VLOOKUP(Table2[[#This Row],[Contraente]],Table1[[Nome/Ragione sociale]:[Checkbox selezionato]],11,FALSE),"-")</f>
        <v>SI</v>
      </c>
      <c r="AR1097" s="63" t="str">
        <f>IFERROR(VLOOKUP(Table2[[#This Row],[Contraente]],Table1[[Nome/Ragione sociale]:[Checkbox selezionato]],12,FALSE),"-")</f>
        <v>SI</v>
      </c>
    </row>
    <row r="1098" spans="1:44" ht="30" hidden="1" customHeight="1" x14ac:dyDescent="0.25">
      <c r="A1098" s="60" t="str">
        <f>UPPER(LEFT(Table2[[#This Row],[Contraente]],1))</f>
        <v>V</v>
      </c>
      <c r="B1098" s="60" t="s">
        <v>1634</v>
      </c>
      <c r="C1098" s="84" t="s">
        <v>1068</v>
      </c>
      <c r="D1098" s="81" t="s">
        <v>1122</v>
      </c>
      <c r="E1098" s="86">
        <v>106454539</v>
      </c>
      <c r="F1098" s="64">
        <v>42759</v>
      </c>
      <c r="G1098" s="64">
        <f>IFERROR(CALCOLASCADENZA(Table2[[#This Row],[Data attivazione]],Table2[[#This Row],[Rateizzazione]],Table2[[#This Row],[Data ultimo pagamento]],Table2[[#This Row],[Data prossima scadenza manuale]]),"-")</f>
        <v>43130</v>
      </c>
      <c r="H1098" s="67" t="s">
        <v>30</v>
      </c>
      <c r="I1098" s="67" t="s">
        <v>113</v>
      </c>
      <c r="J1098" s="33">
        <f>IFERROR(Table2[[#This Row],[Importo annuale]]/(12/VLOOKUP(Table2[[#This Row],[Rateizzazione]],TIPI_RATEIZZAZIONI,2,FALSE)),"-")</f>
        <v>501</v>
      </c>
      <c r="K1098" s="88">
        <v>501</v>
      </c>
      <c r="L1098" s="88">
        <v>501</v>
      </c>
      <c r="M1098" s="67" t="s">
        <v>44</v>
      </c>
      <c r="N1098" s="67" t="s">
        <v>52</v>
      </c>
      <c r="O1098" s="27" t="s">
        <v>1631</v>
      </c>
      <c r="P1098" s="33" t="s">
        <v>23</v>
      </c>
      <c r="Q1098" s="60">
        <f>IFERROR(IF(12 / VLOOKUP(Table2[[#This Row],[Rateizzazione]],TIPI_RATEIZZAZIONI,2,FALSE) &gt;=1,  IF(Table2[[#This Row],[Data attivazione]] = "","-",MONTH(Table2[[#This Row],[Data attivazione]])),"-"),"-")</f>
        <v>1</v>
      </c>
      <c r="R10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8" s="67" t="s">
        <v>2</v>
      </c>
      <c r="V1098" s="62"/>
      <c r="W1098" s="64">
        <v>42765</v>
      </c>
      <c r="X1098" s="29">
        <f>DATE(YEAR(Table2[[#This Row],[Data attivazione]])+VLOOKUP(Table2[[#This Row],[Durata]],VALORE_DURATA,2,FALSE),MONTH(Table2[[#This Row],[Data attivazione]]),DAY(Table2[[#This Row],[Data attivazione]]))</f>
        <v>43130</v>
      </c>
      <c r="Y1098" s="65"/>
      <c r="Z1098" s="61"/>
      <c r="AA1098" s="64" t="s">
        <v>85</v>
      </c>
      <c r="AB1098" s="29" t="str">
        <f>IF(Table2[[#This Row],[Data ultimo versamento temp]]=0/1/1900,"-",Table2[[#This Row],[Data ultimo versamento temp]])</f>
        <v>-</v>
      </c>
      <c r="AC1098" s="29">
        <f t="array" ref="AC1098">MAX(IF(TableVersamenti[Polizza]=Table2[[#This Row],[Polizza]],TableVersamenti[Data prevista versamento],"-"))</f>
        <v>0</v>
      </c>
      <c r="AD1098" s="62"/>
      <c r="AE1098" s="106">
        <f>DATE(YEAR(Table2[[#This Row],[Data ultimo pagamento]]),MONTH(Table2[[#This Row],[Data ultimo pagamento]]), 1)</f>
        <v>42736</v>
      </c>
      <c r="AF1098" s="106">
        <f>DATE(YEAR(Table2[[#This Row],[Data prossima scadenza]]),MONTH(Table2[[#This Row],[Data prossima scadenza]]), 1)</f>
        <v>43101</v>
      </c>
      <c r="AG1098" s="33">
        <f>IFERROR(Table2[[#This Row],[Importo annuale]]*VLOOKUP(Table2[[#This Row],[Ramo]],RAMI_POLIZZA,2,FALSE),0)</f>
        <v>57.615000000000002</v>
      </c>
      <c r="AH1098" s="65" t="s">
        <v>113</v>
      </c>
      <c r="AI1098" s="63" t="str">
        <f>IFERROR(VLOOKUP(Table2[[#This Row],[Contraente]],Table1[[Nome/Ragione sociale]:[Checkbox selezionato]],2,FALSE),"-")</f>
        <v>BELGIOIOSO</v>
      </c>
      <c r="AJ1098" s="63" t="str">
        <f>IFERROR(VLOOKUP(Table2[[#This Row],[Contraente]],Table1[[Nome/Ragione sociale]:[Checkbox selezionato]],3,FALSE),"-")</f>
        <v>-</v>
      </c>
      <c r="AK1098" s="63">
        <f>IFERROR(VLOOKUP(Table2[[#This Row],[Contraente]],Table1[[Nome/Ragione sociale]:[Checkbox selezionato]],4,FALSE),"-")</f>
        <v>0</v>
      </c>
      <c r="AL1098" s="63" t="str">
        <f>IFERROR(VLOOKUP(Table2[[#This Row],[Contraente]],Table1[[Nome/Ragione sociale]:[Checkbox selezionato]],5,FALSE),"-")</f>
        <v>TABACCH. BELGIOIOSO</v>
      </c>
      <c r="AM1098" s="62">
        <f>IFERROR(VLOOKUP(Table2[[#This Row],[Contraente]],Table1[[Nome/Ragione sociale]:[Checkbox selezionato]],6,FALSE),"-")</f>
        <v>16648</v>
      </c>
      <c r="AN1098" s="63" t="str">
        <f>IFERROR(VLOOKUP(Table2[[#This Row],[Contraente]],Table1[[Nome/Ragione sociale]:[Checkbox selezionato]],7,FALSE),"-")</f>
        <v>papies@libero.it</v>
      </c>
      <c r="AO1098" s="63">
        <f>IFERROR(VLOOKUP(Table2[[#This Row],[Contraente]],Table1[[Nome/Ragione sociale]:[Checkbox selezionato]],8,FALSE),"-")</f>
        <v>0</v>
      </c>
      <c r="AP1098" s="63" t="str">
        <f>IFERROR(VLOOKUP(Table2[[#This Row],[Contraente]],Table1[[Nome/Ragione sociale]:[Checkbox selezionato]],10,FALSE),"-")</f>
        <v>-</v>
      </c>
      <c r="AQ1098" s="63" t="str">
        <f>IFERROR(VLOOKUP(Table2[[#This Row],[Contraente]],Table1[[Nome/Ragione sociale]:[Checkbox selezionato]],11,FALSE),"-")</f>
        <v>SI</v>
      </c>
      <c r="AR1098" s="63" t="str">
        <f>IFERROR(VLOOKUP(Table2[[#This Row],[Contraente]],Table1[[Nome/Ragione sociale]:[Checkbox selezionato]],12,FALSE),"-")</f>
        <v>SI</v>
      </c>
    </row>
    <row r="1099" spans="1:44" ht="30" hidden="1" customHeight="1" x14ac:dyDescent="0.25">
      <c r="A1099" s="60" t="str">
        <f>UPPER(LEFT(Table2[[#This Row],[Contraente]],1))</f>
        <v>V</v>
      </c>
      <c r="B1099" s="60" t="s">
        <v>1634</v>
      </c>
      <c r="C1099" s="84" t="s">
        <v>1068</v>
      </c>
      <c r="D1099" s="81" t="s">
        <v>37</v>
      </c>
      <c r="E1099" s="86">
        <v>106408139</v>
      </c>
      <c r="F1099" s="64">
        <v>42759</v>
      </c>
      <c r="G1099" s="64">
        <f>IFERROR(CALCOLASCADENZA(Table2[[#This Row],[Data attivazione]],Table2[[#This Row],[Rateizzazione]],Table2[[#This Row],[Data ultimo pagamento]],Table2[[#This Row],[Data prossima scadenza manuale]]),"-")</f>
        <v>43129</v>
      </c>
      <c r="H1099" s="67" t="s">
        <v>31</v>
      </c>
      <c r="I1099" s="67" t="s">
        <v>1607</v>
      </c>
      <c r="J1099" s="33">
        <f>IFERROR(Table2[[#This Row],[Importo annuale]]/(12/VLOOKUP(Table2[[#This Row],[Rateizzazione]],TIPI_RATEIZZAZIONI,2,FALSE)),"-")</f>
        <v>501</v>
      </c>
      <c r="K1099" s="88">
        <v>501</v>
      </c>
      <c r="L1099" s="88">
        <v>501</v>
      </c>
      <c r="M1099" s="67" t="s">
        <v>44</v>
      </c>
      <c r="N1099" s="67" t="s">
        <v>51</v>
      </c>
      <c r="O1099" s="27" t="s">
        <v>1631</v>
      </c>
      <c r="P1099" s="33" t="s">
        <v>23</v>
      </c>
      <c r="Q1099" s="60">
        <f>IFERROR(IF(12 / VLOOKUP(Table2[[#This Row],[Rateizzazione]],TIPI_RATEIZZAZIONI,2,FALSE) &gt;=1,  IF(Table2[[#This Row],[Data attivazione]] = "","-",MONTH(Table2[[#This Row],[Data attivazione]])),"-"),"-")</f>
        <v>1</v>
      </c>
      <c r="R10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9" s="67" t="s">
        <v>2</v>
      </c>
      <c r="V1099" s="62"/>
      <c r="W1099" s="64">
        <v>42764</v>
      </c>
      <c r="X1099" s="29">
        <f>DATE(YEAR(Table2[[#This Row],[Data attivazione]])+VLOOKUP(Table2[[#This Row],[Durata]],VALORE_DURATA,2,FALSE),MONTH(Table2[[#This Row],[Data attivazione]]),DAY(Table2[[#This Row],[Data attivazione]]))</f>
        <v>43129</v>
      </c>
      <c r="Y1099" s="65"/>
      <c r="Z1099" s="61"/>
      <c r="AA1099" s="64" t="s">
        <v>85</v>
      </c>
      <c r="AB1099" s="29" t="str">
        <f>IF(Table2[[#This Row],[Data ultimo versamento temp]]=0/1/1900,"-",Table2[[#This Row],[Data ultimo versamento temp]])</f>
        <v>-</v>
      </c>
      <c r="AC1099" s="29">
        <f t="array" ref="AC1099">MAX(IF(TableVersamenti[Polizza]=Table2[[#This Row],[Polizza]],TableVersamenti[Data prevista versamento],"-"))</f>
        <v>0</v>
      </c>
      <c r="AD1099" s="62"/>
      <c r="AE1099" s="106">
        <f>DATE(YEAR(Table2[[#This Row],[Data ultimo pagamento]]),MONTH(Table2[[#This Row],[Data ultimo pagamento]]), 1)</f>
        <v>42736</v>
      </c>
      <c r="AF1099" s="106">
        <f>DATE(YEAR(Table2[[#This Row],[Data prossima scadenza]]),MONTH(Table2[[#This Row],[Data prossima scadenza]]), 1)</f>
        <v>43101</v>
      </c>
      <c r="AG1099" s="33">
        <f>IFERROR(Table2[[#This Row],[Importo annuale]]*VLOOKUP(Table2[[#This Row],[Ramo]],RAMI_POLIZZA,2,FALSE),0)</f>
        <v>26.052</v>
      </c>
      <c r="AH1099" s="65" t="s">
        <v>113</v>
      </c>
      <c r="AI1099" s="63" t="str">
        <f>IFERROR(VLOOKUP(Table2[[#This Row],[Contraente]],Table1[[Nome/Ragione sociale]:[Checkbox selezionato]],2,FALSE),"-")</f>
        <v>BELGIOIOSO</v>
      </c>
      <c r="AJ1099" s="63" t="str">
        <f>IFERROR(VLOOKUP(Table2[[#This Row],[Contraente]],Table1[[Nome/Ragione sociale]:[Checkbox selezionato]],3,FALSE),"-")</f>
        <v>-</v>
      </c>
      <c r="AK1099" s="63">
        <f>IFERROR(VLOOKUP(Table2[[#This Row],[Contraente]],Table1[[Nome/Ragione sociale]:[Checkbox selezionato]],4,FALSE),"-")</f>
        <v>0</v>
      </c>
      <c r="AL1099" s="63" t="str">
        <f>IFERROR(VLOOKUP(Table2[[#This Row],[Contraente]],Table1[[Nome/Ragione sociale]:[Checkbox selezionato]],5,FALSE),"-")</f>
        <v>TABACCH. BELGIOIOSO</v>
      </c>
      <c r="AM1099" s="62">
        <f>IFERROR(VLOOKUP(Table2[[#This Row],[Contraente]],Table1[[Nome/Ragione sociale]:[Checkbox selezionato]],6,FALSE),"-")</f>
        <v>16648</v>
      </c>
      <c r="AN1099" s="63" t="str">
        <f>IFERROR(VLOOKUP(Table2[[#This Row],[Contraente]],Table1[[Nome/Ragione sociale]:[Checkbox selezionato]],7,FALSE),"-")</f>
        <v>papies@libero.it</v>
      </c>
      <c r="AO1099" s="63">
        <f>IFERROR(VLOOKUP(Table2[[#This Row],[Contraente]],Table1[[Nome/Ragione sociale]:[Checkbox selezionato]],8,FALSE),"-")</f>
        <v>0</v>
      </c>
      <c r="AP1099" s="63" t="str">
        <f>IFERROR(VLOOKUP(Table2[[#This Row],[Contraente]],Table1[[Nome/Ragione sociale]:[Checkbox selezionato]],10,FALSE),"-")</f>
        <v>-</v>
      </c>
      <c r="AQ1099" s="63" t="str">
        <f>IFERROR(VLOOKUP(Table2[[#This Row],[Contraente]],Table1[[Nome/Ragione sociale]:[Checkbox selezionato]],11,FALSE),"-")</f>
        <v>SI</v>
      </c>
      <c r="AR1099" s="63" t="str">
        <f>IFERROR(VLOOKUP(Table2[[#This Row],[Contraente]],Table1[[Nome/Ragione sociale]:[Checkbox selezionato]],12,FALSE),"-")</f>
        <v>SI</v>
      </c>
    </row>
    <row r="1100" spans="1:44" ht="30" hidden="1" customHeight="1" x14ac:dyDescent="0.25">
      <c r="A1100" s="60" t="str">
        <f>UPPER(LEFT(Table2[[#This Row],[Contraente]],1))</f>
        <v>V</v>
      </c>
      <c r="B1100" s="60" t="s">
        <v>1634</v>
      </c>
      <c r="C1100" s="84" t="s">
        <v>1062</v>
      </c>
      <c r="D1100" s="81" t="s">
        <v>37</v>
      </c>
      <c r="E1100" s="86">
        <v>1074988</v>
      </c>
      <c r="F1100" s="64">
        <v>42923</v>
      </c>
      <c r="G1100" s="64">
        <f>IFERROR(CALCOLASCADENZA(Table2[[#This Row],[Data attivazione]],Table2[[#This Row],[Rateizzazione]],Table2[[#This Row],[Data ultimo pagamento]],Table2[[#This Row],[Data prossima scadenza manuale]]),"-")</f>
        <v>43108</v>
      </c>
      <c r="H1100" s="67" t="s">
        <v>32</v>
      </c>
      <c r="I1100" s="67" t="s">
        <v>113</v>
      </c>
      <c r="J1100" s="33">
        <v>41.29</v>
      </c>
      <c r="K1100" s="88">
        <v>82.58</v>
      </c>
      <c r="L1100" s="88">
        <v>82.6</v>
      </c>
      <c r="M1100" s="67" t="s">
        <v>44</v>
      </c>
      <c r="N1100" s="67" t="s">
        <v>52</v>
      </c>
      <c r="O1100" s="27" t="s">
        <v>1631</v>
      </c>
      <c r="P1100" s="33" t="s">
        <v>22</v>
      </c>
      <c r="Q1100" s="60">
        <f>IFERROR(IF(12 / VLOOKUP(Table2[[#This Row],[Rateizzazione]],TIPI_RATEIZZAZIONI,2,FALSE) &gt;=1,  IF(Table2[[#This Row],[Data attivazione]] = "","-",MONTH(Table2[[#This Row],[Data attivazione]])),"-"),"-")</f>
        <v>7</v>
      </c>
      <c r="R11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0" s="67" t="s">
        <v>2</v>
      </c>
      <c r="V1100" s="62"/>
      <c r="W1100" s="64">
        <v>42924</v>
      </c>
      <c r="X1100" s="29">
        <f>DATE(YEAR(Table2[[#This Row],[Data attivazione]])+VLOOKUP(Table2[[#This Row],[Durata]],VALORE_DURATA,2,FALSE),MONTH(Table2[[#This Row],[Data attivazione]]),DAY(Table2[[#This Row],[Data attivazione]]))</f>
        <v>43289</v>
      </c>
      <c r="Y1100" s="65"/>
      <c r="Z1100" s="61"/>
      <c r="AA1100" s="64" t="s">
        <v>85</v>
      </c>
      <c r="AB1100" s="29">
        <f>IF(Table2[[#This Row],[Data ultimo versamento temp]]=0/1/1900,"-",Table2[[#This Row],[Data ultimo versamento temp]])</f>
        <v>42926</v>
      </c>
      <c r="AC1100" s="29">
        <f t="array" ref="AC1100">MAX(IF(TableVersamenti[Polizza]=Table2[[#This Row],[Polizza]],TableVersamenti[Data prevista versamento],"-"))</f>
        <v>42926</v>
      </c>
      <c r="AD1100" s="62"/>
      <c r="AE1100" s="106">
        <f>DATE(YEAR(Table2[[#This Row],[Data ultimo pagamento]]),MONTH(Table2[[#This Row],[Data ultimo pagamento]]), 1)</f>
        <v>42917</v>
      </c>
      <c r="AF1100" s="106">
        <f>DATE(YEAR(Table2[[#This Row],[Data prossima scadenza]]),MONTH(Table2[[#This Row],[Data prossima scadenza]]), 1)</f>
        <v>43101</v>
      </c>
      <c r="AG1100" s="33">
        <f>IFERROR(Table2[[#This Row],[Importo annuale]]*VLOOKUP(Table2[[#This Row],[Ramo]],RAMI_POLIZZA,2,FALSE),0)</f>
        <v>1.2389999999999999</v>
      </c>
      <c r="AH1100" s="65" t="s">
        <v>113</v>
      </c>
      <c r="AI1100" s="63" t="str">
        <f>IFERROR(VLOOKUP(Table2[[#This Row],[Contraente]],Table1[[Nome/Ragione sociale]:[Checkbox selezionato]],2,FALSE),"-")</f>
        <v>SANTA CRISTINA E BISSONE</v>
      </c>
      <c r="AJ1100" s="63">
        <f>IFERROR(VLOOKUP(Table2[[#This Row],[Contraente]],Table1[[Nome/Ragione sociale]:[Checkbox selezionato]],3,FALSE),"-")</f>
        <v>3663216564</v>
      </c>
      <c r="AK1100" s="63">
        <f>IFERROR(VLOOKUP(Table2[[#This Row],[Contraente]],Table1[[Nome/Ragione sociale]:[Checkbox selezionato]],4,FALSE),"-")</f>
        <v>0</v>
      </c>
      <c r="AL1100" s="63" t="str">
        <f>IFERROR(VLOOKUP(Table2[[#This Row],[Contraente]],Table1[[Nome/Ragione sociale]:[Checkbox selezionato]],5,FALSE),"-")</f>
        <v>MARITO ANTONIO</v>
      </c>
      <c r="AM1100" s="62">
        <f>IFERROR(VLOOKUP(Table2[[#This Row],[Contraente]],Table1[[Nome/Ragione sociale]:[Checkbox selezionato]],6,FALSE),"-")</f>
        <v>23498</v>
      </c>
      <c r="AN1100" s="63" t="str">
        <f>IFERROR(VLOOKUP(Table2[[#This Row],[Contraente]],Table1[[Nome/Ragione sociale]:[Checkbox selezionato]],7,FALSE),"-")</f>
        <v>papies@libero.it</v>
      </c>
      <c r="AO1100" s="63">
        <f>IFERROR(VLOOKUP(Table2[[#This Row],[Contraente]],Table1[[Nome/Ragione sociale]:[Checkbox selezionato]],8,FALSE),"-")</f>
        <v>0</v>
      </c>
      <c r="AP1100" s="63">
        <f>IFERROR(VLOOKUP(Table2[[#This Row],[Contraente]],Table1[[Nome/Ragione sociale]:[Checkbox selezionato]],10,FALSE),"-")</f>
        <v>3663216564</v>
      </c>
      <c r="AQ1100" s="63" t="str">
        <f>IFERROR(VLOOKUP(Table2[[#This Row],[Contraente]],Table1[[Nome/Ragione sociale]:[Checkbox selezionato]],11,FALSE),"-")</f>
        <v>SI</v>
      </c>
      <c r="AR1100" s="63" t="str">
        <f>IFERROR(VLOOKUP(Table2[[#This Row],[Contraente]],Table1[[Nome/Ragione sociale]:[Checkbox selezionato]],12,FALSE),"-")</f>
        <v>SI</v>
      </c>
    </row>
    <row r="1101" spans="1:44" ht="30" hidden="1" customHeight="1" x14ac:dyDescent="0.25">
      <c r="A1101" s="60" t="str">
        <f>UPPER(LEFT(Table2[[#This Row],[Contraente]],1))</f>
        <v>V</v>
      </c>
      <c r="B1101" s="60" t="s">
        <v>1634</v>
      </c>
      <c r="C1101" s="84" t="s">
        <v>1062</v>
      </c>
      <c r="D1101" s="81" t="s">
        <v>37</v>
      </c>
      <c r="E1101" s="86">
        <v>106197491</v>
      </c>
      <c r="F1101" s="64">
        <v>42923</v>
      </c>
      <c r="G1101" s="64">
        <f>IFERROR(CALCOLASCADENZA(Table2[[#This Row],[Data attivazione]],Table2[[#This Row],[Rateizzazione]],Table2[[#This Row],[Data ultimo pagamento]],Table2[[#This Row],[Data prossima scadenza manuale]]),"-")</f>
        <v>43102</v>
      </c>
      <c r="H1101" s="67" t="s">
        <v>31</v>
      </c>
      <c r="I1101" s="67" t="s">
        <v>1603</v>
      </c>
      <c r="J1101" s="33">
        <f>IFERROR(Table2[[#This Row],[Importo annuale]]/(12/VLOOKUP(Table2[[#This Row],[Rateizzazione]],TIPI_RATEIZZAZIONI,2,FALSE)),"-")</f>
        <v>376.35</v>
      </c>
      <c r="K1101" s="88">
        <v>744.7</v>
      </c>
      <c r="L1101" s="88">
        <v>752.7</v>
      </c>
      <c r="M1101" s="67" t="s">
        <v>44</v>
      </c>
      <c r="N1101" s="67" t="s">
        <v>51</v>
      </c>
      <c r="O1101" s="27" t="s">
        <v>1631</v>
      </c>
      <c r="P1101" s="33" t="s">
        <v>22</v>
      </c>
      <c r="Q1101" s="60">
        <f>IFERROR(IF(12 / VLOOKUP(Table2[[#This Row],[Rateizzazione]],TIPI_RATEIZZAZIONI,2,FALSE) &gt;=1,  IF(Table2[[#This Row],[Data attivazione]] = "","-",MONTH(Table2[[#This Row],[Data attivazione]])),"-"),"-")</f>
        <v>7</v>
      </c>
      <c r="R11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1" s="67" t="s">
        <v>2</v>
      </c>
      <c r="V1101" s="62"/>
      <c r="W1101" s="64">
        <v>42918</v>
      </c>
      <c r="X1101" s="29">
        <f>DATE(YEAR(Table2[[#This Row],[Data attivazione]])+VLOOKUP(Table2[[#This Row],[Durata]],VALORE_DURATA,2,FALSE),MONTH(Table2[[#This Row],[Data attivazione]]),DAY(Table2[[#This Row],[Data attivazione]]))</f>
        <v>43283</v>
      </c>
      <c r="Y1101" s="65"/>
      <c r="Z1101" s="61"/>
      <c r="AA1101" s="64" t="s">
        <v>85</v>
      </c>
      <c r="AB1101" s="29">
        <f>IF(Table2[[#This Row],[Data ultimo versamento temp]]=0/1/1900,"-",Table2[[#This Row],[Data ultimo versamento temp]])</f>
        <v>42926</v>
      </c>
      <c r="AC1101" s="29">
        <f t="array" ref="AC1101">MAX(IF(TableVersamenti[Polizza]=Table2[[#This Row],[Polizza]],TableVersamenti[Data prevista versamento],"-"))</f>
        <v>42926</v>
      </c>
      <c r="AD1101" s="62"/>
      <c r="AE1101" s="106">
        <f>DATE(YEAR(Table2[[#This Row],[Data ultimo pagamento]]),MONTH(Table2[[#This Row],[Data ultimo pagamento]]), 1)</f>
        <v>42917</v>
      </c>
      <c r="AF1101" s="106">
        <f>DATE(YEAR(Table2[[#This Row],[Data prossima scadenza]]),MONTH(Table2[[#This Row],[Data prossima scadenza]]), 1)</f>
        <v>43101</v>
      </c>
      <c r="AG1101" s="33">
        <f>IFERROR(Table2[[#This Row],[Importo annuale]]*VLOOKUP(Table2[[#This Row],[Ramo]],RAMI_POLIZZA,2,FALSE),0)</f>
        <v>39.1404</v>
      </c>
      <c r="AH1101" s="65" t="s">
        <v>113</v>
      </c>
      <c r="AI1101" s="63" t="str">
        <f>IFERROR(VLOOKUP(Table2[[#This Row],[Contraente]],Table1[[Nome/Ragione sociale]:[Checkbox selezionato]],2,FALSE),"-")</f>
        <v>SANTA CRISTINA E BISSONE</v>
      </c>
      <c r="AJ1101" s="63">
        <f>IFERROR(VLOOKUP(Table2[[#This Row],[Contraente]],Table1[[Nome/Ragione sociale]:[Checkbox selezionato]],3,FALSE),"-")</f>
        <v>3663216564</v>
      </c>
      <c r="AK1101" s="63">
        <f>IFERROR(VLOOKUP(Table2[[#This Row],[Contraente]],Table1[[Nome/Ragione sociale]:[Checkbox selezionato]],4,FALSE),"-")</f>
        <v>0</v>
      </c>
      <c r="AL1101" s="63" t="str">
        <f>IFERROR(VLOOKUP(Table2[[#This Row],[Contraente]],Table1[[Nome/Ragione sociale]:[Checkbox selezionato]],5,FALSE),"-")</f>
        <v>MARITO ANTONIO</v>
      </c>
      <c r="AM1101" s="62">
        <f>IFERROR(VLOOKUP(Table2[[#This Row],[Contraente]],Table1[[Nome/Ragione sociale]:[Checkbox selezionato]],6,FALSE),"-")</f>
        <v>23498</v>
      </c>
      <c r="AN1101" s="63" t="str">
        <f>IFERROR(VLOOKUP(Table2[[#This Row],[Contraente]],Table1[[Nome/Ragione sociale]:[Checkbox selezionato]],7,FALSE),"-")</f>
        <v>papies@libero.it</v>
      </c>
      <c r="AO1101" s="63">
        <f>IFERROR(VLOOKUP(Table2[[#This Row],[Contraente]],Table1[[Nome/Ragione sociale]:[Checkbox selezionato]],8,FALSE),"-")</f>
        <v>0</v>
      </c>
      <c r="AP1101" s="63">
        <f>IFERROR(VLOOKUP(Table2[[#This Row],[Contraente]],Table1[[Nome/Ragione sociale]:[Checkbox selezionato]],10,FALSE),"-")</f>
        <v>3663216564</v>
      </c>
      <c r="AQ1101" s="63" t="str">
        <f>IFERROR(VLOOKUP(Table2[[#This Row],[Contraente]],Table1[[Nome/Ragione sociale]:[Checkbox selezionato]],11,FALSE),"-")</f>
        <v>SI</v>
      </c>
      <c r="AR1101" s="63" t="str">
        <f>IFERROR(VLOOKUP(Table2[[#This Row],[Contraente]],Table1[[Nome/Ragione sociale]:[Checkbox selezionato]],12,FALSE),"-")</f>
        <v>SI</v>
      </c>
    </row>
    <row r="1102" spans="1:44" ht="30" hidden="1" customHeight="1" x14ac:dyDescent="0.25">
      <c r="A1102" s="60" t="str">
        <f>UPPER(LEFT(Table2[[#This Row],[Contraente]],1))</f>
        <v>V</v>
      </c>
      <c r="B1102" s="60" t="s">
        <v>1634</v>
      </c>
      <c r="C1102" s="84" t="s">
        <v>1062</v>
      </c>
      <c r="D1102" s="81" t="s">
        <v>37</v>
      </c>
      <c r="E1102" s="86">
        <v>106198049</v>
      </c>
      <c r="F1102" s="64">
        <v>42923</v>
      </c>
      <c r="G1102" s="64">
        <f>IFERROR(CALCOLASCADENZA(Table2[[#This Row],[Data attivazione]],Table2[[#This Row],[Rateizzazione]],Table2[[#This Row],[Data ultimo pagamento]],Table2[[#This Row],[Data prossima scadenza manuale]]),"-")</f>
        <v>43102</v>
      </c>
      <c r="H1102" s="67" t="s">
        <v>30</v>
      </c>
      <c r="I1102" s="67" t="s">
        <v>113</v>
      </c>
      <c r="J1102" s="33">
        <f>IFERROR(Table2[[#This Row],[Importo annuale]]/(12/VLOOKUP(Table2[[#This Row],[Rateizzazione]],TIPI_RATEIZZAZIONI,2,FALSE)),"-")</f>
        <v>32</v>
      </c>
      <c r="K1102" s="88">
        <v>64</v>
      </c>
      <c r="L1102" s="88">
        <v>64</v>
      </c>
      <c r="M1102" s="67" t="s">
        <v>44</v>
      </c>
      <c r="N1102" s="67" t="s">
        <v>51</v>
      </c>
      <c r="O1102" s="27" t="s">
        <v>1631</v>
      </c>
      <c r="P1102" s="33" t="s">
        <v>22</v>
      </c>
      <c r="Q1102" s="60">
        <f>IFERROR(IF(12 / VLOOKUP(Table2[[#This Row],[Rateizzazione]],TIPI_RATEIZZAZIONI,2,FALSE) &gt;=1,  IF(Table2[[#This Row],[Data attivazione]] = "","-",MONTH(Table2[[#This Row],[Data attivazione]])),"-"),"-")</f>
        <v>7</v>
      </c>
      <c r="R11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2" s="67" t="s">
        <v>2</v>
      </c>
      <c r="V1102" s="62"/>
      <c r="W1102" s="64">
        <v>42918</v>
      </c>
      <c r="X1102" s="29">
        <f>DATE(YEAR(Table2[[#This Row],[Data attivazione]])+VLOOKUP(Table2[[#This Row],[Durata]],VALORE_DURATA,2,FALSE),MONTH(Table2[[#This Row],[Data attivazione]]),DAY(Table2[[#This Row],[Data attivazione]]))</f>
        <v>43283</v>
      </c>
      <c r="Y1102" s="65"/>
      <c r="Z1102" s="61"/>
      <c r="AA1102" s="64" t="s">
        <v>85</v>
      </c>
      <c r="AB1102" s="29">
        <f>IF(Table2[[#This Row],[Data ultimo versamento temp]]=0/1/1900,"-",Table2[[#This Row],[Data ultimo versamento temp]])</f>
        <v>42926</v>
      </c>
      <c r="AC1102" s="29">
        <f t="array" ref="AC1102">MAX(IF(TableVersamenti[Polizza]=Table2[[#This Row],[Polizza]],TableVersamenti[Data prevista versamento],"-"))</f>
        <v>42926</v>
      </c>
      <c r="AD1102" s="62"/>
      <c r="AE1102" s="106">
        <f>DATE(YEAR(Table2[[#This Row],[Data ultimo pagamento]]),MONTH(Table2[[#This Row],[Data ultimo pagamento]]), 1)</f>
        <v>42917</v>
      </c>
      <c r="AF1102" s="106">
        <f>DATE(YEAR(Table2[[#This Row],[Data prossima scadenza]]),MONTH(Table2[[#This Row],[Data prossima scadenza]]), 1)</f>
        <v>43101</v>
      </c>
      <c r="AG1102" s="33">
        <f>IFERROR(Table2[[#This Row],[Importo annuale]]*VLOOKUP(Table2[[#This Row],[Ramo]],RAMI_POLIZZA,2,FALSE),0)</f>
        <v>7.36</v>
      </c>
      <c r="AH1102" s="65" t="s">
        <v>113</v>
      </c>
      <c r="AI1102" s="63" t="str">
        <f>IFERROR(VLOOKUP(Table2[[#This Row],[Contraente]],Table1[[Nome/Ragione sociale]:[Checkbox selezionato]],2,FALSE),"-")</f>
        <v>SANTA CRISTINA E BISSONE</v>
      </c>
      <c r="AJ1102" s="63">
        <f>IFERROR(VLOOKUP(Table2[[#This Row],[Contraente]],Table1[[Nome/Ragione sociale]:[Checkbox selezionato]],3,FALSE),"-")</f>
        <v>3663216564</v>
      </c>
      <c r="AK1102" s="63">
        <f>IFERROR(VLOOKUP(Table2[[#This Row],[Contraente]],Table1[[Nome/Ragione sociale]:[Checkbox selezionato]],4,FALSE),"-")</f>
        <v>0</v>
      </c>
      <c r="AL1102" s="63" t="str">
        <f>IFERROR(VLOOKUP(Table2[[#This Row],[Contraente]],Table1[[Nome/Ragione sociale]:[Checkbox selezionato]],5,FALSE),"-")</f>
        <v>MARITO ANTONIO</v>
      </c>
      <c r="AM1102" s="62">
        <f>IFERROR(VLOOKUP(Table2[[#This Row],[Contraente]],Table1[[Nome/Ragione sociale]:[Checkbox selezionato]],6,FALSE),"-")</f>
        <v>23498</v>
      </c>
      <c r="AN1102" s="63" t="str">
        <f>IFERROR(VLOOKUP(Table2[[#This Row],[Contraente]],Table1[[Nome/Ragione sociale]:[Checkbox selezionato]],7,FALSE),"-")</f>
        <v>papies@libero.it</v>
      </c>
      <c r="AO1102" s="63">
        <f>IFERROR(VLOOKUP(Table2[[#This Row],[Contraente]],Table1[[Nome/Ragione sociale]:[Checkbox selezionato]],8,FALSE),"-")</f>
        <v>0</v>
      </c>
      <c r="AP1102" s="63">
        <f>IFERROR(VLOOKUP(Table2[[#This Row],[Contraente]],Table1[[Nome/Ragione sociale]:[Checkbox selezionato]],10,FALSE),"-")</f>
        <v>3663216564</v>
      </c>
      <c r="AQ1102" s="63" t="str">
        <f>IFERROR(VLOOKUP(Table2[[#This Row],[Contraente]],Table1[[Nome/Ragione sociale]:[Checkbox selezionato]],11,FALSE),"-")</f>
        <v>SI</v>
      </c>
      <c r="AR1102" s="63" t="str">
        <f>IFERROR(VLOOKUP(Table2[[#This Row],[Contraente]],Table1[[Nome/Ragione sociale]:[Checkbox selezionato]],12,FALSE),"-")</f>
        <v>SI</v>
      </c>
    </row>
    <row r="1103" spans="1:44" ht="30" hidden="1" customHeight="1" x14ac:dyDescent="0.25">
      <c r="A1103" s="60" t="str">
        <f>UPPER(LEFT(Table2[[#This Row],[Contraente]],1))</f>
        <v>V</v>
      </c>
      <c r="B1103" s="60" t="s">
        <v>1634</v>
      </c>
      <c r="C1103" s="84" t="s">
        <v>1062</v>
      </c>
      <c r="D1103" s="81" t="s">
        <v>37</v>
      </c>
      <c r="E1103" s="86">
        <v>105278478</v>
      </c>
      <c r="F1103" s="64">
        <v>42776</v>
      </c>
      <c r="G1103" s="64">
        <f>IFERROR(CALCOLASCADENZA(Table2[[#This Row],[Data attivazione]],Table2[[#This Row],[Rateizzazione]],Table2[[#This Row],[Data ultimo pagamento]],Table2[[#This Row],[Data prossima scadenza manuale]]),"-")</f>
        <v>42952</v>
      </c>
      <c r="H1103" s="67" t="s">
        <v>30</v>
      </c>
      <c r="I1103" s="67" t="s">
        <v>113</v>
      </c>
      <c r="J1103" s="33">
        <f>IFERROR(Table2[[#This Row],[Importo annuale]]/(12/VLOOKUP(Table2[[#This Row],[Rateizzazione]],TIPI_RATEIZZAZIONI,2,FALSE)),"-")</f>
        <v>32</v>
      </c>
      <c r="K1103" s="88">
        <v>32</v>
      </c>
      <c r="L1103" s="88">
        <v>64</v>
      </c>
      <c r="M1103" s="67" t="s">
        <v>44</v>
      </c>
      <c r="N1103" s="67" t="s">
        <v>51</v>
      </c>
      <c r="O1103" s="27" t="s">
        <v>1631</v>
      </c>
      <c r="P1103" s="33" t="s">
        <v>22</v>
      </c>
      <c r="Q1103" s="60">
        <f>IFERROR(IF(12 / VLOOKUP(Table2[[#This Row],[Rateizzazione]],TIPI_RATEIZZAZIONI,2,FALSE) &gt;=1,  IF(Table2[[#This Row],[Data attivazione]] = "","-",MONTH(Table2[[#This Row],[Data attivazione]])),"-"),"-")</f>
        <v>8</v>
      </c>
      <c r="R11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3" s="67" t="s">
        <v>2</v>
      </c>
      <c r="V1103" s="62"/>
      <c r="W1103" s="64">
        <v>42587</v>
      </c>
      <c r="X1103" s="29">
        <f>DATE(YEAR(Table2[[#This Row],[Data attivazione]])+VLOOKUP(Table2[[#This Row],[Durata]],VALORE_DURATA,2,FALSE),MONTH(Table2[[#This Row],[Data attivazione]]),DAY(Table2[[#This Row],[Data attivazione]]))</f>
        <v>42952</v>
      </c>
      <c r="Y1103" s="65"/>
      <c r="Z1103" s="61"/>
      <c r="AA1103" s="64" t="s">
        <v>85</v>
      </c>
      <c r="AB1103" s="29" t="str">
        <f>IF(Table2[[#This Row],[Data ultimo versamento temp]]=0/1/1900,"-",Table2[[#This Row],[Data ultimo versamento temp]])</f>
        <v>-</v>
      </c>
      <c r="AC1103" s="29">
        <f t="array" ref="AC1103">MAX(IF(TableVersamenti[Polizza]=Table2[[#This Row],[Polizza]],TableVersamenti[Data prevista versamento],"-"))</f>
        <v>0</v>
      </c>
      <c r="AD1103" s="62"/>
      <c r="AE1103" s="106">
        <f>DATE(YEAR(Table2[[#This Row],[Data ultimo pagamento]]),MONTH(Table2[[#This Row],[Data ultimo pagamento]]), 1)</f>
        <v>42767</v>
      </c>
      <c r="AF1103" s="106">
        <f>DATE(YEAR(Table2[[#This Row],[Data prossima scadenza]]),MONTH(Table2[[#This Row],[Data prossima scadenza]]), 1)</f>
        <v>42948</v>
      </c>
      <c r="AG1103" s="33">
        <f>IFERROR(Table2[[#This Row],[Importo annuale]]*VLOOKUP(Table2[[#This Row],[Ramo]],RAMI_POLIZZA,2,FALSE),0)</f>
        <v>7.36</v>
      </c>
      <c r="AH1103" s="65" t="s">
        <v>113</v>
      </c>
      <c r="AI1103" s="63" t="str">
        <f>IFERROR(VLOOKUP(Table2[[#This Row],[Contraente]],Table1[[Nome/Ragione sociale]:[Checkbox selezionato]],2,FALSE),"-")</f>
        <v>SANTA CRISTINA E BISSONE</v>
      </c>
      <c r="AJ1103" s="63">
        <f>IFERROR(VLOOKUP(Table2[[#This Row],[Contraente]],Table1[[Nome/Ragione sociale]:[Checkbox selezionato]],3,FALSE),"-")</f>
        <v>3663216564</v>
      </c>
      <c r="AK1103" s="63">
        <f>IFERROR(VLOOKUP(Table2[[#This Row],[Contraente]],Table1[[Nome/Ragione sociale]:[Checkbox selezionato]],4,FALSE),"-")</f>
        <v>0</v>
      </c>
      <c r="AL1103" s="63" t="str">
        <f>IFERROR(VLOOKUP(Table2[[#This Row],[Contraente]],Table1[[Nome/Ragione sociale]:[Checkbox selezionato]],5,FALSE),"-")</f>
        <v>MARITO ANTONIO</v>
      </c>
      <c r="AM1103" s="62">
        <f>IFERROR(VLOOKUP(Table2[[#This Row],[Contraente]],Table1[[Nome/Ragione sociale]:[Checkbox selezionato]],6,FALSE),"-")</f>
        <v>23498</v>
      </c>
      <c r="AN1103" s="63" t="str">
        <f>IFERROR(VLOOKUP(Table2[[#This Row],[Contraente]],Table1[[Nome/Ragione sociale]:[Checkbox selezionato]],7,FALSE),"-")</f>
        <v>papies@libero.it</v>
      </c>
      <c r="AO1103" s="63">
        <f>IFERROR(VLOOKUP(Table2[[#This Row],[Contraente]],Table1[[Nome/Ragione sociale]:[Checkbox selezionato]],8,FALSE),"-")</f>
        <v>0</v>
      </c>
      <c r="AP1103" s="63">
        <f>IFERROR(VLOOKUP(Table2[[#This Row],[Contraente]],Table1[[Nome/Ragione sociale]:[Checkbox selezionato]],10,FALSE),"-")</f>
        <v>3663216564</v>
      </c>
      <c r="AQ1103" s="63" t="str">
        <f>IFERROR(VLOOKUP(Table2[[#This Row],[Contraente]],Table1[[Nome/Ragione sociale]:[Checkbox selezionato]],11,FALSE),"-")</f>
        <v>SI</v>
      </c>
      <c r="AR1103" s="63" t="str">
        <f>IFERROR(VLOOKUP(Table2[[#This Row],[Contraente]],Table1[[Nome/Ragione sociale]:[Checkbox selezionato]],12,FALSE),"-")</f>
        <v>SI</v>
      </c>
    </row>
    <row r="1104" spans="1:44" ht="30" hidden="1" customHeight="1" x14ac:dyDescent="0.25">
      <c r="A1104" s="60" t="str">
        <f>UPPER(LEFT(Table2[[#This Row],[Contraente]],1))</f>
        <v>V</v>
      </c>
      <c r="B1104" s="60" t="s">
        <v>1634</v>
      </c>
      <c r="C1104" s="84" t="s">
        <v>1062</v>
      </c>
      <c r="D1104" s="81" t="s">
        <v>37</v>
      </c>
      <c r="E1104" s="86">
        <v>105277501</v>
      </c>
      <c r="F1104" s="64">
        <v>42776</v>
      </c>
      <c r="G1104" s="64">
        <f>IFERROR(CALCOLASCADENZA(Table2[[#This Row],[Data attivazione]],Table2[[#This Row],[Rateizzazione]],Table2[[#This Row],[Data ultimo pagamento]],Table2[[#This Row],[Data prossima scadenza manuale]]),"-")</f>
        <v>42952</v>
      </c>
      <c r="H1104" s="67" t="s">
        <v>31</v>
      </c>
      <c r="I1104" s="67" t="s">
        <v>1604</v>
      </c>
      <c r="J1104" s="33">
        <f>IFERROR(Table2[[#This Row],[Importo annuale]]/(12/VLOOKUP(Table2[[#This Row],[Rateizzazione]],TIPI_RATEIZZAZIONI,2,FALSE)),"-")</f>
        <v>198.84</v>
      </c>
      <c r="K1104" s="88">
        <v>198.84</v>
      </c>
      <c r="L1104" s="88">
        <v>397.68</v>
      </c>
      <c r="M1104" s="67" t="s">
        <v>44</v>
      </c>
      <c r="N1104" s="67" t="s">
        <v>52</v>
      </c>
      <c r="O1104" s="27" t="s">
        <v>1631</v>
      </c>
      <c r="P1104" s="33" t="s">
        <v>22</v>
      </c>
      <c r="Q1104" s="60">
        <f>IFERROR(IF(12 / VLOOKUP(Table2[[#This Row],[Rateizzazione]],TIPI_RATEIZZAZIONI,2,FALSE) &gt;=1,  IF(Table2[[#This Row],[Data attivazione]] = "","-",MONTH(Table2[[#This Row],[Data attivazione]])),"-"),"-")</f>
        <v>8</v>
      </c>
      <c r="R11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4" s="67" t="s">
        <v>2</v>
      </c>
      <c r="V1104" s="62"/>
      <c r="W1104" s="64">
        <v>42587</v>
      </c>
      <c r="X1104" s="29">
        <f>DATE(YEAR(Table2[[#This Row],[Data attivazione]])+VLOOKUP(Table2[[#This Row],[Durata]],VALORE_DURATA,2,FALSE),MONTH(Table2[[#This Row],[Data attivazione]]),DAY(Table2[[#This Row],[Data attivazione]]))</f>
        <v>42952</v>
      </c>
      <c r="Y1104" s="65"/>
      <c r="Z1104" s="61"/>
      <c r="AA1104" s="64" t="s">
        <v>85</v>
      </c>
      <c r="AB1104" s="29" t="str">
        <f>IF(Table2[[#This Row],[Data ultimo versamento temp]]=0/1/1900,"-",Table2[[#This Row],[Data ultimo versamento temp]])</f>
        <v>-</v>
      </c>
      <c r="AC1104" s="29">
        <f t="array" ref="AC1104">MAX(IF(TableVersamenti[Polizza]=Table2[[#This Row],[Polizza]],TableVersamenti[Data prevista versamento],"-"))</f>
        <v>0</v>
      </c>
      <c r="AD1104" s="62"/>
      <c r="AE1104" s="106">
        <f>DATE(YEAR(Table2[[#This Row],[Data ultimo pagamento]]),MONTH(Table2[[#This Row],[Data ultimo pagamento]]), 1)</f>
        <v>42767</v>
      </c>
      <c r="AF1104" s="106">
        <f>DATE(YEAR(Table2[[#This Row],[Data prossima scadenza]]),MONTH(Table2[[#This Row],[Data prossima scadenza]]), 1)</f>
        <v>42948</v>
      </c>
      <c r="AG1104" s="33">
        <f>IFERROR(Table2[[#This Row],[Importo annuale]]*VLOOKUP(Table2[[#This Row],[Ramo]],RAMI_POLIZZA,2,FALSE),0)</f>
        <v>20.679359999999999</v>
      </c>
      <c r="AH1104" s="65" t="s">
        <v>113</v>
      </c>
      <c r="AI1104" s="63" t="str">
        <f>IFERROR(VLOOKUP(Table2[[#This Row],[Contraente]],Table1[[Nome/Ragione sociale]:[Checkbox selezionato]],2,FALSE),"-")</f>
        <v>SANTA CRISTINA E BISSONE</v>
      </c>
      <c r="AJ1104" s="63">
        <f>IFERROR(VLOOKUP(Table2[[#This Row],[Contraente]],Table1[[Nome/Ragione sociale]:[Checkbox selezionato]],3,FALSE),"-")</f>
        <v>3663216564</v>
      </c>
      <c r="AK1104" s="63">
        <f>IFERROR(VLOOKUP(Table2[[#This Row],[Contraente]],Table1[[Nome/Ragione sociale]:[Checkbox selezionato]],4,FALSE),"-")</f>
        <v>0</v>
      </c>
      <c r="AL1104" s="63" t="str">
        <f>IFERROR(VLOOKUP(Table2[[#This Row],[Contraente]],Table1[[Nome/Ragione sociale]:[Checkbox selezionato]],5,FALSE),"-")</f>
        <v>MARITO ANTONIO</v>
      </c>
      <c r="AM1104" s="62">
        <f>IFERROR(VLOOKUP(Table2[[#This Row],[Contraente]],Table1[[Nome/Ragione sociale]:[Checkbox selezionato]],6,FALSE),"-")</f>
        <v>23498</v>
      </c>
      <c r="AN1104" s="63" t="str">
        <f>IFERROR(VLOOKUP(Table2[[#This Row],[Contraente]],Table1[[Nome/Ragione sociale]:[Checkbox selezionato]],7,FALSE),"-")</f>
        <v>papies@libero.it</v>
      </c>
      <c r="AO1104" s="63">
        <f>IFERROR(VLOOKUP(Table2[[#This Row],[Contraente]],Table1[[Nome/Ragione sociale]:[Checkbox selezionato]],8,FALSE),"-")</f>
        <v>0</v>
      </c>
      <c r="AP1104" s="63">
        <f>IFERROR(VLOOKUP(Table2[[#This Row],[Contraente]],Table1[[Nome/Ragione sociale]:[Checkbox selezionato]],10,FALSE),"-")</f>
        <v>3663216564</v>
      </c>
      <c r="AQ1104" s="63" t="str">
        <f>IFERROR(VLOOKUP(Table2[[#This Row],[Contraente]],Table1[[Nome/Ragione sociale]:[Checkbox selezionato]],11,FALSE),"-")</f>
        <v>SI</v>
      </c>
      <c r="AR1104" s="63" t="str">
        <f>IFERROR(VLOOKUP(Table2[[#This Row],[Contraente]],Table1[[Nome/Ragione sociale]:[Checkbox selezionato]],12,FALSE),"-")</f>
        <v>SI</v>
      </c>
    </row>
    <row r="1105" spans="1:44" ht="30" hidden="1" customHeight="1" x14ac:dyDescent="0.25">
      <c r="A1105" s="60" t="str">
        <f>UPPER(LEFT(Table2[[#This Row],[Contraente]],1))</f>
        <v>V</v>
      </c>
      <c r="B1105" s="60" t="s">
        <v>1634</v>
      </c>
      <c r="C1105" s="84" t="s">
        <v>1062</v>
      </c>
      <c r="D1105" s="81" t="s">
        <v>37</v>
      </c>
      <c r="E1105" s="86">
        <v>105196329</v>
      </c>
      <c r="F1105" s="64">
        <v>42923</v>
      </c>
      <c r="G1105" s="64">
        <f>IFERROR(CALCOLASCADENZA(Table2[[#This Row],[Data attivazione]],Table2[[#This Row],[Rateizzazione]],Table2[[#This Row],[Data ultimo pagamento]],Table2[[#This Row],[Data prossima scadenza manuale]]),"-")</f>
        <v>43115</v>
      </c>
      <c r="H1105" s="67" t="s">
        <v>30</v>
      </c>
      <c r="I1105" s="67" t="s">
        <v>113</v>
      </c>
      <c r="J1105" s="33">
        <f>IFERROR(Table2[[#This Row],[Importo annuale]]/(12/VLOOKUP(Table2[[#This Row],[Rateizzazione]],TIPI_RATEIZZAZIONI,2,FALSE)),"-")</f>
        <v>137</v>
      </c>
      <c r="K1105" s="88">
        <v>274</v>
      </c>
      <c r="L1105" s="88">
        <v>274</v>
      </c>
      <c r="M1105" s="67" t="s">
        <v>44</v>
      </c>
      <c r="N1105" s="67" t="s">
        <v>51</v>
      </c>
      <c r="O1105" s="27" t="s">
        <v>1631</v>
      </c>
      <c r="P1105" s="33" t="s">
        <v>22</v>
      </c>
      <c r="Q1105" s="60">
        <f>IFERROR(IF(12 / VLOOKUP(Table2[[#This Row],[Rateizzazione]],TIPI_RATEIZZAZIONI,2,FALSE) &gt;=1,  IF(Table2[[#This Row],[Data attivazione]] = "","-",MONTH(Table2[[#This Row],[Data attivazione]])),"-"),"-")</f>
        <v>1</v>
      </c>
      <c r="R11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1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5" s="67" t="s">
        <v>2</v>
      </c>
      <c r="V1105" s="62"/>
      <c r="W1105" s="64">
        <v>42750</v>
      </c>
      <c r="X1105" s="29">
        <f>DATE(YEAR(Table2[[#This Row],[Data attivazione]])+VLOOKUP(Table2[[#This Row],[Durata]],VALORE_DURATA,2,FALSE),MONTH(Table2[[#This Row],[Data attivazione]]),DAY(Table2[[#This Row],[Data attivazione]]))</f>
        <v>43115</v>
      </c>
      <c r="Y1105" s="65"/>
      <c r="Z1105" s="61"/>
      <c r="AA1105" s="64" t="s">
        <v>85</v>
      </c>
      <c r="AB1105" s="29">
        <f>IF(Table2[[#This Row],[Data ultimo versamento temp]]=0/1/1900,"-",Table2[[#This Row],[Data ultimo versamento temp]])</f>
        <v>42926</v>
      </c>
      <c r="AC1105" s="29">
        <f t="array" ref="AC1105">MAX(IF(TableVersamenti[Polizza]=Table2[[#This Row],[Polizza]],TableVersamenti[Data prevista versamento],"-"))</f>
        <v>42926</v>
      </c>
      <c r="AD1105" s="62"/>
      <c r="AE1105" s="106">
        <f>DATE(YEAR(Table2[[#This Row],[Data ultimo pagamento]]),MONTH(Table2[[#This Row],[Data ultimo pagamento]]), 1)</f>
        <v>42917</v>
      </c>
      <c r="AF1105" s="106">
        <f>DATE(YEAR(Table2[[#This Row],[Data prossima scadenza]]),MONTH(Table2[[#This Row],[Data prossima scadenza]]), 1)</f>
        <v>43101</v>
      </c>
      <c r="AG1105" s="33">
        <f>IFERROR(Table2[[#This Row],[Importo annuale]]*VLOOKUP(Table2[[#This Row],[Ramo]],RAMI_POLIZZA,2,FALSE),0)</f>
        <v>31.51</v>
      </c>
      <c r="AH1105" s="65" t="s">
        <v>113</v>
      </c>
      <c r="AI1105" s="63" t="str">
        <f>IFERROR(VLOOKUP(Table2[[#This Row],[Contraente]],Table1[[Nome/Ragione sociale]:[Checkbox selezionato]],2,FALSE),"-")</f>
        <v>SANTA CRISTINA E BISSONE</v>
      </c>
      <c r="AJ1105" s="63">
        <f>IFERROR(VLOOKUP(Table2[[#This Row],[Contraente]],Table1[[Nome/Ragione sociale]:[Checkbox selezionato]],3,FALSE),"-")</f>
        <v>3663216564</v>
      </c>
      <c r="AK1105" s="63">
        <f>IFERROR(VLOOKUP(Table2[[#This Row],[Contraente]],Table1[[Nome/Ragione sociale]:[Checkbox selezionato]],4,FALSE),"-")</f>
        <v>0</v>
      </c>
      <c r="AL1105" s="63" t="str">
        <f>IFERROR(VLOOKUP(Table2[[#This Row],[Contraente]],Table1[[Nome/Ragione sociale]:[Checkbox selezionato]],5,FALSE),"-")</f>
        <v>MARITO ANTONIO</v>
      </c>
      <c r="AM1105" s="62">
        <f>IFERROR(VLOOKUP(Table2[[#This Row],[Contraente]],Table1[[Nome/Ragione sociale]:[Checkbox selezionato]],6,FALSE),"-")</f>
        <v>23498</v>
      </c>
      <c r="AN1105" s="63" t="str">
        <f>IFERROR(VLOOKUP(Table2[[#This Row],[Contraente]],Table1[[Nome/Ragione sociale]:[Checkbox selezionato]],7,FALSE),"-")</f>
        <v>papies@libero.it</v>
      </c>
      <c r="AO1105" s="63">
        <f>IFERROR(VLOOKUP(Table2[[#This Row],[Contraente]],Table1[[Nome/Ragione sociale]:[Checkbox selezionato]],8,FALSE),"-")</f>
        <v>0</v>
      </c>
      <c r="AP1105" s="63">
        <f>IFERROR(VLOOKUP(Table2[[#This Row],[Contraente]],Table1[[Nome/Ragione sociale]:[Checkbox selezionato]],10,FALSE),"-")</f>
        <v>3663216564</v>
      </c>
      <c r="AQ1105" s="63" t="str">
        <f>IFERROR(VLOOKUP(Table2[[#This Row],[Contraente]],Table1[[Nome/Ragione sociale]:[Checkbox selezionato]],11,FALSE),"-")</f>
        <v>SI</v>
      </c>
      <c r="AR1105" s="63" t="str">
        <f>IFERROR(VLOOKUP(Table2[[#This Row],[Contraente]],Table1[[Nome/Ragione sociale]:[Checkbox selezionato]],12,FALSE),"-")</f>
        <v>SI</v>
      </c>
    </row>
    <row r="1106" spans="1:44" ht="30" hidden="1" customHeight="1" x14ac:dyDescent="0.25">
      <c r="A1106" s="60" t="str">
        <f>UPPER(LEFT(Table2[[#This Row],[Contraente]],1))</f>
        <v>V</v>
      </c>
      <c r="B1106" s="60" t="s">
        <v>1634</v>
      </c>
      <c r="C1106" s="84" t="s">
        <v>1070</v>
      </c>
      <c r="D1106" s="81" t="s">
        <v>37</v>
      </c>
      <c r="E1106" s="86">
        <v>106551508</v>
      </c>
      <c r="F1106" s="64">
        <v>42788</v>
      </c>
      <c r="G1106" s="64">
        <f>IFERROR(CALCOLASCADENZA(Table2[[#This Row],[Data attivazione]],Table2[[#This Row],[Rateizzazione]],Table2[[#This Row],[Data ultimo pagamento]],Table2[[#This Row],[Data prossima scadenza manuale]]),"-")</f>
        <v>42969</v>
      </c>
      <c r="H1106" s="67" t="s">
        <v>31</v>
      </c>
      <c r="I1106" s="67" t="s">
        <v>1166</v>
      </c>
      <c r="J1106" s="33">
        <f>IFERROR(Table2[[#This Row],[Importo annuale]]/(12/VLOOKUP(Table2[[#This Row],[Rateizzazione]],TIPI_RATEIZZAZIONI,2,FALSE)),"-")</f>
        <v>230.35</v>
      </c>
      <c r="K1106" s="88">
        <v>230.35</v>
      </c>
      <c r="L1106" s="88">
        <v>230.35</v>
      </c>
      <c r="M1106" s="67" t="s">
        <v>43</v>
      </c>
      <c r="N1106" s="67" t="s">
        <v>52</v>
      </c>
      <c r="O1106" s="27" t="s">
        <v>1631</v>
      </c>
      <c r="P1106" s="33" t="s">
        <v>23</v>
      </c>
      <c r="Q1106" s="60">
        <f>IFERROR(IF(12 / VLOOKUP(Table2[[#This Row],[Rateizzazione]],TIPI_RATEIZZAZIONI,2,FALSE) &gt;=1,  IF(Table2[[#This Row],[Data attivazione]] = "","-",MONTH(Table2[[#This Row],[Data attivazione]])),"-"),"-")</f>
        <v>8</v>
      </c>
      <c r="R11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6" s="67" t="s">
        <v>2</v>
      </c>
      <c r="V1106" s="62"/>
      <c r="W1106" s="64">
        <v>42604</v>
      </c>
      <c r="X1106" s="29">
        <f>DATE(YEAR(Table2[[#This Row],[Data attivazione]])+VLOOKUP(Table2[[#This Row],[Durata]],VALORE_DURATA,2,FALSE),MONTH(Table2[[#This Row],[Data attivazione]]),DAY(Table2[[#This Row],[Data attivazione]]))</f>
        <v>42969</v>
      </c>
      <c r="Y1106" s="65"/>
      <c r="Z1106" s="61"/>
      <c r="AA1106" s="64" t="s">
        <v>85</v>
      </c>
      <c r="AB1106" s="29" t="str">
        <f>IF(Table2[[#This Row],[Data ultimo versamento temp]]=0/1/1900,"-",Table2[[#This Row],[Data ultimo versamento temp]])</f>
        <v>-</v>
      </c>
      <c r="AC1106" s="29">
        <f t="array" ref="AC1106">MAX(IF(TableVersamenti[Polizza]=Table2[[#This Row],[Polizza]],TableVersamenti[Data prevista versamento],"-"))</f>
        <v>0</v>
      </c>
      <c r="AD1106" s="62"/>
      <c r="AE1106" s="106">
        <f>DATE(YEAR(Table2[[#This Row],[Data ultimo pagamento]]),MONTH(Table2[[#This Row],[Data ultimo pagamento]]), 1)</f>
        <v>42767</v>
      </c>
      <c r="AF1106" s="106">
        <f>DATE(YEAR(Table2[[#This Row],[Data prossima scadenza]]),MONTH(Table2[[#This Row],[Data prossima scadenza]]), 1)</f>
        <v>42948</v>
      </c>
      <c r="AG1106" s="33">
        <f>IFERROR(Table2[[#This Row],[Importo annuale]]*VLOOKUP(Table2[[#This Row],[Ramo]],RAMI_POLIZZA,2,FALSE),0)</f>
        <v>11.978199999999999</v>
      </c>
      <c r="AH1106" s="65" t="s">
        <v>113</v>
      </c>
      <c r="AI1106" s="63" t="str">
        <f>IFERROR(VLOOKUP(Table2[[#This Row],[Contraente]],Table1[[Nome/Ragione sociale]:[Checkbox selezionato]],2,FALSE),"-")</f>
        <v>BELGIOIOSO</v>
      </c>
      <c r="AJ1106" s="63">
        <f>IFERROR(VLOOKUP(Table2[[#This Row],[Contraente]],Table1[[Nome/Ragione sociale]:[Checkbox selezionato]],3,FALSE),"-")</f>
        <v>3391278396</v>
      </c>
      <c r="AK1106" s="63">
        <f>IFERROR(VLOOKUP(Table2[[#This Row],[Contraente]],Table1[[Nome/Ragione sociale]:[Checkbox selezionato]],4,FALSE),"-")</f>
        <v>0</v>
      </c>
      <c r="AL1106" s="63" t="str">
        <f>IFERROR(VLOOKUP(Table2[[#This Row],[Contraente]],Table1[[Nome/Ragione sociale]:[Checkbox selezionato]],5,FALSE),"-")</f>
        <v>SEVERINO</v>
      </c>
      <c r="AM1106" s="62">
        <f>IFERROR(VLOOKUP(Table2[[#This Row],[Contraente]],Table1[[Nome/Ragione sociale]:[Checkbox selezionato]],6,FALSE),"-")</f>
        <v>23352</v>
      </c>
      <c r="AN1106" s="63" t="str">
        <f>IFERROR(VLOOKUP(Table2[[#This Row],[Contraente]],Table1[[Nome/Ragione sociale]:[Checkbox selezionato]],7,FALSE),"-")</f>
        <v>papies@email.it</v>
      </c>
      <c r="AO1106" s="63">
        <f>IFERROR(VLOOKUP(Table2[[#This Row],[Contraente]],Table1[[Nome/Ragione sociale]:[Checkbox selezionato]],8,FALSE),"-")</f>
        <v>0</v>
      </c>
      <c r="AP1106" s="63">
        <f>IFERROR(VLOOKUP(Table2[[#This Row],[Contraente]],Table1[[Nome/Ragione sociale]:[Checkbox selezionato]],10,FALSE),"-")</f>
        <v>3391278396</v>
      </c>
      <c r="AQ1106" s="63" t="str">
        <f>IFERROR(VLOOKUP(Table2[[#This Row],[Contraente]],Table1[[Nome/Ragione sociale]:[Checkbox selezionato]],11,FALSE),"-")</f>
        <v>SI</v>
      </c>
      <c r="AR1106" s="63" t="str">
        <f>IFERROR(VLOOKUP(Table2[[#This Row],[Contraente]],Table1[[Nome/Ragione sociale]:[Checkbox selezionato]],12,FALSE),"-")</f>
        <v>SI</v>
      </c>
    </row>
    <row r="1107" spans="1:44" ht="30" hidden="1" customHeight="1" x14ac:dyDescent="0.25">
      <c r="A1107" s="60" t="str">
        <f>UPPER(LEFT(Table2[[#This Row],[Contraente]],1))</f>
        <v>V</v>
      </c>
      <c r="B1107" s="60" t="s">
        <v>1634</v>
      </c>
      <c r="C1107" s="84" t="s">
        <v>1070</v>
      </c>
      <c r="D1107" s="81" t="s">
        <v>37</v>
      </c>
      <c r="E1107" s="86">
        <v>106551590</v>
      </c>
      <c r="F1107" s="64">
        <v>42788</v>
      </c>
      <c r="G1107" s="64">
        <f>IFERROR(CALCOLASCADENZA(Table2[[#This Row],[Data attivazione]],Table2[[#This Row],[Rateizzazione]],Table2[[#This Row],[Data ultimo pagamento]],Table2[[#This Row],[Data prossima scadenza manuale]]),"-")</f>
        <v>42969</v>
      </c>
      <c r="H1107" s="67" t="s">
        <v>30</v>
      </c>
      <c r="I1107" s="67" t="s">
        <v>113</v>
      </c>
      <c r="J1107" s="33">
        <f>IFERROR(Table2[[#This Row],[Importo annuale]]/(12/VLOOKUP(Table2[[#This Row],[Rateizzazione]],TIPI_RATEIZZAZIONI,2,FALSE)),"-")</f>
        <v>32</v>
      </c>
      <c r="K1107" s="88">
        <v>32</v>
      </c>
      <c r="L1107" s="88">
        <v>64</v>
      </c>
      <c r="M1107" s="67" t="s">
        <v>43</v>
      </c>
      <c r="N1107" s="67" t="s">
        <v>51</v>
      </c>
      <c r="O1107" s="27" t="s">
        <v>1631</v>
      </c>
      <c r="P1107" s="33" t="s">
        <v>22</v>
      </c>
      <c r="Q1107" s="60">
        <f>IFERROR(IF(12 / VLOOKUP(Table2[[#This Row],[Rateizzazione]],TIPI_RATEIZZAZIONI,2,FALSE) &gt;=1,  IF(Table2[[#This Row],[Data attivazione]] = "","-",MONTH(Table2[[#This Row],[Data attivazione]])),"-"),"-")</f>
        <v>8</v>
      </c>
      <c r="R11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7" s="67" t="s">
        <v>2</v>
      </c>
      <c r="V1107" s="62"/>
      <c r="W1107" s="64">
        <v>42604</v>
      </c>
      <c r="X1107" s="29">
        <f>DATE(YEAR(Table2[[#This Row],[Data attivazione]])+VLOOKUP(Table2[[#This Row],[Durata]],VALORE_DURATA,2,FALSE),MONTH(Table2[[#This Row],[Data attivazione]]),DAY(Table2[[#This Row],[Data attivazione]]))</f>
        <v>42969</v>
      </c>
      <c r="Y1107" s="65"/>
      <c r="Z1107" s="61"/>
      <c r="AA1107" s="64" t="s">
        <v>85</v>
      </c>
      <c r="AB1107" s="29" t="str">
        <f>IF(Table2[[#This Row],[Data ultimo versamento temp]]=0/1/1900,"-",Table2[[#This Row],[Data ultimo versamento temp]])</f>
        <v>-</v>
      </c>
      <c r="AC1107" s="29">
        <f t="array" ref="AC1107">MAX(IF(TableVersamenti[Polizza]=Table2[[#This Row],[Polizza]],TableVersamenti[Data prevista versamento],"-"))</f>
        <v>0</v>
      </c>
      <c r="AD1107" s="62"/>
      <c r="AE1107" s="106">
        <f>DATE(YEAR(Table2[[#This Row],[Data ultimo pagamento]]),MONTH(Table2[[#This Row],[Data ultimo pagamento]]), 1)</f>
        <v>42767</v>
      </c>
      <c r="AF1107" s="106">
        <f>DATE(YEAR(Table2[[#This Row],[Data prossima scadenza]]),MONTH(Table2[[#This Row],[Data prossima scadenza]]), 1)</f>
        <v>42948</v>
      </c>
      <c r="AG1107" s="33">
        <f>IFERROR(Table2[[#This Row],[Importo annuale]]*VLOOKUP(Table2[[#This Row],[Ramo]],RAMI_POLIZZA,2,FALSE),0)</f>
        <v>7.36</v>
      </c>
      <c r="AH1107" s="65" t="s">
        <v>113</v>
      </c>
      <c r="AI1107" s="63" t="str">
        <f>IFERROR(VLOOKUP(Table2[[#This Row],[Contraente]],Table1[[Nome/Ragione sociale]:[Checkbox selezionato]],2,FALSE),"-")</f>
        <v>BELGIOIOSO</v>
      </c>
      <c r="AJ1107" s="63">
        <f>IFERROR(VLOOKUP(Table2[[#This Row],[Contraente]],Table1[[Nome/Ragione sociale]:[Checkbox selezionato]],3,FALSE),"-")</f>
        <v>3391278396</v>
      </c>
      <c r="AK1107" s="63">
        <f>IFERROR(VLOOKUP(Table2[[#This Row],[Contraente]],Table1[[Nome/Ragione sociale]:[Checkbox selezionato]],4,FALSE),"-")</f>
        <v>0</v>
      </c>
      <c r="AL1107" s="63" t="str">
        <f>IFERROR(VLOOKUP(Table2[[#This Row],[Contraente]],Table1[[Nome/Ragione sociale]:[Checkbox selezionato]],5,FALSE),"-")</f>
        <v>SEVERINO</v>
      </c>
      <c r="AM1107" s="62">
        <f>IFERROR(VLOOKUP(Table2[[#This Row],[Contraente]],Table1[[Nome/Ragione sociale]:[Checkbox selezionato]],6,FALSE),"-")</f>
        <v>23352</v>
      </c>
      <c r="AN1107" s="63" t="str">
        <f>IFERROR(VLOOKUP(Table2[[#This Row],[Contraente]],Table1[[Nome/Ragione sociale]:[Checkbox selezionato]],7,FALSE),"-")</f>
        <v>papies@email.it</v>
      </c>
      <c r="AO1107" s="63">
        <f>IFERROR(VLOOKUP(Table2[[#This Row],[Contraente]],Table1[[Nome/Ragione sociale]:[Checkbox selezionato]],8,FALSE),"-")</f>
        <v>0</v>
      </c>
      <c r="AP1107" s="63">
        <f>IFERROR(VLOOKUP(Table2[[#This Row],[Contraente]],Table1[[Nome/Ragione sociale]:[Checkbox selezionato]],10,FALSE),"-")</f>
        <v>3391278396</v>
      </c>
      <c r="AQ1107" s="63" t="str">
        <f>IFERROR(VLOOKUP(Table2[[#This Row],[Contraente]],Table1[[Nome/Ragione sociale]:[Checkbox selezionato]],11,FALSE),"-")</f>
        <v>SI</v>
      </c>
      <c r="AR1107" s="63" t="str">
        <f>IFERROR(VLOOKUP(Table2[[#This Row],[Contraente]],Table1[[Nome/Ragione sociale]:[Checkbox selezionato]],12,FALSE),"-")</f>
        <v>SI</v>
      </c>
    </row>
    <row r="1108" spans="1:44" ht="30" hidden="1" customHeight="1" x14ac:dyDescent="0.25">
      <c r="A1108" s="60" t="str">
        <f>UPPER(LEFT(Table2[[#This Row],[Contraente]],1))</f>
        <v>V</v>
      </c>
      <c r="B1108" s="60" t="s">
        <v>1634</v>
      </c>
      <c r="C1108" s="84" t="s">
        <v>1072</v>
      </c>
      <c r="D1108" s="81" t="s">
        <v>37</v>
      </c>
      <c r="E1108" s="86">
        <v>106866836</v>
      </c>
      <c r="F1108" s="64">
        <v>42871</v>
      </c>
      <c r="G1108" s="64">
        <f>IFERROR(CALCOLASCADENZA(Table2[[#This Row],[Data attivazione]],Table2[[#This Row],[Rateizzazione]],Table2[[#This Row],[Data ultimo pagamento]],Table2[[#This Row],[Data prossima scadenza manuale]]),"-")</f>
        <v>42950</v>
      </c>
      <c r="H1108" s="67" t="s">
        <v>31</v>
      </c>
      <c r="I1108" s="67" t="s">
        <v>1608</v>
      </c>
      <c r="J1108" s="33">
        <f>IFERROR(Table2[[#This Row],[Importo annuale]]/(12/VLOOKUP(Table2[[#This Row],[Rateizzazione]],TIPI_RATEIZZAZIONI,2,FALSE)),"-")</f>
        <v>116</v>
      </c>
      <c r="K1108" s="88">
        <v>236</v>
      </c>
      <c r="L1108" s="88">
        <v>464</v>
      </c>
      <c r="M1108" s="67" t="s">
        <v>43</v>
      </c>
      <c r="N1108" s="67" t="s">
        <v>51</v>
      </c>
      <c r="O1108" s="27" t="s">
        <v>1631</v>
      </c>
      <c r="P1108" s="33" t="s">
        <v>20</v>
      </c>
      <c r="Q1108" s="60">
        <f>IFERROR(IF(12 / VLOOKUP(Table2[[#This Row],[Rateizzazione]],TIPI_RATEIZZAZIONI,2,FALSE) &gt;=1,  IF(Table2[[#This Row],[Data attivazione]] = "","-",MONTH(Table2[[#This Row],[Data attivazione]])),"-"),"-")</f>
        <v>8</v>
      </c>
      <c r="R11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10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110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5</v>
      </c>
      <c r="U1108" s="67" t="s">
        <v>2</v>
      </c>
      <c r="V1108" s="62"/>
      <c r="W1108" s="64">
        <v>42585</v>
      </c>
      <c r="X1108" s="29">
        <f>DATE(YEAR(Table2[[#This Row],[Data attivazione]])+VLOOKUP(Table2[[#This Row],[Durata]],VALORE_DURATA,2,FALSE),MONTH(Table2[[#This Row],[Data attivazione]]),DAY(Table2[[#This Row],[Data attivazione]]))</f>
        <v>42950</v>
      </c>
      <c r="Y1108" s="65"/>
      <c r="Z1108" s="61"/>
      <c r="AA1108" s="64" t="s">
        <v>85</v>
      </c>
      <c r="AB1108" s="29" t="str">
        <f>IF(Table2[[#This Row],[Data ultimo versamento temp]]=0/1/1900,"-",Table2[[#This Row],[Data ultimo versamento temp]])</f>
        <v>-</v>
      </c>
      <c r="AC1108" s="29">
        <f t="array" ref="AC1108">MAX(IF(TableVersamenti[Polizza]=Table2[[#This Row],[Polizza]],TableVersamenti[Data prevista versamento],"-"))</f>
        <v>0</v>
      </c>
      <c r="AD1108" s="62"/>
      <c r="AE1108" s="106">
        <f>DATE(YEAR(Table2[[#This Row],[Data ultimo pagamento]]),MONTH(Table2[[#This Row],[Data ultimo pagamento]]), 1)</f>
        <v>42856</v>
      </c>
      <c r="AF1108" s="106">
        <f>DATE(YEAR(Table2[[#This Row],[Data prossima scadenza]]),MONTH(Table2[[#This Row],[Data prossima scadenza]]), 1)</f>
        <v>42948</v>
      </c>
      <c r="AG1108" s="33">
        <f>IFERROR(Table2[[#This Row],[Importo annuale]]*VLOOKUP(Table2[[#This Row],[Ramo]],RAMI_POLIZZA,2,FALSE),0)</f>
        <v>24.128</v>
      </c>
      <c r="AH1108" s="65" t="s">
        <v>113</v>
      </c>
      <c r="AI1108" s="63" t="str">
        <f>IFERROR(VLOOKUP(Table2[[#This Row],[Contraente]],Table1[[Nome/Ragione sociale]:[Checkbox selezionato]],2,FALSE),"-")</f>
        <v>BELGIOIOSO</v>
      </c>
      <c r="AJ1108" s="63">
        <f>IFERROR(VLOOKUP(Table2[[#This Row],[Contraente]],Table1[[Nome/Ragione sociale]:[Checkbox selezionato]],3,FALSE),"-")</f>
        <v>3338482677</v>
      </c>
      <c r="AK1108" s="63">
        <f>IFERROR(VLOOKUP(Table2[[#This Row],[Contraente]],Table1[[Nome/Ragione sociale]:[Checkbox selezionato]],4,FALSE),"-")</f>
        <v>0</v>
      </c>
      <c r="AL1108" s="63" t="str">
        <f>IFERROR(VLOOKUP(Table2[[#This Row],[Contraente]],Table1[[Nome/Ragione sociale]:[Checkbox selezionato]],5,FALSE),"-")</f>
        <v>CRISTINA</v>
      </c>
      <c r="AM1108" s="62">
        <f>IFERROR(VLOOKUP(Table2[[#This Row],[Contraente]],Table1[[Nome/Ragione sociale]:[Checkbox selezionato]],6,FALSE),"-")</f>
        <v>20369</v>
      </c>
      <c r="AN1108" s="63" t="str">
        <f>IFERROR(VLOOKUP(Table2[[#This Row],[Contraente]],Table1[[Nome/Ragione sociale]:[Checkbox selezionato]],7,FALSE),"-")</f>
        <v>papies@libero.it</v>
      </c>
      <c r="AO1108" s="63">
        <f>IFERROR(VLOOKUP(Table2[[#This Row],[Contraente]],Table1[[Nome/Ragione sociale]:[Checkbox selezionato]],8,FALSE),"-")</f>
        <v>0</v>
      </c>
      <c r="AP1108" s="63">
        <f>IFERROR(VLOOKUP(Table2[[#This Row],[Contraente]],Table1[[Nome/Ragione sociale]:[Checkbox selezionato]],10,FALSE),"-")</f>
        <v>3338482677</v>
      </c>
      <c r="AQ1108" s="63" t="str">
        <f>IFERROR(VLOOKUP(Table2[[#This Row],[Contraente]],Table1[[Nome/Ragione sociale]:[Checkbox selezionato]],11,FALSE),"-")</f>
        <v>SI</v>
      </c>
      <c r="AR1108" s="63" t="str">
        <f>IFERROR(VLOOKUP(Table2[[#This Row],[Contraente]],Table1[[Nome/Ragione sociale]:[Checkbox selezionato]],12,FALSE),"-")</f>
        <v>SI</v>
      </c>
    </row>
    <row r="1109" spans="1:44" ht="30" hidden="1" customHeight="1" x14ac:dyDescent="0.25">
      <c r="A1109" s="60" t="str">
        <f>UPPER(LEFT(Table2[[#This Row],[Contraente]],1))</f>
        <v>V</v>
      </c>
      <c r="B1109" s="60" t="s">
        <v>1634</v>
      </c>
      <c r="C1109" s="84" t="s">
        <v>1074</v>
      </c>
      <c r="D1109" s="81" t="s">
        <v>37</v>
      </c>
      <c r="E1109" s="86">
        <v>106718830</v>
      </c>
      <c r="F1109" s="64">
        <v>42831</v>
      </c>
      <c r="G1109" s="64">
        <f>IFERROR(CALCOLASCADENZA(Table2[[#This Row],[Data attivazione]],Table2[[#This Row],[Rateizzazione]],Table2[[#This Row],[Data ultimo pagamento]],Table2[[#This Row],[Data prossima scadenza manuale]]),"-")</f>
        <v>43191</v>
      </c>
      <c r="H1109" s="67" t="s">
        <v>31</v>
      </c>
      <c r="I1109" s="67" t="s">
        <v>1609</v>
      </c>
      <c r="J1109" s="33">
        <f>IFERROR(Table2[[#This Row],[Importo annuale]]/(12/VLOOKUP(Table2[[#This Row],[Rateizzazione]],TIPI_RATEIZZAZIONI,2,FALSE)),"-")</f>
        <v>220</v>
      </c>
      <c r="K1109" s="88">
        <v>220</v>
      </c>
      <c r="L1109" s="88">
        <v>220</v>
      </c>
      <c r="M1109" s="67" t="s">
        <v>43</v>
      </c>
      <c r="N1109" s="67" t="s">
        <v>51</v>
      </c>
      <c r="O1109" s="27" t="s">
        <v>1631</v>
      </c>
      <c r="P1109" s="33" t="s">
        <v>23</v>
      </c>
      <c r="Q1109" s="60">
        <f>IFERROR(IF(12 / VLOOKUP(Table2[[#This Row],[Rateizzazione]],TIPI_RATEIZZAZIONI,2,FALSE) &gt;=1,  IF(Table2[[#This Row],[Data attivazione]] = "","-",MONTH(Table2[[#This Row],[Data attivazione]])),"-"),"-")</f>
        <v>4</v>
      </c>
      <c r="R11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9" s="67" t="s">
        <v>2</v>
      </c>
      <c r="V1109" s="62"/>
      <c r="W1109" s="64">
        <v>42826</v>
      </c>
      <c r="X1109" s="29">
        <f>DATE(YEAR(Table2[[#This Row],[Data attivazione]])+VLOOKUP(Table2[[#This Row],[Durata]],VALORE_DURATA,2,FALSE),MONTH(Table2[[#This Row],[Data attivazione]]),DAY(Table2[[#This Row],[Data attivazione]]))</f>
        <v>43191</v>
      </c>
      <c r="Y1109" s="65"/>
      <c r="Z1109" s="61"/>
      <c r="AA1109" s="64" t="s">
        <v>85</v>
      </c>
      <c r="AB1109" s="29" t="str">
        <f>IF(Table2[[#This Row],[Data ultimo versamento temp]]=0/1/1900,"-",Table2[[#This Row],[Data ultimo versamento temp]])</f>
        <v>-</v>
      </c>
      <c r="AC1109" s="29">
        <f t="array" ref="AC1109">MAX(IF(TableVersamenti[Polizza]=Table2[[#This Row],[Polizza]],TableVersamenti[Data prevista versamento],"-"))</f>
        <v>0</v>
      </c>
      <c r="AD1109" s="62"/>
      <c r="AE1109" s="106">
        <f>DATE(YEAR(Table2[[#This Row],[Data ultimo pagamento]]),MONTH(Table2[[#This Row],[Data ultimo pagamento]]), 1)</f>
        <v>42826</v>
      </c>
      <c r="AF1109" s="106">
        <f>DATE(YEAR(Table2[[#This Row],[Data prossima scadenza]]),MONTH(Table2[[#This Row],[Data prossima scadenza]]), 1)</f>
        <v>43191</v>
      </c>
      <c r="AG1109" s="33">
        <f>IFERROR(Table2[[#This Row],[Importo annuale]]*VLOOKUP(Table2[[#This Row],[Ramo]],RAMI_POLIZZA,2,FALSE),0)</f>
        <v>11.44</v>
      </c>
      <c r="AH1109" s="65" t="s">
        <v>113</v>
      </c>
      <c r="AI1109" s="63" t="str">
        <f>IFERROR(VLOOKUP(Table2[[#This Row],[Contraente]],Table1[[Nome/Ragione sociale]:[Checkbox selezionato]],2,FALSE),"-")</f>
        <v>LINAROLO</v>
      </c>
      <c r="AJ1109" s="63">
        <f>IFERROR(VLOOKUP(Table2[[#This Row],[Contraente]],Table1[[Nome/Ragione sociale]:[Checkbox selezionato]],3,FALSE),"-")</f>
        <v>3494926388</v>
      </c>
      <c r="AK1109" s="63">
        <f>IFERROR(VLOOKUP(Table2[[#This Row],[Contraente]],Table1[[Nome/Ragione sociale]:[Checkbox selezionato]],4,FALSE),"-")</f>
        <v>0</v>
      </c>
      <c r="AL1109" s="63" t="str">
        <f>IFERROR(VLOOKUP(Table2[[#This Row],[Contraente]],Table1[[Nome/Ragione sociale]:[Checkbox selezionato]],5,FALSE),"-")</f>
        <v>GIULIO</v>
      </c>
      <c r="AM1109" s="62">
        <f>IFERROR(VLOOKUP(Table2[[#This Row],[Contraente]],Table1[[Nome/Ragione sociale]:[Checkbox selezionato]],6,FALSE),"-")</f>
        <v>24031</v>
      </c>
      <c r="AN1109" s="63" t="str">
        <f>IFERROR(VLOOKUP(Table2[[#This Row],[Contraente]],Table1[[Nome/Ragione sociale]:[Checkbox selezionato]],7,FALSE),"-")</f>
        <v>papies@libero.it</v>
      </c>
      <c r="AO1109" s="63">
        <f>IFERROR(VLOOKUP(Table2[[#This Row],[Contraente]],Table1[[Nome/Ragione sociale]:[Checkbox selezionato]],8,FALSE),"-")</f>
        <v>0</v>
      </c>
      <c r="AP1109" s="63">
        <f>IFERROR(VLOOKUP(Table2[[#This Row],[Contraente]],Table1[[Nome/Ragione sociale]:[Checkbox selezionato]],10,FALSE),"-")</f>
        <v>3494926388</v>
      </c>
      <c r="AQ1109" s="63" t="str">
        <f>IFERROR(VLOOKUP(Table2[[#This Row],[Contraente]],Table1[[Nome/Ragione sociale]:[Checkbox selezionato]],11,FALSE),"-")</f>
        <v>SI</v>
      </c>
      <c r="AR1109" s="63" t="str">
        <f>IFERROR(VLOOKUP(Table2[[#This Row],[Contraente]],Table1[[Nome/Ragione sociale]:[Checkbox selezionato]],12,FALSE),"-")</f>
        <v>SI</v>
      </c>
    </row>
    <row r="1110" spans="1:44" ht="30" hidden="1" customHeight="1" x14ac:dyDescent="0.25">
      <c r="A1110" s="60" t="str">
        <f>UPPER(LEFT(Table2[[#This Row],[Contraente]],1))</f>
        <v>V</v>
      </c>
      <c r="B1110" s="60" t="s">
        <v>1634</v>
      </c>
      <c r="C1110" s="84" t="s">
        <v>201</v>
      </c>
      <c r="D1110" s="81" t="s">
        <v>37</v>
      </c>
      <c r="E1110" s="86">
        <v>107040712</v>
      </c>
      <c r="F1110" s="64">
        <v>42914</v>
      </c>
      <c r="G1110" s="64">
        <f>IFERROR(CALCOLASCADENZA(Table2[[#This Row],[Data attivazione]],Table2[[#This Row],[Rateizzazione]],Table2[[#This Row],[Data ultimo pagamento]],Table2[[#This Row],[Data prossima scadenza manuale]]),"-")</f>
        <v>43275</v>
      </c>
      <c r="H1110" s="67" t="s">
        <v>31</v>
      </c>
      <c r="I1110" s="67" t="s">
        <v>1702</v>
      </c>
      <c r="J1110" s="33">
        <f>IFERROR(Table2[[#This Row],[Importo annuale]]/(12/VLOOKUP(Table2[[#This Row],[Rateizzazione]],TIPI_RATEIZZAZIONI,2,FALSE)),"-")</f>
        <v>450</v>
      </c>
      <c r="K1110" s="88">
        <v>500</v>
      </c>
      <c r="L1110" s="88">
        <v>450</v>
      </c>
      <c r="M1110" s="67" t="s">
        <v>44</v>
      </c>
      <c r="N1110" s="67" t="s">
        <v>51</v>
      </c>
      <c r="O1110" s="27" t="s">
        <v>1631</v>
      </c>
      <c r="P1110" s="33" t="s">
        <v>23</v>
      </c>
      <c r="Q1110" s="60">
        <f>IFERROR(IF(12 / VLOOKUP(Table2[[#This Row],[Rateizzazione]],TIPI_RATEIZZAZIONI,2,FALSE) &gt;=1,  IF(Table2[[#This Row],[Data attivazione]] = "","-",MONTH(Table2[[#This Row],[Data attivazione]])),"-"),"-")</f>
        <v>6</v>
      </c>
      <c r="R11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0" s="67" t="s">
        <v>2</v>
      </c>
      <c r="V1110" s="62"/>
      <c r="W1110" s="64">
        <v>42910</v>
      </c>
      <c r="X1110" s="29">
        <f>DATE(YEAR(Table2[[#This Row],[Data attivazione]])+VLOOKUP(Table2[[#This Row],[Durata]],VALORE_DURATA,2,FALSE),MONTH(Table2[[#This Row],[Data attivazione]]),DAY(Table2[[#This Row],[Data attivazione]]))</f>
        <v>43275</v>
      </c>
      <c r="Y1110" s="65"/>
      <c r="Z1110" s="61"/>
      <c r="AA1110" s="64" t="s">
        <v>85</v>
      </c>
      <c r="AB1110" s="29" t="str">
        <f>IF(Table2[[#This Row],[Data ultimo versamento temp]]=0/1/1900,"-",Table2[[#This Row],[Data ultimo versamento temp]])</f>
        <v>-</v>
      </c>
      <c r="AC1110" s="29">
        <f t="array" ref="AC1110">MAX(IF(TableVersamenti[Polizza]=Table2[[#This Row],[Polizza]],TableVersamenti[Data prevista versamento],"-"))</f>
        <v>0</v>
      </c>
      <c r="AD1110" s="62"/>
      <c r="AE1110" s="106">
        <f>DATE(YEAR(Table2[[#This Row],[Data ultimo pagamento]]),MONTH(Table2[[#This Row],[Data ultimo pagamento]]), 1)</f>
        <v>42887</v>
      </c>
      <c r="AF1110" s="106">
        <f>DATE(YEAR(Table2[[#This Row],[Data prossima scadenza]]),MONTH(Table2[[#This Row],[Data prossima scadenza]]), 1)</f>
        <v>43252</v>
      </c>
      <c r="AG1110" s="33">
        <f>IFERROR(Table2[[#This Row],[Importo annuale]]*VLOOKUP(Table2[[#This Row],[Ramo]],RAMI_POLIZZA,2,FALSE),0)</f>
        <v>23.4</v>
      </c>
      <c r="AH1110" s="65" t="s">
        <v>113</v>
      </c>
      <c r="AI1110" s="63" t="str">
        <f>IFERROR(VLOOKUP(Table2[[#This Row],[Contraente]],Table1[[Nome/Ragione sociale]:[Checkbox selezionato]],2,FALSE),"-")</f>
        <v>TORRE DE NEGRI</v>
      </c>
      <c r="AJ1110" s="63">
        <f>IFERROR(VLOOKUP(Table2[[#This Row],[Contraente]],Table1[[Nome/Ragione sociale]:[Checkbox selezionato]],3,FALSE),"-")</f>
        <v>3349108740</v>
      </c>
      <c r="AK1110" s="63">
        <f>IFERROR(VLOOKUP(Table2[[#This Row],[Contraente]],Table1[[Nome/Ragione sociale]:[Checkbox selezionato]],4,FALSE),"-")</f>
        <v>0</v>
      </c>
      <c r="AL1110" s="63" t="str">
        <f>IFERROR(VLOOKUP(Table2[[#This Row],[Contraente]],Table1[[Nome/Ragione sociale]:[Checkbox selezionato]],5,FALSE),"-")</f>
        <v>DIMITRI</v>
      </c>
      <c r="AM1110" s="62">
        <f>IFERROR(VLOOKUP(Table2[[#This Row],[Contraente]],Table1[[Nome/Ragione sociale]:[Checkbox selezionato]],6,FALSE),"-")</f>
        <v>27912</v>
      </c>
      <c r="AN1110" s="63" t="str">
        <f>IFERROR(VLOOKUP(Table2[[#This Row],[Contraente]],Table1[[Nome/Ragione sociale]:[Checkbox selezionato]],7,FALSE),"-")</f>
        <v>papies@email.it</v>
      </c>
      <c r="AO1110" s="63">
        <f>IFERROR(VLOOKUP(Table2[[#This Row],[Contraente]],Table1[[Nome/Ragione sociale]:[Checkbox selezionato]],8,FALSE),"-")</f>
        <v>0</v>
      </c>
      <c r="AP1110" s="63">
        <f>IFERROR(VLOOKUP(Table2[[#This Row],[Contraente]],Table1[[Nome/Ragione sociale]:[Checkbox selezionato]],10,FALSE),"-")</f>
        <v>3349108740</v>
      </c>
      <c r="AQ1110" s="63" t="str">
        <f>IFERROR(VLOOKUP(Table2[[#This Row],[Contraente]],Table1[[Nome/Ragione sociale]:[Checkbox selezionato]],11,FALSE),"-")</f>
        <v>SI</v>
      </c>
      <c r="AR1110" s="63" t="str">
        <f>IFERROR(VLOOKUP(Table2[[#This Row],[Contraente]],Table1[[Nome/Ragione sociale]:[Checkbox selezionato]],12,FALSE),"-")</f>
        <v>SI</v>
      </c>
    </row>
    <row r="1111" spans="1:44" ht="30" hidden="1" customHeight="1" x14ac:dyDescent="0.25">
      <c r="A1111" s="60" t="str">
        <f>UPPER(LEFT(Table2[[#This Row],[Contraente]],1))</f>
        <v>V</v>
      </c>
      <c r="B1111" s="60" t="s">
        <v>1634</v>
      </c>
      <c r="C1111" s="84" t="s">
        <v>201</v>
      </c>
      <c r="D1111" s="81" t="s">
        <v>37</v>
      </c>
      <c r="E1111" s="86">
        <v>105877890</v>
      </c>
      <c r="F1111" s="64">
        <v>42766</v>
      </c>
      <c r="G1111" s="64">
        <f>IFERROR(CALCOLASCADENZA(Table2[[#This Row],[Data attivazione]],Table2[[#This Row],[Rateizzazione]],Table2[[#This Row],[Data ultimo pagamento]],Table2[[#This Row],[Data prossima scadenza manuale]]),"-")</f>
        <v>42940</v>
      </c>
      <c r="H1111" s="67" t="s">
        <v>31</v>
      </c>
      <c r="I1111" s="67" t="s">
        <v>1610</v>
      </c>
      <c r="J1111" s="33">
        <f>IFERROR(Table2[[#This Row],[Importo annuale]]/(12/VLOOKUP(Table2[[#This Row],[Rateizzazione]],TIPI_RATEIZZAZIONI,2,FALSE)),"-")</f>
        <v>635</v>
      </c>
      <c r="K1111" s="88">
        <v>635</v>
      </c>
      <c r="L1111" s="88">
        <v>1270</v>
      </c>
      <c r="M1111" s="67" t="s">
        <v>44</v>
      </c>
      <c r="N1111" s="67" t="s">
        <v>51</v>
      </c>
      <c r="O1111" s="27" t="s">
        <v>1631</v>
      </c>
      <c r="P1111" s="33" t="s">
        <v>22</v>
      </c>
      <c r="Q1111" s="60">
        <f>IFERROR(IF(12 / VLOOKUP(Table2[[#This Row],[Rateizzazione]],TIPI_RATEIZZAZIONI,2,FALSE) &gt;=1,  IF(Table2[[#This Row],[Data attivazione]] = "","-",MONTH(Table2[[#This Row],[Data attivazione]])),"-"),"-")</f>
        <v>7</v>
      </c>
      <c r="R11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1" s="67" t="s">
        <v>2</v>
      </c>
      <c r="V1111" s="62"/>
      <c r="W1111" s="64">
        <v>42575</v>
      </c>
      <c r="X1111" s="29">
        <f>DATE(YEAR(Table2[[#This Row],[Data attivazione]])+VLOOKUP(Table2[[#This Row],[Durata]],VALORE_DURATA,2,FALSE),MONTH(Table2[[#This Row],[Data attivazione]]),DAY(Table2[[#This Row],[Data attivazione]]))</f>
        <v>42940</v>
      </c>
      <c r="Y1111" s="65"/>
      <c r="Z1111" s="61"/>
      <c r="AA1111" s="64" t="s">
        <v>85</v>
      </c>
      <c r="AB1111" s="29" t="str">
        <f>IF(Table2[[#This Row],[Data ultimo versamento temp]]=0/1/1900,"-",Table2[[#This Row],[Data ultimo versamento temp]])</f>
        <v>-</v>
      </c>
      <c r="AC1111" s="29">
        <f t="array" ref="AC1111">MAX(IF(TableVersamenti[Polizza]=Table2[[#This Row],[Polizza]],TableVersamenti[Data prevista versamento],"-"))</f>
        <v>0</v>
      </c>
      <c r="AD1111" s="62"/>
      <c r="AE1111" s="106">
        <f>DATE(YEAR(Table2[[#This Row],[Data ultimo pagamento]]),MONTH(Table2[[#This Row],[Data ultimo pagamento]]), 1)</f>
        <v>42736</v>
      </c>
      <c r="AF1111" s="106">
        <f>DATE(YEAR(Table2[[#This Row],[Data prossima scadenza]]),MONTH(Table2[[#This Row],[Data prossima scadenza]]), 1)</f>
        <v>42917</v>
      </c>
      <c r="AG1111" s="33">
        <f>IFERROR(Table2[[#This Row],[Importo annuale]]*VLOOKUP(Table2[[#This Row],[Ramo]],RAMI_POLIZZA,2,FALSE),0)</f>
        <v>66.039999999999992</v>
      </c>
      <c r="AH1111" s="65" t="s">
        <v>113</v>
      </c>
      <c r="AI1111" s="63" t="str">
        <f>IFERROR(VLOOKUP(Table2[[#This Row],[Contraente]],Table1[[Nome/Ragione sociale]:[Checkbox selezionato]],2,FALSE),"-")</f>
        <v>TORRE DE NEGRI</v>
      </c>
      <c r="AJ1111" s="63">
        <f>IFERROR(VLOOKUP(Table2[[#This Row],[Contraente]],Table1[[Nome/Ragione sociale]:[Checkbox selezionato]],3,FALSE),"-")</f>
        <v>3349108740</v>
      </c>
      <c r="AK1111" s="63">
        <f>IFERROR(VLOOKUP(Table2[[#This Row],[Contraente]],Table1[[Nome/Ragione sociale]:[Checkbox selezionato]],4,FALSE),"-")</f>
        <v>0</v>
      </c>
      <c r="AL1111" s="63" t="str">
        <f>IFERROR(VLOOKUP(Table2[[#This Row],[Contraente]],Table1[[Nome/Ragione sociale]:[Checkbox selezionato]],5,FALSE),"-")</f>
        <v>DIMITRI</v>
      </c>
      <c r="AM1111" s="62">
        <f>IFERROR(VLOOKUP(Table2[[#This Row],[Contraente]],Table1[[Nome/Ragione sociale]:[Checkbox selezionato]],6,FALSE),"-")</f>
        <v>27912</v>
      </c>
      <c r="AN1111" s="63" t="str">
        <f>IFERROR(VLOOKUP(Table2[[#This Row],[Contraente]],Table1[[Nome/Ragione sociale]:[Checkbox selezionato]],7,FALSE),"-")</f>
        <v>papies@email.it</v>
      </c>
      <c r="AO1111" s="63">
        <f>IFERROR(VLOOKUP(Table2[[#This Row],[Contraente]],Table1[[Nome/Ragione sociale]:[Checkbox selezionato]],8,FALSE),"-")</f>
        <v>0</v>
      </c>
      <c r="AP1111" s="63">
        <f>IFERROR(VLOOKUP(Table2[[#This Row],[Contraente]],Table1[[Nome/Ragione sociale]:[Checkbox selezionato]],10,FALSE),"-")</f>
        <v>3349108740</v>
      </c>
      <c r="AQ1111" s="63" t="str">
        <f>IFERROR(VLOOKUP(Table2[[#This Row],[Contraente]],Table1[[Nome/Ragione sociale]:[Checkbox selezionato]],11,FALSE),"-")</f>
        <v>SI</v>
      </c>
      <c r="AR1111" s="63" t="str">
        <f>IFERROR(VLOOKUP(Table2[[#This Row],[Contraente]],Table1[[Nome/Ragione sociale]:[Checkbox selezionato]],12,FALSE),"-")</f>
        <v>SI</v>
      </c>
    </row>
    <row r="1112" spans="1:44" ht="30" hidden="1" customHeight="1" x14ac:dyDescent="0.25">
      <c r="A1112" s="60" t="str">
        <f>UPPER(LEFT(Table2[[#This Row],[Contraente]],1))</f>
        <v>V</v>
      </c>
      <c r="B1112" s="60" t="s">
        <v>1634</v>
      </c>
      <c r="C1112" s="84" t="s">
        <v>201</v>
      </c>
      <c r="D1112" s="81" t="s">
        <v>37</v>
      </c>
      <c r="E1112" s="86">
        <v>1075738</v>
      </c>
      <c r="F1112" s="64">
        <v>42766</v>
      </c>
      <c r="G1112" s="64">
        <f>IFERROR(CALCOLASCADENZA(Table2[[#This Row],[Data attivazione]],Table2[[#This Row],[Rateizzazione]],Table2[[#This Row],[Data ultimo pagamento]],Table2[[#This Row],[Data prossima scadenza manuale]]),"-")</f>
        <v>42941</v>
      </c>
      <c r="H1112" s="67" t="s">
        <v>32</v>
      </c>
      <c r="I1112" s="67" t="s">
        <v>113</v>
      </c>
      <c r="J1112" s="33">
        <f>IFERROR(Table2[[#This Row],[Importo annuale]]/(12/VLOOKUP(Table2[[#This Row],[Rateizzazione]],TIPI_RATEIZZAZIONI,2,FALSE)),"-")</f>
        <v>71.89</v>
      </c>
      <c r="K1112" s="88">
        <v>71.89</v>
      </c>
      <c r="L1112" s="88">
        <v>143.78</v>
      </c>
      <c r="M1112" s="67" t="s">
        <v>44</v>
      </c>
      <c r="N1112" s="67" t="s">
        <v>52</v>
      </c>
      <c r="O1112" s="27" t="s">
        <v>1631</v>
      </c>
      <c r="P1112" s="33" t="s">
        <v>22</v>
      </c>
      <c r="Q1112" s="60">
        <f>IFERROR(IF(12 / VLOOKUP(Table2[[#This Row],[Rateizzazione]],TIPI_RATEIZZAZIONI,2,FALSE) &gt;=1,  IF(Table2[[#This Row],[Data attivazione]] = "","-",MONTH(Table2[[#This Row],[Data attivazione]])),"-"),"-")</f>
        <v>7</v>
      </c>
      <c r="R11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2" s="67" t="s">
        <v>2</v>
      </c>
      <c r="V1112" s="62"/>
      <c r="W1112" s="64">
        <v>42576</v>
      </c>
      <c r="X1112" s="29">
        <f>DATE(YEAR(Table2[[#This Row],[Data attivazione]])+VLOOKUP(Table2[[#This Row],[Durata]],VALORE_DURATA,2,FALSE),MONTH(Table2[[#This Row],[Data attivazione]]),DAY(Table2[[#This Row],[Data attivazione]]))</f>
        <v>42941</v>
      </c>
      <c r="Y1112" s="65"/>
      <c r="Z1112" s="61"/>
      <c r="AA1112" s="64" t="s">
        <v>85</v>
      </c>
      <c r="AB1112" s="29" t="str">
        <f>IF(Table2[[#This Row],[Data ultimo versamento temp]]=0/1/1900,"-",Table2[[#This Row],[Data ultimo versamento temp]])</f>
        <v>-</v>
      </c>
      <c r="AC1112" s="29">
        <f t="array" ref="AC1112">MAX(IF(TableVersamenti[Polizza]=Table2[[#This Row],[Polizza]],TableVersamenti[Data prevista versamento],"-"))</f>
        <v>0</v>
      </c>
      <c r="AD1112" s="62"/>
      <c r="AE1112" s="106">
        <f>DATE(YEAR(Table2[[#This Row],[Data ultimo pagamento]]),MONTH(Table2[[#This Row],[Data ultimo pagamento]]), 1)</f>
        <v>42736</v>
      </c>
      <c r="AF1112" s="106">
        <f>DATE(YEAR(Table2[[#This Row],[Data prossima scadenza]]),MONTH(Table2[[#This Row],[Data prossima scadenza]]), 1)</f>
        <v>42917</v>
      </c>
      <c r="AG1112" s="33">
        <f>IFERROR(Table2[[#This Row],[Importo annuale]]*VLOOKUP(Table2[[#This Row],[Ramo]],RAMI_POLIZZA,2,FALSE),0)</f>
        <v>2.1566999999999998</v>
      </c>
      <c r="AH1112" s="65" t="s">
        <v>113</v>
      </c>
      <c r="AI1112" s="63" t="str">
        <f>IFERROR(VLOOKUP(Table2[[#This Row],[Contraente]],Table1[[Nome/Ragione sociale]:[Checkbox selezionato]],2,FALSE),"-")</f>
        <v>TORRE DE NEGRI</v>
      </c>
      <c r="AJ1112" s="63">
        <f>IFERROR(VLOOKUP(Table2[[#This Row],[Contraente]],Table1[[Nome/Ragione sociale]:[Checkbox selezionato]],3,FALSE),"-")</f>
        <v>3349108740</v>
      </c>
      <c r="AK1112" s="63">
        <f>IFERROR(VLOOKUP(Table2[[#This Row],[Contraente]],Table1[[Nome/Ragione sociale]:[Checkbox selezionato]],4,FALSE),"-")</f>
        <v>0</v>
      </c>
      <c r="AL1112" s="63" t="str">
        <f>IFERROR(VLOOKUP(Table2[[#This Row],[Contraente]],Table1[[Nome/Ragione sociale]:[Checkbox selezionato]],5,FALSE),"-")</f>
        <v>DIMITRI</v>
      </c>
      <c r="AM1112" s="62">
        <f>IFERROR(VLOOKUP(Table2[[#This Row],[Contraente]],Table1[[Nome/Ragione sociale]:[Checkbox selezionato]],6,FALSE),"-")</f>
        <v>27912</v>
      </c>
      <c r="AN1112" s="63" t="str">
        <f>IFERROR(VLOOKUP(Table2[[#This Row],[Contraente]],Table1[[Nome/Ragione sociale]:[Checkbox selezionato]],7,FALSE),"-")</f>
        <v>papies@email.it</v>
      </c>
      <c r="AO1112" s="63">
        <f>IFERROR(VLOOKUP(Table2[[#This Row],[Contraente]],Table1[[Nome/Ragione sociale]:[Checkbox selezionato]],8,FALSE),"-")</f>
        <v>0</v>
      </c>
      <c r="AP1112" s="63">
        <f>IFERROR(VLOOKUP(Table2[[#This Row],[Contraente]],Table1[[Nome/Ragione sociale]:[Checkbox selezionato]],10,FALSE),"-")</f>
        <v>3349108740</v>
      </c>
      <c r="AQ1112" s="63" t="str">
        <f>IFERROR(VLOOKUP(Table2[[#This Row],[Contraente]],Table1[[Nome/Ragione sociale]:[Checkbox selezionato]],11,FALSE),"-")</f>
        <v>SI</v>
      </c>
      <c r="AR1112" s="63" t="str">
        <f>IFERROR(VLOOKUP(Table2[[#This Row],[Contraente]],Table1[[Nome/Ragione sociale]:[Checkbox selezionato]],12,FALSE),"-")</f>
        <v>SI</v>
      </c>
    </row>
    <row r="1113" spans="1:44" ht="30" hidden="1" customHeight="1" x14ac:dyDescent="0.25">
      <c r="A1113" s="60" t="str">
        <f>UPPER(LEFT(Table2[[#This Row],[Contraente]],1))</f>
        <v>V</v>
      </c>
      <c r="B1113" s="60" t="s">
        <v>1634</v>
      </c>
      <c r="C1113" s="81" t="s">
        <v>1076</v>
      </c>
      <c r="D1113" s="81" t="s">
        <v>37</v>
      </c>
      <c r="E1113" s="86">
        <v>104712702</v>
      </c>
      <c r="F1113" s="64">
        <v>42474</v>
      </c>
      <c r="G1113" s="64">
        <f>IFERROR(CALCOLASCADENZA(Table2[[#This Row],[Data attivazione]],Table2[[#This Row],[Rateizzazione]],Table2[[#This Row],[Data ultimo pagamento]],Table2[[#This Row],[Data prossima scadenza manuale]]),"-")</f>
        <v>42474</v>
      </c>
      <c r="H1113" s="67" t="s">
        <v>31</v>
      </c>
      <c r="I1113" s="67" t="s">
        <v>1611</v>
      </c>
      <c r="J1113" s="33">
        <v>0</v>
      </c>
      <c r="K1113" s="88"/>
      <c r="L1113" s="88">
        <v>0</v>
      </c>
      <c r="M1113" s="67" t="s">
        <v>44</v>
      </c>
      <c r="N1113" s="67" t="s">
        <v>51</v>
      </c>
      <c r="O1113" s="27" t="s">
        <v>1631</v>
      </c>
      <c r="P1113" s="33" t="s">
        <v>24</v>
      </c>
      <c r="Q111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3" s="67" t="s">
        <v>2</v>
      </c>
      <c r="V1113" s="62"/>
      <c r="W1113" s="64">
        <v>42213</v>
      </c>
      <c r="X1113" s="29">
        <f>DATE(YEAR(Table2[[#This Row],[Data attivazione]])+VLOOKUP(Table2[[#This Row],[Durata]],VALORE_DURATA,2,FALSE),MONTH(Table2[[#This Row],[Data attivazione]]),DAY(Table2[[#This Row],[Data attivazione]]))</f>
        <v>42579</v>
      </c>
      <c r="Y1113" s="65"/>
      <c r="Z1113" s="61"/>
      <c r="AA1113" s="64" t="s">
        <v>88</v>
      </c>
      <c r="AB1113" s="29" t="str">
        <f>IF(Table2[[#This Row],[Data ultimo versamento temp]]=0/1/1900,"-",Table2[[#This Row],[Data ultimo versamento temp]])</f>
        <v>-</v>
      </c>
      <c r="AC1113" s="29">
        <f t="array" ref="AC1113">MAX(IF(TableVersamenti[Polizza]=Table2[[#This Row],[Polizza]],TableVersamenti[Data prevista versamento],"-"))</f>
        <v>0</v>
      </c>
      <c r="AD1113" s="62"/>
      <c r="AE1113" s="106">
        <f>DATE(YEAR(Table2[[#This Row],[Data ultimo pagamento]]),MONTH(Table2[[#This Row],[Data ultimo pagamento]]), 1)</f>
        <v>42461</v>
      </c>
      <c r="AF1113" s="106">
        <f>DATE(YEAR(Table2[[#This Row],[Data prossima scadenza]]),MONTH(Table2[[#This Row],[Data prossima scadenza]]), 1)</f>
        <v>42461</v>
      </c>
      <c r="AG1113" s="33">
        <f>IFERROR(Table2[[#This Row],[Importo annuale]]*VLOOKUP(Table2[[#This Row],[Ramo]],RAMI_POLIZZA,2,FALSE),0)</f>
        <v>0</v>
      </c>
      <c r="AH1113" s="65" t="s">
        <v>113</v>
      </c>
      <c r="AI1113" s="63" t="str">
        <f>IFERROR(VLOOKUP(Table2[[#This Row],[Contraente]],Table1[[Nome/Ragione sociale]:[Checkbox selezionato]],2,FALSE),"-")</f>
        <v>STRADELLA</v>
      </c>
      <c r="AJ1113" s="63">
        <f>IFERROR(VLOOKUP(Table2[[#This Row],[Contraente]],Table1[[Nome/Ragione sociale]:[Checkbox selezionato]],3,FALSE),"-")</f>
        <v>3207543746</v>
      </c>
      <c r="AK1113" s="63">
        <f>IFERROR(VLOOKUP(Table2[[#This Row],[Contraente]],Table1[[Nome/Ragione sociale]:[Checkbox selezionato]],4,FALSE),"-")</f>
        <v>0</v>
      </c>
      <c r="AL1113" s="63">
        <f>IFERROR(VLOOKUP(Table2[[#This Row],[Contraente]],Table1[[Nome/Ragione sociale]:[Checkbox selezionato]],5,FALSE),"-")</f>
        <v>0</v>
      </c>
      <c r="AM1113" s="62">
        <f>IFERROR(VLOOKUP(Table2[[#This Row],[Contraente]],Table1[[Nome/Ragione sociale]:[Checkbox selezionato]],6,FALSE),"-")</f>
        <v>27158</v>
      </c>
      <c r="AN1113" s="63" t="str">
        <f>IFERROR(VLOOKUP(Table2[[#This Row],[Contraente]],Table1[[Nome/Ragione sociale]:[Checkbox selezionato]],7,FALSE),"-")</f>
        <v>papies@libero.it</v>
      </c>
      <c r="AO1113" s="63">
        <f>IFERROR(VLOOKUP(Table2[[#This Row],[Contraente]],Table1[[Nome/Ragione sociale]:[Checkbox selezionato]],8,FALSE),"-")</f>
        <v>0</v>
      </c>
      <c r="AP1113" s="63">
        <f>IFERROR(VLOOKUP(Table2[[#This Row],[Contraente]],Table1[[Nome/Ragione sociale]:[Checkbox selezionato]],10,FALSE),"-")</f>
        <v>3207543746</v>
      </c>
      <c r="AQ1113" s="63" t="str">
        <f>IFERROR(VLOOKUP(Table2[[#This Row],[Contraente]],Table1[[Nome/Ragione sociale]:[Checkbox selezionato]],11,FALSE),"-")</f>
        <v>SI</v>
      </c>
      <c r="AR1113" s="63" t="str">
        <f>IFERROR(VLOOKUP(Table2[[#This Row],[Contraente]],Table1[[Nome/Ragione sociale]:[Checkbox selezionato]],12,FALSE),"-")</f>
        <v>SI</v>
      </c>
    </row>
    <row r="1114" spans="1:44" ht="30" hidden="1" customHeight="1" x14ac:dyDescent="0.25">
      <c r="A1114" s="60" t="str">
        <f>UPPER(LEFT(Table2[[#This Row],[Contraente]],1))</f>
        <v>V</v>
      </c>
      <c r="B1114" s="60" t="s">
        <v>1634</v>
      </c>
      <c r="C1114" s="81" t="s">
        <v>1077</v>
      </c>
      <c r="D1114" s="81" t="s">
        <v>37</v>
      </c>
      <c r="E1114" s="86">
        <v>103261453</v>
      </c>
      <c r="F1114" s="64">
        <v>41816</v>
      </c>
      <c r="G1114" s="64">
        <f>IFERROR(CALCOLASCADENZA(Table2[[#This Row],[Data attivazione]],Table2[[#This Row],[Rateizzazione]],Table2[[#This Row],[Data ultimo pagamento]],Table2[[#This Row],[Data prossima scadenza manuale]]),"-")</f>
        <v>693962</v>
      </c>
      <c r="H1114" s="67" t="s">
        <v>31</v>
      </c>
      <c r="I1114" s="67"/>
      <c r="J1114" s="33">
        <f>IFERROR(Table2[[#This Row],[Importo annuale]]/(12/VLOOKUP(Table2[[#This Row],[Rateizzazione]],TIPI_RATEIZZAZIONI,2,FALSE)),"-")</f>
        <v>200.01</v>
      </c>
      <c r="K1114" s="88"/>
      <c r="L1114" s="88">
        <v>200.01</v>
      </c>
      <c r="M1114" s="67" t="s">
        <v>43</v>
      </c>
      <c r="N1114" s="67" t="s">
        <v>52</v>
      </c>
      <c r="O1114" s="27" t="s">
        <v>1631</v>
      </c>
      <c r="P1114" s="33" t="s">
        <v>23</v>
      </c>
      <c r="Q1114" s="60">
        <f>IFERROR(IF(12 / VLOOKUP(Table2[[#This Row],[Rateizzazione]],TIPI_RATEIZZAZIONI,2,FALSE) &gt;=1,  IF(Table2[[#This Row],[Data attivazione]] = "","-",MONTH(Table2[[#This Row],[Data attivazione]])),"-"),"-")</f>
        <v>12</v>
      </c>
      <c r="R11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4" s="67" t="s">
        <v>2</v>
      </c>
      <c r="V1114" s="62"/>
      <c r="W1114" s="64">
        <v>693597</v>
      </c>
      <c r="X1114" s="29">
        <f>DATE(YEAR(Table2[[#This Row],[Data attivazione]])+VLOOKUP(Table2[[#This Row],[Durata]],VALORE_DURATA,2,FALSE),MONTH(Table2[[#This Row],[Data attivazione]]),DAY(Table2[[#This Row],[Data attivazione]]))</f>
        <v>693962</v>
      </c>
      <c r="Y1114" s="65"/>
      <c r="Z1114" s="61"/>
      <c r="AA1114" s="64" t="s">
        <v>88</v>
      </c>
      <c r="AB1114" s="29" t="str">
        <f>IF(Table2[[#This Row],[Data ultimo versamento temp]]=0/1/1900,"-",Table2[[#This Row],[Data ultimo versamento temp]])</f>
        <v>-</v>
      </c>
      <c r="AC1114" s="29">
        <f t="array" ref="AC1114">MAX(IF(TableVersamenti[Polizza]=Table2[[#This Row],[Polizza]],TableVersamenti[Data prevista versamento],"-"))</f>
        <v>0</v>
      </c>
      <c r="AD1114" s="62"/>
      <c r="AE1114" s="106">
        <f>DATE(YEAR(Table2[[#This Row],[Data ultimo pagamento]]),MONTH(Table2[[#This Row],[Data ultimo pagamento]]), 1)</f>
        <v>41791</v>
      </c>
      <c r="AF1114" s="106">
        <f>DATE(YEAR(Table2[[#This Row],[Data prossima scadenza]]),MONTH(Table2[[#This Row],[Data prossima scadenza]]), 1)</f>
        <v>693932</v>
      </c>
      <c r="AG1114" s="33">
        <f>IFERROR(Table2[[#This Row],[Importo annuale]]*VLOOKUP(Table2[[#This Row],[Ramo]],RAMI_POLIZZA,2,FALSE),0)</f>
        <v>10.400519999999998</v>
      </c>
      <c r="AH1114" s="65" t="s">
        <v>113</v>
      </c>
      <c r="AI1114" s="63">
        <f>IFERROR(VLOOKUP(Table2[[#This Row],[Contraente]],Table1[[Nome/Ragione sociale]:[Checkbox selezionato]],2,FALSE),"-")</f>
        <v>0</v>
      </c>
      <c r="AJ1114" s="63">
        <f>IFERROR(VLOOKUP(Table2[[#This Row],[Contraente]],Table1[[Nome/Ragione sociale]:[Checkbox selezionato]],3,FALSE),"-")</f>
        <v>0</v>
      </c>
      <c r="AK1114" s="63">
        <f>IFERROR(VLOOKUP(Table2[[#This Row],[Contraente]],Table1[[Nome/Ragione sociale]:[Checkbox selezionato]],4,FALSE),"-")</f>
        <v>0</v>
      </c>
      <c r="AL1114" s="63">
        <f>IFERROR(VLOOKUP(Table2[[#This Row],[Contraente]],Table1[[Nome/Ragione sociale]:[Checkbox selezionato]],5,FALSE),"-")</f>
        <v>0</v>
      </c>
      <c r="AM1114" s="62">
        <f>IFERROR(VLOOKUP(Table2[[#This Row],[Contraente]],Table1[[Nome/Ragione sociale]:[Checkbox selezionato]],6,FALSE),"-")</f>
        <v>0</v>
      </c>
      <c r="AN1114" s="63" t="str">
        <f>IFERROR(VLOOKUP(Table2[[#This Row],[Contraente]],Table1[[Nome/Ragione sociale]:[Checkbox selezionato]],7,FALSE),"-")</f>
        <v>papies@libero.it</v>
      </c>
      <c r="AO1114" s="63">
        <f>IFERROR(VLOOKUP(Table2[[#This Row],[Contraente]],Table1[[Nome/Ragione sociale]:[Checkbox selezionato]],8,FALSE),"-")</f>
        <v>0</v>
      </c>
      <c r="AP1114" s="63">
        <f>IFERROR(VLOOKUP(Table2[[#This Row],[Contraente]],Table1[[Nome/Ragione sociale]:[Checkbox selezionato]],10,FALSE),"-")</f>
        <v>0</v>
      </c>
      <c r="AQ1114" s="63" t="str">
        <f>IFERROR(VLOOKUP(Table2[[#This Row],[Contraente]],Table1[[Nome/Ragione sociale]:[Checkbox selezionato]],11,FALSE),"-")</f>
        <v>SI</v>
      </c>
      <c r="AR1114" s="63" t="str">
        <f>IFERROR(VLOOKUP(Table2[[#This Row],[Contraente]],Table1[[Nome/Ragione sociale]:[Checkbox selezionato]],12,FALSE),"-")</f>
        <v>SI</v>
      </c>
    </row>
    <row r="1115" spans="1:44" ht="30" hidden="1" customHeight="1" x14ac:dyDescent="0.25">
      <c r="A1115" s="60" t="str">
        <f>UPPER(LEFT(Table2[[#This Row],[Contraente]],1))</f>
        <v>V</v>
      </c>
      <c r="B1115" s="60" t="s">
        <v>1634</v>
      </c>
      <c r="C1115" s="81" t="s">
        <v>204</v>
      </c>
      <c r="D1115" s="81" t="s">
        <v>37</v>
      </c>
      <c r="E1115" s="86">
        <v>102687694</v>
      </c>
      <c r="F1115" s="64">
        <v>42332</v>
      </c>
      <c r="G1115" s="64">
        <f>IFERROR(CALCOLASCADENZA(Table2[[#This Row],[Data attivazione]],Table2[[#This Row],[Rateizzazione]],Table2[[#This Row],[Data ultimo pagamento]],Table2[[#This Row],[Data prossima scadenza manuale]]),"-")</f>
        <v>42332</v>
      </c>
      <c r="H1115" s="67" t="s">
        <v>31</v>
      </c>
      <c r="I1115" s="67" t="s">
        <v>1612</v>
      </c>
      <c r="J1115" s="33">
        <v>-63.63</v>
      </c>
      <c r="K1115" s="88"/>
      <c r="L1115" s="88">
        <v>0</v>
      </c>
      <c r="M1115" s="67" t="s">
        <v>43</v>
      </c>
      <c r="N1115" s="67" t="s">
        <v>51</v>
      </c>
      <c r="O1115" s="27" t="s">
        <v>1631</v>
      </c>
      <c r="P1115" s="33" t="s">
        <v>24</v>
      </c>
      <c r="Q111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5" s="67" t="s">
        <v>2</v>
      </c>
      <c r="V1115" s="62"/>
      <c r="W1115" s="64">
        <v>693597</v>
      </c>
      <c r="X1115" s="29">
        <f>DATE(YEAR(Table2[[#This Row],[Data attivazione]])+VLOOKUP(Table2[[#This Row],[Durata]],VALORE_DURATA,2,FALSE),MONTH(Table2[[#This Row],[Data attivazione]]),DAY(Table2[[#This Row],[Data attivazione]]))</f>
        <v>693962</v>
      </c>
      <c r="Y1115" s="65"/>
      <c r="Z1115" s="61"/>
      <c r="AA1115" s="64" t="s">
        <v>88</v>
      </c>
      <c r="AB1115" s="29" t="str">
        <f>IF(Table2[[#This Row],[Data ultimo versamento temp]]=0/1/1900,"-",Table2[[#This Row],[Data ultimo versamento temp]])</f>
        <v>-</v>
      </c>
      <c r="AC1115" s="29">
        <f t="array" ref="AC1115">MAX(IF(TableVersamenti[Polizza]=Table2[[#This Row],[Polizza]],TableVersamenti[Data prevista versamento],"-"))</f>
        <v>0</v>
      </c>
      <c r="AD1115" s="62"/>
      <c r="AE1115" s="106">
        <f>DATE(YEAR(Table2[[#This Row],[Data ultimo pagamento]]),MONTH(Table2[[#This Row],[Data ultimo pagamento]]), 1)</f>
        <v>42309</v>
      </c>
      <c r="AF1115" s="106">
        <f>DATE(YEAR(Table2[[#This Row],[Data prossima scadenza]]),MONTH(Table2[[#This Row],[Data prossima scadenza]]), 1)</f>
        <v>42309</v>
      </c>
      <c r="AG1115" s="33">
        <f>IFERROR(Table2[[#This Row],[Importo annuale]]*VLOOKUP(Table2[[#This Row],[Ramo]],RAMI_POLIZZA,2,FALSE),0)</f>
        <v>0</v>
      </c>
      <c r="AH1115" s="65" t="s">
        <v>113</v>
      </c>
      <c r="AI1115" s="63" t="str">
        <f>IFERROR(VLOOKUP(Table2[[#This Row],[Contraente]],Table1[[Nome/Ragione sociale]:[Checkbox selezionato]],2,FALSE),"-")</f>
        <v>BELGIOIOSO</v>
      </c>
      <c r="AJ1115" s="63">
        <f>IFERROR(VLOOKUP(Table2[[#This Row],[Contraente]],Table1[[Nome/Ragione sociale]:[Checkbox selezionato]],3,FALSE),"-")</f>
        <v>3493192168</v>
      </c>
      <c r="AK1115" s="63">
        <f>IFERROR(VLOOKUP(Table2[[#This Row],[Contraente]],Table1[[Nome/Ragione sociale]:[Checkbox selezionato]],4,FALSE),"-")</f>
        <v>0</v>
      </c>
      <c r="AL1115" s="63" t="str">
        <f>IFERROR(VLOOKUP(Table2[[#This Row],[Contraente]],Table1[[Nome/Ragione sociale]:[Checkbox selezionato]],5,FALSE),"-")</f>
        <v>NICOLETA</v>
      </c>
      <c r="AM1115" s="62">
        <f>IFERROR(VLOOKUP(Table2[[#This Row],[Contraente]],Table1[[Nome/Ragione sociale]:[Checkbox selezionato]],6,FALSE),"-")</f>
        <v>23334</v>
      </c>
      <c r="AN1115" s="63" t="str">
        <f>IFERROR(VLOOKUP(Table2[[#This Row],[Contraente]],Table1[[Nome/Ragione sociale]:[Checkbox selezionato]],7,FALSE),"-")</f>
        <v>papies@email.it</v>
      </c>
      <c r="AO1115" s="63">
        <f>IFERROR(VLOOKUP(Table2[[#This Row],[Contraente]],Table1[[Nome/Ragione sociale]:[Checkbox selezionato]],8,FALSE),"-")</f>
        <v>0</v>
      </c>
      <c r="AP1115" s="63">
        <f>IFERROR(VLOOKUP(Table2[[#This Row],[Contraente]],Table1[[Nome/Ragione sociale]:[Checkbox selezionato]],10,FALSE),"-")</f>
        <v>3493192168</v>
      </c>
      <c r="AQ1115" s="63" t="str">
        <f>IFERROR(VLOOKUP(Table2[[#This Row],[Contraente]],Table1[[Nome/Ragione sociale]:[Checkbox selezionato]],11,FALSE),"-")</f>
        <v>SI</v>
      </c>
      <c r="AR1115" s="63" t="str">
        <f>IFERROR(VLOOKUP(Table2[[#This Row],[Contraente]],Table1[[Nome/Ragione sociale]:[Checkbox selezionato]],12,FALSE),"-")</f>
        <v>SI</v>
      </c>
    </row>
    <row r="1116" spans="1:44" ht="30" hidden="1" customHeight="1" x14ac:dyDescent="0.25">
      <c r="A1116" s="60" t="str">
        <f>UPPER(LEFT(Table2[[#This Row],[Contraente]],1))</f>
        <v>V</v>
      </c>
      <c r="B1116" s="60" t="s">
        <v>1634</v>
      </c>
      <c r="C1116" s="81" t="s">
        <v>204</v>
      </c>
      <c r="D1116" s="81" t="s">
        <v>37</v>
      </c>
      <c r="E1116" s="86">
        <v>105466442</v>
      </c>
      <c r="F1116" s="64">
        <v>42562</v>
      </c>
      <c r="G1116" s="64">
        <f>IFERROR(CALCOLASCADENZA(Table2[[#This Row],[Data attivazione]],Table2[[#This Row],[Rateizzazione]],Table2[[#This Row],[Data ultimo pagamento]],Table2[[#This Row],[Data prossima scadenza manuale]]),"-")</f>
        <v>42562</v>
      </c>
      <c r="H1116" s="67" t="s">
        <v>31</v>
      </c>
      <c r="I1116" s="67" t="s">
        <v>1613</v>
      </c>
      <c r="J1116" s="33">
        <v>351</v>
      </c>
      <c r="K1116" s="88"/>
      <c r="L1116" s="88">
        <v>1053.3</v>
      </c>
      <c r="M1116" s="67" t="s">
        <v>43</v>
      </c>
      <c r="N1116" s="67" t="s">
        <v>52</v>
      </c>
      <c r="O1116" s="27" t="s">
        <v>1631</v>
      </c>
      <c r="P1116" s="33" t="s">
        <v>24</v>
      </c>
      <c r="Q111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6" s="67" t="s">
        <v>2</v>
      </c>
      <c r="V1116" s="62"/>
      <c r="W1116" s="64">
        <v>42318</v>
      </c>
      <c r="X1116" s="29">
        <f>DATE(YEAR(Table2[[#This Row],[Data attivazione]])+VLOOKUP(Table2[[#This Row],[Durata]],VALORE_DURATA,2,FALSE),MONTH(Table2[[#This Row],[Data attivazione]]),DAY(Table2[[#This Row],[Data attivazione]]))</f>
        <v>42684</v>
      </c>
      <c r="Y1116" s="65"/>
      <c r="Z1116" s="61"/>
      <c r="AA1116" s="64" t="s">
        <v>88</v>
      </c>
      <c r="AB1116" s="29" t="str">
        <f>IF(Table2[[#This Row],[Data ultimo versamento temp]]=0/1/1900,"-",Table2[[#This Row],[Data ultimo versamento temp]])</f>
        <v>-</v>
      </c>
      <c r="AC1116" s="29">
        <f t="array" ref="AC1116">MAX(IF(TableVersamenti[Polizza]=Table2[[#This Row],[Polizza]],TableVersamenti[Data prevista versamento],"-"))</f>
        <v>0</v>
      </c>
      <c r="AD1116" s="62"/>
      <c r="AE1116" s="106">
        <f>DATE(YEAR(Table2[[#This Row],[Data ultimo pagamento]]),MONTH(Table2[[#This Row],[Data ultimo pagamento]]), 1)</f>
        <v>42552</v>
      </c>
      <c r="AF1116" s="106">
        <f>DATE(YEAR(Table2[[#This Row],[Data prossima scadenza]]),MONTH(Table2[[#This Row],[Data prossima scadenza]]), 1)</f>
        <v>42552</v>
      </c>
      <c r="AG1116" s="33">
        <f>IFERROR(Table2[[#This Row],[Importo annuale]]*VLOOKUP(Table2[[#This Row],[Ramo]],RAMI_POLIZZA,2,FALSE),0)</f>
        <v>54.771599999999992</v>
      </c>
      <c r="AH1116" s="65" t="s">
        <v>113</v>
      </c>
      <c r="AI1116" s="63" t="str">
        <f>IFERROR(VLOOKUP(Table2[[#This Row],[Contraente]],Table1[[Nome/Ragione sociale]:[Checkbox selezionato]],2,FALSE),"-")</f>
        <v>BELGIOIOSO</v>
      </c>
      <c r="AJ1116" s="63">
        <f>IFERROR(VLOOKUP(Table2[[#This Row],[Contraente]],Table1[[Nome/Ragione sociale]:[Checkbox selezionato]],3,FALSE),"-")</f>
        <v>3493192168</v>
      </c>
      <c r="AK1116" s="63">
        <f>IFERROR(VLOOKUP(Table2[[#This Row],[Contraente]],Table1[[Nome/Ragione sociale]:[Checkbox selezionato]],4,FALSE),"-")</f>
        <v>0</v>
      </c>
      <c r="AL1116" s="63" t="str">
        <f>IFERROR(VLOOKUP(Table2[[#This Row],[Contraente]],Table1[[Nome/Ragione sociale]:[Checkbox selezionato]],5,FALSE),"-")</f>
        <v>NICOLETA</v>
      </c>
      <c r="AM1116" s="62">
        <f>IFERROR(VLOOKUP(Table2[[#This Row],[Contraente]],Table1[[Nome/Ragione sociale]:[Checkbox selezionato]],6,FALSE),"-")</f>
        <v>23334</v>
      </c>
      <c r="AN1116" s="63" t="str">
        <f>IFERROR(VLOOKUP(Table2[[#This Row],[Contraente]],Table1[[Nome/Ragione sociale]:[Checkbox selezionato]],7,FALSE),"-")</f>
        <v>papies@email.it</v>
      </c>
      <c r="AO1116" s="63">
        <f>IFERROR(VLOOKUP(Table2[[#This Row],[Contraente]],Table1[[Nome/Ragione sociale]:[Checkbox selezionato]],8,FALSE),"-")</f>
        <v>0</v>
      </c>
      <c r="AP1116" s="63">
        <f>IFERROR(VLOOKUP(Table2[[#This Row],[Contraente]],Table1[[Nome/Ragione sociale]:[Checkbox selezionato]],10,FALSE),"-")</f>
        <v>3493192168</v>
      </c>
      <c r="AQ1116" s="63" t="str">
        <f>IFERROR(VLOOKUP(Table2[[#This Row],[Contraente]],Table1[[Nome/Ragione sociale]:[Checkbox selezionato]],11,FALSE),"-")</f>
        <v>SI</v>
      </c>
      <c r="AR1116" s="63" t="str">
        <f>IFERROR(VLOOKUP(Table2[[#This Row],[Contraente]],Table1[[Nome/Ragione sociale]:[Checkbox selezionato]],12,FALSE),"-")</f>
        <v>SI</v>
      </c>
    </row>
    <row r="1117" spans="1:44" ht="30" hidden="1" customHeight="1" x14ac:dyDescent="0.25">
      <c r="A1117" s="60" t="str">
        <f>UPPER(LEFT(Table2[[#This Row],[Contraente]],1))</f>
        <v>V</v>
      </c>
      <c r="B1117" s="60" t="s">
        <v>1634</v>
      </c>
      <c r="C1117" s="81" t="s">
        <v>1081</v>
      </c>
      <c r="D1117" s="81" t="s">
        <v>37</v>
      </c>
      <c r="E1117" s="86">
        <v>106210936</v>
      </c>
      <c r="F1117" s="64">
        <v>42683</v>
      </c>
      <c r="G1117" s="64">
        <f>IFERROR(CALCOLASCADENZA(Table2[[#This Row],[Data attivazione]],Table2[[#This Row],[Rateizzazione]],Table2[[#This Row],[Data ultimo pagamento]],Table2[[#This Row],[Data prossima scadenza manuale]]),"-")</f>
        <v>43049</v>
      </c>
      <c r="H1117" s="67" t="s">
        <v>31</v>
      </c>
      <c r="I1117" s="67" t="s">
        <v>1615</v>
      </c>
      <c r="J1117" s="33">
        <f>IFERROR(Table2[[#This Row],[Importo annuale]]/(12/VLOOKUP(Table2[[#This Row],[Rateizzazione]],TIPI_RATEIZZAZIONI,2,FALSE)),"-")</f>
        <v>430</v>
      </c>
      <c r="K1117" s="88"/>
      <c r="L1117" s="88">
        <v>430</v>
      </c>
      <c r="M1117" s="67" t="s">
        <v>43</v>
      </c>
      <c r="N1117" s="67" t="s">
        <v>51</v>
      </c>
      <c r="O1117" s="27" t="s">
        <v>1631</v>
      </c>
      <c r="P1117" s="33" t="s">
        <v>23</v>
      </c>
      <c r="Q1117" s="60">
        <f>IFERROR(IF(12 / VLOOKUP(Table2[[#This Row],[Rateizzazione]],TIPI_RATEIZZAZIONI,2,FALSE) &gt;=1,  IF(Table2[[#This Row],[Data attivazione]] = "","-",MONTH(Table2[[#This Row],[Data attivazione]])),"-"),"-")</f>
        <v>11</v>
      </c>
      <c r="R11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7" s="67" t="s">
        <v>2</v>
      </c>
      <c r="V1117" s="62"/>
      <c r="W1117" s="64">
        <v>42684</v>
      </c>
      <c r="X1117" s="29">
        <f>DATE(YEAR(Table2[[#This Row],[Data attivazione]])+VLOOKUP(Table2[[#This Row],[Durata]],VALORE_DURATA,2,FALSE),MONTH(Table2[[#This Row],[Data attivazione]]),DAY(Table2[[#This Row],[Data attivazione]]))</f>
        <v>43049</v>
      </c>
      <c r="Y1117" s="65"/>
      <c r="Z1117" s="61"/>
      <c r="AA1117" s="64" t="s">
        <v>85</v>
      </c>
      <c r="AB1117" s="29" t="str">
        <f>IF(Table2[[#This Row],[Data ultimo versamento temp]]=0/1/1900,"-",Table2[[#This Row],[Data ultimo versamento temp]])</f>
        <v>-</v>
      </c>
      <c r="AC1117" s="29">
        <f t="array" ref="AC1117">MAX(IF(TableVersamenti[Polizza]=Table2[[#This Row],[Polizza]],TableVersamenti[Data prevista versamento],"-"))</f>
        <v>0</v>
      </c>
      <c r="AD1117" s="62"/>
      <c r="AE1117" s="106">
        <f>DATE(YEAR(Table2[[#This Row],[Data ultimo pagamento]]),MONTH(Table2[[#This Row],[Data ultimo pagamento]]), 1)</f>
        <v>42675</v>
      </c>
      <c r="AF1117" s="106">
        <f>DATE(YEAR(Table2[[#This Row],[Data prossima scadenza]]),MONTH(Table2[[#This Row],[Data prossima scadenza]]), 1)</f>
        <v>43040</v>
      </c>
      <c r="AG1117" s="33">
        <f>IFERROR(Table2[[#This Row],[Importo annuale]]*VLOOKUP(Table2[[#This Row],[Ramo]],RAMI_POLIZZA,2,FALSE),0)</f>
        <v>22.36</v>
      </c>
      <c r="AH1117" s="65" t="s">
        <v>113</v>
      </c>
      <c r="AI1117" s="63" t="str">
        <f>IFERROR(VLOOKUP(Table2[[#This Row],[Contraente]],Table1[[Nome/Ragione sociale]:[Checkbox selezionato]],2,FALSE),"-")</f>
        <v>CASATISMA</v>
      </c>
      <c r="AJ1117" s="63">
        <f>IFERROR(VLOOKUP(Table2[[#This Row],[Contraente]],Table1[[Nome/Ragione sociale]:[Checkbox selezionato]],3,FALSE),"-")</f>
        <v>3664293149</v>
      </c>
      <c r="AK1117" s="63">
        <f>IFERROR(VLOOKUP(Table2[[#This Row],[Contraente]],Table1[[Nome/Ragione sociale]:[Checkbox selezionato]],4,FALSE),"-")</f>
        <v>0</v>
      </c>
      <c r="AL1117" s="63" t="str">
        <f>IFERROR(VLOOKUP(Table2[[#This Row],[Contraente]],Table1[[Nome/Ragione sociale]:[Checkbox selezionato]],5,FALSE),"-")</f>
        <v>FRANCESCO</v>
      </c>
      <c r="AM1117" s="62">
        <f>IFERROR(VLOOKUP(Table2[[#This Row],[Contraente]],Table1[[Nome/Ragione sociale]:[Checkbox selezionato]],6,FALSE),"-")</f>
        <v>0</v>
      </c>
      <c r="AN1117" s="63" t="str">
        <f>IFERROR(VLOOKUP(Table2[[#This Row],[Contraente]],Table1[[Nome/Ragione sociale]:[Checkbox selezionato]],7,FALSE),"-")</f>
        <v>papies@libero.it</v>
      </c>
      <c r="AO1117" s="63">
        <f>IFERROR(VLOOKUP(Table2[[#This Row],[Contraente]],Table1[[Nome/Ragione sociale]:[Checkbox selezionato]],8,FALSE),"-")</f>
        <v>0</v>
      </c>
      <c r="AP1117" s="63">
        <f>IFERROR(VLOOKUP(Table2[[#This Row],[Contraente]],Table1[[Nome/Ragione sociale]:[Checkbox selezionato]],10,FALSE),"-")</f>
        <v>3664293149</v>
      </c>
      <c r="AQ1117" s="63" t="str">
        <f>IFERROR(VLOOKUP(Table2[[#This Row],[Contraente]],Table1[[Nome/Ragione sociale]:[Checkbox selezionato]],11,FALSE),"-")</f>
        <v>SI</v>
      </c>
      <c r="AR1117" s="63" t="str">
        <f>IFERROR(VLOOKUP(Table2[[#This Row],[Contraente]],Table1[[Nome/Ragione sociale]:[Checkbox selezionato]],12,FALSE),"-")</f>
        <v>SI</v>
      </c>
    </row>
    <row r="1118" spans="1:44" ht="30" hidden="1" customHeight="1" x14ac:dyDescent="0.25">
      <c r="A1118" s="60" t="str">
        <f>UPPER(LEFT(Table2[[#This Row],[Contraente]],1))</f>
        <v>V</v>
      </c>
      <c r="B1118" s="60" t="s">
        <v>1634</v>
      </c>
      <c r="C1118" s="81" t="s">
        <v>1078</v>
      </c>
      <c r="D1118" s="81" t="s">
        <v>37</v>
      </c>
      <c r="E1118" s="86">
        <v>106271082</v>
      </c>
      <c r="F1118" s="64">
        <v>42702</v>
      </c>
      <c r="G1118" s="64">
        <f>IFERROR(CALCOLASCADENZA(Table2[[#This Row],[Data attivazione]],Table2[[#This Row],[Rateizzazione]],Table2[[#This Row],[Data ultimo pagamento]],Table2[[#This Row],[Data prossima scadenza manuale]]),"-")</f>
        <v>43067</v>
      </c>
      <c r="H1118" s="67" t="s">
        <v>31</v>
      </c>
      <c r="I1118" s="67" t="s">
        <v>1614</v>
      </c>
      <c r="J1118" s="33">
        <f>IFERROR(Table2[[#This Row],[Importo annuale]]/(12/VLOOKUP(Table2[[#This Row],[Rateizzazione]],TIPI_RATEIZZAZIONI,2,FALSE)),"-")</f>
        <v>589.4</v>
      </c>
      <c r="K1118" s="88"/>
      <c r="L1118" s="88">
        <v>589.4</v>
      </c>
      <c r="M1118" s="67" t="s">
        <v>43</v>
      </c>
      <c r="N1118" s="67" t="s">
        <v>52</v>
      </c>
      <c r="O1118" s="27" t="s">
        <v>1631</v>
      </c>
      <c r="P1118" s="33" t="s">
        <v>23</v>
      </c>
      <c r="Q1118" s="60">
        <f>IFERROR(IF(12 / VLOOKUP(Table2[[#This Row],[Rateizzazione]],TIPI_RATEIZZAZIONI,2,FALSE) &gt;=1,  IF(Table2[[#This Row],[Data attivazione]] = "","-",MONTH(Table2[[#This Row],[Data attivazione]])),"-"),"-")</f>
        <v>11</v>
      </c>
      <c r="R11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8" s="67" t="s">
        <v>2</v>
      </c>
      <c r="V1118" s="62"/>
      <c r="W1118" s="64">
        <v>42702</v>
      </c>
      <c r="X1118" s="29">
        <f>DATE(YEAR(Table2[[#This Row],[Data attivazione]])+VLOOKUP(Table2[[#This Row],[Durata]],VALORE_DURATA,2,FALSE),MONTH(Table2[[#This Row],[Data attivazione]]),DAY(Table2[[#This Row],[Data attivazione]]))</f>
        <v>43067</v>
      </c>
      <c r="Y1118" s="65"/>
      <c r="Z1118" s="61"/>
      <c r="AA1118" s="64" t="s">
        <v>85</v>
      </c>
      <c r="AB1118" s="29" t="str">
        <f>IF(Table2[[#This Row],[Data ultimo versamento temp]]=0/1/1900,"-",Table2[[#This Row],[Data ultimo versamento temp]])</f>
        <v>-</v>
      </c>
      <c r="AC1118" s="29">
        <f t="array" ref="AC1118">MAX(IF(TableVersamenti[Polizza]=Table2[[#This Row],[Polizza]],TableVersamenti[Data prevista versamento],"-"))</f>
        <v>0</v>
      </c>
      <c r="AD1118" s="62"/>
      <c r="AE1118" s="106">
        <f>DATE(YEAR(Table2[[#This Row],[Data ultimo pagamento]]),MONTH(Table2[[#This Row],[Data ultimo pagamento]]), 1)</f>
        <v>42675</v>
      </c>
      <c r="AF1118" s="106">
        <f>DATE(YEAR(Table2[[#This Row],[Data prossima scadenza]]),MONTH(Table2[[#This Row],[Data prossima scadenza]]), 1)</f>
        <v>43040</v>
      </c>
      <c r="AG1118" s="33">
        <f>IFERROR(Table2[[#This Row],[Importo annuale]]*VLOOKUP(Table2[[#This Row],[Ramo]],RAMI_POLIZZA,2,FALSE),0)</f>
        <v>30.648799999999998</v>
      </c>
      <c r="AH1118" s="65" t="s">
        <v>113</v>
      </c>
      <c r="AI1118" s="63" t="str">
        <f>IFERROR(VLOOKUP(Table2[[#This Row],[Contraente]],Table1[[Nome/Ragione sociale]:[Checkbox selezionato]],2,FALSE),"-")</f>
        <v>CASATISMA</v>
      </c>
      <c r="AJ1118" s="63">
        <f>IFERROR(VLOOKUP(Table2[[#This Row],[Contraente]],Table1[[Nome/Ragione sociale]:[Checkbox selezionato]],3,FALSE),"-")</f>
        <v>3664293149</v>
      </c>
      <c r="AK1118" s="63">
        <f>IFERROR(VLOOKUP(Table2[[#This Row],[Contraente]],Table1[[Nome/Ragione sociale]:[Checkbox selezionato]],4,FALSE),"-")</f>
        <v>0</v>
      </c>
      <c r="AL1118" s="63" t="str">
        <f>IFERROR(VLOOKUP(Table2[[#This Row],[Contraente]],Table1[[Nome/Ragione sociale]:[Checkbox selezionato]],5,FALSE),"-")</f>
        <v>VITIELLO</v>
      </c>
      <c r="AM1118" s="62" t="str">
        <f>IFERROR(VLOOKUP(Table2[[#This Row],[Contraente]],Table1[[Nome/Ragione sociale]:[Checkbox selezionato]],6,FALSE),"-")</f>
        <v>-</v>
      </c>
      <c r="AN1118" s="63" t="str">
        <f>IFERROR(VLOOKUP(Table2[[#This Row],[Contraente]],Table1[[Nome/Ragione sociale]:[Checkbox selezionato]],7,FALSE),"-")</f>
        <v>papies@libero.it</v>
      </c>
      <c r="AO1118" s="63">
        <f>IFERROR(VLOOKUP(Table2[[#This Row],[Contraente]],Table1[[Nome/Ragione sociale]:[Checkbox selezionato]],8,FALSE),"-")</f>
        <v>0</v>
      </c>
      <c r="AP1118" s="63">
        <f>IFERROR(VLOOKUP(Table2[[#This Row],[Contraente]],Table1[[Nome/Ragione sociale]:[Checkbox selezionato]],10,FALSE),"-")</f>
        <v>3664293149</v>
      </c>
      <c r="AQ1118" s="63" t="str">
        <f>IFERROR(VLOOKUP(Table2[[#This Row],[Contraente]],Table1[[Nome/Ragione sociale]:[Checkbox selezionato]],11,FALSE),"-")</f>
        <v>SI</v>
      </c>
      <c r="AR1118" s="63" t="str">
        <f>IFERROR(VLOOKUP(Table2[[#This Row],[Contraente]],Table1[[Nome/Ragione sociale]:[Checkbox selezionato]],12,FALSE),"-")</f>
        <v>SI</v>
      </c>
    </row>
    <row r="1119" spans="1:44" ht="30" hidden="1" customHeight="1" x14ac:dyDescent="0.25">
      <c r="A1119" s="60" t="str">
        <f>UPPER(LEFT(Table2[[#This Row],[Contraente]],1))</f>
        <v>V</v>
      </c>
      <c r="B1119" s="60" t="s">
        <v>1634</v>
      </c>
      <c r="C1119" s="81" t="s">
        <v>206</v>
      </c>
      <c r="D1119" s="81" t="s">
        <v>37</v>
      </c>
      <c r="E1119" s="86">
        <v>105041432</v>
      </c>
      <c r="F1119" s="64">
        <v>42696</v>
      </c>
      <c r="G1119" s="64">
        <f>IFERROR(CALCOLASCADENZA(Table2[[#This Row],[Data attivazione]],Table2[[#This Row],[Rateizzazione]],Table2[[#This Row],[Data ultimo pagamento]],Table2[[#This Row],[Data prossima scadenza manuale]]),"-")</f>
        <v>43046</v>
      </c>
      <c r="H1119" s="67" t="s">
        <v>31</v>
      </c>
      <c r="I1119" s="67" t="s">
        <v>1616</v>
      </c>
      <c r="J1119" s="33">
        <f>IFERROR(Table2[[#This Row],[Importo annuale]]/(12/VLOOKUP(Table2[[#This Row],[Rateizzazione]],TIPI_RATEIZZAZIONI,2,FALSE)),"-")</f>
        <v>651</v>
      </c>
      <c r="K1119" s="88"/>
      <c r="L1119" s="88">
        <v>651</v>
      </c>
      <c r="M1119" s="67" t="s">
        <v>44</v>
      </c>
      <c r="N1119" s="67" t="s">
        <v>51</v>
      </c>
      <c r="O1119" s="27" t="s">
        <v>1631</v>
      </c>
      <c r="P1119" s="33" t="s">
        <v>23</v>
      </c>
      <c r="Q1119" s="60">
        <f>IFERROR(IF(12 / VLOOKUP(Table2[[#This Row],[Rateizzazione]],TIPI_RATEIZZAZIONI,2,FALSE) &gt;=1,  IF(Table2[[#This Row],[Data attivazione]] = "","-",MONTH(Table2[[#This Row],[Data attivazione]])),"-"),"-")</f>
        <v>11</v>
      </c>
      <c r="R11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9" s="67" t="s">
        <v>2</v>
      </c>
      <c r="V1119" s="62"/>
      <c r="W1119" s="64">
        <v>42681</v>
      </c>
      <c r="X1119" s="29">
        <f>DATE(YEAR(Table2[[#This Row],[Data attivazione]])+VLOOKUP(Table2[[#This Row],[Durata]],VALORE_DURATA,2,FALSE),MONTH(Table2[[#This Row],[Data attivazione]]),DAY(Table2[[#This Row],[Data attivazione]]))</f>
        <v>43046</v>
      </c>
      <c r="Y1119" s="65"/>
      <c r="Z1119" s="61"/>
      <c r="AA1119" s="64" t="s">
        <v>85</v>
      </c>
      <c r="AB1119" s="29" t="str">
        <f>IF(Table2[[#This Row],[Data ultimo versamento temp]]=0/1/1900,"-",Table2[[#This Row],[Data ultimo versamento temp]])</f>
        <v>-</v>
      </c>
      <c r="AC1119" s="29">
        <f t="array" ref="AC1119">MAX(IF(TableVersamenti[Polizza]=Table2[[#This Row],[Polizza]],TableVersamenti[Data prevista versamento],"-"))</f>
        <v>0</v>
      </c>
      <c r="AD1119" s="62"/>
      <c r="AE1119" s="106">
        <f>DATE(YEAR(Table2[[#This Row],[Data ultimo pagamento]]),MONTH(Table2[[#This Row],[Data ultimo pagamento]]), 1)</f>
        <v>42675</v>
      </c>
      <c r="AF1119" s="106">
        <f>DATE(YEAR(Table2[[#This Row],[Data prossima scadenza]]),MONTH(Table2[[#This Row],[Data prossima scadenza]]), 1)</f>
        <v>43040</v>
      </c>
      <c r="AG1119" s="33">
        <f>IFERROR(Table2[[#This Row],[Importo annuale]]*VLOOKUP(Table2[[#This Row],[Ramo]],RAMI_POLIZZA,2,FALSE),0)</f>
        <v>33.851999999999997</v>
      </c>
      <c r="AH1119" s="65" t="s">
        <v>113</v>
      </c>
      <c r="AI1119" s="63" t="str">
        <f>IFERROR(VLOOKUP(Table2[[#This Row],[Contraente]],Table1[[Nome/Ragione sociale]:[Checkbox selezionato]],2,FALSE),"-")</f>
        <v>BELGIOIOSO</v>
      </c>
      <c r="AJ1119" s="63">
        <f>IFERROR(VLOOKUP(Table2[[#This Row],[Contraente]],Table1[[Nome/Ragione sociale]:[Checkbox selezionato]],3,FALSE),"-")</f>
        <v>3393881639</v>
      </c>
      <c r="AK1119" s="63">
        <f>IFERROR(VLOOKUP(Table2[[#This Row],[Contraente]],Table1[[Nome/Ragione sociale]:[Checkbox selezionato]],4,FALSE),"-")</f>
        <v>0</v>
      </c>
      <c r="AL1119" s="63" t="str">
        <f>IFERROR(VLOOKUP(Table2[[#This Row],[Contraente]],Table1[[Nome/Ragione sociale]:[Checkbox selezionato]],5,FALSE),"-")</f>
        <v>FRANCISC</v>
      </c>
      <c r="AM1119" s="62">
        <f>IFERROR(VLOOKUP(Table2[[#This Row],[Contraente]],Table1[[Nome/Ragione sociale]:[Checkbox selezionato]],6,FALSE),"-")</f>
        <v>24006</v>
      </c>
      <c r="AN1119" s="63" t="str">
        <f>IFERROR(VLOOKUP(Table2[[#This Row],[Contraente]],Table1[[Nome/Ragione sociale]:[Checkbox selezionato]],7,FALSE),"-")</f>
        <v>papies@email.it</v>
      </c>
      <c r="AO1119" s="63">
        <f>IFERROR(VLOOKUP(Table2[[#This Row],[Contraente]],Table1[[Nome/Ragione sociale]:[Checkbox selezionato]],8,FALSE),"-")</f>
        <v>0</v>
      </c>
      <c r="AP1119" s="63">
        <f>IFERROR(VLOOKUP(Table2[[#This Row],[Contraente]],Table1[[Nome/Ragione sociale]:[Checkbox selezionato]],10,FALSE),"-")</f>
        <v>3393881639</v>
      </c>
      <c r="AQ1119" s="63" t="str">
        <f>IFERROR(VLOOKUP(Table2[[#This Row],[Contraente]],Table1[[Nome/Ragione sociale]:[Checkbox selezionato]],11,FALSE),"-")</f>
        <v>SI</v>
      </c>
      <c r="AR1119" s="63" t="str">
        <f>IFERROR(VLOOKUP(Table2[[#This Row],[Contraente]],Table1[[Nome/Ragione sociale]:[Checkbox selezionato]],12,FALSE),"-")</f>
        <v>SI</v>
      </c>
    </row>
    <row r="1120" spans="1:44" ht="30" hidden="1" customHeight="1" x14ac:dyDescent="0.25">
      <c r="A1120" s="60" t="str">
        <f>UPPER(LEFT(Table2[[#This Row],[Contraente]],1))</f>
        <v>V</v>
      </c>
      <c r="B1120" s="60" t="s">
        <v>1634</v>
      </c>
      <c r="C1120" s="81" t="s">
        <v>206</v>
      </c>
      <c r="D1120" s="81" t="s">
        <v>37</v>
      </c>
      <c r="E1120" s="86">
        <v>1083036</v>
      </c>
      <c r="F1120" s="64">
        <v>42746</v>
      </c>
      <c r="G1120" s="64">
        <f>IFERROR(CALCOLASCADENZA(Table2[[#This Row],[Data attivazione]],Table2[[#This Row],[Rateizzazione]],Table2[[#This Row],[Data ultimo pagamento]],Table2[[#This Row],[Data prossima scadenza manuale]]),"-")</f>
        <v>43111</v>
      </c>
      <c r="H1120" s="67" t="s">
        <v>32</v>
      </c>
      <c r="I1120" s="67" t="s">
        <v>113</v>
      </c>
      <c r="J1120" s="33">
        <f>IFERROR(Table2[[#This Row],[Importo annuale]]/(12/VLOOKUP(Table2[[#This Row],[Rateizzazione]],TIPI_RATEIZZAZIONI,2,FALSE)),"-")</f>
        <v>200</v>
      </c>
      <c r="K1120" s="88">
        <v>200</v>
      </c>
      <c r="L1120" s="88">
        <v>200</v>
      </c>
      <c r="M1120" s="67" t="s">
        <v>44</v>
      </c>
      <c r="N1120" s="67" t="s">
        <v>52</v>
      </c>
      <c r="O1120" s="27" t="s">
        <v>1632</v>
      </c>
      <c r="P1120" s="33" t="s">
        <v>23</v>
      </c>
      <c r="Q1120" s="60">
        <f>IFERROR(IF(12 / VLOOKUP(Table2[[#This Row],[Rateizzazione]],TIPI_RATEIZZAZIONI,2,FALSE) &gt;=1,  IF(Table2[[#This Row],[Data attivazione]] = "","-",MONTH(Table2[[#This Row],[Data attivazione]])),"-"),"-")</f>
        <v>1</v>
      </c>
      <c r="R11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0" s="67" t="s">
        <v>2</v>
      </c>
      <c r="V1120" s="62"/>
      <c r="W1120" s="64">
        <v>39458</v>
      </c>
      <c r="X1120" s="29">
        <f>DATE(YEAR(Table2[[#This Row],[Data attivazione]])+VLOOKUP(Table2[[#This Row],[Durata]],VALORE_DURATA,2,FALSE),MONTH(Table2[[#This Row],[Data attivazione]]),DAY(Table2[[#This Row],[Data attivazione]]))</f>
        <v>43111</v>
      </c>
      <c r="Y1120" s="65"/>
      <c r="Z1120" s="61"/>
      <c r="AA1120" s="64" t="s">
        <v>85</v>
      </c>
      <c r="AB1120" s="29" t="str">
        <f>IF(Table2[[#This Row],[Data ultimo versamento temp]]=0/1/1900,"-",Table2[[#This Row],[Data ultimo versamento temp]])</f>
        <v>-</v>
      </c>
      <c r="AC1120" s="29">
        <f t="array" ref="AC1120">MAX(IF(TableVersamenti[Polizza]=Table2[[#This Row],[Polizza]],TableVersamenti[Data prevista versamento],"-"))</f>
        <v>0</v>
      </c>
      <c r="AD1120" s="62"/>
      <c r="AE1120" s="106">
        <f>DATE(YEAR(Table2[[#This Row],[Data ultimo pagamento]]),MONTH(Table2[[#This Row],[Data ultimo pagamento]]), 1)</f>
        <v>42736</v>
      </c>
      <c r="AF1120" s="106">
        <f>DATE(YEAR(Table2[[#This Row],[Data prossima scadenza]]),MONTH(Table2[[#This Row],[Data prossima scadenza]]), 1)</f>
        <v>43101</v>
      </c>
      <c r="AG1120" s="33">
        <f>IFERROR(Table2[[#This Row],[Importo annuale]]*VLOOKUP(Table2[[#This Row],[Ramo]],RAMI_POLIZZA,2,FALSE),0)</f>
        <v>3</v>
      </c>
      <c r="AH1120" s="65" t="s">
        <v>113</v>
      </c>
      <c r="AI1120" s="63" t="str">
        <f>IFERROR(VLOOKUP(Table2[[#This Row],[Contraente]],Table1[[Nome/Ragione sociale]:[Checkbox selezionato]],2,FALSE),"-")</f>
        <v>BELGIOIOSO</v>
      </c>
      <c r="AJ1120" s="63">
        <f>IFERROR(VLOOKUP(Table2[[#This Row],[Contraente]],Table1[[Nome/Ragione sociale]:[Checkbox selezionato]],3,FALSE),"-")</f>
        <v>3393881639</v>
      </c>
      <c r="AK1120" s="63">
        <f>IFERROR(VLOOKUP(Table2[[#This Row],[Contraente]],Table1[[Nome/Ragione sociale]:[Checkbox selezionato]],4,FALSE),"-")</f>
        <v>0</v>
      </c>
      <c r="AL1120" s="63" t="str">
        <f>IFERROR(VLOOKUP(Table2[[#This Row],[Contraente]],Table1[[Nome/Ragione sociale]:[Checkbox selezionato]],5,FALSE),"-")</f>
        <v>FRANCISC</v>
      </c>
      <c r="AM1120" s="62">
        <f>IFERROR(VLOOKUP(Table2[[#This Row],[Contraente]],Table1[[Nome/Ragione sociale]:[Checkbox selezionato]],6,FALSE),"-")</f>
        <v>24006</v>
      </c>
      <c r="AN1120" s="63" t="str">
        <f>IFERROR(VLOOKUP(Table2[[#This Row],[Contraente]],Table1[[Nome/Ragione sociale]:[Checkbox selezionato]],7,FALSE),"-")</f>
        <v>papies@email.it</v>
      </c>
      <c r="AO1120" s="63">
        <f>IFERROR(VLOOKUP(Table2[[#This Row],[Contraente]],Table1[[Nome/Ragione sociale]:[Checkbox selezionato]],8,FALSE),"-")</f>
        <v>0</v>
      </c>
      <c r="AP1120" s="63">
        <f>IFERROR(VLOOKUP(Table2[[#This Row],[Contraente]],Table1[[Nome/Ragione sociale]:[Checkbox selezionato]],10,FALSE),"-")</f>
        <v>3393881639</v>
      </c>
      <c r="AQ1120" s="63" t="str">
        <f>IFERROR(VLOOKUP(Table2[[#This Row],[Contraente]],Table1[[Nome/Ragione sociale]:[Checkbox selezionato]],11,FALSE),"-")</f>
        <v>SI</v>
      </c>
      <c r="AR1120" s="63" t="str">
        <f>IFERROR(VLOOKUP(Table2[[#This Row],[Contraente]],Table1[[Nome/Ragione sociale]:[Checkbox selezionato]],12,FALSE),"-")</f>
        <v>SI</v>
      </c>
    </row>
    <row r="1121" spans="1:44" ht="30" hidden="1" customHeight="1" x14ac:dyDescent="0.25">
      <c r="A1121" s="60" t="str">
        <f>UPPER(LEFT(Table2[[#This Row],[Contraente]],1))</f>
        <v>V</v>
      </c>
      <c r="B1121" s="60" t="s">
        <v>1634</v>
      </c>
      <c r="C1121" s="81" t="s">
        <v>206</v>
      </c>
      <c r="D1121" s="81" t="s">
        <v>37</v>
      </c>
      <c r="E1121" s="86">
        <v>105891857</v>
      </c>
      <c r="F1121" s="64">
        <v>42746</v>
      </c>
      <c r="G1121" s="64">
        <f>IFERROR(CALCOLASCADENZA(Table2[[#This Row],[Data attivazione]],Table2[[#This Row],[Rateizzazione]],Table2[[#This Row],[Data ultimo pagamento]],Table2[[#This Row],[Data prossima scadenza manuale]]),"-")</f>
        <v>42944</v>
      </c>
      <c r="H1121" s="67" t="s">
        <v>30</v>
      </c>
      <c r="I1121" s="67" t="s">
        <v>113</v>
      </c>
      <c r="J1121" s="33">
        <f>IFERROR(Table2[[#This Row],[Importo annuale]]/(12/VLOOKUP(Table2[[#This Row],[Rateizzazione]],TIPI_RATEIZZAZIONI,2,FALSE)),"-")</f>
        <v>442</v>
      </c>
      <c r="K1121" s="88">
        <v>442</v>
      </c>
      <c r="L1121" s="88">
        <v>884</v>
      </c>
      <c r="M1121" s="67" t="s">
        <v>44</v>
      </c>
      <c r="N1121" s="67" t="s">
        <v>52</v>
      </c>
      <c r="O1121" s="27" t="s">
        <v>1631</v>
      </c>
      <c r="P1121" s="33" t="s">
        <v>22</v>
      </c>
      <c r="Q1121" s="60">
        <f>IFERROR(IF(12 / VLOOKUP(Table2[[#This Row],[Rateizzazione]],TIPI_RATEIZZAZIONI,2,FALSE) &gt;=1,  IF(Table2[[#This Row],[Data attivazione]] = "","-",MONTH(Table2[[#This Row],[Data attivazione]])),"-"),"-")</f>
        <v>7</v>
      </c>
      <c r="R11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1" s="67" t="s">
        <v>2</v>
      </c>
      <c r="V1121" s="62"/>
      <c r="W1121" s="64">
        <v>42579</v>
      </c>
      <c r="X1121" s="29">
        <f>DATE(YEAR(Table2[[#This Row],[Data attivazione]])+VLOOKUP(Table2[[#This Row],[Durata]],VALORE_DURATA,2,FALSE),MONTH(Table2[[#This Row],[Data attivazione]]),DAY(Table2[[#This Row],[Data attivazione]]))</f>
        <v>42944</v>
      </c>
      <c r="Y1121" s="65"/>
      <c r="Z1121" s="61"/>
      <c r="AA1121" s="64" t="s">
        <v>85</v>
      </c>
      <c r="AB1121" s="29" t="str">
        <f>IF(Table2[[#This Row],[Data ultimo versamento temp]]=0/1/1900,"-",Table2[[#This Row],[Data ultimo versamento temp]])</f>
        <v>-</v>
      </c>
      <c r="AC1121" s="29">
        <f t="array" ref="AC1121">MAX(IF(TableVersamenti[Polizza]=Table2[[#This Row],[Polizza]],TableVersamenti[Data prevista versamento],"-"))</f>
        <v>0</v>
      </c>
      <c r="AD1121" s="62"/>
      <c r="AE1121" s="106">
        <f>DATE(YEAR(Table2[[#This Row],[Data ultimo pagamento]]),MONTH(Table2[[#This Row],[Data ultimo pagamento]]), 1)</f>
        <v>42736</v>
      </c>
      <c r="AF1121" s="106">
        <f>DATE(YEAR(Table2[[#This Row],[Data prossima scadenza]]),MONTH(Table2[[#This Row],[Data prossima scadenza]]), 1)</f>
        <v>42917</v>
      </c>
      <c r="AG1121" s="33">
        <f>IFERROR(Table2[[#This Row],[Importo annuale]]*VLOOKUP(Table2[[#This Row],[Ramo]],RAMI_POLIZZA,2,FALSE),0)</f>
        <v>101.66000000000001</v>
      </c>
      <c r="AH1121" s="65" t="s">
        <v>113</v>
      </c>
      <c r="AI1121" s="63" t="str">
        <f>IFERROR(VLOOKUP(Table2[[#This Row],[Contraente]],Table1[[Nome/Ragione sociale]:[Checkbox selezionato]],2,FALSE),"-")</f>
        <v>BELGIOIOSO</v>
      </c>
      <c r="AJ1121" s="63">
        <f>IFERROR(VLOOKUP(Table2[[#This Row],[Contraente]],Table1[[Nome/Ragione sociale]:[Checkbox selezionato]],3,FALSE),"-")</f>
        <v>3393881639</v>
      </c>
      <c r="AK1121" s="63">
        <f>IFERROR(VLOOKUP(Table2[[#This Row],[Contraente]],Table1[[Nome/Ragione sociale]:[Checkbox selezionato]],4,FALSE),"-")</f>
        <v>0</v>
      </c>
      <c r="AL1121" s="63" t="str">
        <f>IFERROR(VLOOKUP(Table2[[#This Row],[Contraente]],Table1[[Nome/Ragione sociale]:[Checkbox selezionato]],5,FALSE),"-")</f>
        <v>FRANCISC</v>
      </c>
      <c r="AM1121" s="62">
        <f>IFERROR(VLOOKUP(Table2[[#This Row],[Contraente]],Table1[[Nome/Ragione sociale]:[Checkbox selezionato]],6,FALSE),"-")</f>
        <v>24006</v>
      </c>
      <c r="AN1121" s="63" t="str">
        <f>IFERROR(VLOOKUP(Table2[[#This Row],[Contraente]],Table1[[Nome/Ragione sociale]:[Checkbox selezionato]],7,FALSE),"-")</f>
        <v>papies@email.it</v>
      </c>
      <c r="AO1121" s="63">
        <f>IFERROR(VLOOKUP(Table2[[#This Row],[Contraente]],Table1[[Nome/Ragione sociale]:[Checkbox selezionato]],8,FALSE),"-")</f>
        <v>0</v>
      </c>
      <c r="AP1121" s="63">
        <f>IFERROR(VLOOKUP(Table2[[#This Row],[Contraente]],Table1[[Nome/Ragione sociale]:[Checkbox selezionato]],10,FALSE),"-")</f>
        <v>3393881639</v>
      </c>
      <c r="AQ1121" s="63" t="str">
        <f>IFERROR(VLOOKUP(Table2[[#This Row],[Contraente]],Table1[[Nome/Ragione sociale]:[Checkbox selezionato]],11,FALSE),"-")</f>
        <v>SI</v>
      </c>
      <c r="AR1121" s="63" t="str">
        <f>IFERROR(VLOOKUP(Table2[[#This Row],[Contraente]],Table1[[Nome/Ragione sociale]:[Checkbox selezionato]],12,FALSE),"-")</f>
        <v>SI</v>
      </c>
    </row>
    <row r="1122" spans="1:44" ht="30" hidden="1" customHeight="1" x14ac:dyDescent="0.25">
      <c r="A1122" s="60" t="str">
        <f>UPPER(LEFT(Table2[[#This Row],[Contraente]],1))</f>
        <v>V</v>
      </c>
      <c r="B1122" s="60" t="s">
        <v>1634</v>
      </c>
      <c r="C1122" s="81" t="s">
        <v>206</v>
      </c>
      <c r="D1122" s="81" t="s">
        <v>37</v>
      </c>
      <c r="E1122" s="86">
        <v>100622585</v>
      </c>
      <c r="F1122" s="64">
        <v>42914</v>
      </c>
      <c r="G1122" s="64">
        <f>IFERROR(CALCOLASCADENZA(Table2[[#This Row],[Data attivazione]],Table2[[#This Row],[Rateizzazione]],Table2[[#This Row],[Data ultimo pagamento]],Table2[[#This Row],[Data prossima scadenza manuale]]),"-")</f>
        <v>43098</v>
      </c>
      <c r="H1122" s="67" t="s">
        <v>30</v>
      </c>
      <c r="I1122" s="67" t="s">
        <v>113</v>
      </c>
      <c r="J1122" s="33">
        <f>IFERROR(Table2[[#This Row],[Importo annuale]]/(12/VLOOKUP(Table2[[#This Row],[Rateizzazione]],TIPI_RATEIZZAZIONI,2,FALSE)),"-")</f>
        <v>250</v>
      </c>
      <c r="K1122" s="88">
        <v>500</v>
      </c>
      <c r="L1122" s="88">
        <v>500</v>
      </c>
      <c r="M1122" s="67" t="s">
        <v>45</v>
      </c>
      <c r="N1122" s="67" t="s">
        <v>51</v>
      </c>
      <c r="O1122" s="27" t="s">
        <v>1631</v>
      </c>
      <c r="P1122" s="33" t="s">
        <v>22</v>
      </c>
      <c r="Q1122" s="60">
        <f>IFERROR(IF(12 / VLOOKUP(Table2[[#This Row],[Rateizzazione]],TIPI_RATEIZZAZIONI,2,FALSE) &gt;=1,  IF(Table2[[#This Row],[Data attivazione]] = "","-",MONTH(Table2[[#This Row],[Data attivazione]])),"-"),"-")</f>
        <v>12</v>
      </c>
      <c r="R11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2" s="67" t="s">
        <v>2</v>
      </c>
      <c r="V1122" s="62"/>
      <c r="W1122" s="64">
        <v>42733</v>
      </c>
      <c r="X1122" s="29">
        <f>DATE(YEAR(Table2[[#This Row],[Data attivazione]])+VLOOKUP(Table2[[#This Row],[Durata]],VALORE_DURATA,2,FALSE),MONTH(Table2[[#This Row],[Data attivazione]]),DAY(Table2[[#This Row],[Data attivazione]]))</f>
        <v>43098</v>
      </c>
      <c r="Y1122" s="65"/>
      <c r="Z1122" s="61"/>
      <c r="AA1122" s="64" t="s">
        <v>85</v>
      </c>
      <c r="AB1122" s="29" t="str">
        <f>IF(Table2[[#This Row],[Data ultimo versamento temp]]=0/1/1900,"-",Table2[[#This Row],[Data ultimo versamento temp]])</f>
        <v>-</v>
      </c>
      <c r="AC1122" s="29">
        <f t="array" ref="AC1122">MAX(IF(TableVersamenti[Polizza]=Table2[[#This Row],[Polizza]],TableVersamenti[Data prevista versamento],"-"))</f>
        <v>0</v>
      </c>
      <c r="AD1122" s="62"/>
      <c r="AE1122" s="106">
        <f>DATE(YEAR(Table2[[#This Row],[Data ultimo pagamento]]),MONTH(Table2[[#This Row],[Data ultimo pagamento]]), 1)</f>
        <v>42887</v>
      </c>
      <c r="AF1122" s="106">
        <f>DATE(YEAR(Table2[[#This Row],[Data prossima scadenza]]),MONTH(Table2[[#This Row],[Data prossima scadenza]]), 1)</f>
        <v>43070</v>
      </c>
      <c r="AG1122" s="33">
        <f>IFERROR(Table2[[#This Row],[Importo annuale]]*VLOOKUP(Table2[[#This Row],[Ramo]],RAMI_POLIZZA,2,FALSE),0)</f>
        <v>57.5</v>
      </c>
      <c r="AH1122" s="65" t="s">
        <v>113</v>
      </c>
      <c r="AI1122" s="63" t="str">
        <f>IFERROR(VLOOKUP(Table2[[#This Row],[Contraente]],Table1[[Nome/Ragione sociale]:[Checkbox selezionato]],2,FALSE),"-")</f>
        <v>BELGIOIOSO</v>
      </c>
      <c r="AJ1122" s="63">
        <f>IFERROR(VLOOKUP(Table2[[#This Row],[Contraente]],Table1[[Nome/Ragione sociale]:[Checkbox selezionato]],3,FALSE),"-")</f>
        <v>3393881639</v>
      </c>
      <c r="AK1122" s="63">
        <f>IFERROR(VLOOKUP(Table2[[#This Row],[Contraente]],Table1[[Nome/Ragione sociale]:[Checkbox selezionato]],4,FALSE),"-")</f>
        <v>0</v>
      </c>
      <c r="AL1122" s="63" t="str">
        <f>IFERROR(VLOOKUP(Table2[[#This Row],[Contraente]],Table1[[Nome/Ragione sociale]:[Checkbox selezionato]],5,FALSE),"-")</f>
        <v>FRANCISC</v>
      </c>
      <c r="AM1122" s="62">
        <f>IFERROR(VLOOKUP(Table2[[#This Row],[Contraente]],Table1[[Nome/Ragione sociale]:[Checkbox selezionato]],6,FALSE),"-")</f>
        <v>24006</v>
      </c>
      <c r="AN1122" s="63" t="str">
        <f>IFERROR(VLOOKUP(Table2[[#This Row],[Contraente]],Table1[[Nome/Ragione sociale]:[Checkbox selezionato]],7,FALSE),"-")</f>
        <v>papies@email.it</v>
      </c>
      <c r="AO1122" s="63">
        <f>IFERROR(VLOOKUP(Table2[[#This Row],[Contraente]],Table1[[Nome/Ragione sociale]:[Checkbox selezionato]],8,FALSE),"-")</f>
        <v>0</v>
      </c>
      <c r="AP1122" s="63">
        <f>IFERROR(VLOOKUP(Table2[[#This Row],[Contraente]],Table1[[Nome/Ragione sociale]:[Checkbox selezionato]],10,FALSE),"-")</f>
        <v>3393881639</v>
      </c>
      <c r="AQ1122" s="63" t="str">
        <f>IFERROR(VLOOKUP(Table2[[#This Row],[Contraente]],Table1[[Nome/Ragione sociale]:[Checkbox selezionato]],11,FALSE),"-")</f>
        <v>SI</v>
      </c>
      <c r="AR1122" s="63" t="str">
        <f>IFERROR(VLOOKUP(Table2[[#This Row],[Contraente]],Table1[[Nome/Ragione sociale]:[Checkbox selezionato]],12,FALSE),"-")</f>
        <v>SI</v>
      </c>
    </row>
    <row r="1123" spans="1:44" ht="30" hidden="1" customHeight="1" x14ac:dyDescent="0.25">
      <c r="A1123" s="60" t="str">
        <f>UPPER(LEFT(Table2[[#This Row],[Contraente]],1))</f>
        <v>V</v>
      </c>
      <c r="B1123" s="60" t="s">
        <v>1634</v>
      </c>
      <c r="C1123" s="81" t="s">
        <v>1082</v>
      </c>
      <c r="D1123" s="81" t="s">
        <v>37</v>
      </c>
      <c r="E1123" s="86">
        <v>1012594</v>
      </c>
      <c r="F1123" s="64">
        <v>42368</v>
      </c>
      <c r="G1123" s="64">
        <f>IFERROR(CALCOLASCADENZA(Table2[[#This Row],[Data attivazione]],Table2[[#This Row],[Rateizzazione]],Table2[[#This Row],[Data ultimo pagamento]],Table2[[#This Row],[Data prossima scadenza manuale]]),"-")</f>
        <v>42724</v>
      </c>
      <c r="H1123" s="67" t="s">
        <v>32</v>
      </c>
      <c r="I1123" s="67" t="s">
        <v>113</v>
      </c>
      <c r="J1123" s="33">
        <f>IFERROR(Table2[[#This Row],[Importo annuale]]/(12/VLOOKUP(Table2[[#This Row],[Rateizzazione]],TIPI_RATEIZZAZIONI,2,FALSE)),"-")</f>
        <v>120</v>
      </c>
      <c r="K1123" s="88"/>
      <c r="L1123" s="88">
        <v>120</v>
      </c>
      <c r="M1123" s="67" t="s">
        <v>44</v>
      </c>
      <c r="N1123" s="67" t="s">
        <v>51</v>
      </c>
      <c r="O1123" s="27" t="s">
        <v>1632</v>
      </c>
      <c r="P1123" s="33" t="s">
        <v>23</v>
      </c>
      <c r="Q1123" s="60">
        <f>IFERROR(IF(12 / VLOOKUP(Table2[[#This Row],[Rateizzazione]],TIPI_RATEIZZAZIONI,2,FALSE) &gt;=1,  IF(Table2[[#This Row],[Data attivazione]] = "","-",MONTH(Table2[[#This Row],[Data attivazione]])),"-"),"-")</f>
        <v>12</v>
      </c>
      <c r="R11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3" s="67" t="s">
        <v>2</v>
      </c>
      <c r="V1123" s="62"/>
      <c r="W1123" s="64">
        <v>38706</v>
      </c>
      <c r="X1123" s="29">
        <f>DATE(YEAR(Table2[[#This Row],[Data attivazione]])+VLOOKUP(Table2[[#This Row],[Durata]],VALORE_DURATA,2,FALSE),MONTH(Table2[[#This Row],[Data attivazione]]),DAY(Table2[[#This Row],[Data attivazione]]))</f>
        <v>42358</v>
      </c>
      <c r="Y1123" s="65"/>
      <c r="Z1123" s="61"/>
      <c r="AA1123" s="64" t="s">
        <v>88</v>
      </c>
      <c r="AB1123" s="29" t="str">
        <f>IF(Table2[[#This Row],[Data ultimo versamento temp]]=0/1/1900,"-",Table2[[#This Row],[Data ultimo versamento temp]])</f>
        <v>-</v>
      </c>
      <c r="AC1123" s="29">
        <f t="array" ref="AC1123">MAX(IF(TableVersamenti[Polizza]=Table2[[#This Row],[Polizza]],TableVersamenti[Data prevista versamento],"-"))</f>
        <v>0</v>
      </c>
      <c r="AD1123" s="62"/>
      <c r="AE1123" s="106">
        <f>DATE(YEAR(Table2[[#This Row],[Data ultimo pagamento]]),MONTH(Table2[[#This Row],[Data ultimo pagamento]]), 1)</f>
        <v>42339</v>
      </c>
      <c r="AF1123" s="106">
        <f>DATE(YEAR(Table2[[#This Row],[Data prossima scadenza]]),MONTH(Table2[[#This Row],[Data prossima scadenza]]), 1)</f>
        <v>42705</v>
      </c>
      <c r="AG1123" s="33">
        <f>IFERROR(Table2[[#This Row],[Importo annuale]]*VLOOKUP(Table2[[#This Row],[Ramo]],RAMI_POLIZZA,2,FALSE),0)</f>
        <v>1.7999999999999998</v>
      </c>
      <c r="AH1123" s="65" t="s">
        <v>113</v>
      </c>
      <c r="AI1123" s="63" t="str">
        <f>IFERROR(VLOOKUP(Table2[[#This Row],[Contraente]],Table1[[Nome/Ragione sociale]:[Checkbox selezionato]],2,FALSE),"-")</f>
        <v>BELGIOIOSO</v>
      </c>
      <c r="AJ1123" s="63">
        <f>IFERROR(VLOOKUP(Table2[[#This Row],[Contraente]],Table1[[Nome/Ragione sociale]:[Checkbox selezionato]],3,FALSE),"-")</f>
        <v>3933881639</v>
      </c>
      <c r="AK1123" s="63">
        <f>IFERROR(VLOOKUP(Table2[[#This Row],[Contraente]],Table1[[Nome/Ragione sociale]:[Checkbox selezionato]],4,FALSE),"-")</f>
        <v>0</v>
      </c>
      <c r="AL1123" s="63" t="str">
        <f>IFERROR(VLOOKUP(Table2[[#This Row],[Contraente]],Table1[[Nome/Ragione sociale]:[Checkbox selezionato]],5,FALSE),"-")</f>
        <v>FRANCISC</v>
      </c>
      <c r="AM1123" s="62">
        <f>IFERROR(VLOOKUP(Table2[[#This Row],[Contraente]],Table1[[Nome/Ragione sociale]:[Checkbox selezionato]],6,FALSE),"-")</f>
        <v>24006</v>
      </c>
      <c r="AN1123" s="63" t="str">
        <f>IFERROR(VLOOKUP(Table2[[#This Row],[Contraente]],Table1[[Nome/Ragione sociale]:[Checkbox selezionato]],7,FALSE),"-")</f>
        <v>papies@libero.it</v>
      </c>
      <c r="AO1123" s="63">
        <f>IFERROR(VLOOKUP(Table2[[#This Row],[Contraente]],Table1[[Nome/Ragione sociale]:[Checkbox selezionato]],8,FALSE),"-")</f>
        <v>0</v>
      </c>
      <c r="AP1123" s="63">
        <f>IFERROR(VLOOKUP(Table2[[#This Row],[Contraente]],Table1[[Nome/Ragione sociale]:[Checkbox selezionato]],10,FALSE),"-")</f>
        <v>3933881639</v>
      </c>
      <c r="AQ1123" s="63" t="str">
        <f>IFERROR(VLOOKUP(Table2[[#This Row],[Contraente]],Table1[[Nome/Ragione sociale]:[Checkbox selezionato]],11,FALSE),"-")</f>
        <v>SI</v>
      </c>
      <c r="AR1123" s="63" t="str">
        <f>IFERROR(VLOOKUP(Table2[[#This Row],[Contraente]],Table1[[Nome/Ragione sociale]:[Checkbox selezionato]],12,FALSE),"-")</f>
        <v>SI</v>
      </c>
    </row>
    <row r="1124" spans="1:44" ht="30" hidden="1" customHeight="1" x14ac:dyDescent="0.25">
      <c r="A1124" s="60" t="str">
        <f>UPPER(LEFT(Table2[[#This Row],[Contraente]],1))</f>
        <v>Z</v>
      </c>
      <c r="B1124" s="60" t="s">
        <v>1634</v>
      </c>
      <c r="C1124" s="81" t="s">
        <v>1083</v>
      </c>
      <c r="D1124" s="81" t="s">
        <v>37</v>
      </c>
      <c r="E1124" s="86">
        <v>103450840</v>
      </c>
      <c r="F1124" s="64">
        <v>41995</v>
      </c>
      <c r="G1124" s="64">
        <f>IFERROR(CALCOLASCADENZA(Table2[[#This Row],[Data attivazione]],Table2[[#This Row],[Rateizzazione]],Table2[[#This Row],[Data ultimo pagamento]],Table2[[#This Row],[Data prossima scadenza manuale]]),"-")</f>
        <v>41995</v>
      </c>
      <c r="H1124" s="67" t="s">
        <v>31</v>
      </c>
      <c r="I1124" s="67"/>
      <c r="J1124" s="33">
        <v>0</v>
      </c>
      <c r="K1124" s="88"/>
      <c r="L1124" s="88">
        <v>0</v>
      </c>
      <c r="M1124" s="67" t="s">
        <v>43</v>
      </c>
      <c r="N1124" s="67" t="s">
        <v>52</v>
      </c>
      <c r="O1124" s="27" t="s">
        <v>1631</v>
      </c>
      <c r="P1124" s="33" t="s">
        <v>24</v>
      </c>
      <c r="Q112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4" s="67" t="s">
        <v>2</v>
      </c>
      <c r="V1124" s="62"/>
      <c r="W1124" s="64">
        <v>693597</v>
      </c>
      <c r="X1124" s="29">
        <f>DATE(YEAR(Table2[[#This Row],[Data attivazione]])+VLOOKUP(Table2[[#This Row],[Durata]],VALORE_DURATA,2,FALSE),MONTH(Table2[[#This Row],[Data attivazione]]),DAY(Table2[[#This Row],[Data attivazione]]))</f>
        <v>693962</v>
      </c>
      <c r="Y1124" s="65"/>
      <c r="Z1124" s="61"/>
      <c r="AA1124" s="64" t="s">
        <v>88</v>
      </c>
      <c r="AB1124" s="29" t="str">
        <f>IF(Table2[[#This Row],[Data ultimo versamento temp]]=0/1/1900,"-",Table2[[#This Row],[Data ultimo versamento temp]])</f>
        <v>-</v>
      </c>
      <c r="AC1124" s="29">
        <f t="array" ref="AC1124">MAX(IF(TableVersamenti[Polizza]=Table2[[#This Row],[Polizza]],TableVersamenti[Data prevista versamento],"-"))</f>
        <v>0</v>
      </c>
      <c r="AD1124" s="62"/>
      <c r="AE1124" s="106">
        <f>DATE(YEAR(Table2[[#This Row],[Data ultimo pagamento]]),MONTH(Table2[[#This Row],[Data ultimo pagamento]]), 1)</f>
        <v>41974</v>
      </c>
      <c r="AF1124" s="106">
        <f>DATE(YEAR(Table2[[#This Row],[Data prossima scadenza]]),MONTH(Table2[[#This Row],[Data prossima scadenza]]), 1)</f>
        <v>41974</v>
      </c>
      <c r="AG1124" s="33">
        <f>IFERROR(Table2[[#This Row],[Importo annuale]]*VLOOKUP(Table2[[#This Row],[Ramo]],RAMI_POLIZZA,2,FALSE),0)</f>
        <v>0</v>
      </c>
      <c r="AH1124" s="65" t="s">
        <v>113</v>
      </c>
      <c r="AI1124" s="63">
        <f>IFERROR(VLOOKUP(Table2[[#This Row],[Contraente]],Table1[[Nome/Ragione sociale]:[Checkbox selezionato]],2,FALSE),"-")</f>
        <v>0</v>
      </c>
      <c r="AJ1124" s="63">
        <f>IFERROR(VLOOKUP(Table2[[#This Row],[Contraente]],Table1[[Nome/Ragione sociale]:[Checkbox selezionato]],3,FALSE),"-")</f>
        <v>0</v>
      </c>
      <c r="AK1124" s="63">
        <f>IFERROR(VLOOKUP(Table2[[#This Row],[Contraente]],Table1[[Nome/Ragione sociale]:[Checkbox selezionato]],4,FALSE),"-")</f>
        <v>0</v>
      </c>
      <c r="AL1124" s="63">
        <f>IFERROR(VLOOKUP(Table2[[#This Row],[Contraente]],Table1[[Nome/Ragione sociale]:[Checkbox selezionato]],5,FALSE),"-")</f>
        <v>0</v>
      </c>
      <c r="AM1124" s="62">
        <f>IFERROR(VLOOKUP(Table2[[#This Row],[Contraente]],Table1[[Nome/Ragione sociale]:[Checkbox selezionato]],6,FALSE),"-")</f>
        <v>0</v>
      </c>
      <c r="AN1124" s="63" t="str">
        <f>IFERROR(VLOOKUP(Table2[[#This Row],[Contraente]],Table1[[Nome/Ragione sociale]:[Checkbox selezionato]],7,FALSE),"-")</f>
        <v>papies@libero.it</v>
      </c>
      <c r="AO1124" s="63">
        <f>IFERROR(VLOOKUP(Table2[[#This Row],[Contraente]],Table1[[Nome/Ragione sociale]:[Checkbox selezionato]],8,FALSE),"-")</f>
        <v>0</v>
      </c>
      <c r="AP1124" s="63">
        <f>IFERROR(VLOOKUP(Table2[[#This Row],[Contraente]],Table1[[Nome/Ragione sociale]:[Checkbox selezionato]],10,FALSE),"-")</f>
        <v>0</v>
      </c>
      <c r="AQ1124" s="63" t="str">
        <f>IFERROR(VLOOKUP(Table2[[#This Row],[Contraente]],Table1[[Nome/Ragione sociale]:[Checkbox selezionato]],11,FALSE),"-")</f>
        <v>SI</v>
      </c>
      <c r="AR1124" s="63" t="str">
        <f>IFERROR(VLOOKUP(Table2[[#This Row],[Contraente]],Table1[[Nome/Ragione sociale]:[Checkbox selezionato]],12,FALSE),"-")</f>
        <v>SI</v>
      </c>
    </row>
    <row r="1125" spans="1:44" ht="30" hidden="1" customHeight="1" x14ac:dyDescent="0.25">
      <c r="A1125" s="60" t="str">
        <f>UPPER(LEFT(Table2[[#This Row],[Contraente]],1))</f>
        <v>Z</v>
      </c>
      <c r="B1125" s="60" t="s">
        <v>1634</v>
      </c>
      <c r="C1125" s="81" t="s">
        <v>1083</v>
      </c>
      <c r="D1125" s="81" t="s">
        <v>37</v>
      </c>
      <c r="E1125" s="86">
        <v>102687484</v>
      </c>
      <c r="F1125" s="64">
        <v>41855</v>
      </c>
      <c r="G1125" s="64">
        <f>IFERROR(CALCOLASCADENZA(Table2[[#This Row],[Data attivazione]],Table2[[#This Row],[Rateizzazione]],Table2[[#This Row],[Data ultimo pagamento]],Table2[[#This Row],[Data prossima scadenza manuale]]),"-")</f>
        <v>693778</v>
      </c>
      <c r="H1125" s="67" t="s">
        <v>31</v>
      </c>
      <c r="I1125" s="67"/>
      <c r="J1125" s="33">
        <f>IFERROR(Table2[[#This Row],[Importo annuale]]/(12/VLOOKUP(Table2[[#This Row],[Rateizzazione]],TIPI_RATEIZZAZIONI,2,FALSE)),"-")</f>
        <v>361.03</v>
      </c>
      <c r="K1125" s="88"/>
      <c r="L1125" s="88">
        <v>722.06</v>
      </c>
      <c r="M1125" s="67" t="s">
        <v>43</v>
      </c>
      <c r="N1125" s="67" t="s">
        <v>51</v>
      </c>
      <c r="O1125" s="27" t="s">
        <v>1631</v>
      </c>
      <c r="P1125" s="33" t="s">
        <v>22</v>
      </c>
      <c r="Q1125" s="60">
        <f>IFERROR(IF(12 / VLOOKUP(Table2[[#This Row],[Rateizzazione]],TIPI_RATEIZZAZIONI,2,FALSE) &gt;=1,  IF(Table2[[#This Row],[Data attivazione]] = "","-",MONTH(Table2[[#This Row],[Data attivazione]])),"-"),"-")</f>
        <v>12</v>
      </c>
      <c r="R11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5" s="67" t="s">
        <v>2</v>
      </c>
      <c r="V1125" s="62"/>
      <c r="W1125" s="64">
        <v>693597</v>
      </c>
      <c r="X1125" s="29">
        <f>DATE(YEAR(Table2[[#This Row],[Data attivazione]])+VLOOKUP(Table2[[#This Row],[Durata]],VALORE_DURATA,2,FALSE),MONTH(Table2[[#This Row],[Data attivazione]]),DAY(Table2[[#This Row],[Data attivazione]]))</f>
        <v>693962</v>
      </c>
      <c r="Y1125" s="65"/>
      <c r="Z1125" s="61"/>
      <c r="AA1125" s="64" t="s">
        <v>88</v>
      </c>
      <c r="AB1125" s="29" t="str">
        <f>IF(Table2[[#This Row],[Data ultimo versamento temp]]=0/1/1900,"-",Table2[[#This Row],[Data ultimo versamento temp]])</f>
        <v>-</v>
      </c>
      <c r="AC1125" s="29">
        <f t="array" ref="AC1125">MAX(IF(TableVersamenti[Polizza]=Table2[[#This Row],[Polizza]],TableVersamenti[Data prevista versamento],"-"))</f>
        <v>0</v>
      </c>
      <c r="AD1125" s="62"/>
      <c r="AE1125" s="106">
        <f>DATE(YEAR(Table2[[#This Row],[Data ultimo pagamento]]),MONTH(Table2[[#This Row],[Data ultimo pagamento]]), 1)</f>
        <v>41852</v>
      </c>
      <c r="AF1125" s="106">
        <f>DATE(YEAR(Table2[[#This Row],[Data prossima scadenza]]),MONTH(Table2[[#This Row],[Data prossima scadenza]]), 1)</f>
        <v>693749</v>
      </c>
      <c r="AG1125" s="33">
        <f>IFERROR(Table2[[#This Row],[Importo annuale]]*VLOOKUP(Table2[[#This Row],[Ramo]],RAMI_POLIZZA,2,FALSE),0)</f>
        <v>37.547119999999993</v>
      </c>
      <c r="AH1125" s="65" t="s">
        <v>113</v>
      </c>
      <c r="AI1125" s="63">
        <f>IFERROR(VLOOKUP(Table2[[#This Row],[Contraente]],Table1[[Nome/Ragione sociale]:[Checkbox selezionato]],2,FALSE),"-")</f>
        <v>0</v>
      </c>
      <c r="AJ1125" s="63">
        <f>IFERROR(VLOOKUP(Table2[[#This Row],[Contraente]],Table1[[Nome/Ragione sociale]:[Checkbox selezionato]],3,FALSE),"-")</f>
        <v>0</v>
      </c>
      <c r="AK1125" s="63">
        <f>IFERROR(VLOOKUP(Table2[[#This Row],[Contraente]],Table1[[Nome/Ragione sociale]:[Checkbox selezionato]],4,FALSE),"-")</f>
        <v>0</v>
      </c>
      <c r="AL1125" s="63">
        <f>IFERROR(VLOOKUP(Table2[[#This Row],[Contraente]],Table1[[Nome/Ragione sociale]:[Checkbox selezionato]],5,FALSE),"-")</f>
        <v>0</v>
      </c>
      <c r="AM1125" s="62">
        <f>IFERROR(VLOOKUP(Table2[[#This Row],[Contraente]],Table1[[Nome/Ragione sociale]:[Checkbox selezionato]],6,FALSE),"-")</f>
        <v>0</v>
      </c>
      <c r="AN1125" s="63" t="str">
        <f>IFERROR(VLOOKUP(Table2[[#This Row],[Contraente]],Table1[[Nome/Ragione sociale]:[Checkbox selezionato]],7,FALSE),"-")</f>
        <v>papies@libero.it</v>
      </c>
      <c r="AO1125" s="63">
        <f>IFERROR(VLOOKUP(Table2[[#This Row],[Contraente]],Table1[[Nome/Ragione sociale]:[Checkbox selezionato]],8,FALSE),"-")</f>
        <v>0</v>
      </c>
      <c r="AP1125" s="63">
        <f>IFERROR(VLOOKUP(Table2[[#This Row],[Contraente]],Table1[[Nome/Ragione sociale]:[Checkbox selezionato]],10,FALSE),"-")</f>
        <v>0</v>
      </c>
      <c r="AQ1125" s="63" t="str">
        <f>IFERROR(VLOOKUP(Table2[[#This Row],[Contraente]],Table1[[Nome/Ragione sociale]:[Checkbox selezionato]],11,FALSE),"-")</f>
        <v>SI</v>
      </c>
      <c r="AR1125" s="63" t="str">
        <f>IFERROR(VLOOKUP(Table2[[#This Row],[Contraente]],Table1[[Nome/Ragione sociale]:[Checkbox selezionato]],12,FALSE),"-")</f>
        <v>SI</v>
      </c>
    </row>
    <row r="1126" spans="1:44" ht="30" hidden="1" customHeight="1" x14ac:dyDescent="0.25">
      <c r="A1126" s="60" t="str">
        <f>UPPER(LEFT(Table2[[#This Row],[Contraente]],1))</f>
        <v>Z</v>
      </c>
      <c r="B1126" s="60" t="s">
        <v>1634</v>
      </c>
      <c r="C1126" s="81" t="s">
        <v>1083</v>
      </c>
      <c r="D1126" s="81" t="s">
        <v>37</v>
      </c>
      <c r="E1126" s="86">
        <v>103339588</v>
      </c>
      <c r="F1126" s="64">
        <v>42200</v>
      </c>
      <c r="G1126" s="64">
        <f>IFERROR(CALCOLASCADENZA(Table2[[#This Row],[Data attivazione]],Table2[[#This Row],[Rateizzazione]],Table2[[#This Row],[Data ultimo pagamento]],Table2[[#This Row],[Data prossima scadenza manuale]]),"-")</f>
        <v>693687</v>
      </c>
      <c r="H1126" s="67" t="s">
        <v>31</v>
      </c>
      <c r="I1126" s="67" t="s">
        <v>1617</v>
      </c>
      <c r="J1126" s="33">
        <f>IFERROR(Table2[[#This Row],[Importo annuale]]/(12/VLOOKUP(Table2[[#This Row],[Rateizzazione]],TIPI_RATEIZZAZIONI,2,FALSE)),"-")</f>
        <v>320.54000000000002</v>
      </c>
      <c r="K1126" s="88"/>
      <c r="L1126" s="88">
        <v>1282.1600000000001</v>
      </c>
      <c r="M1126" s="67" t="s">
        <v>43</v>
      </c>
      <c r="N1126" s="67" t="s">
        <v>51</v>
      </c>
      <c r="O1126" s="27" t="s">
        <v>1631</v>
      </c>
      <c r="P1126" s="33" t="s">
        <v>20</v>
      </c>
      <c r="Q1126" s="60">
        <f>IFERROR(IF(12 / VLOOKUP(Table2[[#This Row],[Rateizzazione]],TIPI_RATEIZZAZIONI,2,FALSE) &gt;=1,  IF(Table2[[#This Row],[Data attivazione]] = "","-",MONTH(Table2[[#This Row],[Data attivazione]])),"-"),"-")</f>
        <v>12</v>
      </c>
      <c r="R11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1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112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1126" s="67" t="s">
        <v>2</v>
      </c>
      <c r="V1126" s="62"/>
      <c r="W1126" s="64">
        <v>693597</v>
      </c>
      <c r="X1126" s="29">
        <f>DATE(YEAR(Table2[[#This Row],[Data attivazione]])+VLOOKUP(Table2[[#This Row],[Durata]],VALORE_DURATA,2,FALSE),MONTH(Table2[[#This Row],[Data attivazione]]),DAY(Table2[[#This Row],[Data attivazione]]))</f>
        <v>693962</v>
      </c>
      <c r="Y1126" s="65"/>
      <c r="Z1126" s="61"/>
      <c r="AA1126" s="64" t="s">
        <v>88</v>
      </c>
      <c r="AB1126" s="29" t="str">
        <f>IF(Table2[[#This Row],[Data ultimo versamento temp]]=0/1/1900,"-",Table2[[#This Row],[Data ultimo versamento temp]])</f>
        <v>-</v>
      </c>
      <c r="AC1126" s="29">
        <f t="array" ref="AC1126">MAX(IF(TableVersamenti[Polizza]=Table2[[#This Row],[Polizza]],TableVersamenti[Data prevista versamento],"-"))</f>
        <v>0</v>
      </c>
      <c r="AD1126" s="62"/>
      <c r="AE1126" s="106">
        <f>DATE(YEAR(Table2[[#This Row],[Data ultimo pagamento]]),MONTH(Table2[[#This Row],[Data ultimo pagamento]]), 1)</f>
        <v>42186</v>
      </c>
      <c r="AF1126" s="106">
        <f>DATE(YEAR(Table2[[#This Row],[Data prossima scadenza]]),MONTH(Table2[[#This Row],[Data prossima scadenza]]), 1)</f>
        <v>693657</v>
      </c>
      <c r="AG1126" s="33">
        <f>IFERROR(Table2[[#This Row],[Importo annuale]]*VLOOKUP(Table2[[#This Row],[Ramo]],RAMI_POLIZZA,2,FALSE),0)</f>
        <v>66.672319999999999</v>
      </c>
      <c r="AH1126" s="65" t="s">
        <v>113</v>
      </c>
      <c r="AI1126" s="63">
        <f>IFERROR(VLOOKUP(Table2[[#This Row],[Contraente]],Table1[[Nome/Ragione sociale]:[Checkbox selezionato]],2,FALSE),"-")</f>
        <v>0</v>
      </c>
      <c r="AJ1126" s="63">
        <f>IFERROR(VLOOKUP(Table2[[#This Row],[Contraente]],Table1[[Nome/Ragione sociale]:[Checkbox selezionato]],3,FALSE),"-")</f>
        <v>0</v>
      </c>
      <c r="AK1126" s="63">
        <f>IFERROR(VLOOKUP(Table2[[#This Row],[Contraente]],Table1[[Nome/Ragione sociale]:[Checkbox selezionato]],4,FALSE),"-")</f>
        <v>0</v>
      </c>
      <c r="AL1126" s="63">
        <f>IFERROR(VLOOKUP(Table2[[#This Row],[Contraente]],Table1[[Nome/Ragione sociale]:[Checkbox selezionato]],5,FALSE),"-")</f>
        <v>0</v>
      </c>
      <c r="AM1126" s="62">
        <f>IFERROR(VLOOKUP(Table2[[#This Row],[Contraente]],Table1[[Nome/Ragione sociale]:[Checkbox selezionato]],6,FALSE),"-")</f>
        <v>0</v>
      </c>
      <c r="AN1126" s="63" t="str">
        <f>IFERROR(VLOOKUP(Table2[[#This Row],[Contraente]],Table1[[Nome/Ragione sociale]:[Checkbox selezionato]],7,FALSE),"-")</f>
        <v>papies@libero.it</v>
      </c>
      <c r="AO1126" s="63">
        <f>IFERROR(VLOOKUP(Table2[[#This Row],[Contraente]],Table1[[Nome/Ragione sociale]:[Checkbox selezionato]],8,FALSE),"-")</f>
        <v>0</v>
      </c>
      <c r="AP1126" s="63">
        <f>IFERROR(VLOOKUP(Table2[[#This Row],[Contraente]],Table1[[Nome/Ragione sociale]:[Checkbox selezionato]],10,FALSE),"-")</f>
        <v>0</v>
      </c>
      <c r="AQ1126" s="63" t="str">
        <f>IFERROR(VLOOKUP(Table2[[#This Row],[Contraente]],Table1[[Nome/Ragione sociale]:[Checkbox selezionato]],11,FALSE),"-")</f>
        <v>SI</v>
      </c>
      <c r="AR1126" s="63" t="str">
        <f>IFERROR(VLOOKUP(Table2[[#This Row],[Contraente]],Table1[[Nome/Ragione sociale]:[Checkbox selezionato]],12,FALSE),"-")</f>
        <v>SI</v>
      </c>
    </row>
    <row r="1127" spans="1:44" ht="30" hidden="1" customHeight="1" x14ac:dyDescent="0.25">
      <c r="A1127" s="60" t="str">
        <f>UPPER(LEFT(Table2[[#This Row],[Contraente]],1))</f>
        <v>Z</v>
      </c>
      <c r="B1127" s="60" t="s">
        <v>1634</v>
      </c>
      <c r="C1127" s="81" t="s">
        <v>1084</v>
      </c>
      <c r="D1127" s="81" t="s">
        <v>37</v>
      </c>
      <c r="E1127" s="86">
        <v>104159689</v>
      </c>
      <c r="F1127" s="64">
        <v>42816</v>
      </c>
      <c r="G1127" s="64">
        <f>IFERROR(CALCOLASCADENZA(Table2[[#This Row],[Data attivazione]],Table2[[#This Row],[Rateizzazione]],Table2[[#This Row],[Data ultimo pagamento]],Table2[[#This Row],[Data prossima scadenza manuale]]),"-")</f>
        <v>42987</v>
      </c>
      <c r="H1127" s="67" t="s">
        <v>30</v>
      </c>
      <c r="I1127" s="67" t="s">
        <v>113</v>
      </c>
      <c r="J1127" s="33">
        <f>IFERROR(Table2[[#This Row],[Importo annuale]]/(12/VLOOKUP(Table2[[#This Row],[Rateizzazione]],TIPI_RATEIZZAZIONI,2,FALSE)),"-")</f>
        <v>40</v>
      </c>
      <c r="K1127" s="88">
        <v>40</v>
      </c>
      <c r="L1127" s="88">
        <v>80</v>
      </c>
      <c r="M1127" s="67" t="s">
        <v>44</v>
      </c>
      <c r="N1127" s="67" t="s">
        <v>51</v>
      </c>
      <c r="O1127" s="27" t="s">
        <v>1631</v>
      </c>
      <c r="P1127" s="33" t="s">
        <v>22</v>
      </c>
      <c r="Q1127" s="60">
        <f>IFERROR(IF(12 / VLOOKUP(Table2[[#This Row],[Rateizzazione]],TIPI_RATEIZZAZIONI,2,FALSE) &gt;=1,  IF(Table2[[#This Row],[Data attivazione]] = "","-",MONTH(Table2[[#This Row],[Data attivazione]])),"-"),"-")</f>
        <v>9</v>
      </c>
      <c r="R11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1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7" s="67" t="s">
        <v>2</v>
      </c>
      <c r="V1127" s="62"/>
      <c r="W1127" s="64">
        <v>42622</v>
      </c>
      <c r="X1127" s="29">
        <f>DATE(YEAR(Table2[[#This Row],[Data attivazione]])+VLOOKUP(Table2[[#This Row],[Durata]],VALORE_DURATA,2,FALSE),MONTH(Table2[[#This Row],[Data attivazione]]),DAY(Table2[[#This Row],[Data attivazione]]))</f>
        <v>42987</v>
      </c>
      <c r="Y1127" s="65"/>
      <c r="Z1127" s="61"/>
      <c r="AA1127" s="64" t="s">
        <v>85</v>
      </c>
      <c r="AB1127" s="29" t="str">
        <f>IF(Table2[[#This Row],[Data ultimo versamento temp]]=0/1/1900,"-",Table2[[#This Row],[Data ultimo versamento temp]])</f>
        <v>-</v>
      </c>
      <c r="AC1127" s="29">
        <f t="array" ref="AC1127">MAX(IF(TableVersamenti[Polizza]=Table2[[#This Row],[Polizza]],TableVersamenti[Data prevista versamento],"-"))</f>
        <v>0</v>
      </c>
      <c r="AD1127" s="62"/>
      <c r="AE1127" s="106">
        <f>DATE(YEAR(Table2[[#This Row],[Data ultimo pagamento]]),MONTH(Table2[[#This Row],[Data ultimo pagamento]]), 1)</f>
        <v>42795</v>
      </c>
      <c r="AF1127" s="106">
        <f>DATE(YEAR(Table2[[#This Row],[Data prossima scadenza]]),MONTH(Table2[[#This Row],[Data prossima scadenza]]), 1)</f>
        <v>42979</v>
      </c>
      <c r="AG1127" s="33">
        <f>IFERROR(Table2[[#This Row],[Importo annuale]]*VLOOKUP(Table2[[#This Row],[Ramo]],RAMI_POLIZZA,2,FALSE),0)</f>
        <v>9.2000000000000011</v>
      </c>
      <c r="AH1127" s="65" t="s">
        <v>113</v>
      </c>
      <c r="AI1127" s="63" t="str">
        <f>IFERROR(VLOOKUP(Table2[[#This Row],[Contraente]],Table1[[Nome/Ragione sociale]:[Checkbox selezionato]],2,FALSE),"-")</f>
        <v>ALBUZZANO</v>
      </c>
      <c r="AJ1127" s="63">
        <f>IFERROR(VLOOKUP(Table2[[#This Row],[Contraente]],Table1[[Nome/Ragione sociale]:[Checkbox selezionato]],3,FALSE),"-")</f>
        <v>3336902494</v>
      </c>
      <c r="AK1127" s="63">
        <f>IFERROR(VLOOKUP(Table2[[#This Row],[Contraente]],Table1[[Nome/Ragione sociale]:[Checkbox selezionato]],4,FALSE),"-")</f>
        <v>0</v>
      </c>
      <c r="AL1127" s="63" t="str">
        <f>IFERROR(VLOOKUP(Table2[[#This Row],[Contraente]],Table1[[Nome/Ragione sociale]:[Checkbox selezionato]],5,FALSE),"-")</f>
        <v>LAURA</v>
      </c>
      <c r="AM1127" s="62">
        <f>IFERROR(VLOOKUP(Table2[[#This Row],[Contraente]],Table1[[Nome/Ragione sociale]:[Checkbox selezionato]],6,FALSE),"-")</f>
        <v>24666</v>
      </c>
      <c r="AN1127" s="63" t="str">
        <f>IFERROR(VLOOKUP(Table2[[#This Row],[Contraente]],Table1[[Nome/Ragione sociale]:[Checkbox selezionato]],7,FALSE),"-")</f>
        <v>papies@email.it</v>
      </c>
      <c r="AO1127" s="63">
        <f>IFERROR(VLOOKUP(Table2[[#This Row],[Contraente]],Table1[[Nome/Ragione sociale]:[Checkbox selezionato]],8,FALSE),"-")</f>
        <v>0</v>
      </c>
      <c r="AP1127" s="63">
        <f>IFERROR(VLOOKUP(Table2[[#This Row],[Contraente]],Table1[[Nome/Ragione sociale]:[Checkbox selezionato]],10,FALSE),"-")</f>
        <v>3336902494</v>
      </c>
      <c r="AQ1127" s="63" t="str">
        <f>IFERROR(VLOOKUP(Table2[[#This Row],[Contraente]],Table1[[Nome/Ragione sociale]:[Checkbox selezionato]],11,FALSE),"-")</f>
        <v>SI</v>
      </c>
      <c r="AR1127" s="63" t="str">
        <f>IFERROR(VLOOKUP(Table2[[#This Row],[Contraente]],Table1[[Nome/Ragione sociale]:[Checkbox selezionato]],12,FALSE),"-")</f>
        <v>SI</v>
      </c>
    </row>
    <row r="1128" spans="1:44" ht="30" hidden="1" customHeight="1" x14ac:dyDescent="0.25">
      <c r="A1128" s="60" t="str">
        <f>UPPER(LEFT(Table2[[#This Row],[Contraente]],1))</f>
        <v>Z</v>
      </c>
      <c r="B1128" s="60" t="s">
        <v>1634</v>
      </c>
      <c r="C1128" s="81" t="s">
        <v>1084</v>
      </c>
      <c r="D1128" s="81" t="s">
        <v>37</v>
      </c>
      <c r="E1128" s="86">
        <v>105391267</v>
      </c>
      <c r="F1128" s="64">
        <v>42628</v>
      </c>
      <c r="G1128" s="64">
        <f>IFERROR(CALCOLASCADENZA(Table2[[#This Row],[Data attivazione]],Table2[[#This Row],[Rateizzazione]],Table2[[#This Row],[Data ultimo pagamento]],Table2[[#This Row],[Data prossima scadenza manuale]]),"-")</f>
        <v>42803</v>
      </c>
      <c r="H1128" s="67" t="s">
        <v>31</v>
      </c>
      <c r="I1128" s="67" t="s">
        <v>1618</v>
      </c>
      <c r="J1128" s="33">
        <f>IFERROR(Table2[[#This Row],[Importo annuale]]/(12/VLOOKUP(Table2[[#This Row],[Rateizzazione]],TIPI_RATEIZZAZIONI,2,FALSE)),"-")</f>
        <v>285</v>
      </c>
      <c r="K1128" s="88"/>
      <c r="L1128" s="88">
        <v>570</v>
      </c>
      <c r="M1128" s="67" t="s">
        <v>44</v>
      </c>
      <c r="N1128" s="67" t="s">
        <v>51</v>
      </c>
      <c r="O1128" s="27" t="s">
        <v>1631</v>
      </c>
      <c r="P1128" s="33" t="s">
        <v>22</v>
      </c>
      <c r="Q1128" s="60">
        <f>IFERROR(IF(12 / VLOOKUP(Table2[[#This Row],[Rateizzazione]],TIPI_RATEIZZAZIONI,2,FALSE) &gt;=1,  IF(Table2[[#This Row],[Data attivazione]] = "","-",MONTH(Table2[[#This Row],[Data attivazione]])),"-"),"-")</f>
        <v>3</v>
      </c>
      <c r="R11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11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8" s="67" t="s">
        <v>2</v>
      </c>
      <c r="V1128" s="62"/>
      <c r="W1128" s="64">
        <v>42438</v>
      </c>
      <c r="X1128" s="29">
        <f>DATE(YEAR(Table2[[#This Row],[Data attivazione]])+VLOOKUP(Table2[[#This Row],[Durata]],VALORE_DURATA,2,FALSE),MONTH(Table2[[#This Row],[Data attivazione]]),DAY(Table2[[#This Row],[Data attivazione]]))</f>
        <v>42803</v>
      </c>
      <c r="Y1128" s="65"/>
      <c r="Z1128" s="61"/>
      <c r="AA1128" s="64" t="s">
        <v>88</v>
      </c>
      <c r="AB1128" s="29" t="str">
        <f>IF(Table2[[#This Row],[Data ultimo versamento temp]]=0/1/1900,"-",Table2[[#This Row],[Data ultimo versamento temp]])</f>
        <v>-</v>
      </c>
      <c r="AC1128" s="29">
        <f t="array" ref="AC1128">MAX(IF(TableVersamenti[Polizza]=Table2[[#This Row],[Polizza]],TableVersamenti[Data prevista versamento],"-"))</f>
        <v>0</v>
      </c>
      <c r="AD1128" s="62"/>
      <c r="AE1128" s="106">
        <f>DATE(YEAR(Table2[[#This Row],[Data ultimo pagamento]]),MONTH(Table2[[#This Row],[Data ultimo pagamento]]), 1)</f>
        <v>42614</v>
      </c>
      <c r="AF1128" s="106">
        <f>DATE(YEAR(Table2[[#This Row],[Data prossima scadenza]]),MONTH(Table2[[#This Row],[Data prossima scadenza]]), 1)</f>
        <v>42795</v>
      </c>
      <c r="AG1128" s="33">
        <f>IFERROR(Table2[[#This Row],[Importo annuale]]*VLOOKUP(Table2[[#This Row],[Ramo]],RAMI_POLIZZA,2,FALSE),0)</f>
        <v>29.639999999999997</v>
      </c>
      <c r="AH1128" s="65" t="s">
        <v>113</v>
      </c>
      <c r="AI1128" s="63" t="str">
        <f>IFERROR(VLOOKUP(Table2[[#This Row],[Contraente]],Table1[[Nome/Ragione sociale]:[Checkbox selezionato]],2,FALSE),"-")</f>
        <v>ALBUZZANO</v>
      </c>
      <c r="AJ1128" s="63">
        <f>IFERROR(VLOOKUP(Table2[[#This Row],[Contraente]],Table1[[Nome/Ragione sociale]:[Checkbox selezionato]],3,FALSE),"-")</f>
        <v>3336902494</v>
      </c>
      <c r="AK1128" s="63">
        <f>IFERROR(VLOOKUP(Table2[[#This Row],[Contraente]],Table1[[Nome/Ragione sociale]:[Checkbox selezionato]],4,FALSE),"-")</f>
        <v>0</v>
      </c>
      <c r="AL1128" s="63" t="str">
        <f>IFERROR(VLOOKUP(Table2[[#This Row],[Contraente]],Table1[[Nome/Ragione sociale]:[Checkbox selezionato]],5,FALSE),"-")</f>
        <v>LAURA</v>
      </c>
      <c r="AM1128" s="62">
        <f>IFERROR(VLOOKUP(Table2[[#This Row],[Contraente]],Table1[[Nome/Ragione sociale]:[Checkbox selezionato]],6,FALSE),"-")</f>
        <v>24666</v>
      </c>
      <c r="AN1128" s="63" t="str">
        <f>IFERROR(VLOOKUP(Table2[[#This Row],[Contraente]],Table1[[Nome/Ragione sociale]:[Checkbox selezionato]],7,FALSE),"-")</f>
        <v>papies@email.it</v>
      </c>
      <c r="AO1128" s="63">
        <f>IFERROR(VLOOKUP(Table2[[#This Row],[Contraente]],Table1[[Nome/Ragione sociale]:[Checkbox selezionato]],8,FALSE),"-")</f>
        <v>0</v>
      </c>
      <c r="AP1128" s="63">
        <f>IFERROR(VLOOKUP(Table2[[#This Row],[Contraente]],Table1[[Nome/Ragione sociale]:[Checkbox selezionato]],10,FALSE),"-")</f>
        <v>3336902494</v>
      </c>
      <c r="AQ1128" s="63" t="str">
        <f>IFERROR(VLOOKUP(Table2[[#This Row],[Contraente]],Table1[[Nome/Ragione sociale]:[Checkbox selezionato]],11,FALSE),"-")</f>
        <v>SI</v>
      </c>
      <c r="AR1128" s="63" t="str">
        <f>IFERROR(VLOOKUP(Table2[[#This Row],[Contraente]],Table1[[Nome/Ragione sociale]:[Checkbox selezionato]],12,FALSE),"-")</f>
        <v>SI</v>
      </c>
    </row>
    <row r="1129" spans="1:44" ht="30" hidden="1" customHeight="1" x14ac:dyDescent="0.25">
      <c r="A1129" s="60" t="str">
        <f>UPPER(LEFT(Table2[[#This Row],[Contraente]],1))</f>
        <v>Z</v>
      </c>
      <c r="B1129" s="60" t="s">
        <v>1634</v>
      </c>
      <c r="C1129" s="81" t="s">
        <v>1085</v>
      </c>
      <c r="D1129" s="81" t="s">
        <v>37</v>
      </c>
      <c r="E1129" s="86">
        <v>105299844</v>
      </c>
      <c r="F1129" s="64">
        <v>42780</v>
      </c>
      <c r="G1129" s="64">
        <f>IFERROR(CALCOLASCADENZA(Table2[[#This Row],[Data attivazione]],Table2[[#This Row],[Rateizzazione]],Table2[[#This Row],[Data ultimo pagamento]],Table2[[#This Row],[Data prossima scadenza manuale]]),"-")</f>
        <v>42960</v>
      </c>
      <c r="H1129" s="67" t="s">
        <v>31</v>
      </c>
      <c r="I1129" s="67" t="s">
        <v>1619</v>
      </c>
      <c r="J1129" s="33">
        <f>IFERROR(Table2[[#This Row],[Importo annuale]]/(12/VLOOKUP(Table2[[#This Row],[Rateizzazione]],TIPI_RATEIZZAZIONI,2,FALSE)),"-")</f>
        <v>697.43</v>
      </c>
      <c r="K1129" s="88">
        <v>697.43</v>
      </c>
      <c r="L1129" s="88">
        <v>1394.86</v>
      </c>
      <c r="M1129" s="67" t="s">
        <v>44</v>
      </c>
      <c r="N1129" s="67" t="s">
        <v>52</v>
      </c>
      <c r="O1129" s="27" t="s">
        <v>1631</v>
      </c>
      <c r="P1129" s="33" t="s">
        <v>22</v>
      </c>
      <c r="Q1129" s="60">
        <f>IFERROR(IF(12 / VLOOKUP(Table2[[#This Row],[Rateizzazione]],TIPI_RATEIZZAZIONI,2,FALSE) &gt;=1,  IF(Table2[[#This Row],[Data attivazione]] = "","-",MONTH(Table2[[#This Row],[Data attivazione]])),"-"),"-")</f>
        <v>8</v>
      </c>
      <c r="R11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9" s="67" t="s">
        <v>2</v>
      </c>
      <c r="V1129" s="62"/>
      <c r="W1129" s="64">
        <v>42595</v>
      </c>
      <c r="X1129" s="29">
        <f>DATE(YEAR(Table2[[#This Row],[Data attivazione]])+VLOOKUP(Table2[[#This Row],[Durata]],VALORE_DURATA,2,FALSE),MONTH(Table2[[#This Row],[Data attivazione]]),DAY(Table2[[#This Row],[Data attivazione]]))</f>
        <v>42960</v>
      </c>
      <c r="Y1129" s="65"/>
      <c r="Z1129" s="61"/>
      <c r="AA1129" s="64" t="s">
        <v>85</v>
      </c>
      <c r="AB1129" s="29" t="str">
        <f>IF(Table2[[#This Row],[Data ultimo versamento temp]]=0/1/1900,"-",Table2[[#This Row],[Data ultimo versamento temp]])</f>
        <v>-</v>
      </c>
      <c r="AC1129" s="29">
        <f t="array" ref="AC1129">MAX(IF(TableVersamenti[Polizza]=Table2[[#This Row],[Polizza]],TableVersamenti[Data prevista versamento],"-"))</f>
        <v>0</v>
      </c>
      <c r="AD1129" s="62"/>
      <c r="AE1129" s="106">
        <f>DATE(YEAR(Table2[[#This Row],[Data ultimo pagamento]]),MONTH(Table2[[#This Row],[Data ultimo pagamento]]), 1)</f>
        <v>42767</v>
      </c>
      <c r="AF1129" s="106">
        <f>DATE(YEAR(Table2[[#This Row],[Data prossima scadenza]]),MONTH(Table2[[#This Row],[Data prossima scadenza]]), 1)</f>
        <v>42948</v>
      </c>
      <c r="AG1129" s="33">
        <f>IFERROR(Table2[[#This Row],[Importo annuale]]*VLOOKUP(Table2[[#This Row],[Ramo]],RAMI_POLIZZA,2,FALSE),0)</f>
        <v>72.532719999999998</v>
      </c>
      <c r="AH1129" s="65" t="s">
        <v>113</v>
      </c>
      <c r="AI1129" s="63" t="str">
        <f>IFERROR(VLOOKUP(Table2[[#This Row],[Contraente]],Table1[[Nome/Ragione sociale]:[Checkbox selezionato]],2,FALSE),"-")</f>
        <v>BELGIOIOSO</v>
      </c>
      <c r="AJ1129" s="63">
        <f>IFERROR(VLOOKUP(Table2[[#This Row],[Contraente]],Table1[[Nome/Ragione sociale]:[Checkbox selezionato]],3,FALSE),"-")</f>
        <v>3463249908</v>
      </c>
      <c r="AK1129" s="63">
        <f>IFERROR(VLOOKUP(Table2[[#This Row],[Contraente]],Table1[[Nome/Ragione sociale]:[Checkbox selezionato]],4,FALSE),"-")</f>
        <v>0</v>
      </c>
      <c r="AL1129" s="63" t="str">
        <f>IFERROR(VLOOKUP(Table2[[#This Row],[Contraente]],Table1[[Nome/Ragione sociale]:[Checkbox selezionato]],5,FALSE),"-")</f>
        <v xml:space="preserve">FIGLIO LUIGI </v>
      </c>
      <c r="AM1129" s="62">
        <f>IFERROR(VLOOKUP(Table2[[#This Row],[Contraente]],Table1[[Nome/Ragione sociale]:[Checkbox selezionato]],6,FALSE),"-")</f>
        <v>10311</v>
      </c>
      <c r="AN1129" s="63" t="str">
        <f>IFERROR(VLOOKUP(Table2[[#This Row],[Contraente]],Table1[[Nome/Ragione sociale]:[Checkbox selezionato]],7,FALSE),"-")</f>
        <v>papies@libero.it</v>
      </c>
      <c r="AO1129" s="63">
        <f>IFERROR(VLOOKUP(Table2[[#This Row],[Contraente]],Table1[[Nome/Ragione sociale]:[Checkbox selezionato]],8,FALSE),"-")</f>
        <v>0</v>
      </c>
      <c r="AP1129" s="63">
        <f>IFERROR(VLOOKUP(Table2[[#This Row],[Contraente]],Table1[[Nome/Ragione sociale]:[Checkbox selezionato]],10,FALSE),"-")</f>
        <v>3463249908</v>
      </c>
      <c r="AQ1129" s="63" t="str">
        <f>IFERROR(VLOOKUP(Table2[[#This Row],[Contraente]],Table1[[Nome/Ragione sociale]:[Checkbox selezionato]],11,FALSE),"-")</f>
        <v>SI</v>
      </c>
      <c r="AR1129" s="63" t="str">
        <f>IFERROR(VLOOKUP(Table2[[#This Row],[Contraente]],Table1[[Nome/Ragione sociale]:[Checkbox selezionato]],12,FALSE),"-")</f>
        <v>SI</v>
      </c>
    </row>
    <row r="1130" spans="1:44" ht="30" hidden="1" customHeight="1" x14ac:dyDescent="0.25">
      <c r="A1130" s="60" t="str">
        <f>UPPER(LEFT(Table2[[#This Row],[Contraente]],1))</f>
        <v>Z</v>
      </c>
      <c r="B1130" s="60" t="s">
        <v>1634</v>
      </c>
      <c r="C1130" s="81" t="s">
        <v>1087</v>
      </c>
      <c r="D1130" s="81" t="s">
        <v>37</v>
      </c>
      <c r="E1130" s="86">
        <v>106607250</v>
      </c>
      <c r="F1130" s="64">
        <v>42803</v>
      </c>
      <c r="G1130" s="64">
        <f>IFERROR(CALCOLASCADENZA(Table2[[#This Row],[Data attivazione]],Table2[[#This Row],[Rateizzazione]],Table2[[#This Row],[Data ultimo pagamento]],Table2[[#This Row],[Data prossima scadenza manuale]]),"-")</f>
        <v>43168</v>
      </c>
      <c r="H1130" s="67" t="s">
        <v>31</v>
      </c>
      <c r="I1130" s="67" t="s">
        <v>1620</v>
      </c>
      <c r="J1130" s="33">
        <f>IFERROR(Table2[[#This Row],[Importo annuale]]/(12/VLOOKUP(Table2[[#This Row],[Rateizzazione]],TIPI_RATEIZZAZIONI,2,FALSE)),"-")</f>
        <v>1290</v>
      </c>
      <c r="K1130" s="88">
        <v>1290</v>
      </c>
      <c r="L1130" s="88">
        <v>1290</v>
      </c>
      <c r="M1130" s="67" t="s">
        <v>43</v>
      </c>
      <c r="N1130" s="67" t="s">
        <v>52</v>
      </c>
      <c r="O1130" s="27" t="s">
        <v>1631</v>
      </c>
      <c r="P1130" s="33" t="s">
        <v>23</v>
      </c>
      <c r="Q1130" s="60">
        <f>IFERROR(IF(12 / VLOOKUP(Table2[[#This Row],[Rateizzazione]],TIPI_RATEIZZAZIONI,2,FALSE) &gt;=1,  IF(Table2[[#This Row],[Data attivazione]] = "","-",MONTH(Table2[[#This Row],[Data attivazione]])),"-"),"-")</f>
        <v>3</v>
      </c>
      <c r="R11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0" s="67" t="s">
        <v>2</v>
      </c>
      <c r="V1130" s="62"/>
      <c r="W1130" s="64">
        <v>42803</v>
      </c>
      <c r="X1130" s="29">
        <f>DATE(YEAR(Table2[[#This Row],[Data attivazione]])+VLOOKUP(Table2[[#This Row],[Durata]],VALORE_DURATA,2,FALSE),MONTH(Table2[[#This Row],[Data attivazione]]),DAY(Table2[[#This Row],[Data attivazione]]))</f>
        <v>43168</v>
      </c>
      <c r="Y1130" s="65"/>
      <c r="Z1130" s="61"/>
      <c r="AA1130" s="64" t="s">
        <v>85</v>
      </c>
      <c r="AB1130" s="29" t="str">
        <f>IF(Table2[[#This Row],[Data ultimo versamento temp]]=0/1/1900,"-",Table2[[#This Row],[Data ultimo versamento temp]])</f>
        <v>-</v>
      </c>
      <c r="AC1130" s="29">
        <f t="array" ref="AC1130">MAX(IF(TableVersamenti[Polizza]=Table2[[#This Row],[Polizza]],TableVersamenti[Data prevista versamento],"-"))</f>
        <v>0</v>
      </c>
      <c r="AD1130" s="62"/>
      <c r="AE1130" s="106">
        <f>DATE(YEAR(Table2[[#This Row],[Data ultimo pagamento]]),MONTH(Table2[[#This Row],[Data ultimo pagamento]]), 1)</f>
        <v>42795</v>
      </c>
      <c r="AF1130" s="106">
        <f>DATE(YEAR(Table2[[#This Row],[Data prossima scadenza]]),MONTH(Table2[[#This Row],[Data prossima scadenza]]), 1)</f>
        <v>43160</v>
      </c>
      <c r="AG1130" s="33">
        <f>IFERROR(Table2[[#This Row],[Importo annuale]]*VLOOKUP(Table2[[#This Row],[Ramo]],RAMI_POLIZZA,2,FALSE),0)</f>
        <v>67.08</v>
      </c>
      <c r="AH1130" s="65" t="s">
        <v>113</v>
      </c>
      <c r="AI1130" s="63" t="str">
        <f>IFERROR(VLOOKUP(Table2[[#This Row],[Contraente]],Table1[[Nome/Ragione sociale]:[Checkbox selezionato]],2,FALSE),"-")</f>
        <v>STRADELLA</v>
      </c>
      <c r="AJ1130" s="63">
        <f>IFERROR(VLOOKUP(Table2[[#This Row],[Contraente]],Table1[[Nome/Ragione sociale]:[Checkbox selezionato]],3,FALSE),"-")</f>
        <v>3688047748</v>
      </c>
      <c r="AK1130" s="63">
        <f>IFERROR(VLOOKUP(Table2[[#This Row],[Contraente]],Table1[[Nome/Ragione sociale]:[Checkbox selezionato]],4,FALSE),"-")</f>
        <v>0</v>
      </c>
      <c r="AL1130" s="63" t="str">
        <f>IFERROR(VLOOKUP(Table2[[#This Row],[Contraente]],Table1[[Nome/Ragione sociale]:[Checkbox selezionato]],5,FALSE),"-")</f>
        <v>CINESE (RISTORANTE)</v>
      </c>
      <c r="AM1130" s="62" t="str">
        <f>IFERROR(VLOOKUP(Table2[[#This Row],[Contraente]],Table1[[Nome/Ragione sociale]:[Checkbox selezionato]],6,FALSE),"-")</f>
        <v>-</v>
      </c>
      <c r="AN1130" s="63" t="str">
        <f>IFERROR(VLOOKUP(Table2[[#This Row],[Contraente]],Table1[[Nome/Ragione sociale]:[Checkbox selezionato]],7,FALSE),"-")</f>
        <v>papies@libero.it</v>
      </c>
      <c r="AO1130" s="63">
        <f>IFERROR(VLOOKUP(Table2[[#This Row],[Contraente]],Table1[[Nome/Ragione sociale]:[Checkbox selezionato]],8,FALSE),"-")</f>
        <v>0</v>
      </c>
      <c r="AP1130" s="63">
        <f>IFERROR(VLOOKUP(Table2[[#This Row],[Contraente]],Table1[[Nome/Ragione sociale]:[Checkbox selezionato]],10,FALSE),"-")</f>
        <v>3688047748</v>
      </c>
      <c r="AQ1130" s="63" t="str">
        <f>IFERROR(VLOOKUP(Table2[[#This Row],[Contraente]],Table1[[Nome/Ragione sociale]:[Checkbox selezionato]],11,FALSE),"-")</f>
        <v>SI</v>
      </c>
      <c r="AR1130" s="63" t="str">
        <f>IFERROR(VLOOKUP(Table2[[#This Row],[Contraente]],Table1[[Nome/Ragione sociale]:[Checkbox selezionato]],12,FALSE),"-")</f>
        <v>SI</v>
      </c>
    </row>
    <row r="1131" spans="1:44" ht="30" hidden="1" customHeight="1" x14ac:dyDescent="0.25">
      <c r="A1131" s="60" t="str">
        <f>UPPER(LEFT(Table2[[#This Row],[Contraente]],1))</f>
        <v>Z</v>
      </c>
      <c r="B1131" s="60" t="s">
        <v>1634</v>
      </c>
      <c r="C1131" s="81" t="s">
        <v>1087</v>
      </c>
      <c r="D1131" s="81" t="s">
        <v>38</v>
      </c>
      <c r="E1131" s="86">
        <v>7000091709</v>
      </c>
      <c r="F1131" s="64">
        <v>42825</v>
      </c>
      <c r="G1131" s="64">
        <f>IFERROR(CALCOLASCADENZA(Table2[[#This Row],[Data attivazione]],Table2[[#This Row],[Rateizzazione]],Table2[[#This Row],[Data ultimo pagamento]],Table2[[#This Row],[Data prossima scadenza manuale]]),"-")</f>
        <v>43190</v>
      </c>
      <c r="H1131" s="67" t="s">
        <v>30</v>
      </c>
      <c r="I1131" s="67" t="s">
        <v>113</v>
      </c>
      <c r="J1131" s="33">
        <f>IFERROR(Table2[[#This Row],[Importo annuale]]/(12/VLOOKUP(Table2[[#This Row],[Rateizzazione]],TIPI_RATEIZZAZIONI,2,FALSE)),"-")</f>
        <v>634.38</v>
      </c>
      <c r="K1131" s="88">
        <v>634.38</v>
      </c>
      <c r="L1131" s="88">
        <v>634.38</v>
      </c>
      <c r="M1131" s="67" t="s">
        <v>43</v>
      </c>
      <c r="N1131" s="67" t="s">
        <v>52</v>
      </c>
      <c r="O1131" s="27" t="s">
        <v>1631</v>
      </c>
      <c r="P1131" s="33" t="s">
        <v>23</v>
      </c>
      <c r="Q1131" s="60">
        <f>IFERROR(IF(12 / VLOOKUP(Table2[[#This Row],[Rateizzazione]],TIPI_RATEIZZAZIONI,2,FALSE) &gt;=1,  IF(Table2[[#This Row],[Data attivazione]] = "","-",MONTH(Table2[[#This Row],[Data attivazione]])),"-"),"-")</f>
        <v>3</v>
      </c>
      <c r="R11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1" s="67" t="s">
        <v>2</v>
      </c>
      <c r="V1131" s="62"/>
      <c r="W1131" s="64">
        <v>42825</v>
      </c>
      <c r="X1131" s="29">
        <f>DATE(YEAR(Table2[[#This Row],[Data attivazione]])+VLOOKUP(Table2[[#This Row],[Durata]],VALORE_DURATA,2,FALSE),MONTH(Table2[[#This Row],[Data attivazione]]),DAY(Table2[[#This Row],[Data attivazione]]))</f>
        <v>43190</v>
      </c>
      <c r="Y1131" s="65"/>
      <c r="Z1131" s="61"/>
      <c r="AA1131" s="64" t="s">
        <v>85</v>
      </c>
      <c r="AB1131" s="29" t="str">
        <f>IF(Table2[[#This Row],[Data ultimo versamento temp]]=0/1/1900,"-",Table2[[#This Row],[Data ultimo versamento temp]])</f>
        <v>-</v>
      </c>
      <c r="AC1131" s="29">
        <f t="array" ref="AC1131">MAX(IF(TableVersamenti[Polizza]=Table2[[#This Row],[Polizza]],TableVersamenti[Data prevista versamento],"-"))</f>
        <v>0</v>
      </c>
      <c r="AD1131" s="62"/>
      <c r="AE1131" s="106">
        <f>DATE(YEAR(Table2[[#This Row],[Data ultimo pagamento]]),MONTH(Table2[[#This Row],[Data ultimo pagamento]]), 1)</f>
        <v>42795</v>
      </c>
      <c r="AF1131" s="106">
        <f>DATE(YEAR(Table2[[#This Row],[Data prossima scadenza]]),MONTH(Table2[[#This Row],[Data prossima scadenza]]), 1)</f>
        <v>43160</v>
      </c>
      <c r="AG1131" s="33">
        <f>IFERROR(Table2[[#This Row],[Importo annuale]]*VLOOKUP(Table2[[#This Row],[Ramo]],RAMI_POLIZZA,2,FALSE),0)</f>
        <v>72.953699999999998</v>
      </c>
      <c r="AH1131" s="65" t="s">
        <v>113</v>
      </c>
      <c r="AI1131" s="63" t="str">
        <f>IFERROR(VLOOKUP(Table2[[#This Row],[Contraente]],Table1[[Nome/Ragione sociale]:[Checkbox selezionato]],2,FALSE),"-")</f>
        <v>STRADELLA</v>
      </c>
      <c r="AJ1131" s="63">
        <f>IFERROR(VLOOKUP(Table2[[#This Row],[Contraente]],Table1[[Nome/Ragione sociale]:[Checkbox selezionato]],3,FALSE),"-")</f>
        <v>3688047748</v>
      </c>
      <c r="AK1131" s="63">
        <f>IFERROR(VLOOKUP(Table2[[#This Row],[Contraente]],Table1[[Nome/Ragione sociale]:[Checkbox selezionato]],4,FALSE),"-")</f>
        <v>0</v>
      </c>
      <c r="AL1131" s="63" t="str">
        <f>IFERROR(VLOOKUP(Table2[[#This Row],[Contraente]],Table1[[Nome/Ragione sociale]:[Checkbox selezionato]],5,FALSE),"-")</f>
        <v>CINESE (RISTORANTE)</v>
      </c>
      <c r="AM1131" s="62" t="str">
        <f>IFERROR(VLOOKUP(Table2[[#This Row],[Contraente]],Table1[[Nome/Ragione sociale]:[Checkbox selezionato]],6,FALSE),"-")</f>
        <v>-</v>
      </c>
      <c r="AN1131" s="63" t="str">
        <f>IFERROR(VLOOKUP(Table2[[#This Row],[Contraente]],Table1[[Nome/Ragione sociale]:[Checkbox selezionato]],7,FALSE),"-")</f>
        <v>papies@libero.it</v>
      </c>
      <c r="AO1131" s="63">
        <f>IFERROR(VLOOKUP(Table2[[#This Row],[Contraente]],Table1[[Nome/Ragione sociale]:[Checkbox selezionato]],8,FALSE),"-")</f>
        <v>0</v>
      </c>
      <c r="AP1131" s="63">
        <f>IFERROR(VLOOKUP(Table2[[#This Row],[Contraente]],Table1[[Nome/Ragione sociale]:[Checkbox selezionato]],10,FALSE),"-")</f>
        <v>3688047748</v>
      </c>
      <c r="AQ1131" s="63" t="str">
        <f>IFERROR(VLOOKUP(Table2[[#This Row],[Contraente]],Table1[[Nome/Ragione sociale]:[Checkbox selezionato]],11,FALSE),"-")</f>
        <v>SI</v>
      </c>
      <c r="AR1131" s="63" t="str">
        <f>IFERROR(VLOOKUP(Table2[[#This Row],[Contraente]],Table1[[Nome/Ragione sociale]:[Checkbox selezionato]],12,FALSE),"-")</f>
        <v>SI</v>
      </c>
    </row>
    <row r="1132" spans="1:44" ht="30" hidden="1" customHeight="1" x14ac:dyDescent="0.25">
      <c r="A1132" s="60" t="str">
        <f>UPPER(LEFT(Table2[[#This Row],[Contraente]],1))</f>
        <v>Z</v>
      </c>
      <c r="B1132" s="60" t="s">
        <v>1634</v>
      </c>
      <c r="C1132" s="81" t="s">
        <v>1089</v>
      </c>
      <c r="D1132" s="81" t="s">
        <v>37</v>
      </c>
      <c r="E1132" s="86">
        <v>104652652</v>
      </c>
      <c r="F1132" s="64">
        <v>42929</v>
      </c>
      <c r="G1132" s="64">
        <f>IFERROR(CALCOLASCADENZA(Table2[[#This Row],[Data attivazione]],Table2[[#This Row],[Rateizzazione]],Table2[[#This Row],[Data ultimo pagamento]],Table2[[#This Row],[Data prossima scadenza manuale]]),"-")</f>
        <v>43295</v>
      </c>
      <c r="H1132" s="67" t="s">
        <v>31</v>
      </c>
      <c r="I1132" s="67" t="s">
        <v>1621</v>
      </c>
      <c r="J1132" s="33">
        <f>IFERROR(Table2[[#This Row],[Importo annuale]]/(12/VLOOKUP(Table2[[#This Row],[Rateizzazione]],TIPI_RATEIZZAZIONI,2,FALSE)),"-")</f>
        <v>639</v>
      </c>
      <c r="K1132" s="88">
        <v>639</v>
      </c>
      <c r="L1132" s="88">
        <v>639</v>
      </c>
      <c r="M1132" s="67" t="s">
        <v>45</v>
      </c>
      <c r="N1132" s="67" t="s">
        <v>51</v>
      </c>
      <c r="O1132" s="27" t="s">
        <v>1631</v>
      </c>
      <c r="P1132" s="33" t="s">
        <v>23</v>
      </c>
      <c r="Q1132" s="60">
        <f>IFERROR(IF(12 / VLOOKUP(Table2[[#This Row],[Rateizzazione]],TIPI_RATEIZZAZIONI,2,FALSE) &gt;=1,  IF(Table2[[#This Row],[Data attivazione]] = "","-",MONTH(Table2[[#This Row],[Data attivazione]])),"-"),"-")</f>
        <v>7</v>
      </c>
      <c r="R11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2" s="67" t="s">
        <v>2</v>
      </c>
      <c r="V1132" s="62"/>
      <c r="W1132" s="64">
        <v>42930</v>
      </c>
      <c r="X1132" s="29">
        <f>DATE(YEAR(Table2[[#This Row],[Data attivazione]])+VLOOKUP(Table2[[#This Row],[Durata]],VALORE_DURATA,2,FALSE),MONTH(Table2[[#This Row],[Data attivazione]]),DAY(Table2[[#This Row],[Data attivazione]]))</f>
        <v>43295</v>
      </c>
      <c r="Y1132" s="65"/>
      <c r="Z1132" s="61"/>
      <c r="AA1132" s="64" t="s">
        <v>85</v>
      </c>
      <c r="AB1132" s="29">
        <f>IF(Table2[[#This Row],[Data ultimo versamento temp]]=0/1/1900,"-",Table2[[#This Row],[Data ultimo versamento temp]])</f>
        <v>42932</v>
      </c>
      <c r="AC1132" s="29">
        <f t="array" ref="AC1132">MAX(IF(TableVersamenti[Polizza]=Table2[[#This Row],[Polizza]],TableVersamenti[Data prevista versamento],"-"))</f>
        <v>42932</v>
      </c>
      <c r="AD1132" s="62"/>
      <c r="AE1132" s="106">
        <f>DATE(YEAR(Table2[[#This Row],[Data ultimo pagamento]]),MONTH(Table2[[#This Row],[Data ultimo pagamento]]), 1)</f>
        <v>42917</v>
      </c>
      <c r="AF1132" s="106">
        <f>DATE(YEAR(Table2[[#This Row],[Data prossima scadenza]]),MONTH(Table2[[#This Row],[Data prossima scadenza]]), 1)</f>
        <v>43282</v>
      </c>
      <c r="AG1132" s="33">
        <f>IFERROR(Table2[[#This Row],[Importo annuale]]*VLOOKUP(Table2[[#This Row],[Ramo]],RAMI_POLIZZA,2,FALSE),0)</f>
        <v>33.228000000000002</v>
      </c>
      <c r="AH1132" s="65" t="s">
        <v>113</v>
      </c>
      <c r="AI1132" s="63" t="str">
        <f>IFERROR(VLOOKUP(Table2[[#This Row],[Contraente]],Table1[[Nome/Ragione sociale]:[Checkbox selezionato]],2,FALSE),"-")</f>
        <v>SAN MARTINO SICCOMARIO</v>
      </c>
      <c r="AJ1132" s="63">
        <f>IFERROR(VLOOKUP(Table2[[#This Row],[Contraente]],Table1[[Nome/Ragione sociale]:[Checkbox selezionato]],3,FALSE),"-")</f>
        <v>3356947192</v>
      </c>
      <c r="AK1132" s="63">
        <f>IFERROR(VLOOKUP(Table2[[#This Row],[Contraente]],Table1[[Nome/Ragione sociale]:[Checkbox selezionato]],4,FALSE),"-")</f>
        <v>0</v>
      </c>
      <c r="AL1132" s="63" t="str">
        <f>IFERROR(VLOOKUP(Table2[[#This Row],[Contraente]],Table1[[Nome/Ragione sociale]:[Checkbox selezionato]],5,FALSE),"-")</f>
        <v>ALESSANDRO</v>
      </c>
      <c r="AM1132" s="62">
        <f>IFERROR(VLOOKUP(Table2[[#This Row],[Contraente]],Table1[[Nome/Ragione sociale]:[Checkbox selezionato]],6,FALSE),"-")</f>
        <v>24368</v>
      </c>
      <c r="AN1132" s="63" t="str">
        <f>IFERROR(VLOOKUP(Table2[[#This Row],[Contraente]],Table1[[Nome/Ragione sociale]:[Checkbox selezionato]],7,FALSE),"-")</f>
        <v>papies@email.it</v>
      </c>
      <c r="AO1132" s="63">
        <f>IFERROR(VLOOKUP(Table2[[#This Row],[Contraente]],Table1[[Nome/Ragione sociale]:[Checkbox selezionato]],8,FALSE),"-")</f>
        <v>0</v>
      </c>
      <c r="AP1132" s="63">
        <f>IFERROR(VLOOKUP(Table2[[#This Row],[Contraente]],Table1[[Nome/Ragione sociale]:[Checkbox selezionato]],10,FALSE),"-")</f>
        <v>3356947192</v>
      </c>
      <c r="AQ1132" s="63" t="str">
        <f>IFERROR(VLOOKUP(Table2[[#This Row],[Contraente]],Table1[[Nome/Ragione sociale]:[Checkbox selezionato]],11,FALSE),"-")</f>
        <v>SI</v>
      </c>
      <c r="AR1132" s="63" t="str">
        <f>IFERROR(VLOOKUP(Table2[[#This Row],[Contraente]],Table1[[Nome/Ragione sociale]:[Checkbox selezionato]],12,FALSE),"-")</f>
        <v>SI</v>
      </c>
    </row>
    <row r="1133" spans="1:44" ht="30" hidden="1" customHeight="1" x14ac:dyDescent="0.25">
      <c r="A1133" s="60" t="str">
        <f>UPPER(LEFT(Table2[[#This Row],[Contraente]],1))</f>
        <v>Z</v>
      </c>
      <c r="B1133" s="60" t="s">
        <v>1634</v>
      </c>
      <c r="C1133" s="81" t="s">
        <v>1089</v>
      </c>
      <c r="D1133" s="81" t="s">
        <v>37</v>
      </c>
      <c r="E1133" s="86">
        <v>107107880</v>
      </c>
      <c r="F1133" s="64">
        <v>42929</v>
      </c>
      <c r="G1133" s="64">
        <f>IFERROR(CALCOLASCADENZA(Table2[[#This Row],[Data attivazione]],Table2[[#This Row],[Rateizzazione]],Table2[[#This Row],[Data ultimo pagamento]],Table2[[#This Row],[Data prossima scadenza manuale]]),"-")</f>
        <v>43295</v>
      </c>
      <c r="H1133" s="67" t="s">
        <v>30</v>
      </c>
      <c r="I1133" s="67" t="s">
        <v>113</v>
      </c>
      <c r="J1133" s="33">
        <f>IFERROR(Table2[[#This Row],[Importo annuale]]/(12/VLOOKUP(Table2[[#This Row],[Rateizzazione]],TIPI_RATEIZZAZIONI,2,FALSE)),"-")</f>
        <v>80</v>
      </c>
      <c r="K1133" s="88">
        <v>80</v>
      </c>
      <c r="L1133" s="88">
        <v>80</v>
      </c>
      <c r="M1133" s="67" t="s">
        <v>45</v>
      </c>
      <c r="N1133" s="67" t="s">
        <v>51</v>
      </c>
      <c r="O1133" s="27" t="s">
        <v>1631</v>
      </c>
      <c r="P1133" s="33" t="s">
        <v>23</v>
      </c>
      <c r="Q1133" s="60">
        <f>IFERROR(IF(12 / VLOOKUP(Table2[[#This Row],[Rateizzazione]],TIPI_RATEIZZAZIONI,2,FALSE) &gt;=1,  IF(Table2[[#This Row],[Data attivazione]] = "","-",MONTH(Table2[[#This Row],[Data attivazione]])),"-"),"-")</f>
        <v>7</v>
      </c>
      <c r="R11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3" s="67" t="s">
        <v>2</v>
      </c>
      <c r="V1133" s="62"/>
      <c r="W1133" s="64">
        <v>42930</v>
      </c>
      <c r="X1133" s="29">
        <f>DATE(YEAR(Table2[[#This Row],[Data attivazione]])+VLOOKUP(Table2[[#This Row],[Durata]],VALORE_DURATA,2,FALSE),MONTH(Table2[[#This Row],[Data attivazione]]),DAY(Table2[[#This Row],[Data attivazione]]))</f>
        <v>43295</v>
      </c>
      <c r="Y1133" s="65"/>
      <c r="Z1133" s="61"/>
      <c r="AA1133" s="64" t="s">
        <v>85</v>
      </c>
      <c r="AB1133" s="29">
        <f>IF(Table2[[#This Row],[Data ultimo versamento temp]]=0/1/1900,"-",Table2[[#This Row],[Data ultimo versamento temp]])</f>
        <v>42932</v>
      </c>
      <c r="AC1133" s="29">
        <f t="array" ref="AC1133">MAX(IF(TableVersamenti[Polizza]=Table2[[#This Row],[Polizza]],TableVersamenti[Data prevista versamento],"-"))</f>
        <v>42932</v>
      </c>
      <c r="AD1133" s="62"/>
      <c r="AE1133" s="106">
        <f>DATE(YEAR(Table2[[#This Row],[Data ultimo pagamento]]),MONTH(Table2[[#This Row],[Data ultimo pagamento]]), 1)</f>
        <v>42917</v>
      </c>
      <c r="AF1133" s="106">
        <f>DATE(YEAR(Table2[[#This Row],[Data prossima scadenza]]),MONTH(Table2[[#This Row],[Data prossima scadenza]]), 1)</f>
        <v>43282</v>
      </c>
      <c r="AG1133" s="33">
        <f>IFERROR(Table2[[#This Row],[Importo annuale]]*VLOOKUP(Table2[[#This Row],[Ramo]],RAMI_POLIZZA,2,FALSE),0)</f>
        <v>9.2000000000000011</v>
      </c>
      <c r="AH1133" s="65" t="s">
        <v>113</v>
      </c>
      <c r="AI1133" s="63" t="str">
        <f>IFERROR(VLOOKUP(Table2[[#This Row],[Contraente]],Table1[[Nome/Ragione sociale]:[Checkbox selezionato]],2,FALSE),"-")</f>
        <v>SAN MARTINO SICCOMARIO</v>
      </c>
      <c r="AJ1133" s="63">
        <f>IFERROR(VLOOKUP(Table2[[#This Row],[Contraente]],Table1[[Nome/Ragione sociale]:[Checkbox selezionato]],3,FALSE),"-")</f>
        <v>3356947192</v>
      </c>
      <c r="AK1133" s="63">
        <f>IFERROR(VLOOKUP(Table2[[#This Row],[Contraente]],Table1[[Nome/Ragione sociale]:[Checkbox selezionato]],4,FALSE),"-")</f>
        <v>0</v>
      </c>
      <c r="AL1133" s="63" t="str">
        <f>IFERROR(VLOOKUP(Table2[[#This Row],[Contraente]],Table1[[Nome/Ragione sociale]:[Checkbox selezionato]],5,FALSE),"-")</f>
        <v>ALESSANDRO</v>
      </c>
      <c r="AM1133" s="62">
        <f>IFERROR(VLOOKUP(Table2[[#This Row],[Contraente]],Table1[[Nome/Ragione sociale]:[Checkbox selezionato]],6,FALSE),"-")</f>
        <v>24368</v>
      </c>
      <c r="AN1133" s="63" t="str">
        <f>IFERROR(VLOOKUP(Table2[[#This Row],[Contraente]],Table1[[Nome/Ragione sociale]:[Checkbox selezionato]],7,FALSE),"-")</f>
        <v>papies@email.it</v>
      </c>
      <c r="AO1133" s="63">
        <f>IFERROR(VLOOKUP(Table2[[#This Row],[Contraente]],Table1[[Nome/Ragione sociale]:[Checkbox selezionato]],8,FALSE),"-")</f>
        <v>0</v>
      </c>
      <c r="AP1133" s="63">
        <f>IFERROR(VLOOKUP(Table2[[#This Row],[Contraente]],Table1[[Nome/Ragione sociale]:[Checkbox selezionato]],10,FALSE),"-")</f>
        <v>3356947192</v>
      </c>
      <c r="AQ1133" s="63" t="str">
        <f>IFERROR(VLOOKUP(Table2[[#This Row],[Contraente]],Table1[[Nome/Ragione sociale]:[Checkbox selezionato]],11,FALSE),"-")</f>
        <v>SI</v>
      </c>
      <c r="AR1133" s="63" t="str">
        <f>IFERROR(VLOOKUP(Table2[[#This Row],[Contraente]],Table1[[Nome/Ragione sociale]:[Checkbox selezionato]],12,FALSE),"-")</f>
        <v>SI</v>
      </c>
    </row>
    <row r="1134" spans="1:44" ht="30" hidden="1" customHeight="1" x14ac:dyDescent="0.25">
      <c r="A1134" s="60" t="str">
        <f>UPPER(LEFT(Table2[[#This Row],[Contraente]],1))</f>
        <v>Z</v>
      </c>
      <c r="B1134" s="60" t="s">
        <v>1634</v>
      </c>
      <c r="C1134" s="81" t="s">
        <v>1089</v>
      </c>
      <c r="D1134" s="81" t="s">
        <v>37</v>
      </c>
      <c r="E1134" s="86">
        <v>104940533</v>
      </c>
      <c r="F1134" s="64">
        <v>42667</v>
      </c>
      <c r="G1134" s="64">
        <f>IFERROR(CALCOLASCADENZA(Table2[[#This Row],[Data attivazione]],Table2[[#This Row],[Rateizzazione]],Table2[[#This Row],[Data ultimo pagamento]],Table2[[#This Row],[Data prossima scadenza manuale]]),"-")</f>
        <v>43023</v>
      </c>
      <c r="H1134" s="67" t="s">
        <v>1629</v>
      </c>
      <c r="I1134" s="67" t="s">
        <v>113</v>
      </c>
      <c r="J1134" s="33">
        <f>IFERROR(Table2[[#This Row],[Importo annuale]]/(12/VLOOKUP(Table2[[#This Row],[Rateizzazione]],TIPI_RATEIZZAZIONI,2,FALSE)),"-")</f>
        <v>110</v>
      </c>
      <c r="K1134" s="88"/>
      <c r="L1134" s="88">
        <v>110</v>
      </c>
      <c r="M1134" s="67" t="s">
        <v>45</v>
      </c>
      <c r="N1134" s="67" t="s">
        <v>51</v>
      </c>
      <c r="O1134" s="27" t="s">
        <v>1631</v>
      </c>
      <c r="P1134" s="33" t="s">
        <v>23</v>
      </c>
      <c r="Q1134" s="60">
        <f>IFERROR(IF(12 / VLOOKUP(Table2[[#This Row],[Rateizzazione]],TIPI_RATEIZZAZIONI,2,FALSE) &gt;=1,  IF(Table2[[#This Row],[Data attivazione]] = "","-",MONTH(Table2[[#This Row],[Data attivazione]])),"-"),"-")</f>
        <v>10</v>
      </c>
      <c r="R11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4" s="67" t="s">
        <v>2</v>
      </c>
      <c r="V1134" s="62"/>
      <c r="W1134" s="64">
        <v>42658</v>
      </c>
      <c r="X1134" s="29">
        <f>DATE(YEAR(Table2[[#This Row],[Data attivazione]])+VLOOKUP(Table2[[#This Row],[Durata]],VALORE_DURATA,2,FALSE),MONTH(Table2[[#This Row],[Data attivazione]]),DAY(Table2[[#This Row],[Data attivazione]]))</f>
        <v>43023</v>
      </c>
      <c r="Y1134" s="65"/>
      <c r="Z1134" s="61"/>
      <c r="AA1134" s="64" t="s">
        <v>85</v>
      </c>
      <c r="AB1134" s="29" t="str">
        <f>IF(Table2[[#This Row],[Data ultimo versamento temp]]=0/1/1900,"-",Table2[[#This Row],[Data ultimo versamento temp]])</f>
        <v>-</v>
      </c>
      <c r="AC1134" s="29">
        <f t="array" ref="AC1134">MAX(IF(TableVersamenti[Polizza]=Table2[[#This Row],[Polizza]],TableVersamenti[Data prevista versamento],"-"))</f>
        <v>0</v>
      </c>
      <c r="AD1134" s="62"/>
      <c r="AE1134" s="106">
        <f>DATE(YEAR(Table2[[#This Row],[Data ultimo pagamento]]),MONTH(Table2[[#This Row],[Data ultimo pagamento]]), 1)</f>
        <v>42644</v>
      </c>
      <c r="AF1134" s="106">
        <f>DATE(YEAR(Table2[[#This Row],[Data prossima scadenza]]),MONTH(Table2[[#This Row],[Data prossima scadenza]]), 1)</f>
        <v>43009</v>
      </c>
      <c r="AG1134" s="33">
        <f>IFERROR(Table2[[#This Row],[Importo annuale]]*VLOOKUP(Table2[[#This Row],[Ramo]],RAMI_POLIZZA,2,FALSE),0)</f>
        <v>0</v>
      </c>
      <c r="AH1134" s="65" t="s">
        <v>113</v>
      </c>
      <c r="AI1134" s="63" t="str">
        <f>IFERROR(VLOOKUP(Table2[[#This Row],[Contraente]],Table1[[Nome/Ragione sociale]:[Checkbox selezionato]],2,FALSE),"-")</f>
        <v>SAN MARTINO SICCOMARIO</v>
      </c>
      <c r="AJ1134" s="63">
        <f>IFERROR(VLOOKUP(Table2[[#This Row],[Contraente]],Table1[[Nome/Ragione sociale]:[Checkbox selezionato]],3,FALSE),"-")</f>
        <v>3356947192</v>
      </c>
      <c r="AK1134" s="63">
        <f>IFERROR(VLOOKUP(Table2[[#This Row],[Contraente]],Table1[[Nome/Ragione sociale]:[Checkbox selezionato]],4,FALSE),"-")</f>
        <v>0</v>
      </c>
      <c r="AL1134" s="63" t="str">
        <f>IFERROR(VLOOKUP(Table2[[#This Row],[Contraente]],Table1[[Nome/Ragione sociale]:[Checkbox selezionato]],5,FALSE),"-")</f>
        <v>ALESSANDRO</v>
      </c>
      <c r="AM1134" s="62">
        <f>IFERROR(VLOOKUP(Table2[[#This Row],[Contraente]],Table1[[Nome/Ragione sociale]:[Checkbox selezionato]],6,FALSE),"-")</f>
        <v>24368</v>
      </c>
      <c r="AN1134" s="63" t="str">
        <f>IFERROR(VLOOKUP(Table2[[#This Row],[Contraente]],Table1[[Nome/Ragione sociale]:[Checkbox selezionato]],7,FALSE),"-")</f>
        <v>papies@email.it</v>
      </c>
      <c r="AO1134" s="63">
        <f>IFERROR(VLOOKUP(Table2[[#This Row],[Contraente]],Table1[[Nome/Ragione sociale]:[Checkbox selezionato]],8,FALSE),"-")</f>
        <v>0</v>
      </c>
      <c r="AP1134" s="63">
        <f>IFERROR(VLOOKUP(Table2[[#This Row],[Contraente]],Table1[[Nome/Ragione sociale]:[Checkbox selezionato]],10,FALSE),"-")</f>
        <v>3356947192</v>
      </c>
      <c r="AQ1134" s="63" t="str">
        <f>IFERROR(VLOOKUP(Table2[[#This Row],[Contraente]],Table1[[Nome/Ragione sociale]:[Checkbox selezionato]],11,FALSE),"-")</f>
        <v>SI</v>
      </c>
      <c r="AR1134" s="63" t="str">
        <f>IFERROR(VLOOKUP(Table2[[#This Row],[Contraente]],Table1[[Nome/Ragione sociale]:[Checkbox selezionato]],12,FALSE),"-")</f>
        <v>SI</v>
      </c>
    </row>
    <row r="1135" spans="1:44" ht="30" hidden="1" customHeight="1" x14ac:dyDescent="0.25">
      <c r="A1135" s="60" t="str">
        <f>UPPER(LEFT(Table2[[#This Row],[Contraente]],1))</f>
        <v>Z</v>
      </c>
      <c r="B1135" s="60" t="s">
        <v>1634</v>
      </c>
      <c r="C1135" s="47" t="s">
        <v>1089</v>
      </c>
      <c r="D1135" s="113" t="s">
        <v>37</v>
      </c>
      <c r="E1135" s="114">
        <v>104940598</v>
      </c>
      <c r="F1135" s="64">
        <v>42667</v>
      </c>
      <c r="G1135" s="64">
        <f>IFERROR(CALCOLASCADENZA(Table2[[#This Row],[Data attivazione]],Table2[[#This Row],[Rateizzazione]],Table2[[#This Row],[Data ultimo pagamento]],Table2[[#This Row],[Data prossima scadenza manuale]]),"-")</f>
        <v>43023</v>
      </c>
      <c r="H1135" s="67" t="s">
        <v>30</v>
      </c>
      <c r="I1135" s="67" t="s">
        <v>113</v>
      </c>
      <c r="J1135" s="33">
        <f>IFERROR(Table2[[#This Row],[Importo annuale]]/(12/VLOOKUP(Table2[[#This Row],[Rateizzazione]],TIPI_RATEIZZAZIONI,2,FALSE)),"-")</f>
        <v>400</v>
      </c>
      <c r="K1135" s="88"/>
      <c r="L1135" s="88">
        <v>400</v>
      </c>
      <c r="M1135" s="67" t="s">
        <v>45</v>
      </c>
      <c r="N1135" s="67" t="s">
        <v>51</v>
      </c>
      <c r="O1135" s="27" t="s">
        <v>1631</v>
      </c>
      <c r="P1135" s="33" t="s">
        <v>23</v>
      </c>
      <c r="Q1135" s="60">
        <f>IFERROR(IF(12 / VLOOKUP(Table2[[#This Row],[Rateizzazione]],TIPI_RATEIZZAZIONI,2,FALSE) &gt;=1,  IF(Table2[[#This Row],[Data attivazione]] = "","-",MONTH(Table2[[#This Row],[Data attivazione]])),"-"),"-")</f>
        <v>10</v>
      </c>
      <c r="R11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5" s="67" t="s">
        <v>2</v>
      </c>
      <c r="V1135" s="62"/>
      <c r="W1135" s="64">
        <v>42658</v>
      </c>
      <c r="X1135" s="29">
        <f>DATE(YEAR(Table2[[#This Row],[Data attivazione]])+VLOOKUP(Table2[[#This Row],[Durata]],VALORE_DURATA,2,FALSE),MONTH(Table2[[#This Row],[Data attivazione]]),DAY(Table2[[#This Row],[Data attivazione]]))</f>
        <v>43023</v>
      </c>
      <c r="Y1135" s="65"/>
      <c r="Z1135" s="61"/>
      <c r="AA1135" s="67" t="s">
        <v>85</v>
      </c>
      <c r="AB1135" s="29" t="str">
        <f>IF(Table2[[#This Row],[Data ultimo versamento temp]]=0/1/1900,"-",Table2[[#This Row],[Data ultimo versamento temp]])</f>
        <v>-</v>
      </c>
      <c r="AC1135" s="29">
        <f t="array" ref="AC1135">MAX(IF(TableVersamenti[Polizza]=Table2[[#This Row],[Polizza]],TableVersamenti[Data prevista versamento],"-"))</f>
        <v>0</v>
      </c>
      <c r="AD1135" s="62"/>
      <c r="AE1135" s="106">
        <f>DATE(YEAR(Table2[[#This Row],[Data ultimo pagamento]]),MONTH(Table2[[#This Row],[Data ultimo pagamento]]), 1)</f>
        <v>42644</v>
      </c>
      <c r="AF1135" s="106">
        <f>DATE(YEAR(Table2[[#This Row],[Data prossima scadenza]]),MONTH(Table2[[#This Row],[Data prossima scadenza]]), 1)</f>
        <v>43009</v>
      </c>
      <c r="AG1135" s="103">
        <f>IFERROR(Table2[[#This Row],[Importo annuale]]*VLOOKUP(Table2[[#This Row],[Ramo]],RAMI_POLIZZA,2,FALSE),0)</f>
        <v>46</v>
      </c>
      <c r="AH1135" s="65" t="s">
        <v>113</v>
      </c>
      <c r="AI1135" s="63" t="str">
        <f>IFERROR(VLOOKUP(Table2[[#This Row],[Contraente]],Table1[[Nome/Ragione sociale]:[Checkbox selezionato]],2,FALSE),"-")</f>
        <v>SAN MARTINO SICCOMARIO</v>
      </c>
      <c r="AJ1135" s="63">
        <f>IFERROR(VLOOKUP(Table2[[#This Row],[Contraente]],Table1[[Nome/Ragione sociale]:[Checkbox selezionato]],3,FALSE),"-")</f>
        <v>3356947192</v>
      </c>
      <c r="AK1135" s="63">
        <f>IFERROR(VLOOKUP(Table2[[#This Row],[Contraente]],Table1[[Nome/Ragione sociale]:[Checkbox selezionato]],4,FALSE),"-")</f>
        <v>0</v>
      </c>
      <c r="AL1135" s="63" t="str">
        <f>IFERROR(VLOOKUP(Table2[[#This Row],[Contraente]],Table1[[Nome/Ragione sociale]:[Checkbox selezionato]],5,FALSE),"-")</f>
        <v>ALESSANDRO</v>
      </c>
      <c r="AM1135" s="62">
        <f>IFERROR(VLOOKUP(Table2[[#This Row],[Contraente]],Table1[[Nome/Ragione sociale]:[Checkbox selezionato]],6,FALSE),"-")</f>
        <v>24368</v>
      </c>
      <c r="AN1135" s="63" t="str">
        <f>IFERROR(VLOOKUP(Table2[[#This Row],[Contraente]],Table1[[Nome/Ragione sociale]:[Checkbox selezionato]],7,FALSE),"-")</f>
        <v>papies@email.it</v>
      </c>
      <c r="AO1135" s="63">
        <f>IFERROR(VLOOKUP(Table2[[#This Row],[Contraente]],Table1[[Nome/Ragione sociale]:[Checkbox selezionato]],8,FALSE),"-")</f>
        <v>0</v>
      </c>
      <c r="AP1135" s="63">
        <f>IFERROR(VLOOKUP(Table2[[#This Row],[Contraente]],Table1[[Nome/Ragione sociale]:[Checkbox selezionato]],10,FALSE),"-")</f>
        <v>3356947192</v>
      </c>
      <c r="AQ1135" s="63" t="str">
        <f>IFERROR(VLOOKUP(Table2[[#This Row],[Contraente]],Table1[[Nome/Ragione sociale]:[Checkbox selezionato]],11,FALSE),"-")</f>
        <v>SI</v>
      </c>
      <c r="AR1135" s="63" t="str">
        <f>IFERROR(VLOOKUP(Table2[[#This Row],[Contraente]],Table1[[Nome/Ragione sociale]:[Checkbox selezionato]],12,FALSE),"-")</f>
        <v>SI</v>
      </c>
    </row>
    <row r="1136" spans="1:44" ht="30" hidden="1" customHeight="1" x14ac:dyDescent="0.25">
      <c r="A1136" s="60" t="str">
        <f>UPPER(LEFT(Table2[[#This Row],[Contraente]],1))</f>
        <v>Z</v>
      </c>
      <c r="B1136" s="60" t="s">
        <v>1634</v>
      </c>
      <c r="C1136" s="94" t="s">
        <v>1089</v>
      </c>
      <c r="D1136" s="98" t="s">
        <v>37</v>
      </c>
      <c r="E1136" s="99">
        <v>9037305</v>
      </c>
      <c r="F1136" s="64">
        <v>42754</v>
      </c>
      <c r="G1136" s="64">
        <f>IFERROR(CALCOLASCADENZA(Table2[[#This Row],[Data attivazione]],Table2[[#This Row],[Rateizzazione]],Table2[[#This Row],[Data ultimo pagamento]],Table2[[#This Row],[Data prossima scadenza manuale]]),"-")</f>
        <v>43120</v>
      </c>
      <c r="H1136" s="67" t="s">
        <v>32</v>
      </c>
      <c r="I1136" s="67" t="s">
        <v>113</v>
      </c>
      <c r="J1136" s="33">
        <f>IFERROR(Table2[[#This Row],[Importo annuale]]/(12/VLOOKUP(Table2[[#This Row],[Rateizzazione]],TIPI_RATEIZZAZIONI,2,FALSE)),"-")</f>
        <v>388</v>
      </c>
      <c r="K1136" s="88">
        <v>388</v>
      </c>
      <c r="L1136" s="88">
        <v>388</v>
      </c>
      <c r="M1136" s="67" t="s">
        <v>45</v>
      </c>
      <c r="N1136" s="67" t="s">
        <v>51</v>
      </c>
      <c r="O1136" s="27" t="s">
        <v>1632</v>
      </c>
      <c r="P1136" s="33" t="s">
        <v>23</v>
      </c>
      <c r="Q1136" s="60">
        <f>IFERROR(IF(12 / VLOOKUP(Table2[[#This Row],[Rateizzazione]],TIPI_RATEIZZAZIONI,2,FALSE) &gt;=1,  IF(Table2[[#This Row],[Data attivazione]] = "","-",MONTH(Table2[[#This Row],[Data attivazione]])),"-"),"-")</f>
        <v>1</v>
      </c>
      <c r="R11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6" s="67" t="s">
        <v>2</v>
      </c>
      <c r="V1136" s="62"/>
      <c r="W1136" s="64">
        <v>39467</v>
      </c>
      <c r="X1136" s="29">
        <f>DATE(YEAR(Table2[[#This Row],[Data attivazione]])+VLOOKUP(Table2[[#This Row],[Durata]],VALORE_DURATA,2,FALSE),MONTH(Table2[[#This Row],[Data attivazione]]),DAY(Table2[[#This Row],[Data attivazione]]))</f>
        <v>43120</v>
      </c>
      <c r="Y1136" s="65"/>
      <c r="Z1136" s="61"/>
      <c r="AA1136" s="67" t="s">
        <v>85</v>
      </c>
      <c r="AB1136" s="29" t="str">
        <f>IF(Table2[[#This Row],[Data ultimo versamento temp]]=0/1/1900,"-",Table2[[#This Row],[Data ultimo versamento temp]])</f>
        <v>-</v>
      </c>
      <c r="AC1136" s="29">
        <f t="array" ref="AC1136">MAX(IF(TableVersamenti[Polizza]=Table2[[#This Row],[Polizza]],TableVersamenti[Data prevista versamento],"-"))</f>
        <v>0</v>
      </c>
      <c r="AD1136" s="62"/>
      <c r="AE1136" s="106">
        <f>DATE(YEAR(Table2[[#This Row],[Data ultimo pagamento]]),MONTH(Table2[[#This Row],[Data ultimo pagamento]]), 1)</f>
        <v>42736</v>
      </c>
      <c r="AF1136" s="106">
        <f>DATE(YEAR(Table2[[#This Row],[Data prossima scadenza]]),MONTH(Table2[[#This Row],[Data prossima scadenza]]), 1)</f>
        <v>43101</v>
      </c>
      <c r="AG1136" s="103">
        <f>IFERROR(Table2[[#This Row],[Importo annuale]]*VLOOKUP(Table2[[#This Row],[Ramo]],RAMI_POLIZZA,2,FALSE),0)</f>
        <v>5.8199999999999994</v>
      </c>
      <c r="AH1136" s="65" t="s">
        <v>113</v>
      </c>
      <c r="AI1136" s="63" t="str">
        <f>IFERROR(VLOOKUP(Table2[[#This Row],[Contraente]],Table1[[Nome/Ragione sociale]:[Checkbox selezionato]],2,FALSE),"-")</f>
        <v>SAN MARTINO SICCOMARIO</v>
      </c>
      <c r="AJ1136" s="63">
        <f>IFERROR(VLOOKUP(Table2[[#This Row],[Contraente]],Table1[[Nome/Ragione sociale]:[Checkbox selezionato]],3,FALSE),"-")</f>
        <v>3356947192</v>
      </c>
      <c r="AK1136" s="63">
        <f>IFERROR(VLOOKUP(Table2[[#This Row],[Contraente]],Table1[[Nome/Ragione sociale]:[Checkbox selezionato]],4,FALSE),"-")</f>
        <v>0</v>
      </c>
      <c r="AL1136" s="63" t="str">
        <f>IFERROR(VLOOKUP(Table2[[#This Row],[Contraente]],Table1[[Nome/Ragione sociale]:[Checkbox selezionato]],5,FALSE),"-")</f>
        <v>ALESSANDRO</v>
      </c>
      <c r="AM1136" s="62">
        <f>IFERROR(VLOOKUP(Table2[[#This Row],[Contraente]],Table1[[Nome/Ragione sociale]:[Checkbox selezionato]],6,FALSE),"-")</f>
        <v>24368</v>
      </c>
      <c r="AN1136" s="63" t="str">
        <f>IFERROR(VLOOKUP(Table2[[#This Row],[Contraente]],Table1[[Nome/Ragione sociale]:[Checkbox selezionato]],7,FALSE),"-")</f>
        <v>papies@email.it</v>
      </c>
      <c r="AO1136" s="63">
        <f>IFERROR(VLOOKUP(Table2[[#This Row],[Contraente]],Table1[[Nome/Ragione sociale]:[Checkbox selezionato]],8,FALSE),"-")</f>
        <v>0</v>
      </c>
      <c r="AP1136" s="63">
        <f>IFERROR(VLOOKUP(Table2[[#This Row],[Contraente]],Table1[[Nome/Ragione sociale]:[Checkbox selezionato]],10,FALSE),"-")</f>
        <v>3356947192</v>
      </c>
      <c r="AQ1136" s="63" t="str">
        <f>IFERROR(VLOOKUP(Table2[[#This Row],[Contraente]],Table1[[Nome/Ragione sociale]:[Checkbox selezionato]],11,FALSE),"-")</f>
        <v>SI</v>
      </c>
      <c r="AR1136" s="63" t="str">
        <f>IFERROR(VLOOKUP(Table2[[#This Row],[Contraente]],Table1[[Nome/Ragione sociale]:[Checkbox selezionato]],12,FALSE),"-")</f>
        <v>SI</v>
      </c>
    </row>
    <row r="1137" spans="1:44" ht="30" hidden="1" customHeight="1" x14ac:dyDescent="0.25">
      <c r="A1137" s="60" t="str">
        <f>UPPER(LEFT(Table2[[#This Row],[Contraente]],1))</f>
        <v>Z</v>
      </c>
      <c r="B1137" s="60" t="s">
        <v>1634</v>
      </c>
      <c r="C1137" s="97" t="s">
        <v>1092</v>
      </c>
      <c r="D1137" s="98" t="s">
        <v>37</v>
      </c>
      <c r="E1137" s="99">
        <v>106212973</v>
      </c>
      <c r="F1137" s="64">
        <v>42879</v>
      </c>
      <c r="G1137" s="64">
        <f>IFERROR(CALCOLASCADENZA(Table2[[#This Row],[Data attivazione]],Table2[[#This Row],[Rateizzazione]],Table2[[#This Row],[Data ultimo pagamento]],Table2[[#This Row],[Data prossima scadenza manuale]]),"-")</f>
        <v>43049</v>
      </c>
      <c r="H1137" s="67" t="s">
        <v>31</v>
      </c>
      <c r="I1137" s="67" t="s">
        <v>1623</v>
      </c>
      <c r="J1137" s="33">
        <f>IFERROR(Table2[[#This Row],[Importo annuale]]/(12/VLOOKUP(Table2[[#This Row],[Rateizzazione]],TIPI_RATEIZZAZIONI,2,FALSE)),"-")</f>
        <v>260</v>
      </c>
      <c r="K1137" s="88">
        <v>260</v>
      </c>
      <c r="L1137" s="88">
        <v>520</v>
      </c>
      <c r="M1137" s="67" t="s">
        <v>43</v>
      </c>
      <c r="N1137" s="67" t="s">
        <v>52</v>
      </c>
      <c r="O1137" s="27" t="s">
        <v>1631</v>
      </c>
      <c r="P1137" s="67" t="s">
        <v>22</v>
      </c>
      <c r="Q1137" s="60">
        <f>IFERROR(IF(12 / VLOOKUP(Table2[[#This Row],[Rateizzazione]],TIPI_RATEIZZAZIONI,2,FALSE) &gt;=1,  IF(Table2[[#This Row],[Data attivazione]] = "","-",MONTH(Table2[[#This Row],[Data attivazione]])),"-"),"-")</f>
        <v>11</v>
      </c>
      <c r="R11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1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7" s="67" t="s">
        <v>133</v>
      </c>
      <c r="V1137" s="62"/>
      <c r="W1137" s="64">
        <v>42684</v>
      </c>
      <c r="X1137" s="29">
        <f>DATE(YEAR(Table2[[#This Row],[Data attivazione]])+VLOOKUP(Table2[[#This Row],[Durata]],VALORE_DURATA,2,FALSE),MONTH(Table2[[#This Row],[Data attivazione]]),DAY(Table2[[#This Row],[Data attivazione]]))</f>
        <v>43049</v>
      </c>
      <c r="Y1137" s="65"/>
      <c r="Z1137" s="61"/>
      <c r="AA1137" s="67" t="s">
        <v>85</v>
      </c>
      <c r="AB1137" s="29" t="str">
        <f>IF(Table2[[#This Row],[Data ultimo versamento temp]]=0/1/1900,"-",Table2[[#This Row],[Data ultimo versamento temp]])</f>
        <v>-</v>
      </c>
      <c r="AC1137" s="29">
        <f t="array" ref="AC1137">MAX(IF(TableVersamenti[Polizza]=Table2[[#This Row],[Polizza]],TableVersamenti[Data prevista versamento],"-"))</f>
        <v>0</v>
      </c>
      <c r="AD1137" s="62"/>
      <c r="AE1137" s="106">
        <f>DATE(YEAR(Table2[[#This Row],[Data ultimo pagamento]]),MONTH(Table2[[#This Row],[Data ultimo pagamento]]), 1)</f>
        <v>42856</v>
      </c>
      <c r="AF1137" s="106">
        <f>DATE(YEAR(Table2[[#This Row],[Data prossima scadenza]]),MONTH(Table2[[#This Row],[Data prossima scadenza]]), 1)</f>
        <v>43040</v>
      </c>
      <c r="AG1137" s="103">
        <f>IFERROR(Table2[[#This Row],[Importo annuale]]*VLOOKUP(Table2[[#This Row],[Ramo]],RAMI_POLIZZA,2,FALSE),0)</f>
        <v>27.04</v>
      </c>
      <c r="AH1137" s="65" t="s">
        <v>113</v>
      </c>
      <c r="AI1137" s="63" t="str">
        <f>IFERROR(VLOOKUP(Table2[[#This Row],[Contraente]],Table1[[Nome/Ragione sociale]:[Checkbox selezionato]],2,FALSE),"-")</f>
        <v>ARENA PO</v>
      </c>
      <c r="AJ1137" s="63">
        <f>IFERROR(VLOOKUP(Table2[[#This Row],[Contraente]],Table1[[Nome/Ragione sociale]:[Checkbox selezionato]],3,FALSE),"-")</f>
        <v>0</v>
      </c>
      <c r="AK1137" s="63">
        <f>IFERROR(VLOOKUP(Table2[[#This Row],[Contraente]],Table1[[Nome/Ragione sociale]:[Checkbox selezionato]],4,FALSE),"-")</f>
        <v>0</v>
      </c>
      <c r="AL1137" s="63">
        <f>IFERROR(VLOOKUP(Table2[[#This Row],[Contraente]],Table1[[Nome/Ragione sociale]:[Checkbox selezionato]],5,FALSE),"-")</f>
        <v>0</v>
      </c>
      <c r="AM1137" s="62">
        <f>IFERROR(VLOOKUP(Table2[[#This Row],[Contraente]],Table1[[Nome/Ragione sociale]:[Checkbox selezionato]],6,FALSE),"-")</f>
        <v>0</v>
      </c>
      <c r="AN1137" s="63" t="str">
        <f>IFERROR(VLOOKUP(Table2[[#This Row],[Contraente]],Table1[[Nome/Ragione sociale]:[Checkbox selezionato]],7,FALSE),"-")</f>
        <v>papies@libero.it</v>
      </c>
      <c r="AO1137" s="63">
        <f>IFERROR(VLOOKUP(Table2[[#This Row],[Contraente]],Table1[[Nome/Ragione sociale]:[Checkbox selezionato]],8,FALSE),"-")</f>
        <v>0</v>
      </c>
      <c r="AP1137" s="63">
        <f>IFERROR(VLOOKUP(Table2[[#This Row],[Contraente]],Table1[[Nome/Ragione sociale]:[Checkbox selezionato]],10,FALSE),"-")</f>
        <v>0</v>
      </c>
      <c r="AQ1137" s="63" t="str">
        <f>IFERROR(VLOOKUP(Table2[[#This Row],[Contraente]],Table1[[Nome/Ragione sociale]:[Checkbox selezionato]],11,FALSE),"-")</f>
        <v>SI</v>
      </c>
      <c r="AR1137" s="63" t="str">
        <f>IFERROR(VLOOKUP(Table2[[#This Row],[Contraente]],Table1[[Nome/Ragione sociale]:[Checkbox selezionato]],12,FALSE),"-")</f>
        <v>SI</v>
      </c>
    </row>
    <row r="1138" spans="1:44" ht="30" hidden="1" customHeight="1" x14ac:dyDescent="0.25">
      <c r="A1138" s="60" t="str">
        <f>UPPER(LEFT(Table2[[#This Row],[Contraente]],1))</f>
        <v>Z</v>
      </c>
      <c r="B1138" s="60" t="s">
        <v>1634</v>
      </c>
      <c r="C1138" s="97" t="s">
        <v>1090</v>
      </c>
      <c r="D1138" s="98" t="s">
        <v>37</v>
      </c>
      <c r="E1138" s="99">
        <v>104680808</v>
      </c>
      <c r="F1138" s="64">
        <v>42408</v>
      </c>
      <c r="G1138" s="64">
        <f>IFERROR(CALCOLASCADENZA(Table2[[#This Row],[Data attivazione]],Table2[[#This Row],[Rateizzazione]],Table2[[#This Row],[Data ultimo pagamento]],Table2[[#This Row],[Data prossima scadenza manuale]]),"-")</f>
        <v>42577</v>
      </c>
      <c r="H1138" s="67" t="s">
        <v>31</v>
      </c>
      <c r="I1138" s="67" t="s">
        <v>1622</v>
      </c>
      <c r="J1138" s="33">
        <f>IFERROR(Table2[[#This Row],[Importo annuale]]/(12/VLOOKUP(Table2[[#This Row],[Rateizzazione]],TIPI_RATEIZZAZIONI,2,FALSE)),"-")</f>
        <v>361</v>
      </c>
      <c r="K1138" s="88"/>
      <c r="L1138" s="88">
        <v>722</v>
      </c>
      <c r="M1138" s="67" t="s">
        <v>43</v>
      </c>
      <c r="N1138" s="67" t="s">
        <v>51</v>
      </c>
      <c r="O1138" s="27" t="s">
        <v>1631</v>
      </c>
      <c r="P1138" s="67" t="s">
        <v>22</v>
      </c>
      <c r="Q1138" s="60">
        <f>IFERROR(IF(12 / VLOOKUP(Table2[[#This Row],[Rateizzazione]],TIPI_RATEIZZAZIONI,2,FALSE) &gt;=1,  IF(Table2[[#This Row],[Data attivazione]] = "","-",MONTH(Table2[[#This Row],[Data attivazione]])),"-"),"-")</f>
        <v>7</v>
      </c>
      <c r="R11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8" s="67" t="s">
        <v>2</v>
      </c>
      <c r="V1138" s="62"/>
      <c r="W1138" s="64">
        <v>42211</v>
      </c>
      <c r="X1138" s="29">
        <f>DATE(YEAR(Table2[[#This Row],[Data attivazione]])+VLOOKUP(Table2[[#This Row],[Durata]],VALORE_DURATA,2,FALSE),MONTH(Table2[[#This Row],[Data attivazione]]),DAY(Table2[[#This Row],[Data attivazione]]))</f>
        <v>42577</v>
      </c>
      <c r="Y1138" s="65"/>
      <c r="Z1138" s="61"/>
      <c r="AA1138" s="67" t="s">
        <v>88</v>
      </c>
      <c r="AB1138" s="29" t="str">
        <f>IF(Table2[[#This Row],[Data ultimo versamento temp]]=0/1/1900,"-",Table2[[#This Row],[Data ultimo versamento temp]])</f>
        <v>-</v>
      </c>
      <c r="AC1138" s="29">
        <f t="array" ref="AC1138">MAX(IF(TableVersamenti[Polizza]=Table2[[#This Row],[Polizza]],TableVersamenti[Data prevista versamento],"-"))</f>
        <v>0</v>
      </c>
      <c r="AD1138" s="62"/>
      <c r="AE1138" s="106">
        <f>DATE(YEAR(Table2[[#This Row],[Data ultimo pagamento]]),MONTH(Table2[[#This Row],[Data ultimo pagamento]]), 1)</f>
        <v>42401</v>
      </c>
      <c r="AF1138" s="106">
        <f>DATE(YEAR(Table2[[#This Row],[Data prossima scadenza]]),MONTH(Table2[[#This Row],[Data prossima scadenza]]), 1)</f>
        <v>42552</v>
      </c>
      <c r="AG1138" s="103">
        <f>IFERROR(Table2[[#This Row],[Importo annuale]]*VLOOKUP(Table2[[#This Row],[Ramo]],RAMI_POLIZZA,2,FALSE),0)</f>
        <v>37.543999999999997</v>
      </c>
      <c r="AH1138" s="65" t="s">
        <v>113</v>
      </c>
      <c r="AI1138" s="63">
        <f>IFERROR(VLOOKUP(Table2[[#This Row],[Contraente]],Table1[[Nome/Ragione sociale]:[Checkbox selezionato]],2,FALSE),"-")</f>
        <v>0</v>
      </c>
      <c r="AJ1138" s="63">
        <f>IFERROR(VLOOKUP(Table2[[#This Row],[Contraente]],Table1[[Nome/Ragione sociale]:[Checkbox selezionato]],3,FALSE),"-")</f>
        <v>3343530929</v>
      </c>
      <c r="AK1138" s="63">
        <f>IFERROR(VLOOKUP(Table2[[#This Row],[Contraente]],Table1[[Nome/Ragione sociale]:[Checkbox selezionato]],4,FALSE),"-")</f>
        <v>0</v>
      </c>
      <c r="AL1138" s="63" t="str">
        <f>IFERROR(VLOOKUP(Table2[[#This Row],[Contraente]],Table1[[Nome/Ragione sociale]:[Checkbox selezionato]],5,FALSE),"-")</f>
        <v>ANGELA</v>
      </c>
      <c r="AM1138" s="62">
        <f>IFERROR(VLOOKUP(Table2[[#This Row],[Contraente]],Table1[[Nome/Ragione sociale]:[Checkbox selezionato]],6,FALSE),"-")</f>
        <v>0</v>
      </c>
      <c r="AN1138" s="63" t="str">
        <f>IFERROR(VLOOKUP(Table2[[#This Row],[Contraente]],Table1[[Nome/Ragione sociale]:[Checkbox selezionato]],7,FALSE),"-")</f>
        <v>papies@libero.it</v>
      </c>
      <c r="AO1138" s="63">
        <f>IFERROR(VLOOKUP(Table2[[#This Row],[Contraente]],Table1[[Nome/Ragione sociale]:[Checkbox selezionato]],8,FALSE),"-")</f>
        <v>0</v>
      </c>
      <c r="AP1138" s="63">
        <f>IFERROR(VLOOKUP(Table2[[#This Row],[Contraente]],Table1[[Nome/Ragione sociale]:[Checkbox selezionato]],10,FALSE),"-")</f>
        <v>3343530929</v>
      </c>
      <c r="AQ1138" s="63" t="str">
        <f>IFERROR(VLOOKUP(Table2[[#This Row],[Contraente]],Table1[[Nome/Ragione sociale]:[Checkbox selezionato]],11,FALSE),"-")</f>
        <v>SI</v>
      </c>
      <c r="AR1138" s="63" t="str">
        <f>IFERROR(VLOOKUP(Table2[[#This Row],[Contraente]],Table1[[Nome/Ragione sociale]:[Checkbox selezionato]],12,FALSE),"-")</f>
        <v>SI</v>
      </c>
    </row>
    <row r="1139" spans="1:44" ht="30" hidden="1" customHeight="1" x14ac:dyDescent="0.25">
      <c r="A1139" s="60" t="str">
        <f>UPPER(LEFT(Table2[[#This Row],[Contraente]],1))</f>
        <v>Z</v>
      </c>
      <c r="B1139" s="60" t="s">
        <v>1634</v>
      </c>
      <c r="C1139" s="97" t="s">
        <v>209</v>
      </c>
      <c r="D1139" s="98" t="s">
        <v>37</v>
      </c>
      <c r="E1139" s="99">
        <v>103806106</v>
      </c>
      <c r="F1139" s="64">
        <v>42901</v>
      </c>
      <c r="G1139" s="64">
        <f>IFERROR(CALCOLASCADENZA(Table2[[#This Row],[Data attivazione]],Table2[[#This Row],[Rateizzazione]],Table2[[#This Row],[Data ultimo pagamento]],Table2[[#This Row],[Data prossima scadenza manuale]]),"-")</f>
        <v>43071</v>
      </c>
      <c r="H1139" s="67" t="s">
        <v>30</v>
      </c>
      <c r="I1139" s="67" t="s">
        <v>113</v>
      </c>
      <c r="J1139" s="33">
        <f>IFERROR(Table2[[#This Row],[Importo annuale]]/(12/VLOOKUP(Table2[[#This Row],[Rateizzazione]],TIPI_RATEIZZAZIONI,2,FALSE)),"-")</f>
        <v>280</v>
      </c>
      <c r="K1139" s="88">
        <v>280</v>
      </c>
      <c r="L1139" s="88">
        <v>560</v>
      </c>
      <c r="M1139" s="67" t="s">
        <v>44</v>
      </c>
      <c r="N1139" s="67" t="s">
        <v>51</v>
      </c>
      <c r="O1139" s="27" t="s">
        <v>1631</v>
      </c>
      <c r="P1139" s="67" t="s">
        <v>22</v>
      </c>
      <c r="Q1139" s="60">
        <f>IFERROR(IF(12 / VLOOKUP(Table2[[#This Row],[Rateizzazione]],TIPI_RATEIZZAZIONI,2,FALSE) &gt;=1,  IF(Table2[[#This Row],[Data attivazione]] = "","-",MONTH(Table2[[#This Row],[Data attivazione]])),"-"),"-")</f>
        <v>12</v>
      </c>
      <c r="R11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9" s="67" t="s">
        <v>2</v>
      </c>
      <c r="V1139" s="62"/>
      <c r="W1139" s="64">
        <v>42706</v>
      </c>
      <c r="X1139" s="29">
        <f>DATE(YEAR(Table2[[#This Row],[Data attivazione]])+VLOOKUP(Table2[[#This Row],[Durata]],VALORE_DURATA,2,FALSE),MONTH(Table2[[#This Row],[Data attivazione]]),DAY(Table2[[#This Row],[Data attivazione]]))</f>
        <v>43071</v>
      </c>
      <c r="Y1139" s="65"/>
      <c r="Z1139" s="61"/>
      <c r="AA1139" s="67" t="s">
        <v>85</v>
      </c>
      <c r="AB1139" s="29" t="str">
        <f>IF(Table2[[#This Row],[Data ultimo versamento temp]]=0/1/1900,"-",Table2[[#This Row],[Data ultimo versamento temp]])</f>
        <v>-</v>
      </c>
      <c r="AC1139" s="29">
        <f t="array" ref="AC1139">MAX(IF(TableVersamenti[Polizza]=Table2[[#This Row],[Polizza]],TableVersamenti[Data prevista versamento],"-"))</f>
        <v>0</v>
      </c>
      <c r="AD1139" s="62"/>
      <c r="AE1139" s="106">
        <f>DATE(YEAR(Table2[[#This Row],[Data ultimo pagamento]]),MONTH(Table2[[#This Row],[Data ultimo pagamento]]), 1)</f>
        <v>42887</v>
      </c>
      <c r="AF1139" s="106">
        <f>DATE(YEAR(Table2[[#This Row],[Data prossima scadenza]]),MONTH(Table2[[#This Row],[Data prossima scadenza]]), 1)</f>
        <v>43070</v>
      </c>
      <c r="AG1139" s="103">
        <f>IFERROR(Table2[[#This Row],[Importo annuale]]*VLOOKUP(Table2[[#This Row],[Ramo]],RAMI_POLIZZA,2,FALSE),0)</f>
        <v>64.400000000000006</v>
      </c>
      <c r="AH1139" s="65" t="s">
        <v>113</v>
      </c>
      <c r="AI1139" s="63" t="str">
        <f>IFERROR(VLOOKUP(Table2[[#This Row],[Contraente]],Table1[[Nome/Ragione sociale]:[Checkbox selezionato]],2,FALSE),"-")</f>
        <v>CURA CARPIGNANO</v>
      </c>
      <c r="AJ1139" s="63">
        <f>IFERROR(VLOOKUP(Table2[[#This Row],[Contraente]],Table1[[Nome/Ragione sociale]:[Checkbox selezionato]],3,FALSE),"-")</f>
        <v>3925413072</v>
      </c>
      <c r="AK1139" s="63">
        <f>IFERROR(VLOOKUP(Table2[[#This Row],[Contraente]],Table1[[Nome/Ragione sociale]:[Checkbox selezionato]],4,FALSE),"-")</f>
        <v>0</v>
      </c>
      <c r="AL1139" s="63" t="str">
        <f>IFERROR(VLOOKUP(Table2[[#This Row],[Contraente]],Table1[[Nome/Ragione sociale]:[Checkbox selezionato]],5,FALSE),"-")</f>
        <v>MARCO</v>
      </c>
      <c r="AM1139" s="62" t="str">
        <f>IFERROR(VLOOKUP(Table2[[#This Row],[Contraente]],Table1[[Nome/Ragione sociale]:[Checkbox selezionato]],6,FALSE),"-")</f>
        <v>-</v>
      </c>
      <c r="AN1139" s="63" t="str">
        <f>IFERROR(VLOOKUP(Table2[[#This Row],[Contraente]],Table1[[Nome/Ragione sociale]:[Checkbox selezionato]],7,FALSE),"-")</f>
        <v>papies@email.it</v>
      </c>
      <c r="AO1139" s="63">
        <f>IFERROR(VLOOKUP(Table2[[#This Row],[Contraente]],Table1[[Nome/Ragione sociale]:[Checkbox selezionato]],8,FALSE),"-")</f>
        <v>0</v>
      </c>
      <c r="AP1139" s="63">
        <f>IFERROR(VLOOKUP(Table2[[#This Row],[Contraente]],Table1[[Nome/Ragione sociale]:[Checkbox selezionato]],10,FALSE),"-")</f>
        <v>3925413072</v>
      </c>
      <c r="AQ1139" s="63" t="str">
        <f>IFERROR(VLOOKUP(Table2[[#This Row],[Contraente]],Table1[[Nome/Ragione sociale]:[Checkbox selezionato]],11,FALSE),"-")</f>
        <v>SI</v>
      </c>
      <c r="AR1139" s="63" t="str">
        <f>IFERROR(VLOOKUP(Table2[[#This Row],[Contraente]],Table1[[Nome/Ragione sociale]:[Checkbox selezionato]],12,FALSE),"-")</f>
        <v>SI</v>
      </c>
    </row>
    <row r="1140" spans="1:44" ht="30" hidden="1" customHeight="1" x14ac:dyDescent="0.25">
      <c r="A1140" s="60" t="str">
        <f>UPPER(LEFT(Table2[[#This Row],[Contraente]],1))</f>
        <v>Z</v>
      </c>
      <c r="B1140" s="60" t="s">
        <v>1634</v>
      </c>
      <c r="C1140" s="97" t="s">
        <v>209</v>
      </c>
      <c r="D1140" s="98" t="s">
        <v>37</v>
      </c>
      <c r="E1140" s="99">
        <v>106341041</v>
      </c>
      <c r="F1140" s="64">
        <v>42901</v>
      </c>
      <c r="G1140" s="64">
        <f>IFERROR(CALCOLASCADENZA(Table2[[#This Row],[Data attivazione]],Table2[[#This Row],[Rateizzazione]],Table2[[#This Row],[Data ultimo pagamento]],Table2[[#This Row],[Data prossima scadenza manuale]]),"-")</f>
        <v>43071</v>
      </c>
      <c r="H1140" s="67" t="s">
        <v>31</v>
      </c>
      <c r="I1140" s="67" t="s">
        <v>1626</v>
      </c>
      <c r="J1140" s="33">
        <f>IFERROR(Table2[[#This Row],[Importo annuale]]/(12/VLOOKUP(Table2[[#This Row],[Rateizzazione]],TIPI_RATEIZZAZIONI,2,FALSE)),"-")</f>
        <v>373</v>
      </c>
      <c r="K1140" s="88">
        <v>373</v>
      </c>
      <c r="L1140" s="88">
        <v>746</v>
      </c>
      <c r="M1140" s="67" t="s">
        <v>44</v>
      </c>
      <c r="N1140" s="67" t="s">
        <v>51</v>
      </c>
      <c r="O1140" s="27" t="s">
        <v>1631</v>
      </c>
      <c r="P1140" s="67" t="s">
        <v>22</v>
      </c>
      <c r="Q1140" s="60">
        <f>IFERROR(IF(12 / VLOOKUP(Table2[[#This Row],[Rateizzazione]],TIPI_RATEIZZAZIONI,2,FALSE) &gt;=1,  IF(Table2[[#This Row],[Data attivazione]] = "","-",MONTH(Table2[[#This Row],[Data attivazione]])),"-"),"-")</f>
        <v>12</v>
      </c>
      <c r="R11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0" s="67" t="s">
        <v>2</v>
      </c>
      <c r="V1140" s="62"/>
      <c r="W1140" s="64">
        <v>42706</v>
      </c>
      <c r="X1140" s="29">
        <f>DATE(YEAR(Table2[[#This Row],[Data attivazione]])+VLOOKUP(Table2[[#This Row],[Durata]],VALORE_DURATA,2,FALSE),MONTH(Table2[[#This Row],[Data attivazione]]),DAY(Table2[[#This Row],[Data attivazione]]))</f>
        <v>43071</v>
      </c>
      <c r="Y1140" s="65"/>
      <c r="Z1140" s="61"/>
      <c r="AA1140" s="67" t="s">
        <v>85</v>
      </c>
      <c r="AB1140" s="29" t="str">
        <f>IF(Table2[[#This Row],[Data ultimo versamento temp]]=0/1/1900,"-",Table2[[#This Row],[Data ultimo versamento temp]])</f>
        <v>-</v>
      </c>
      <c r="AC1140" s="29">
        <f t="array" ref="AC1140">MAX(IF(TableVersamenti[Polizza]=Table2[[#This Row],[Polizza]],TableVersamenti[Data prevista versamento],"-"))</f>
        <v>0</v>
      </c>
      <c r="AD1140" s="62"/>
      <c r="AE1140" s="106">
        <f>DATE(YEAR(Table2[[#This Row],[Data ultimo pagamento]]),MONTH(Table2[[#This Row],[Data ultimo pagamento]]), 1)</f>
        <v>42887</v>
      </c>
      <c r="AF1140" s="106">
        <f>DATE(YEAR(Table2[[#This Row],[Data prossima scadenza]]),MONTH(Table2[[#This Row],[Data prossima scadenza]]), 1)</f>
        <v>43070</v>
      </c>
      <c r="AG1140" s="103">
        <f>IFERROR(Table2[[#This Row],[Importo annuale]]*VLOOKUP(Table2[[#This Row],[Ramo]],RAMI_POLIZZA,2,FALSE),0)</f>
        <v>38.792000000000002</v>
      </c>
      <c r="AH1140" s="65" t="s">
        <v>113</v>
      </c>
      <c r="AI1140" s="63" t="str">
        <f>IFERROR(VLOOKUP(Table2[[#This Row],[Contraente]],Table1[[Nome/Ragione sociale]:[Checkbox selezionato]],2,FALSE),"-")</f>
        <v>CURA CARPIGNANO</v>
      </c>
      <c r="AJ1140" s="63">
        <f>IFERROR(VLOOKUP(Table2[[#This Row],[Contraente]],Table1[[Nome/Ragione sociale]:[Checkbox selezionato]],3,FALSE),"-")</f>
        <v>3925413072</v>
      </c>
      <c r="AK1140" s="63">
        <f>IFERROR(VLOOKUP(Table2[[#This Row],[Contraente]],Table1[[Nome/Ragione sociale]:[Checkbox selezionato]],4,FALSE),"-")</f>
        <v>0</v>
      </c>
      <c r="AL1140" s="63" t="str">
        <f>IFERROR(VLOOKUP(Table2[[#This Row],[Contraente]],Table1[[Nome/Ragione sociale]:[Checkbox selezionato]],5,FALSE),"-")</f>
        <v>MARCO</v>
      </c>
      <c r="AM1140" s="62" t="str">
        <f>IFERROR(VLOOKUP(Table2[[#This Row],[Contraente]],Table1[[Nome/Ragione sociale]:[Checkbox selezionato]],6,FALSE),"-")</f>
        <v>-</v>
      </c>
      <c r="AN1140" s="63" t="str">
        <f>IFERROR(VLOOKUP(Table2[[#This Row],[Contraente]],Table1[[Nome/Ragione sociale]:[Checkbox selezionato]],7,FALSE),"-")</f>
        <v>papies@email.it</v>
      </c>
      <c r="AO1140" s="63">
        <f>IFERROR(VLOOKUP(Table2[[#This Row],[Contraente]],Table1[[Nome/Ragione sociale]:[Checkbox selezionato]],8,FALSE),"-")</f>
        <v>0</v>
      </c>
      <c r="AP1140" s="63">
        <f>IFERROR(VLOOKUP(Table2[[#This Row],[Contraente]],Table1[[Nome/Ragione sociale]:[Checkbox selezionato]],10,FALSE),"-")</f>
        <v>3925413072</v>
      </c>
      <c r="AQ1140" s="63" t="str">
        <f>IFERROR(VLOOKUP(Table2[[#This Row],[Contraente]],Table1[[Nome/Ragione sociale]:[Checkbox selezionato]],11,FALSE),"-")</f>
        <v>SI</v>
      </c>
      <c r="AR1140" s="63" t="str">
        <f>IFERROR(VLOOKUP(Table2[[#This Row],[Contraente]],Table1[[Nome/Ragione sociale]:[Checkbox selezionato]],12,FALSE),"-")</f>
        <v>SI</v>
      </c>
    </row>
    <row r="1141" spans="1:44" ht="30" hidden="1" customHeight="1" x14ac:dyDescent="0.25">
      <c r="A1141" s="60" t="str">
        <f>UPPER(LEFT(Table2[[#This Row],[Contraente]],1))</f>
        <v>Z</v>
      </c>
      <c r="B1141" s="60" t="s">
        <v>1634</v>
      </c>
      <c r="C1141" s="97" t="s">
        <v>208</v>
      </c>
      <c r="D1141" s="98" t="s">
        <v>37</v>
      </c>
      <c r="E1141" s="99">
        <v>106890334</v>
      </c>
      <c r="F1141" s="64">
        <v>42877</v>
      </c>
      <c r="G1141" s="64">
        <f>IFERROR(CALCOLASCADENZA(Table2[[#This Row],[Data attivazione]],Table2[[#This Row],[Rateizzazione]],Table2[[#This Row],[Data ultimo pagamento]],Table2[[#This Row],[Data prossima scadenza manuale]]),"-")</f>
        <v>43234</v>
      </c>
      <c r="H1141" s="67" t="s">
        <v>30</v>
      </c>
      <c r="I1141" s="67" t="s">
        <v>113</v>
      </c>
      <c r="J1141" s="33">
        <f>IFERROR(Table2[[#This Row],[Importo annuale]]/(12/VLOOKUP(Table2[[#This Row],[Rateizzazione]],TIPI_RATEIZZAZIONI,2,FALSE)),"-")</f>
        <v>227</v>
      </c>
      <c r="K1141" s="88">
        <v>227</v>
      </c>
      <c r="L1141" s="88">
        <v>227</v>
      </c>
      <c r="M1141" s="67" t="s">
        <v>44</v>
      </c>
      <c r="N1141" s="67" t="s">
        <v>51</v>
      </c>
      <c r="O1141" s="27" t="s">
        <v>1632</v>
      </c>
      <c r="P1141" s="67" t="s">
        <v>23</v>
      </c>
      <c r="Q1141" s="60">
        <f>IFERROR(IF(12 / VLOOKUP(Table2[[#This Row],[Rateizzazione]],TIPI_RATEIZZAZIONI,2,FALSE) &gt;=1,  IF(Table2[[#This Row],[Data attivazione]] = "","-",MONTH(Table2[[#This Row],[Data attivazione]])),"-"),"-")</f>
        <v>5</v>
      </c>
      <c r="R11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1" s="67" t="s">
        <v>2</v>
      </c>
      <c r="V1141" s="62"/>
      <c r="W1141" s="64">
        <v>39582</v>
      </c>
      <c r="X1141" s="29">
        <f>DATE(YEAR(Table2[[#This Row],[Data attivazione]])+VLOOKUP(Table2[[#This Row],[Durata]],VALORE_DURATA,2,FALSE),MONTH(Table2[[#This Row],[Data attivazione]]),DAY(Table2[[#This Row],[Data attivazione]]))</f>
        <v>43234</v>
      </c>
      <c r="Y1141" s="65"/>
      <c r="Z1141" s="61"/>
      <c r="AA1141" s="67" t="s">
        <v>85</v>
      </c>
      <c r="AB1141" s="29" t="str">
        <f>IF(Table2[[#This Row],[Data ultimo versamento temp]]=0/1/1900,"-",Table2[[#This Row],[Data ultimo versamento temp]])</f>
        <v>-</v>
      </c>
      <c r="AC1141" s="29">
        <f t="array" ref="AC1141">MAX(IF(TableVersamenti[Polizza]=Table2[[#This Row],[Polizza]],TableVersamenti[Data prevista versamento],"-"))</f>
        <v>0</v>
      </c>
      <c r="AD1141" s="62"/>
      <c r="AE1141" s="106">
        <f>DATE(YEAR(Table2[[#This Row],[Data ultimo pagamento]]),MONTH(Table2[[#This Row],[Data ultimo pagamento]]), 1)</f>
        <v>42856</v>
      </c>
      <c r="AF1141" s="106">
        <f>DATE(YEAR(Table2[[#This Row],[Data prossima scadenza]]),MONTH(Table2[[#This Row],[Data prossima scadenza]]), 1)</f>
        <v>43221</v>
      </c>
      <c r="AG1141" s="103">
        <f>IFERROR(Table2[[#This Row],[Importo annuale]]*VLOOKUP(Table2[[#This Row],[Ramo]],RAMI_POLIZZA,2,FALSE),0)</f>
        <v>26.105</v>
      </c>
      <c r="AH1141" s="65" t="s">
        <v>113</v>
      </c>
      <c r="AI1141" s="63" t="str">
        <f>IFERROR(VLOOKUP(Table2[[#This Row],[Contraente]],Table1[[Nome/Ragione sociale]:[Checkbox selezionato]],2,FALSE),"-")</f>
        <v>CORTEOLONA</v>
      </c>
      <c r="AJ1141" s="63">
        <f>IFERROR(VLOOKUP(Table2[[#This Row],[Contraente]],Table1[[Nome/Ragione sociale]:[Checkbox selezionato]],3,FALSE),"-")</f>
        <v>3806569255</v>
      </c>
      <c r="AK1141" s="63">
        <f>IFERROR(VLOOKUP(Table2[[#This Row],[Contraente]],Table1[[Nome/Ragione sociale]:[Checkbox selezionato]],4,FALSE),"-")</f>
        <v>0</v>
      </c>
      <c r="AL1141" s="63" t="str">
        <f>IFERROR(VLOOKUP(Table2[[#This Row],[Contraente]],Table1[[Nome/Ragione sociale]:[Checkbox selezionato]],5,FALSE),"-")</f>
        <v>ROBERTO</v>
      </c>
      <c r="AM1141" s="62">
        <f>IFERROR(VLOOKUP(Table2[[#This Row],[Contraente]],Table1[[Nome/Ragione sociale]:[Checkbox selezionato]],6,FALSE),"-")</f>
        <v>24758</v>
      </c>
      <c r="AN1141" s="63" t="str">
        <f>IFERROR(VLOOKUP(Table2[[#This Row],[Contraente]],Table1[[Nome/Ragione sociale]:[Checkbox selezionato]],7,FALSE),"-")</f>
        <v>papies@libero.it</v>
      </c>
      <c r="AO1141" s="63">
        <f>IFERROR(VLOOKUP(Table2[[#This Row],[Contraente]],Table1[[Nome/Ragione sociale]:[Checkbox selezionato]],8,FALSE),"-")</f>
        <v>0</v>
      </c>
      <c r="AP1141" s="63">
        <f>IFERROR(VLOOKUP(Table2[[#This Row],[Contraente]],Table1[[Nome/Ragione sociale]:[Checkbox selezionato]],10,FALSE),"-")</f>
        <v>3806569255</v>
      </c>
      <c r="AQ1141" s="63" t="str">
        <f>IFERROR(VLOOKUP(Table2[[#This Row],[Contraente]],Table1[[Nome/Ragione sociale]:[Checkbox selezionato]],11,FALSE),"-")</f>
        <v>SI</v>
      </c>
      <c r="AR1141" s="63" t="str">
        <f>IFERROR(VLOOKUP(Table2[[#This Row],[Contraente]],Table1[[Nome/Ragione sociale]:[Checkbox selezionato]],12,FALSE),"-")</f>
        <v>SI</v>
      </c>
    </row>
    <row r="1142" spans="1:44" ht="30" hidden="1" customHeight="1" x14ac:dyDescent="0.25">
      <c r="A1142" s="60" t="str">
        <f>UPPER(LEFT(Table2[[#This Row],[Contraente]],1))</f>
        <v>Z</v>
      </c>
      <c r="B1142" s="60" t="s">
        <v>1634</v>
      </c>
      <c r="C1142" s="97" t="s">
        <v>208</v>
      </c>
      <c r="D1142" s="98" t="s">
        <v>37</v>
      </c>
      <c r="E1142" s="99">
        <v>106435377</v>
      </c>
      <c r="F1142" s="64">
        <v>42843</v>
      </c>
      <c r="G1142" s="64">
        <f>IFERROR(CALCOLASCADENZA(Table2[[#This Row],[Data attivazione]],Table2[[#This Row],[Rateizzazione]],Table2[[#This Row],[Data ultimo pagamento]],Table2[[#This Row],[Data prossima scadenza manuale]]),"-")</f>
        <v>43015</v>
      </c>
      <c r="H1142" s="67" t="s">
        <v>31</v>
      </c>
      <c r="I1142" s="67" t="s">
        <v>1624</v>
      </c>
      <c r="J1142" s="33">
        <f>IFERROR(Table2[[#This Row],[Importo annuale]]/(12/VLOOKUP(Table2[[#This Row],[Rateizzazione]],TIPI_RATEIZZAZIONI,2,FALSE)),"-")</f>
        <v>358</v>
      </c>
      <c r="K1142" s="88">
        <v>388</v>
      </c>
      <c r="L1142" s="88">
        <v>716</v>
      </c>
      <c r="M1142" s="67" t="s">
        <v>44</v>
      </c>
      <c r="N1142" s="67" t="s">
        <v>51</v>
      </c>
      <c r="O1142" s="27" t="s">
        <v>1631</v>
      </c>
      <c r="P1142" s="67" t="s">
        <v>22</v>
      </c>
      <c r="Q1142" s="60">
        <f>IFERROR(IF(12 / VLOOKUP(Table2[[#This Row],[Rateizzazione]],TIPI_RATEIZZAZIONI,2,FALSE) &gt;=1,  IF(Table2[[#This Row],[Data attivazione]] = "","-",MONTH(Table2[[#This Row],[Data attivazione]])),"-"),"-")</f>
        <v>10</v>
      </c>
      <c r="R11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1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2" s="67" t="s">
        <v>2</v>
      </c>
      <c r="V1142" s="62"/>
      <c r="W1142" s="64">
        <v>42650</v>
      </c>
      <c r="X1142" s="29">
        <f>DATE(YEAR(Table2[[#This Row],[Data attivazione]])+VLOOKUP(Table2[[#This Row],[Durata]],VALORE_DURATA,2,FALSE),MONTH(Table2[[#This Row],[Data attivazione]]),DAY(Table2[[#This Row],[Data attivazione]]))</f>
        <v>43015</v>
      </c>
      <c r="Y1142" s="65"/>
      <c r="Z1142" s="61"/>
      <c r="AA1142" s="67" t="s">
        <v>85</v>
      </c>
      <c r="AB1142" s="29" t="str">
        <f>IF(Table2[[#This Row],[Data ultimo versamento temp]]=0/1/1900,"-",Table2[[#This Row],[Data ultimo versamento temp]])</f>
        <v>-</v>
      </c>
      <c r="AC1142" s="29">
        <f t="array" ref="AC1142">MAX(IF(TableVersamenti[Polizza]=Table2[[#This Row],[Polizza]],TableVersamenti[Data prevista versamento],"-"))</f>
        <v>0</v>
      </c>
      <c r="AD1142" s="62"/>
      <c r="AE1142" s="106">
        <f>DATE(YEAR(Table2[[#This Row],[Data ultimo pagamento]]),MONTH(Table2[[#This Row],[Data ultimo pagamento]]), 1)</f>
        <v>42826</v>
      </c>
      <c r="AF1142" s="106">
        <f>DATE(YEAR(Table2[[#This Row],[Data prossima scadenza]]),MONTH(Table2[[#This Row],[Data prossima scadenza]]), 1)</f>
        <v>43009</v>
      </c>
      <c r="AG1142" s="103">
        <f>IFERROR(Table2[[#This Row],[Importo annuale]]*VLOOKUP(Table2[[#This Row],[Ramo]],RAMI_POLIZZA,2,FALSE),0)</f>
        <v>37.231999999999999</v>
      </c>
      <c r="AH1142" s="65" t="s">
        <v>113</v>
      </c>
      <c r="AI1142" s="63" t="str">
        <f>IFERROR(VLOOKUP(Table2[[#This Row],[Contraente]],Table1[[Nome/Ragione sociale]:[Checkbox selezionato]],2,FALSE),"-")</f>
        <v>CORTEOLONA</v>
      </c>
      <c r="AJ1142" s="63">
        <f>IFERROR(VLOOKUP(Table2[[#This Row],[Contraente]],Table1[[Nome/Ragione sociale]:[Checkbox selezionato]],3,FALSE),"-")</f>
        <v>3806569255</v>
      </c>
      <c r="AK1142" s="63">
        <f>IFERROR(VLOOKUP(Table2[[#This Row],[Contraente]],Table1[[Nome/Ragione sociale]:[Checkbox selezionato]],4,FALSE),"-")</f>
        <v>0</v>
      </c>
      <c r="AL1142" s="63" t="str">
        <f>IFERROR(VLOOKUP(Table2[[#This Row],[Contraente]],Table1[[Nome/Ragione sociale]:[Checkbox selezionato]],5,FALSE),"-")</f>
        <v>ROBERTO</v>
      </c>
      <c r="AM1142" s="62">
        <f>IFERROR(VLOOKUP(Table2[[#This Row],[Contraente]],Table1[[Nome/Ragione sociale]:[Checkbox selezionato]],6,FALSE),"-")</f>
        <v>24758</v>
      </c>
      <c r="AN1142" s="63" t="str">
        <f>IFERROR(VLOOKUP(Table2[[#This Row],[Contraente]],Table1[[Nome/Ragione sociale]:[Checkbox selezionato]],7,FALSE),"-")</f>
        <v>papies@libero.it</v>
      </c>
      <c r="AO1142" s="63">
        <f>IFERROR(VLOOKUP(Table2[[#This Row],[Contraente]],Table1[[Nome/Ragione sociale]:[Checkbox selezionato]],8,FALSE),"-")</f>
        <v>0</v>
      </c>
      <c r="AP1142" s="63">
        <f>IFERROR(VLOOKUP(Table2[[#This Row],[Contraente]],Table1[[Nome/Ragione sociale]:[Checkbox selezionato]],10,FALSE),"-")</f>
        <v>3806569255</v>
      </c>
      <c r="AQ1142" s="63" t="str">
        <f>IFERROR(VLOOKUP(Table2[[#This Row],[Contraente]],Table1[[Nome/Ragione sociale]:[Checkbox selezionato]],11,FALSE),"-")</f>
        <v>SI</v>
      </c>
      <c r="AR1142" s="63" t="str">
        <f>IFERROR(VLOOKUP(Table2[[#This Row],[Contraente]],Table1[[Nome/Ragione sociale]:[Checkbox selezionato]],12,FALSE),"-")</f>
        <v>SI</v>
      </c>
    </row>
    <row r="1143" spans="1:44" ht="30" hidden="1" customHeight="1" x14ac:dyDescent="0.25">
      <c r="A1143" s="60" t="str">
        <f>UPPER(LEFT(Table2[[#This Row],[Contraente]],1))</f>
        <v>Z</v>
      </c>
      <c r="B1143" s="60" t="s">
        <v>1634</v>
      </c>
      <c r="C1143" s="97" t="s">
        <v>208</v>
      </c>
      <c r="D1143" s="98" t="s">
        <v>37</v>
      </c>
      <c r="E1143" s="99">
        <v>106752949</v>
      </c>
      <c r="F1143" s="64">
        <v>42843</v>
      </c>
      <c r="G1143" s="64">
        <f>IFERROR(CALCOLASCADENZA(Table2[[#This Row],[Data attivazione]],Table2[[#This Row],[Rateizzazione]],Table2[[#This Row],[Data ultimo pagamento]],Table2[[#This Row],[Data prossima scadenza manuale]]),"-")</f>
        <v>43015</v>
      </c>
      <c r="H1143" s="67" t="s">
        <v>30</v>
      </c>
      <c r="I1143" s="67" t="s">
        <v>113</v>
      </c>
      <c r="J1143" s="33">
        <f>IFERROR(Table2[[#This Row],[Importo annuale]]/(12/VLOOKUP(Table2[[#This Row],[Rateizzazione]],TIPI_RATEIZZAZIONI,2,FALSE)),"-")</f>
        <v>135</v>
      </c>
      <c r="K1143" s="88">
        <v>135</v>
      </c>
      <c r="L1143" s="88">
        <v>270</v>
      </c>
      <c r="M1143" s="67" t="s">
        <v>44</v>
      </c>
      <c r="N1143" s="67" t="s">
        <v>51</v>
      </c>
      <c r="O1143" s="27" t="s">
        <v>1631</v>
      </c>
      <c r="P1143" s="67" t="s">
        <v>22</v>
      </c>
      <c r="Q1143" s="60">
        <f>IFERROR(IF(12 / VLOOKUP(Table2[[#This Row],[Rateizzazione]],TIPI_RATEIZZAZIONI,2,FALSE) &gt;=1,  IF(Table2[[#This Row],[Data attivazione]] = "","-",MONTH(Table2[[#This Row],[Data attivazione]])),"-"),"-")</f>
        <v>10</v>
      </c>
      <c r="R11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1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3" s="67" t="s">
        <v>2</v>
      </c>
      <c r="V1143" s="62"/>
      <c r="W1143" s="64">
        <v>42650</v>
      </c>
      <c r="X1143" s="29">
        <f>DATE(YEAR(Table2[[#This Row],[Data attivazione]])+VLOOKUP(Table2[[#This Row],[Durata]],VALORE_DURATA,2,FALSE),MONTH(Table2[[#This Row],[Data attivazione]]),DAY(Table2[[#This Row],[Data attivazione]]))</f>
        <v>43015</v>
      </c>
      <c r="Y1143" s="65"/>
      <c r="Z1143" s="61"/>
      <c r="AA1143" s="67" t="s">
        <v>85</v>
      </c>
      <c r="AB1143" s="29" t="str">
        <f>IF(Table2[[#This Row],[Data ultimo versamento temp]]=0/1/1900,"-",Table2[[#This Row],[Data ultimo versamento temp]])</f>
        <v>-</v>
      </c>
      <c r="AC1143" s="29">
        <f t="array" ref="AC1143">MAX(IF(TableVersamenti[Polizza]=Table2[[#This Row],[Polizza]],TableVersamenti[Data prevista versamento],"-"))</f>
        <v>0</v>
      </c>
      <c r="AD1143" s="62"/>
      <c r="AE1143" s="106">
        <f>DATE(YEAR(Table2[[#This Row],[Data ultimo pagamento]]),MONTH(Table2[[#This Row],[Data ultimo pagamento]]), 1)</f>
        <v>42826</v>
      </c>
      <c r="AF1143" s="106">
        <f>DATE(YEAR(Table2[[#This Row],[Data prossima scadenza]]),MONTH(Table2[[#This Row],[Data prossima scadenza]]), 1)</f>
        <v>43009</v>
      </c>
      <c r="AG1143" s="103">
        <f>IFERROR(Table2[[#This Row],[Importo annuale]]*VLOOKUP(Table2[[#This Row],[Ramo]],RAMI_POLIZZA,2,FALSE),0)</f>
        <v>31.05</v>
      </c>
      <c r="AH1143" s="65" t="s">
        <v>113</v>
      </c>
      <c r="AI1143" s="63" t="str">
        <f>IFERROR(VLOOKUP(Table2[[#This Row],[Contraente]],Table1[[Nome/Ragione sociale]:[Checkbox selezionato]],2,FALSE),"-")</f>
        <v>CORTEOLONA</v>
      </c>
      <c r="AJ1143" s="63">
        <f>IFERROR(VLOOKUP(Table2[[#This Row],[Contraente]],Table1[[Nome/Ragione sociale]:[Checkbox selezionato]],3,FALSE),"-")</f>
        <v>3806569255</v>
      </c>
      <c r="AK1143" s="63">
        <f>IFERROR(VLOOKUP(Table2[[#This Row],[Contraente]],Table1[[Nome/Ragione sociale]:[Checkbox selezionato]],4,FALSE),"-")</f>
        <v>0</v>
      </c>
      <c r="AL1143" s="63" t="str">
        <f>IFERROR(VLOOKUP(Table2[[#This Row],[Contraente]],Table1[[Nome/Ragione sociale]:[Checkbox selezionato]],5,FALSE),"-")</f>
        <v>ROBERTO</v>
      </c>
      <c r="AM1143" s="62">
        <f>IFERROR(VLOOKUP(Table2[[#This Row],[Contraente]],Table1[[Nome/Ragione sociale]:[Checkbox selezionato]],6,FALSE),"-")</f>
        <v>24758</v>
      </c>
      <c r="AN1143" s="63" t="str">
        <f>IFERROR(VLOOKUP(Table2[[#This Row],[Contraente]],Table1[[Nome/Ragione sociale]:[Checkbox selezionato]],7,FALSE),"-")</f>
        <v>papies@libero.it</v>
      </c>
      <c r="AO1143" s="63">
        <f>IFERROR(VLOOKUP(Table2[[#This Row],[Contraente]],Table1[[Nome/Ragione sociale]:[Checkbox selezionato]],8,FALSE),"-")</f>
        <v>0</v>
      </c>
      <c r="AP1143" s="63">
        <f>IFERROR(VLOOKUP(Table2[[#This Row],[Contraente]],Table1[[Nome/Ragione sociale]:[Checkbox selezionato]],10,FALSE),"-")</f>
        <v>3806569255</v>
      </c>
      <c r="AQ1143" s="63" t="str">
        <f>IFERROR(VLOOKUP(Table2[[#This Row],[Contraente]],Table1[[Nome/Ragione sociale]:[Checkbox selezionato]],11,FALSE),"-")</f>
        <v>SI</v>
      </c>
      <c r="AR1143" s="63" t="str">
        <f>IFERROR(VLOOKUP(Table2[[#This Row],[Contraente]],Table1[[Nome/Ragione sociale]:[Checkbox selezionato]],12,FALSE),"-")</f>
        <v>SI</v>
      </c>
    </row>
    <row r="1144" spans="1:44" ht="30" hidden="1" customHeight="1" x14ac:dyDescent="0.25">
      <c r="A1144" s="60" t="str">
        <f>UPPER(LEFT(Table2[[#This Row],[Contraente]],1))</f>
        <v>Z</v>
      </c>
      <c r="B1144" s="60" t="s">
        <v>1634</v>
      </c>
      <c r="C1144" s="97" t="s">
        <v>1093</v>
      </c>
      <c r="D1144" s="98" t="s">
        <v>37</v>
      </c>
      <c r="E1144" s="99">
        <v>106491843</v>
      </c>
      <c r="F1144" s="64">
        <v>42769</v>
      </c>
      <c r="G1144" s="64">
        <f>IFERROR(CALCOLASCADENZA(Table2[[#This Row],[Data attivazione]],Table2[[#This Row],[Rateizzazione]],Table2[[#This Row],[Data ultimo pagamento]],Table2[[#This Row],[Data prossima scadenza manuale]]),"-")</f>
        <v>43135</v>
      </c>
      <c r="H1144" s="67" t="s">
        <v>31</v>
      </c>
      <c r="I1144" s="67" t="s">
        <v>1625</v>
      </c>
      <c r="J1144" s="33">
        <f>IFERROR(Table2[[#This Row],[Importo annuale]]/(12/VLOOKUP(Table2[[#This Row],[Rateizzazione]],TIPI_RATEIZZAZIONI,2,FALSE)),"-")</f>
        <v>1776.68</v>
      </c>
      <c r="K1144" s="88">
        <v>1776.68</v>
      </c>
      <c r="L1144" s="88">
        <v>1776.68</v>
      </c>
      <c r="M1144" s="67" t="s">
        <v>44</v>
      </c>
      <c r="N1144" s="67" t="s">
        <v>51</v>
      </c>
      <c r="O1144" s="27" t="s">
        <v>1631</v>
      </c>
      <c r="P1144" s="67" t="s">
        <v>23</v>
      </c>
      <c r="Q1144" s="60">
        <f>IFERROR(IF(12 / VLOOKUP(Table2[[#This Row],[Rateizzazione]],TIPI_RATEIZZAZIONI,2,FALSE) &gt;=1,  IF(Table2[[#This Row],[Data attivazione]] = "","-",MONTH(Table2[[#This Row],[Data attivazione]])),"-"),"-")</f>
        <v>2</v>
      </c>
      <c r="R11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4" s="67" t="s">
        <v>2</v>
      </c>
      <c r="V1144" s="62"/>
      <c r="W1144" s="64">
        <v>42770</v>
      </c>
      <c r="X1144" s="29">
        <f>DATE(YEAR(Table2[[#This Row],[Data attivazione]])+VLOOKUP(Table2[[#This Row],[Durata]],VALORE_DURATA,2,FALSE),MONTH(Table2[[#This Row],[Data attivazione]]),DAY(Table2[[#This Row],[Data attivazione]]))</f>
        <v>43135</v>
      </c>
      <c r="Y1144" s="65"/>
      <c r="Z1144" s="61"/>
      <c r="AA1144" s="67" t="s">
        <v>85</v>
      </c>
      <c r="AB1144" s="29" t="str">
        <f>IF(Table2[[#This Row],[Data ultimo versamento temp]]=0/1/1900,"-",Table2[[#This Row],[Data ultimo versamento temp]])</f>
        <v>-</v>
      </c>
      <c r="AC1144" s="29">
        <f t="array" ref="AC1144">MAX(IF(TableVersamenti[Polizza]=Table2[[#This Row],[Polizza]],TableVersamenti[Data prevista versamento],"-"))</f>
        <v>0</v>
      </c>
      <c r="AD1144" s="62"/>
      <c r="AE1144" s="106">
        <f>DATE(YEAR(Table2[[#This Row],[Data ultimo pagamento]]),MONTH(Table2[[#This Row],[Data ultimo pagamento]]), 1)</f>
        <v>42767</v>
      </c>
      <c r="AF1144" s="106">
        <f>DATE(YEAR(Table2[[#This Row],[Data prossima scadenza]]),MONTH(Table2[[#This Row],[Data prossima scadenza]]), 1)</f>
        <v>43132</v>
      </c>
      <c r="AG1144" s="103">
        <f>IFERROR(Table2[[#This Row],[Importo annuale]]*VLOOKUP(Table2[[#This Row],[Ramo]],RAMI_POLIZZA,2,FALSE),0)</f>
        <v>92.387360000000001</v>
      </c>
      <c r="AH1144" s="65" t="s">
        <v>113</v>
      </c>
      <c r="AI1144" s="63" t="str">
        <f>IFERROR(VLOOKUP(Table2[[#This Row],[Contraente]],Table1[[Nome/Ragione sociale]:[Checkbox selezionato]],2,FALSE),"-")</f>
        <v>CORTEOLONA</v>
      </c>
      <c r="AJ1144" s="63">
        <f>IFERROR(VLOOKUP(Table2[[#This Row],[Contraente]],Table1[[Nome/Ragione sociale]:[Checkbox selezionato]],3,FALSE),"-")</f>
        <v>3806569255</v>
      </c>
      <c r="AK1144" s="63">
        <f>IFERROR(VLOOKUP(Table2[[#This Row],[Contraente]],Table1[[Nome/Ragione sociale]:[Checkbox selezionato]],4,FALSE),"-")</f>
        <v>0</v>
      </c>
      <c r="AL1144" s="63" t="str">
        <f>IFERROR(VLOOKUP(Table2[[#This Row],[Contraente]],Table1[[Nome/Ragione sociale]:[Checkbox selezionato]],5,FALSE),"-")</f>
        <v>ROBERTO</v>
      </c>
      <c r="AM1144" s="62">
        <f>IFERROR(VLOOKUP(Table2[[#This Row],[Contraente]],Table1[[Nome/Ragione sociale]:[Checkbox selezionato]],6,FALSE),"-")</f>
        <v>24760</v>
      </c>
      <c r="AN1144" s="63" t="str">
        <f>IFERROR(VLOOKUP(Table2[[#This Row],[Contraente]],Table1[[Nome/Ragione sociale]:[Checkbox selezionato]],7,FALSE),"-")</f>
        <v>papies@libero.it</v>
      </c>
      <c r="AO1144" s="63">
        <f>IFERROR(VLOOKUP(Table2[[#This Row],[Contraente]],Table1[[Nome/Ragione sociale]:[Checkbox selezionato]],8,FALSE),"-")</f>
        <v>0</v>
      </c>
      <c r="AP1144" s="63">
        <f>IFERROR(VLOOKUP(Table2[[#This Row],[Contraente]],Table1[[Nome/Ragione sociale]:[Checkbox selezionato]],10,FALSE),"-")</f>
        <v>3806569255</v>
      </c>
      <c r="AQ1144" s="63" t="str">
        <f>IFERROR(VLOOKUP(Table2[[#This Row],[Contraente]],Table1[[Nome/Ragione sociale]:[Checkbox selezionato]],11,FALSE),"-")</f>
        <v>SI</v>
      </c>
      <c r="AR1144" s="63" t="str">
        <f>IFERROR(VLOOKUP(Table2[[#This Row],[Contraente]],Table1[[Nome/Ragione sociale]:[Checkbox selezionato]],12,FALSE),"-")</f>
        <v>SI</v>
      </c>
    </row>
    <row r="1145" spans="1:44" ht="30" hidden="1" customHeight="1" x14ac:dyDescent="0.25">
      <c r="A1145" s="60" t="str">
        <f>UPPER(LEFT(Table2[[#This Row],[Contraente]],1))</f>
        <v/>
      </c>
      <c r="B1145" s="60" t="s">
        <v>1634</v>
      </c>
      <c r="C1145" s="97"/>
      <c r="D1145" s="98"/>
      <c r="E1145" s="99"/>
      <c r="F1145" s="109"/>
      <c r="G1145" s="64" t="str">
        <f>IFERROR(CALCOLASCADENZA(Table2[[#This Row],[Data attivazione]],Table2[[#This Row],[Rateizzazione]],Table2[[#This Row],[Data ultimo pagamento]],Table2[[#This Row],[Data prossima scadenza manuale]]),"-")</f>
        <v>-</v>
      </c>
      <c r="H1145" s="64"/>
      <c r="I1145" s="64"/>
      <c r="J1145" s="92" t="str">
        <f>IFERROR(Table2[[#This Row],[Importo annuale]]/(12/VLOOKUP(Table2[[#This Row],[Rateizzazione]],TIPI_RATEIZZAZIONI,2,FALSE)),"-")</f>
        <v>-</v>
      </c>
      <c r="K1145" s="69"/>
      <c r="L1145" s="69"/>
      <c r="M1145" s="92"/>
      <c r="N1145" s="92"/>
      <c r="O1145" s="67"/>
      <c r="P1145" s="92"/>
      <c r="Q114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5" s="60"/>
      <c r="V1145" s="62"/>
      <c r="W1145" s="64"/>
      <c r="X1145" s="29" t="e">
        <f>DATE(YEAR(Table2[[#This Row],[Data attivazione]])+VLOOKUP(Table2[[#This Row],[Durata]],VALORE_DURATA,2,FALSE),MONTH(Table2[[#This Row],[Data attivazione]]),DAY(Table2[[#This Row],[Data attivazione]]))</f>
        <v>#N/A</v>
      </c>
      <c r="Y1145" s="65"/>
      <c r="Z1145" s="61"/>
      <c r="AA1145" s="64"/>
      <c r="AB1145" s="29" t="str">
        <f>IF(Table2[[#This Row],[Data ultimo versamento temp]]=0/1/1900,"-",Table2[[#This Row],[Data ultimo versamento temp]])</f>
        <v>-</v>
      </c>
      <c r="AC1145" s="29">
        <f t="array" ref="AC1145">MAX(IF(TableVersamenti[Polizza]=Table2[[#This Row],[Polizza]],TableVersamenti[Data prevista versamento],"-"))</f>
        <v>0</v>
      </c>
      <c r="AD1145" s="62"/>
      <c r="AE1145" s="105">
        <f>DATE(YEAR(Table2[[#This Row],[Data ultimo pagamento]]),MONTH(Table2[[#This Row],[Data ultimo pagamento]]), 1)</f>
        <v>1</v>
      </c>
      <c r="AF1145" s="106" t="e">
        <f>DATE(YEAR(Table2[[#This Row],[Data prossima scadenza]]),MONTH(Table2[[#This Row],[Data prossima scadenza]]), 1)</f>
        <v>#VALUE!</v>
      </c>
      <c r="AG1145" s="92">
        <f>IFERROR(Table2[[#This Row],[Importo annuale]]*VLOOKUP(Table2[[#This Row],[Ramo]],RAMI_POLIZZA,2,FALSE),0)</f>
        <v>0</v>
      </c>
      <c r="AH1145" s="65"/>
      <c r="AI1145" s="63" t="str">
        <f>IFERROR(VLOOKUP(Table2[[#This Row],[Contraente]],Table1[[Nome/Ragione sociale]:[Checkbox selezionato]],2,FALSE),"-")</f>
        <v>-</v>
      </c>
      <c r="AJ1145" s="63" t="str">
        <f>IFERROR(VLOOKUP(Table2[[#This Row],[Contraente]],Table1[[Nome/Ragione sociale]:[Checkbox selezionato]],3,FALSE),"-")</f>
        <v>-</v>
      </c>
      <c r="AK1145" s="63" t="str">
        <f>IFERROR(VLOOKUP(Table2[[#This Row],[Contraente]],Table1[[Nome/Ragione sociale]:[Checkbox selezionato]],4,FALSE),"-")</f>
        <v>-</v>
      </c>
      <c r="AL1145" s="63" t="str">
        <f>IFERROR(VLOOKUP(Table2[[#This Row],[Contraente]],Table1[[Nome/Ragione sociale]:[Checkbox selezionato]],5,FALSE),"-")</f>
        <v>-</v>
      </c>
      <c r="AM1145" s="62" t="str">
        <f>IFERROR(VLOOKUP(Table2[[#This Row],[Contraente]],Table1[[Nome/Ragione sociale]:[Checkbox selezionato]],6,FALSE),"-")</f>
        <v>-</v>
      </c>
      <c r="AN1145" s="63" t="str">
        <f>IFERROR(VLOOKUP(Table2[[#This Row],[Contraente]],Table1[[Nome/Ragione sociale]:[Checkbox selezionato]],7,FALSE),"-")</f>
        <v>-</v>
      </c>
      <c r="AO1145" s="63" t="str">
        <f>IFERROR(VLOOKUP(Table2[[#This Row],[Contraente]],Table1[[Nome/Ragione sociale]:[Checkbox selezionato]],8,FALSE),"-")</f>
        <v>-</v>
      </c>
      <c r="AP1145" s="63" t="str">
        <f>IFERROR(VLOOKUP(Table2[[#This Row],[Contraente]],Table1[[Nome/Ragione sociale]:[Checkbox selezionato]],10,FALSE),"-")</f>
        <v>-</v>
      </c>
      <c r="AQ1145" s="63" t="str">
        <f>IFERROR(VLOOKUP(Table2[[#This Row],[Contraente]],Table1[[Nome/Ragione sociale]:[Checkbox selezionato]],11,FALSE),"-")</f>
        <v>-</v>
      </c>
      <c r="AR1145" s="63" t="str">
        <f>IFERROR(VLOOKUP(Table2[[#This Row],[Contraente]],Table1[[Nome/Ragione sociale]:[Checkbox selezionato]],12,FALSE),"-")</f>
        <v>-</v>
      </c>
    </row>
    <row r="1147" spans="1:44" x14ac:dyDescent="0.25">
      <c r="J1147" s="122">
        <f>SUBTOTAL(9,Table2[Importo rata])</f>
        <v>1063</v>
      </c>
      <c r="K1147" s="122">
        <f>SUBTOTAL(9,Table2[Incassato anno])</f>
        <v>347</v>
      </c>
      <c r="L1147" s="122">
        <f>SUBTOTAL(9,Table2[Importo annuale])</f>
        <v>1413</v>
      </c>
    </row>
  </sheetData>
  <dataConsolidate/>
  <conditionalFormatting sqref="A6:A1145">
    <cfRule type="expression" dxfId="562" priority="23" stopIfTrue="1">
      <formula>IF($A6="Z",TRUE,FALSE)</formula>
    </cfRule>
    <cfRule type="expression" dxfId="561" priority="24" stopIfTrue="1">
      <formula>IF($A6="Y",TRUE,FALSE)</formula>
    </cfRule>
    <cfRule type="expression" dxfId="560" priority="25" stopIfTrue="1">
      <formula>IF($A6="X",TRUE,FALSE)</formula>
    </cfRule>
    <cfRule type="expression" dxfId="559" priority="26" stopIfTrue="1">
      <formula>IF($A6="W",TRUE,FALSE)</formula>
    </cfRule>
    <cfRule type="expression" dxfId="558" priority="27" stopIfTrue="1">
      <formula>IF($A6="V",TRUE,FALSE)</formula>
    </cfRule>
    <cfRule type="expression" dxfId="557" priority="28" stopIfTrue="1">
      <formula>IF($A6="U",TRUE,FALSE)</formula>
    </cfRule>
    <cfRule type="expression" dxfId="556" priority="30" stopIfTrue="1">
      <formula>IF($A6="T",TRUE,FALSE)</formula>
    </cfRule>
    <cfRule type="expression" dxfId="555" priority="31" stopIfTrue="1">
      <formula>IF($A6="S",TRUE,FALSE)</formula>
    </cfRule>
    <cfRule type="expression" dxfId="554" priority="32" stopIfTrue="1">
      <formula>IF($A6="R",TRUE,FALSE)</formula>
    </cfRule>
    <cfRule type="expression" dxfId="553" priority="33" stopIfTrue="1">
      <formula>IF($A6="Q",TRUE,FALSE)</formula>
    </cfRule>
    <cfRule type="expression" dxfId="552" priority="34" stopIfTrue="1">
      <formula>IF($A6="P",TRUE,FALSE)</formula>
    </cfRule>
    <cfRule type="expression" dxfId="551" priority="35" stopIfTrue="1">
      <formula>IF($A6="O",TRUE,FALSE)</formula>
    </cfRule>
    <cfRule type="expression" dxfId="550" priority="36" stopIfTrue="1">
      <formula>IF($A6="N",TRUE,FALSE)</formula>
    </cfRule>
    <cfRule type="expression" dxfId="549" priority="37" stopIfTrue="1">
      <formula>IF($A6="N",TRUE,FALSE)</formula>
    </cfRule>
    <cfRule type="expression" dxfId="548" priority="38" stopIfTrue="1">
      <formula>IF($A6="M",TRUE,FALSE)</formula>
    </cfRule>
    <cfRule type="expression" dxfId="547" priority="39" stopIfTrue="1">
      <formula>IF($A6="L",TRUE,FALSE)</formula>
    </cfRule>
    <cfRule type="expression" dxfId="546" priority="40" stopIfTrue="1">
      <formula>IF($A6="K",TRUE,FALSE)</formula>
    </cfRule>
    <cfRule type="expression" dxfId="545" priority="41" stopIfTrue="1">
      <formula>IF($A6="J",TRUE,FALSE)</formula>
    </cfRule>
    <cfRule type="expression" dxfId="544" priority="42" stopIfTrue="1">
      <formula>IF($A6="I",TRUE,FALSE)</formula>
    </cfRule>
    <cfRule type="expression" dxfId="543" priority="43" stopIfTrue="1">
      <formula>IF($A6="H",TRUE,FALSE)</formula>
    </cfRule>
    <cfRule type="expression" dxfId="542" priority="44" stopIfTrue="1">
      <formula>IF($A6="G",TRUE,FALSE)</formula>
    </cfRule>
    <cfRule type="expression" dxfId="541" priority="45" stopIfTrue="1">
      <formula>IF($A6="F",TRUE,FALSE)</formula>
    </cfRule>
    <cfRule type="expression" dxfId="540" priority="46" stopIfTrue="1">
      <formula>IF($A6="E",TRUE,FALSE)</formula>
    </cfRule>
    <cfRule type="expression" dxfId="539" priority="47" stopIfTrue="1">
      <formula>IF($A6="D",TRUE,FALSE)</formula>
    </cfRule>
    <cfRule type="expression" dxfId="538" priority="48" stopIfTrue="1">
      <formula>IF($A6="C",TRUE,FALSE)</formula>
    </cfRule>
    <cfRule type="expression" dxfId="537" priority="49" stopIfTrue="1">
      <formula>IF($A6="B",TRUE,FALSE)</formula>
    </cfRule>
    <cfRule type="expression" dxfId="536" priority="50" stopIfTrue="1">
      <formula>IF($A6="A",TRUE,FALSE)</formula>
    </cfRule>
  </conditionalFormatting>
  <dataValidations count="9">
    <dataValidation type="list" allowBlank="1" showInputMessage="1" showErrorMessage="1" sqref="P6:P1145">
      <formula1>NOMI_TIPI_RATEIZZAZIONI</formula1>
    </dataValidation>
    <dataValidation type="list" allowBlank="1" showInputMessage="1" showErrorMessage="1" sqref="C6:C1145">
      <formula1>NOMI_CLIENTI</formula1>
    </dataValidation>
    <dataValidation type="list" allowBlank="1" showInputMessage="1" showErrorMessage="1" sqref="D6:D1145">
      <formula1>NOMI_COMPAGNIE</formula1>
    </dataValidation>
    <dataValidation type="list" allowBlank="1" showInputMessage="1" showErrorMessage="1" sqref="H6:H1145">
      <formula1>NOMI_RAMI_POLIZZA</formula1>
    </dataValidation>
    <dataValidation type="list" allowBlank="1" showInputMessage="1" showErrorMessage="1" sqref="M6:M1145">
      <formula1>NOMI_TIPOLOGIE_PAGAMENTO</formula1>
    </dataValidation>
    <dataValidation type="list" allowBlank="1" showInputMessage="1" showErrorMessage="1" sqref="N6:N1145">
      <formula1>OI_ON</formula1>
    </dataValidation>
    <dataValidation type="list" allowBlank="1" showInputMessage="1" showErrorMessage="1" sqref="AA6:AA1145">
      <formula1>NOMI_STATI_POLIZZA</formula1>
    </dataValidation>
    <dataValidation type="list" allowBlank="1" showInputMessage="1" showErrorMessage="1" sqref="AH6:AH1145">
      <formula1>NOMI_AZIONI_POLIZZA</formula1>
    </dataValidation>
    <dataValidation type="list" allowBlank="1" showInputMessage="1" showErrorMessage="1" sqref="O6:O1145">
      <formula1>DURATA</formula1>
    </dataValidation>
  </dataValidations>
  <pageMargins left="0.70866141732283472" right="0.70866141732283472" top="0.74803149606299213" bottom="0.74803149606299213" header="0.31496062992125984" footer="0.31496062992125984"/>
  <pageSetup paperSize="9" scale="47" orientation="landscape" r:id="rId1"/>
  <colBreaks count="1" manualBreakCount="1">
    <brk id="22" max="1048575" man="1"/>
  </colBreaks>
  <drawing r:id="rId2"/>
  <legacyDrawing r:id="rId3"/>
  <controls>
    <mc:AlternateContent xmlns:mc="http://schemas.openxmlformats.org/markup-compatibility/2006">
      <mc:Choice Requires="x14">
        <control shapeId="3087" r:id="rId4" name="TextBox1">
          <controlPr defaultSize="0" autoLine="0" r:id="rId5">
            <anchor moveWithCells="1">
              <from>
                <xdr:col>5</xdr:col>
                <xdr:colOff>171450</xdr:colOff>
                <xdr:row>0</xdr:row>
                <xdr:rowOff>95250</xdr:rowOff>
              </from>
              <to>
                <xdr:col>8</xdr:col>
                <xdr:colOff>352425</xdr:colOff>
                <xdr:row>2</xdr:row>
                <xdr:rowOff>28575</xdr:rowOff>
              </to>
            </anchor>
          </controlPr>
        </control>
      </mc:Choice>
      <mc:Fallback>
        <control shapeId="3087" r:id="rId4" name="TextBox1"/>
      </mc:Fallback>
    </mc:AlternateContent>
    <mc:AlternateContent xmlns:mc="http://schemas.openxmlformats.org/markup-compatibility/2006">
      <mc:Choice Requires="x14">
        <control shapeId="3094" r:id="rId6" name="TextBox2">
          <controlPr defaultSize="0" autoLine="0" r:id="rId7">
            <anchor moveWithCells="1">
              <from>
                <xdr:col>5</xdr:col>
                <xdr:colOff>171450</xdr:colOff>
                <xdr:row>2</xdr:row>
                <xdr:rowOff>85725</xdr:rowOff>
              </from>
              <to>
                <xdr:col>6</xdr:col>
                <xdr:colOff>838200</xdr:colOff>
                <xdr:row>3</xdr:row>
                <xdr:rowOff>161925</xdr:rowOff>
              </to>
            </anchor>
          </controlPr>
        </control>
      </mc:Choice>
      <mc:Fallback>
        <control shapeId="3094" r:id="rId6" name="TextBox2"/>
      </mc:Fallback>
    </mc:AlternateContent>
    <mc:AlternateContent xmlns:mc="http://schemas.openxmlformats.org/markup-compatibility/2006">
      <mc:Choice Requires="x14">
        <control shapeId="3073" r:id="rId8" name="Button 1">
          <controlPr defaultSize="0" print="0" autoFill="0" autoPict="0" macro="[0]!FiltraFoglioIncassiGiornaliero">
            <anchor moveWithCells="1" sizeWithCells="1">
              <from>
                <xdr:col>6</xdr:col>
                <xdr:colOff>952500</xdr:colOff>
                <xdr:row>2</xdr:row>
                <xdr:rowOff>28575</xdr:rowOff>
              </from>
              <to>
                <xdr:col>7</xdr:col>
                <xdr:colOff>438150</xdr:colOff>
                <xdr:row>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9" name="Button 2">
          <controlPr defaultSize="0" print="0" autoFill="0" autoPict="0" macro="[0]!FiltraPolizzeAttive">
            <anchor moveWithCells="1" sizeWithCells="1">
              <from>
                <xdr:col>4</xdr:col>
                <xdr:colOff>47625</xdr:colOff>
                <xdr:row>0</xdr:row>
                <xdr:rowOff>95250</xdr:rowOff>
              </from>
              <to>
                <xdr:col>4</xdr:col>
                <xdr:colOff>914400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10" name="Button 4">
          <controlPr defaultSize="0" print="0" autoFill="0" autoPict="0" macro="[0]!PulisciFiltri">
            <anchor moveWithCells="1" sizeWithCells="1">
              <from>
                <xdr:col>3</xdr:col>
                <xdr:colOff>180975</xdr:colOff>
                <xdr:row>0</xdr:row>
                <xdr:rowOff>95250</xdr:rowOff>
              </from>
              <to>
                <xdr:col>3</xdr:col>
                <xdr:colOff>1047750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CreaStampaUnione">
            <anchor moveWithCells="1" sizeWithCells="1">
              <from>
                <xdr:col>10</xdr:col>
                <xdr:colOff>752475</xdr:colOff>
                <xdr:row>0</xdr:row>
                <xdr:rowOff>85725</xdr:rowOff>
              </from>
              <to>
                <xdr:col>13</xdr:col>
                <xdr:colOff>333375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2" name="Button 13">
          <controlPr defaultSize="0" print="0" autoFill="0" autoPict="0" macro="[0]!SelezionaTuttiCheckboxPolizze">
            <anchor moveWithCells="1" sizeWithCells="1">
              <from>
                <xdr:col>2</xdr:col>
                <xdr:colOff>1676400</xdr:colOff>
                <xdr:row>0</xdr:row>
                <xdr:rowOff>47625</xdr:rowOff>
              </from>
              <to>
                <xdr:col>2</xdr:col>
                <xdr:colOff>2676525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3" name="Button 14">
          <controlPr defaultSize="0" print="0" autoFill="0" autoPict="0" macro="[0]!DeselezionaTuttiCheckboxPolizze">
            <anchor moveWithCells="1" sizeWithCells="1">
              <from>
                <xdr:col>2</xdr:col>
                <xdr:colOff>1609725</xdr:colOff>
                <xdr:row>1</xdr:row>
                <xdr:rowOff>152400</xdr:rowOff>
              </from>
              <to>
                <xdr:col>2</xdr:col>
                <xdr:colOff>2733675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14" name="Option Button 16">
          <controlPr defaultSize="0" autoFill="0" autoLine="0" autoPict="0">
            <anchor moveWithCells="1">
              <from>
                <xdr:col>8</xdr:col>
                <xdr:colOff>390525</xdr:colOff>
                <xdr:row>0</xdr:row>
                <xdr:rowOff>85725</xdr:rowOff>
              </from>
              <to>
                <xdr:col>9</xdr:col>
                <xdr:colOff>0</xdr:colOff>
                <xdr:row>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15" name="Option Button 17">
          <controlPr defaultSize="0" autoFill="0" autoLine="0" autoPict="0">
            <anchor moveWithCells="1">
              <from>
                <xdr:col>9</xdr:col>
                <xdr:colOff>171450</xdr:colOff>
                <xdr:row>0</xdr:row>
                <xdr:rowOff>133350</xdr:rowOff>
              </from>
              <to>
                <xdr:col>9</xdr:col>
                <xdr:colOff>571500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16" name="Button 19">
          <controlPr defaultSize="0" print="0" autoFill="0" autoPict="0" macro="[0]!CercaClientiPolizze">
            <anchor moveWithCells="1" sizeWithCells="1">
              <from>
                <xdr:col>9</xdr:col>
                <xdr:colOff>790575</xdr:colOff>
                <xdr:row>0</xdr:row>
                <xdr:rowOff>47625</xdr:rowOff>
              </from>
              <to>
                <xdr:col>10</xdr:col>
                <xdr:colOff>323850</xdr:colOff>
                <xdr:row>2</xdr:row>
                <xdr:rowOff>9525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4" stopIfTrue="1" id="{D28C887E-06D8-4C8A-98A2-77F94B4CE3A0}">
            <xm:f>AND($AA6 = "DISATTIVA", AND($G6 &lt;&gt; "-", $G6 &lt;=Configurazioni!$C$15))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25" id="{7D43219B-9A45-419C-AB71-DBB2E1B2F29E}">
            <xm:f>AND($AA6="DISATTIVA",AND($G6 &lt;&gt; "-", $G6 &lt;=Configurazioni!$C$14))</xm:f>
            <x14:dxf>
              <fill>
                <patternFill>
                  <bgColor rgb="FFFDFD67"/>
                </patternFill>
              </fill>
            </x14:dxf>
          </x14:cfRule>
          <xm:sqref>Y6:Y1145 B13:C15 G13:G15 B16:G1145 Q6:U1145 B6:G12 AE6:AR1145</xm:sqref>
        </x14:conditionalFormatting>
        <x14:conditionalFormatting xmlns:xm="http://schemas.microsoft.com/office/excel/2006/main">
          <x14:cfRule type="expression" priority="338" stopIfTrue="1" id="{AAA2E526-0654-4AEC-B145-6C1993BFC3A8}">
            <xm:f>AND($G13 = "ATTIVA", AND($Y13 &lt;&gt; "-", $Y13 &lt;='\Users\mpapett\Downloads\[mastropietro_assicurazioni_venerdi.xlsm]Configurazioni'!#REF!))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39" id="{5E3A001B-34A5-4A89-867F-18053ABC0469}">
            <xm:f>AND($G13="ATTIVA",AND($Y13 &lt;&gt; "-", $Y13 &lt;='\Users\mpapett\Downloads\[mastropietro_assicurazioni_venerdi.xlsm]Configurazioni'!#REF!))</xm:f>
            <x14:dxf>
              <fill>
                <patternFill>
                  <bgColor rgb="FFFDFD67"/>
                </patternFill>
              </fill>
            </x14:dxf>
          </x14:cfRule>
          <xm:sqref>D13:E15</xm:sqref>
        </x14:conditionalFormatting>
        <x14:conditionalFormatting xmlns:xm="http://schemas.microsoft.com/office/excel/2006/main">
          <x14:cfRule type="expression" priority="340" stopIfTrue="1" id="{A9DACBA6-E699-4DC5-AA46-76003026F788}">
            <xm:f>AND($G13 = "ATTIVA", AND($Y13 &lt;&gt; "-", $Y13 &lt;='\Users\mpapett\Downloads\[mastropietro_assicurazioni_venerdi.xlsm]Configurazioni'!#REF!))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41" id="{480D68EF-6FB1-4B16-9EC3-E91915D6DAE2}">
            <xm:f>AND($G13="ATTIVA",AND($Y13 &lt;&gt; "-", $Y13 &lt;='\Users\mpapett\Downloads\[mastropietro_assicurazioni_venerdi.xlsm]Configurazioni'!#REF!))</xm:f>
            <x14:dxf>
              <fill>
                <patternFill>
                  <bgColor rgb="FFFDFD67"/>
                </patternFill>
              </fill>
            </x14:dxf>
          </x14:cfRule>
          <xm:sqref>F13:F15 H13:I15 P13:P15 K13:N15 W13:W15 AA13:AA15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V15"/>
  <sheetViews>
    <sheetView zoomScale="85" zoomScaleNormal="85" workbookViewId="0">
      <pane ySplit="5" topLeftCell="A6" activePane="bottomLeft" state="frozen"/>
      <selection pane="bottomLeft" activeCell="D32" sqref="D32"/>
    </sheetView>
  </sheetViews>
  <sheetFormatPr defaultRowHeight="15" outlineLevelCol="1" x14ac:dyDescent="0.25"/>
  <cols>
    <col min="1" max="1" width="5" customWidth="1"/>
    <col min="2" max="2" width="10.42578125" bestFit="1" customWidth="1"/>
    <col min="3" max="3" width="41.28515625" bestFit="1" customWidth="1"/>
    <col min="4" max="4" width="15.7109375" bestFit="1" customWidth="1"/>
    <col min="5" max="5" width="13.7109375" bestFit="1" customWidth="1"/>
    <col min="6" max="6" width="11.42578125" bestFit="1" customWidth="1"/>
    <col min="7" max="7" width="15.5703125" bestFit="1" customWidth="1"/>
    <col min="8" max="8" width="11.28515625" bestFit="1" customWidth="1"/>
    <col min="9" max="9" width="13.140625" bestFit="1" customWidth="1"/>
    <col min="10" max="10" width="16" bestFit="1" customWidth="1"/>
    <col min="11" max="11" width="13.140625" bestFit="1" customWidth="1"/>
    <col min="12" max="12" width="20.140625" bestFit="1" customWidth="1"/>
    <col min="13" max="13" width="11.85546875" bestFit="1" customWidth="1"/>
    <col min="14" max="14" width="11.5703125" bestFit="1" customWidth="1"/>
    <col min="15" max="15" width="26.140625" hidden="1" customWidth="1" outlineLevel="1"/>
    <col min="16" max="16" width="18" hidden="1" customWidth="1" outlineLevel="1"/>
    <col min="17" max="17" width="21.85546875" hidden="1" customWidth="1" outlineLevel="1"/>
    <col min="18" max="18" width="24.5703125" hidden="1" customWidth="1" outlineLevel="1"/>
    <col min="19" max="19" width="19.140625" hidden="1" customWidth="1" outlineLevel="1"/>
    <col min="20" max="20" width="11.85546875" hidden="1" customWidth="1" outlineLevel="1"/>
    <col min="21" max="21" width="10.5703125" hidden="1" customWidth="1" outlineLevel="1"/>
    <col min="22" max="22" width="19.28515625" customWidth="1" collapsed="1"/>
    <col min="23" max="29" width="23" customWidth="1"/>
  </cols>
  <sheetData>
    <row r="5" spans="1:21" ht="43.5" customHeight="1" thickBot="1" x14ac:dyDescent="0.3">
      <c r="A5" s="56" t="s">
        <v>64</v>
      </c>
      <c r="B5" s="56" t="s">
        <v>26</v>
      </c>
      <c r="C5" s="56" t="s">
        <v>11</v>
      </c>
      <c r="D5" s="56" t="s">
        <v>35</v>
      </c>
      <c r="E5" s="56" t="s">
        <v>1101</v>
      </c>
      <c r="F5" s="56" t="s">
        <v>40</v>
      </c>
      <c r="G5" s="56" t="s">
        <v>41</v>
      </c>
      <c r="H5" s="56" t="s">
        <v>59</v>
      </c>
      <c r="I5" s="56" t="s">
        <v>60</v>
      </c>
      <c r="J5" s="56" t="s">
        <v>12</v>
      </c>
      <c r="K5" s="56" t="s">
        <v>61</v>
      </c>
      <c r="L5" s="56" t="s">
        <v>47</v>
      </c>
      <c r="M5" s="56" t="s">
        <v>50</v>
      </c>
      <c r="N5" s="56" t="s">
        <v>1102</v>
      </c>
      <c r="O5" s="57" t="s">
        <v>5</v>
      </c>
      <c r="P5" s="57" t="s">
        <v>7</v>
      </c>
      <c r="Q5" s="57" t="s">
        <v>6</v>
      </c>
      <c r="R5" s="57" t="s">
        <v>8</v>
      </c>
      <c r="S5" s="57" t="s">
        <v>1098</v>
      </c>
      <c r="T5" s="57" t="s">
        <v>1099</v>
      </c>
      <c r="U5" s="57" t="s">
        <v>1100</v>
      </c>
    </row>
    <row r="6" spans="1:21" ht="30" customHeight="1" x14ac:dyDescent="0.25">
      <c r="A6" s="71"/>
      <c r="B6" s="27" t="s">
        <v>1094</v>
      </c>
      <c r="C6" s="72"/>
      <c r="D6" s="76"/>
      <c r="E6" s="76"/>
      <c r="F6" s="76"/>
      <c r="G6" s="76"/>
      <c r="H6" s="76"/>
      <c r="I6" s="40"/>
      <c r="J6" s="76"/>
      <c r="K6" s="92" t="str">
        <f>IFERROR(Table214[[#This Row],[Importo annuale]]/(12/VLOOKUP(Table214[[#This Row],[Rateizzazione]],TIPI_RATEIZZAZIONI,2,FALSE)),"-")</f>
        <v>-</v>
      </c>
      <c r="L6" s="76"/>
      <c r="M6" s="76"/>
      <c r="N6" s="77"/>
      <c r="O6" s="73" t="str">
        <f>IFERROR(VLOOKUP(Table214[[#This Row],[Contraente]],Table1[[Nome/Ragione sociale]:[Checkbox selezionato]],2,FALSE),"-")</f>
        <v>-</v>
      </c>
      <c r="P6" s="73" t="str">
        <f>IFERROR(VLOOKUP(Table214[[#This Row],[Contraente]],Table1[[Nome/Ragione sociale]:[Checkbox selezionato]],3,FALSE),"-")</f>
        <v>-</v>
      </c>
      <c r="Q6" s="73" t="str">
        <f>IFERROR(VLOOKUP(Table214[[#This Row],[Contraente]],Table1[[Nome/Ragione sociale]:[Checkbox selezionato]],4,FALSE),"-")</f>
        <v>-</v>
      </c>
      <c r="R6" s="73" t="str">
        <f>IFERROR(VLOOKUP(Table214[[#This Row],[Contraente]],Table1[[Nome/Ragione sociale]:[Checkbox selezionato]],5,FALSE),"-")</f>
        <v>-</v>
      </c>
      <c r="S6" s="74" t="str">
        <f>IFERROR(VLOOKUP(Table214[[#This Row],[Contraente]],Table1[[Nome/Ragione sociale]:[Checkbox selezionato]],6,FALSE),"-")</f>
        <v>-</v>
      </c>
      <c r="T6" s="75" t="str">
        <f>IFERROR(VLOOKUP(Table214[[#This Row],[Contraente]],Table1[[Nome/Ragione sociale]:[Checkbox selezionato]],7,FALSE),"-")</f>
        <v>-</v>
      </c>
      <c r="U6" s="75" t="str">
        <f>IFERROR(VLOOKUP(Table214[[#This Row],[Contraente]],Table1[[Nome/Ragione sociale]:[Checkbox selezionato]],8,FALSE),"-")</f>
        <v>-</v>
      </c>
    </row>
    <row r="7" spans="1:21" ht="30" customHeight="1" x14ac:dyDescent="0.25">
      <c r="A7" s="60" t="str">
        <f>UPPER(LEFT(Table214[[#This Row],[Contraente]],1))</f>
        <v/>
      </c>
      <c r="B7" s="27" t="s">
        <v>1094</v>
      </c>
      <c r="C7" s="41"/>
      <c r="D7" s="67"/>
      <c r="E7" s="67"/>
      <c r="F7" s="67"/>
      <c r="G7" s="67"/>
      <c r="H7" s="67"/>
      <c r="I7" s="100"/>
      <c r="J7" s="67"/>
      <c r="K7" s="92" t="str">
        <f>IFERROR(Table214[[#This Row],[Importo annuale]]/(12/VLOOKUP(Table214[[#This Row],[Rateizzazione]],TIPI_RATEIZZAZIONI,2,FALSE)),"-")</f>
        <v>-</v>
      </c>
      <c r="L7" s="67"/>
      <c r="M7" s="67"/>
      <c r="N7" s="65"/>
      <c r="O7" s="65" t="str">
        <f>IFERROR(VLOOKUP(Table214[[#This Row],[Contraente]],Table1[[Nome/Ragione sociale]:[Checkbox selezionato]],2,FALSE),"-")</f>
        <v>-</v>
      </c>
      <c r="P7" s="65" t="str">
        <f>IFERROR(VLOOKUP(Table214[[#This Row],[Contraente]],Table1[[Nome/Ragione sociale]:[Checkbox selezionato]],3,FALSE),"-")</f>
        <v>-</v>
      </c>
      <c r="Q7" s="65" t="str">
        <f>IFERROR(VLOOKUP(Table214[[#This Row],[Contraente]],Table1[[Nome/Ragione sociale]:[Checkbox selezionato]],4,FALSE),"-")</f>
        <v>-</v>
      </c>
      <c r="R7" s="65" t="str">
        <f>IFERROR(VLOOKUP(Table214[[#This Row],[Contraente]],Table1[[Nome/Ragione sociale]:[Checkbox selezionato]],5,FALSE),"-")</f>
        <v>-</v>
      </c>
      <c r="S7" s="62" t="str">
        <f>IFERROR(VLOOKUP(Table214[[#This Row],[Contraente]],Table1[[Nome/Ragione sociale]:[Checkbox selezionato]],6,FALSE),"-")</f>
        <v>-</v>
      </c>
      <c r="T7" s="63" t="str">
        <f>IFERROR(VLOOKUP(Table214[[#This Row],[Contraente]],Table1[[Nome/Ragione sociale]:[Checkbox selezionato]],7,FALSE),"-")</f>
        <v>-</v>
      </c>
      <c r="U7" s="63" t="str">
        <f>IFERROR(VLOOKUP(Table214[[#This Row],[Contraente]],Table1[[Nome/Ragione sociale]:[Checkbox selezionato]],8,FALSE),"-")</f>
        <v>-</v>
      </c>
    </row>
    <row r="8" spans="1:21" ht="30" customHeight="1" x14ac:dyDescent="0.25">
      <c r="A8" s="60" t="str">
        <f>UPPER(LEFT(Table214[[#This Row],[Contraente]],1))</f>
        <v/>
      </c>
      <c r="B8" s="27" t="s">
        <v>1094</v>
      </c>
      <c r="C8" s="41"/>
      <c r="D8" s="67"/>
      <c r="E8" s="67"/>
      <c r="F8" s="67"/>
      <c r="G8" s="67"/>
      <c r="H8" s="67"/>
      <c r="I8" s="100"/>
      <c r="J8" s="67"/>
      <c r="K8" s="92" t="str">
        <f>IFERROR(Table214[[#This Row],[Importo annuale]]/(12/VLOOKUP(Table214[[#This Row],[Rateizzazione]],TIPI_RATEIZZAZIONI,2,FALSE)),"-")</f>
        <v>-</v>
      </c>
      <c r="L8" s="67"/>
      <c r="M8" s="67"/>
      <c r="N8" s="65"/>
      <c r="O8" s="65" t="str">
        <f>IFERROR(VLOOKUP(Table214[[#This Row],[Contraente]],Table1[[Nome/Ragione sociale]:[Checkbox selezionato]],2,FALSE),"-")</f>
        <v>-</v>
      </c>
      <c r="P8" s="65" t="str">
        <f>IFERROR(VLOOKUP(Table214[[#This Row],[Contraente]],Table1[[Nome/Ragione sociale]:[Checkbox selezionato]],3,FALSE),"-")</f>
        <v>-</v>
      </c>
      <c r="Q8" s="65" t="str">
        <f>IFERROR(VLOOKUP(Table214[[#This Row],[Contraente]],Table1[[Nome/Ragione sociale]:[Checkbox selezionato]],4,FALSE),"-")</f>
        <v>-</v>
      </c>
      <c r="R8" s="65" t="str">
        <f>IFERROR(VLOOKUP(Table214[[#This Row],[Contraente]],Table1[[Nome/Ragione sociale]:[Checkbox selezionato]],5,FALSE),"-")</f>
        <v>-</v>
      </c>
      <c r="S8" s="62" t="str">
        <f>IFERROR(VLOOKUP(Table214[[#This Row],[Contraente]],Table1[[Nome/Ragione sociale]:[Checkbox selezionato]],6,FALSE),"-")</f>
        <v>-</v>
      </c>
      <c r="T8" s="63" t="str">
        <f>IFERROR(VLOOKUP(Table214[[#This Row],[Contraente]],Table1[[Nome/Ragione sociale]:[Checkbox selezionato]],7,FALSE),"-")</f>
        <v>-</v>
      </c>
      <c r="U8" s="63" t="str">
        <f>IFERROR(VLOOKUP(Table214[[#This Row],[Contraente]],Table1[[Nome/Ragione sociale]:[Checkbox selezionato]],8,FALSE),"-")</f>
        <v>-</v>
      </c>
    </row>
    <row r="9" spans="1:21" ht="30" customHeight="1" x14ac:dyDescent="0.25">
      <c r="A9" s="60" t="str">
        <f>UPPER(LEFT(Table214[[#This Row],[Contraente]],1))</f>
        <v/>
      </c>
      <c r="B9" s="27" t="s">
        <v>1094</v>
      </c>
      <c r="C9" s="41"/>
      <c r="D9" s="67"/>
      <c r="E9" s="67"/>
      <c r="F9" s="67"/>
      <c r="G9" s="67"/>
      <c r="H9" s="67"/>
      <c r="I9" s="100"/>
      <c r="J9" s="67"/>
      <c r="K9" s="92" t="str">
        <f>IFERROR(Table214[[#This Row],[Importo annuale]]/(12/VLOOKUP(Table214[[#This Row],[Rateizzazione]],TIPI_RATEIZZAZIONI,2,FALSE)),"-")</f>
        <v>-</v>
      </c>
      <c r="L9" s="67"/>
      <c r="M9" s="67"/>
      <c r="N9" s="65"/>
      <c r="O9" s="65" t="str">
        <f>IFERROR(VLOOKUP(Table214[[#This Row],[Contraente]],Table1[[Nome/Ragione sociale]:[Checkbox selezionato]],2,FALSE),"-")</f>
        <v>-</v>
      </c>
      <c r="P9" s="65" t="str">
        <f>IFERROR(VLOOKUP(Table214[[#This Row],[Contraente]],Table1[[Nome/Ragione sociale]:[Checkbox selezionato]],3,FALSE),"-")</f>
        <v>-</v>
      </c>
      <c r="Q9" s="65" t="str">
        <f>IFERROR(VLOOKUP(Table214[[#This Row],[Contraente]],Table1[[Nome/Ragione sociale]:[Checkbox selezionato]],4,FALSE),"-")</f>
        <v>-</v>
      </c>
      <c r="R9" s="65" t="str">
        <f>IFERROR(VLOOKUP(Table214[[#This Row],[Contraente]],Table1[[Nome/Ragione sociale]:[Checkbox selezionato]],5,FALSE),"-")</f>
        <v>-</v>
      </c>
      <c r="S9" s="62" t="str">
        <f>IFERROR(VLOOKUP(Table214[[#This Row],[Contraente]],Table1[[Nome/Ragione sociale]:[Checkbox selezionato]],6,FALSE),"-")</f>
        <v>-</v>
      </c>
      <c r="T9" s="63" t="str">
        <f>IFERROR(VLOOKUP(Table214[[#This Row],[Contraente]],Table1[[Nome/Ragione sociale]:[Checkbox selezionato]],7,FALSE),"-")</f>
        <v>-</v>
      </c>
      <c r="U9" s="63" t="str">
        <f>IFERROR(VLOOKUP(Table214[[#This Row],[Contraente]],Table1[[Nome/Ragione sociale]:[Checkbox selezionato]],8,FALSE),"-")</f>
        <v>-</v>
      </c>
    </row>
    <row r="10" spans="1:21" ht="30" customHeight="1" x14ac:dyDescent="0.25">
      <c r="A10" s="60" t="str">
        <f>UPPER(LEFT(Table214[[#This Row],[Contraente]],1))</f>
        <v/>
      </c>
      <c r="B10" s="27" t="s">
        <v>1094</v>
      </c>
      <c r="C10" s="41"/>
      <c r="D10" s="67"/>
      <c r="E10" s="67"/>
      <c r="F10" s="67"/>
      <c r="G10" s="67"/>
      <c r="H10" s="67"/>
      <c r="I10" s="100"/>
      <c r="J10" s="67"/>
      <c r="K10" s="92" t="str">
        <f>IFERROR(Table214[[#This Row],[Importo annuale]]/(12/VLOOKUP(Table214[[#This Row],[Rateizzazione]],TIPI_RATEIZZAZIONI,2,FALSE)),"-")</f>
        <v>-</v>
      </c>
      <c r="L10" s="67"/>
      <c r="M10" s="67"/>
      <c r="N10" s="65"/>
      <c r="O10" s="65" t="str">
        <f>IFERROR(VLOOKUP(Table214[[#This Row],[Contraente]],Table1[[Nome/Ragione sociale]:[Checkbox selezionato]],2,FALSE),"-")</f>
        <v>-</v>
      </c>
      <c r="P10" s="65" t="str">
        <f>IFERROR(VLOOKUP(Table214[[#This Row],[Contraente]],Table1[[Nome/Ragione sociale]:[Checkbox selezionato]],3,FALSE),"-")</f>
        <v>-</v>
      </c>
      <c r="Q10" s="65" t="str">
        <f>IFERROR(VLOOKUP(Table214[[#This Row],[Contraente]],Table1[[Nome/Ragione sociale]:[Checkbox selezionato]],4,FALSE),"-")</f>
        <v>-</v>
      </c>
      <c r="R10" s="65" t="str">
        <f>IFERROR(VLOOKUP(Table214[[#This Row],[Contraente]],Table1[[Nome/Ragione sociale]:[Checkbox selezionato]],5,FALSE),"-")</f>
        <v>-</v>
      </c>
      <c r="S10" s="62" t="str">
        <f>IFERROR(VLOOKUP(Table214[[#This Row],[Contraente]],Table1[[Nome/Ragione sociale]:[Checkbox selezionato]],6,FALSE),"-")</f>
        <v>-</v>
      </c>
      <c r="T10" s="63" t="str">
        <f>IFERROR(VLOOKUP(Table214[[#This Row],[Contraente]],Table1[[Nome/Ragione sociale]:[Checkbox selezionato]],7,FALSE),"-")</f>
        <v>-</v>
      </c>
      <c r="U10" s="63" t="str">
        <f>IFERROR(VLOOKUP(Table214[[#This Row],[Contraente]],Table1[[Nome/Ragione sociale]:[Checkbox selezionato]],8,FALSE),"-")</f>
        <v>-</v>
      </c>
    </row>
    <row r="11" spans="1:21" ht="30" customHeight="1" x14ac:dyDescent="0.25">
      <c r="A11" s="60" t="str">
        <f>UPPER(LEFT(Table214[[#This Row],[Contraente]],1))</f>
        <v/>
      </c>
      <c r="B11" s="27" t="s">
        <v>1094</v>
      </c>
      <c r="C11" s="41"/>
      <c r="D11" s="67"/>
      <c r="E11" s="67"/>
      <c r="F11" s="67"/>
      <c r="G11" s="67"/>
      <c r="H11" s="67"/>
      <c r="I11" s="100"/>
      <c r="J11" s="67"/>
      <c r="K11" s="92" t="str">
        <f>IFERROR(Table214[[#This Row],[Importo annuale]]/(12/VLOOKUP(Table214[[#This Row],[Rateizzazione]],TIPI_RATEIZZAZIONI,2,FALSE)),"-")</f>
        <v>-</v>
      </c>
      <c r="L11" s="67"/>
      <c r="M11" s="67"/>
      <c r="N11" s="65"/>
      <c r="O11" s="65" t="str">
        <f>IFERROR(VLOOKUP(Table214[[#This Row],[Contraente]],Table1[[Nome/Ragione sociale]:[Checkbox selezionato]],2,FALSE),"-")</f>
        <v>-</v>
      </c>
      <c r="P11" s="65" t="str">
        <f>IFERROR(VLOOKUP(Table214[[#This Row],[Contraente]],Table1[[Nome/Ragione sociale]:[Checkbox selezionato]],3,FALSE),"-")</f>
        <v>-</v>
      </c>
      <c r="Q11" s="65" t="str">
        <f>IFERROR(VLOOKUP(Table214[[#This Row],[Contraente]],Table1[[Nome/Ragione sociale]:[Checkbox selezionato]],4,FALSE),"-")</f>
        <v>-</v>
      </c>
      <c r="R11" s="65" t="str">
        <f>IFERROR(VLOOKUP(Table214[[#This Row],[Contraente]],Table1[[Nome/Ragione sociale]:[Checkbox selezionato]],5,FALSE),"-")</f>
        <v>-</v>
      </c>
      <c r="S11" s="62" t="str">
        <f>IFERROR(VLOOKUP(Table214[[#This Row],[Contraente]],Table1[[Nome/Ragione sociale]:[Checkbox selezionato]],6,FALSE),"-")</f>
        <v>-</v>
      </c>
      <c r="T11" s="63" t="str">
        <f>IFERROR(VLOOKUP(Table214[[#This Row],[Contraente]],Table1[[Nome/Ragione sociale]:[Checkbox selezionato]],7,FALSE),"-")</f>
        <v>-</v>
      </c>
      <c r="U11" s="63" t="str">
        <f>IFERROR(VLOOKUP(Table214[[#This Row],[Contraente]],Table1[[Nome/Ragione sociale]:[Checkbox selezionato]],8,FALSE),"-")</f>
        <v>-</v>
      </c>
    </row>
    <row r="12" spans="1:21" ht="30" customHeight="1" x14ac:dyDescent="0.25">
      <c r="A12" s="60" t="str">
        <f>UPPER(LEFT(Table214[[#This Row],[Contraente]],1))</f>
        <v/>
      </c>
      <c r="B12" s="27" t="s">
        <v>1094</v>
      </c>
      <c r="C12" s="41"/>
      <c r="D12" s="67"/>
      <c r="E12" s="67"/>
      <c r="F12" s="67"/>
      <c r="G12" s="67"/>
      <c r="H12" s="67"/>
      <c r="I12" s="100"/>
      <c r="J12" s="67"/>
      <c r="K12" s="92" t="str">
        <f>IFERROR(Table214[[#This Row],[Importo annuale]]/(12/VLOOKUP(Table214[[#This Row],[Rateizzazione]],TIPI_RATEIZZAZIONI,2,FALSE)),"-")</f>
        <v>-</v>
      </c>
      <c r="L12" s="67"/>
      <c r="M12" s="67"/>
      <c r="N12" s="65"/>
      <c r="O12" s="65" t="str">
        <f>IFERROR(VLOOKUP(Table214[[#This Row],[Contraente]],Table1[[Nome/Ragione sociale]:[Checkbox selezionato]],2,FALSE),"-")</f>
        <v>-</v>
      </c>
      <c r="P12" s="65" t="str">
        <f>IFERROR(VLOOKUP(Table214[[#This Row],[Contraente]],Table1[[Nome/Ragione sociale]:[Checkbox selezionato]],3,FALSE),"-")</f>
        <v>-</v>
      </c>
      <c r="Q12" s="65" t="str">
        <f>IFERROR(VLOOKUP(Table214[[#This Row],[Contraente]],Table1[[Nome/Ragione sociale]:[Checkbox selezionato]],4,FALSE),"-")</f>
        <v>-</v>
      </c>
      <c r="R12" s="65" t="str">
        <f>IFERROR(VLOOKUP(Table214[[#This Row],[Contraente]],Table1[[Nome/Ragione sociale]:[Checkbox selezionato]],5,FALSE),"-")</f>
        <v>-</v>
      </c>
      <c r="S12" s="62" t="str">
        <f>IFERROR(VLOOKUP(Table214[[#This Row],[Contraente]],Table1[[Nome/Ragione sociale]:[Checkbox selezionato]],6,FALSE),"-")</f>
        <v>-</v>
      </c>
      <c r="T12" s="63" t="str">
        <f>IFERROR(VLOOKUP(Table214[[#This Row],[Contraente]],Table1[[Nome/Ragione sociale]:[Checkbox selezionato]],7,FALSE),"-")</f>
        <v>-</v>
      </c>
      <c r="U12" s="63" t="str">
        <f>IFERROR(VLOOKUP(Table214[[#This Row],[Contraente]],Table1[[Nome/Ragione sociale]:[Checkbox selezionato]],8,FALSE),"-")</f>
        <v>-</v>
      </c>
    </row>
    <row r="13" spans="1:21" ht="30" customHeight="1" x14ac:dyDescent="0.25">
      <c r="A13" s="60" t="str">
        <f>UPPER(LEFT(Table214[[#This Row],[Contraente]],1))</f>
        <v/>
      </c>
      <c r="B13" s="27" t="s">
        <v>1094</v>
      </c>
      <c r="C13" s="41"/>
      <c r="D13" s="67"/>
      <c r="E13" s="67"/>
      <c r="F13" s="67"/>
      <c r="G13" s="67"/>
      <c r="H13" s="67"/>
      <c r="I13" s="100"/>
      <c r="J13" s="67"/>
      <c r="K13" s="92" t="str">
        <f>IFERROR(Table214[[#This Row],[Importo annuale]]/(12/VLOOKUP(Table214[[#This Row],[Rateizzazione]],TIPI_RATEIZZAZIONI,2,FALSE)),"-")</f>
        <v>-</v>
      </c>
      <c r="L13" s="67"/>
      <c r="M13" s="67"/>
      <c r="N13" s="65"/>
      <c r="O13" s="65" t="str">
        <f>IFERROR(VLOOKUP(Table214[[#This Row],[Contraente]],Table1[[Nome/Ragione sociale]:[Checkbox selezionato]],2,FALSE),"-")</f>
        <v>-</v>
      </c>
      <c r="P13" s="65" t="str">
        <f>IFERROR(VLOOKUP(Table214[[#This Row],[Contraente]],Table1[[Nome/Ragione sociale]:[Checkbox selezionato]],3,FALSE),"-")</f>
        <v>-</v>
      </c>
      <c r="Q13" s="65" t="str">
        <f>IFERROR(VLOOKUP(Table214[[#This Row],[Contraente]],Table1[[Nome/Ragione sociale]:[Checkbox selezionato]],4,FALSE),"-")</f>
        <v>-</v>
      </c>
      <c r="R13" s="65" t="str">
        <f>IFERROR(VLOOKUP(Table214[[#This Row],[Contraente]],Table1[[Nome/Ragione sociale]:[Checkbox selezionato]],5,FALSE),"-")</f>
        <v>-</v>
      </c>
      <c r="S13" s="62" t="str">
        <f>IFERROR(VLOOKUP(Table214[[#This Row],[Contraente]],Table1[[Nome/Ragione sociale]:[Checkbox selezionato]],6,FALSE),"-")</f>
        <v>-</v>
      </c>
      <c r="T13" s="63" t="str">
        <f>IFERROR(VLOOKUP(Table214[[#This Row],[Contraente]],Table1[[Nome/Ragione sociale]:[Checkbox selezionato]],7,FALSE),"-")</f>
        <v>-</v>
      </c>
      <c r="U13" s="63" t="str">
        <f>IFERROR(VLOOKUP(Table214[[#This Row],[Contraente]],Table1[[Nome/Ragione sociale]:[Checkbox selezionato]],8,FALSE),"-")</f>
        <v>-</v>
      </c>
    </row>
    <row r="14" spans="1:21" ht="30" customHeight="1" x14ac:dyDescent="0.25">
      <c r="A14" s="60" t="str">
        <f>UPPER(LEFT(Table214[[#This Row],[Contraente]],1))</f>
        <v/>
      </c>
      <c r="B14" s="27" t="s">
        <v>1094</v>
      </c>
      <c r="C14" s="41"/>
      <c r="D14" s="67"/>
      <c r="E14" s="67"/>
      <c r="F14" s="67"/>
      <c r="G14" s="67"/>
      <c r="H14" s="67"/>
      <c r="I14" s="100"/>
      <c r="J14" s="67"/>
      <c r="K14" s="92" t="str">
        <f>IFERROR(Table214[[#This Row],[Importo annuale]]/(12/VLOOKUP(Table214[[#This Row],[Rateizzazione]],TIPI_RATEIZZAZIONI,2,FALSE)),"-")</f>
        <v>-</v>
      </c>
      <c r="L14" s="67"/>
      <c r="M14" s="67"/>
      <c r="N14" s="65"/>
      <c r="O14" s="65" t="str">
        <f>IFERROR(VLOOKUP(Table214[[#This Row],[Contraente]],Table1[[Nome/Ragione sociale]:[Checkbox selezionato]],2,FALSE),"-")</f>
        <v>-</v>
      </c>
      <c r="P14" s="65" t="str">
        <f>IFERROR(VLOOKUP(Table214[[#This Row],[Contraente]],Table1[[Nome/Ragione sociale]:[Checkbox selezionato]],3,FALSE),"-")</f>
        <v>-</v>
      </c>
      <c r="Q14" s="65" t="str">
        <f>IFERROR(VLOOKUP(Table214[[#This Row],[Contraente]],Table1[[Nome/Ragione sociale]:[Checkbox selezionato]],4,FALSE),"-")</f>
        <v>-</v>
      </c>
      <c r="R14" s="65" t="str">
        <f>IFERROR(VLOOKUP(Table214[[#This Row],[Contraente]],Table1[[Nome/Ragione sociale]:[Checkbox selezionato]],5,FALSE),"-")</f>
        <v>-</v>
      </c>
      <c r="S14" s="62" t="str">
        <f>IFERROR(VLOOKUP(Table214[[#This Row],[Contraente]],Table1[[Nome/Ragione sociale]:[Checkbox selezionato]],6,FALSE),"-")</f>
        <v>-</v>
      </c>
      <c r="T14" s="63" t="str">
        <f>IFERROR(VLOOKUP(Table214[[#This Row],[Contraente]],Table1[[Nome/Ragione sociale]:[Checkbox selezionato]],7,FALSE),"-")</f>
        <v>-</v>
      </c>
      <c r="U14" s="63" t="str">
        <f>IFERROR(VLOOKUP(Table214[[#This Row],[Contraente]],Table1[[Nome/Ragione sociale]:[Checkbox selezionato]],8,FALSE),"-")</f>
        <v>-</v>
      </c>
    </row>
    <row r="15" spans="1:21" ht="30" customHeight="1" x14ac:dyDescent="0.25">
      <c r="A15" s="60" t="str">
        <f>UPPER(LEFT(Table214[[#This Row],[Contraente]],1))</f>
        <v/>
      </c>
      <c r="B15" s="27" t="s">
        <v>1094</v>
      </c>
      <c r="C15" s="41"/>
      <c r="D15" s="67"/>
      <c r="E15" s="67"/>
      <c r="F15" s="67"/>
      <c r="G15" s="67"/>
      <c r="H15" s="67"/>
      <c r="I15" s="33"/>
      <c r="J15" s="67"/>
      <c r="K15" s="92" t="str">
        <f>IFERROR(Table214[[#This Row],[Importo annuale]]/(12/VLOOKUP(Table214[[#This Row],[Rateizzazione]],TIPI_RATEIZZAZIONI,2,FALSE)),"-")</f>
        <v>-</v>
      </c>
      <c r="L15" s="67"/>
      <c r="M15" s="67"/>
      <c r="N15" s="65"/>
      <c r="O15" s="61" t="str">
        <f>IFERROR(VLOOKUP(Table214[[#This Row],[Contraente]],Table1[[Nome/Ragione sociale]:[Checkbox selezionato]],2,FALSE),"-")</f>
        <v>-</v>
      </c>
      <c r="P15" s="61" t="str">
        <f>IFERROR(VLOOKUP(Table214[[#This Row],[Contraente]],Table1[[Nome/Ragione sociale]:[Checkbox selezionato]],3,FALSE),"-")</f>
        <v>-</v>
      </c>
      <c r="Q15" s="61" t="str">
        <f>IFERROR(VLOOKUP(Table214[[#This Row],[Contraente]],Table1[[Nome/Ragione sociale]:[Checkbox selezionato]],4,FALSE),"-")</f>
        <v>-</v>
      </c>
      <c r="R15" s="61" t="str">
        <f>IFERROR(VLOOKUP(Table214[[#This Row],[Contraente]],Table1[[Nome/Ragione sociale]:[Checkbox selezionato]],5,FALSE),"-")</f>
        <v>-</v>
      </c>
      <c r="S15" s="62" t="str">
        <f>IFERROR(VLOOKUP(Table214[[#This Row],[Contraente]],Table1[[Nome/Ragione sociale]:[Checkbox selezionato]],6,FALSE),"-")</f>
        <v>-</v>
      </c>
      <c r="T15" s="63" t="str">
        <f>IFERROR(VLOOKUP(Table214[[#This Row],[Contraente]],Table1[[Nome/Ragione sociale]:[Checkbox selezionato]],7,FALSE),"-")</f>
        <v>-</v>
      </c>
      <c r="U15" s="63" t="str">
        <f>IFERROR(VLOOKUP(Table214[[#This Row],[Contraente]],Table1[[Nome/Ragione sociale]:[Checkbox selezionato]],8,FALSE),"-")</f>
        <v>-</v>
      </c>
    </row>
  </sheetData>
  <conditionalFormatting sqref="A6:A15">
    <cfRule type="expression" dxfId="482" priority="1" stopIfTrue="1">
      <formula>IF($A6="Z",TRUE,FALSE)</formula>
    </cfRule>
    <cfRule type="expression" dxfId="481" priority="2" stopIfTrue="1">
      <formula>IF($A6="Y",TRUE,FALSE)</formula>
    </cfRule>
    <cfRule type="expression" dxfId="480" priority="3" stopIfTrue="1">
      <formula>IF($A6="X",TRUE,FALSE)</formula>
    </cfRule>
    <cfRule type="expression" dxfId="479" priority="4" stopIfTrue="1">
      <formula>IF($A6="W",TRUE,FALSE)</formula>
    </cfRule>
    <cfRule type="expression" dxfId="478" priority="5" stopIfTrue="1">
      <formula>IF($A6="V",TRUE,FALSE)</formula>
    </cfRule>
    <cfRule type="expression" dxfId="477" priority="6" stopIfTrue="1">
      <formula>IF($A6="U",TRUE,FALSE)</formula>
    </cfRule>
    <cfRule type="expression" dxfId="476" priority="7" stopIfTrue="1">
      <formula>IF($A6="T",TRUE,FALSE)</formula>
    </cfRule>
    <cfRule type="expression" dxfId="475" priority="8" stopIfTrue="1">
      <formula>IF($A6="S",TRUE,FALSE)</formula>
    </cfRule>
    <cfRule type="expression" dxfId="474" priority="9" stopIfTrue="1">
      <formula>IF($A6="R",TRUE,FALSE)</formula>
    </cfRule>
    <cfRule type="expression" dxfId="473" priority="10" stopIfTrue="1">
      <formula>IF($A6="Q",TRUE,FALSE)</formula>
    </cfRule>
    <cfRule type="expression" dxfId="472" priority="11" stopIfTrue="1">
      <formula>IF($A6="P",TRUE,FALSE)</formula>
    </cfRule>
    <cfRule type="expression" dxfId="471" priority="12" stopIfTrue="1">
      <formula>IF($A6="O",TRUE,FALSE)</formula>
    </cfRule>
    <cfRule type="expression" dxfId="470" priority="13" stopIfTrue="1">
      <formula>IF($A6="N",TRUE,FALSE)</formula>
    </cfRule>
    <cfRule type="expression" dxfId="469" priority="14" stopIfTrue="1">
      <formula>IF($A6="N",TRUE,FALSE)</formula>
    </cfRule>
    <cfRule type="expression" dxfId="468" priority="15" stopIfTrue="1">
      <formula>IF($A6="M",TRUE,FALSE)</formula>
    </cfRule>
    <cfRule type="expression" dxfId="467" priority="16" stopIfTrue="1">
      <formula>IF($A6="L",TRUE,FALSE)</formula>
    </cfRule>
    <cfRule type="expression" dxfId="466" priority="17" stopIfTrue="1">
      <formula>IF($A6="K",TRUE,FALSE)</formula>
    </cfRule>
    <cfRule type="expression" dxfId="465" priority="18" stopIfTrue="1">
      <formula>IF($A6="J",TRUE,FALSE)</formula>
    </cfRule>
    <cfRule type="expression" dxfId="464" priority="19" stopIfTrue="1">
      <formula>IF($A6="I",TRUE,FALSE)</formula>
    </cfRule>
    <cfRule type="expression" dxfId="463" priority="20" stopIfTrue="1">
      <formula>IF($A6="H",TRUE,FALSE)</formula>
    </cfRule>
    <cfRule type="expression" dxfId="462" priority="21" stopIfTrue="1">
      <formula>IF($A6="G",TRUE,FALSE)</formula>
    </cfRule>
    <cfRule type="expression" dxfId="461" priority="22" stopIfTrue="1">
      <formula>IF($A6="F",TRUE,FALSE)</formula>
    </cfRule>
    <cfRule type="expression" dxfId="460" priority="23" stopIfTrue="1">
      <formula>IF($A6="E",TRUE,FALSE)</formula>
    </cfRule>
    <cfRule type="expression" dxfId="459" priority="24" stopIfTrue="1">
      <formula>IF($A6="D",TRUE,FALSE)</formula>
    </cfRule>
    <cfRule type="expression" dxfId="458" priority="25" stopIfTrue="1">
      <formula>IF($A6="C",TRUE,FALSE)</formula>
    </cfRule>
    <cfRule type="expression" dxfId="457" priority="26" stopIfTrue="1">
      <formula>IF($A6="B",TRUE,FALSE)</formula>
    </cfRule>
    <cfRule type="expression" dxfId="456" priority="27" stopIfTrue="1">
      <formula>IF($A6="A",TRUE,FALSE)</formula>
    </cfRule>
  </conditionalFormatting>
  <dataValidations count="8">
    <dataValidation type="list" allowBlank="1" showInputMessage="1" showErrorMessage="1" sqref="M6:M15">
      <formula1>OI_ON</formula1>
    </dataValidation>
    <dataValidation type="list" allowBlank="1" showInputMessage="1" showErrorMessage="1" sqref="L6:L15">
      <formula1>NOMI_TIPOLOGIE_PAGAMENTO</formula1>
    </dataValidation>
    <dataValidation type="list" allowBlank="1" showInputMessage="1" showErrorMessage="1" sqref="G6:G15">
      <formula1>NOMI_TIPOLOGIA_POLIZZA</formula1>
    </dataValidation>
    <dataValidation type="list" allowBlank="1" showInputMessage="1" showErrorMessage="1" sqref="F6:F15">
      <formula1>NOMI_RAMI_POLIZZA</formula1>
    </dataValidation>
    <dataValidation type="list" allowBlank="1" showInputMessage="1" showErrorMessage="1" sqref="D6:D15">
      <formula1>NOMI_COMPAGNIE</formula1>
    </dataValidation>
    <dataValidation type="list" allowBlank="1" showInputMessage="1" showErrorMessage="1" sqref="C6:C15">
      <formula1>NOMI_CLIENTI</formula1>
    </dataValidation>
    <dataValidation type="list" allowBlank="1" showInputMessage="1" showErrorMessage="1" sqref="J6:J15">
      <formula1>NOMI_TIPI_RATEIZZAZIONI</formula1>
    </dataValidation>
    <dataValidation type="list" allowBlank="1" showInputMessage="1" showErrorMessage="1" sqref="N6:N15">
      <formula1>NOMI_AZIONI_PREVENTIVO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T106"/>
  <sheetViews>
    <sheetView zoomScale="85" zoomScaleNormal="85" workbookViewId="0">
      <pane ySplit="5" topLeftCell="A6" activePane="bottomLeft" state="frozen"/>
      <selection pane="bottomLeft" activeCell="I95" sqref="I95"/>
    </sheetView>
  </sheetViews>
  <sheetFormatPr defaultRowHeight="15" outlineLevelCol="1" x14ac:dyDescent="0.25"/>
  <cols>
    <col min="1" max="1" width="5" customWidth="1"/>
    <col min="2" max="2" width="26.85546875" style="112" customWidth="1"/>
    <col min="3" max="3" width="13.28515625" customWidth="1"/>
    <col min="4" max="4" width="11.85546875" customWidth="1"/>
    <col min="5" max="5" width="12.28515625" customWidth="1"/>
    <col min="6" max="6" width="11.140625" customWidth="1"/>
    <col min="7" max="7" width="11.7109375" customWidth="1"/>
    <col min="8" max="8" width="12.5703125" customWidth="1"/>
    <col min="9" max="9" width="14.140625" customWidth="1"/>
    <col min="10" max="10" width="14.7109375" bestFit="1" customWidth="1"/>
    <col min="11" max="11" width="82.42578125" customWidth="1"/>
    <col min="12" max="12" width="13.28515625" hidden="1" customWidth="1" outlineLevel="1"/>
    <col min="13" max="13" width="18.5703125" hidden="1" customWidth="1" outlineLevel="1"/>
    <col min="14" max="14" width="20.42578125" hidden="1" customWidth="1" outlineLevel="1"/>
    <col min="15" max="16" width="27.5703125" hidden="1" customWidth="1" outlineLevel="1"/>
    <col min="17" max="18" width="15.28515625" hidden="1" customWidth="1" outlineLevel="1"/>
    <col min="19" max="19" width="37.5703125" hidden="1" customWidth="1" outlineLevel="1"/>
    <col min="20" max="20" width="18" hidden="1" customWidth="1" collapsed="1"/>
    <col min="21" max="21" width="21.85546875" customWidth="1"/>
    <col min="22" max="22" width="24.5703125" customWidth="1"/>
    <col min="23" max="23" width="16.42578125" customWidth="1"/>
    <col min="24" max="24" width="19.140625" customWidth="1"/>
    <col min="25" max="25" width="11.85546875" customWidth="1"/>
    <col min="26" max="26" width="10.5703125" customWidth="1"/>
  </cols>
  <sheetData>
    <row r="5" spans="1:20" ht="45" x14ac:dyDescent="0.25">
      <c r="A5" s="54" t="s">
        <v>64</v>
      </c>
      <c r="B5" s="54" t="s">
        <v>11</v>
      </c>
      <c r="C5" s="55" t="s">
        <v>35</v>
      </c>
      <c r="D5" s="55" t="s">
        <v>39</v>
      </c>
      <c r="E5" s="54" t="s">
        <v>61</v>
      </c>
      <c r="F5" s="54" t="s">
        <v>47</v>
      </c>
      <c r="G5" s="54" t="s">
        <v>1635</v>
      </c>
      <c r="H5" s="54" t="s">
        <v>1636</v>
      </c>
      <c r="I5" s="54" t="s">
        <v>1637</v>
      </c>
      <c r="J5" s="54" t="s">
        <v>1848</v>
      </c>
      <c r="K5" s="54" t="s">
        <v>1852</v>
      </c>
      <c r="L5" s="55" t="s">
        <v>5</v>
      </c>
      <c r="M5" s="55" t="s">
        <v>7</v>
      </c>
      <c r="N5" s="55" t="s">
        <v>6</v>
      </c>
      <c r="O5" s="55" t="s">
        <v>8</v>
      </c>
      <c r="P5" s="55" t="s">
        <v>1097</v>
      </c>
      <c r="Q5" s="55" t="s">
        <v>1098</v>
      </c>
      <c r="R5" s="55" t="s">
        <v>1099</v>
      </c>
      <c r="S5" s="55" t="s">
        <v>1100</v>
      </c>
      <c r="T5" s="54" t="s">
        <v>1851</v>
      </c>
    </row>
    <row r="6" spans="1:20" ht="30" hidden="1" customHeight="1" x14ac:dyDescent="0.25">
      <c r="A6" s="60" t="str">
        <f>UPPER(LEFT(TableVersamenti[[#This Row],[Contraente]],1))</f>
        <v>R</v>
      </c>
      <c r="B6" s="111" t="s">
        <v>935</v>
      </c>
      <c r="C6" s="68" t="s">
        <v>37</v>
      </c>
      <c r="D6" s="68">
        <v>104584425</v>
      </c>
      <c r="E6" s="69">
        <v>217.73</v>
      </c>
      <c r="F6" s="67" t="s">
        <v>43</v>
      </c>
      <c r="G6" s="64">
        <v>42919</v>
      </c>
      <c r="H6" s="64">
        <v>42922</v>
      </c>
      <c r="I6" s="70" t="s">
        <v>1640</v>
      </c>
      <c r="J6" s="70" t="s">
        <v>1849</v>
      </c>
      <c r="K6" s="70"/>
      <c r="L6" s="63" t="str">
        <f>IFERROR(VLOOKUP(TableVersamenti[[#This Row],[Contraente]],Table1[[Nome/Ragione sociale]:[Checkbox selezionato]],2,FALSE),"-")</f>
        <v>CORTEOLONA</v>
      </c>
      <c r="M6" s="63" t="str">
        <f>IFERROR(VLOOKUP(TableVersamenti[[#This Row],[Contraente]],Table1[[Nome/Ragione sociale]:[Checkbox selezionato]],3,FALSE),"-")</f>
        <v>.0382969837</v>
      </c>
      <c r="N6" s="63">
        <f>IFERROR(VLOOKUP(TableVersamenti[[#This Row],[Contraente]],Table1[[Nome/Ragione sociale]:[Checkbox selezionato]],4,FALSE),"-")</f>
        <v>0</v>
      </c>
      <c r="O6" s="63" t="str">
        <f>IFERROR(VLOOKUP(TableVersamenti[[#This Row],[Contraente]],Table1[[Nome/Ragione sociale]:[Checkbox selezionato]],5,FALSE),"-")</f>
        <v>FEDERICA</v>
      </c>
      <c r="P6" s="63">
        <f>IFERROR(VLOOKUP(TableVersamenti[[#This Row],[Contraente]],Table1[[Nome/Ragione sociale]:[Checkbox selezionato]],6,FALSE),"-")</f>
        <v>28533</v>
      </c>
      <c r="Q6" s="62" t="str">
        <f>IFERROR(VLOOKUP(TableVersamenti[[#This Row],[Contraente]],Table1[[Nome/Ragione sociale]:[Checkbox selezionato]],7,FALSE),"-")</f>
        <v>papies@libero.it</v>
      </c>
      <c r="R6" s="63">
        <f>IFERROR(VLOOKUP(TableVersamenti[[#This Row],[Contraente]],Table1[[Nome/Ragione sociale]:[Checkbox selezionato]],8,FALSE),"-")</f>
        <v>0</v>
      </c>
      <c r="S6" s="63" t="str">
        <f>IFERROR(VLOOKUP(TableVersamenti[[#This Row],[Contraente]],Table1[[Nome/Ragione sociale]:[Checkbox selezionato]],9,FALSE),"-")</f>
        <v>Casa</v>
      </c>
      <c r="T6" s="75" t="b">
        <f>NOT(AND(TableVersamenti[[#This Row],[Stato versamento]]="EFFETTUATO",TableVersamenti[[#This Row],[Pagato da cliente]]="PAGATO"))</f>
        <v>0</v>
      </c>
    </row>
    <row r="7" spans="1:20" ht="30" hidden="1" customHeight="1" x14ac:dyDescent="0.25">
      <c r="A7" s="60" t="str">
        <f>UPPER(LEFT(TableVersamenti[[#This Row],[Contraente]],1))</f>
        <v>G</v>
      </c>
      <c r="B7" s="111" t="s">
        <v>1782</v>
      </c>
      <c r="C7" s="68" t="s">
        <v>37</v>
      </c>
      <c r="D7" s="68">
        <v>107054467</v>
      </c>
      <c r="E7" s="69">
        <v>315</v>
      </c>
      <c r="F7" s="67" t="s">
        <v>44</v>
      </c>
      <c r="G7" s="64">
        <v>42919</v>
      </c>
      <c r="H7" s="64">
        <v>42922</v>
      </c>
      <c r="I7" s="70" t="s">
        <v>1640</v>
      </c>
      <c r="J7" s="70" t="s">
        <v>1849</v>
      </c>
      <c r="K7" s="70"/>
      <c r="L7" s="63" t="str">
        <f>IFERROR(VLOOKUP(TableVersamenti[[#This Row],[Contraente]],Table1[[Nome/Ragione sociale]:[Checkbox selezionato]],2,FALSE),"-")</f>
        <v>BREMBIO</v>
      </c>
      <c r="M7" s="63">
        <f>IFERROR(VLOOKUP(TableVersamenti[[#This Row],[Contraente]],Table1[[Nome/Ragione sociale]:[Checkbox selezionato]],3,FALSE),"-")</f>
        <v>0</v>
      </c>
      <c r="N7" s="63">
        <f>IFERROR(VLOOKUP(TableVersamenti[[#This Row],[Contraente]],Table1[[Nome/Ragione sociale]:[Checkbox selezionato]],4,FALSE),"-")</f>
        <v>0</v>
      </c>
      <c r="O7" s="63">
        <f>IFERROR(VLOOKUP(TableVersamenti[[#This Row],[Contraente]],Table1[[Nome/Ragione sociale]:[Checkbox selezionato]],5,FALSE),"-")</f>
        <v>0</v>
      </c>
      <c r="P7" s="63">
        <f>IFERROR(VLOOKUP(TableVersamenti[[#This Row],[Contraente]],Table1[[Nome/Ragione sociale]:[Checkbox selezionato]],6,FALSE),"-")</f>
        <v>0</v>
      </c>
      <c r="Q7" s="62" t="str">
        <f>IFERROR(VLOOKUP(TableVersamenti[[#This Row],[Contraente]],Table1[[Nome/Ragione sociale]:[Checkbox selezionato]],7,FALSE),"-")</f>
        <v>papies@email.it</v>
      </c>
      <c r="R7" s="63">
        <f>IFERROR(VLOOKUP(TableVersamenti[[#This Row],[Contraente]],Table1[[Nome/Ragione sociale]:[Checkbox selezionato]],8,FALSE),"-")</f>
        <v>0</v>
      </c>
      <c r="S7" s="63" t="str">
        <f>IFERROR(VLOOKUP(TableVersamenti[[#This Row],[Contraente]],Table1[[Nome/Ragione sociale]:[Checkbox selezionato]],9,FALSE),"-")</f>
        <v>Casa</v>
      </c>
      <c r="T7" s="63" t="b">
        <f>NOT(AND(TableVersamenti[[#This Row],[Stato versamento]]="EFFETTUATO",TableVersamenti[[#This Row],[Pagato da cliente]]="PAGATO"))</f>
        <v>0</v>
      </c>
    </row>
    <row r="8" spans="1:20" ht="30" hidden="1" customHeight="1" x14ac:dyDescent="0.25">
      <c r="A8" s="60" t="str">
        <f>UPPER(LEFT(TableVersamenti[[#This Row],[Contraente]],1))</f>
        <v>M</v>
      </c>
      <c r="B8" s="111" t="s">
        <v>1785</v>
      </c>
      <c r="C8" s="68" t="s">
        <v>38</v>
      </c>
      <c r="D8" s="68">
        <v>7000099537</v>
      </c>
      <c r="E8" s="69">
        <v>279</v>
      </c>
      <c r="F8" s="67" t="s">
        <v>44</v>
      </c>
      <c r="G8" s="64">
        <v>42920</v>
      </c>
      <c r="H8" s="64">
        <v>42923</v>
      </c>
      <c r="I8" s="70" t="s">
        <v>1640</v>
      </c>
      <c r="J8" s="70" t="s">
        <v>1849</v>
      </c>
      <c r="K8" s="70"/>
      <c r="L8" s="63" t="str">
        <f>IFERROR(VLOOKUP(TableVersamenti[[#This Row],[Contraente]],Table1[[Nome/Ragione sociale]:[Checkbox selezionato]],2,FALSE),"-")</f>
        <v>PAVIA</v>
      </c>
      <c r="M8" s="63">
        <f>IFERROR(VLOOKUP(TableVersamenti[[#This Row],[Contraente]],Table1[[Nome/Ragione sociale]:[Checkbox selezionato]],3,FALSE),"-")</f>
        <v>3315992468</v>
      </c>
      <c r="N8" s="63">
        <f>IFERROR(VLOOKUP(TableVersamenti[[#This Row],[Contraente]],Table1[[Nome/Ragione sociale]:[Checkbox selezionato]],4,FALSE),"-")</f>
        <v>0</v>
      </c>
      <c r="O8" s="63" t="str">
        <f>IFERROR(VLOOKUP(TableVersamenti[[#This Row],[Contraente]],Table1[[Nome/Ragione sociale]:[Checkbox selezionato]],5,FALSE),"-")</f>
        <v>BERNARDO</v>
      </c>
      <c r="P8" s="63">
        <f>IFERROR(VLOOKUP(TableVersamenti[[#This Row],[Contraente]],Table1[[Nome/Ragione sociale]:[Checkbox selezionato]],6,FALSE),"-")</f>
        <v>0</v>
      </c>
      <c r="Q8" s="62" t="str">
        <f>IFERROR(VLOOKUP(TableVersamenti[[#This Row],[Contraente]],Table1[[Nome/Ragione sociale]:[Checkbox selezionato]],7,FALSE),"-")</f>
        <v>papies@libero.it</v>
      </c>
      <c r="R8" s="63">
        <f>IFERROR(VLOOKUP(TableVersamenti[[#This Row],[Contraente]],Table1[[Nome/Ragione sociale]:[Checkbox selezionato]],8,FALSE),"-")</f>
        <v>0</v>
      </c>
      <c r="S8" s="63" t="str">
        <f>IFERROR(VLOOKUP(TableVersamenti[[#This Row],[Contraente]],Table1[[Nome/Ragione sociale]:[Checkbox selezionato]],9,FALSE),"-")</f>
        <v>Casa</v>
      </c>
      <c r="T8" s="63" t="b">
        <f>NOT(AND(TableVersamenti[[#This Row],[Stato versamento]]="EFFETTUATO",TableVersamenti[[#This Row],[Pagato da cliente]]="PAGATO"))</f>
        <v>0</v>
      </c>
    </row>
    <row r="9" spans="1:20" ht="30" hidden="1" customHeight="1" x14ac:dyDescent="0.25">
      <c r="A9" s="60" t="str">
        <f>UPPER(LEFT(TableVersamenti[[#This Row],[Contraente]],1))</f>
        <v>M</v>
      </c>
      <c r="B9" s="111" t="s">
        <v>778</v>
      </c>
      <c r="C9" s="68" t="s">
        <v>37</v>
      </c>
      <c r="D9" s="68">
        <v>106354465</v>
      </c>
      <c r="E9" s="69">
        <v>280</v>
      </c>
      <c r="F9" s="67" t="s">
        <v>43</v>
      </c>
      <c r="G9" s="64">
        <v>42920</v>
      </c>
      <c r="H9" s="64">
        <v>42923</v>
      </c>
      <c r="I9" s="70" t="s">
        <v>1640</v>
      </c>
      <c r="J9" s="70" t="s">
        <v>1849</v>
      </c>
      <c r="K9" s="70"/>
      <c r="L9" s="63" t="str">
        <f>IFERROR(VLOOKUP(TableVersamenti[[#This Row],[Contraente]],Table1[[Nome/Ragione sociale]:[Checkbox selezionato]],2,FALSE),"-")</f>
        <v>BELGIOIOSO</v>
      </c>
      <c r="M9" s="63">
        <f>IFERROR(VLOOKUP(TableVersamenti[[#This Row],[Contraente]],Table1[[Nome/Ragione sociale]:[Checkbox selezionato]],3,FALSE),"-")</f>
        <v>3315054306</v>
      </c>
      <c r="N9" s="63">
        <f>IFERROR(VLOOKUP(TableVersamenti[[#This Row],[Contraente]],Table1[[Nome/Ragione sociale]:[Checkbox selezionato]],4,FALSE),"-")</f>
        <v>3347263876</v>
      </c>
      <c r="O9" s="63" t="str">
        <f>IFERROR(VLOOKUP(TableVersamenti[[#This Row],[Contraente]],Table1[[Nome/Ragione sociale]:[Checkbox selezionato]],5,FALSE),"-")</f>
        <v>CARMINE/MADDALENA</v>
      </c>
      <c r="P9" s="63" t="str">
        <f>IFERROR(VLOOKUP(TableVersamenti[[#This Row],[Contraente]],Table1[[Nome/Ragione sociale]:[Checkbox selezionato]],6,FALSE),"-")</f>
        <v>-</v>
      </c>
      <c r="Q9" s="62" t="str">
        <f>IFERROR(VLOOKUP(TableVersamenti[[#This Row],[Contraente]],Table1[[Nome/Ragione sociale]:[Checkbox selezionato]],7,FALSE),"-")</f>
        <v>papies@libero.it</v>
      </c>
      <c r="R9" s="63">
        <f>IFERROR(VLOOKUP(TableVersamenti[[#This Row],[Contraente]],Table1[[Nome/Ragione sociale]:[Checkbox selezionato]],8,FALSE),"-")</f>
        <v>0</v>
      </c>
      <c r="S9" s="63" t="str">
        <f>IFERROR(VLOOKUP(TableVersamenti[[#This Row],[Contraente]],Table1[[Nome/Ragione sociale]:[Checkbox selezionato]],9,FALSE),"-")</f>
        <v>Casa</v>
      </c>
      <c r="T9" s="63" t="b">
        <f>NOT(AND(TableVersamenti[[#This Row],[Stato versamento]]="EFFETTUATO",TableVersamenti[[#This Row],[Pagato da cliente]]="PAGATO"))</f>
        <v>0</v>
      </c>
    </row>
    <row r="10" spans="1:20" ht="30" hidden="1" customHeight="1" x14ac:dyDescent="0.25">
      <c r="A10" s="60" t="str">
        <f>UPPER(LEFT(TableVersamenti[[#This Row],[Contraente]],1))</f>
        <v>B</v>
      </c>
      <c r="B10" s="111" t="s">
        <v>382</v>
      </c>
      <c r="C10" s="68" t="s">
        <v>37</v>
      </c>
      <c r="D10" s="68">
        <v>105795978</v>
      </c>
      <c r="E10" s="69">
        <v>273</v>
      </c>
      <c r="F10" s="67" t="s">
        <v>44</v>
      </c>
      <c r="G10" s="64">
        <v>42920</v>
      </c>
      <c r="H10" s="64">
        <v>42923</v>
      </c>
      <c r="I10" s="70" t="s">
        <v>1640</v>
      </c>
      <c r="J10" s="70" t="s">
        <v>1849</v>
      </c>
      <c r="K10" s="70"/>
      <c r="L10" s="63" t="str">
        <f>IFERROR(VLOOKUP(TableVersamenti[[#This Row],[Contraente]],Table1[[Nome/Ragione sociale]:[Checkbox selezionato]],2,FALSE),"-")</f>
        <v>ARENA PO</v>
      </c>
      <c r="M10" s="63">
        <f>IFERROR(VLOOKUP(TableVersamenti[[#This Row],[Contraente]],Table1[[Nome/Ragione sociale]:[Checkbox selezionato]],3,FALSE),"-")</f>
        <v>0</v>
      </c>
      <c r="N10" s="63" t="str">
        <f>IFERROR(VLOOKUP(TableVersamenti[[#This Row],[Contraente]],Table1[[Nome/Ragione sociale]:[Checkbox selezionato]],4,FALSE),"-")</f>
        <v>.038570572</v>
      </c>
      <c r="O10" s="63" t="str">
        <f>IFERROR(VLOOKUP(TableVersamenti[[#This Row],[Contraente]],Table1[[Nome/Ragione sociale]:[Checkbox selezionato]],5,FALSE),"-")</f>
        <v>ANNA CATERINA</v>
      </c>
      <c r="P10" s="63">
        <f>IFERROR(VLOOKUP(TableVersamenti[[#This Row],[Contraente]],Table1[[Nome/Ragione sociale]:[Checkbox selezionato]],6,FALSE),"-")</f>
        <v>20290</v>
      </c>
      <c r="Q10" s="62" t="str">
        <f>IFERROR(VLOOKUP(TableVersamenti[[#This Row],[Contraente]],Table1[[Nome/Ragione sociale]:[Checkbox selezionato]],7,FALSE),"-")</f>
        <v>papies@email.it</v>
      </c>
      <c r="R10" s="63">
        <f>IFERROR(VLOOKUP(TableVersamenti[[#This Row],[Contraente]],Table1[[Nome/Ragione sociale]:[Checkbox selezionato]],8,FALSE),"-")</f>
        <v>0</v>
      </c>
      <c r="S10" s="63" t="str">
        <f>IFERROR(VLOOKUP(TableVersamenti[[#This Row],[Contraente]],Table1[[Nome/Ragione sociale]:[Checkbox selezionato]],9,FALSE),"-")</f>
        <v>Casa</v>
      </c>
      <c r="T10" s="63" t="b">
        <f>NOT(AND(TableVersamenti[[#This Row],[Stato versamento]]="EFFETTUATO",TableVersamenti[[#This Row],[Pagato da cliente]]="PAGATO"))</f>
        <v>0</v>
      </c>
    </row>
    <row r="11" spans="1:20" ht="30" hidden="1" customHeight="1" x14ac:dyDescent="0.25">
      <c r="A11" s="60" t="str">
        <f>UPPER(LEFT(TableVersamenti[[#This Row],[Contraente]],1))</f>
        <v>O</v>
      </c>
      <c r="B11" s="111" t="s">
        <v>863</v>
      </c>
      <c r="C11" s="68" t="s">
        <v>37</v>
      </c>
      <c r="D11" s="68">
        <v>106342796</v>
      </c>
      <c r="E11" s="69">
        <v>239</v>
      </c>
      <c r="F11" s="67" t="s">
        <v>43</v>
      </c>
      <c r="G11" s="64">
        <v>42920</v>
      </c>
      <c r="H11" s="64">
        <v>42923</v>
      </c>
      <c r="I11" s="70" t="s">
        <v>1640</v>
      </c>
      <c r="J11" s="70" t="s">
        <v>1849</v>
      </c>
      <c r="K11" s="70"/>
      <c r="L11" s="63" t="str">
        <f>IFERROR(VLOOKUP(TableVersamenti[[#This Row],[Contraente]],Table1[[Nome/Ragione sociale]:[Checkbox selezionato]],2,FALSE),"-")</f>
        <v>GRAGNANO TREBBIENSE</v>
      </c>
      <c r="M11" s="63">
        <f>IFERROR(VLOOKUP(TableVersamenti[[#This Row],[Contraente]],Table1[[Nome/Ragione sociale]:[Checkbox selezionato]],3,FALSE),"-")</f>
        <v>0</v>
      </c>
      <c r="N11" s="63">
        <f>IFERROR(VLOOKUP(TableVersamenti[[#This Row],[Contraente]],Table1[[Nome/Ragione sociale]:[Checkbox selezionato]],4,FALSE),"-")</f>
        <v>0</v>
      </c>
      <c r="O11" s="63" t="str">
        <f>IFERROR(VLOOKUP(TableVersamenti[[#This Row],[Contraente]],Table1[[Nome/Ragione sociale]:[Checkbox selezionato]],5,FALSE),"-")</f>
        <v>ALFREDO</v>
      </c>
      <c r="P11" s="63" t="str">
        <f>IFERROR(VLOOKUP(TableVersamenti[[#This Row],[Contraente]],Table1[[Nome/Ragione sociale]:[Checkbox selezionato]],6,FALSE),"-")</f>
        <v>-</v>
      </c>
      <c r="Q11" s="62" t="str">
        <f>IFERROR(VLOOKUP(TableVersamenti[[#This Row],[Contraente]],Table1[[Nome/Ragione sociale]:[Checkbox selezionato]],7,FALSE),"-")</f>
        <v>papies@libero.it</v>
      </c>
      <c r="R11" s="63">
        <f>IFERROR(VLOOKUP(TableVersamenti[[#This Row],[Contraente]],Table1[[Nome/Ragione sociale]:[Checkbox selezionato]],8,FALSE),"-")</f>
        <v>0</v>
      </c>
      <c r="S11" s="63" t="str">
        <f>IFERROR(VLOOKUP(TableVersamenti[[#This Row],[Contraente]],Table1[[Nome/Ragione sociale]:[Checkbox selezionato]],9,FALSE),"-")</f>
        <v>Casa</v>
      </c>
      <c r="T11" s="63" t="b">
        <f>NOT(AND(TableVersamenti[[#This Row],[Stato versamento]]="EFFETTUATO",TableVersamenti[[#This Row],[Pagato da cliente]]="PAGATO"))</f>
        <v>0</v>
      </c>
    </row>
    <row r="12" spans="1:20" ht="30" customHeight="1" x14ac:dyDescent="0.25">
      <c r="A12" s="60" t="str">
        <f>UPPER(LEFT(TableVersamenti[[#This Row],[Contraente]],1))</f>
        <v>M</v>
      </c>
      <c r="B12" s="111" t="s">
        <v>839</v>
      </c>
      <c r="C12" s="68" t="s">
        <v>37</v>
      </c>
      <c r="D12" s="68">
        <v>107070890</v>
      </c>
      <c r="E12" s="69">
        <v>54</v>
      </c>
      <c r="F12" s="67" t="s">
        <v>43</v>
      </c>
      <c r="G12" s="64">
        <v>42920</v>
      </c>
      <c r="H12" s="64">
        <v>42923</v>
      </c>
      <c r="I12" s="70" t="s">
        <v>1639</v>
      </c>
      <c r="J12" s="70" t="s">
        <v>1639</v>
      </c>
      <c r="K12" s="70"/>
      <c r="L12" s="63" t="str">
        <f>IFERROR(VLOOKUP(TableVersamenti[[#This Row],[Contraente]],Table1[[Nome/Ragione sociale]:[Checkbox selezionato]],2,FALSE),"-")</f>
        <v>BELGIOIOSO</v>
      </c>
      <c r="M12" s="63">
        <f>IFERROR(VLOOKUP(TableVersamenti[[#This Row],[Contraente]],Table1[[Nome/Ragione sociale]:[Checkbox selezionato]],3,FALSE),"-")</f>
        <v>3454529775</v>
      </c>
      <c r="N12" s="63">
        <f>IFERROR(VLOOKUP(TableVersamenti[[#This Row],[Contraente]],Table1[[Nome/Ragione sociale]:[Checkbox selezionato]],4,FALSE),"-")</f>
        <v>0</v>
      </c>
      <c r="O12" s="63" t="str">
        <f>IFERROR(VLOOKUP(TableVersamenti[[#This Row],[Contraente]],Table1[[Nome/Ragione sociale]:[Checkbox selezionato]],5,FALSE),"-")</f>
        <v>MAURIZIO</v>
      </c>
      <c r="P12" s="63">
        <f>IFERROR(VLOOKUP(TableVersamenti[[#This Row],[Contraente]],Table1[[Nome/Ragione sociale]:[Checkbox selezionato]],6,FALSE),"-")</f>
        <v>21745</v>
      </c>
      <c r="Q12" s="62" t="str">
        <f>IFERROR(VLOOKUP(TableVersamenti[[#This Row],[Contraente]],Table1[[Nome/Ragione sociale]:[Checkbox selezionato]],7,FALSE),"-")</f>
        <v>papies@libero.it</v>
      </c>
      <c r="R12" s="63">
        <f>IFERROR(VLOOKUP(TableVersamenti[[#This Row],[Contraente]],Table1[[Nome/Ragione sociale]:[Checkbox selezionato]],8,FALSE),"-")</f>
        <v>0</v>
      </c>
      <c r="S12" s="63" t="str">
        <f>IFERROR(VLOOKUP(TableVersamenti[[#This Row],[Contraente]],Table1[[Nome/Ragione sociale]:[Checkbox selezionato]],9,FALSE),"-")</f>
        <v>Casa</v>
      </c>
      <c r="T12" s="63" t="b">
        <f>NOT(AND(TableVersamenti[[#This Row],[Stato versamento]]="EFFETTUATO",TableVersamenti[[#This Row],[Pagato da cliente]]="PAGATO"))</f>
        <v>1</v>
      </c>
    </row>
    <row r="13" spans="1:20" ht="30" hidden="1" customHeight="1" x14ac:dyDescent="0.25">
      <c r="A13" s="60" t="str">
        <f>UPPER(LEFT(TableVersamenti[[#This Row],[Contraente]],1))</f>
        <v>E</v>
      </c>
      <c r="B13" s="111" t="s">
        <v>619</v>
      </c>
      <c r="C13" s="68" t="s">
        <v>37</v>
      </c>
      <c r="D13" s="68">
        <v>106560033</v>
      </c>
      <c r="E13" s="69">
        <v>195</v>
      </c>
      <c r="F13" s="67" t="s">
        <v>43</v>
      </c>
      <c r="G13" s="64">
        <v>42920</v>
      </c>
      <c r="H13" s="64">
        <v>42923</v>
      </c>
      <c r="I13" s="70" t="s">
        <v>1640</v>
      </c>
      <c r="J13" s="70" t="s">
        <v>1849</v>
      </c>
      <c r="K13" s="70"/>
      <c r="L13" s="63" t="str">
        <f>IFERROR(VLOOKUP(TableVersamenti[[#This Row],[Contraente]],Table1[[Nome/Ragione sociale]:[Checkbox selezionato]],2,FALSE),"-")</f>
        <v>MIRADOLO TERME</v>
      </c>
      <c r="M13" s="63">
        <f>IFERROR(VLOOKUP(TableVersamenti[[#This Row],[Contraente]],Table1[[Nome/Ragione sociale]:[Checkbox selezionato]],3,FALSE),"-")</f>
        <v>3886506260</v>
      </c>
      <c r="N13" s="63">
        <f>IFERROR(VLOOKUP(TableVersamenti[[#This Row],[Contraente]],Table1[[Nome/Ragione sociale]:[Checkbox selezionato]],4,FALSE),"-")</f>
        <v>0</v>
      </c>
      <c r="O13" s="63" t="str">
        <f>IFERROR(VLOOKUP(TableVersamenti[[#This Row],[Contraente]],Table1[[Nome/Ragione sociale]:[Checkbox selezionato]],5,FALSE),"-")</f>
        <v>MOHAMED</v>
      </c>
      <c r="P13" s="63">
        <f>IFERROR(VLOOKUP(TableVersamenti[[#This Row],[Contraente]],Table1[[Nome/Ragione sociale]:[Checkbox selezionato]],6,FALSE),"-")</f>
        <v>29381</v>
      </c>
      <c r="Q13" s="62" t="str">
        <f>IFERROR(VLOOKUP(TableVersamenti[[#This Row],[Contraente]],Table1[[Nome/Ragione sociale]:[Checkbox selezionato]],7,FALSE),"-")</f>
        <v>papies@libero.it</v>
      </c>
      <c r="R13" s="63">
        <f>IFERROR(VLOOKUP(TableVersamenti[[#This Row],[Contraente]],Table1[[Nome/Ragione sociale]:[Checkbox selezionato]],8,FALSE),"-")</f>
        <v>0</v>
      </c>
      <c r="S13" s="63" t="str">
        <f>IFERROR(VLOOKUP(TableVersamenti[[#This Row],[Contraente]],Table1[[Nome/Ragione sociale]:[Checkbox selezionato]],9,FALSE),"-")</f>
        <v>Casa</v>
      </c>
      <c r="T13" s="63" t="b">
        <f>NOT(AND(TableVersamenti[[#This Row],[Stato versamento]]="EFFETTUATO",TableVersamenti[[#This Row],[Pagato da cliente]]="PAGATO"))</f>
        <v>0</v>
      </c>
    </row>
    <row r="14" spans="1:20" ht="30" hidden="1" customHeight="1" x14ac:dyDescent="0.25">
      <c r="A14" s="60" t="str">
        <f>UPPER(LEFT(TableVersamenti[[#This Row],[Contraente]],1))</f>
        <v>M</v>
      </c>
      <c r="B14" s="111" t="s">
        <v>799</v>
      </c>
      <c r="C14" s="68" t="s">
        <v>37</v>
      </c>
      <c r="D14" s="68">
        <v>107073251</v>
      </c>
      <c r="E14" s="69">
        <v>210</v>
      </c>
      <c r="F14" s="67" t="s">
        <v>43</v>
      </c>
      <c r="G14" s="64">
        <v>42921</v>
      </c>
      <c r="H14" s="64">
        <v>42924</v>
      </c>
      <c r="I14" s="70" t="s">
        <v>1640</v>
      </c>
      <c r="J14" s="70" t="s">
        <v>1849</v>
      </c>
      <c r="K14" s="70"/>
      <c r="L14" s="63">
        <f>IFERROR(VLOOKUP(TableVersamenti[[#This Row],[Contraente]],Table1[[Nome/Ragione sociale]:[Checkbox selezionato]],2,FALSE),"-")</f>
        <v>0</v>
      </c>
      <c r="M14" s="63">
        <f>IFERROR(VLOOKUP(TableVersamenti[[#This Row],[Contraente]],Table1[[Nome/Ragione sociale]:[Checkbox selezionato]],3,FALSE),"-")</f>
        <v>0</v>
      </c>
      <c r="N14" s="63">
        <f>IFERROR(VLOOKUP(TableVersamenti[[#This Row],[Contraente]],Table1[[Nome/Ragione sociale]:[Checkbox selezionato]],4,FALSE),"-")</f>
        <v>0</v>
      </c>
      <c r="O14" s="63">
        <f>IFERROR(VLOOKUP(TableVersamenti[[#This Row],[Contraente]],Table1[[Nome/Ragione sociale]:[Checkbox selezionato]],5,FALSE),"-")</f>
        <v>0</v>
      </c>
      <c r="P14" s="63">
        <f>IFERROR(VLOOKUP(TableVersamenti[[#This Row],[Contraente]],Table1[[Nome/Ragione sociale]:[Checkbox selezionato]],6,FALSE),"-")</f>
        <v>0</v>
      </c>
      <c r="Q14" s="62" t="str">
        <f>IFERROR(VLOOKUP(TableVersamenti[[#This Row],[Contraente]],Table1[[Nome/Ragione sociale]:[Checkbox selezionato]],7,FALSE),"-")</f>
        <v>papies@email.it</v>
      </c>
      <c r="R14" s="63">
        <f>IFERROR(VLOOKUP(TableVersamenti[[#This Row],[Contraente]],Table1[[Nome/Ragione sociale]:[Checkbox selezionato]],8,FALSE),"-")</f>
        <v>0</v>
      </c>
      <c r="S14" s="63" t="str">
        <f>IFERROR(VLOOKUP(TableVersamenti[[#This Row],[Contraente]],Table1[[Nome/Ragione sociale]:[Checkbox selezionato]],9,FALSE),"-")</f>
        <v>Casa</v>
      </c>
      <c r="T14" s="63" t="b">
        <f>NOT(AND(TableVersamenti[[#This Row],[Stato versamento]]="EFFETTUATO",TableVersamenti[[#This Row],[Pagato da cliente]]="PAGATO"))</f>
        <v>0</v>
      </c>
    </row>
    <row r="15" spans="1:20" ht="30" hidden="1" customHeight="1" x14ac:dyDescent="0.25">
      <c r="A15" s="60" t="str">
        <f>UPPER(LEFT(TableVersamenti[[#This Row],[Contraente]],1))</f>
        <v>C</v>
      </c>
      <c r="B15" s="111" t="s">
        <v>1790</v>
      </c>
      <c r="C15" s="68" t="s">
        <v>37</v>
      </c>
      <c r="D15" s="68">
        <v>106388194</v>
      </c>
      <c r="E15" s="69">
        <v>430.84</v>
      </c>
      <c r="F15" s="67" t="s">
        <v>43</v>
      </c>
      <c r="G15" s="64">
        <v>42921</v>
      </c>
      <c r="H15" s="64">
        <v>42924</v>
      </c>
      <c r="I15" s="70" t="s">
        <v>1640</v>
      </c>
      <c r="J15" s="70" t="s">
        <v>1849</v>
      </c>
      <c r="K15" s="70"/>
      <c r="L15" s="63" t="str">
        <f>IFERROR(VLOOKUP(TableVersamenti[[#This Row],[Contraente]],Table1[[Nome/Ragione sociale]:[Checkbox selezionato]],2,FALSE),"-")</f>
        <v>CHIGNOLO PO</v>
      </c>
      <c r="M15" s="63">
        <f>IFERROR(VLOOKUP(TableVersamenti[[#This Row],[Contraente]],Table1[[Nome/Ragione sociale]:[Checkbox selezionato]],3,FALSE),"-")</f>
        <v>0</v>
      </c>
      <c r="N15" s="63">
        <f>IFERROR(VLOOKUP(TableVersamenti[[#This Row],[Contraente]],Table1[[Nome/Ragione sociale]:[Checkbox selezionato]],4,FALSE),"-")</f>
        <v>0</v>
      </c>
      <c r="O15" s="63">
        <f>IFERROR(VLOOKUP(TableVersamenti[[#This Row],[Contraente]],Table1[[Nome/Ragione sociale]:[Checkbox selezionato]],5,FALSE),"-")</f>
        <v>0</v>
      </c>
      <c r="P15" s="63">
        <f>IFERROR(VLOOKUP(TableVersamenti[[#This Row],[Contraente]],Table1[[Nome/Ragione sociale]:[Checkbox selezionato]],6,FALSE),"-")</f>
        <v>0</v>
      </c>
      <c r="Q15" s="62" t="str">
        <f>IFERROR(VLOOKUP(TableVersamenti[[#This Row],[Contraente]],Table1[[Nome/Ragione sociale]:[Checkbox selezionato]],7,FALSE),"-")</f>
        <v>papies@email.it</v>
      </c>
      <c r="R15" s="63">
        <f>IFERROR(VLOOKUP(TableVersamenti[[#This Row],[Contraente]],Table1[[Nome/Ragione sociale]:[Checkbox selezionato]],8,FALSE),"-")</f>
        <v>0</v>
      </c>
      <c r="S15" s="63" t="str">
        <f>IFERROR(VLOOKUP(TableVersamenti[[#This Row],[Contraente]],Table1[[Nome/Ragione sociale]:[Checkbox selezionato]],9,FALSE),"-")</f>
        <v>Casa</v>
      </c>
      <c r="T15" s="63" t="b">
        <f>NOT(AND(TableVersamenti[[#This Row],[Stato versamento]]="EFFETTUATO",TableVersamenti[[#This Row],[Pagato da cliente]]="PAGATO"))</f>
        <v>0</v>
      </c>
    </row>
    <row r="16" spans="1:20" ht="30" hidden="1" customHeight="1" x14ac:dyDescent="0.25">
      <c r="A16" s="60" t="str">
        <f>UPPER(LEFT(TableVersamenti[[#This Row],[Contraente]],1))</f>
        <v>G</v>
      </c>
      <c r="B16" s="111" t="s">
        <v>1789</v>
      </c>
      <c r="C16" s="68" t="s">
        <v>37</v>
      </c>
      <c r="D16" s="68">
        <v>105791659</v>
      </c>
      <c r="E16" s="69">
        <v>997.68</v>
      </c>
      <c r="F16" s="67" t="s">
        <v>44</v>
      </c>
      <c r="G16" s="64">
        <v>42921</v>
      </c>
      <c r="H16" s="64">
        <v>42924</v>
      </c>
      <c r="I16" s="70" t="s">
        <v>1640</v>
      </c>
      <c r="J16" s="70" t="s">
        <v>1849</v>
      </c>
      <c r="K16" s="70"/>
      <c r="L16" s="63" t="str">
        <f>IFERROR(VLOOKUP(TableVersamenti[[#This Row],[Contraente]],Table1[[Nome/Ragione sociale]:[Checkbox selezionato]],2,FALSE),"-")</f>
        <v>MILANO</v>
      </c>
      <c r="M16" s="63">
        <f>IFERROR(VLOOKUP(TableVersamenti[[#This Row],[Contraente]],Table1[[Nome/Ragione sociale]:[Checkbox selezionato]],3,FALSE),"-")</f>
        <v>0</v>
      </c>
      <c r="N16" s="63">
        <f>IFERROR(VLOOKUP(TableVersamenti[[#This Row],[Contraente]],Table1[[Nome/Ragione sociale]:[Checkbox selezionato]],4,FALSE),"-")</f>
        <v>0</v>
      </c>
      <c r="O16" s="63">
        <f>IFERROR(VLOOKUP(TableVersamenti[[#This Row],[Contraente]],Table1[[Nome/Ragione sociale]:[Checkbox selezionato]],5,FALSE),"-")</f>
        <v>0</v>
      </c>
      <c r="P16" s="63">
        <f>IFERROR(VLOOKUP(TableVersamenti[[#This Row],[Contraente]],Table1[[Nome/Ragione sociale]:[Checkbox selezionato]],6,FALSE),"-")</f>
        <v>0</v>
      </c>
      <c r="Q16" s="62" t="str">
        <f>IFERROR(VLOOKUP(TableVersamenti[[#This Row],[Contraente]],Table1[[Nome/Ragione sociale]:[Checkbox selezionato]],7,FALSE),"-")</f>
        <v>papies@email.it</v>
      </c>
      <c r="R16" s="63">
        <f>IFERROR(VLOOKUP(TableVersamenti[[#This Row],[Contraente]],Table1[[Nome/Ragione sociale]:[Checkbox selezionato]],8,FALSE),"-")</f>
        <v>0</v>
      </c>
      <c r="S16" s="63" t="str">
        <f>IFERROR(VLOOKUP(TableVersamenti[[#This Row],[Contraente]],Table1[[Nome/Ragione sociale]:[Checkbox selezionato]],9,FALSE),"-")</f>
        <v>Casa</v>
      </c>
      <c r="T16" s="63" t="b">
        <f>NOT(AND(TableVersamenti[[#This Row],[Stato versamento]]="EFFETTUATO",TableVersamenti[[#This Row],[Pagato da cliente]]="PAGATO"))</f>
        <v>0</v>
      </c>
    </row>
    <row r="17" spans="1:20" ht="30" hidden="1" customHeight="1" x14ac:dyDescent="0.25">
      <c r="A17" s="60" t="str">
        <f>UPPER(LEFT(TableVersamenti[[#This Row],[Contraente]],1))</f>
        <v>G</v>
      </c>
      <c r="B17" s="111" t="s">
        <v>1789</v>
      </c>
      <c r="C17" s="68" t="s">
        <v>37</v>
      </c>
      <c r="D17" s="68">
        <v>104590058</v>
      </c>
      <c r="E17" s="69">
        <v>60</v>
      </c>
      <c r="F17" s="67" t="s">
        <v>44</v>
      </c>
      <c r="G17" s="64">
        <v>42921</v>
      </c>
      <c r="H17" s="64">
        <v>42924</v>
      </c>
      <c r="I17" s="70" t="s">
        <v>1640</v>
      </c>
      <c r="J17" s="70" t="s">
        <v>1849</v>
      </c>
      <c r="K17" s="70"/>
      <c r="L17" s="63" t="str">
        <f>IFERROR(VLOOKUP(TableVersamenti[[#This Row],[Contraente]],Table1[[Nome/Ragione sociale]:[Checkbox selezionato]],2,FALSE),"-")</f>
        <v>MILANO</v>
      </c>
      <c r="M17" s="63">
        <f>IFERROR(VLOOKUP(TableVersamenti[[#This Row],[Contraente]],Table1[[Nome/Ragione sociale]:[Checkbox selezionato]],3,FALSE),"-")</f>
        <v>0</v>
      </c>
      <c r="N17" s="63">
        <f>IFERROR(VLOOKUP(TableVersamenti[[#This Row],[Contraente]],Table1[[Nome/Ragione sociale]:[Checkbox selezionato]],4,FALSE),"-")</f>
        <v>0</v>
      </c>
      <c r="O17" s="63">
        <f>IFERROR(VLOOKUP(TableVersamenti[[#This Row],[Contraente]],Table1[[Nome/Ragione sociale]:[Checkbox selezionato]],5,FALSE),"-")</f>
        <v>0</v>
      </c>
      <c r="P17" s="63">
        <f>IFERROR(VLOOKUP(TableVersamenti[[#This Row],[Contraente]],Table1[[Nome/Ragione sociale]:[Checkbox selezionato]],6,FALSE),"-")</f>
        <v>0</v>
      </c>
      <c r="Q17" s="62" t="str">
        <f>IFERROR(VLOOKUP(TableVersamenti[[#This Row],[Contraente]],Table1[[Nome/Ragione sociale]:[Checkbox selezionato]],7,FALSE),"-")</f>
        <v>papies@email.it</v>
      </c>
      <c r="R17" s="63">
        <f>IFERROR(VLOOKUP(TableVersamenti[[#This Row],[Contraente]],Table1[[Nome/Ragione sociale]:[Checkbox selezionato]],8,FALSE),"-")</f>
        <v>0</v>
      </c>
      <c r="S17" s="63" t="str">
        <f>IFERROR(VLOOKUP(TableVersamenti[[#This Row],[Contraente]],Table1[[Nome/Ragione sociale]:[Checkbox selezionato]],9,FALSE),"-")</f>
        <v>Casa</v>
      </c>
      <c r="T17" s="63" t="b">
        <f>NOT(AND(TableVersamenti[[#This Row],[Stato versamento]]="EFFETTUATO",TableVersamenti[[#This Row],[Pagato da cliente]]="PAGATO"))</f>
        <v>0</v>
      </c>
    </row>
    <row r="18" spans="1:20" ht="30" hidden="1" customHeight="1" x14ac:dyDescent="0.25">
      <c r="A18" s="60" t="str">
        <f>UPPER(LEFT(TableVersamenti[[#This Row],[Contraente]],1))</f>
        <v>C</v>
      </c>
      <c r="B18" s="111" t="s">
        <v>451</v>
      </c>
      <c r="C18" s="68" t="s">
        <v>37</v>
      </c>
      <c r="D18" s="68">
        <v>103290566</v>
      </c>
      <c r="E18" s="69">
        <v>470</v>
      </c>
      <c r="F18" s="67" t="s">
        <v>44</v>
      </c>
      <c r="G18" s="64">
        <v>42921</v>
      </c>
      <c r="H18" s="64">
        <v>42924</v>
      </c>
      <c r="I18" s="70" t="s">
        <v>1640</v>
      </c>
      <c r="J18" s="70" t="s">
        <v>1849</v>
      </c>
      <c r="K18" s="70"/>
      <c r="L18" s="63" t="str">
        <f>IFERROR(VLOOKUP(TableVersamenti[[#This Row],[Contraente]],Table1[[Nome/Ragione sociale]:[Checkbox selezionato]],2,FALSE),"-")</f>
        <v>BELGIOIOSO</v>
      </c>
      <c r="M18" s="63">
        <f>IFERROR(VLOOKUP(TableVersamenti[[#This Row],[Contraente]],Table1[[Nome/Ragione sociale]:[Checkbox selezionato]],3,FALSE),"-")</f>
        <v>3487271552</v>
      </c>
      <c r="N18" s="63">
        <f>IFERROR(VLOOKUP(TableVersamenti[[#This Row],[Contraente]],Table1[[Nome/Ragione sociale]:[Checkbox selezionato]],4,FALSE),"-")</f>
        <v>0</v>
      </c>
      <c r="O18" s="63" t="str">
        <f>IFERROR(VLOOKUP(TableVersamenti[[#This Row],[Contraente]],Table1[[Nome/Ragione sociale]:[Checkbox selezionato]],5,FALSE),"-")</f>
        <v>RIPA</v>
      </c>
      <c r="P18" s="63" t="str">
        <f>IFERROR(VLOOKUP(TableVersamenti[[#This Row],[Contraente]],Table1[[Nome/Ragione sociale]:[Checkbox selezionato]],6,FALSE),"-")</f>
        <v>-</v>
      </c>
      <c r="Q18" s="62" t="str">
        <f>IFERROR(VLOOKUP(TableVersamenti[[#This Row],[Contraente]],Table1[[Nome/Ragione sociale]:[Checkbox selezionato]],7,FALSE),"-")</f>
        <v>papies@libero.it</v>
      </c>
      <c r="R18" s="63">
        <f>IFERROR(VLOOKUP(TableVersamenti[[#This Row],[Contraente]],Table1[[Nome/Ragione sociale]:[Checkbox selezionato]],8,FALSE),"-")</f>
        <v>0</v>
      </c>
      <c r="S18" s="63" t="str">
        <f>IFERROR(VLOOKUP(TableVersamenti[[#This Row],[Contraente]],Table1[[Nome/Ragione sociale]:[Checkbox selezionato]],9,FALSE),"-")</f>
        <v>Casa</v>
      </c>
      <c r="T18" s="63" t="b">
        <f>NOT(AND(TableVersamenti[[#This Row],[Stato versamento]]="EFFETTUATO",TableVersamenti[[#This Row],[Pagato da cliente]]="PAGATO"))</f>
        <v>0</v>
      </c>
    </row>
    <row r="19" spans="1:20" ht="30" hidden="1" customHeight="1" x14ac:dyDescent="0.25">
      <c r="A19" s="60" t="str">
        <f>UPPER(LEFT(TableVersamenti[[#This Row],[Contraente]],1))</f>
        <v>G</v>
      </c>
      <c r="B19" s="111" t="s">
        <v>1796</v>
      </c>
      <c r="C19" s="68" t="s">
        <v>37</v>
      </c>
      <c r="D19" s="68">
        <v>107056006</v>
      </c>
      <c r="E19" s="69">
        <v>340</v>
      </c>
      <c r="F19" s="67" t="s">
        <v>44</v>
      </c>
      <c r="G19" s="64">
        <v>42922</v>
      </c>
      <c r="H19" s="64">
        <v>42925</v>
      </c>
      <c r="I19" s="70" t="s">
        <v>1640</v>
      </c>
      <c r="J19" s="70" t="s">
        <v>1849</v>
      </c>
      <c r="K19" s="70"/>
      <c r="L19" s="63" t="str">
        <f>IFERROR(VLOOKUP(TableVersamenti[[#This Row],[Contraente]],Table1[[Nome/Ragione sociale]:[Checkbox selezionato]],2,FALSE),"-")</f>
        <v>MIRADOLO TERME</v>
      </c>
      <c r="M19" s="63">
        <f>IFERROR(VLOOKUP(TableVersamenti[[#This Row],[Contraente]],Table1[[Nome/Ragione sociale]:[Checkbox selezionato]],3,FALSE),"-")</f>
        <v>0</v>
      </c>
      <c r="N19" s="63">
        <f>IFERROR(VLOOKUP(TableVersamenti[[#This Row],[Contraente]],Table1[[Nome/Ragione sociale]:[Checkbox selezionato]],4,FALSE),"-")</f>
        <v>0</v>
      </c>
      <c r="O19" s="63">
        <f>IFERROR(VLOOKUP(TableVersamenti[[#This Row],[Contraente]],Table1[[Nome/Ragione sociale]:[Checkbox selezionato]],5,FALSE),"-")</f>
        <v>0</v>
      </c>
      <c r="P19" s="63">
        <f>IFERROR(VLOOKUP(TableVersamenti[[#This Row],[Contraente]],Table1[[Nome/Ragione sociale]:[Checkbox selezionato]],6,FALSE),"-")</f>
        <v>0</v>
      </c>
      <c r="Q19" s="62" t="str">
        <f>IFERROR(VLOOKUP(TableVersamenti[[#This Row],[Contraente]],Table1[[Nome/Ragione sociale]:[Checkbox selezionato]],7,FALSE),"-")</f>
        <v>papies@libero.it</v>
      </c>
      <c r="R19" s="63">
        <f>IFERROR(VLOOKUP(TableVersamenti[[#This Row],[Contraente]],Table1[[Nome/Ragione sociale]:[Checkbox selezionato]],8,FALSE),"-")</f>
        <v>0</v>
      </c>
      <c r="S19" s="63" t="str">
        <f>IFERROR(VLOOKUP(TableVersamenti[[#This Row],[Contraente]],Table1[[Nome/Ragione sociale]:[Checkbox selezionato]],9,FALSE),"-")</f>
        <v>Casa</v>
      </c>
      <c r="T19" s="63" t="b">
        <f>NOT(AND(TableVersamenti[[#This Row],[Stato versamento]]="EFFETTUATO",TableVersamenti[[#This Row],[Pagato da cliente]]="PAGATO"))</f>
        <v>0</v>
      </c>
    </row>
    <row r="20" spans="1:20" ht="30" hidden="1" customHeight="1" x14ac:dyDescent="0.25">
      <c r="A20" s="60" t="str">
        <f>UPPER(LEFT(TableVersamenti[[#This Row],[Contraente]],1))</f>
        <v>G</v>
      </c>
      <c r="B20" s="111" t="s">
        <v>1796</v>
      </c>
      <c r="C20" s="68" t="s">
        <v>37</v>
      </c>
      <c r="D20" s="68">
        <v>107056210</v>
      </c>
      <c r="E20" s="69">
        <v>60</v>
      </c>
      <c r="F20" s="67" t="s">
        <v>44</v>
      </c>
      <c r="G20" s="64">
        <v>42922</v>
      </c>
      <c r="H20" s="64">
        <v>42925</v>
      </c>
      <c r="I20" s="70" t="s">
        <v>1640</v>
      </c>
      <c r="J20" s="70" t="s">
        <v>1849</v>
      </c>
      <c r="K20" s="70"/>
      <c r="L20" s="63" t="str">
        <f>IFERROR(VLOOKUP(TableVersamenti[[#This Row],[Contraente]],Table1[[Nome/Ragione sociale]:[Checkbox selezionato]],2,FALSE),"-")</f>
        <v>MIRADOLO TERME</v>
      </c>
      <c r="M20" s="63">
        <f>IFERROR(VLOOKUP(TableVersamenti[[#This Row],[Contraente]],Table1[[Nome/Ragione sociale]:[Checkbox selezionato]],3,FALSE),"-")</f>
        <v>0</v>
      </c>
      <c r="N20" s="63">
        <f>IFERROR(VLOOKUP(TableVersamenti[[#This Row],[Contraente]],Table1[[Nome/Ragione sociale]:[Checkbox selezionato]],4,FALSE),"-")</f>
        <v>0</v>
      </c>
      <c r="O20" s="63">
        <f>IFERROR(VLOOKUP(TableVersamenti[[#This Row],[Contraente]],Table1[[Nome/Ragione sociale]:[Checkbox selezionato]],5,FALSE),"-")</f>
        <v>0</v>
      </c>
      <c r="P20" s="63">
        <f>IFERROR(VLOOKUP(TableVersamenti[[#This Row],[Contraente]],Table1[[Nome/Ragione sociale]:[Checkbox selezionato]],6,FALSE),"-")</f>
        <v>0</v>
      </c>
      <c r="Q20" s="62" t="str">
        <f>IFERROR(VLOOKUP(TableVersamenti[[#This Row],[Contraente]],Table1[[Nome/Ragione sociale]:[Checkbox selezionato]],7,FALSE),"-")</f>
        <v>papies@libero.it</v>
      </c>
      <c r="R20" s="63">
        <f>IFERROR(VLOOKUP(TableVersamenti[[#This Row],[Contraente]],Table1[[Nome/Ragione sociale]:[Checkbox selezionato]],8,FALSE),"-")</f>
        <v>0</v>
      </c>
      <c r="S20" s="63" t="str">
        <f>IFERROR(VLOOKUP(TableVersamenti[[#This Row],[Contraente]],Table1[[Nome/Ragione sociale]:[Checkbox selezionato]],9,FALSE),"-")</f>
        <v>Casa</v>
      </c>
      <c r="T20" s="63" t="b">
        <f>NOT(AND(TableVersamenti[[#This Row],[Stato versamento]]="EFFETTUATO",TableVersamenti[[#This Row],[Pagato da cliente]]="PAGATO"))</f>
        <v>0</v>
      </c>
    </row>
    <row r="21" spans="1:20" ht="30" hidden="1" customHeight="1" x14ac:dyDescent="0.25">
      <c r="A21" s="60" t="str">
        <f>UPPER(LEFT(TableVersamenti[[#This Row],[Contraente]],1))</f>
        <v>F</v>
      </c>
      <c r="B21" s="111" t="s">
        <v>659</v>
      </c>
      <c r="C21" s="68" t="s">
        <v>37</v>
      </c>
      <c r="D21" s="68">
        <v>105810606</v>
      </c>
      <c r="E21" s="69">
        <v>414.7</v>
      </c>
      <c r="F21" s="67" t="s">
        <v>44</v>
      </c>
      <c r="G21" s="64">
        <v>42922</v>
      </c>
      <c r="H21" s="64">
        <v>42925</v>
      </c>
      <c r="I21" s="70" t="s">
        <v>1640</v>
      </c>
      <c r="J21" s="70" t="s">
        <v>1849</v>
      </c>
      <c r="K21" s="70"/>
      <c r="L21" s="63" t="str">
        <f>IFERROR(VLOOKUP(TableVersamenti[[#This Row],[Contraente]],Table1[[Nome/Ragione sociale]:[Checkbox selezionato]],2,FALSE),"-")</f>
        <v xml:space="preserve">GENZONE </v>
      </c>
      <c r="M21" s="63">
        <f>IFERROR(VLOOKUP(TableVersamenti[[#This Row],[Contraente]],Table1[[Nome/Ragione sociale]:[Checkbox selezionato]],3,FALSE),"-")</f>
        <v>3496635799</v>
      </c>
      <c r="N21" s="63">
        <f>IFERROR(VLOOKUP(TableVersamenti[[#This Row],[Contraente]],Table1[[Nome/Ragione sociale]:[Checkbox selezionato]],4,FALSE),"-")</f>
        <v>0</v>
      </c>
      <c r="O21" s="63" t="str">
        <f>IFERROR(VLOOKUP(TableVersamenti[[#This Row],[Contraente]],Table1[[Nome/Ragione sociale]:[Checkbox selezionato]],5,FALSE),"-")</f>
        <v>ANNA MARIA</v>
      </c>
      <c r="P21" s="63">
        <f>IFERROR(VLOOKUP(TableVersamenti[[#This Row],[Contraente]],Table1[[Nome/Ragione sociale]:[Checkbox selezionato]],6,FALSE),"-")</f>
        <v>22875</v>
      </c>
      <c r="Q21" s="62" t="str">
        <f>IFERROR(VLOOKUP(TableVersamenti[[#This Row],[Contraente]],Table1[[Nome/Ragione sociale]:[Checkbox selezionato]],7,FALSE),"-")</f>
        <v>papies@libero.it</v>
      </c>
      <c r="R21" s="63">
        <f>IFERROR(VLOOKUP(TableVersamenti[[#This Row],[Contraente]],Table1[[Nome/Ragione sociale]:[Checkbox selezionato]],8,FALSE),"-")</f>
        <v>0</v>
      </c>
      <c r="S21" s="63" t="str">
        <f>IFERROR(VLOOKUP(TableVersamenti[[#This Row],[Contraente]],Table1[[Nome/Ragione sociale]:[Checkbox selezionato]],9,FALSE),"-")</f>
        <v>Casa</v>
      </c>
      <c r="T21" s="63" t="b">
        <f>NOT(AND(TableVersamenti[[#This Row],[Stato versamento]]="EFFETTUATO",TableVersamenti[[#This Row],[Pagato da cliente]]="PAGATO"))</f>
        <v>0</v>
      </c>
    </row>
    <row r="22" spans="1:20" ht="30" hidden="1" customHeight="1" x14ac:dyDescent="0.25">
      <c r="A22" s="60" t="str">
        <f>UPPER(LEFT(TableVersamenti[[#This Row],[Contraente]],1))</f>
        <v>B</v>
      </c>
      <c r="B22" s="111" t="s">
        <v>393</v>
      </c>
      <c r="C22" s="68" t="s">
        <v>37</v>
      </c>
      <c r="D22" s="68">
        <v>105830471</v>
      </c>
      <c r="E22" s="69">
        <v>800</v>
      </c>
      <c r="F22" s="67" t="s">
        <v>44</v>
      </c>
      <c r="G22" s="64">
        <v>42923</v>
      </c>
      <c r="H22" s="64">
        <v>42926</v>
      </c>
      <c r="I22" s="70" t="s">
        <v>1640</v>
      </c>
      <c r="J22" s="70" t="s">
        <v>1849</v>
      </c>
      <c r="K22" s="70"/>
      <c r="L22" s="63" t="str">
        <f>IFERROR(VLOOKUP(TableVersamenti[[#This Row],[Contraente]],Table1[[Nome/Ragione sociale]:[Checkbox selezionato]],2,FALSE),"-")</f>
        <v xml:space="preserve">GENZONE </v>
      </c>
      <c r="M22" s="63">
        <f>IFERROR(VLOOKUP(TableVersamenti[[#This Row],[Contraente]],Table1[[Nome/Ragione sociale]:[Checkbox selezionato]],3,FALSE),"-")</f>
        <v>3356714091</v>
      </c>
      <c r="N22" s="63">
        <f>IFERROR(VLOOKUP(TableVersamenti[[#This Row],[Contraente]],Table1[[Nome/Ragione sociale]:[Checkbox selezionato]],4,FALSE),"-")</f>
        <v>0</v>
      </c>
      <c r="O22" s="63" t="str">
        <f>IFERROR(VLOOKUP(TableVersamenti[[#This Row],[Contraente]],Table1[[Nome/Ragione sociale]:[Checkbox selezionato]],5,FALSE),"-")</f>
        <v>LUIGI</v>
      </c>
      <c r="P22" s="63">
        <f>IFERROR(VLOOKUP(TableVersamenti[[#This Row],[Contraente]],Table1[[Nome/Ragione sociale]:[Checkbox selezionato]],6,FALSE),"-")</f>
        <v>19888</v>
      </c>
      <c r="Q22" s="62" t="str">
        <f>IFERROR(VLOOKUP(TableVersamenti[[#This Row],[Contraente]],Table1[[Nome/Ragione sociale]:[Checkbox selezionato]],7,FALSE),"-")</f>
        <v>papies@libero.it</v>
      </c>
      <c r="R22" s="63">
        <f>IFERROR(VLOOKUP(TableVersamenti[[#This Row],[Contraente]],Table1[[Nome/Ragione sociale]:[Checkbox selezionato]],8,FALSE),"-")</f>
        <v>0</v>
      </c>
      <c r="S22" s="63" t="str">
        <f>IFERROR(VLOOKUP(TableVersamenti[[#This Row],[Contraente]],Table1[[Nome/Ragione sociale]:[Checkbox selezionato]],9,FALSE),"-")</f>
        <v>Casa</v>
      </c>
      <c r="T22" s="63" t="b">
        <f>NOT(AND(TableVersamenti[[#This Row],[Stato versamento]]="EFFETTUATO",TableVersamenti[[#This Row],[Pagato da cliente]]="PAGATO"))</f>
        <v>0</v>
      </c>
    </row>
    <row r="23" spans="1:20" ht="30" hidden="1" customHeight="1" x14ac:dyDescent="0.25">
      <c r="A23" s="60" t="str">
        <f>UPPER(LEFT(TableVersamenti[[#This Row],[Contraente]],1))</f>
        <v>B</v>
      </c>
      <c r="B23" s="111" t="s">
        <v>393</v>
      </c>
      <c r="C23" s="68" t="s">
        <v>37</v>
      </c>
      <c r="D23" s="68">
        <v>103341540</v>
      </c>
      <c r="E23" s="69">
        <v>136</v>
      </c>
      <c r="F23" s="67" t="s">
        <v>44</v>
      </c>
      <c r="G23" s="64">
        <v>42923</v>
      </c>
      <c r="H23" s="64">
        <v>42926</v>
      </c>
      <c r="I23" s="70" t="s">
        <v>1640</v>
      </c>
      <c r="J23" s="70" t="s">
        <v>1849</v>
      </c>
      <c r="K23" s="70"/>
      <c r="L23" s="63" t="str">
        <f>IFERROR(VLOOKUP(TableVersamenti[[#This Row],[Contraente]],Table1[[Nome/Ragione sociale]:[Checkbox selezionato]],2,FALSE),"-")</f>
        <v xml:space="preserve">GENZONE </v>
      </c>
      <c r="M23" s="63">
        <f>IFERROR(VLOOKUP(TableVersamenti[[#This Row],[Contraente]],Table1[[Nome/Ragione sociale]:[Checkbox selezionato]],3,FALSE),"-")</f>
        <v>3356714091</v>
      </c>
      <c r="N23" s="63">
        <f>IFERROR(VLOOKUP(TableVersamenti[[#This Row],[Contraente]],Table1[[Nome/Ragione sociale]:[Checkbox selezionato]],4,FALSE),"-")</f>
        <v>0</v>
      </c>
      <c r="O23" s="63" t="str">
        <f>IFERROR(VLOOKUP(TableVersamenti[[#This Row],[Contraente]],Table1[[Nome/Ragione sociale]:[Checkbox selezionato]],5,FALSE),"-")</f>
        <v>LUIGI</v>
      </c>
      <c r="P23" s="63">
        <f>IFERROR(VLOOKUP(TableVersamenti[[#This Row],[Contraente]],Table1[[Nome/Ragione sociale]:[Checkbox selezionato]],6,FALSE),"-")</f>
        <v>19888</v>
      </c>
      <c r="Q23" s="62" t="str">
        <f>IFERROR(VLOOKUP(TableVersamenti[[#This Row],[Contraente]],Table1[[Nome/Ragione sociale]:[Checkbox selezionato]],7,FALSE),"-")</f>
        <v>papies@libero.it</v>
      </c>
      <c r="R23" s="63">
        <f>IFERROR(VLOOKUP(TableVersamenti[[#This Row],[Contraente]],Table1[[Nome/Ragione sociale]:[Checkbox selezionato]],8,FALSE),"-")</f>
        <v>0</v>
      </c>
      <c r="S23" s="63" t="str">
        <f>IFERROR(VLOOKUP(TableVersamenti[[#This Row],[Contraente]],Table1[[Nome/Ragione sociale]:[Checkbox selezionato]],9,FALSE),"-")</f>
        <v>Casa</v>
      </c>
      <c r="T23" s="63" t="b">
        <f>NOT(AND(TableVersamenti[[#This Row],[Stato versamento]]="EFFETTUATO",TableVersamenti[[#This Row],[Pagato da cliente]]="PAGATO"))</f>
        <v>0</v>
      </c>
    </row>
    <row r="24" spans="1:20" ht="30" hidden="1" customHeight="1" x14ac:dyDescent="0.25">
      <c r="A24" s="60" t="str">
        <f>UPPER(LEFT(TableVersamenti[[#This Row],[Contraente]],1))</f>
        <v>M</v>
      </c>
      <c r="B24" s="111" t="s">
        <v>790</v>
      </c>
      <c r="C24" s="68" t="s">
        <v>37</v>
      </c>
      <c r="D24" s="68">
        <v>1074990</v>
      </c>
      <c r="E24" s="69">
        <v>41.29</v>
      </c>
      <c r="F24" s="67" t="s">
        <v>44</v>
      </c>
      <c r="G24" s="64">
        <v>42923</v>
      </c>
      <c r="H24" s="64">
        <v>42926</v>
      </c>
      <c r="I24" s="70" t="s">
        <v>1640</v>
      </c>
      <c r="J24" s="70" t="s">
        <v>1849</v>
      </c>
      <c r="K24" s="70"/>
      <c r="L24" s="63" t="str">
        <f>IFERROR(VLOOKUP(TableVersamenti[[#This Row],[Contraente]],Table1[[Nome/Ragione sociale]:[Checkbox selezionato]],2,FALSE),"-")</f>
        <v>SANTA CRISTINA E BISSONE</v>
      </c>
      <c r="M24" s="63">
        <f>IFERROR(VLOOKUP(TableVersamenti[[#This Row],[Contraente]],Table1[[Nome/Ragione sociale]:[Checkbox selezionato]],3,FALSE),"-")</f>
        <v>3663216564</v>
      </c>
      <c r="N24" s="63">
        <f>IFERROR(VLOOKUP(TableVersamenti[[#This Row],[Contraente]],Table1[[Nome/Ragione sociale]:[Checkbox selezionato]],4,FALSE),"-")</f>
        <v>0</v>
      </c>
      <c r="O24" s="63" t="str">
        <f>IFERROR(VLOOKUP(TableVersamenti[[#This Row],[Contraente]],Table1[[Nome/Ragione sociale]:[Checkbox selezionato]],5,FALSE),"-")</f>
        <v>ANTONIO</v>
      </c>
      <c r="P24" s="63">
        <f>IFERROR(VLOOKUP(TableVersamenti[[#This Row],[Contraente]],Table1[[Nome/Ragione sociale]:[Checkbox selezionato]],6,FALSE),"-")</f>
        <v>23036</v>
      </c>
      <c r="Q24" s="62" t="str">
        <f>IFERROR(VLOOKUP(TableVersamenti[[#This Row],[Contraente]],Table1[[Nome/Ragione sociale]:[Checkbox selezionato]],7,FALSE),"-")</f>
        <v>papies@libero.it</v>
      </c>
      <c r="R24" s="63">
        <f>IFERROR(VLOOKUP(TableVersamenti[[#This Row],[Contraente]],Table1[[Nome/Ragione sociale]:[Checkbox selezionato]],8,FALSE),"-")</f>
        <v>0</v>
      </c>
      <c r="S24" s="63" t="str">
        <f>IFERROR(VLOOKUP(TableVersamenti[[#This Row],[Contraente]],Table1[[Nome/Ragione sociale]:[Checkbox selezionato]],9,FALSE),"-")</f>
        <v>Casa</v>
      </c>
      <c r="T24" s="63" t="b">
        <f>NOT(AND(TableVersamenti[[#This Row],[Stato versamento]]="EFFETTUATO",TableVersamenti[[#This Row],[Pagato da cliente]]="PAGATO"))</f>
        <v>0</v>
      </c>
    </row>
    <row r="25" spans="1:20" ht="30" hidden="1" customHeight="1" x14ac:dyDescent="0.25">
      <c r="A25" s="60" t="str">
        <f>UPPER(LEFT(TableVersamenti[[#This Row],[Contraente]],1))</f>
        <v>V</v>
      </c>
      <c r="B25" s="111" t="s">
        <v>1062</v>
      </c>
      <c r="C25" s="68" t="s">
        <v>37</v>
      </c>
      <c r="D25" s="68">
        <v>1074988</v>
      </c>
      <c r="E25" s="69">
        <v>41.29</v>
      </c>
      <c r="F25" s="67" t="s">
        <v>44</v>
      </c>
      <c r="G25" s="64">
        <v>42923</v>
      </c>
      <c r="H25" s="64">
        <v>42926</v>
      </c>
      <c r="I25" s="70" t="s">
        <v>1640</v>
      </c>
      <c r="J25" s="70" t="s">
        <v>1849</v>
      </c>
      <c r="K25" s="70"/>
      <c r="L25" s="63" t="str">
        <f>IFERROR(VLOOKUP(TableVersamenti[[#This Row],[Contraente]],Table1[[Nome/Ragione sociale]:[Checkbox selezionato]],2,FALSE),"-")</f>
        <v>SANTA CRISTINA E BISSONE</v>
      </c>
      <c r="M25" s="63">
        <f>IFERROR(VLOOKUP(TableVersamenti[[#This Row],[Contraente]],Table1[[Nome/Ragione sociale]:[Checkbox selezionato]],3,FALSE),"-")</f>
        <v>3663216564</v>
      </c>
      <c r="N25" s="63">
        <f>IFERROR(VLOOKUP(TableVersamenti[[#This Row],[Contraente]],Table1[[Nome/Ragione sociale]:[Checkbox selezionato]],4,FALSE),"-")</f>
        <v>0</v>
      </c>
      <c r="O25" s="63" t="str">
        <f>IFERROR(VLOOKUP(TableVersamenti[[#This Row],[Contraente]],Table1[[Nome/Ragione sociale]:[Checkbox selezionato]],5,FALSE),"-")</f>
        <v>MARITO ANTONIO</v>
      </c>
      <c r="P25" s="63">
        <f>IFERROR(VLOOKUP(TableVersamenti[[#This Row],[Contraente]],Table1[[Nome/Ragione sociale]:[Checkbox selezionato]],6,FALSE),"-")</f>
        <v>23498</v>
      </c>
      <c r="Q25" s="62" t="str">
        <f>IFERROR(VLOOKUP(TableVersamenti[[#This Row],[Contraente]],Table1[[Nome/Ragione sociale]:[Checkbox selezionato]],7,FALSE),"-")</f>
        <v>papies@libero.it</v>
      </c>
      <c r="R25" s="63">
        <f>IFERROR(VLOOKUP(TableVersamenti[[#This Row],[Contraente]],Table1[[Nome/Ragione sociale]:[Checkbox selezionato]],8,FALSE),"-")</f>
        <v>0</v>
      </c>
      <c r="S25" s="63" t="str">
        <f>IFERROR(VLOOKUP(TableVersamenti[[#This Row],[Contraente]],Table1[[Nome/Ragione sociale]:[Checkbox selezionato]],9,FALSE),"-")</f>
        <v>Casa</v>
      </c>
      <c r="T25" s="63" t="b">
        <f>NOT(AND(TableVersamenti[[#This Row],[Stato versamento]]="EFFETTUATO",TableVersamenti[[#This Row],[Pagato da cliente]]="PAGATO"))</f>
        <v>0</v>
      </c>
    </row>
    <row r="26" spans="1:20" ht="30" hidden="1" customHeight="1" x14ac:dyDescent="0.25">
      <c r="A26" s="60" t="str">
        <f>UPPER(LEFT(TableVersamenti[[#This Row],[Contraente]],1))</f>
        <v>V</v>
      </c>
      <c r="B26" s="111" t="s">
        <v>1062</v>
      </c>
      <c r="C26" s="68" t="s">
        <v>37</v>
      </c>
      <c r="D26" s="68">
        <v>106197491</v>
      </c>
      <c r="E26" s="69">
        <v>376.35</v>
      </c>
      <c r="F26" s="67" t="s">
        <v>44</v>
      </c>
      <c r="G26" s="64">
        <v>42923</v>
      </c>
      <c r="H26" s="64">
        <v>42926</v>
      </c>
      <c r="I26" s="70" t="s">
        <v>1640</v>
      </c>
      <c r="J26" s="70" t="s">
        <v>1849</v>
      </c>
      <c r="K26" s="70"/>
      <c r="L26" s="63" t="str">
        <f>IFERROR(VLOOKUP(TableVersamenti[[#This Row],[Contraente]],Table1[[Nome/Ragione sociale]:[Checkbox selezionato]],2,FALSE),"-")</f>
        <v>SANTA CRISTINA E BISSONE</v>
      </c>
      <c r="M26" s="63">
        <f>IFERROR(VLOOKUP(TableVersamenti[[#This Row],[Contraente]],Table1[[Nome/Ragione sociale]:[Checkbox selezionato]],3,FALSE),"-")</f>
        <v>3663216564</v>
      </c>
      <c r="N26" s="63">
        <f>IFERROR(VLOOKUP(TableVersamenti[[#This Row],[Contraente]],Table1[[Nome/Ragione sociale]:[Checkbox selezionato]],4,FALSE),"-")</f>
        <v>0</v>
      </c>
      <c r="O26" s="63" t="str">
        <f>IFERROR(VLOOKUP(TableVersamenti[[#This Row],[Contraente]],Table1[[Nome/Ragione sociale]:[Checkbox selezionato]],5,FALSE),"-")</f>
        <v>MARITO ANTONIO</v>
      </c>
      <c r="P26" s="63">
        <f>IFERROR(VLOOKUP(TableVersamenti[[#This Row],[Contraente]],Table1[[Nome/Ragione sociale]:[Checkbox selezionato]],6,FALSE),"-")</f>
        <v>23498</v>
      </c>
      <c r="Q26" s="62" t="str">
        <f>IFERROR(VLOOKUP(TableVersamenti[[#This Row],[Contraente]],Table1[[Nome/Ragione sociale]:[Checkbox selezionato]],7,FALSE),"-")</f>
        <v>papies@libero.it</v>
      </c>
      <c r="R26" s="63">
        <f>IFERROR(VLOOKUP(TableVersamenti[[#This Row],[Contraente]],Table1[[Nome/Ragione sociale]:[Checkbox selezionato]],8,FALSE),"-")</f>
        <v>0</v>
      </c>
      <c r="S26" s="63" t="str">
        <f>IFERROR(VLOOKUP(TableVersamenti[[#This Row],[Contraente]],Table1[[Nome/Ragione sociale]:[Checkbox selezionato]],9,FALSE),"-")</f>
        <v>Casa</v>
      </c>
      <c r="T26" s="63" t="b">
        <f>NOT(AND(TableVersamenti[[#This Row],[Stato versamento]]="EFFETTUATO",TableVersamenti[[#This Row],[Pagato da cliente]]="PAGATO"))</f>
        <v>0</v>
      </c>
    </row>
    <row r="27" spans="1:20" ht="30" hidden="1" customHeight="1" x14ac:dyDescent="0.25">
      <c r="A27" s="60" t="str">
        <f>UPPER(LEFT(TableVersamenti[[#This Row],[Contraente]],1))</f>
        <v>V</v>
      </c>
      <c r="B27" s="111" t="s">
        <v>1062</v>
      </c>
      <c r="C27" s="68" t="s">
        <v>37</v>
      </c>
      <c r="D27" s="68">
        <v>105196329</v>
      </c>
      <c r="E27" s="69">
        <v>137</v>
      </c>
      <c r="F27" s="67" t="s">
        <v>44</v>
      </c>
      <c r="G27" s="64">
        <v>42923</v>
      </c>
      <c r="H27" s="64">
        <v>42926</v>
      </c>
      <c r="I27" s="70" t="s">
        <v>1640</v>
      </c>
      <c r="J27" s="70" t="s">
        <v>1849</v>
      </c>
      <c r="K27" s="70"/>
      <c r="L27" s="63" t="str">
        <f>IFERROR(VLOOKUP(TableVersamenti[[#This Row],[Contraente]],Table1[[Nome/Ragione sociale]:[Checkbox selezionato]],2,FALSE),"-")</f>
        <v>SANTA CRISTINA E BISSONE</v>
      </c>
      <c r="M27" s="63">
        <f>IFERROR(VLOOKUP(TableVersamenti[[#This Row],[Contraente]],Table1[[Nome/Ragione sociale]:[Checkbox selezionato]],3,FALSE),"-")</f>
        <v>3663216564</v>
      </c>
      <c r="N27" s="63">
        <f>IFERROR(VLOOKUP(TableVersamenti[[#This Row],[Contraente]],Table1[[Nome/Ragione sociale]:[Checkbox selezionato]],4,FALSE),"-")</f>
        <v>0</v>
      </c>
      <c r="O27" s="63" t="str">
        <f>IFERROR(VLOOKUP(TableVersamenti[[#This Row],[Contraente]],Table1[[Nome/Ragione sociale]:[Checkbox selezionato]],5,FALSE),"-")</f>
        <v>MARITO ANTONIO</v>
      </c>
      <c r="P27" s="63">
        <f>IFERROR(VLOOKUP(TableVersamenti[[#This Row],[Contraente]],Table1[[Nome/Ragione sociale]:[Checkbox selezionato]],6,FALSE),"-")</f>
        <v>23498</v>
      </c>
      <c r="Q27" s="62" t="str">
        <f>IFERROR(VLOOKUP(TableVersamenti[[#This Row],[Contraente]],Table1[[Nome/Ragione sociale]:[Checkbox selezionato]],7,FALSE),"-")</f>
        <v>papies@libero.it</v>
      </c>
      <c r="R27" s="63">
        <f>IFERROR(VLOOKUP(TableVersamenti[[#This Row],[Contraente]],Table1[[Nome/Ragione sociale]:[Checkbox selezionato]],8,FALSE),"-")</f>
        <v>0</v>
      </c>
      <c r="S27" s="63" t="str">
        <f>IFERROR(VLOOKUP(TableVersamenti[[#This Row],[Contraente]],Table1[[Nome/Ragione sociale]:[Checkbox selezionato]],9,FALSE),"-")</f>
        <v>Casa</v>
      </c>
      <c r="T27" s="63" t="b">
        <f>NOT(AND(TableVersamenti[[#This Row],[Stato versamento]]="EFFETTUATO",TableVersamenti[[#This Row],[Pagato da cliente]]="PAGATO"))</f>
        <v>0</v>
      </c>
    </row>
    <row r="28" spans="1:20" ht="30" hidden="1" customHeight="1" x14ac:dyDescent="0.25">
      <c r="A28" s="60" t="str">
        <f>UPPER(LEFT(TableVersamenti[[#This Row],[Contraente]],1))</f>
        <v>V</v>
      </c>
      <c r="B28" s="111" t="s">
        <v>1062</v>
      </c>
      <c r="C28" s="68" t="s">
        <v>37</v>
      </c>
      <c r="D28" s="68">
        <v>106198049</v>
      </c>
      <c r="E28" s="69">
        <v>32</v>
      </c>
      <c r="F28" s="67" t="s">
        <v>44</v>
      </c>
      <c r="G28" s="64">
        <v>42923</v>
      </c>
      <c r="H28" s="64">
        <v>42926</v>
      </c>
      <c r="I28" s="70" t="s">
        <v>1640</v>
      </c>
      <c r="J28" s="70" t="s">
        <v>1849</v>
      </c>
      <c r="K28" s="70"/>
      <c r="L28" s="63" t="str">
        <f>IFERROR(VLOOKUP(TableVersamenti[[#This Row],[Contraente]],Table1[[Nome/Ragione sociale]:[Checkbox selezionato]],2,FALSE),"-")</f>
        <v>SANTA CRISTINA E BISSONE</v>
      </c>
      <c r="M28" s="63">
        <f>IFERROR(VLOOKUP(TableVersamenti[[#This Row],[Contraente]],Table1[[Nome/Ragione sociale]:[Checkbox selezionato]],3,FALSE),"-")</f>
        <v>3663216564</v>
      </c>
      <c r="N28" s="63">
        <f>IFERROR(VLOOKUP(TableVersamenti[[#This Row],[Contraente]],Table1[[Nome/Ragione sociale]:[Checkbox selezionato]],4,FALSE),"-")</f>
        <v>0</v>
      </c>
      <c r="O28" s="63" t="str">
        <f>IFERROR(VLOOKUP(TableVersamenti[[#This Row],[Contraente]],Table1[[Nome/Ragione sociale]:[Checkbox selezionato]],5,FALSE),"-")</f>
        <v>MARITO ANTONIO</v>
      </c>
      <c r="P28" s="63">
        <f>IFERROR(VLOOKUP(TableVersamenti[[#This Row],[Contraente]],Table1[[Nome/Ragione sociale]:[Checkbox selezionato]],6,FALSE),"-")</f>
        <v>23498</v>
      </c>
      <c r="Q28" s="62" t="str">
        <f>IFERROR(VLOOKUP(TableVersamenti[[#This Row],[Contraente]],Table1[[Nome/Ragione sociale]:[Checkbox selezionato]],7,FALSE),"-")</f>
        <v>papies@libero.it</v>
      </c>
      <c r="R28" s="63">
        <f>IFERROR(VLOOKUP(TableVersamenti[[#This Row],[Contraente]],Table1[[Nome/Ragione sociale]:[Checkbox selezionato]],8,FALSE),"-")</f>
        <v>0</v>
      </c>
      <c r="S28" s="63" t="str">
        <f>IFERROR(VLOOKUP(TableVersamenti[[#This Row],[Contraente]],Table1[[Nome/Ragione sociale]:[Checkbox selezionato]],9,FALSE),"-")</f>
        <v>Casa</v>
      </c>
      <c r="T28" s="63" t="b">
        <f>NOT(AND(TableVersamenti[[#This Row],[Stato versamento]]="EFFETTUATO",TableVersamenti[[#This Row],[Pagato da cliente]]="PAGATO"))</f>
        <v>0</v>
      </c>
    </row>
    <row r="29" spans="1:20" ht="30" hidden="1" customHeight="1" x14ac:dyDescent="0.25">
      <c r="A29" s="60" t="str">
        <f>UPPER(LEFT(TableVersamenti[[#This Row],[Contraente]],1))</f>
        <v>R</v>
      </c>
      <c r="B29" s="111" t="s">
        <v>954</v>
      </c>
      <c r="C29" s="68" t="s">
        <v>37</v>
      </c>
      <c r="D29" s="68">
        <v>107086149</v>
      </c>
      <c r="E29" s="69">
        <v>110</v>
      </c>
      <c r="F29" s="67" t="s">
        <v>43</v>
      </c>
      <c r="G29" s="64">
        <v>42923</v>
      </c>
      <c r="H29" s="64">
        <v>42926</v>
      </c>
      <c r="I29" s="70" t="s">
        <v>1640</v>
      </c>
      <c r="J29" s="70" t="s">
        <v>1849</v>
      </c>
      <c r="K29" s="70"/>
      <c r="L29" s="63">
        <f>IFERROR(VLOOKUP(TableVersamenti[[#This Row],[Contraente]],Table1[[Nome/Ragione sociale]:[Checkbox selezionato]],2,FALSE),"-")</f>
        <v>0</v>
      </c>
      <c r="M29" s="63">
        <f>IFERROR(VLOOKUP(TableVersamenti[[#This Row],[Contraente]],Table1[[Nome/Ragione sociale]:[Checkbox selezionato]],3,FALSE),"-")</f>
        <v>0</v>
      </c>
      <c r="N29" s="63">
        <f>IFERROR(VLOOKUP(TableVersamenti[[#This Row],[Contraente]],Table1[[Nome/Ragione sociale]:[Checkbox selezionato]],4,FALSE),"-")</f>
        <v>0</v>
      </c>
      <c r="O29" s="63">
        <f>IFERROR(VLOOKUP(TableVersamenti[[#This Row],[Contraente]],Table1[[Nome/Ragione sociale]:[Checkbox selezionato]],5,FALSE),"-")</f>
        <v>0</v>
      </c>
      <c r="P29" s="63">
        <f>IFERROR(VLOOKUP(TableVersamenti[[#This Row],[Contraente]],Table1[[Nome/Ragione sociale]:[Checkbox selezionato]],6,FALSE),"-")</f>
        <v>0</v>
      </c>
      <c r="Q29" s="62" t="str">
        <f>IFERROR(VLOOKUP(TableVersamenti[[#This Row],[Contraente]],Table1[[Nome/Ragione sociale]:[Checkbox selezionato]],7,FALSE),"-")</f>
        <v>papies@email.it</v>
      </c>
      <c r="R29" s="63">
        <f>IFERROR(VLOOKUP(TableVersamenti[[#This Row],[Contraente]],Table1[[Nome/Ragione sociale]:[Checkbox selezionato]],8,FALSE),"-")</f>
        <v>0</v>
      </c>
      <c r="S29" s="63" t="str">
        <f>IFERROR(VLOOKUP(TableVersamenti[[#This Row],[Contraente]],Table1[[Nome/Ragione sociale]:[Checkbox selezionato]],9,FALSE),"-")</f>
        <v>Casa</v>
      </c>
      <c r="T29" s="63" t="b">
        <f>NOT(AND(TableVersamenti[[#This Row],[Stato versamento]]="EFFETTUATO",TableVersamenti[[#This Row],[Pagato da cliente]]="PAGATO"))</f>
        <v>0</v>
      </c>
    </row>
    <row r="30" spans="1:20" ht="30" hidden="1" customHeight="1" x14ac:dyDescent="0.25">
      <c r="A30" s="60" t="str">
        <f>UPPER(LEFT(TableVersamenti[[#This Row],[Contraente]],1))</f>
        <v>A</v>
      </c>
      <c r="B30" s="111" t="s">
        <v>275</v>
      </c>
      <c r="C30" s="68" t="s">
        <v>37</v>
      </c>
      <c r="D30" s="68">
        <v>106389017</v>
      </c>
      <c r="E30" s="69">
        <v>210.85</v>
      </c>
      <c r="F30" s="67" t="s">
        <v>43</v>
      </c>
      <c r="G30" s="64">
        <v>42923</v>
      </c>
      <c r="H30" s="64">
        <v>42926</v>
      </c>
      <c r="I30" s="70" t="s">
        <v>1640</v>
      </c>
      <c r="J30" s="70" t="s">
        <v>1849</v>
      </c>
      <c r="K30" s="70"/>
      <c r="L30" s="63" t="str">
        <f>IFERROR(VLOOKUP(TableVersamenti[[#This Row],[Contraente]],Table1[[Nome/Ragione sociale]:[Checkbox selezionato]],2,FALSE),"-")</f>
        <v>ZIANO PIACENTINO</v>
      </c>
      <c r="M30" s="63">
        <f>IFERROR(VLOOKUP(TableVersamenti[[#This Row],[Contraente]],Table1[[Nome/Ragione sociale]:[Checkbox selezionato]],3,FALSE),"-")</f>
        <v>3488711029</v>
      </c>
      <c r="N30" s="63" t="str">
        <f>IFERROR(VLOOKUP(TableVersamenti[[#This Row],[Contraente]],Table1[[Nome/Ragione sociale]:[Checkbox selezionato]],4,FALSE),"-")</f>
        <v>.0523863476</v>
      </c>
      <c r="O30" s="63" t="str">
        <f>IFERROR(VLOOKUP(TableVersamenti[[#This Row],[Contraente]],Table1[[Nome/Ragione sociale]:[Checkbox selezionato]],5,FALSE),"-")</f>
        <v>ATTILIO</v>
      </c>
      <c r="P30" s="63">
        <f>IFERROR(VLOOKUP(TableVersamenti[[#This Row],[Contraente]],Table1[[Nome/Ragione sociale]:[Checkbox selezionato]],6,FALSE),"-")</f>
        <v>31219</v>
      </c>
      <c r="Q30" s="62" t="str">
        <f>IFERROR(VLOOKUP(TableVersamenti[[#This Row],[Contraente]],Table1[[Nome/Ragione sociale]:[Checkbox selezionato]],7,FALSE),"-")</f>
        <v>papies@libero.it</v>
      </c>
      <c r="R30" s="63">
        <f>IFERROR(VLOOKUP(TableVersamenti[[#This Row],[Contraente]],Table1[[Nome/Ragione sociale]:[Checkbox selezionato]],8,FALSE),"-")</f>
        <v>0</v>
      </c>
      <c r="S30" s="63" t="str">
        <f>IFERROR(VLOOKUP(TableVersamenti[[#This Row],[Contraente]],Table1[[Nome/Ragione sociale]:[Checkbox selezionato]],9,FALSE),"-")</f>
        <v>Casa</v>
      </c>
      <c r="T30" s="63" t="b">
        <f>NOT(AND(TableVersamenti[[#This Row],[Stato versamento]]="EFFETTUATO",TableVersamenti[[#This Row],[Pagato da cliente]]="PAGATO"))</f>
        <v>0</v>
      </c>
    </row>
    <row r="31" spans="1:20" ht="30" hidden="1" customHeight="1" x14ac:dyDescent="0.25">
      <c r="A31" s="60" t="str">
        <f>UPPER(LEFT(TableVersamenti[[#This Row],[Contraente]],1))</f>
        <v>B</v>
      </c>
      <c r="B31" s="111" t="s">
        <v>322</v>
      </c>
      <c r="C31" s="68" t="s">
        <v>37</v>
      </c>
      <c r="D31" s="68">
        <v>105883909</v>
      </c>
      <c r="E31" s="69">
        <v>305</v>
      </c>
      <c r="F31" s="67" t="s">
        <v>44</v>
      </c>
      <c r="G31" s="64">
        <v>42923</v>
      </c>
      <c r="H31" s="64">
        <v>42926</v>
      </c>
      <c r="I31" s="70" t="s">
        <v>1640</v>
      </c>
      <c r="J31" s="70" t="s">
        <v>1849</v>
      </c>
      <c r="K31" s="70"/>
      <c r="L31" s="63" t="str">
        <f>IFERROR(VLOOKUP(TableVersamenti[[#This Row],[Contraente]],Table1[[Nome/Ragione sociale]:[Checkbox selezionato]],2,FALSE),"-")</f>
        <v>VILLANTERIO</v>
      </c>
      <c r="M31" s="63">
        <f>IFERROR(VLOOKUP(TableVersamenti[[#This Row],[Contraente]],Table1[[Nome/Ragione sociale]:[Checkbox selezionato]],3,FALSE),"-")</f>
        <v>3389157320</v>
      </c>
      <c r="N31" s="63" t="str">
        <f>IFERROR(VLOOKUP(TableVersamenti[[#This Row],[Contraente]],Table1[[Nome/Ragione sociale]:[Checkbox selezionato]],4,FALSE),"-")</f>
        <v>.0382571988</v>
      </c>
      <c r="O31" s="63" t="str">
        <f>IFERROR(VLOOKUP(TableVersamenti[[#This Row],[Contraente]],Table1[[Nome/Ragione sociale]:[Checkbox selezionato]],5,FALSE),"-")</f>
        <v>ROSELLA</v>
      </c>
      <c r="P31" s="63">
        <f>IFERROR(VLOOKUP(TableVersamenti[[#This Row],[Contraente]],Table1[[Nome/Ragione sociale]:[Checkbox selezionato]],6,FALSE),"-")</f>
        <v>13638</v>
      </c>
      <c r="Q31" s="62" t="str">
        <f>IFERROR(VLOOKUP(TableVersamenti[[#This Row],[Contraente]],Table1[[Nome/Ragione sociale]:[Checkbox selezionato]],7,FALSE),"-")</f>
        <v>papies@libero.it</v>
      </c>
      <c r="R31" s="63">
        <f>IFERROR(VLOOKUP(TableVersamenti[[#This Row],[Contraente]],Table1[[Nome/Ragione sociale]:[Checkbox selezionato]],8,FALSE),"-")</f>
        <v>0</v>
      </c>
      <c r="S31" s="63" t="str">
        <f>IFERROR(VLOOKUP(TableVersamenti[[#This Row],[Contraente]],Table1[[Nome/Ragione sociale]:[Checkbox selezionato]],9,FALSE),"-")</f>
        <v>Casa</v>
      </c>
      <c r="T31" s="63" t="b">
        <f>NOT(AND(TableVersamenti[[#This Row],[Stato versamento]]="EFFETTUATO",TableVersamenti[[#This Row],[Pagato da cliente]]="PAGATO"))</f>
        <v>0</v>
      </c>
    </row>
    <row r="32" spans="1:20" ht="30" hidden="1" customHeight="1" x14ac:dyDescent="0.25">
      <c r="A32" s="60" t="str">
        <f>UPPER(LEFT(TableVersamenti[[#This Row],[Contraente]],1))</f>
        <v>F</v>
      </c>
      <c r="B32" s="111" t="s">
        <v>642</v>
      </c>
      <c r="C32" s="68" t="s">
        <v>37</v>
      </c>
      <c r="D32" s="68">
        <v>107075050</v>
      </c>
      <c r="E32" s="69">
        <v>1340</v>
      </c>
      <c r="F32" s="67" t="s">
        <v>44</v>
      </c>
      <c r="G32" s="64">
        <v>42923</v>
      </c>
      <c r="H32" s="64">
        <v>42926</v>
      </c>
      <c r="I32" s="70" t="s">
        <v>1640</v>
      </c>
      <c r="J32" s="70" t="s">
        <v>1849</v>
      </c>
      <c r="K32" s="70"/>
      <c r="L32" s="63" t="str">
        <f>IFERROR(VLOOKUP(TableVersamenti[[#This Row],[Contraente]],Table1[[Nome/Ragione sociale]:[Checkbox selezionato]],2,FALSE),"-")</f>
        <v>LINAROLO</v>
      </c>
      <c r="M32" s="63">
        <f>IFERROR(VLOOKUP(TableVersamenti[[#This Row],[Contraente]],Table1[[Nome/Ragione sociale]:[Checkbox selezionato]],3,FALSE),"-")</f>
        <v>3389157320</v>
      </c>
      <c r="N32" s="63">
        <f>IFERROR(VLOOKUP(TableVersamenti[[#This Row],[Contraente]],Table1[[Nome/Ragione sociale]:[Checkbox selezionato]],4,FALSE),"-")</f>
        <v>0</v>
      </c>
      <c r="O32" s="63" t="str">
        <f>IFERROR(VLOOKUP(TableVersamenti[[#This Row],[Contraente]],Table1[[Nome/Ragione sociale]:[Checkbox selezionato]],5,FALSE),"-")</f>
        <v>STEFANO</v>
      </c>
      <c r="P32" s="63">
        <f>IFERROR(VLOOKUP(TableVersamenti[[#This Row],[Contraente]],Table1[[Nome/Ragione sociale]:[Checkbox selezionato]],6,FALSE),"-")</f>
        <v>23419</v>
      </c>
      <c r="Q32" s="62" t="str">
        <f>IFERROR(VLOOKUP(TableVersamenti[[#This Row],[Contraente]],Table1[[Nome/Ragione sociale]:[Checkbox selezionato]],7,FALSE),"-")</f>
        <v>papies@libero.it</v>
      </c>
      <c r="R32" s="63">
        <f>IFERROR(VLOOKUP(TableVersamenti[[#This Row],[Contraente]],Table1[[Nome/Ragione sociale]:[Checkbox selezionato]],8,FALSE),"-")</f>
        <v>0</v>
      </c>
      <c r="S32" s="63" t="str">
        <f>IFERROR(VLOOKUP(TableVersamenti[[#This Row],[Contraente]],Table1[[Nome/Ragione sociale]:[Checkbox selezionato]],9,FALSE),"-")</f>
        <v>Casa</v>
      </c>
      <c r="T32" s="63" t="b">
        <f>NOT(AND(TableVersamenti[[#This Row],[Stato versamento]]="EFFETTUATO",TableVersamenti[[#This Row],[Pagato da cliente]]="PAGATO"))</f>
        <v>0</v>
      </c>
    </row>
    <row r="33" spans="1:20" ht="30" hidden="1" customHeight="1" x14ac:dyDescent="0.25">
      <c r="A33" s="60" t="str">
        <f>UPPER(LEFT(TableVersamenti[[#This Row],[Contraente]],1))</f>
        <v>F</v>
      </c>
      <c r="B33" s="111" t="s">
        <v>643</v>
      </c>
      <c r="C33" s="68" t="s">
        <v>37</v>
      </c>
      <c r="D33" s="68">
        <v>105821637</v>
      </c>
      <c r="E33" s="69">
        <v>220</v>
      </c>
      <c r="F33" s="67" t="s">
        <v>44</v>
      </c>
      <c r="G33" s="64">
        <v>42923</v>
      </c>
      <c r="H33" s="64">
        <v>42926</v>
      </c>
      <c r="I33" s="70" t="s">
        <v>1640</v>
      </c>
      <c r="J33" s="70" t="s">
        <v>1849</v>
      </c>
      <c r="K33" s="70"/>
      <c r="L33" s="63" t="str">
        <f>IFERROR(VLOOKUP(TableVersamenti[[#This Row],[Contraente]],Table1[[Nome/Ragione sociale]:[Checkbox selezionato]],2,FALSE),"-")</f>
        <v>LINAROLO</v>
      </c>
      <c r="M33" s="63">
        <f>IFERROR(VLOOKUP(TableVersamenti[[#This Row],[Contraente]],Table1[[Nome/Ragione sociale]:[Checkbox selezionato]],3,FALSE),"-")</f>
        <v>3389157320</v>
      </c>
      <c r="N33" s="63" t="str">
        <f>IFERROR(VLOOKUP(TableVersamenti[[#This Row],[Contraente]],Table1[[Nome/Ragione sociale]:[Checkbox selezionato]],4,FALSE),"-")</f>
        <v>.0382579184</v>
      </c>
      <c r="O33" s="63" t="str">
        <f>IFERROR(VLOOKUP(TableVersamenti[[#This Row],[Contraente]],Table1[[Nome/Ragione sociale]:[Checkbox selezionato]],5,FALSE),"-")</f>
        <v xml:space="preserve">STEFANO </v>
      </c>
      <c r="P33" s="63" t="str">
        <f>IFERROR(VLOOKUP(TableVersamenti[[#This Row],[Contraente]],Table1[[Nome/Ragione sociale]:[Checkbox selezionato]],6,FALSE),"-")</f>
        <v>-</v>
      </c>
      <c r="Q33" s="62" t="str">
        <f>IFERROR(VLOOKUP(TableVersamenti[[#This Row],[Contraente]],Table1[[Nome/Ragione sociale]:[Checkbox selezionato]],7,FALSE),"-")</f>
        <v>papies@email.it</v>
      </c>
      <c r="R33" s="63">
        <f>IFERROR(VLOOKUP(TableVersamenti[[#This Row],[Contraente]],Table1[[Nome/Ragione sociale]:[Checkbox selezionato]],8,FALSE),"-")</f>
        <v>0</v>
      </c>
      <c r="S33" s="63" t="str">
        <f>IFERROR(VLOOKUP(TableVersamenti[[#This Row],[Contraente]],Table1[[Nome/Ragione sociale]:[Checkbox selezionato]],9,FALSE),"-")</f>
        <v>Casa</v>
      </c>
      <c r="T33" s="63" t="b">
        <f>NOT(AND(TableVersamenti[[#This Row],[Stato versamento]]="EFFETTUATO",TableVersamenti[[#This Row],[Pagato da cliente]]="PAGATO"))</f>
        <v>0</v>
      </c>
    </row>
    <row r="34" spans="1:20" ht="30" hidden="1" customHeight="1" x14ac:dyDescent="0.25">
      <c r="A34" s="60" t="str">
        <f>UPPER(LEFT(TableVersamenti[[#This Row],[Contraente]],1))</f>
        <v>F</v>
      </c>
      <c r="B34" s="111" t="s">
        <v>642</v>
      </c>
      <c r="C34" s="68" t="s">
        <v>37</v>
      </c>
      <c r="D34" s="68">
        <v>104679814</v>
      </c>
      <c r="E34" s="69">
        <v>197</v>
      </c>
      <c r="F34" s="67" t="s">
        <v>44</v>
      </c>
      <c r="G34" s="64">
        <v>42923</v>
      </c>
      <c r="H34" s="64">
        <v>42926</v>
      </c>
      <c r="I34" s="70" t="s">
        <v>1640</v>
      </c>
      <c r="J34" s="70" t="s">
        <v>1849</v>
      </c>
      <c r="K34" s="70"/>
      <c r="L34" s="63" t="str">
        <f>IFERROR(VLOOKUP(TableVersamenti[[#This Row],[Contraente]],Table1[[Nome/Ragione sociale]:[Checkbox selezionato]],2,FALSE),"-")</f>
        <v>LINAROLO</v>
      </c>
      <c r="M34" s="63">
        <f>IFERROR(VLOOKUP(TableVersamenti[[#This Row],[Contraente]],Table1[[Nome/Ragione sociale]:[Checkbox selezionato]],3,FALSE),"-")</f>
        <v>3389157320</v>
      </c>
      <c r="N34" s="63">
        <f>IFERROR(VLOOKUP(TableVersamenti[[#This Row],[Contraente]],Table1[[Nome/Ragione sociale]:[Checkbox selezionato]],4,FALSE),"-")</f>
        <v>0</v>
      </c>
      <c r="O34" s="63" t="str">
        <f>IFERROR(VLOOKUP(TableVersamenti[[#This Row],[Contraente]],Table1[[Nome/Ragione sociale]:[Checkbox selezionato]],5,FALSE),"-")</f>
        <v>STEFANO</v>
      </c>
      <c r="P34" s="63">
        <f>IFERROR(VLOOKUP(TableVersamenti[[#This Row],[Contraente]],Table1[[Nome/Ragione sociale]:[Checkbox selezionato]],6,FALSE),"-")</f>
        <v>23419</v>
      </c>
      <c r="Q34" s="62" t="str">
        <f>IFERROR(VLOOKUP(TableVersamenti[[#This Row],[Contraente]],Table1[[Nome/Ragione sociale]:[Checkbox selezionato]],7,FALSE),"-")</f>
        <v>papies@libero.it</v>
      </c>
      <c r="R34" s="63">
        <f>IFERROR(VLOOKUP(TableVersamenti[[#This Row],[Contraente]],Table1[[Nome/Ragione sociale]:[Checkbox selezionato]],8,FALSE),"-")</f>
        <v>0</v>
      </c>
      <c r="S34" s="63" t="str">
        <f>IFERROR(VLOOKUP(TableVersamenti[[#This Row],[Contraente]],Table1[[Nome/Ragione sociale]:[Checkbox selezionato]],9,FALSE),"-")</f>
        <v>Casa</v>
      </c>
      <c r="T34" s="63" t="b">
        <f>NOT(AND(TableVersamenti[[#This Row],[Stato versamento]]="EFFETTUATO",TableVersamenti[[#This Row],[Pagato da cliente]]="PAGATO"))</f>
        <v>0</v>
      </c>
    </row>
    <row r="35" spans="1:20" ht="30" hidden="1" customHeight="1" x14ac:dyDescent="0.25">
      <c r="A35" s="60" t="str">
        <f>UPPER(LEFT(TableVersamenti[[#This Row],[Contraente]],1))</f>
        <v>B</v>
      </c>
      <c r="B35" s="111" t="s">
        <v>322</v>
      </c>
      <c r="C35" s="68" t="s">
        <v>37</v>
      </c>
      <c r="D35" s="68">
        <v>104679764</v>
      </c>
      <c r="E35" s="69">
        <v>197</v>
      </c>
      <c r="F35" s="67" t="s">
        <v>44</v>
      </c>
      <c r="G35" s="64">
        <v>42923</v>
      </c>
      <c r="H35" s="64">
        <v>42926</v>
      </c>
      <c r="I35" s="70" t="s">
        <v>1640</v>
      </c>
      <c r="J35" s="70" t="s">
        <v>1849</v>
      </c>
      <c r="K35" s="70"/>
      <c r="L35" s="63" t="str">
        <f>IFERROR(VLOOKUP(TableVersamenti[[#This Row],[Contraente]],Table1[[Nome/Ragione sociale]:[Checkbox selezionato]],2,FALSE),"-")</f>
        <v>VILLANTERIO</v>
      </c>
      <c r="M35" s="63">
        <f>IFERROR(VLOOKUP(TableVersamenti[[#This Row],[Contraente]],Table1[[Nome/Ragione sociale]:[Checkbox selezionato]],3,FALSE),"-")</f>
        <v>3389157320</v>
      </c>
      <c r="N35" s="63" t="str">
        <f>IFERROR(VLOOKUP(TableVersamenti[[#This Row],[Contraente]],Table1[[Nome/Ragione sociale]:[Checkbox selezionato]],4,FALSE),"-")</f>
        <v>.0382571988</v>
      </c>
      <c r="O35" s="63" t="str">
        <f>IFERROR(VLOOKUP(TableVersamenti[[#This Row],[Contraente]],Table1[[Nome/Ragione sociale]:[Checkbox selezionato]],5,FALSE),"-")</f>
        <v>ROSELLA</v>
      </c>
      <c r="P35" s="63">
        <f>IFERROR(VLOOKUP(TableVersamenti[[#This Row],[Contraente]],Table1[[Nome/Ragione sociale]:[Checkbox selezionato]],6,FALSE),"-")</f>
        <v>13638</v>
      </c>
      <c r="Q35" s="62" t="str">
        <f>IFERROR(VLOOKUP(TableVersamenti[[#This Row],[Contraente]],Table1[[Nome/Ragione sociale]:[Checkbox selezionato]],7,FALSE),"-")</f>
        <v>papies@libero.it</v>
      </c>
      <c r="R35" s="63">
        <f>IFERROR(VLOOKUP(TableVersamenti[[#This Row],[Contraente]],Table1[[Nome/Ragione sociale]:[Checkbox selezionato]],8,FALSE),"-")</f>
        <v>0</v>
      </c>
      <c r="S35" s="63" t="str">
        <f>IFERROR(VLOOKUP(TableVersamenti[[#This Row],[Contraente]],Table1[[Nome/Ragione sociale]:[Checkbox selezionato]],9,FALSE),"-")</f>
        <v>Casa</v>
      </c>
      <c r="T35" s="63" t="b">
        <f>NOT(AND(TableVersamenti[[#This Row],[Stato versamento]]="EFFETTUATO",TableVersamenti[[#This Row],[Pagato da cliente]]="PAGATO"))</f>
        <v>0</v>
      </c>
    </row>
    <row r="36" spans="1:20" ht="30" hidden="1" customHeight="1" x14ac:dyDescent="0.25">
      <c r="A36" s="60" t="str">
        <f>UPPER(LEFT(TableVersamenti[[#This Row],[Contraente]],1))</f>
        <v>B</v>
      </c>
      <c r="B36" s="111" t="s">
        <v>325</v>
      </c>
      <c r="C36" s="68" t="s">
        <v>37</v>
      </c>
      <c r="D36" s="68">
        <v>105821707</v>
      </c>
      <c r="E36" s="69">
        <v>1015</v>
      </c>
      <c r="F36" s="67" t="s">
        <v>44</v>
      </c>
      <c r="G36" s="64">
        <v>42923</v>
      </c>
      <c r="H36" s="64">
        <v>42926</v>
      </c>
      <c r="I36" s="70" t="s">
        <v>1640</v>
      </c>
      <c r="J36" s="70" t="s">
        <v>1849</v>
      </c>
      <c r="K36" s="70"/>
      <c r="L36" s="63" t="str">
        <f>IFERROR(VLOOKUP(TableVersamenti[[#This Row],[Contraente]],Table1[[Nome/Ragione sociale]:[Checkbox selezionato]],2,FALSE),"-")</f>
        <v>LINAROLO</v>
      </c>
      <c r="M36" s="63">
        <f>IFERROR(VLOOKUP(TableVersamenti[[#This Row],[Contraente]],Table1[[Nome/Ragione sociale]:[Checkbox selezionato]],3,FALSE),"-")</f>
        <v>3389157320</v>
      </c>
      <c r="N36" s="63" t="str">
        <f>IFERROR(VLOOKUP(TableVersamenti[[#This Row],[Contraente]],Table1[[Nome/Ragione sociale]:[Checkbox selezionato]],4,FALSE),"-")</f>
        <v>.0382571988</v>
      </c>
      <c r="O36" s="63" t="str">
        <f>IFERROR(VLOOKUP(TableVersamenti[[#This Row],[Contraente]],Table1[[Nome/Ragione sociale]:[Checkbox selezionato]],5,FALSE),"-")</f>
        <v>ROSELLA</v>
      </c>
      <c r="P36" s="63">
        <f>IFERROR(VLOOKUP(TableVersamenti[[#This Row],[Contraente]],Table1[[Nome/Ragione sociale]:[Checkbox selezionato]],6,FALSE),"-")</f>
        <v>13638</v>
      </c>
      <c r="Q36" s="62" t="str">
        <f>IFERROR(VLOOKUP(TableVersamenti[[#This Row],[Contraente]],Table1[[Nome/Ragione sociale]:[Checkbox selezionato]],7,FALSE),"-")</f>
        <v>papies@libero.it</v>
      </c>
      <c r="R36" s="63">
        <f>IFERROR(VLOOKUP(TableVersamenti[[#This Row],[Contraente]],Table1[[Nome/Ragione sociale]:[Checkbox selezionato]],8,FALSE),"-")</f>
        <v>0</v>
      </c>
      <c r="S36" s="63" t="str">
        <f>IFERROR(VLOOKUP(TableVersamenti[[#This Row],[Contraente]],Table1[[Nome/Ragione sociale]:[Checkbox selezionato]],9,FALSE),"-")</f>
        <v>Casa</v>
      </c>
      <c r="T36" s="63" t="b">
        <f>NOT(AND(TableVersamenti[[#This Row],[Stato versamento]]="EFFETTUATO",TableVersamenti[[#This Row],[Pagato da cliente]]="PAGATO"))</f>
        <v>0</v>
      </c>
    </row>
    <row r="37" spans="1:20" ht="30" hidden="1" customHeight="1" x14ac:dyDescent="0.25">
      <c r="A37" s="60" t="str">
        <f>UPPER(LEFT(TableVersamenti[[#This Row],[Contraente]],1))</f>
        <v>C</v>
      </c>
      <c r="B37" s="111" t="s">
        <v>114</v>
      </c>
      <c r="C37" s="68" t="s">
        <v>37</v>
      </c>
      <c r="D37" s="68">
        <v>105802104</v>
      </c>
      <c r="E37" s="69">
        <v>500</v>
      </c>
      <c r="F37" s="67" t="s">
        <v>43</v>
      </c>
      <c r="G37" s="64">
        <v>42923</v>
      </c>
      <c r="H37" s="64">
        <v>42926</v>
      </c>
      <c r="I37" s="70" t="s">
        <v>1640</v>
      </c>
      <c r="J37" s="70" t="s">
        <v>1849</v>
      </c>
      <c r="K37" s="70"/>
      <c r="L37" s="63" t="str">
        <f>IFERROR(VLOOKUP(TableVersamenti[[#This Row],[Contraente]],Table1[[Nome/Ragione sociale]:[Checkbox selezionato]],2,FALSE),"-")</f>
        <v>FILIGHERA</v>
      </c>
      <c r="M37" s="63">
        <f>IFERROR(VLOOKUP(TableVersamenti[[#This Row],[Contraente]],Table1[[Nome/Ragione sociale]:[Checkbox selezionato]],3,FALSE),"-")</f>
        <v>3349523666</v>
      </c>
      <c r="N37" s="63">
        <f>IFERROR(VLOOKUP(TableVersamenti[[#This Row],[Contraente]],Table1[[Nome/Ragione sociale]:[Checkbox selezionato]],4,FALSE),"-")</f>
        <v>0</v>
      </c>
      <c r="O37" s="63" t="str">
        <f>IFERROR(VLOOKUP(TableVersamenti[[#This Row],[Contraente]],Table1[[Nome/Ragione sociale]:[Checkbox selezionato]],5,FALSE),"-")</f>
        <v>ADRIANO</v>
      </c>
      <c r="P37" s="63">
        <f>IFERROR(VLOOKUP(TableVersamenti[[#This Row],[Contraente]],Table1[[Nome/Ragione sociale]:[Checkbox selezionato]],6,FALSE),"-")</f>
        <v>17244</v>
      </c>
      <c r="Q37" s="62" t="str">
        <f>IFERROR(VLOOKUP(TableVersamenti[[#This Row],[Contraente]],Table1[[Nome/Ragione sociale]:[Checkbox selezionato]],7,FALSE),"-")</f>
        <v>papies@libero.it</v>
      </c>
      <c r="R37" s="63">
        <f>IFERROR(VLOOKUP(TableVersamenti[[#This Row],[Contraente]],Table1[[Nome/Ragione sociale]:[Checkbox selezionato]],8,FALSE),"-")</f>
        <v>0</v>
      </c>
      <c r="S37" s="63" t="str">
        <f>IFERROR(VLOOKUP(TableVersamenti[[#This Row],[Contraente]],Table1[[Nome/Ragione sociale]:[Checkbox selezionato]],9,FALSE),"-")</f>
        <v>Casa</v>
      </c>
      <c r="T37" s="63" t="b">
        <f>NOT(AND(TableVersamenti[[#This Row],[Stato versamento]]="EFFETTUATO",TableVersamenti[[#This Row],[Pagato da cliente]]="PAGATO"))</f>
        <v>0</v>
      </c>
    </row>
    <row r="38" spans="1:20" ht="30" hidden="1" customHeight="1" x14ac:dyDescent="0.25">
      <c r="A38" s="60" t="str">
        <f>UPPER(LEFT(TableVersamenti[[#This Row],[Contraente]],1))</f>
        <v>L</v>
      </c>
      <c r="B38" s="111" t="s">
        <v>738</v>
      </c>
      <c r="C38" s="68" t="s">
        <v>37</v>
      </c>
      <c r="D38" s="68">
        <v>105645568</v>
      </c>
      <c r="E38" s="69">
        <v>177</v>
      </c>
      <c r="F38" s="67" t="s">
        <v>43</v>
      </c>
      <c r="G38" s="64">
        <v>42923</v>
      </c>
      <c r="H38" s="64">
        <v>42926</v>
      </c>
      <c r="I38" s="70" t="s">
        <v>1640</v>
      </c>
      <c r="J38" s="70" t="s">
        <v>1849</v>
      </c>
      <c r="K38" s="70"/>
      <c r="L38" s="63" t="str">
        <f>IFERROR(VLOOKUP(TableVersamenti[[#This Row],[Contraente]],Table1[[Nome/Ragione sociale]:[Checkbox selezionato]],2,FALSE),"-")</f>
        <v>MONTU' BECCARIA</v>
      </c>
      <c r="M38" s="63">
        <f>IFERROR(VLOOKUP(TableVersamenti[[#This Row],[Contraente]],Table1[[Nome/Ragione sociale]:[Checkbox selezionato]],3,FALSE),"-")</f>
        <v>3319736870</v>
      </c>
      <c r="N38" s="63">
        <f>IFERROR(VLOOKUP(TableVersamenti[[#This Row],[Contraente]],Table1[[Nome/Ragione sociale]:[Checkbox selezionato]],4,FALSE),"-")</f>
        <v>0</v>
      </c>
      <c r="O38" s="63" t="str">
        <f>IFERROR(VLOOKUP(TableVersamenti[[#This Row],[Contraente]],Table1[[Nome/Ragione sociale]:[Checkbox selezionato]],5,FALSE),"-")</f>
        <v>CRISTIANO</v>
      </c>
      <c r="P38" s="63" t="str">
        <f>IFERROR(VLOOKUP(TableVersamenti[[#This Row],[Contraente]],Table1[[Nome/Ragione sociale]:[Checkbox selezionato]],6,FALSE),"-")</f>
        <v>-</v>
      </c>
      <c r="Q38" s="62" t="str">
        <f>IFERROR(VLOOKUP(TableVersamenti[[#This Row],[Contraente]],Table1[[Nome/Ragione sociale]:[Checkbox selezionato]],7,FALSE),"-")</f>
        <v>papies@email.it</v>
      </c>
      <c r="R38" s="63">
        <f>IFERROR(VLOOKUP(TableVersamenti[[#This Row],[Contraente]],Table1[[Nome/Ragione sociale]:[Checkbox selezionato]],8,FALSE),"-")</f>
        <v>0</v>
      </c>
      <c r="S38" s="63" t="str">
        <f>IFERROR(VLOOKUP(TableVersamenti[[#This Row],[Contraente]],Table1[[Nome/Ragione sociale]:[Checkbox selezionato]],9,FALSE),"-")</f>
        <v>Casa</v>
      </c>
      <c r="T38" s="63" t="b">
        <f>NOT(AND(TableVersamenti[[#This Row],[Stato versamento]]="EFFETTUATO",TableVersamenti[[#This Row],[Pagato da cliente]]="PAGATO"))</f>
        <v>0</v>
      </c>
    </row>
    <row r="39" spans="1:20" ht="30" hidden="1" customHeight="1" x14ac:dyDescent="0.25">
      <c r="A39" s="60" t="str">
        <f>UPPER(LEFT(TableVersamenti[[#This Row],[Contraente]],1))</f>
        <v>B</v>
      </c>
      <c r="B39" s="111" t="s">
        <v>288</v>
      </c>
      <c r="C39" s="68" t="s">
        <v>37</v>
      </c>
      <c r="D39" s="68">
        <v>106380429</v>
      </c>
      <c r="E39" s="69">
        <v>435.2</v>
      </c>
      <c r="F39" s="67" t="s">
        <v>43</v>
      </c>
      <c r="G39" s="64">
        <v>42926</v>
      </c>
      <c r="H39" s="64">
        <v>42929</v>
      </c>
      <c r="I39" s="70" t="s">
        <v>1640</v>
      </c>
      <c r="J39" s="70" t="s">
        <v>1849</v>
      </c>
      <c r="K39" s="70"/>
      <c r="L39" s="63" t="str">
        <f>IFERROR(VLOOKUP(TableVersamenti[[#This Row],[Contraente]],Table1[[Nome/Ragione sociale]:[Checkbox selezionato]],2,FALSE),"-")</f>
        <v>ZIANO PIACENTINO</v>
      </c>
      <c r="M39" s="63">
        <f>IFERROR(VLOOKUP(TableVersamenti[[#This Row],[Contraente]],Table1[[Nome/Ragione sociale]:[Checkbox selezionato]],3,FALSE),"-")</f>
        <v>3206483672</v>
      </c>
      <c r="N39" s="63">
        <f>IFERROR(VLOOKUP(TableVersamenti[[#This Row],[Contraente]],Table1[[Nome/Ragione sociale]:[Checkbox selezionato]],4,FALSE),"-")</f>
        <v>0</v>
      </c>
      <c r="O39" s="63" t="str">
        <f>IFERROR(VLOOKUP(TableVersamenti[[#This Row],[Contraente]],Table1[[Nome/Ragione sociale]:[Checkbox selezionato]],5,FALSE),"-")</f>
        <v>COSTICA</v>
      </c>
      <c r="P39" s="63">
        <f>IFERROR(VLOOKUP(TableVersamenti[[#This Row],[Contraente]],Table1[[Nome/Ragione sociale]:[Checkbox selezionato]],6,FALSE),"-")</f>
        <v>23084</v>
      </c>
      <c r="Q39" s="62" t="str">
        <f>IFERROR(VLOOKUP(TableVersamenti[[#This Row],[Contraente]],Table1[[Nome/Ragione sociale]:[Checkbox selezionato]],7,FALSE),"-")</f>
        <v>papies@email.it</v>
      </c>
      <c r="R39" s="63">
        <f>IFERROR(VLOOKUP(TableVersamenti[[#This Row],[Contraente]],Table1[[Nome/Ragione sociale]:[Checkbox selezionato]],8,FALSE),"-")</f>
        <v>0</v>
      </c>
      <c r="S39" s="63" t="str">
        <f>IFERROR(VLOOKUP(TableVersamenti[[#This Row],[Contraente]],Table1[[Nome/Ragione sociale]:[Checkbox selezionato]],9,FALSE),"-")</f>
        <v>Casa</v>
      </c>
      <c r="T39" s="63" t="b">
        <f>NOT(AND(TableVersamenti[[#This Row],[Stato versamento]]="EFFETTUATO",TableVersamenti[[#This Row],[Pagato da cliente]]="PAGATO"))</f>
        <v>0</v>
      </c>
    </row>
    <row r="40" spans="1:20" ht="30" hidden="1" customHeight="1" x14ac:dyDescent="0.25">
      <c r="A40" s="60" t="str">
        <f>UPPER(LEFT(TableVersamenti[[#This Row],[Contraente]],1))</f>
        <v>G</v>
      </c>
      <c r="B40" s="111" t="s">
        <v>130</v>
      </c>
      <c r="C40" s="68" t="s">
        <v>37</v>
      </c>
      <c r="D40" s="68">
        <v>106380190</v>
      </c>
      <c r="E40" s="69">
        <v>360.2</v>
      </c>
      <c r="F40" s="67" t="s">
        <v>44</v>
      </c>
      <c r="G40" s="64">
        <v>42926</v>
      </c>
      <c r="H40" s="64">
        <v>42929</v>
      </c>
      <c r="I40" s="70" t="s">
        <v>1640</v>
      </c>
      <c r="J40" s="70" t="s">
        <v>1849</v>
      </c>
      <c r="K40" s="70"/>
      <c r="L40" s="63" t="str">
        <f>IFERROR(VLOOKUP(TableVersamenti[[#This Row],[Contraente]],Table1[[Nome/Ragione sociale]:[Checkbox selezionato]],2,FALSE),"-")</f>
        <v>CANNETO PAVESE</v>
      </c>
      <c r="M40" s="63">
        <f>IFERROR(VLOOKUP(TableVersamenti[[#This Row],[Contraente]],Table1[[Nome/Ragione sociale]:[Checkbox selezionato]],3,FALSE),"-")</f>
        <v>3392837449</v>
      </c>
      <c r="N40" s="63">
        <f>IFERROR(VLOOKUP(TableVersamenti[[#This Row],[Contraente]],Table1[[Nome/Ragione sociale]:[Checkbox selezionato]],4,FALSE),"-")</f>
        <v>0</v>
      </c>
      <c r="O40" s="63" t="str">
        <f>IFERROR(VLOOKUP(TableVersamenti[[#This Row],[Contraente]],Table1[[Nome/Ragione sociale]:[Checkbox selezionato]],5,FALSE),"-")</f>
        <v>BRUNO</v>
      </c>
      <c r="P40" s="63">
        <f>IFERROR(VLOOKUP(TableVersamenti[[#This Row],[Contraente]],Table1[[Nome/Ragione sociale]:[Checkbox selezionato]],6,FALSE),"-")</f>
        <v>15423</v>
      </c>
      <c r="Q40" s="62" t="str">
        <f>IFERROR(VLOOKUP(TableVersamenti[[#This Row],[Contraente]],Table1[[Nome/Ragione sociale]:[Checkbox selezionato]],7,FALSE),"-")</f>
        <v>papies@libero.it</v>
      </c>
      <c r="R40" s="63">
        <f>IFERROR(VLOOKUP(TableVersamenti[[#This Row],[Contraente]],Table1[[Nome/Ragione sociale]:[Checkbox selezionato]],8,FALSE),"-")</f>
        <v>0</v>
      </c>
      <c r="S40" s="63" t="str">
        <f>IFERROR(VLOOKUP(TableVersamenti[[#This Row],[Contraente]],Table1[[Nome/Ragione sociale]:[Checkbox selezionato]],9,FALSE),"-")</f>
        <v>Casa</v>
      </c>
      <c r="T40" s="63" t="b">
        <f>NOT(AND(TableVersamenti[[#This Row],[Stato versamento]]="EFFETTUATO",TableVersamenti[[#This Row],[Pagato da cliente]]="PAGATO"))</f>
        <v>0</v>
      </c>
    </row>
    <row r="41" spans="1:20" ht="30" hidden="1" customHeight="1" x14ac:dyDescent="0.25">
      <c r="A41" s="60" t="str">
        <f>UPPER(LEFT(TableVersamenti[[#This Row],[Contraente]],1))</f>
        <v>C</v>
      </c>
      <c r="B41" s="111" t="s">
        <v>1805</v>
      </c>
      <c r="C41" s="68" t="s">
        <v>37</v>
      </c>
      <c r="D41" s="68">
        <v>107909755</v>
      </c>
      <c r="E41" s="69">
        <v>461</v>
      </c>
      <c r="F41" s="67" t="s">
        <v>45</v>
      </c>
      <c r="G41" s="64">
        <v>42926</v>
      </c>
      <c r="H41" s="64">
        <v>42929</v>
      </c>
      <c r="I41" s="70" t="s">
        <v>1640</v>
      </c>
      <c r="J41" s="70" t="s">
        <v>1849</v>
      </c>
      <c r="K41" s="70"/>
      <c r="L41" s="63" t="str">
        <f>IFERROR(VLOOKUP(TableVersamenti[[#This Row],[Contraente]],Table1[[Nome/Ragione sociale]:[Checkbox selezionato]],2,FALSE),"-")</f>
        <v>CERANOVA</v>
      </c>
      <c r="M41" s="63">
        <f>IFERROR(VLOOKUP(TableVersamenti[[#This Row],[Contraente]],Table1[[Nome/Ragione sociale]:[Checkbox selezionato]],3,FALSE),"-")</f>
        <v>0</v>
      </c>
      <c r="N41" s="63">
        <f>IFERROR(VLOOKUP(TableVersamenti[[#This Row],[Contraente]],Table1[[Nome/Ragione sociale]:[Checkbox selezionato]],4,FALSE),"-")</f>
        <v>0</v>
      </c>
      <c r="O41" s="63" t="str">
        <f>IFERROR(VLOOKUP(TableVersamenti[[#This Row],[Contraente]],Table1[[Nome/Ragione sociale]:[Checkbox selezionato]],5,FALSE),"-")</f>
        <v>FANELLI</v>
      </c>
      <c r="P41" s="63" t="str">
        <f>IFERROR(VLOOKUP(TableVersamenti[[#This Row],[Contraente]],Table1[[Nome/Ragione sociale]:[Checkbox selezionato]],6,FALSE),"-")</f>
        <v>-</v>
      </c>
      <c r="Q41" s="62" t="str">
        <f>IFERROR(VLOOKUP(TableVersamenti[[#This Row],[Contraente]],Table1[[Nome/Ragione sociale]:[Checkbox selezionato]],7,FALSE),"-")</f>
        <v>papies@libero.it</v>
      </c>
      <c r="R41" s="63">
        <f>IFERROR(VLOOKUP(TableVersamenti[[#This Row],[Contraente]],Table1[[Nome/Ragione sociale]:[Checkbox selezionato]],8,FALSE),"-")</f>
        <v>0</v>
      </c>
      <c r="S41" s="63" t="str">
        <f>IFERROR(VLOOKUP(TableVersamenti[[#This Row],[Contraente]],Table1[[Nome/Ragione sociale]:[Checkbox selezionato]],9,FALSE),"-")</f>
        <v>Casa</v>
      </c>
      <c r="T41" s="63" t="b">
        <f>NOT(AND(TableVersamenti[[#This Row],[Stato versamento]]="EFFETTUATO",TableVersamenti[[#This Row],[Pagato da cliente]]="PAGATO"))</f>
        <v>0</v>
      </c>
    </row>
    <row r="42" spans="1:20" ht="30" hidden="1" customHeight="1" x14ac:dyDescent="0.25">
      <c r="A42" s="60" t="str">
        <f>UPPER(LEFT(TableVersamenti[[#This Row],[Contraente]],1))</f>
        <v>C</v>
      </c>
      <c r="B42" s="111" t="s">
        <v>555</v>
      </c>
      <c r="C42" s="68" t="s">
        <v>37</v>
      </c>
      <c r="D42" s="68">
        <v>105858230</v>
      </c>
      <c r="E42" s="69">
        <v>540</v>
      </c>
      <c r="F42" s="67" t="s">
        <v>45</v>
      </c>
      <c r="G42" s="64">
        <v>42926</v>
      </c>
      <c r="H42" s="64">
        <v>42941</v>
      </c>
      <c r="I42" s="70" t="s">
        <v>1640</v>
      </c>
      <c r="J42" s="70" t="s">
        <v>1849</v>
      </c>
      <c r="K42" s="70"/>
      <c r="L42" s="63">
        <f>IFERROR(VLOOKUP(TableVersamenti[[#This Row],[Contraente]],Table1[[Nome/Ragione sociale]:[Checkbox selezionato]],2,FALSE),"-")</f>
        <v>0</v>
      </c>
      <c r="M42" s="63">
        <f>IFERROR(VLOOKUP(TableVersamenti[[#This Row],[Contraente]],Table1[[Nome/Ragione sociale]:[Checkbox selezionato]],3,FALSE),"-")</f>
        <v>0</v>
      </c>
      <c r="N42" s="63">
        <f>IFERROR(VLOOKUP(TableVersamenti[[#This Row],[Contraente]],Table1[[Nome/Ragione sociale]:[Checkbox selezionato]],4,FALSE),"-")</f>
        <v>0</v>
      </c>
      <c r="O42" s="63" t="str">
        <f>IFERROR(VLOOKUP(TableVersamenti[[#This Row],[Contraente]],Table1[[Nome/Ragione sociale]:[Checkbox selezionato]],5,FALSE),"-")</f>
        <v>FANELLI</v>
      </c>
      <c r="P42" s="63" t="str">
        <f>IFERROR(VLOOKUP(TableVersamenti[[#This Row],[Contraente]],Table1[[Nome/Ragione sociale]:[Checkbox selezionato]],6,FALSE),"-")</f>
        <v>-</v>
      </c>
      <c r="Q42" s="62" t="str">
        <f>IFERROR(VLOOKUP(TableVersamenti[[#This Row],[Contraente]],Table1[[Nome/Ragione sociale]:[Checkbox selezionato]],7,FALSE),"-")</f>
        <v>papies@libero.it</v>
      </c>
      <c r="R42" s="63">
        <f>IFERROR(VLOOKUP(TableVersamenti[[#This Row],[Contraente]],Table1[[Nome/Ragione sociale]:[Checkbox selezionato]],8,FALSE),"-")</f>
        <v>0</v>
      </c>
      <c r="S42" s="63" t="str">
        <f>IFERROR(VLOOKUP(TableVersamenti[[#This Row],[Contraente]],Table1[[Nome/Ragione sociale]:[Checkbox selezionato]],9,FALSE),"-")</f>
        <v>Casa</v>
      </c>
      <c r="T42" s="63" t="b">
        <f>NOT(AND(TableVersamenti[[#This Row],[Stato versamento]]="EFFETTUATO",TableVersamenti[[#This Row],[Pagato da cliente]]="PAGATO"))</f>
        <v>0</v>
      </c>
    </row>
    <row r="43" spans="1:20" ht="30" hidden="1" customHeight="1" x14ac:dyDescent="0.25">
      <c r="A43" s="60" t="str">
        <f>UPPER(LEFT(TableVersamenti[[#This Row],[Contraente]],1))</f>
        <v>C</v>
      </c>
      <c r="B43" s="111" t="s">
        <v>523</v>
      </c>
      <c r="C43" s="68" t="s">
        <v>37</v>
      </c>
      <c r="D43" s="68">
        <v>105254825</v>
      </c>
      <c r="E43" s="69">
        <v>435</v>
      </c>
      <c r="F43" s="67" t="s">
        <v>45</v>
      </c>
      <c r="G43" s="64">
        <v>42926</v>
      </c>
      <c r="H43" s="64">
        <v>42941</v>
      </c>
      <c r="I43" s="70" t="s">
        <v>1640</v>
      </c>
      <c r="J43" s="70" t="s">
        <v>1849</v>
      </c>
      <c r="K43" s="70"/>
      <c r="L43" s="63">
        <f>IFERROR(VLOOKUP(TableVersamenti[[#This Row],[Contraente]],Table1[[Nome/Ragione sociale]:[Checkbox selezionato]],2,FALSE),"-")</f>
        <v>0</v>
      </c>
      <c r="M43" s="63">
        <f>IFERROR(VLOOKUP(TableVersamenti[[#This Row],[Contraente]],Table1[[Nome/Ragione sociale]:[Checkbox selezionato]],3,FALSE),"-")</f>
        <v>0</v>
      </c>
      <c r="N43" s="63">
        <f>IFERROR(VLOOKUP(TableVersamenti[[#This Row],[Contraente]],Table1[[Nome/Ragione sociale]:[Checkbox selezionato]],4,FALSE),"-")</f>
        <v>0</v>
      </c>
      <c r="O43" s="63" t="str">
        <f>IFERROR(VLOOKUP(TableVersamenti[[#This Row],[Contraente]],Table1[[Nome/Ragione sociale]:[Checkbox selezionato]],5,FALSE),"-")</f>
        <v>FANELLI</v>
      </c>
      <c r="P43" s="63" t="str">
        <f>IFERROR(VLOOKUP(TableVersamenti[[#This Row],[Contraente]],Table1[[Nome/Ragione sociale]:[Checkbox selezionato]],6,FALSE),"-")</f>
        <v>-</v>
      </c>
      <c r="Q43" s="62" t="str">
        <f>IFERROR(VLOOKUP(TableVersamenti[[#This Row],[Contraente]],Table1[[Nome/Ragione sociale]:[Checkbox selezionato]],7,FALSE),"-")</f>
        <v>papies@email.it</v>
      </c>
      <c r="R43" s="63">
        <f>IFERROR(VLOOKUP(TableVersamenti[[#This Row],[Contraente]],Table1[[Nome/Ragione sociale]:[Checkbox selezionato]],8,FALSE),"-")</f>
        <v>0</v>
      </c>
      <c r="S43" s="63" t="str">
        <f>IFERROR(VLOOKUP(TableVersamenti[[#This Row],[Contraente]],Table1[[Nome/Ragione sociale]:[Checkbox selezionato]],9,FALSE),"-")</f>
        <v>Casa</v>
      </c>
      <c r="T43" s="63" t="b">
        <f>NOT(AND(TableVersamenti[[#This Row],[Stato versamento]]="EFFETTUATO",TableVersamenti[[#This Row],[Pagato da cliente]]="PAGATO"))</f>
        <v>0</v>
      </c>
    </row>
    <row r="44" spans="1:20" ht="30" hidden="1" customHeight="1" x14ac:dyDescent="0.25">
      <c r="A44" s="60" t="str">
        <f>UPPER(LEFT(TableVersamenti[[#This Row],[Contraente]],1))</f>
        <v>P</v>
      </c>
      <c r="B44" s="111" t="s">
        <v>1809</v>
      </c>
      <c r="C44" s="68" t="s">
        <v>37</v>
      </c>
      <c r="D44" s="68">
        <v>106197929</v>
      </c>
      <c r="E44" s="69">
        <v>190</v>
      </c>
      <c r="F44" s="67" t="s">
        <v>43</v>
      </c>
      <c r="G44" s="64">
        <v>42927</v>
      </c>
      <c r="H44" s="64">
        <v>42930</v>
      </c>
      <c r="I44" s="70" t="s">
        <v>1640</v>
      </c>
      <c r="J44" s="70" t="s">
        <v>1849</v>
      </c>
      <c r="K44" s="70"/>
      <c r="L44" s="63" t="str">
        <f>IFERROR(VLOOKUP(TableVersamenti[[#This Row],[Contraente]],Table1[[Nome/Ragione sociale]:[Checkbox selezionato]],2,FALSE),"-")</f>
        <v>SPESSA</v>
      </c>
      <c r="M44" s="63">
        <f>IFERROR(VLOOKUP(TableVersamenti[[#This Row],[Contraente]],Table1[[Nome/Ragione sociale]:[Checkbox selezionato]],3,FALSE),"-")</f>
        <v>0</v>
      </c>
      <c r="N44" s="63">
        <f>IFERROR(VLOOKUP(TableVersamenti[[#This Row],[Contraente]],Table1[[Nome/Ragione sociale]:[Checkbox selezionato]],4,FALSE),"-")</f>
        <v>0</v>
      </c>
      <c r="O44" s="63">
        <f>IFERROR(VLOOKUP(TableVersamenti[[#This Row],[Contraente]],Table1[[Nome/Ragione sociale]:[Checkbox selezionato]],5,FALSE),"-")</f>
        <v>0</v>
      </c>
      <c r="P44" s="63">
        <f>IFERROR(VLOOKUP(TableVersamenti[[#This Row],[Contraente]],Table1[[Nome/Ragione sociale]:[Checkbox selezionato]],6,FALSE),"-")</f>
        <v>0</v>
      </c>
      <c r="Q44" s="62" t="str">
        <f>IFERROR(VLOOKUP(TableVersamenti[[#This Row],[Contraente]],Table1[[Nome/Ragione sociale]:[Checkbox selezionato]],7,FALSE),"-")</f>
        <v>papies@libero.it</v>
      </c>
      <c r="R44" s="63">
        <f>IFERROR(VLOOKUP(TableVersamenti[[#This Row],[Contraente]],Table1[[Nome/Ragione sociale]:[Checkbox selezionato]],8,FALSE),"-")</f>
        <v>0</v>
      </c>
      <c r="S44" s="63" t="str">
        <f>IFERROR(VLOOKUP(TableVersamenti[[#This Row],[Contraente]],Table1[[Nome/Ragione sociale]:[Checkbox selezionato]],9,FALSE),"-")</f>
        <v>Casa</v>
      </c>
      <c r="T44" s="63" t="b">
        <f>NOT(AND(TableVersamenti[[#This Row],[Stato versamento]]="EFFETTUATO",TableVersamenti[[#This Row],[Pagato da cliente]]="PAGATO"))</f>
        <v>0</v>
      </c>
    </row>
    <row r="45" spans="1:20" ht="30" hidden="1" customHeight="1" x14ac:dyDescent="0.25">
      <c r="A45" s="60" t="str">
        <f>UPPER(LEFT(TableVersamenti[[#This Row],[Contraente]],1))</f>
        <v>D</v>
      </c>
      <c r="B45" s="111" t="s">
        <v>1812</v>
      </c>
      <c r="C45" s="68" t="s">
        <v>37</v>
      </c>
      <c r="D45" s="68">
        <v>105793301</v>
      </c>
      <c r="E45" s="69">
        <v>430.85</v>
      </c>
      <c r="F45" s="67" t="s">
        <v>43</v>
      </c>
      <c r="G45" s="64">
        <v>42927</v>
      </c>
      <c r="H45" s="64">
        <v>42930</v>
      </c>
      <c r="I45" s="70" t="s">
        <v>1640</v>
      </c>
      <c r="J45" s="70" t="s">
        <v>1849</v>
      </c>
      <c r="K45" s="70"/>
      <c r="L45" s="63" t="str">
        <f>IFERROR(VLOOKUP(TableVersamenti[[#This Row],[Contraente]],Table1[[Nome/Ragione sociale]:[Checkbox selezionato]],2,FALSE),"-")</f>
        <v>PIEVE PORTO MORONE</v>
      </c>
      <c r="M45" s="63">
        <f>IFERROR(VLOOKUP(TableVersamenti[[#This Row],[Contraente]],Table1[[Nome/Ragione sociale]:[Checkbox selezionato]],3,FALSE),"-")</f>
        <v>0</v>
      </c>
      <c r="N45" s="63">
        <f>IFERROR(VLOOKUP(TableVersamenti[[#This Row],[Contraente]],Table1[[Nome/Ragione sociale]:[Checkbox selezionato]],4,FALSE),"-")</f>
        <v>0</v>
      </c>
      <c r="O45" s="63">
        <f>IFERROR(VLOOKUP(TableVersamenti[[#This Row],[Contraente]],Table1[[Nome/Ragione sociale]:[Checkbox selezionato]],5,FALSE),"-")</f>
        <v>0</v>
      </c>
      <c r="P45" s="63">
        <f>IFERROR(VLOOKUP(TableVersamenti[[#This Row],[Contraente]],Table1[[Nome/Ragione sociale]:[Checkbox selezionato]],6,FALSE),"-")</f>
        <v>0</v>
      </c>
      <c r="Q45" s="62" t="str">
        <f>IFERROR(VLOOKUP(TableVersamenti[[#This Row],[Contraente]],Table1[[Nome/Ragione sociale]:[Checkbox selezionato]],7,FALSE),"-")</f>
        <v>papies@email.it</v>
      </c>
      <c r="R45" s="63">
        <f>IFERROR(VLOOKUP(TableVersamenti[[#This Row],[Contraente]],Table1[[Nome/Ragione sociale]:[Checkbox selezionato]],8,FALSE),"-")</f>
        <v>0</v>
      </c>
      <c r="S45" s="63" t="str">
        <f>IFERROR(VLOOKUP(TableVersamenti[[#This Row],[Contraente]],Table1[[Nome/Ragione sociale]:[Checkbox selezionato]],9,FALSE),"-")</f>
        <v>Casa</v>
      </c>
      <c r="T45" s="63" t="b">
        <f>NOT(AND(TableVersamenti[[#This Row],[Stato versamento]]="EFFETTUATO",TableVersamenti[[#This Row],[Pagato da cliente]]="PAGATO"))</f>
        <v>0</v>
      </c>
    </row>
    <row r="46" spans="1:20" ht="30" hidden="1" customHeight="1" x14ac:dyDescent="0.25">
      <c r="A46" s="60" t="str">
        <f>UPPER(LEFT(TableVersamenti[[#This Row],[Contraente]],1))</f>
        <v>P</v>
      </c>
      <c r="B46" s="111" t="s">
        <v>913</v>
      </c>
      <c r="C46" s="68" t="s">
        <v>37</v>
      </c>
      <c r="D46" s="68">
        <v>106416406</v>
      </c>
      <c r="E46" s="69">
        <v>275</v>
      </c>
      <c r="F46" s="67" t="s">
        <v>44</v>
      </c>
      <c r="G46" s="64">
        <v>42927</v>
      </c>
      <c r="H46" s="64">
        <v>42930</v>
      </c>
      <c r="I46" s="70" t="s">
        <v>1640</v>
      </c>
      <c r="J46" s="70" t="s">
        <v>1849</v>
      </c>
      <c r="K46" s="70"/>
      <c r="L46" s="63" t="str">
        <f>IFERROR(VLOOKUP(TableVersamenti[[#This Row],[Contraente]],Table1[[Nome/Ragione sociale]:[Checkbox selezionato]],2,FALSE),"-")</f>
        <v>CORTEOLONA</v>
      </c>
      <c r="M46" s="63">
        <f>IFERROR(VLOOKUP(TableVersamenti[[#This Row],[Contraente]],Table1[[Nome/Ragione sociale]:[Checkbox selezionato]],3,FALSE),"-")</f>
        <v>3337139436</v>
      </c>
      <c r="N46" s="63">
        <f>IFERROR(VLOOKUP(TableVersamenti[[#This Row],[Contraente]],Table1[[Nome/Ragione sociale]:[Checkbox selezionato]],4,FALSE),"-")</f>
        <v>0</v>
      </c>
      <c r="O46" s="63" t="str">
        <f>IFERROR(VLOOKUP(TableVersamenti[[#This Row],[Contraente]],Table1[[Nome/Ragione sociale]:[Checkbox selezionato]],5,FALSE),"-")</f>
        <v>MASSIMO</v>
      </c>
      <c r="P46" s="63">
        <f>IFERROR(VLOOKUP(TableVersamenti[[#This Row],[Contraente]],Table1[[Nome/Ragione sociale]:[Checkbox selezionato]],6,FALSE),"-")</f>
        <v>26776</v>
      </c>
      <c r="Q46" s="62" t="str">
        <f>IFERROR(VLOOKUP(TableVersamenti[[#This Row],[Contraente]],Table1[[Nome/Ragione sociale]:[Checkbox selezionato]],7,FALSE),"-")</f>
        <v>papies@libero.it</v>
      </c>
      <c r="R46" s="63">
        <f>IFERROR(VLOOKUP(TableVersamenti[[#This Row],[Contraente]],Table1[[Nome/Ragione sociale]:[Checkbox selezionato]],8,FALSE),"-")</f>
        <v>0</v>
      </c>
      <c r="S46" s="63" t="str">
        <f>IFERROR(VLOOKUP(TableVersamenti[[#This Row],[Contraente]],Table1[[Nome/Ragione sociale]:[Checkbox selezionato]],9,FALSE),"-")</f>
        <v>Casa</v>
      </c>
      <c r="T46" s="63" t="b">
        <f>NOT(AND(TableVersamenti[[#This Row],[Stato versamento]]="EFFETTUATO",TableVersamenti[[#This Row],[Pagato da cliente]]="PAGATO"))</f>
        <v>0</v>
      </c>
    </row>
    <row r="47" spans="1:20" ht="30" hidden="1" customHeight="1" x14ac:dyDescent="0.25">
      <c r="A47" s="60" t="str">
        <f>UPPER(LEFT(TableVersamenti[[#This Row],[Contraente]],1))</f>
        <v>P</v>
      </c>
      <c r="B47" s="111" t="s">
        <v>913</v>
      </c>
      <c r="C47" s="68" t="s">
        <v>37</v>
      </c>
      <c r="D47" s="68">
        <v>103928817</v>
      </c>
      <c r="E47" s="69">
        <v>32</v>
      </c>
      <c r="F47" s="67" t="s">
        <v>44</v>
      </c>
      <c r="G47" s="64">
        <v>42927</v>
      </c>
      <c r="H47" s="64">
        <v>42930</v>
      </c>
      <c r="I47" s="70" t="s">
        <v>1640</v>
      </c>
      <c r="J47" s="70" t="s">
        <v>1849</v>
      </c>
      <c r="K47" s="70"/>
      <c r="L47" s="63" t="str">
        <f>IFERROR(VLOOKUP(TableVersamenti[[#This Row],[Contraente]],Table1[[Nome/Ragione sociale]:[Checkbox selezionato]],2,FALSE),"-")</f>
        <v>CORTEOLONA</v>
      </c>
      <c r="M47" s="63">
        <f>IFERROR(VLOOKUP(TableVersamenti[[#This Row],[Contraente]],Table1[[Nome/Ragione sociale]:[Checkbox selezionato]],3,FALSE),"-")</f>
        <v>3337139436</v>
      </c>
      <c r="N47" s="63">
        <f>IFERROR(VLOOKUP(TableVersamenti[[#This Row],[Contraente]],Table1[[Nome/Ragione sociale]:[Checkbox selezionato]],4,FALSE),"-")</f>
        <v>0</v>
      </c>
      <c r="O47" s="63" t="str">
        <f>IFERROR(VLOOKUP(TableVersamenti[[#This Row],[Contraente]],Table1[[Nome/Ragione sociale]:[Checkbox selezionato]],5,FALSE),"-")</f>
        <v>MASSIMO</v>
      </c>
      <c r="P47" s="63">
        <f>IFERROR(VLOOKUP(TableVersamenti[[#This Row],[Contraente]],Table1[[Nome/Ragione sociale]:[Checkbox selezionato]],6,FALSE),"-")</f>
        <v>26776</v>
      </c>
      <c r="Q47" s="62" t="str">
        <f>IFERROR(VLOOKUP(TableVersamenti[[#This Row],[Contraente]],Table1[[Nome/Ragione sociale]:[Checkbox selezionato]],7,FALSE),"-")</f>
        <v>papies@libero.it</v>
      </c>
      <c r="R47" s="63">
        <f>IFERROR(VLOOKUP(TableVersamenti[[#This Row],[Contraente]],Table1[[Nome/Ragione sociale]:[Checkbox selezionato]],8,FALSE),"-")</f>
        <v>0</v>
      </c>
      <c r="S47" s="63" t="str">
        <f>IFERROR(VLOOKUP(TableVersamenti[[#This Row],[Contraente]],Table1[[Nome/Ragione sociale]:[Checkbox selezionato]],9,FALSE),"-")</f>
        <v>Casa</v>
      </c>
      <c r="T47" s="63" t="b">
        <f>NOT(AND(TableVersamenti[[#This Row],[Stato versamento]]="EFFETTUATO",TableVersamenti[[#This Row],[Pagato da cliente]]="PAGATO"))</f>
        <v>0</v>
      </c>
    </row>
    <row r="48" spans="1:20" ht="30" hidden="1" customHeight="1" x14ac:dyDescent="0.25">
      <c r="A48" s="60" t="str">
        <f>UPPER(LEFT(TableVersamenti[[#This Row],[Contraente]],1))</f>
        <v>G</v>
      </c>
      <c r="B48" s="111" t="s">
        <v>663</v>
      </c>
      <c r="C48" s="68" t="s">
        <v>37</v>
      </c>
      <c r="D48" s="68">
        <v>105786733</v>
      </c>
      <c r="E48" s="69">
        <v>256.35000000000002</v>
      </c>
      <c r="F48" s="67" t="s">
        <v>44</v>
      </c>
      <c r="G48" s="64">
        <v>42927</v>
      </c>
      <c r="H48" s="64">
        <v>42930</v>
      </c>
      <c r="I48" s="70" t="s">
        <v>1640</v>
      </c>
      <c r="J48" s="70" t="s">
        <v>1849</v>
      </c>
      <c r="K48" s="70"/>
      <c r="L48" s="63" t="str">
        <f>IFERROR(VLOOKUP(TableVersamenti[[#This Row],[Contraente]],Table1[[Nome/Ragione sociale]:[Checkbox selezionato]],2,FALSE),"-")</f>
        <v>SERAVEZZA</v>
      </c>
      <c r="M48" s="63">
        <f>IFERROR(VLOOKUP(TableVersamenti[[#This Row],[Contraente]],Table1[[Nome/Ragione sociale]:[Checkbox selezionato]],3,FALSE),"-")</f>
        <v>3929200282</v>
      </c>
      <c r="N48" s="63">
        <f>IFERROR(VLOOKUP(TableVersamenti[[#This Row],[Contraente]],Table1[[Nome/Ragione sociale]:[Checkbox selezionato]],4,FALSE),"-")</f>
        <v>0</v>
      </c>
      <c r="O48" s="63" t="str">
        <f>IFERROR(VLOOKUP(TableVersamenti[[#This Row],[Contraente]],Table1[[Nome/Ragione sociale]:[Checkbox selezionato]],5,FALSE),"-")</f>
        <v>NICOLETTA</v>
      </c>
      <c r="P48" s="63">
        <f>IFERROR(VLOOKUP(TableVersamenti[[#This Row],[Contraente]],Table1[[Nome/Ragione sociale]:[Checkbox selezionato]],6,FALSE),"-")</f>
        <v>21136</v>
      </c>
      <c r="Q48" s="62" t="str">
        <f>IFERROR(VLOOKUP(TableVersamenti[[#This Row],[Contraente]],Table1[[Nome/Ragione sociale]:[Checkbox selezionato]],7,FALSE),"-")</f>
        <v>papies@email.it</v>
      </c>
      <c r="R48" s="63">
        <f>IFERROR(VLOOKUP(TableVersamenti[[#This Row],[Contraente]],Table1[[Nome/Ragione sociale]:[Checkbox selezionato]],8,FALSE),"-")</f>
        <v>0</v>
      </c>
      <c r="S48" s="63" t="str">
        <f>IFERROR(VLOOKUP(TableVersamenti[[#This Row],[Contraente]],Table1[[Nome/Ragione sociale]:[Checkbox selezionato]],9,FALSE),"-")</f>
        <v>Casa</v>
      </c>
      <c r="T48" s="63" t="b">
        <f>NOT(AND(TableVersamenti[[#This Row],[Stato versamento]]="EFFETTUATO",TableVersamenti[[#This Row],[Pagato da cliente]]="PAGATO"))</f>
        <v>0</v>
      </c>
    </row>
    <row r="49" spans="1:20" ht="30" hidden="1" customHeight="1" x14ac:dyDescent="0.25">
      <c r="A49" s="60" t="str">
        <f>UPPER(LEFT(TableVersamenti[[#This Row],[Contraente]],1))</f>
        <v>P</v>
      </c>
      <c r="B49" s="111" t="s">
        <v>919</v>
      </c>
      <c r="C49" s="68" t="s">
        <v>37</v>
      </c>
      <c r="D49" s="68">
        <v>104092426</v>
      </c>
      <c r="E49" s="69">
        <v>80</v>
      </c>
      <c r="F49" s="67" t="s">
        <v>44</v>
      </c>
      <c r="G49" s="64">
        <v>42927</v>
      </c>
      <c r="H49" s="64">
        <v>42930</v>
      </c>
      <c r="I49" s="70" t="s">
        <v>1640</v>
      </c>
      <c r="J49" s="70" t="s">
        <v>1849</v>
      </c>
      <c r="K49" s="70"/>
      <c r="L49" s="63" t="str">
        <f>IFERROR(VLOOKUP(TableVersamenti[[#This Row],[Contraente]],Table1[[Nome/Ragione sociale]:[Checkbox selezionato]],2,FALSE),"-")</f>
        <v>BELGIOIOSO</v>
      </c>
      <c r="M49" s="63">
        <f>IFERROR(VLOOKUP(TableVersamenti[[#This Row],[Contraente]],Table1[[Nome/Ragione sociale]:[Checkbox selezionato]],3,FALSE),"-")</f>
        <v>3357223808</v>
      </c>
      <c r="N49" s="63">
        <f>IFERROR(VLOOKUP(TableVersamenti[[#This Row],[Contraente]],Table1[[Nome/Ragione sociale]:[Checkbox selezionato]],4,FALSE),"-")</f>
        <v>0</v>
      </c>
      <c r="O49" s="63" t="str">
        <f>IFERROR(VLOOKUP(TableVersamenti[[#This Row],[Contraente]],Table1[[Nome/Ragione sociale]:[Checkbox selezionato]],5,FALSE),"-")</f>
        <v>MICHELINA</v>
      </c>
      <c r="P49" s="63">
        <f>IFERROR(VLOOKUP(TableVersamenti[[#This Row],[Contraente]],Table1[[Nome/Ragione sociale]:[Checkbox selezionato]],6,FALSE),"-")</f>
        <v>18259</v>
      </c>
      <c r="Q49" s="62" t="str">
        <f>IFERROR(VLOOKUP(TableVersamenti[[#This Row],[Contraente]],Table1[[Nome/Ragione sociale]:[Checkbox selezionato]],7,FALSE),"-")</f>
        <v>papies@libero.it</v>
      </c>
      <c r="R49" s="63">
        <f>IFERROR(VLOOKUP(TableVersamenti[[#This Row],[Contraente]],Table1[[Nome/Ragione sociale]:[Checkbox selezionato]],8,FALSE),"-")</f>
        <v>0</v>
      </c>
      <c r="S49" s="63" t="str">
        <f>IFERROR(VLOOKUP(TableVersamenti[[#This Row],[Contraente]],Table1[[Nome/Ragione sociale]:[Checkbox selezionato]],9,FALSE),"-")</f>
        <v>Casa</v>
      </c>
      <c r="T49" s="63" t="b">
        <f>NOT(AND(TableVersamenti[[#This Row],[Stato versamento]]="EFFETTUATO",TableVersamenti[[#This Row],[Pagato da cliente]]="PAGATO"))</f>
        <v>0</v>
      </c>
    </row>
    <row r="50" spans="1:20" ht="30" hidden="1" customHeight="1" x14ac:dyDescent="0.25">
      <c r="A50" s="60" t="str">
        <f>UPPER(LEFT(TableVersamenti[[#This Row],[Contraente]],1))</f>
        <v>P</v>
      </c>
      <c r="B50" s="111" t="s">
        <v>919</v>
      </c>
      <c r="C50" s="68" t="s">
        <v>37</v>
      </c>
      <c r="D50" s="68">
        <v>107094506</v>
      </c>
      <c r="E50" s="69">
        <v>444</v>
      </c>
      <c r="F50" s="67" t="s">
        <v>44</v>
      </c>
      <c r="G50" s="64">
        <v>42927</v>
      </c>
      <c r="H50" s="64">
        <v>42930</v>
      </c>
      <c r="I50" s="70" t="s">
        <v>1640</v>
      </c>
      <c r="J50" s="70" t="s">
        <v>1849</v>
      </c>
      <c r="K50" s="70"/>
      <c r="L50" s="63" t="str">
        <f>IFERROR(VLOOKUP(TableVersamenti[[#This Row],[Contraente]],Table1[[Nome/Ragione sociale]:[Checkbox selezionato]],2,FALSE),"-")</f>
        <v>BELGIOIOSO</v>
      </c>
      <c r="M50" s="63">
        <f>IFERROR(VLOOKUP(TableVersamenti[[#This Row],[Contraente]],Table1[[Nome/Ragione sociale]:[Checkbox selezionato]],3,FALSE),"-")</f>
        <v>3357223808</v>
      </c>
      <c r="N50" s="63">
        <f>IFERROR(VLOOKUP(TableVersamenti[[#This Row],[Contraente]],Table1[[Nome/Ragione sociale]:[Checkbox selezionato]],4,FALSE),"-")</f>
        <v>0</v>
      </c>
      <c r="O50" s="63" t="str">
        <f>IFERROR(VLOOKUP(TableVersamenti[[#This Row],[Contraente]],Table1[[Nome/Ragione sociale]:[Checkbox selezionato]],5,FALSE),"-")</f>
        <v>MICHELINA</v>
      </c>
      <c r="P50" s="63">
        <f>IFERROR(VLOOKUP(TableVersamenti[[#This Row],[Contraente]],Table1[[Nome/Ragione sociale]:[Checkbox selezionato]],6,FALSE),"-")</f>
        <v>18259</v>
      </c>
      <c r="Q50" s="62" t="str">
        <f>IFERROR(VLOOKUP(TableVersamenti[[#This Row],[Contraente]],Table1[[Nome/Ragione sociale]:[Checkbox selezionato]],7,FALSE),"-")</f>
        <v>papies@libero.it</v>
      </c>
      <c r="R50" s="63">
        <f>IFERROR(VLOOKUP(TableVersamenti[[#This Row],[Contraente]],Table1[[Nome/Ragione sociale]:[Checkbox selezionato]],8,FALSE),"-")</f>
        <v>0</v>
      </c>
      <c r="S50" s="63" t="str">
        <f>IFERROR(VLOOKUP(TableVersamenti[[#This Row],[Contraente]],Table1[[Nome/Ragione sociale]:[Checkbox selezionato]],9,FALSE),"-")</f>
        <v>Casa</v>
      </c>
      <c r="T50" s="63" t="b">
        <f>NOT(AND(TableVersamenti[[#This Row],[Stato versamento]]="EFFETTUATO",TableVersamenti[[#This Row],[Pagato da cliente]]="PAGATO"))</f>
        <v>0</v>
      </c>
    </row>
    <row r="51" spans="1:20" ht="30" hidden="1" customHeight="1" x14ac:dyDescent="0.25">
      <c r="A51" s="60" t="str">
        <f>UPPER(LEFT(TableVersamenti[[#This Row],[Contraente]],1))</f>
        <v>D</v>
      </c>
      <c r="B51" s="111" t="s">
        <v>1815</v>
      </c>
      <c r="C51" s="68" t="s">
        <v>37</v>
      </c>
      <c r="D51" s="68">
        <v>107097567</v>
      </c>
      <c r="E51" s="69">
        <v>560</v>
      </c>
      <c r="F51" s="67" t="s">
        <v>43</v>
      </c>
      <c r="G51" s="64">
        <v>42927</v>
      </c>
      <c r="H51" s="64">
        <v>42930</v>
      </c>
      <c r="I51" s="70" t="s">
        <v>1640</v>
      </c>
      <c r="J51" s="70" t="s">
        <v>1849</v>
      </c>
      <c r="K51" s="70"/>
      <c r="L51" s="63">
        <f>IFERROR(VLOOKUP(TableVersamenti[[#This Row],[Contraente]],Table1[[Nome/Ragione sociale]:[Checkbox selezionato]],2,FALSE),"-")</f>
        <v>0</v>
      </c>
      <c r="M51" s="63">
        <f>IFERROR(VLOOKUP(TableVersamenti[[#This Row],[Contraente]],Table1[[Nome/Ragione sociale]:[Checkbox selezionato]],3,FALSE),"-")</f>
        <v>0</v>
      </c>
      <c r="N51" s="63">
        <f>IFERROR(VLOOKUP(TableVersamenti[[#This Row],[Contraente]],Table1[[Nome/Ragione sociale]:[Checkbox selezionato]],4,FALSE),"-")</f>
        <v>0</v>
      </c>
      <c r="O51" s="63">
        <f>IFERROR(VLOOKUP(TableVersamenti[[#This Row],[Contraente]],Table1[[Nome/Ragione sociale]:[Checkbox selezionato]],5,FALSE),"-")</f>
        <v>0</v>
      </c>
      <c r="P51" s="63">
        <f>IFERROR(VLOOKUP(TableVersamenti[[#This Row],[Contraente]],Table1[[Nome/Ragione sociale]:[Checkbox selezionato]],6,FALSE),"-")</f>
        <v>0</v>
      </c>
      <c r="Q51" s="62" t="str">
        <f>IFERROR(VLOOKUP(TableVersamenti[[#This Row],[Contraente]],Table1[[Nome/Ragione sociale]:[Checkbox selezionato]],7,FALSE),"-")</f>
        <v>papies@libero.it</v>
      </c>
      <c r="R51" s="63">
        <f>IFERROR(VLOOKUP(TableVersamenti[[#This Row],[Contraente]],Table1[[Nome/Ragione sociale]:[Checkbox selezionato]],8,FALSE),"-")</f>
        <v>0</v>
      </c>
      <c r="S51" s="63" t="str">
        <f>IFERROR(VLOOKUP(TableVersamenti[[#This Row],[Contraente]],Table1[[Nome/Ragione sociale]:[Checkbox selezionato]],9,FALSE),"-")</f>
        <v>Casa</v>
      </c>
      <c r="T51" s="63" t="b">
        <f>NOT(AND(TableVersamenti[[#This Row],[Stato versamento]]="EFFETTUATO",TableVersamenti[[#This Row],[Pagato da cliente]]="PAGATO"))</f>
        <v>0</v>
      </c>
    </row>
    <row r="52" spans="1:20" ht="30" hidden="1" customHeight="1" x14ac:dyDescent="0.25">
      <c r="A52" s="60" t="str">
        <f>UPPER(LEFT(TableVersamenti[[#This Row],[Contraente]],1))</f>
        <v>A</v>
      </c>
      <c r="B52" s="111" t="s">
        <v>225</v>
      </c>
      <c r="C52" s="68" t="s">
        <v>37</v>
      </c>
      <c r="D52" s="68">
        <v>107098353</v>
      </c>
      <c r="E52" s="69">
        <v>201</v>
      </c>
      <c r="F52" s="67" t="s">
        <v>43</v>
      </c>
      <c r="G52" s="64">
        <v>42927</v>
      </c>
      <c r="H52" s="64">
        <v>42930</v>
      </c>
      <c r="I52" s="70" t="s">
        <v>1640</v>
      </c>
      <c r="J52" s="70" t="s">
        <v>1849</v>
      </c>
      <c r="K52" s="70"/>
      <c r="L52" s="63" t="str">
        <f>IFERROR(VLOOKUP(TableVersamenti[[#This Row],[Contraente]],Table1[[Nome/Ragione sociale]:[Checkbox selezionato]],2,FALSE),"-")</f>
        <v>BELGIOIOSO</v>
      </c>
      <c r="M52" s="63">
        <f>IFERROR(VLOOKUP(TableVersamenti[[#This Row],[Contraente]],Table1[[Nome/Ragione sociale]:[Checkbox selezionato]],3,FALSE),"-")</f>
        <v>3333434071</v>
      </c>
      <c r="N52" s="63">
        <f>IFERROR(VLOOKUP(TableVersamenti[[#This Row],[Contraente]],Table1[[Nome/Ragione sociale]:[Checkbox selezionato]],4,FALSE),"-")</f>
        <v>0</v>
      </c>
      <c r="O52" s="63" t="str">
        <f>IFERROR(VLOOKUP(TableVersamenti[[#This Row],[Contraente]],Table1[[Nome/Ragione sociale]:[Checkbox selezionato]],5,FALSE),"-")</f>
        <v>STEFANO</v>
      </c>
      <c r="P52" s="63">
        <f>IFERROR(VLOOKUP(TableVersamenti[[#This Row],[Contraente]],Table1[[Nome/Ragione sociale]:[Checkbox selezionato]],6,FALSE),"-")</f>
        <v>31479</v>
      </c>
      <c r="Q52" s="62" t="str">
        <f>IFERROR(VLOOKUP(TableVersamenti[[#This Row],[Contraente]],Table1[[Nome/Ragione sociale]:[Checkbox selezionato]],7,FALSE),"-")</f>
        <v>papies@libero.it</v>
      </c>
      <c r="R52" s="63">
        <f>IFERROR(VLOOKUP(TableVersamenti[[#This Row],[Contraente]],Table1[[Nome/Ragione sociale]:[Checkbox selezionato]],8,FALSE),"-")</f>
        <v>0</v>
      </c>
      <c r="S52" s="63" t="str">
        <f>IFERROR(VLOOKUP(TableVersamenti[[#This Row],[Contraente]],Table1[[Nome/Ragione sociale]:[Checkbox selezionato]],9,FALSE),"-")</f>
        <v>Casa</v>
      </c>
      <c r="T52" s="63" t="b">
        <f>NOT(AND(TableVersamenti[[#This Row],[Stato versamento]]="EFFETTUATO",TableVersamenti[[#This Row],[Pagato da cliente]]="PAGATO"))</f>
        <v>0</v>
      </c>
    </row>
    <row r="53" spans="1:20" ht="30" hidden="1" customHeight="1" x14ac:dyDescent="0.25">
      <c r="A53" s="60" t="str">
        <f>UPPER(LEFT(TableVersamenti[[#This Row],[Contraente]],1))</f>
        <v>A</v>
      </c>
      <c r="B53" s="111" t="s">
        <v>225</v>
      </c>
      <c r="C53" s="68" t="s">
        <v>37</v>
      </c>
      <c r="D53" s="68">
        <v>105759552</v>
      </c>
      <c r="E53" s="69">
        <v>75</v>
      </c>
      <c r="F53" s="67" t="s">
        <v>43</v>
      </c>
      <c r="G53" s="64">
        <v>42927</v>
      </c>
      <c r="H53" s="64">
        <v>42930</v>
      </c>
      <c r="I53" s="70" t="s">
        <v>1640</v>
      </c>
      <c r="J53" s="70" t="s">
        <v>1849</v>
      </c>
      <c r="K53" s="70"/>
      <c r="L53" s="63" t="str">
        <f>IFERROR(VLOOKUP(TableVersamenti[[#This Row],[Contraente]],Table1[[Nome/Ragione sociale]:[Checkbox selezionato]],2,FALSE),"-")</f>
        <v>BELGIOIOSO</v>
      </c>
      <c r="M53" s="63">
        <f>IFERROR(VLOOKUP(TableVersamenti[[#This Row],[Contraente]],Table1[[Nome/Ragione sociale]:[Checkbox selezionato]],3,FALSE),"-")</f>
        <v>3333434071</v>
      </c>
      <c r="N53" s="63">
        <f>IFERROR(VLOOKUP(TableVersamenti[[#This Row],[Contraente]],Table1[[Nome/Ragione sociale]:[Checkbox selezionato]],4,FALSE),"-")</f>
        <v>0</v>
      </c>
      <c r="O53" s="63" t="str">
        <f>IFERROR(VLOOKUP(TableVersamenti[[#This Row],[Contraente]],Table1[[Nome/Ragione sociale]:[Checkbox selezionato]],5,FALSE),"-")</f>
        <v>STEFANO</v>
      </c>
      <c r="P53" s="63">
        <f>IFERROR(VLOOKUP(TableVersamenti[[#This Row],[Contraente]],Table1[[Nome/Ragione sociale]:[Checkbox selezionato]],6,FALSE),"-")</f>
        <v>31479</v>
      </c>
      <c r="Q53" s="62" t="str">
        <f>IFERROR(VLOOKUP(TableVersamenti[[#This Row],[Contraente]],Table1[[Nome/Ragione sociale]:[Checkbox selezionato]],7,FALSE),"-")</f>
        <v>papies@libero.it</v>
      </c>
      <c r="R53" s="63">
        <f>IFERROR(VLOOKUP(TableVersamenti[[#This Row],[Contraente]],Table1[[Nome/Ragione sociale]:[Checkbox selezionato]],8,FALSE),"-")</f>
        <v>0</v>
      </c>
      <c r="S53" s="63" t="str">
        <f>IFERROR(VLOOKUP(TableVersamenti[[#This Row],[Contraente]],Table1[[Nome/Ragione sociale]:[Checkbox selezionato]],9,FALSE),"-")</f>
        <v>Casa</v>
      </c>
      <c r="T53" s="63" t="b">
        <f>NOT(AND(TableVersamenti[[#This Row],[Stato versamento]]="EFFETTUATO",TableVersamenti[[#This Row],[Pagato da cliente]]="PAGATO"))</f>
        <v>0</v>
      </c>
    </row>
    <row r="54" spans="1:20" ht="30" hidden="1" customHeight="1" x14ac:dyDescent="0.25">
      <c r="A54" s="60" t="str">
        <f>UPPER(LEFT(TableVersamenti[[#This Row],[Contraente]],1))</f>
        <v>G</v>
      </c>
      <c r="B54" s="111" t="s">
        <v>1818</v>
      </c>
      <c r="C54" s="68" t="s">
        <v>37</v>
      </c>
      <c r="D54" s="68">
        <v>107098919</v>
      </c>
      <c r="E54" s="69">
        <v>327.01</v>
      </c>
      <c r="F54" s="67" t="s">
        <v>43</v>
      </c>
      <c r="G54" s="64">
        <v>42928</v>
      </c>
      <c r="H54" s="64">
        <v>42931</v>
      </c>
      <c r="I54" s="70" t="s">
        <v>1640</v>
      </c>
      <c r="J54" s="70" t="s">
        <v>1849</v>
      </c>
      <c r="K54" s="70"/>
      <c r="L54" s="63" t="str">
        <f>IFERROR(VLOOKUP(TableVersamenti[[#This Row],[Contraente]],Table1[[Nome/Ragione sociale]:[Checkbox selezionato]],2,FALSE),"-")</f>
        <v>SANTA CRISTINA E BISSONE</v>
      </c>
      <c r="M54" s="63">
        <f>IFERROR(VLOOKUP(TableVersamenti[[#This Row],[Contraente]],Table1[[Nome/Ragione sociale]:[Checkbox selezionato]],3,FALSE),"-")</f>
        <v>0</v>
      </c>
      <c r="N54" s="63">
        <f>IFERROR(VLOOKUP(TableVersamenti[[#This Row],[Contraente]],Table1[[Nome/Ragione sociale]:[Checkbox selezionato]],4,FALSE),"-")</f>
        <v>0</v>
      </c>
      <c r="O54" s="63">
        <f>IFERROR(VLOOKUP(TableVersamenti[[#This Row],[Contraente]],Table1[[Nome/Ragione sociale]:[Checkbox selezionato]],5,FALSE),"-")</f>
        <v>0</v>
      </c>
      <c r="P54" s="63">
        <f>IFERROR(VLOOKUP(TableVersamenti[[#This Row],[Contraente]],Table1[[Nome/Ragione sociale]:[Checkbox selezionato]],6,FALSE),"-")</f>
        <v>0</v>
      </c>
      <c r="Q54" s="62" t="str">
        <f>IFERROR(VLOOKUP(TableVersamenti[[#This Row],[Contraente]],Table1[[Nome/Ragione sociale]:[Checkbox selezionato]],7,FALSE),"-")</f>
        <v>papies@email.it</v>
      </c>
      <c r="R54" s="63">
        <f>IFERROR(VLOOKUP(TableVersamenti[[#This Row],[Contraente]],Table1[[Nome/Ragione sociale]:[Checkbox selezionato]],8,FALSE),"-")</f>
        <v>0</v>
      </c>
      <c r="S54" s="63" t="str">
        <f>IFERROR(VLOOKUP(TableVersamenti[[#This Row],[Contraente]],Table1[[Nome/Ragione sociale]:[Checkbox selezionato]],9,FALSE),"-")</f>
        <v>Casa</v>
      </c>
      <c r="T54" s="63" t="b">
        <f>NOT(AND(TableVersamenti[[#This Row],[Stato versamento]]="EFFETTUATO",TableVersamenti[[#This Row],[Pagato da cliente]]="PAGATO"))</f>
        <v>0</v>
      </c>
    </row>
    <row r="55" spans="1:20" ht="30" hidden="1" customHeight="1" x14ac:dyDescent="0.25">
      <c r="A55" s="60" t="str">
        <f>UPPER(LEFT(TableVersamenti[[#This Row],[Contraente]],1))</f>
        <v>M</v>
      </c>
      <c r="B55" s="111" t="s">
        <v>1821</v>
      </c>
      <c r="C55" s="68" t="s">
        <v>37</v>
      </c>
      <c r="D55" s="68">
        <v>105795093</v>
      </c>
      <c r="E55" s="69">
        <v>378.08</v>
      </c>
      <c r="F55" s="67" t="s">
        <v>44</v>
      </c>
      <c r="G55" s="64">
        <v>42928</v>
      </c>
      <c r="H55" s="64">
        <v>42931</v>
      </c>
      <c r="I55" s="70" t="s">
        <v>1640</v>
      </c>
      <c r="J55" s="70" t="s">
        <v>1849</v>
      </c>
      <c r="K55" s="70"/>
      <c r="L55" s="63" t="str">
        <f>IFERROR(VLOOKUP(TableVersamenti[[#This Row],[Contraente]],Table1[[Nome/Ragione sociale]:[Checkbox selezionato]],2,FALSE),"-")</f>
        <v>PEIVE PORTO MORONE</v>
      </c>
      <c r="M55" s="63">
        <f>IFERROR(VLOOKUP(TableVersamenti[[#This Row],[Contraente]],Table1[[Nome/Ragione sociale]:[Checkbox selezionato]],3,FALSE),"-")</f>
        <v>0</v>
      </c>
      <c r="N55" s="63">
        <f>IFERROR(VLOOKUP(TableVersamenti[[#This Row],[Contraente]],Table1[[Nome/Ragione sociale]:[Checkbox selezionato]],4,FALSE),"-")</f>
        <v>0</v>
      </c>
      <c r="O55" s="63">
        <f>IFERROR(VLOOKUP(TableVersamenti[[#This Row],[Contraente]],Table1[[Nome/Ragione sociale]:[Checkbox selezionato]],5,FALSE),"-")</f>
        <v>0</v>
      </c>
      <c r="P55" s="63">
        <f>IFERROR(VLOOKUP(TableVersamenti[[#This Row],[Contraente]],Table1[[Nome/Ragione sociale]:[Checkbox selezionato]],6,FALSE),"-")</f>
        <v>0</v>
      </c>
      <c r="Q55" s="62" t="str">
        <f>IFERROR(VLOOKUP(TableVersamenti[[#This Row],[Contraente]],Table1[[Nome/Ragione sociale]:[Checkbox selezionato]],7,FALSE),"-")</f>
        <v>papies@libero.it</v>
      </c>
      <c r="R55" s="63">
        <f>IFERROR(VLOOKUP(TableVersamenti[[#This Row],[Contraente]],Table1[[Nome/Ragione sociale]:[Checkbox selezionato]],8,FALSE),"-")</f>
        <v>0</v>
      </c>
      <c r="S55" s="63" t="str">
        <f>IFERROR(VLOOKUP(TableVersamenti[[#This Row],[Contraente]],Table1[[Nome/Ragione sociale]:[Checkbox selezionato]],9,FALSE),"-")</f>
        <v>Casa</v>
      </c>
      <c r="T55" s="63" t="b">
        <f>NOT(AND(TableVersamenti[[#This Row],[Stato versamento]]="EFFETTUATO",TableVersamenti[[#This Row],[Pagato da cliente]]="PAGATO"))</f>
        <v>0</v>
      </c>
    </row>
    <row r="56" spans="1:20" ht="30" hidden="1" customHeight="1" x14ac:dyDescent="0.25">
      <c r="A56" s="60" t="str">
        <f>UPPER(LEFT(TableVersamenti[[#This Row],[Contraente]],1))</f>
        <v>M</v>
      </c>
      <c r="B56" s="111" t="s">
        <v>1821</v>
      </c>
      <c r="C56" s="68" t="s">
        <v>38</v>
      </c>
      <c r="D56" s="68">
        <v>7000070055</v>
      </c>
      <c r="E56" s="69">
        <v>82</v>
      </c>
      <c r="F56" s="67" t="s">
        <v>44</v>
      </c>
      <c r="G56" s="64">
        <v>42928</v>
      </c>
      <c r="H56" s="64">
        <v>42931</v>
      </c>
      <c r="I56" s="70" t="s">
        <v>1640</v>
      </c>
      <c r="J56" s="70" t="s">
        <v>1849</v>
      </c>
      <c r="K56" s="70"/>
      <c r="L56" s="63" t="str">
        <f>IFERROR(VLOOKUP(TableVersamenti[[#This Row],[Contraente]],Table1[[Nome/Ragione sociale]:[Checkbox selezionato]],2,FALSE),"-")</f>
        <v>PEIVE PORTO MORONE</v>
      </c>
      <c r="M56" s="63">
        <f>IFERROR(VLOOKUP(TableVersamenti[[#This Row],[Contraente]],Table1[[Nome/Ragione sociale]:[Checkbox selezionato]],3,FALSE),"-")</f>
        <v>0</v>
      </c>
      <c r="N56" s="63">
        <f>IFERROR(VLOOKUP(TableVersamenti[[#This Row],[Contraente]],Table1[[Nome/Ragione sociale]:[Checkbox selezionato]],4,FALSE),"-")</f>
        <v>0</v>
      </c>
      <c r="O56" s="63">
        <f>IFERROR(VLOOKUP(TableVersamenti[[#This Row],[Contraente]],Table1[[Nome/Ragione sociale]:[Checkbox selezionato]],5,FALSE),"-")</f>
        <v>0</v>
      </c>
      <c r="P56" s="63">
        <f>IFERROR(VLOOKUP(TableVersamenti[[#This Row],[Contraente]],Table1[[Nome/Ragione sociale]:[Checkbox selezionato]],6,FALSE),"-")</f>
        <v>0</v>
      </c>
      <c r="Q56" s="62" t="str">
        <f>IFERROR(VLOOKUP(TableVersamenti[[#This Row],[Contraente]],Table1[[Nome/Ragione sociale]:[Checkbox selezionato]],7,FALSE),"-")</f>
        <v>papies@libero.it</v>
      </c>
      <c r="R56" s="63">
        <f>IFERROR(VLOOKUP(TableVersamenti[[#This Row],[Contraente]],Table1[[Nome/Ragione sociale]:[Checkbox selezionato]],8,FALSE),"-")</f>
        <v>0</v>
      </c>
      <c r="S56" s="63" t="str">
        <f>IFERROR(VLOOKUP(TableVersamenti[[#This Row],[Contraente]],Table1[[Nome/Ragione sociale]:[Checkbox selezionato]],9,FALSE),"-")</f>
        <v>Casa</v>
      </c>
      <c r="T56" s="63" t="b">
        <f>NOT(AND(TableVersamenti[[#This Row],[Stato versamento]]="EFFETTUATO",TableVersamenti[[#This Row],[Pagato da cliente]]="PAGATO"))</f>
        <v>0</v>
      </c>
    </row>
    <row r="57" spans="1:20" ht="30" hidden="1" customHeight="1" x14ac:dyDescent="0.25">
      <c r="A57" s="60" t="str">
        <f>UPPER(LEFT(TableVersamenti[[#This Row],[Contraente]],1))</f>
        <v>M</v>
      </c>
      <c r="B57" s="111" t="s">
        <v>802</v>
      </c>
      <c r="C57" s="68" t="s">
        <v>37</v>
      </c>
      <c r="D57" s="68">
        <v>106441262</v>
      </c>
      <c r="E57" s="69">
        <v>185</v>
      </c>
      <c r="F57" s="67" t="s">
        <v>45</v>
      </c>
      <c r="G57" s="64">
        <v>42928</v>
      </c>
      <c r="H57" s="64">
        <v>42931</v>
      </c>
      <c r="I57" s="70" t="s">
        <v>1640</v>
      </c>
      <c r="J57" s="70" t="s">
        <v>1849</v>
      </c>
      <c r="K57" s="70"/>
      <c r="L57" s="63" t="str">
        <f>IFERROR(VLOOKUP(TableVersamenti[[#This Row],[Contraente]],Table1[[Nome/Ragione sociale]:[Checkbox selezionato]],2,FALSE),"-")</f>
        <v>VISTARINO</v>
      </c>
      <c r="M57" s="63">
        <f>IFERROR(VLOOKUP(TableVersamenti[[#This Row],[Contraente]],Table1[[Nome/Ragione sociale]:[Checkbox selezionato]],3,FALSE),"-")</f>
        <v>3383386853</v>
      </c>
      <c r="N57" s="63">
        <f>IFERROR(VLOOKUP(TableVersamenti[[#This Row],[Contraente]],Table1[[Nome/Ragione sociale]:[Checkbox selezionato]],4,FALSE),"-")</f>
        <v>0</v>
      </c>
      <c r="O57" s="63" t="str">
        <f>IFERROR(VLOOKUP(TableVersamenti[[#This Row],[Contraente]],Table1[[Nome/Ragione sociale]:[Checkbox selezionato]],5,FALSE),"-")</f>
        <v>MASSIMO</v>
      </c>
      <c r="P57" s="63">
        <f>IFERROR(VLOOKUP(TableVersamenti[[#This Row],[Contraente]],Table1[[Nome/Ragione sociale]:[Checkbox selezionato]],6,FALSE),"-")</f>
        <v>26233</v>
      </c>
      <c r="Q57" s="62" t="str">
        <f>IFERROR(VLOOKUP(TableVersamenti[[#This Row],[Contraente]],Table1[[Nome/Ragione sociale]:[Checkbox selezionato]],7,FALSE),"-")</f>
        <v>papies@libero.it</v>
      </c>
      <c r="R57" s="63">
        <f>IFERROR(VLOOKUP(TableVersamenti[[#This Row],[Contraente]],Table1[[Nome/Ragione sociale]:[Checkbox selezionato]],8,FALSE),"-")</f>
        <v>0</v>
      </c>
      <c r="S57" s="63" t="str">
        <f>IFERROR(VLOOKUP(TableVersamenti[[#This Row],[Contraente]],Table1[[Nome/Ragione sociale]:[Checkbox selezionato]],9,FALSE),"-")</f>
        <v>Casa</v>
      </c>
      <c r="T57" s="63" t="b">
        <f>NOT(AND(TableVersamenti[[#This Row],[Stato versamento]]="EFFETTUATO",TableVersamenti[[#This Row],[Pagato da cliente]]="PAGATO"))</f>
        <v>0</v>
      </c>
    </row>
    <row r="58" spans="1:20" ht="30" hidden="1" customHeight="1" x14ac:dyDescent="0.25">
      <c r="A58" s="60" t="str">
        <f>UPPER(LEFT(TableVersamenti[[#This Row],[Contraente]],1))</f>
        <v>M</v>
      </c>
      <c r="B58" s="111" t="s">
        <v>802</v>
      </c>
      <c r="C58" s="68" t="s">
        <v>37</v>
      </c>
      <c r="D58" s="68">
        <v>1083303</v>
      </c>
      <c r="E58" s="69">
        <v>102.49</v>
      </c>
      <c r="F58" s="67" t="s">
        <v>45</v>
      </c>
      <c r="G58" s="64">
        <v>42928</v>
      </c>
      <c r="H58" s="64">
        <v>42931</v>
      </c>
      <c r="I58" s="70" t="s">
        <v>1640</v>
      </c>
      <c r="J58" s="70" t="s">
        <v>1849</v>
      </c>
      <c r="K58" s="70"/>
      <c r="L58" s="63" t="str">
        <f>IFERROR(VLOOKUP(TableVersamenti[[#This Row],[Contraente]],Table1[[Nome/Ragione sociale]:[Checkbox selezionato]],2,FALSE),"-")</f>
        <v>VISTARINO</v>
      </c>
      <c r="M58" s="63">
        <f>IFERROR(VLOOKUP(TableVersamenti[[#This Row],[Contraente]],Table1[[Nome/Ragione sociale]:[Checkbox selezionato]],3,FALSE),"-")</f>
        <v>3383386853</v>
      </c>
      <c r="N58" s="63">
        <f>IFERROR(VLOOKUP(TableVersamenti[[#This Row],[Contraente]],Table1[[Nome/Ragione sociale]:[Checkbox selezionato]],4,FALSE),"-")</f>
        <v>0</v>
      </c>
      <c r="O58" s="63" t="str">
        <f>IFERROR(VLOOKUP(TableVersamenti[[#This Row],[Contraente]],Table1[[Nome/Ragione sociale]:[Checkbox selezionato]],5,FALSE),"-")</f>
        <v>MASSIMO</v>
      </c>
      <c r="P58" s="63">
        <f>IFERROR(VLOOKUP(TableVersamenti[[#This Row],[Contraente]],Table1[[Nome/Ragione sociale]:[Checkbox selezionato]],6,FALSE),"-")</f>
        <v>26233</v>
      </c>
      <c r="Q58" s="62" t="str">
        <f>IFERROR(VLOOKUP(TableVersamenti[[#This Row],[Contraente]],Table1[[Nome/Ragione sociale]:[Checkbox selezionato]],7,FALSE),"-")</f>
        <v>papies@libero.it</v>
      </c>
      <c r="R58" s="63">
        <f>IFERROR(VLOOKUP(TableVersamenti[[#This Row],[Contraente]],Table1[[Nome/Ragione sociale]:[Checkbox selezionato]],8,FALSE),"-")</f>
        <v>0</v>
      </c>
      <c r="S58" s="63" t="str">
        <f>IFERROR(VLOOKUP(TableVersamenti[[#This Row],[Contraente]],Table1[[Nome/Ragione sociale]:[Checkbox selezionato]],9,FALSE),"-")</f>
        <v>Casa</v>
      </c>
      <c r="T58" s="63" t="b">
        <f>NOT(AND(TableVersamenti[[#This Row],[Stato versamento]]="EFFETTUATO",TableVersamenti[[#This Row],[Pagato da cliente]]="PAGATO"))</f>
        <v>0</v>
      </c>
    </row>
    <row r="59" spans="1:20" ht="30" hidden="1" customHeight="1" x14ac:dyDescent="0.25">
      <c r="A59" s="60" t="str">
        <f>UPPER(LEFT(TableVersamenti[[#This Row],[Contraente]],1))</f>
        <v>B</v>
      </c>
      <c r="B59" s="111" t="s">
        <v>326</v>
      </c>
      <c r="C59" s="68" t="s">
        <v>37</v>
      </c>
      <c r="D59" s="68">
        <v>106413059</v>
      </c>
      <c r="E59" s="69">
        <v>158.35</v>
      </c>
      <c r="F59" s="67" t="s">
        <v>43</v>
      </c>
      <c r="G59" s="64">
        <v>42928</v>
      </c>
      <c r="H59" s="64">
        <v>42931</v>
      </c>
      <c r="I59" s="70" t="s">
        <v>1640</v>
      </c>
      <c r="J59" s="70" t="s">
        <v>1849</v>
      </c>
      <c r="K59" s="70"/>
      <c r="L59" s="63" t="str">
        <f>IFERROR(VLOOKUP(TableVersamenti[[#This Row],[Contraente]],Table1[[Nome/Ragione sociale]:[Checkbox selezionato]],2,FALSE),"-")</f>
        <v>SANTA CRISTINA E BISSONE</v>
      </c>
      <c r="M59" s="63">
        <f>IFERROR(VLOOKUP(TableVersamenti[[#This Row],[Contraente]],Table1[[Nome/Ragione sociale]:[Checkbox selezionato]],3,FALSE),"-")</f>
        <v>3383342553</v>
      </c>
      <c r="N59" s="63">
        <f>IFERROR(VLOOKUP(TableVersamenti[[#This Row],[Contraente]],Table1[[Nome/Ragione sociale]:[Checkbox selezionato]],4,FALSE),"-")</f>
        <v>0</v>
      </c>
      <c r="O59" s="63" t="str">
        <f>IFERROR(VLOOKUP(TableVersamenti[[#This Row],[Contraente]],Table1[[Nome/Ragione sociale]:[Checkbox selezionato]],5,FALSE),"-")</f>
        <v>GIUSEPPE</v>
      </c>
      <c r="P59" s="63">
        <f>IFERROR(VLOOKUP(TableVersamenti[[#This Row],[Contraente]],Table1[[Nome/Ragione sociale]:[Checkbox selezionato]],6,FALSE),"-")</f>
        <v>19351</v>
      </c>
      <c r="Q59" s="62" t="str">
        <f>IFERROR(VLOOKUP(TableVersamenti[[#This Row],[Contraente]],Table1[[Nome/Ragione sociale]:[Checkbox selezionato]],7,FALSE),"-")</f>
        <v>papies@libero.it</v>
      </c>
      <c r="R59" s="63">
        <f>IFERROR(VLOOKUP(TableVersamenti[[#This Row],[Contraente]],Table1[[Nome/Ragione sociale]:[Checkbox selezionato]],8,FALSE),"-")</f>
        <v>0</v>
      </c>
      <c r="S59" s="63" t="str">
        <f>IFERROR(VLOOKUP(TableVersamenti[[#This Row],[Contraente]],Table1[[Nome/Ragione sociale]:[Checkbox selezionato]],9,FALSE),"-")</f>
        <v>Casa</v>
      </c>
      <c r="T59" s="63" t="b">
        <f>NOT(AND(TableVersamenti[[#This Row],[Stato versamento]]="EFFETTUATO",TableVersamenti[[#This Row],[Pagato da cliente]]="PAGATO"))</f>
        <v>0</v>
      </c>
    </row>
    <row r="60" spans="1:20" ht="30" hidden="1" customHeight="1" x14ac:dyDescent="0.25">
      <c r="A60" s="60" t="str">
        <f>UPPER(LEFT(TableVersamenti[[#This Row],[Contraente]],1))</f>
        <v>B</v>
      </c>
      <c r="B60" s="111" t="s">
        <v>326</v>
      </c>
      <c r="C60" s="68" t="s">
        <v>37</v>
      </c>
      <c r="D60" s="68">
        <v>103919452</v>
      </c>
      <c r="E60" s="69">
        <v>32</v>
      </c>
      <c r="F60" s="67" t="s">
        <v>43</v>
      </c>
      <c r="G60" s="64">
        <v>42928</v>
      </c>
      <c r="H60" s="64">
        <v>42931</v>
      </c>
      <c r="I60" s="70" t="s">
        <v>1640</v>
      </c>
      <c r="J60" s="70" t="s">
        <v>1849</v>
      </c>
      <c r="K60" s="70"/>
      <c r="L60" s="63" t="str">
        <f>IFERROR(VLOOKUP(TableVersamenti[[#This Row],[Contraente]],Table1[[Nome/Ragione sociale]:[Checkbox selezionato]],2,FALSE),"-")</f>
        <v>SANTA CRISTINA E BISSONE</v>
      </c>
      <c r="M60" s="63">
        <f>IFERROR(VLOOKUP(TableVersamenti[[#This Row],[Contraente]],Table1[[Nome/Ragione sociale]:[Checkbox selezionato]],3,FALSE),"-")</f>
        <v>3383342553</v>
      </c>
      <c r="N60" s="63">
        <f>IFERROR(VLOOKUP(TableVersamenti[[#This Row],[Contraente]],Table1[[Nome/Ragione sociale]:[Checkbox selezionato]],4,FALSE),"-")</f>
        <v>0</v>
      </c>
      <c r="O60" s="63" t="str">
        <f>IFERROR(VLOOKUP(TableVersamenti[[#This Row],[Contraente]],Table1[[Nome/Ragione sociale]:[Checkbox selezionato]],5,FALSE),"-")</f>
        <v>GIUSEPPE</v>
      </c>
      <c r="P60" s="63">
        <f>IFERROR(VLOOKUP(TableVersamenti[[#This Row],[Contraente]],Table1[[Nome/Ragione sociale]:[Checkbox selezionato]],6,FALSE),"-")</f>
        <v>19351</v>
      </c>
      <c r="Q60" s="62" t="str">
        <f>IFERROR(VLOOKUP(TableVersamenti[[#This Row],[Contraente]],Table1[[Nome/Ragione sociale]:[Checkbox selezionato]],7,FALSE),"-")</f>
        <v>papies@libero.it</v>
      </c>
      <c r="R60" s="63">
        <f>IFERROR(VLOOKUP(TableVersamenti[[#This Row],[Contraente]],Table1[[Nome/Ragione sociale]:[Checkbox selezionato]],8,FALSE),"-")</f>
        <v>0</v>
      </c>
      <c r="S60" s="63" t="str">
        <f>IFERROR(VLOOKUP(TableVersamenti[[#This Row],[Contraente]],Table1[[Nome/Ragione sociale]:[Checkbox selezionato]],9,FALSE),"-")</f>
        <v>Casa</v>
      </c>
      <c r="T60" s="63" t="b">
        <f>NOT(AND(TableVersamenti[[#This Row],[Stato versamento]]="EFFETTUATO",TableVersamenti[[#This Row],[Pagato da cliente]]="PAGATO"))</f>
        <v>0</v>
      </c>
    </row>
    <row r="61" spans="1:20" ht="30" customHeight="1" x14ac:dyDescent="0.25">
      <c r="A61" s="60" t="str">
        <f>UPPER(LEFT(TableVersamenti[[#This Row],[Contraente]],1))</f>
        <v>F</v>
      </c>
      <c r="B61" s="111" t="s">
        <v>660</v>
      </c>
      <c r="C61" s="68" t="s">
        <v>37</v>
      </c>
      <c r="D61" s="68">
        <v>106591555</v>
      </c>
      <c r="E61" s="69">
        <v>350</v>
      </c>
      <c r="F61" s="67" t="s">
        <v>44</v>
      </c>
      <c r="G61" s="64">
        <v>42928</v>
      </c>
      <c r="H61" s="64">
        <v>42931</v>
      </c>
      <c r="I61" s="70" t="s">
        <v>1639</v>
      </c>
      <c r="J61" s="70" t="s">
        <v>1639</v>
      </c>
      <c r="K61" s="70"/>
      <c r="L61" s="63" t="str">
        <f>IFERROR(VLOOKUP(TableVersamenti[[#This Row],[Contraente]],Table1[[Nome/Ragione sociale]:[Checkbox selezionato]],2,FALSE),"-")</f>
        <v>BELGIOIOSO</v>
      </c>
      <c r="M61" s="63">
        <f>IFERROR(VLOOKUP(TableVersamenti[[#This Row],[Contraente]],Table1[[Nome/Ragione sociale]:[Checkbox selezionato]],3,FALSE),"-")</f>
        <v>3923968063</v>
      </c>
      <c r="N61" s="63">
        <f>IFERROR(VLOOKUP(TableVersamenti[[#This Row],[Contraente]],Table1[[Nome/Ragione sociale]:[Checkbox selezionato]],4,FALSE),"-")</f>
        <v>0</v>
      </c>
      <c r="O61" s="63" t="str">
        <f>IFERROR(VLOOKUP(TableVersamenti[[#This Row],[Contraente]],Table1[[Nome/Ragione sociale]:[Checkbox selezionato]],5,FALSE),"-")</f>
        <v>MAURO</v>
      </c>
      <c r="P61" s="63">
        <f>IFERROR(VLOOKUP(TableVersamenti[[#This Row],[Contraente]],Table1[[Nome/Ragione sociale]:[Checkbox selezionato]],6,FALSE),"-")</f>
        <v>22976</v>
      </c>
      <c r="Q61" s="62" t="str">
        <f>IFERROR(VLOOKUP(TableVersamenti[[#This Row],[Contraente]],Table1[[Nome/Ragione sociale]:[Checkbox selezionato]],7,FALSE),"-")</f>
        <v>papies@libero.it</v>
      </c>
      <c r="R61" s="63">
        <f>IFERROR(VLOOKUP(TableVersamenti[[#This Row],[Contraente]],Table1[[Nome/Ragione sociale]:[Checkbox selezionato]],8,FALSE),"-")</f>
        <v>0</v>
      </c>
      <c r="S61" s="63" t="str">
        <f>IFERROR(VLOOKUP(TableVersamenti[[#This Row],[Contraente]],Table1[[Nome/Ragione sociale]:[Checkbox selezionato]],9,FALSE),"-")</f>
        <v>Casa</v>
      </c>
      <c r="T61" s="63" t="b">
        <f>NOT(AND(TableVersamenti[[#This Row],[Stato versamento]]="EFFETTUATO",TableVersamenti[[#This Row],[Pagato da cliente]]="PAGATO"))</f>
        <v>1</v>
      </c>
    </row>
    <row r="62" spans="1:20" ht="30" hidden="1" customHeight="1" x14ac:dyDescent="0.25">
      <c r="A62" s="60" t="str">
        <f>UPPER(LEFT(TableVersamenti[[#This Row],[Contraente]],1))</f>
        <v>R</v>
      </c>
      <c r="B62" s="111" t="s">
        <v>960</v>
      </c>
      <c r="C62" s="68" t="s">
        <v>37</v>
      </c>
      <c r="D62" s="68">
        <v>105799578</v>
      </c>
      <c r="E62" s="69">
        <v>293.10000000000002</v>
      </c>
      <c r="F62" s="67" t="s">
        <v>45</v>
      </c>
      <c r="G62" s="64">
        <v>42928</v>
      </c>
      <c r="H62" s="64">
        <v>42931</v>
      </c>
      <c r="I62" s="70" t="s">
        <v>1640</v>
      </c>
      <c r="J62" s="70" t="s">
        <v>1849</v>
      </c>
      <c r="K62" s="70"/>
      <c r="L62" s="63" t="str">
        <f>IFERROR(VLOOKUP(TableVersamenti[[#This Row],[Contraente]],Table1[[Nome/Ragione sociale]:[Checkbox selezionato]],2,FALSE),"-")</f>
        <v>BRONI</v>
      </c>
      <c r="M62" s="63">
        <f>IFERROR(VLOOKUP(TableVersamenti[[#This Row],[Contraente]],Table1[[Nome/Ragione sociale]:[Checkbox selezionato]],3,FALSE),"-")</f>
        <v>3281266228</v>
      </c>
      <c r="N62" s="63">
        <f>IFERROR(VLOOKUP(TableVersamenti[[#This Row],[Contraente]],Table1[[Nome/Ragione sociale]:[Checkbox selezionato]],4,FALSE),"-")</f>
        <v>0</v>
      </c>
      <c r="O62" s="63" t="str">
        <f>IFERROR(VLOOKUP(TableVersamenti[[#This Row],[Contraente]],Table1[[Nome/Ragione sociale]:[Checkbox selezionato]],5,FALSE),"-")</f>
        <v>MARITO DORIS</v>
      </c>
      <c r="P62" s="63">
        <f>IFERROR(VLOOKUP(TableVersamenti[[#This Row],[Contraente]],Table1[[Nome/Ragione sociale]:[Checkbox selezionato]],6,FALSE),"-")</f>
        <v>31062</v>
      </c>
      <c r="Q62" s="62" t="str">
        <f>IFERROR(VLOOKUP(TableVersamenti[[#This Row],[Contraente]],Table1[[Nome/Ragione sociale]:[Checkbox selezionato]],7,FALSE),"-")</f>
        <v>papies@libero.it</v>
      </c>
      <c r="R62" s="63">
        <f>IFERROR(VLOOKUP(TableVersamenti[[#This Row],[Contraente]],Table1[[Nome/Ragione sociale]:[Checkbox selezionato]],8,FALSE),"-")</f>
        <v>0</v>
      </c>
      <c r="S62" s="63" t="str">
        <f>IFERROR(VLOOKUP(TableVersamenti[[#This Row],[Contraente]],Table1[[Nome/Ragione sociale]:[Checkbox selezionato]],9,FALSE),"-")</f>
        <v>Casa</v>
      </c>
      <c r="T62" s="63" t="b">
        <f>NOT(AND(TableVersamenti[[#This Row],[Stato versamento]]="EFFETTUATO",TableVersamenti[[#This Row],[Pagato da cliente]]="PAGATO"))</f>
        <v>0</v>
      </c>
    </row>
    <row r="63" spans="1:20" ht="30" hidden="1" customHeight="1" x14ac:dyDescent="0.25">
      <c r="A63" s="60" t="str">
        <f>UPPER(LEFT(TableVersamenti[[#This Row],[Contraente]],1))</f>
        <v>S</v>
      </c>
      <c r="B63" s="111" t="s">
        <v>980</v>
      </c>
      <c r="C63" s="68" t="s">
        <v>37</v>
      </c>
      <c r="D63" s="68">
        <v>105802940</v>
      </c>
      <c r="E63" s="69">
        <v>175</v>
      </c>
      <c r="F63" s="67" t="s">
        <v>45</v>
      </c>
      <c r="G63" s="64">
        <v>42928</v>
      </c>
      <c r="H63" s="64">
        <v>42931</v>
      </c>
      <c r="I63" s="70" t="s">
        <v>1640</v>
      </c>
      <c r="J63" s="70" t="s">
        <v>1849</v>
      </c>
      <c r="K63" s="70"/>
      <c r="L63" s="63" t="str">
        <f>IFERROR(VLOOKUP(TableVersamenti[[#This Row],[Contraente]],Table1[[Nome/Ragione sociale]:[Checkbox selezionato]],2,FALSE),"-")</f>
        <v>MONTEBELLO</v>
      </c>
      <c r="M63" s="63">
        <f>IFERROR(VLOOKUP(TableVersamenti[[#This Row],[Contraente]],Table1[[Nome/Ragione sociale]:[Checkbox selezionato]],3,FALSE),"-")</f>
        <v>3336959116</v>
      </c>
      <c r="N63" s="63">
        <f>IFERROR(VLOOKUP(TableVersamenti[[#This Row],[Contraente]],Table1[[Nome/Ragione sociale]:[Checkbox selezionato]],4,FALSE),"-")</f>
        <v>0</v>
      </c>
      <c r="O63" s="63" t="str">
        <f>IFERROR(VLOOKUP(TableVersamenti[[#This Row],[Contraente]],Table1[[Nome/Ragione sociale]:[Checkbox selezionato]],5,FALSE),"-")</f>
        <v>MONICA</v>
      </c>
      <c r="P63" s="63">
        <f>IFERROR(VLOOKUP(TableVersamenti[[#This Row],[Contraente]],Table1[[Nome/Ragione sociale]:[Checkbox selezionato]],6,FALSE),"-")</f>
        <v>24234</v>
      </c>
      <c r="Q63" s="62" t="str">
        <f>IFERROR(VLOOKUP(TableVersamenti[[#This Row],[Contraente]],Table1[[Nome/Ragione sociale]:[Checkbox selezionato]],7,FALSE),"-")</f>
        <v>papies@email.it</v>
      </c>
      <c r="R63" s="63">
        <f>IFERROR(VLOOKUP(TableVersamenti[[#This Row],[Contraente]],Table1[[Nome/Ragione sociale]:[Checkbox selezionato]],8,FALSE),"-")</f>
        <v>0</v>
      </c>
      <c r="S63" s="63" t="str">
        <f>IFERROR(VLOOKUP(TableVersamenti[[#This Row],[Contraente]],Table1[[Nome/Ragione sociale]:[Checkbox selezionato]],9,FALSE),"-")</f>
        <v>Casa</v>
      </c>
      <c r="T63" s="63" t="b">
        <f>NOT(AND(TableVersamenti[[#This Row],[Stato versamento]]="EFFETTUATO",TableVersamenti[[#This Row],[Pagato da cliente]]="PAGATO"))</f>
        <v>0</v>
      </c>
    </row>
    <row r="64" spans="1:20" ht="30" hidden="1" customHeight="1" x14ac:dyDescent="0.25">
      <c r="A64" s="60" t="str">
        <f>UPPER(LEFT(TableVersamenti[[#This Row],[Contraente]],1))</f>
        <v>S</v>
      </c>
      <c r="B64" s="111" t="s">
        <v>980</v>
      </c>
      <c r="C64" s="68" t="s">
        <v>37</v>
      </c>
      <c r="D64" s="68">
        <v>1074878</v>
      </c>
      <c r="E64" s="69">
        <v>102.49</v>
      </c>
      <c r="F64" s="67" t="s">
        <v>45</v>
      </c>
      <c r="G64" s="64">
        <v>42928</v>
      </c>
      <c r="H64" s="64">
        <v>42931</v>
      </c>
      <c r="I64" s="70" t="s">
        <v>1640</v>
      </c>
      <c r="J64" s="70" t="s">
        <v>1849</v>
      </c>
      <c r="K64" s="70"/>
      <c r="L64" s="63" t="str">
        <f>IFERROR(VLOOKUP(TableVersamenti[[#This Row],[Contraente]],Table1[[Nome/Ragione sociale]:[Checkbox selezionato]],2,FALSE),"-")</f>
        <v>MONTEBELLO</v>
      </c>
      <c r="M64" s="63">
        <f>IFERROR(VLOOKUP(TableVersamenti[[#This Row],[Contraente]],Table1[[Nome/Ragione sociale]:[Checkbox selezionato]],3,FALSE),"-")</f>
        <v>3336959116</v>
      </c>
      <c r="N64" s="63">
        <f>IFERROR(VLOOKUP(TableVersamenti[[#This Row],[Contraente]],Table1[[Nome/Ragione sociale]:[Checkbox selezionato]],4,FALSE),"-")</f>
        <v>0</v>
      </c>
      <c r="O64" s="63" t="str">
        <f>IFERROR(VLOOKUP(TableVersamenti[[#This Row],[Contraente]],Table1[[Nome/Ragione sociale]:[Checkbox selezionato]],5,FALSE),"-")</f>
        <v>MONICA</v>
      </c>
      <c r="P64" s="63">
        <f>IFERROR(VLOOKUP(TableVersamenti[[#This Row],[Contraente]],Table1[[Nome/Ragione sociale]:[Checkbox selezionato]],6,FALSE),"-")</f>
        <v>24234</v>
      </c>
      <c r="Q64" s="62" t="str">
        <f>IFERROR(VLOOKUP(TableVersamenti[[#This Row],[Contraente]],Table1[[Nome/Ragione sociale]:[Checkbox selezionato]],7,FALSE),"-")</f>
        <v>papies@email.it</v>
      </c>
      <c r="R64" s="63">
        <f>IFERROR(VLOOKUP(TableVersamenti[[#This Row],[Contraente]],Table1[[Nome/Ragione sociale]:[Checkbox selezionato]],8,FALSE),"-")</f>
        <v>0</v>
      </c>
      <c r="S64" s="63" t="str">
        <f>IFERROR(VLOOKUP(TableVersamenti[[#This Row],[Contraente]],Table1[[Nome/Ragione sociale]:[Checkbox selezionato]],9,FALSE),"-")</f>
        <v>Casa</v>
      </c>
      <c r="T64" s="63" t="b">
        <f>NOT(AND(TableVersamenti[[#This Row],[Stato versamento]]="EFFETTUATO",TableVersamenti[[#This Row],[Pagato da cliente]]="PAGATO"))</f>
        <v>0</v>
      </c>
    </row>
    <row r="65" spans="1:20" ht="30" hidden="1" customHeight="1" x14ac:dyDescent="0.25">
      <c r="A65" s="60" t="str">
        <f>UPPER(LEFT(TableVersamenti[[#This Row],[Contraente]],1))</f>
        <v>J</v>
      </c>
      <c r="B65" s="111" t="s">
        <v>720</v>
      </c>
      <c r="C65" s="68" t="s">
        <v>37</v>
      </c>
      <c r="D65" s="68">
        <v>104645214</v>
      </c>
      <c r="E65" s="69">
        <v>206</v>
      </c>
      <c r="F65" s="67" t="s">
        <v>43</v>
      </c>
      <c r="G65" s="64">
        <v>42929</v>
      </c>
      <c r="H65" s="64">
        <v>42932</v>
      </c>
      <c r="I65" s="70" t="s">
        <v>1640</v>
      </c>
      <c r="J65" s="70" t="s">
        <v>1849</v>
      </c>
      <c r="K65" s="70"/>
      <c r="L65" s="63" t="str">
        <f>IFERROR(VLOOKUP(TableVersamenti[[#This Row],[Contraente]],Table1[[Nome/Ragione sociale]:[Checkbox selezionato]],2,FALSE),"-")</f>
        <v>BELGIOIOSO</v>
      </c>
      <c r="M65" s="63">
        <f>IFERROR(VLOOKUP(TableVersamenti[[#This Row],[Contraente]],Table1[[Nome/Ragione sociale]:[Checkbox selezionato]],3,FALSE),"-")</f>
        <v>3208154499</v>
      </c>
      <c r="N65" s="63">
        <f>IFERROR(VLOOKUP(TableVersamenti[[#This Row],[Contraente]],Table1[[Nome/Ragione sociale]:[Checkbox selezionato]],4,FALSE),"-")</f>
        <v>0</v>
      </c>
      <c r="O65" s="63" t="str">
        <f>IFERROR(VLOOKUP(TableVersamenti[[#This Row],[Contraente]],Table1[[Nome/Ragione sociale]:[Checkbox selezionato]],5,FALSE),"-")</f>
        <v>DRISS</v>
      </c>
      <c r="P65" s="63" t="str">
        <f>IFERROR(VLOOKUP(TableVersamenti[[#This Row],[Contraente]],Table1[[Nome/Ragione sociale]:[Checkbox selezionato]],6,FALSE),"-")</f>
        <v>-</v>
      </c>
      <c r="Q65" s="62" t="str">
        <f>IFERROR(VLOOKUP(TableVersamenti[[#This Row],[Contraente]],Table1[[Nome/Ragione sociale]:[Checkbox selezionato]],7,FALSE),"-")</f>
        <v>papies@libero.it</v>
      </c>
      <c r="R65" s="63">
        <f>IFERROR(VLOOKUP(TableVersamenti[[#This Row],[Contraente]],Table1[[Nome/Ragione sociale]:[Checkbox selezionato]],8,FALSE),"-")</f>
        <v>0</v>
      </c>
      <c r="S65" s="63" t="str">
        <f>IFERROR(VLOOKUP(TableVersamenti[[#This Row],[Contraente]],Table1[[Nome/Ragione sociale]:[Checkbox selezionato]],9,FALSE),"-")</f>
        <v>Casa</v>
      </c>
      <c r="T65" s="63" t="b">
        <f>NOT(AND(TableVersamenti[[#This Row],[Stato versamento]]="EFFETTUATO",TableVersamenti[[#This Row],[Pagato da cliente]]="PAGATO"))</f>
        <v>0</v>
      </c>
    </row>
    <row r="66" spans="1:20" ht="30" hidden="1" customHeight="1" x14ac:dyDescent="0.25">
      <c r="A66" s="60" t="str">
        <f>UPPER(LEFT(TableVersamenti[[#This Row],[Contraente]],1))</f>
        <v>J</v>
      </c>
      <c r="B66" s="111" t="s">
        <v>720</v>
      </c>
      <c r="C66" s="68" t="s">
        <v>37</v>
      </c>
      <c r="D66" s="68">
        <v>107103786</v>
      </c>
      <c r="E66" s="69">
        <v>398</v>
      </c>
      <c r="F66" s="67" t="s">
        <v>43</v>
      </c>
      <c r="G66" s="64">
        <v>42929</v>
      </c>
      <c r="H66" s="64">
        <v>42932</v>
      </c>
      <c r="I66" s="70" t="s">
        <v>1640</v>
      </c>
      <c r="J66" s="70" t="s">
        <v>1849</v>
      </c>
      <c r="K66" s="70"/>
      <c r="L66" s="63" t="str">
        <f>IFERROR(VLOOKUP(TableVersamenti[[#This Row],[Contraente]],Table1[[Nome/Ragione sociale]:[Checkbox selezionato]],2,FALSE),"-")</f>
        <v>BELGIOIOSO</v>
      </c>
      <c r="M66" s="63">
        <f>IFERROR(VLOOKUP(TableVersamenti[[#This Row],[Contraente]],Table1[[Nome/Ragione sociale]:[Checkbox selezionato]],3,FALSE),"-")</f>
        <v>3208154499</v>
      </c>
      <c r="N66" s="63">
        <f>IFERROR(VLOOKUP(TableVersamenti[[#This Row],[Contraente]],Table1[[Nome/Ragione sociale]:[Checkbox selezionato]],4,FALSE),"-")</f>
        <v>0</v>
      </c>
      <c r="O66" s="63" t="str">
        <f>IFERROR(VLOOKUP(TableVersamenti[[#This Row],[Contraente]],Table1[[Nome/Ragione sociale]:[Checkbox selezionato]],5,FALSE),"-")</f>
        <v>DRISS</v>
      </c>
      <c r="P66" s="63" t="str">
        <f>IFERROR(VLOOKUP(TableVersamenti[[#This Row],[Contraente]],Table1[[Nome/Ragione sociale]:[Checkbox selezionato]],6,FALSE),"-")</f>
        <v>-</v>
      </c>
      <c r="Q66" s="62" t="str">
        <f>IFERROR(VLOOKUP(TableVersamenti[[#This Row],[Contraente]],Table1[[Nome/Ragione sociale]:[Checkbox selezionato]],7,FALSE),"-")</f>
        <v>papies@libero.it</v>
      </c>
      <c r="R66" s="63">
        <f>IFERROR(VLOOKUP(TableVersamenti[[#This Row],[Contraente]],Table1[[Nome/Ragione sociale]:[Checkbox selezionato]],8,FALSE),"-")</f>
        <v>0</v>
      </c>
      <c r="S66" s="63" t="str">
        <f>IFERROR(VLOOKUP(TableVersamenti[[#This Row],[Contraente]],Table1[[Nome/Ragione sociale]:[Checkbox selezionato]],9,FALSE),"-")</f>
        <v>Casa</v>
      </c>
      <c r="T66" s="63" t="b">
        <f>NOT(AND(TableVersamenti[[#This Row],[Stato versamento]]="EFFETTUATO",TableVersamenti[[#This Row],[Pagato da cliente]]="PAGATO"))</f>
        <v>0</v>
      </c>
    </row>
    <row r="67" spans="1:20" ht="30" hidden="1" customHeight="1" x14ac:dyDescent="0.25">
      <c r="A67" s="60" t="str">
        <f>UPPER(LEFT(TableVersamenti[[#This Row],[Contraente]],1))</f>
        <v>C</v>
      </c>
      <c r="B67" s="111" t="s">
        <v>111</v>
      </c>
      <c r="C67" s="68" t="s">
        <v>37</v>
      </c>
      <c r="D67" s="68">
        <v>105826542</v>
      </c>
      <c r="E67" s="69">
        <v>865</v>
      </c>
      <c r="F67" s="67" t="s">
        <v>45</v>
      </c>
      <c r="G67" s="64">
        <v>42929</v>
      </c>
      <c r="H67" s="64">
        <v>42932</v>
      </c>
      <c r="I67" s="70" t="s">
        <v>1640</v>
      </c>
      <c r="J67" s="70" t="s">
        <v>1849</v>
      </c>
      <c r="K67" s="70"/>
      <c r="L67" s="63">
        <f>IFERROR(VLOOKUP(TableVersamenti[[#This Row],[Contraente]],Table1[[Nome/Ragione sociale]:[Checkbox selezionato]],2,FALSE),"-")</f>
        <v>0</v>
      </c>
      <c r="M67" s="63">
        <f>IFERROR(VLOOKUP(TableVersamenti[[#This Row],[Contraente]],Table1[[Nome/Ragione sociale]:[Checkbox selezionato]],3,FALSE),"-")</f>
        <v>0</v>
      </c>
      <c r="N67" s="63">
        <f>IFERROR(VLOOKUP(TableVersamenti[[#This Row],[Contraente]],Table1[[Nome/Ragione sociale]:[Checkbox selezionato]],4,FALSE),"-")</f>
        <v>0</v>
      </c>
      <c r="O67" s="63" t="str">
        <f>IFERROR(VLOOKUP(TableVersamenti[[#This Row],[Contraente]],Table1[[Nome/Ragione sociale]:[Checkbox selezionato]],5,FALSE),"-")</f>
        <v>TARRINI</v>
      </c>
      <c r="P67" s="63" t="str">
        <f>IFERROR(VLOOKUP(TableVersamenti[[#This Row],[Contraente]],Table1[[Nome/Ragione sociale]:[Checkbox selezionato]],6,FALSE),"-")</f>
        <v>-</v>
      </c>
      <c r="Q67" s="62" t="str">
        <f>IFERROR(VLOOKUP(TableVersamenti[[#This Row],[Contraente]],Table1[[Nome/Ragione sociale]:[Checkbox selezionato]],7,FALSE),"-")</f>
        <v>papies@libero.it</v>
      </c>
      <c r="R67" s="63">
        <f>IFERROR(VLOOKUP(TableVersamenti[[#This Row],[Contraente]],Table1[[Nome/Ragione sociale]:[Checkbox selezionato]],8,FALSE),"-")</f>
        <v>0</v>
      </c>
      <c r="S67" s="63" t="str">
        <f>IFERROR(VLOOKUP(TableVersamenti[[#This Row],[Contraente]],Table1[[Nome/Ragione sociale]:[Checkbox selezionato]],9,FALSE),"-")</f>
        <v>Casa</v>
      </c>
      <c r="T67" s="63" t="b">
        <f>NOT(AND(TableVersamenti[[#This Row],[Stato versamento]]="EFFETTUATO",TableVersamenti[[#This Row],[Pagato da cliente]]="PAGATO"))</f>
        <v>0</v>
      </c>
    </row>
    <row r="68" spans="1:20" ht="30" hidden="1" customHeight="1" x14ac:dyDescent="0.25">
      <c r="A68" s="60" t="str">
        <f>UPPER(LEFT(TableVersamenti[[#This Row],[Contraente]],1))</f>
        <v>R</v>
      </c>
      <c r="B68" s="111" t="s">
        <v>942</v>
      </c>
      <c r="C68" s="68" t="s">
        <v>37</v>
      </c>
      <c r="D68" s="68">
        <v>107107914</v>
      </c>
      <c r="E68" s="69">
        <v>935</v>
      </c>
      <c r="F68" s="67" t="s">
        <v>45</v>
      </c>
      <c r="G68" s="64">
        <v>42929</v>
      </c>
      <c r="H68" s="64">
        <v>42932</v>
      </c>
      <c r="I68" s="70" t="s">
        <v>1640</v>
      </c>
      <c r="J68" s="70" t="s">
        <v>1849</v>
      </c>
      <c r="K68" s="70"/>
      <c r="L68" s="63">
        <f>IFERROR(VLOOKUP(TableVersamenti[[#This Row],[Contraente]],Table1[[Nome/Ragione sociale]:[Checkbox selezionato]],2,FALSE),"-")</f>
        <v>0</v>
      </c>
      <c r="M68" s="63">
        <f>IFERROR(VLOOKUP(TableVersamenti[[#This Row],[Contraente]],Table1[[Nome/Ragione sociale]:[Checkbox selezionato]],3,FALSE),"-")</f>
        <v>0</v>
      </c>
      <c r="N68" s="63">
        <f>IFERROR(VLOOKUP(TableVersamenti[[#This Row],[Contraente]],Table1[[Nome/Ragione sociale]:[Checkbox selezionato]],4,FALSE),"-")</f>
        <v>0</v>
      </c>
      <c r="O68" s="63">
        <f>IFERROR(VLOOKUP(TableVersamenti[[#This Row],[Contraente]],Table1[[Nome/Ragione sociale]:[Checkbox selezionato]],5,FALSE),"-")</f>
        <v>0</v>
      </c>
      <c r="P68" s="63">
        <f>IFERROR(VLOOKUP(TableVersamenti[[#This Row],[Contraente]],Table1[[Nome/Ragione sociale]:[Checkbox selezionato]],6,FALSE),"-")</f>
        <v>0</v>
      </c>
      <c r="Q68" s="62" t="str">
        <f>IFERROR(VLOOKUP(TableVersamenti[[#This Row],[Contraente]],Table1[[Nome/Ragione sociale]:[Checkbox selezionato]],7,FALSE),"-")</f>
        <v>papies@libero.it</v>
      </c>
      <c r="R68" s="63">
        <f>IFERROR(VLOOKUP(TableVersamenti[[#This Row],[Contraente]],Table1[[Nome/Ragione sociale]:[Checkbox selezionato]],8,FALSE),"-")</f>
        <v>0</v>
      </c>
      <c r="S68" s="63" t="str">
        <f>IFERROR(VLOOKUP(TableVersamenti[[#This Row],[Contraente]],Table1[[Nome/Ragione sociale]:[Checkbox selezionato]],9,FALSE),"-")</f>
        <v>Casa</v>
      </c>
      <c r="T68" s="63" t="b">
        <f>NOT(AND(TableVersamenti[[#This Row],[Stato versamento]]="EFFETTUATO",TableVersamenti[[#This Row],[Pagato da cliente]]="PAGATO"))</f>
        <v>0</v>
      </c>
    </row>
    <row r="69" spans="1:20" ht="30" hidden="1" customHeight="1" x14ac:dyDescent="0.25">
      <c r="A69" s="60" t="str">
        <f>UPPER(LEFT(TableVersamenti[[#This Row],[Contraente]],1))</f>
        <v>R</v>
      </c>
      <c r="B69" s="111" t="s">
        <v>942</v>
      </c>
      <c r="C69" s="68" t="s">
        <v>37</v>
      </c>
      <c r="D69" s="68">
        <v>107107789</v>
      </c>
      <c r="E69" s="69">
        <v>80</v>
      </c>
      <c r="F69" s="67" t="s">
        <v>45</v>
      </c>
      <c r="G69" s="64">
        <v>42929</v>
      </c>
      <c r="H69" s="64">
        <v>42932</v>
      </c>
      <c r="I69" s="70" t="s">
        <v>1640</v>
      </c>
      <c r="J69" s="70" t="s">
        <v>1849</v>
      </c>
      <c r="K69" s="70"/>
      <c r="L69" s="63">
        <f>IFERROR(VLOOKUP(TableVersamenti[[#This Row],[Contraente]],Table1[[Nome/Ragione sociale]:[Checkbox selezionato]],2,FALSE),"-")</f>
        <v>0</v>
      </c>
      <c r="M69" s="63">
        <f>IFERROR(VLOOKUP(TableVersamenti[[#This Row],[Contraente]],Table1[[Nome/Ragione sociale]:[Checkbox selezionato]],3,FALSE),"-")</f>
        <v>0</v>
      </c>
      <c r="N69" s="63">
        <f>IFERROR(VLOOKUP(TableVersamenti[[#This Row],[Contraente]],Table1[[Nome/Ragione sociale]:[Checkbox selezionato]],4,FALSE),"-")</f>
        <v>0</v>
      </c>
      <c r="O69" s="63">
        <f>IFERROR(VLOOKUP(TableVersamenti[[#This Row],[Contraente]],Table1[[Nome/Ragione sociale]:[Checkbox selezionato]],5,FALSE),"-")</f>
        <v>0</v>
      </c>
      <c r="P69" s="63">
        <f>IFERROR(VLOOKUP(TableVersamenti[[#This Row],[Contraente]],Table1[[Nome/Ragione sociale]:[Checkbox selezionato]],6,FALSE),"-")</f>
        <v>0</v>
      </c>
      <c r="Q69" s="62" t="str">
        <f>IFERROR(VLOOKUP(TableVersamenti[[#This Row],[Contraente]],Table1[[Nome/Ragione sociale]:[Checkbox selezionato]],7,FALSE),"-")</f>
        <v>papies@libero.it</v>
      </c>
      <c r="R69" s="63">
        <f>IFERROR(VLOOKUP(TableVersamenti[[#This Row],[Contraente]],Table1[[Nome/Ragione sociale]:[Checkbox selezionato]],8,FALSE),"-")</f>
        <v>0</v>
      </c>
      <c r="S69" s="63" t="str">
        <f>IFERROR(VLOOKUP(TableVersamenti[[#This Row],[Contraente]],Table1[[Nome/Ragione sociale]:[Checkbox selezionato]],9,FALSE),"-")</f>
        <v>Casa</v>
      </c>
      <c r="T69" s="63" t="b">
        <f>NOT(AND(TableVersamenti[[#This Row],[Stato versamento]]="EFFETTUATO",TableVersamenti[[#This Row],[Pagato da cliente]]="PAGATO"))</f>
        <v>0</v>
      </c>
    </row>
    <row r="70" spans="1:20" ht="30" hidden="1" customHeight="1" x14ac:dyDescent="0.25">
      <c r="A70" s="60" t="str">
        <f>UPPER(LEFT(TableVersamenti[[#This Row],[Contraente]],1))</f>
        <v>Z</v>
      </c>
      <c r="B70" s="111" t="s">
        <v>1089</v>
      </c>
      <c r="C70" s="68" t="s">
        <v>37</v>
      </c>
      <c r="D70" s="68">
        <v>104652652</v>
      </c>
      <c r="E70" s="69">
        <v>639</v>
      </c>
      <c r="F70" s="67" t="s">
        <v>45</v>
      </c>
      <c r="G70" s="64">
        <v>42929</v>
      </c>
      <c r="H70" s="64">
        <v>42932</v>
      </c>
      <c r="I70" s="70" t="s">
        <v>1640</v>
      </c>
      <c r="J70" s="70" t="s">
        <v>1849</v>
      </c>
      <c r="K70" s="70"/>
      <c r="L70" s="63" t="str">
        <f>IFERROR(VLOOKUP(TableVersamenti[[#This Row],[Contraente]],Table1[[Nome/Ragione sociale]:[Checkbox selezionato]],2,FALSE),"-")</f>
        <v>SAN MARTINO SICCOMARIO</v>
      </c>
      <c r="M70" s="63">
        <f>IFERROR(VLOOKUP(TableVersamenti[[#This Row],[Contraente]],Table1[[Nome/Ragione sociale]:[Checkbox selezionato]],3,FALSE),"-")</f>
        <v>3356947192</v>
      </c>
      <c r="N70" s="63">
        <f>IFERROR(VLOOKUP(TableVersamenti[[#This Row],[Contraente]],Table1[[Nome/Ragione sociale]:[Checkbox selezionato]],4,FALSE),"-")</f>
        <v>0</v>
      </c>
      <c r="O70" s="63" t="str">
        <f>IFERROR(VLOOKUP(TableVersamenti[[#This Row],[Contraente]],Table1[[Nome/Ragione sociale]:[Checkbox selezionato]],5,FALSE),"-")</f>
        <v>ALESSANDRO</v>
      </c>
      <c r="P70" s="63">
        <f>IFERROR(VLOOKUP(TableVersamenti[[#This Row],[Contraente]],Table1[[Nome/Ragione sociale]:[Checkbox selezionato]],6,FALSE),"-")</f>
        <v>24368</v>
      </c>
      <c r="Q70" s="62" t="str">
        <f>IFERROR(VLOOKUP(TableVersamenti[[#This Row],[Contraente]],Table1[[Nome/Ragione sociale]:[Checkbox selezionato]],7,FALSE),"-")</f>
        <v>papies@email.it</v>
      </c>
      <c r="R70" s="63">
        <f>IFERROR(VLOOKUP(TableVersamenti[[#This Row],[Contraente]],Table1[[Nome/Ragione sociale]:[Checkbox selezionato]],8,FALSE),"-")</f>
        <v>0</v>
      </c>
      <c r="S70" s="63" t="str">
        <f>IFERROR(VLOOKUP(TableVersamenti[[#This Row],[Contraente]],Table1[[Nome/Ragione sociale]:[Checkbox selezionato]],9,FALSE),"-")</f>
        <v>Casa</v>
      </c>
      <c r="T70" s="63" t="b">
        <f>NOT(AND(TableVersamenti[[#This Row],[Stato versamento]]="EFFETTUATO",TableVersamenti[[#This Row],[Pagato da cliente]]="PAGATO"))</f>
        <v>0</v>
      </c>
    </row>
    <row r="71" spans="1:20" ht="30" hidden="1" customHeight="1" x14ac:dyDescent="0.25">
      <c r="A71" s="60" t="str">
        <f>UPPER(LEFT(TableVersamenti[[#This Row],[Contraente]],1))</f>
        <v>Z</v>
      </c>
      <c r="B71" s="111" t="s">
        <v>1089</v>
      </c>
      <c r="C71" s="68" t="s">
        <v>37</v>
      </c>
      <c r="D71" s="68">
        <v>107107880</v>
      </c>
      <c r="E71" s="69">
        <v>80</v>
      </c>
      <c r="F71" s="67" t="s">
        <v>45</v>
      </c>
      <c r="G71" s="64">
        <v>42929</v>
      </c>
      <c r="H71" s="64">
        <v>42932</v>
      </c>
      <c r="I71" s="70" t="s">
        <v>1640</v>
      </c>
      <c r="J71" s="70" t="s">
        <v>1849</v>
      </c>
      <c r="K71" s="70"/>
      <c r="L71" s="63" t="str">
        <f>IFERROR(VLOOKUP(TableVersamenti[[#This Row],[Contraente]],Table1[[Nome/Ragione sociale]:[Checkbox selezionato]],2,FALSE),"-")</f>
        <v>SAN MARTINO SICCOMARIO</v>
      </c>
      <c r="M71" s="63">
        <f>IFERROR(VLOOKUP(TableVersamenti[[#This Row],[Contraente]],Table1[[Nome/Ragione sociale]:[Checkbox selezionato]],3,FALSE),"-")</f>
        <v>3356947192</v>
      </c>
      <c r="N71" s="63">
        <f>IFERROR(VLOOKUP(TableVersamenti[[#This Row],[Contraente]],Table1[[Nome/Ragione sociale]:[Checkbox selezionato]],4,FALSE),"-")</f>
        <v>0</v>
      </c>
      <c r="O71" s="63" t="str">
        <f>IFERROR(VLOOKUP(TableVersamenti[[#This Row],[Contraente]],Table1[[Nome/Ragione sociale]:[Checkbox selezionato]],5,FALSE),"-")</f>
        <v>ALESSANDRO</v>
      </c>
      <c r="P71" s="63">
        <f>IFERROR(VLOOKUP(TableVersamenti[[#This Row],[Contraente]],Table1[[Nome/Ragione sociale]:[Checkbox selezionato]],6,FALSE),"-")</f>
        <v>24368</v>
      </c>
      <c r="Q71" s="62" t="str">
        <f>IFERROR(VLOOKUP(TableVersamenti[[#This Row],[Contraente]],Table1[[Nome/Ragione sociale]:[Checkbox selezionato]],7,FALSE),"-")</f>
        <v>papies@email.it</v>
      </c>
      <c r="R71" s="63">
        <f>IFERROR(VLOOKUP(TableVersamenti[[#This Row],[Contraente]],Table1[[Nome/Ragione sociale]:[Checkbox selezionato]],8,FALSE),"-")</f>
        <v>0</v>
      </c>
      <c r="S71" s="63" t="str">
        <f>IFERROR(VLOOKUP(TableVersamenti[[#This Row],[Contraente]],Table1[[Nome/Ragione sociale]:[Checkbox selezionato]],9,FALSE),"-")</f>
        <v>Casa</v>
      </c>
      <c r="T71" s="63" t="b">
        <f>NOT(AND(TableVersamenti[[#This Row],[Stato versamento]]="EFFETTUATO",TableVersamenti[[#This Row],[Pagato da cliente]]="PAGATO"))</f>
        <v>0</v>
      </c>
    </row>
    <row r="72" spans="1:20" ht="30" hidden="1" customHeight="1" x14ac:dyDescent="0.25">
      <c r="A72" s="60" t="str">
        <f>UPPER(LEFT(TableVersamenti[[#This Row],[Contraente]],1))</f>
        <v>M</v>
      </c>
      <c r="B72" s="111" t="s">
        <v>144</v>
      </c>
      <c r="C72" s="68" t="s">
        <v>37</v>
      </c>
      <c r="D72" s="68">
        <v>107111134</v>
      </c>
      <c r="E72" s="69">
        <v>0</v>
      </c>
      <c r="F72" s="67" t="s">
        <v>43</v>
      </c>
      <c r="G72" s="64">
        <v>42929</v>
      </c>
      <c r="H72" s="64">
        <v>42932</v>
      </c>
      <c r="I72" s="70" t="s">
        <v>1640</v>
      </c>
      <c r="J72" s="70" t="s">
        <v>1849</v>
      </c>
      <c r="K72" s="70"/>
      <c r="L72" s="63" t="str">
        <f>IFERROR(VLOOKUP(TableVersamenti[[#This Row],[Contraente]],Table1[[Nome/Ragione sociale]:[Checkbox selezionato]],2,FALSE),"-")</f>
        <v>FILIGHERA</v>
      </c>
      <c r="M72" s="63">
        <f>IFERROR(VLOOKUP(TableVersamenti[[#This Row],[Contraente]],Table1[[Nome/Ragione sociale]:[Checkbox selezionato]],3,FALSE),"-")</f>
        <v>3355730106</v>
      </c>
      <c r="N72" s="63">
        <f>IFERROR(VLOOKUP(TableVersamenti[[#This Row],[Contraente]],Table1[[Nome/Ragione sociale]:[Checkbox selezionato]],4,FALSE),"-")</f>
        <v>0</v>
      </c>
      <c r="O72" s="63" t="str">
        <f>IFERROR(VLOOKUP(TableVersamenti[[#This Row],[Contraente]],Table1[[Nome/Ragione sociale]:[Checkbox selezionato]],5,FALSE),"-")</f>
        <v>SALVATORE</v>
      </c>
      <c r="P72" s="63">
        <f>IFERROR(VLOOKUP(TableVersamenti[[#This Row],[Contraente]],Table1[[Nome/Ragione sociale]:[Checkbox selezionato]],6,FALSE),"-")</f>
        <v>0</v>
      </c>
      <c r="Q72" s="62" t="str">
        <f>IFERROR(VLOOKUP(TableVersamenti[[#This Row],[Contraente]],Table1[[Nome/Ragione sociale]:[Checkbox selezionato]],7,FALSE),"-")</f>
        <v>papies@libero.it</v>
      </c>
      <c r="R72" s="63">
        <f>IFERROR(VLOOKUP(TableVersamenti[[#This Row],[Contraente]],Table1[[Nome/Ragione sociale]:[Checkbox selezionato]],8,FALSE),"-")</f>
        <v>0</v>
      </c>
      <c r="S72" s="63" t="str">
        <f>IFERROR(VLOOKUP(TableVersamenti[[#This Row],[Contraente]],Table1[[Nome/Ragione sociale]:[Checkbox selezionato]],9,FALSE),"-")</f>
        <v>Casa</v>
      </c>
      <c r="T72" s="63" t="b">
        <f>NOT(AND(TableVersamenti[[#This Row],[Stato versamento]]="EFFETTUATO",TableVersamenti[[#This Row],[Pagato da cliente]]="PAGATO"))</f>
        <v>0</v>
      </c>
    </row>
    <row r="73" spans="1:20" ht="30" hidden="1" customHeight="1" x14ac:dyDescent="0.25">
      <c r="A73" s="60" t="str">
        <f>UPPER(LEFT(TableVersamenti[[#This Row],[Contraente]],1))</f>
        <v>R</v>
      </c>
      <c r="B73" s="111" t="s">
        <v>942</v>
      </c>
      <c r="C73" s="68" t="s">
        <v>37</v>
      </c>
      <c r="D73" s="68">
        <v>107114486</v>
      </c>
      <c r="E73" s="69">
        <v>200</v>
      </c>
      <c r="F73" s="67" t="s">
        <v>45</v>
      </c>
      <c r="G73" s="64">
        <v>42930</v>
      </c>
      <c r="H73" s="64">
        <v>42933</v>
      </c>
      <c r="I73" s="70" t="s">
        <v>1640</v>
      </c>
      <c r="J73" s="70" t="s">
        <v>1849</v>
      </c>
      <c r="K73" s="70"/>
      <c r="L73" s="63">
        <f>IFERROR(VLOOKUP(TableVersamenti[[#This Row],[Contraente]],Table1[[Nome/Ragione sociale]:[Checkbox selezionato]],2,FALSE),"-")</f>
        <v>0</v>
      </c>
      <c r="M73" s="63">
        <f>IFERROR(VLOOKUP(TableVersamenti[[#This Row],[Contraente]],Table1[[Nome/Ragione sociale]:[Checkbox selezionato]],3,FALSE),"-")</f>
        <v>0</v>
      </c>
      <c r="N73" s="63">
        <f>IFERROR(VLOOKUP(TableVersamenti[[#This Row],[Contraente]],Table1[[Nome/Ragione sociale]:[Checkbox selezionato]],4,FALSE),"-")</f>
        <v>0</v>
      </c>
      <c r="O73" s="63">
        <f>IFERROR(VLOOKUP(TableVersamenti[[#This Row],[Contraente]],Table1[[Nome/Ragione sociale]:[Checkbox selezionato]],5,FALSE),"-")</f>
        <v>0</v>
      </c>
      <c r="P73" s="63">
        <f>IFERROR(VLOOKUP(TableVersamenti[[#This Row],[Contraente]],Table1[[Nome/Ragione sociale]:[Checkbox selezionato]],6,FALSE),"-")</f>
        <v>0</v>
      </c>
      <c r="Q73" s="62" t="str">
        <f>IFERROR(VLOOKUP(TableVersamenti[[#This Row],[Contraente]],Table1[[Nome/Ragione sociale]:[Checkbox selezionato]],7,FALSE),"-")</f>
        <v>papies@libero.it</v>
      </c>
      <c r="R73" s="63">
        <f>IFERROR(VLOOKUP(TableVersamenti[[#This Row],[Contraente]],Table1[[Nome/Ragione sociale]:[Checkbox selezionato]],8,FALSE),"-")</f>
        <v>0</v>
      </c>
      <c r="S73" s="63" t="str">
        <f>IFERROR(VLOOKUP(TableVersamenti[[#This Row],[Contraente]],Table1[[Nome/Ragione sociale]:[Checkbox selezionato]],9,FALSE),"-")</f>
        <v>Casa</v>
      </c>
      <c r="T73" s="63" t="b">
        <f>NOT(AND(TableVersamenti[[#This Row],[Stato versamento]]="EFFETTUATO",TableVersamenti[[#This Row],[Pagato da cliente]]="PAGATO"))</f>
        <v>0</v>
      </c>
    </row>
    <row r="74" spans="1:20" ht="30" customHeight="1" x14ac:dyDescent="0.25">
      <c r="A74" s="60" t="str">
        <f>UPPER(LEFT(TableVersamenti[[#This Row],[Contraente]],1))</f>
        <v>A</v>
      </c>
      <c r="B74" s="111" t="s">
        <v>219</v>
      </c>
      <c r="C74" s="68" t="s">
        <v>37</v>
      </c>
      <c r="D74" s="68">
        <v>103888087</v>
      </c>
      <c r="E74" s="69">
        <v>32</v>
      </c>
      <c r="F74" s="67" t="s">
        <v>44</v>
      </c>
      <c r="G74" s="64">
        <v>42930</v>
      </c>
      <c r="H74" s="64">
        <v>42933</v>
      </c>
      <c r="I74" s="70" t="s">
        <v>1639</v>
      </c>
      <c r="J74" s="70" t="s">
        <v>1639</v>
      </c>
      <c r="K74" s="70"/>
      <c r="L74" s="63" t="str">
        <f>IFERROR(VLOOKUP(TableVersamenti[[#This Row],[Contraente]],Table1[[Nome/Ragione sociale]:[Checkbox selezionato]],2,FALSE),"-")</f>
        <v>CORTEOLONA</v>
      </c>
      <c r="M74" s="63">
        <f>IFERROR(VLOOKUP(TableVersamenti[[#This Row],[Contraente]],Table1[[Nome/Ragione sociale]:[Checkbox selezionato]],3,FALSE),"-")</f>
        <v>3396557141</v>
      </c>
      <c r="N74" s="63" t="str">
        <f>IFERROR(VLOOKUP(TableVersamenti[[#This Row],[Contraente]],Table1[[Nome/Ragione sociale]:[Checkbox selezionato]],4,FALSE),"-")</f>
        <v>-</v>
      </c>
      <c r="O74" s="63" t="str">
        <f>IFERROR(VLOOKUP(TableVersamenti[[#This Row],[Contraente]],Table1[[Nome/Ragione sociale]:[Checkbox selezionato]],5,FALSE),"-")</f>
        <v>ANNA</v>
      </c>
      <c r="P74" s="63">
        <f>IFERROR(VLOOKUP(TableVersamenti[[#This Row],[Contraente]],Table1[[Nome/Ragione sociale]:[Checkbox selezionato]],6,FALSE),"-")</f>
        <v>17456</v>
      </c>
      <c r="Q74" s="62" t="str">
        <f>IFERROR(VLOOKUP(TableVersamenti[[#This Row],[Contraente]],Table1[[Nome/Ragione sociale]:[Checkbox selezionato]],7,FALSE),"-")</f>
        <v>papies@libero.it</v>
      </c>
      <c r="R74" s="63">
        <f>IFERROR(VLOOKUP(TableVersamenti[[#This Row],[Contraente]],Table1[[Nome/Ragione sociale]:[Checkbox selezionato]],8,FALSE),"-")</f>
        <v>0</v>
      </c>
      <c r="S74" s="63" t="str">
        <f>IFERROR(VLOOKUP(TableVersamenti[[#This Row],[Contraente]],Table1[[Nome/Ragione sociale]:[Checkbox selezionato]],9,FALSE),"-")</f>
        <v>Casa</v>
      </c>
      <c r="T74" s="63" t="b">
        <f>NOT(AND(TableVersamenti[[#This Row],[Stato versamento]]="EFFETTUATO",TableVersamenti[[#This Row],[Pagato da cliente]]="PAGATO"))</f>
        <v>1</v>
      </c>
    </row>
    <row r="75" spans="1:20" ht="30" customHeight="1" x14ac:dyDescent="0.25">
      <c r="A75" s="60" t="str">
        <f>UPPER(LEFT(TableVersamenti[[#This Row],[Contraente]],1))</f>
        <v>A</v>
      </c>
      <c r="B75" s="111" t="s">
        <v>219</v>
      </c>
      <c r="C75" s="68" t="s">
        <v>37</v>
      </c>
      <c r="D75" s="68">
        <v>106417248</v>
      </c>
      <c r="E75" s="69">
        <v>348</v>
      </c>
      <c r="F75" s="67" t="s">
        <v>44</v>
      </c>
      <c r="G75" s="64">
        <v>42930</v>
      </c>
      <c r="H75" s="64">
        <v>42933</v>
      </c>
      <c r="I75" s="70" t="s">
        <v>1639</v>
      </c>
      <c r="J75" s="70" t="s">
        <v>1639</v>
      </c>
      <c r="K75" s="70"/>
      <c r="L75" s="63" t="str">
        <f>IFERROR(VLOOKUP(TableVersamenti[[#This Row],[Contraente]],Table1[[Nome/Ragione sociale]:[Checkbox selezionato]],2,FALSE),"-")</f>
        <v>CORTEOLONA</v>
      </c>
      <c r="M75" s="63">
        <f>IFERROR(VLOOKUP(TableVersamenti[[#This Row],[Contraente]],Table1[[Nome/Ragione sociale]:[Checkbox selezionato]],3,FALSE),"-")</f>
        <v>3396557141</v>
      </c>
      <c r="N75" s="63" t="str">
        <f>IFERROR(VLOOKUP(TableVersamenti[[#This Row],[Contraente]],Table1[[Nome/Ragione sociale]:[Checkbox selezionato]],4,FALSE),"-")</f>
        <v>-</v>
      </c>
      <c r="O75" s="63" t="str">
        <f>IFERROR(VLOOKUP(TableVersamenti[[#This Row],[Contraente]],Table1[[Nome/Ragione sociale]:[Checkbox selezionato]],5,FALSE),"-")</f>
        <v>ANNA</v>
      </c>
      <c r="P75" s="63">
        <f>IFERROR(VLOOKUP(TableVersamenti[[#This Row],[Contraente]],Table1[[Nome/Ragione sociale]:[Checkbox selezionato]],6,FALSE),"-")</f>
        <v>17456</v>
      </c>
      <c r="Q75" s="62" t="str">
        <f>IFERROR(VLOOKUP(TableVersamenti[[#This Row],[Contraente]],Table1[[Nome/Ragione sociale]:[Checkbox selezionato]],7,FALSE),"-")</f>
        <v>papies@libero.it</v>
      </c>
      <c r="R75" s="63">
        <f>IFERROR(VLOOKUP(TableVersamenti[[#This Row],[Contraente]],Table1[[Nome/Ragione sociale]:[Checkbox selezionato]],8,FALSE),"-")</f>
        <v>0</v>
      </c>
      <c r="S75" s="63" t="str">
        <f>IFERROR(VLOOKUP(TableVersamenti[[#This Row],[Contraente]],Table1[[Nome/Ragione sociale]:[Checkbox selezionato]],9,FALSE),"-")</f>
        <v>Casa</v>
      </c>
      <c r="T75" s="63" t="b">
        <f>NOT(AND(TableVersamenti[[#This Row],[Stato versamento]]="EFFETTUATO",TableVersamenti[[#This Row],[Pagato da cliente]]="PAGATO"))</f>
        <v>1</v>
      </c>
    </row>
    <row r="76" spans="1:20" ht="30" customHeight="1" x14ac:dyDescent="0.25">
      <c r="A76" s="60" t="str">
        <f>UPPER(LEFT(TableVersamenti[[#This Row],[Contraente]],1))</f>
        <v>Q</v>
      </c>
      <c r="B76" s="111" t="s">
        <v>167</v>
      </c>
      <c r="C76" s="68" t="s">
        <v>37</v>
      </c>
      <c r="D76" s="68">
        <v>103388875</v>
      </c>
      <c r="E76" s="69">
        <v>430</v>
      </c>
      <c r="F76" s="67" t="s">
        <v>44</v>
      </c>
      <c r="G76" s="64">
        <v>42930</v>
      </c>
      <c r="H76" s="64">
        <v>42933</v>
      </c>
      <c r="I76" s="70" t="s">
        <v>1639</v>
      </c>
      <c r="J76" s="70" t="s">
        <v>1639</v>
      </c>
      <c r="K76" s="70"/>
      <c r="L76" s="63" t="str">
        <f>IFERROR(VLOOKUP(TableVersamenti[[#This Row],[Contraente]],Table1[[Nome/Ragione sociale]:[Checkbox selezionato]],2,FALSE),"-")</f>
        <v>CORTEOLONA</v>
      </c>
      <c r="M76" s="63">
        <f>IFERROR(VLOOKUP(TableVersamenti[[#This Row],[Contraente]],Table1[[Nome/Ragione sociale]:[Checkbox selezionato]],3,FALSE),"-")</f>
        <v>3396557141</v>
      </c>
      <c r="N76" s="63" t="str">
        <f>IFERROR(VLOOKUP(TableVersamenti[[#This Row],[Contraente]],Table1[[Nome/Ragione sociale]:[Checkbox selezionato]],4,FALSE),"-")</f>
        <v>-</v>
      </c>
      <c r="O76" s="63" t="str">
        <f>IFERROR(VLOOKUP(TableVersamenti[[#This Row],[Contraente]],Table1[[Nome/Ragione sociale]:[Checkbox selezionato]],5,FALSE),"-")</f>
        <v>BENITO</v>
      </c>
      <c r="P76" s="63">
        <f>IFERROR(VLOOKUP(TableVersamenti[[#This Row],[Contraente]],Table1[[Nome/Ragione sociale]:[Checkbox selezionato]],6,FALSE),"-")</f>
        <v>25422</v>
      </c>
      <c r="Q76" s="62" t="str">
        <f>IFERROR(VLOOKUP(TableVersamenti[[#This Row],[Contraente]],Table1[[Nome/Ragione sociale]:[Checkbox selezionato]],7,FALSE),"-")</f>
        <v>papies@libero.it</v>
      </c>
      <c r="R76" s="63">
        <f>IFERROR(VLOOKUP(TableVersamenti[[#This Row],[Contraente]],Table1[[Nome/Ragione sociale]:[Checkbox selezionato]],8,FALSE),"-")</f>
        <v>0</v>
      </c>
      <c r="S76" s="63" t="str">
        <f>IFERROR(VLOOKUP(TableVersamenti[[#This Row],[Contraente]],Table1[[Nome/Ragione sociale]:[Checkbox selezionato]],9,FALSE),"-")</f>
        <v>Casa</v>
      </c>
      <c r="T76" s="63" t="b">
        <f>NOT(AND(TableVersamenti[[#This Row],[Stato versamento]]="EFFETTUATO",TableVersamenti[[#This Row],[Pagato da cliente]]="PAGATO"))</f>
        <v>1</v>
      </c>
    </row>
    <row r="77" spans="1:20" ht="30" customHeight="1" x14ac:dyDescent="0.25">
      <c r="A77" s="60" t="str">
        <f>UPPER(LEFT(TableVersamenti[[#This Row],[Contraente]],1))</f>
        <v>M</v>
      </c>
      <c r="B77" s="111" t="s">
        <v>796</v>
      </c>
      <c r="C77" s="68" t="s">
        <v>37</v>
      </c>
      <c r="D77" s="68">
        <v>106186212</v>
      </c>
      <c r="E77" s="69">
        <v>128</v>
      </c>
      <c r="F77" s="67" t="s">
        <v>45</v>
      </c>
      <c r="G77" s="64">
        <v>42930</v>
      </c>
      <c r="H77" s="64">
        <v>42933</v>
      </c>
      <c r="I77" s="70" t="s">
        <v>1639</v>
      </c>
      <c r="J77" s="70" t="s">
        <v>1639</v>
      </c>
      <c r="K77" s="70"/>
      <c r="L77" s="63" t="str">
        <f>IFERROR(VLOOKUP(TableVersamenti[[#This Row],[Contraente]],Table1[[Nome/Ragione sociale]:[Checkbox selezionato]],2,FALSE),"-")</f>
        <v>BELGIOIOSO</v>
      </c>
      <c r="M77" s="63">
        <f>IFERROR(VLOOKUP(TableVersamenti[[#This Row],[Contraente]],Table1[[Nome/Ragione sociale]:[Checkbox selezionato]],3,FALSE),"-")</f>
        <v>3317762704</v>
      </c>
      <c r="N77" s="63">
        <f>IFERROR(VLOOKUP(TableVersamenti[[#This Row],[Contraente]],Table1[[Nome/Ragione sociale]:[Checkbox selezionato]],4,FALSE),"-")</f>
        <v>0</v>
      </c>
      <c r="O77" s="63" t="str">
        <f>IFERROR(VLOOKUP(TableVersamenti[[#This Row],[Contraente]],Table1[[Nome/Ragione sociale]:[Checkbox selezionato]],5,FALSE),"-")</f>
        <v>OSCAR</v>
      </c>
      <c r="P77" s="63">
        <f>IFERROR(VLOOKUP(TableVersamenti[[#This Row],[Contraente]],Table1[[Nome/Ragione sociale]:[Checkbox selezionato]],6,FALSE),"-")</f>
        <v>31284</v>
      </c>
      <c r="Q77" s="62" t="str">
        <f>IFERROR(VLOOKUP(TableVersamenti[[#This Row],[Contraente]],Table1[[Nome/Ragione sociale]:[Checkbox selezionato]],7,FALSE),"-")</f>
        <v>papies@libero.it</v>
      </c>
      <c r="R77" s="63">
        <f>IFERROR(VLOOKUP(TableVersamenti[[#This Row],[Contraente]],Table1[[Nome/Ragione sociale]:[Checkbox selezionato]],8,FALSE),"-")</f>
        <v>0</v>
      </c>
      <c r="S77" s="63" t="str">
        <f>IFERROR(VLOOKUP(TableVersamenti[[#This Row],[Contraente]],Table1[[Nome/Ragione sociale]:[Checkbox selezionato]],9,FALSE),"-")</f>
        <v>Casa</v>
      </c>
      <c r="T77" s="63" t="b">
        <f>NOT(AND(TableVersamenti[[#This Row],[Stato versamento]]="EFFETTUATO",TableVersamenti[[#This Row],[Pagato da cliente]]="PAGATO"))</f>
        <v>1</v>
      </c>
    </row>
    <row r="78" spans="1:20" ht="30" hidden="1" customHeight="1" x14ac:dyDescent="0.25">
      <c r="A78" s="60" t="str">
        <f>UPPER(LEFT(TableVersamenti[[#This Row],[Contraente]],1))</f>
        <v>M</v>
      </c>
      <c r="B78" s="111" t="s">
        <v>144</v>
      </c>
      <c r="C78" s="68" t="s">
        <v>37</v>
      </c>
      <c r="D78" s="68">
        <v>107111134</v>
      </c>
      <c r="E78" s="69">
        <v>100</v>
      </c>
      <c r="F78" s="67" t="s">
        <v>43</v>
      </c>
      <c r="G78" s="64">
        <v>42930</v>
      </c>
      <c r="H78" s="64">
        <v>42933</v>
      </c>
      <c r="I78" s="70" t="s">
        <v>1640</v>
      </c>
      <c r="J78" s="70" t="s">
        <v>1639</v>
      </c>
      <c r="K78" s="70"/>
      <c r="L78" s="63" t="str">
        <f>IFERROR(VLOOKUP(TableVersamenti[[#This Row],[Contraente]],Table1[[Nome/Ragione sociale]:[Checkbox selezionato]],2,FALSE),"-")</f>
        <v>FILIGHERA</v>
      </c>
      <c r="M78" s="63">
        <f>IFERROR(VLOOKUP(TableVersamenti[[#This Row],[Contraente]],Table1[[Nome/Ragione sociale]:[Checkbox selezionato]],3,FALSE),"-")</f>
        <v>3355730106</v>
      </c>
      <c r="N78" s="63">
        <f>IFERROR(VLOOKUP(TableVersamenti[[#This Row],[Contraente]],Table1[[Nome/Ragione sociale]:[Checkbox selezionato]],4,FALSE),"-")</f>
        <v>0</v>
      </c>
      <c r="O78" s="63" t="str">
        <f>IFERROR(VLOOKUP(TableVersamenti[[#This Row],[Contraente]],Table1[[Nome/Ragione sociale]:[Checkbox selezionato]],5,FALSE),"-")</f>
        <v>SALVATORE</v>
      </c>
      <c r="P78" s="63">
        <f>IFERROR(VLOOKUP(TableVersamenti[[#This Row],[Contraente]],Table1[[Nome/Ragione sociale]:[Checkbox selezionato]],6,FALSE),"-")</f>
        <v>0</v>
      </c>
      <c r="Q78" s="62" t="str">
        <f>IFERROR(VLOOKUP(TableVersamenti[[#This Row],[Contraente]],Table1[[Nome/Ragione sociale]:[Checkbox selezionato]],7,FALSE),"-")</f>
        <v>papies@libero.it</v>
      </c>
      <c r="R78" s="63">
        <f>IFERROR(VLOOKUP(TableVersamenti[[#This Row],[Contraente]],Table1[[Nome/Ragione sociale]:[Checkbox selezionato]],8,FALSE),"-")</f>
        <v>0</v>
      </c>
      <c r="S78" s="63" t="str">
        <f>IFERROR(VLOOKUP(TableVersamenti[[#This Row],[Contraente]],Table1[[Nome/Ragione sociale]:[Checkbox selezionato]],9,FALSE),"-")</f>
        <v>Casa</v>
      </c>
      <c r="T78" s="63" t="b">
        <f>NOT(AND(TableVersamenti[[#This Row],[Stato versamento]]="EFFETTUATO",TableVersamenti[[#This Row],[Pagato da cliente]]="PAGATO"))</f>
        <v>1</v>
      </c>
    </row>
    <row r="79" spans="1:20" ht="30" hidden="1" customHeight="1" x14ac:dyDescent="0.25">
      <c r="A79" s="60" t="str">
        <f>UPPER(LEFT(TableVersamenti[[#This Row],[Contraente]],1))</f>
        <v>V</v>
      </c>
      <c r="B79" s="111" t="s">
        <v>1067</v>
      </c>
      <c r="C79" s="68" t="s">
        <v>37</v>
      </c>
      <c r="D79" s="68">
        <v>105844415</v>
      </c>
      <c r="E79" s="69">
        <v>262.35000000000002</v>
      </c>
      <c r="F79" s="67" t="s">
        <v>44</v>
      </c>
      <c r="G79" s="64">
        <v>42930</v>
      </c>
      <c r="H79" s="64">
        <v>42933</v>
      </c>
      <c r="I79" s="70" t="s">
        <v>1640</v>
      </c>
      <c r="J79" s="70" t="s">
        <v>1639</v>
      </c>
      <c r="K79" s="70"/>
      <c r="L79" s="63" t="str">
        <f>IFERROR(VLOOKUP(TableVersamenti[[#This Row],[Contraente]],Table1[[Nome/Ragione sociale]:[Checkbox selezionato]],2,FALSE),"-")</f>
        <v>BELGIOIOSO</v>
      </c>
      <c r="M79" s="63">
        <f>IFERROR(VLOOKUP(TableVersamenti[[#This Row],[Contraente]],Table1[[Nome/Ragione sociale]:[Checkbox selezionato]],3,FALSE),"-")</f>
        <v>3396302390</v>
      </c>
      <c r="N79" s="63">
        <f>IFERROR(VLOOKUP(TableVersamenti[[#This Row],[Contraente]],Table1[[Nome/Ragione sociale]:[Checkbox selezionato]],4,FALSE),"-")</f>
        <v>0</v>
      </c>
      <c r="O79" s="63" t="str">
        <f>IFERROR(VLOOKUP(TableVersamenti[[#This Row],[Contraente]],Table1[[Nome/Ragione sociale]:[Checkbox selezionato]],5,FALSE),"-")</f>
        <v>D'AMORE GIORGIO</v>
      </c>
      <c r="P79" s="63">
        <f>IFERROR(VLOOKUP(TableVersamenti[[#This Row],[Contraente]],Table1[[Nome/Ragione sociale]:[Checkbox selezionato]],6,FALSE),"-")</f>
        <v>20617</v>
      </c>
      <c r="Q79" s="62" t="str">
        <f>IFERROR(VLOOKUP(TableVersamenti[[#This Row],[Contraente]],Table1[[Nome/Ragione sociale]:[Checkbox selezionato]],7,FALSE),"-")</f>
        <v>papies@email.it</v>
      </c>
      <c r="R79" s="63">
        <f>IFERROR(VLOOKUP(TableVersamenti[[#This Row],[Contraente]],Table1[[Nome/Ragione sociale]:[Checkbox selezionato]],8,FALSE),"-")</f>
        <v>0</v>
      </c>
      <c r="S79" s="63" t="str">
        <f>IFERROR(VLOOKUP(TableVersamenti[[#This Row],[Contraente]],Table1[[Nome/Ragione sociale]:[Checkbox selezionato]],9,FALSE),"-")</f>
        <v>Casa</v>
      </c>
      <c r="T79" s="63" t="b">
        <f>NOT(AND(TableVersamenti[[#This Row],[Stato versamento]]="EFFETTUATO",TableVersamenti[[#This Row],[Pagato da cliente]]="PAGATO"))</f>
        <v>1</v>
      </c>
    </row>
    <row r="80" spans="1:20" ht="30" hidden="1" customHeight="1" x14ac:dyDescent="0.25">
      <c r="A80" s="60" t="str">
        <f>UPPER(LEFT(TableVersamenti[[#This Row],[Contraente]],1))</f>
        <v>B</v>
      </c>
      <c r="B80" s="111" t="s">
        <v>394</v>
      </c>
      <c r="C80" s="68" t="s">
        <v>37</v>
      </c>
      <c r="D80" s="68">
        <v>106395497</v>
      </c>
      <c r="E80" s="69">
        <v>502</v>
      </c>
      <c r="F80" s="67" t="s">
        <v>43</v>
      </c>
      <c r="G80" s="64">
        <v>42930</v>
      </c>
      <c r="H80" s="64">
        <v>42933</v>
      </c>
      <c r="I80" s="70" t="s">
        <v>1640</v>
      </c>
      <c r="J80" s="70" t="s">
        <v>1639</v>
      </c>
      <c r="K80" s="70"/>
      <c r="L80" s="63" t="str">
        <f>IFERROR(VLOOKUP(TableVersamenti[[#This Row],[Contraente]],Table1[[Nome/Ragione sociale]:[Checkbox selezionato]],2,FALSE),"-")</f>
        <v>VALLE SALIMBENE</v>
      </c>
      <c r="M80" s="63">
        <f>IFERROR(VLOOKUP(TableVersamenti[[#This Row],[Contraente]],Table1[[Nome/Ragione sociale]:[Checkbox selezionato]],3,FALSE),"-")</f>
        <v>3775081622</v>
      </c>
      <c r="N80" s="63" t="str">
        <f>IFERROR(VLOOKUP(TableVersamenti[[#This Row],[Contraente]],Table1[[Nome/Ragione sociale]:[Checkbox selezionato]],4,FALSE),"-")</f>
        <v>.0382.485053</v>
      </c>
      <c r="O80" s="63" t="str">
        <f>IFERROR(VLOOKUP(TableVersamenti[[#This Row],[Contraente]],Table1[[Nome/Ragione sociale]:[Checkbox selezionato]],5,FALSE),"-")</f>
        <v>GIUSEPPE</v>
      </c>
      <c r="P80" s="63">
        <f>IFERROR(VLOOKUP(TableVersamenti[[#This Row],[Contraente]],Table1[[Nome/Ragione sociale]:[Checkbox selezionato]],6,FALSE),"-")</f>
        <v>22646</v>
      </c>
      <c r="Q80" s="62" t="str">
        <f>IFERROR(VLOOKUP(TableVersamenti[[#This Row],[Contraente]],Table1[[Nome/Ragione sociale]:[Checkbox selezionato]],7,FALSE),"-")</f>
        <v>papies@email.it</v>
      </c>
      <c r="R80" s="63">
        <f>IFERROR(VLOOKUP(TableVersamenti[[#This Row],[Contraente]],Table1[[Nome/Ragione sociale]:[Checkbox selezionato]],8,FALSE),"-")</f>
        <v>0</v>
      </c>
      <c r="S80" s="63" t="str">
        <f>IFERROR(VLOOKUP(TableVersamenti[[#This Row],[Contraente]],Table1[[Nome/Ragione sociale]:[Checkbox selezionato]],9,FALSE),"-")</f>
        <v>Casa</v>
      </c>
      <c r="T80" s="63" t="b">
        <f>NOT(AND(TableVersamenti[[#This Row],[Stato versamento]]="EFFETTUATO",TableVersamenti[[#This Row],[Pagato da cliente]]="PAGATO"))</f>
        <v>1</v>
      </c>
    </row>
    <row r="81" spans="1:20" ht="30" hidden="1" customHeight="1" x14ac:dyDescent="0.25">
      <c r="A81" s="60" t="str">
        <f>UPPER(LEFT(TableVersamenti[[#This Row],[Contraente]],1))</f>
        <v>I</v>
      </c>
      <c r="B81" s="111" t="s">
        <v>1830</v>
      </c>
      <c r="C81" s="68" t="s">
        <v>37</v>
      </c>
      <c r="D81" s="68">
        <v>107037161</v>
      </c>
      <c r="E81" s="69">
        <v>382</v>
      </c>
      <c r="F81" s="67" t="s">
        <v>43</v>
      </c>
      <c r="G81" s="64">
        <v>42930</v>
      </c>
      <c r="H81" s="64">
        <v>42933</v>
      </c>
      <c r="I81" s="70" t="s">
        <v>1640</v>
      </c>
      <c r="J81" s="70" t="s">
        <v>1639</v>
      </c>
      <c r="K81" s="70"/>
      <c r="L81" s="63" t="str">
        <f>IFERROR(VLOOKUP(TableVersamenti[[#This Row],[Contraente]],Table1[[Nome/Ragione sociale]:[Checkbox selezionato]],2,FALSE),"-")</f>
        <v>PIEVE PORTO MORONE</v>
      </c>
      <c r="M81" s="63">
        <f>IFERROR(VLOOKUP(TableVersamenti[[#This Row],[Contraente]],Table1[[Nome/Ragione sociale]:[Checkbox selezionato]],3,FALSE),"-")</f>
        <v>0</v>
      </c>
      <c r="N81" s="63">
        <f>IFERROR(VLOOKUP(TableVersamenti[[#This Row],[Contraente]],Table1[[Nome/Ragione sociale]:[Checkbox selezionato]],4,FALSE),"-")</f>
        <v>0</v>
      </c>
      <c r="O81" s="63">
        <f>IFERROR(VLOOKUP(TableVersamenti[[#This Row],[Contraente]],Table1[[Nome/Ragione sociale]:[Checkbox selezionato]],5,FALSE),"-")</f>
        <v>0</v>
      </c>
      <c r="P81" s="63">
        <f>IFERROR(VLOOKUP(TableVersamenti[[#This Row],[Contraente]],Table1[[Nome/Ragione sociale]:[Checkbox selezionato]],6,FALSE),"-")</f>
        <v>0</v>
      </c>
      <c r="Q81" s="62" t="str">
        <f>IFERROR(VLOOKUP(TableVersamenti[[#This Row],[Contraente]],Table1[[Nome/Ragione sociale]:[Checkbox selezionato]],7,FALSE),"-")</f>
        <v>papies@libero.it</v>
      </c>
      <c r="R81" s="63">
        <f>IFERROR(VLOOKUP(TableVersamenti[[#This Row],[Contraente]],Table1[[Nome/Ragione sociale]:[Checkbox selezionato]],8,FALSE),"-")</f>
        <v>0</v>
      </c>
      <c r="S81" s="63" t="str">
        <f>IFERROR(VLOOKUP(TableVersamenti[[#This Row],[Contraente]],Table1[[Nome/Ragione sociale]:[Checkbox selezionato]],9,FALSE),"-")</f>
        <v>Casa</v>
      </c>
      <c r="T81" s="63" t="b">
        <f>NOT(AND(TableVersamenti[[#This Row],[Stato versamento]]="EFFETTUATO",TableVersamenti[[#This Row],[Pagato da cliente]]="PAGATO"))</f>
        <v>1</v>
      </c>
    </row>
    <row r="82" spans="1:20" ht="30" hidden="1" customHeight="1" x14ac:dyDescent="0.25">
      <c r="A82" s="60" t="str">
        <f>UPPER(LEFT(TableVersamenti[[#This Row],[Contraente]],1))</f>
        <v>M</v>
      </c>
      <c r="B82" s="111" t="s">
        <v>1827</v>
      </c>
      <c r="C82" s="68" t="s">
        <v>37</v>
      </c>
      <c r="D82" s="68">
        <v>107037125</v>
      </c>
      <c r="E82" s="69">
        <v>625</v>
      </c>
      <c r="F82" s="67" t="s">
        <v>44</v>
      </c>
      <c r="G82" s="64">
        <v>42930</v>
      </c>
      <c r="H82" s="64">
        <v>42933</v>
      </c>
      <c r="I82" s="70" t="s">
        <v>1640</v>
      </c>
      <c r="J82" s="70" t="s">
        <v>1849</v>
      </c>
      <c r="K82" s="70"/>
      <c r="L82" s="63" t="str">
        <f>IFERROR(VLOOKUP(TableVersamenti[[#This Row],[Contraente]],Table1[[Nome/Ragione sociale]:[Checkbox selezionato]],2,FALSE),"-")</f>
        <v>CHIGNOLO PO</v>
      </c>
      <c r="M82" s="63">
        <f>IFERROR(VLOOKUP(TableVersamenti[[#This Row],[Contraente]],Table1[[Nome/Ragione sociale]:[Checkbox selezionato]],3,FALSE),"-")</f>
        <v>0</v>
      </c>
      <c r="N82" s="63">
        <f>IFERROR(VLOOKUP(TableVersamenti[[#This Row],[Contraente]],Table1[[Nome/Ragione sociale]:[Checkbox selezionato]],4,FALSE),"-")</f>
        <v>0</v>
      </c>
      <c r="O82" s="63">
        <f>IFERROR(VLOOKUP(TableVersamenti[[#This Row],[Contraente]],Table1[[Nome/Ragione sociale]:[Checkbox selezionato]],5,FALSE),"-")</f>
        <v>0</v>
      </c>
      <c r="P82" s="63">
        <f>IFERROR(VLOOKUP(TableVersamenti[[#This Row],[Contraente]],Table1[[Nome/Ragione sociale]:[Checkbox selezionato]],6,FALSE),"-")</f>
        <v>0</v>
      </c>
      <c r="Q82" s="62" t="str">
        <f>IFERROR(VLOOKUP(TableVersamenti[[#This Row],[Contraente]],Table1[[Nome/Ragione sociale]:[Checkbox selezionato]],7,FALSE),"-")</f>
        <v>papies@libero.it</v>
      </c>
      <c r="R82" s="63">
        <f>IFERROR(VLOOKUP(TableVersamenti[[#This Row],[Contraente]],Table1[[Nome/Ragione sociale]:[Checkbox selezionato]],8,FALSE),"-")</f>
        <v>0</v>
      </c>
      <c r="S82" s="63" t="str">
        <f>IFERROR(VLOOKUP(TableVersamenti[[#This Row],[Contraente]],Table1[[Nome/Ragione sociale]:[Checkbox selezionato]],9,FALSE),"-")</f>
        <v>Casa</v>
      </c>
      <c r="T82" s="63" t="b">
        <f>NOT(AND(TableVersamenti[[#This Row],[Stato versamento]]="EFFETTUATO",TableVersamenti[[#This Row],[Pagato da cliente]]="PAGATO"))</f>
        <v>0</v>
      </c>
    </row>
    <row r="83" spans="1:20" ht="30" hidden="1" customHeight="1" x14ac:dyDescent="0.25">
      <c r="A83" s="60" t="str">
        <f>UPPER(LEFT(TableVersamenti[[#This Row],[Contraente]],1))</f>
        <v>M</v>
      </c>
      <c r="B83" s="111" t="s">
        <v>1828</v>
      </c>
      <c r="C83" s="68" t="s">
        <v>37</v>
      </c>
      <c r="D83" s="68">
        <v>105184945</v>
      </c>
      <c r="E83" s="69">
        <v>157.46</v>
      </c>
      <c r="F83" s="67" t="s">
        <v>43</v>
      </c>
      <c r="G83" s="64">
        <v>42930</v>
      </c>
      <c r="H83" s="64">
        <v>42933</v>
      </c>
      <c r="I83" s="70" t="s">
        <v>1640</v>
      </c>
      <c r="J83" s="70" t="s">
        <v>1849</v>
      </c>
      <c r="K83" s="70"/>
      <c r="L83" s="63" t="str">
        <f>IFERROR(VLOOKUP(TableVersamenti[[#This Row],[Contraente]],Table1[[Nome/Ragione sociale]:[Checkbox selezionato]],2,FALSE),"-")</f>
        <v>MONTICELLI PAVESE</v>
      </c>
      <c r="M83" s="63">
        <f>IFERROR(VLOOKUP(TableVersamenti[[#This Row],[Contraente]],Table1[[Nome/Ragione sociale]:[Checkbox selezionato]],3,FALSE),"-")</f>
        <v>0</v>
      </c>
      <c r="N83" s="63">
        <f>IFERROR(VLOOKUP(TableVersamenti[[#This Row],[Contraente]],Table1[[Nome/Ragione sociale]:[Checkbox selezionato]],4,FALSE),"-")</f>
        <v>0</v>
      </c>
      <c r="O83" s="63">
        <f>IFERROR(VLOOKUP(TableVersamenti[[#This Row],[Contraente]],Table1[[Nome/Ragione sociale]:[Checkbox selezionato]],5,FALSE),"-")</f>
        <v>0</v>
      </c>
      <c r="P83" s="63">
        <f>IFERROR(VLOOKUP(TableVersamenti[[#This Row],[Contraente]],Table1[[Nome/Ragione sociale]:[Checkbox selezionato]],6,FALSE),"-")</f>
        <v>0</v>
      </c>
      <c r="Q83" s="62" t="str">
        <f>IFERROR(VLOOKUP(TableVersamenti[[#This Row],[Contraente]],Table1[[Nome/Ragione sociale]:[Checkbox selezionato]],7,FALSE),"-")</f>
        <v>papies@libero.it</v>
      </c>
      <c r="R83" s="63">
        <f>IFERROR(VLOOKUP(TableVersamenti[[#This Row],[Contraente]],Table1[[Nome/Ragione sociale]:[Checkbox selezionato]],8,FALSE),"-")</f>
        <v>0</v>
      </c>
      <c r="S83" s="63" t="str">
        <f>IFERROR(VLOOKUP(TableVersamenti[[#This Row],[Contraente]],Table1[[Nome/Ragione sociale]:[Checkbox selezionato]],9,FALSE),"-")</f>
        <v>Casa</v>
      </c>
      <c r="T83" s="63" t="b">
        <f>NOT(AND(TableVersamenti[[#This Row],[Stato versamento]]="EFFETTUATO",TableVersamenti[[#This Row],[Pagato da cliente]]="PAGATO"))</f>
        <v>0</v>
      </c>
    </row>
    <row r="84" spans="1:20" ht="30" hidden="1" customHeight="1" x14ac:dyDescent="0.25">
      <c r="A84" s="60" t="str">
        <f>UPPER(LEFT(TableVersamenti[[#This Row],[Contraente]],1))</f>
        <v>D</v>
      </c>
      <c r="B84" s="111" t="s">
        <v>119</v>
      </c>
      <c r="C84" s="68" t="s">
        <v>37</v>
      </c>
      <c r="D84" s="68">
        <v>105425970</v>
      </c>
      <c r="E84" s="69">
        <v>226</v>
      </c>
      <c r="F84" s="67" t="s">
        <v>43</v>
      </c>
      <c r="G84" s="64">
        <v>42930</v>
      </c>
      <c r="H84" s="64">
        <v>42933</v>
      </c>
      <c r="I84" s="70" t="s">
        <v>1640</v>
      </c>
      <c r="J84" s="70" t="s">
        <v>1849</v>
      </c>
      <c r="K84" s="70"/>
      <c r="L84" s="63" t="str">
        <f>IFERROR(VLOOKUP(TableVersamenti[[#This Row],[Contraente]],Table1[[Nome/Ragione sociale]:[Checkbox selezionato]],2,FALSE),"-")</f>
        <v>TORRE DE' NEGRI</v>
      </c>
      <c r="M84" s="63">
        <f>IFERROR(VLOOKUP(TableVersamenti[[#This Row],[Contraente]],Table1[[Nome/Ragione sociale]:[Checkbox selezionato]],3,FALSE),"-")</f>
        <v>3480566652</v>
      </c>
      <c r="N84" s="63">
        <f>IFERROR(VLOOKUP(TableVersamenti[[#This Row],[Contraente]],Table1[[Nome/Ragione sociale]:[Checkbox selezionato]],4,FALSE),"-")</f>
        <v>0</v>
      </c>
      <c r="O84" s="63" t="str">
        <f>IFERROR(VLOOKUP(TableVersamenti[[#This Row],[Contraente]],Table1[[Nome/Ragione sociale]:[Checkbox selezionato]],5,FALSE),"-")</f>
        <v>LUSSIENA</v>
      </c>
      <c r="P84" s="63">
        <f>IFERROR(VLOOKUP(TableVersamenti[[#This Row],[Contraente]],Table1[[Nome/Ragione sociale]:[Checkbox selezionato]],6,FALSE),"-")</f>
        <v>27399</v>
      </c>
      <c r="Q84" s="62" t="str">
        <f>IFERROR(VLOOKUP(TableVersamenti[[#This Row],[Contraente]],Table1[[Nome/Ragione sociale]:[Checkbox selezionato]],7,FALSE),"-")</f>
        <v>papies@libero.it</v>
      </c>
      <c r="R84" s="63">
        <f>IFERROR(VLOOKUP(TableVersamenti[[#This Row],[Contraente]],Table1[[Nome/Ragione sociale]:[Checkbox selezionato]],8,FALSE),"-")</f>
        <v>0</v>
      </c>
      <c r="S84" s="63" t="str">
        <f>IFERROR(VLOOKUP(TableVersamenti[[#This Row],[Contraente]],Table1[[Nome/Ragione sociale]:[Checkbox selezionato]],9,FALSE),"-")</f>
        <v>Casa</v>
      </c>
      <c r="T84" s="63" t="b">
        <f>NOT(AND(TableVersamenti[[#This Row],[Stato versamento]]="EFFETTUATO",TableVersamenti[[#This Row],[Pagato da cliente]]="PAGATO"))</f>
        <v>0</v>
      </c>
    </row>
    <row r="85" spans="1:20" ht="30" hidden="1" customHeight="1" x14ac:dyDescent="0.25">
      <c r="A85" s="60" t="str">
        <f>UPPER(LEFT(TableVersamenti[[#This Row],[Contraente]],1))</f>
        <v>D</v>
      </c>
      <c r="B85" s="111" t="s">
        <v>592</v>
      </c>
      <c r="C85" s="68" t="s">
        <v>37</v>
      </c>
      <c r="D85" s="68">
        <v>106465563</v>
      </c>
      <c r="E85" s="69">
        <v>270</v>
      </c>
      <c r="F85" s="67" t="s">
        <v>43</v>
      </c>
      <c r="G85" s="64">
        <v>42933</v>
      </c>
      <c r="H85" s="64">
        <v>42936</v>
      </c>
      <c r="I85" s="70" t="s">
        <v>1640</v>
      </c>
      <c r="J85" s="70" t="s">
        <v>1849</v>
      </c>
      <c r="K85" s="70"/>
      <c r="L85" s="63" t="str">
        <f>IFERROR(VLOOKUP(TableVersamenti[[#This Row],[Contraente]],Table1[[Nome/Ragione sociale]:[Checkbox selezionato]],2,FALSE),"-")</f>
        <v>CURA CARPIGNANO</v>
      </c>
      <c r="M85" s="63">
        <f>IFERROR(VLOOKUP(TableVersamenti[[#This Row],[Contraente]],Table1[[Nome/Ragione sociale]:[Checkbox selezionato]],3,FALSE),"-")</f>
        <v>3496041467</v>
      </c>
      <c r="N85" s="63" t="str">
        <f>IFERROR(VLOOKUP(TableVersamenti[[#This Row],[Contraente]],Table1[[Nome/Ragione sociale]:[Checkbox selezionato]],4,FALSE),"-")</f>
        <v>.0382583181</v>
      </c>
      <c r="O85" s="63" t="str">
        <f>IFERROR(VLOOKUP(TableVersamenti[[#This Row],[Contraente]],Table1[[Nome/Ragione sociale]:[Checkbox selezionato]],5,FALSE),"-")</f>
        <v>MARIO</v>
      </c>
      <c r="P85" s="63">
        <f>IFERROR(VLOOKUP(TableVersamenti[[#This Row],[Contraente]],Table1[[Nome/Ragione sociale]:[Checkbox selezionato]],6,FALSE),"-")</f>
        <v>22905</v>
      </c>
      <c r="Q85" s="62" t="str">
        <f>IFERROR(VLOOKUP(TableVersamenti[[#This Row],[Contraente]],Table1[[Nome/Ragione sociale]:[Checkbox selezionato]],7,FALSE),"-")</f>
        <v>papies@libero.it</v>
      </c>
      <c r="R85" s="63">
        <f>IFERROR(VLOOKUP(TableVersamenti[[#This Row],[Contraente]],Table1[[Nome/Ragione sociale]:[Checkbox selezionato]],8,FALSE),"-")</f>
        <v>0</v>
      </c>
      <c r="S85" s="63" t="str">
        <f>IFERROR(VLOOKUP(TableVersamenti[[#This Row],[Contraente]],Table1[[Nome/Ragione sociale]:[Checkbox selezionato]],9,FALSE),"-")</f>
        <v>Casa</v>
      </c>
      <c r="T85" s="63" t="b">
        <f>NOT(AND(TableVersamenti[[#This Row],[Stato versamento]]="EFFETTUATO",TableVersamenti[[#This Row],[Pagato da cliente]]="PAGATO"))</f>
        <v>0</v>
      </c>
    </row>
    <row r="86" spans="1:20" ht="30" hidden="1" customHeight="1" x14ac:dyDescent="0.25">
      <c r="A86" s="60" t="str">
        <f>UPPER(LEFT(TableVersamenti[[#This Row],[Contraente]],1))</f>
        <v>A</v>
      </c>
      <c r="B86" s="111" t="s">
        <v>221</v>
      </c>
      <c r="C86" s="68" t="s">
        <v>37</v>
      </c>
      <c r="D86" s="68">
        <v>107014148</v>
      </c>
      <c r="E86" s="69">
        <v>54</v>
      </c>
      <c r="F86" s="67" t="s">
        <v>43</v>
      </c>
      <c r="G86" s="64">
        <v>42933</v>
      </c>
      <c r="H86" s="64">
        <v>42936</v>
      </c>
      <c r="I86" s="70" t="s">
        <v>1640</v>
      </c>
      <c r="J86" s="70" t="s">
        <v>1849</v>
      </c>
      <c r="K86" s="70"/>
      <c r="L86" s="63" t="str">
        <f>IFERROR(VLOOKUP(TableVersamenti[[#This Row],[Contraente]],Table1[[Nome/Ragione sociale]:[Checkbox selezionato]],2,FALSE),"-")</f>
        <v>SAN MARTINO SICCOMARIO</v>
      </c>
      <c r="M86" s="63">
        <f>IFERROR(VLOOKUP(TableVersamenti[[#This Row],[Contraente]],Table1[[Nome/Ragione sociale]:[Checkbox selezionato]],3,FALSE),"-")</f>
        <v>3899613291</v>
      </c>
      <c r="N86" s="63">
        <f>IFERROR(VLOOKUP(TableVersamenti[[#This Row],[Contraente]],Table1[[Nome/Ragione sociale]:[Checkbox selezionato]],4,FALSE),"-")</f>
        <v>3898826997</v>
      </c>
      <c r="O86" s="63" t="str">
        <f>IFERROR(VLOOKUP(TableVersamenti[[#This Row],[Contraente]],Table1[[Nome/Ragione sociale]:[Checkbox selezionato]],5,FALSE),"-")</f>
        <v>ALAIMO FIGLIO</v>
      </c>
      <c r="P86" s="63">
        <f>IFERROR(VLOOKUP(TableVersamenti[[#This Row],[Contraente]],Table1[[Nome/Ragione sociale]:[Checkbox selezionato]],6,FALSE),"-")</f>
        <v>17608</v>
      </c>
      <c r="Q86" s="62" t="str">
        <f>IFERROR(VLOOKUP(TableVersamenti[[#This Row],[Contraente]],Table1[[Nome/Ragione sociale]:[Checkbox selezionato]],7,FALSE),"-")</f>
        <v>papies@email.it</v>
      </c>
      <c r="R86" s="63">
        <f>IFERROR(VLOOKUP(TableVersamenti[[#This Row],[Contraente]],Table1[[Nome/Ragione sociale]:[Checkbox selezionato]],8,FALSE),"-")</f>
        <v>0</v>
      </c>
      <c r="S86" s="63" t="str">
        <f>IFERROR(VLOOKUP(TableVersamenti[[#This Row],[Contraente]],Table1[[Nome/Ragione sociale]:[Checkbox selezionato]],9,FALSE),"-")</f>
        <v>Casa</v>
      </c>
      <c r="T86" s="63" t="b">
        <f>NOT(AND(TableVersamenti[[#This Row],[Stato versamento]]="EFFETTUATO",TableVersamenti[[#This Row],[Pagato da cliente]]="PAGATO"))</f>
        <v>0</v>
      </c>
    </row>
    <row r="87" spans="1:20" ht="30" hidden="1" customHeight="1" x14ac:dyDescent="0.25">
      <c r="A87" s="60" t="str">
        <f>UPPER(LEFT(TableVersamenti[[#This Row],[Contraente]],1))</f>
        <v>A</v>
      </c>
      <c r="B87" s="111" t="s">
        <v>221</v>
      </c>
      <c r="C87" s="68" t="s">
        <v>37</v>
      </c>
      <c r="D87" s="68">
        <v>107014119</v>
      </c>
      <c r="E87" s="69">
        <v>200</v>
      </c>
      <c r="F87" s="67" t="s">
        <v>43</v>
      </c>
      <c r="G87" s="64">
        <v>42933</v>
      </c>
      <c r="H87" s="64">
        <v>42936</v>
      </c>
      <c r="I87" s="70" t="s">
        <v>1640</v>
      </c>
      <c r="J87" s="70" t="s">
        <v>1849</v>
      </c>
      <c r="K87" s="70"/>
      <c r="L87" s="63" t="str">
        <f>IFERROR(VLOOKUP(TableVersamenti[[#This Row],[Contraente]],Table1[[Nome/Ragione sociale]:[Checkbox selezionato]],2,FALSE),"-")</f>
        <v>SAN MARTINO SICCOMARIO</v>
      </c>
      <c r="M87" s="63">
        <f>IFERROR(VLOOKUP(TableVersamenti[[#This Row],[Contraente]],Table1[[Nome/Ragione sociale]:[Checkbox selezionato]],3,FALSE),"-")</f>
        <v>3899613291</v>
      </c>
      <c r="N87" s="63">
        <f>IFERROR(VLOOKUP(TableVersamenti[[#This Row],[Contraente]],Table1[[Nome/Ragione sociale]:[Checkbox selezionato]],4,FALSE),"-")</f>
        <v>3898826997</v>
      </c>
      <c r="O87" s="63" t="str">
        <f>IFERROR(VLOOKUP(TableVersamenti[[#This Row],[Contraente]],Table1[[Nome/Ragione sociale]:[Checkbox selezionato]],5,FALSE),"-")</f>
        <v>ALAIMO FIGLIO</v>
      </c>
      <c r="P87" s="63">
        <f>IFERROR(VLOOKUP(TableVersamenti[[#This Row],[Contraente]],Table1[[Nome/Ragione sociale]:[Checkbox selezionato]],6,FALSE),"-")</f>
        <v>17608</v>
      </c>
      <c r="Q87" s="62" t="str">
        <f>IFERROR(VLOOKUP(TableVersamenti[[#This Row],[Contraente]],Table1[[Nome/Ragione sociale]:[Checkbox selezionato]],7,FALSE),"-")</f>
        <v>papies@email.it</v>
      </c>
      <c r="R87" s="63">
        <f>IFERROR(VLOOKUP(TableVersamenti[[#This Row],[Contraente]],Table1[[Nome/Ragione sociale]:[Checkbox selezionato]],8,FALSE),"-")</f>
        <v>0</v>
      </c>
      <c r="S87" s="63" t="str">
        <f>IFERROR(VLOOKUP(TableVersamenti[[#This Row],[Contraente]],Table1[[Nome/Ragione sociale]:[Checkbox selezionato]],9,FALSE),"-")</f>
        <v>Casa</v>
      </c>
      <c r="T87" s="63" t="b">
        <f>NOT(AND(TableVersamenti[[#This Row],[Stato versamento]]="EFFETTUATO",TableVersamenti[[#This Row],[Pagato da cliente]]="PAGATO"))</f>
        <v>0</v>
      </c>
    </row>
    <row r="88" spans="1:20" ht="30" hidden="1" customHeight="1" x14ac:dyDescent="0.25">
      <c r="A88" s="60" t="str">
        <f>UPPER(LEFT(TableVersamenti[[#This Row],[Contraente]],1))</f>
        <v>B</v>
      </c>
      <c r="B88" s="111" t="s">
        <v>375</v>
      </c>
      <c r="C88" s="68" t="s">
        <v>37</v>
      </c>
      <c r="D88" s="68">
        <v>1071120315</v>
      </c>
      <c r="E88" s="69">
        <v>480</v>
      </c>
      <c r="F88" s="67" t="s">
        <v>43</v>
      </c>
      <c r="G88" s="64">
        <v>42933</v>
      </c>
      <c r="H88" s="64">
        <v>42936</v>
      </c>
      <c r="I88" s="70" t="s">
        <v>1640</v>
      </c>
      <c r="J88" s="70" t="s">
        <v>1849</v>
      </c>
      <c r="K88" s="70"/>
      <c r="L88" s="63" t="str">
        <f>IFERROR(VLOOKUP(TableVersamenti[[#This Row],[Contraente]],Table1[[Nome/Ragione sociale]:[Checkbox selezionato]],2,FALSE),"-")</f>
        <v>CASTEL SAN GIOVANNI</v>
      </c>
      <c r="M88" s="63">
        <f>IFERROR(VLOOKUP(TableVersamenti[[#This Row],[Contraente]],Table1[[Nome/Ragione sociale]:[Checkbox selezionato]],3,FALSE),"-")</f>
        <v>0</v>
      </c>
      <c r="N88" s="63">
        <f>IFERROR(VLOOKUP(TableVersamenti[[#This Row],[Contraente]],Table1[[Nome/Ragione sociale]:[Checkbox selezionato]],4,FALSE),"-")</f>
        <v>0</v>
      </c>
      <c r="O88" s="63" t="str">
        <f>IFERROR(VLOOKUP(TableVersamenti[[#This Row],[Contraente]],Table1[[Nome/Ragione sociale]:[Checkbox selezionato]],5,FALSE),"-")</f>
        <v>GHEROGHE</v>
      </c>
      <c r="P88" s="63">
        <f>IFERROR(VLOOKUP(TableVersamenti[[#This Row],[Contraente]],Table1[[Nome/Ragione sociale]:[Checkbox selezionato]],6,FALSE),"-")</f>
        <v>28930</v>
      </c>
      <c r="Q88" s="62" t="str">
        <f>IFERROR(VLOOKUP(TableVersamenti[[#This Row],[Contraente]],Table1[[Nome/Ragione sociale]:[Checkbox selezionato]],7,FALSE),"-")</f>
        <v>papies@libero.it</v>
      </c>
      <c r="R88" s="63">
        <f>IFERROR(VLOOKUP(TableVersamenti[[#This Row],[Contraente]],Table1[[Nome/Ragione sociale]:[Checkbox selezionato]],8,FALSE),"-")</f>
        <v>0</v>
      </c>
      <c r="S88" s="63" t="str">
        <f>IFERROR(VLOOKUP(TableVersamenti[[#This Row],[Contraente]],Table1[[Nome/Ragione sociale]:[Checkbox selezionato]],9,FALSE),"-")</f>
        <v>Casa</v>
      </c>
      <c r="T88" s="63" t="b">
        <f>NOT(AND(TableVersamenti[[#This Row],[Stato versamento]]="EFFETTUATO",TableVersamenti[[#This Row],[Pagato da cliente]]="PAGATO"))</f>
        <v>0</v>
      </c>
    </row>
    <row r="89" spans="1:20" ht="30" hidden="1" customHeight="1" x14ac:dyDescent="0.25">
      <c r="A89" s="60" t="str">
        <f>UPPER(LEFT(TableVersamenti[[#This Row],[Contraente]],1))</f>
        <v>C</v>
      </c>
      <c r="B89" s="111" t="s">
        <v>548</v>
      </c>
      <c r="C89" s="68" t="s">
        <v>37</v>
      </c>
      <c r="D89" s="68">
        <v>105903553</v>
      </c>
      <c r="E89" s="69">
        <v>770</v>
      </c>
      <c r="F89" s="67" t="s">
        <v>45</v>
      </c>
      <c r="G89" s="64">
        <v>42933</v>
      </c>
      <c r="H89" s="64">
        <v>42936</v>
      </c>
      <c r="I89" s="70" t="s">
        <v>1640</v>
      </c>
      <c r="J89" s="70" t="s">
        <v>1849</v>
      </c>
      <c r="K89" s="70"/>
      <c r="L89" s="63">
        <f>IFERROR(VLOOKUP(TableVersamenti[[#This Row],[Contraente]],Table1[[Nome/Ragione sociale]:[Checkbox selezionato]],2,FALSE),"-")</f>
        <v>0</v>
      </c>
      <c r="M89" s="63">
        <f>IFERROR(VLOOKUP(TableVersamenti[[#This Row],[Contraente]],Table1[[Nome/Ragione sociale]:[Checkbox selezionato]],3,FALSE),"-")</f>
        <v>0</v>
      </c>
      <c r="N89" s="63">
        <f>IFERROR(VLOOKUP(TableVersamenti[[#This Row],[Contraente]],Table1[[Nome/Ragione sociale]:[Checkbox selezionato]],4,FALSE),"-")</f>
        <v>0</v>
      </c>
      <c r="O89" s="63" t="str">
        <f>IFERROR(VLOOKUP(TableVersamenti[[#This Row],[Contraente]],Table1[[Nome/Ragione sociale]:[Checkbox selezionato]],5,FALSE),"-")</f>
        <v>VALLE</v>
      </c>
      <c r="P89" s="63" t="str">
        <f>IFERROR(VLOOKUP(TableVersamenti[[#This Row],[Contraente]],Table1[[Nome/Ragione sociale]:[Checkbox selezionato]],6,FALSE),"-")</f>
        <v>-</v>
      </c>
      <c r="Q89" s="62" t="str">
        <f>IFERROR(VLOOKUP(TableVersamenti[[#This Row],[Contraente]],Table1[[Nome/Ragione sociale]:[Checkbox selezionato]],7,FALSE),"-")</f>
        <v>papies@libero.it</v>
      </c>
      <c r="R89" s="63">
        <f>IFERROR(VLOOKUP(TableVersamenti[[#This Row],[Contraente]],Table1[[Nome/Ragione sociale]:[Checkbox selezionato]],8,FALSE),"-")</f>
        <v>0</v>
      </c>
      <c r="S89" s="63" t="str">
        <f>IFERROR(VLOOKUP(TableVersamenti[[#This Row],[Contraente]],Table1[[Nome/Ragione sociale]:[Checkbox selezionato]],9,FALSE),"-")</f>
        <v>Casa</v>
      </c>
      <c r="T89" s="63" t="b">
        <f>NOT(AND(TableVersamenti[[#This Row],[Stato versamento]]="EFFETTUATO",TableVersamenti[[#This Row],[Pagato da cliente]]="PAGATO"))</f>
        <v>0</v>
      </c>
    </row>
    <row r="90" spans="1:20" ht="30" hidden="1" customHeight="1" x14ac:dyDescent="0.25">
      <c r="A90" s="60" t="str">
        <f>UPPER(LEFT(TableVersamenti[[#This Row],[Contraente]],1))</f>
        <v>C</v>
      </c>
      <c r="B90" s="111" t="s">
        <v>547</v>
      </c>
      <c r="C90" s="68" t="s">
        <v>37</v>
      </c>
      <c r="D90" s="68">
        <v>105900569</v>
      </c>
      <c r="E90" s="69">
        <v>770</v>
      </c>
      <c r="F90" s="67" t="s">
        <v>45</v>
      </c>
      <c r="G90" s="64">
        <v>42933</v>
      </c>
      <c r="H90" s="64">
        <v>42936</v>
      </c>
      <c r="I90" s="70" t="s">
        <v>1640</v>
      </c>
      <c r="J90" s="70" t="s">
        <v>1849</v>
      </c>
      <c r="K90" s="70"/>
      <c r="L90" s="63">
        <f>IFERROR(VLOOKUP(TableVersamenti[[#This Row],[Contraente]],Table1[[Nome/Ragione sociale]:[Checkbox selezionato]],2,FALSE),"-")</f>
        <v>0</v>
      </c>
      <c r="M90" s="63">
        <f>IFERROR(VLOOKUP(TableVersamenti[[#This Row],[Contraente]],Table1[[Nome/Ragione sociale]:[Checkbox selezionato]],3,FALSE),"-")</f>
        <v>0</v>
      </c>
      <c r="N90" s="63">
        <f>IFERROR(VLOOKUP(TableVersamenti[[#This Row],[Contraente]],Table1[[Nome/Ragione sociale]:[Checkbox selezionato]],4,FALSE),"-")</f>
        <v>0</v>
      </c>
      <c r="O90" s="63" t="str">
        <f>IFERROR(VLOOKUP(TableVersamenti[[#This Row],[Contraente]],Table1[[Nome/Ragione sociale]:[Checkbox selezionato]],5,FALSE),"-")</f>
        <v>VALLE</v>
      </c>
      <c r="P90" s="63" t="str">
        <f>IFERROR(VLOOKUP(TableVersamenti[[#This Row],[Contraente]],Table1[[Nome/Ragione sociale]:[Checkbox selezionato]],6,FALSE),"-")</f>
        <v>-</v>
      </c>
      <c r="Q90" s="62" t="str">
        <f>IFERROR(VLOOKUP(TableVersamenti[[#This Row],[Contraente]],Table1[[Nome/Ragione sociale]:[Checkbox selezionato]],7,FALSE),"-")</f>
        <v>papies@email.it</v>
      </c>
      <c r="R90" s="63">
        <f>IFERROR(VLOOKUP(TableVersamenti[[#This Row],[Contraente]],Table1[[Nome/Ragione sociale]:[Checkbox selezionato]],8,FALSE),"-")</f>
        <v>0</v>
      </c>
      <c r="S90" s="63" t="str">
        <f>IFERROR(VLOOKUP(TableVersamenti[[#This Row],[Contraente]],Table1[[Nome/Ragione sociale]:[Checkbox selezionato]],9,FALSE),"-")</f>
        <v>Casa</v>
      </c>
      <c r="T90" s="63" t="b">
        <f>NOT(AND(TableVersamenti[[#This Row],[Stato versamento]]="EFFETTUATO",TableVersamenti[[#This Row],[Pagato da cliente]]="PAGATO"))</f>
        <v>0</v>
      </c>
    </row>
    <row r="91" spans="1:20" ht="30" hidden="1" customHeight="1" x14ac:dyDescent="0.25">
      <c r="A91" s="60" t="str">
        <f>UPPER(LEFT(TableVersamenti[[#This Row],[Contraente]],1))</f>
        <v>M</v>
      </c>
      <c r="B91" s="111" t="s">
        <v>840</v>
      </c>
      <c r="C91" s="68" t="s">
        <v>37</v>
      </c>
      <c r="D91" s="68">
        <v>106414752</v>
      </c>
      <c r="E91" s="69">
        <v>250</v>
      </c>
      <c r="F91" s="67" t="s">
        <v>43</v>
      </c>
      <c r="G91" s="64">
        <v>42933</v>
      </c>
      <c r="H91" s="64">
        <v>42936</v>
      </c>
      <c r="I91" s="70" t="s">
        <v>1640</v>
      </c>
      <c r="J91" s="70" t="s">
        <v>1849</v>
      </c>
      <c r="K91" s="70"/>
      <c r="L91" s="63" t="str">
        <f>IFERROR(VLOOKUP(TableVersamenti[[#This Row],[Contraente]],Table1[[Nome/Ragione sociale]:[Checkbox selezionato]],2,FALSE),"-")</f>
        <v>BELGIOIOSO</v>
      </c>
      <c r="M91" s="63">
        <f>IFERROR(VLOOKUP(TableVersamenti[[#This Row],[Contraente]],Table1[[Nome/Ragione sociale]:[Checkbox selezionato]],3,FALSE),"-")</f>
        <v>3200526004</v>
      </c>
      <c r="N91" s="63">
        <f>IFERROR(VLOOKUP(TableVersamenti[[#This Row],[Contraente]],Table1[[Nome/Ragione sociale]:[Checkbox selezionato]],4,FALSE),"-")</f>
        <v>0</v>
      </c>
      <c r="O91" s="63" t="str">
        <f>IFERROR(VLOOKUP(TableVersamenti[[#This Row],[Contraente]],Table1[[Nome/Ragione sociale]:[Checkbox selezionato]],5,FALSE),"-")</f>
        <v>KLODIAN</v>
      </c>
      <c r="P91" s="63">
        <f>IFERROR(VLOOKUP(TableVersamenti[[#This Row],[Contraente]],Table1[[Nome/Ragione sociale]:[Checkbox selezionato]],6,FALSE),"-")</f>
        <v>28295</v>
      </c>
      <c r="Q91" s="62" t="str">
        <f>IFERROR(VLOOKUP(TableVersamenti[[#This Row],[Contraente]],Table1[[Nome/Ragione sociale]:[Checkbox selezionato]],7,FALSE),"-")</f>
        <v>papies@email.it</v>
      </c>
      <c r="R91" s="63">
        <f>IFERROR(VLOOKUP(TableVersamenti[[#This Row],[Contraente]],Table1[[Nome/Ragione sociale]:[Checkbox selezionato]],8,FALSE),"-")</f>
        <v>0</v>
      </c>
      <c r="S91" s="63" t="str">
        <f>IFERROR(VLOOKUP(TableVersamenti[[#This Row],[Contraente]],Table1[[Nome/Ragione sociale]:[Checkbox selezionato]],9,FALSE),"-")</f>
        <v>Casa</v>
      </c>
      <c r="T91" s="63" t="b">
        <f>NOT(AND(TableVersamenti[[#This Row],[Stato versamento]]="EFFETTUATO",TableVersamenti[[#This Row],[Pagato da cliente]]="PAGATO"))</f>
        <v>0</v>
      </c>
    </row>
    <row r="92" spans="1:20" ht="30" hidden="1" customHeight="1" x14ac:dyDescent="0.25">
      <c r="A92" s="60" t="str">
        <f>UPPER(LEFT(TableVersamenti[[#This Row],[Contraente]],1))</f>
        <v>L</v>
      </c>
      <c r="B92" s="111" t="s">
        <v>1839</v>
      </c>
      <c r="C92" s="68" t="s">
        <v>37</v>
      </c>
      <c r="D92" s="68">
        <v>105180997</v>
      </c>
      <c r="E92" s="69">
        <v>454.84</v>
      </c>
      <c r="F92" s="67" t="s">
        <v>43</v>
      </c>
      <c r="G92" s="64">
        <v>42933</v>
      </c>
      <c r="H92" s="64">
        <v>42936</v>
      </c>
      <c r="I92" s="70" t="s">
        <v>1640</v>
      </c>
      <c r="J92" s="70" t="s">
        <v>1849</v>
      </c>
      <c r="K92" s="70"/>
      <c r="L92" s="63" t="str">
        <f>IFERROR(VLOOKUP(TableVersamenti[[#This Row],[Contraente]],Table1[[Nome/Ragione sociale]:[Checkbox selezionato]],2,FALSE),"-")</f>
        <v>MONTICELLI PAVESE</v>
      </c>
      <c r="M92" s="63">
        <f>IFERROR(VLOOKUP(TableVersamenti[[#This Row],[Contraente]],Table1[[Nome/Ragione sociale]:[Checkbox selezionato]],3,FALSE),"-")</f>
        <v>0</v>
      </c>
      <c r="N92" s="63">
        <f>IFERROR(VLOOKUP(TableVersamenti[[#This Row],[Contraente]],Table1[[Nome/Ragione sociale]:[Checkbox selezionato]],4,FALSE),"-")</f>
        <v>0</v>
      </c>
      <c r="O92" s="63">
        <f>IFERROR(VLOOKUP(TableVersamenti[[#This Row],[Contraente]],Table1[[Nome/Ragione sociale]:[Checkbox selezionato]],5,FALSE),"-")</f>
        <v>0</v>
      </c>
      <c r="P92" s="63">
        <f>IFERROR(VLOOKUP(TableVersamenti[[#This Row],[Contraente]],Table1[[Nome/Ragione sociale]:[Checkbox selezionato]],6,FALSE),"-")</f>
        <v>0</v>
      </c>
      <c r="Q92" s="62" t="str">
        <f>IFERROR(VLOOKUP(TableVersamenti[[#This Row],[Contraente]],Table1[[Nome/Ragione sociale]:[Checkbox selezionato]],7,FALSE),"-")</f>
        <v>papies@email.it</v>
      </c>
      <c r="R92" s="63">
        <f>IFERROR(VLOOKUP(TableVersamenti[[#This Row],[Contraente]],Table1[[Nome/Ragione sociale]:[Checkbox selezionato]],8,FALSE),"-")</f>
        <v>0</v>
      </c>
      <c r="S92" s="63" t="str">
        <f>IFERROR(VLOOKUP(TableVersamenti[[#This Row],[Contraente]],Table1[[Nome/Ragione sociale]:[Checkbox selezionato]],9,FALSE),"-")</f>
        <v>Casa</v>
      </c>
      <c r="T92" s="63" t="b">
        <f>NOT(AND(TableVersamenti[[#This Row],[Stato versamento]]="EFFETTUATO",TableVersamenti[[#This Row],[Pagato da cliente]]="PAGATO"))</f>
        <v>0</v>
      </c>
    </row>
    <row r="93" spans="1:20" ht="30" hidden="1" customHeight="1" x14ac:dyDescent="0.25">
      <c r="A93" s="60" t="str">
        <f>UPPER(LEFT(TableVersamenti[[#This Row],[Contraente]],1))</f>
        <v>G</v>
      </c>
      <c r="B93" s="111" t="s">
        <v>1840</v>
      </c>
      <c r="C93" s="68" t="s">
        <v>37</v>
      </c>
      <c r="D93" s="68">
        <v>106414745</v>
      </c>
      <c r="E93" s="69">
        <v>337.84</v>
      </c>
      <c r="F93" s="67" t="s">
        <v>43</v>
      </c>
      <c r="G93" s="64">
        <v>42933</v>
      </c>
      <c r="H93" s="64">
        <v>42936</v>
      </c>
      <c r="I93" s="70" t="s">
        <v>1640</v>
      </c>
      <c r="J93" s="70" t="s">
        <v>1849</v>
      </c>
      <c r="K93" s="70"/>
      <c r="L93" s="63" t="str">
        <f>IFERROR(VLOOKUP(TableVersamenti[[#This Row],[Contraente]],Table1[[Nome/Ragione sociale]:[Checkbox selezionato]],2,FALSE),"-")</f>
        <v>PIEVE PORTO MORONE</v>
      </c>
      <c r="M93" s="63">
        <f>IFERROR(VLOOKUP(TableVersamenti[[#This Row],[Contraente]],Table1[[Nome/Ragione sociale]:[Checkbox selezionato]],3,FALSE),"-")</f>
        <v>0</v>
      </c>
      <c r="N93" s="63">
        <f>IFERROR(VLOOKUP(TableVersamenti[[#This Row],[Contraente]],Table1[[Nome/Ragione sociale]:[Checkbox selezionato]],4,FALSE),"-")</f>
        <v>0</v>
      </c>
      <c r="O93" s="63">
        <f>IFERROR(VLOOKUP(TableVersamenti[[#This Row],[Contraente]],Table1[[Nome/Ragione sociale]:[Checkbox selezionato]],5,FALSE),"-")</f>
        <v>0</v>
      </c>
      <c r="P93" s="63">
        <f>IFERROR(VLOOKUP(TableVersamenti[[#This Row],[Contraente]],Table1[[Nome/Ragione sociale]:[Checkbox selezionato]],6,FALSE),"-")</f>
        <v>0</v>
      </c>
      <c r="Q93" s="62" t="str">
        <f>IFERROR(VLOOKUP(TableVersamenti[[#This Row],[Contraente]],Table1[[Nome/Ragione sociale]:[Checkbox selezionato]],7,FALSE),"-")</f>
        <v>papies@email.it</v>
      </c>
      <c r="R93" s="63">
        <f>IFERROR(VLOOKUP(TableVersamenti[[#This Row],[Contraente]],Table1[[Nome/Ragione sociale]:[Checkbox selezionato]],8,FALSE),"-")</f>
        <v>0</v>
      </c>
      <c r="S93" s="63" t="str">
        <f>IFERROR(VLOOKUP(TableVersamenti[[#This Row],[Contraente]],Table1[[Nome/Ragione sociale]:[Checkbox selezionato]],9,FALSE),"-")</f>
        <v>Casa</v>
      </c>
      <c r="T93" s="63" t="b">
        <f>NOT(AND(TableVersamenti[[#This Row],[Stato versamento]]="EFFETTUATO",TableVersamenti[[#This Row],[Pagato da cliente]]="PAGATO"))</f>
        <v>0</v>
      </c>
    </row>
    <row r="94" spans="1:20" ht="30" hidden="1" customHeight="1" x14ac:dyDescent="0.25">
      <c r="A94" s="60" t="str">
        <f>UPPER(LEFT(TableVersamenti[[#This Row],[Contraente]],1))</f>
        <v>C</v>
      </c>
      <c r="B94" s="111" t="s">
        <v>462</v>
      </c>
      <c r="C94" s="68" t="s">
        <v>37</v>
      </c>
      <c r="D94" s="68">
        <v>103340122</v>
      </c>
      <c r="E94" s="69">
        <v>324</v>
      </c>
      <c r="F94" s="67" t="s">
        <v>45</v>
      </c>
      <c r="G94" s="64">
        <v>42933</v>
      </c>
      <c r="H94" s="64">
        <v>42936</v>
      </c>
      <c r="I94" s="70" t="s">
        <v>1640</v>
      </c>
      <c r="J94" s="70" t="s">
        <v>1849</v>
      </c>
      <c r="K94" s="70"/>
      <c r="L94" s="63" t="str">
        <f>IFERROR(VLOOKUP(TableVersamenti[[#This Row],[Contraente]],Table1[[Nome/Ragione sociale]:[Checkbox selezionato]],2,FALSE),"-")</f>
        <v>SAN DAMIANO AL COLLE</v>
      </c>
      <c r="M94" s="63">
        <f>IFERROR(VLOOKUP(TableVersamenti[[#This Row],[Contraente]],Table1[[Nome/Ragione sociale]:[Checkbox selezionato]],3,FALSE),"-")</f>
        <v>3485248779</v>
      </c>
      <c r="N94" s="63">
        <f>IFERROR(VLOOKUP(TableVersamenti[[#This Row],[Contraente]],Table1[[Nome/Ragione sociale]:[Checkbox selezionato]],4,FALSE),"-")</f>
        <v>0</v>
      </c>
      <c r="O94" s="63" t="str">
        <f>IFERROR(VLOOKUP(TableVersamenti[[#This Row],[Contraente]],Table1[[Nome/Ragione sociale]:[Checkbox selezionato]],5,FALSE),"-")</f>
        <v>FIGLIO</v>
      </c>
      <c r="P94" s="63">
        <f>IFERROR(VLOOKUP(TableVersamenti[[#This Row],[Contraente]],Table1[[Nome/Ragione sociale]:[Checkbox selezionato]],6,FALSE),"-")</f>
        <v>21204</v>
      </c>
      <c r="Q94" s="62" t="str">
        <f>IFERROR(VLOOKUP(TableVersamenti[[#This Row],[Contraente]],Table1[[Nome/Ragione sociale]:[Checkbox selezionato]],7,FALSE),"-")</f>
        <v>papies@libero.it</v>
      </c>
      <c r="R94" s="63">
        <f>IFERROR(VLOOKUP(TableVersamenti[[#This Row],[Contraente]],Table1[[Nome/Ragione sociale]:[Checkbox selezionato]],8,FALSE),"-")</f>
        <v>0</v>
      </c>
      <c r="S94" s="63" t="str">
        <f>IFERROR(VLOOKUP(TableVersamenti[[#This Row],[Contraente]],Table1[[Nome/Ragione sociale]:[Checkbox selezionato]],9,FALSE),"-")</f>
        <v>Casa</v>
      </c>
      <c r="T94" s="63" t="b">
        <f>NOT(AND(TableVersamenti[[#This Row],[Stato versamento]]="EFFETTUATO",TableVersamenti[[#This Row],[Pagato da cliente]]="PAGATO"))</f>
        <v>0</v>
      </c>
    </row>
    <row r="95" spans="1:20" ht="30" customHeight="1" x14ac:dyDescent="0.25">
      <c r="A95" s="60" t="str">
        <f>UPPER(LEFT(TableVersamenti[[#This Row],[Contraente]],1))</f>
        <v>S</v>
      </c>
      <c r="B95" s="111" t="s">
        <v>189</v>
      </c>
      <c r="C95" s="68" t="s">
        <v>37</v>
      </c>
      <c r="D95" s="68">
        <v>106385079</v>
      </c>
      <c r="E95" s="69">
        <v>250.2</v>
      </c>
      <c r="F95" s="67" t="s">
        <v>43</v>
      </c>
      <c r="G95" s="64">
        <v>42934</v>
      </c>
      <c r="H95" s="64">
        <v>42937</v>
      </c>
      <c r="I95" s="70" t="s">
        <v>1639</v>
      </c>
      <c r="J95" s="70" t="s">
        <v>1639</v>
      </c>
      <c r="K95" s="70"/>
      <c r="L95" s="63" t="str">
        <f>IFERROR(VLOOKUP(TableVersamenti[[#This Row],[Contraente]],Table1[[Nome/Ragione sociale]:[Checkbox selezionato]],2,FALSE),"-")</f>
        <v>ZIANO PIACENTINO</v>
      </c>
      <c r="M95" s="63">
        <f>IFERROR(VLOOKUP(TableVersamenti[[#This Row],[Contraente]],Table1[[Nome/Ragione sociale]:[Checkbox selezionato]],3,FALSE),"-")</f>
        <v>3292479022</v>
      </c>
      <c r="N95" s="63">
        <f>IFERROR(VLOOKUP(TableVersamenti[[#This Row],[Contraente]],Table1[[Nome/Ragione sociale]:[Checkbox selezionato]],4,FALSE),"-")</f>
        <v>0</v>
      </c>
      <c r="O95" s="63" t="str">
        <f>IFERROR(VLOOKUP(TableVersamenti[[#This Row],[Contraente]],Table1[[Nome/Ragione sociale]:[Checkbox selezionato]],5,FALSE),"-")</f>
        <v>SIMION (MARITO)</v>
      </c>
      <c r="P95" s="63" t="str">
        <f>IFERROR(VLOOKUP(TableVersamenti[[#This Row],[Contraente]],Table1[[Nome/Ragione sociale]:[Checkbox selezionato]],6,FALSE),"-")</f>
        <v>-</v>
      </c>
      <c r="Q95" s="62" t="str">
        <f>IFERROR(VLOOKUP(TableVersamenti[[#This Row],[Contraente]],Table1[[Nome/Ragione sociale]:[Checkbox selezionato]],7,FALSE),"-")</f>
        <v>papies@libero.it</v>
      </c>
      <c r="R95" s="63">
        <f>IFERROR(VLOOKUP(TableVersamenti[[#This Row],[Contraente]],Table1[[Nome/Ragione sociale]:[Checkbox selezionato]],8,FALSE),"-")</f>
        <v>0</v>
      </c>
      <c r="S95" s="63" t="str">
        <f>IFERROR(VLOOKUP(TableVersamenti[[#This Row],[Contraente]],Table1[[Nome/Ragione sociale]:[Checkbox selezionato]],9,FALSE),"-")</f>
        <v>Casa</v>
      </c>
      <c r="T95" s="63" t="b">
        <f>NOT(AND(TableVersamenti[[#This Row],[Stato versamento]]="EFFETTUATO",TableVersamenti[[#This Row],[Pagato da cliente]]="PAGATO"))</f>
        <v>1</v>
      </c>
    </row>
    <row r="96" spans="1:20" ht="30" customHeight="1" x14ac:dyDescent="0.25">
      <c r="A96" s="60" t="str">
        <f>UPPER(LEFT(TableVersamenti[[#This Row],[Contraente]],1))</f>
        <v>G</v>
      </c>
      <c r="B96" s="111" t="s">
        <v>1782</v>
      </c>
      <c r="C96" s="68" t="s">
        <v>37</v>
      </c>
      <c r="D96" s="68">
        <v>107119546</v>
      </c>
      <c r="E96" s="69">
        <v>1100</v>
      </c>
      <c r="F96" s="67" t="s">
        <v>44</v>
      </c>
      <c r="G96" s="64">
        <v>42934</v>
      </c>
      <c r="H96" s="64">
        <v>42937</v>
      </c>
      <c r="I96" s="70" t="s">
        <v>1639</v>
      </c>
      <c r="J96" s="70" t="s">
        <v>1639</v>
      </c>
      <c r="K96" s="70"/>
      <c r="L96" s="63" t="str">
        <f>IFERROR(VLOOKUP(TableVersamenti[[#This Row],[Contraente]],Table1[[Nome/Ragione sociale]:[Checkbox selezionato]],2,FALSE),"-")</f>
        <v>BREMBIO</v>
      </c>
      <c r="M96" s="63">
        <f>IFERROR(VLOOKUP(TableVersamenti[[#This Row],[Contraente]],Table1[[Nome/Ragione sociale]:[Checkbox selezionato]],3,FALSE),"-")</f>
        <v>0</v>
      </c>
      <c r="N96" s="63">
        <f>IFERROR(VLOOKUP(TableVersamenti[[#This Row],[Contraente]],Table1[[Nome/Ragione sociale]:[Checkbox selezionato]],4,FALSE),"-")</f>
        <v>0</v>
      </c>
      <c r="O96" s="63">
        <f>IFERROR(VLOOKUP(TableVersamenti[[#This Row],[Contraente]],Table1[[Nome/Ragione sociale]:[Checkbox selezionato]],5,FALSE),"-")</f>
        <v>0</v>
      </c>
      <c r="P96" s="63">
        <f>IFERROR(VLOOKUP(TableVersamenti[[#This Row],[Contraente]],Table1[[Nome/Ragione sociale]:[Checkbox selezionato]],6,FALSE),"-")</f>
        <v>0</v>
      </c>
      <c r="Q96" s="62" t="str">
        <f>IFERROR(VLOOKUP(TableVersamenti[[#This Row],[Contraente]],Table1[[Nome/Ragione sociale]:[Checkbox selezionato]],7,FALSE),"-")</f>
        <v>papies@email.it</v>
      </c>
      <c r="R96" s="63">
        <f>IFERROR(VLOOKUP(TableVersamenti[[#This Row],[Contraente]],Table1[[Nome/Ragione sociale]:[Checkbox selezionato]],8,FALSE),"-")</f>
        <v>0</v>
      </c>
      <c r="S96" s="63" t="str">
        <f>IFERROR(VLOOKUP(TableVersamenti[[#This Row],[Contraente]],Table1[[Nome/Ragione sociale]:[Checkbox selezionato]],9,FALSE),"-")</f>
        <v>Casa</v>
      </c>
      <c r="T96" s="63" t="b">
        <f>NOT(AND(TableVersamenti[[#This Row],[Stato versamento]]="EFFETTUATO",TableVersamenti[[#This Row],[Pagato da cliente]]="PAGATO"))</f>
        <v>1</v>
      </c>
    </row>
    <row r="97" spans="1:20" ht="30" customHeight="1" x14ac:dyDescent="0.25">
      <c r="A97" s="60" t="str">
        <f>UPPER(LEFT(TableVersamenti[[#This Row],[Contraente]],1))</f>
        <v>M</v>
      </c>
      <c r="B97" s="111" t="s">
        <v>566</v>
      </c>
      <c r="C97" s="68" t="s">
        <v>37</v>
      </c>
      <c r="D97" s="68">
        <v>1074788</v>
      </c>
      <c r="E97" s="69">
        <v>102.49</v>
      </c>
      <c r="F97" s="67" t="s">
        <v>44</v>
      </c>
      <c r="G97" s="64">
        <v>42934</v>
      </c>
      <c r="H97" s="64">
        <v>42937</v>
      </c>
      <c r="I97" s="70" t="s">
        <v>1639</v>
      </c>
      <c r="J97" s="70" t="s">
        <v>1639</v>
      </c>
      <c r="K97" s="70"/>
      <c r="L97" s="63" t="str">
        <f>IFERROR(VLOOKUP(TableVersamenti[[#This Row],[Contraente]],Table1[[Nome/Ragione sociale]:[Checkbox selezionato]],2,FALSE),"-")</f>
        <v>LINAROLO</v>
      </c>
      <c r="M97" s="63">
        <f>IFERROR(VLOOKUP(TableVersamenti[[#This Row],[Contraente]],Table1[[Nome/Ragione sociale]:[Checkbox selezionato]],3,FALSE),"-")</f>
        <v>3400018106</v>
      </c>
      <c r="N97" s="63" t="str">
        <f>IFERROR(VLOOKUP(TableVersamenti[[#This Row],[Contraente]],Table1[[Nome/Ragione sociale]:[Checkbox selezionato]],4,FALSE),"-")</f>
        <v>.0382485067</v>
      </c>
      <c r="O97" s="63" t="str">
        <f>IFERROR(VLOOKUP(TableVersamenti[[#This Row],[Contraente]],Table1[[Nome/Ragione sociale]:[Checkbox selezionato]],5,FALSE),"-")</f>
        <v>DARIO</v>
      </c>
      <c r="P97" s="63">
        <f>IFERROR(VLOOKUP(TableVersamenti[[#This Row],[Contraente]],Table1[[Nome/Ragione sociale]:[Checkbox selezionato]],6,FALSE),"-")</f>
        <v>23967</v>
      </c>
      <c r="Q97" s="62" t="str">
        <f>IFERROR(VLOOKUP(TableVersamenti[[#This Row],[Contraente]],Table1[[Nome/Ragione sociale]:[Checkbox selezionato]],7,FALSE),"-")</f>
        <v>papies@libero.it</v>
      </c>
      <c r="R97" s="63">
        <f>IFERROR(VLOOKUP(TableVersamenti[[#This Row],[Contraente]],Table1[[Nome/Ragione sociale]:[Checkbox selezionato]],8,FALSE),"-")</f>
        <v>0</v>
      </c>
      <c r="S97" s="63" t="str">
        <f>IFERROR(VLOOKUP(TableVersamenti[[#This Row],[Contraente]],Table1[[Nome/Ragione sociale]:[Checkbox selezionato]],9,FALSE),"-")</f>
        <v>Casa</v>
      </c>
      <c r="T97" s="63" t="b">
        <f>NOT(AND(TableVersamenti[[#This Row],[Stato versamento]]="EFFETTUATO",TableVersamenti[[#This Row],[Pagato da cliente]]="PAGATO"))</f>
        <v>1</v>
      </c>
    </row>
    <row r="98" spans="1:20" ht="30" customHeight="1" x14ac:dyDescent="0.25">
      <c r="A98" s="60" t="str">
        <f>UPPER(LEFT(TableVersamenti[[#This Row],[Contraente]],1))</f>
        <v>P</v>
      </c>
      <c r="B98" s="111" t="s">
        <v>897</v>
      </c>
      <c r="C98" s="68" t="s">
        <v>37</v>
      </c>
      <c r="D98" s="68">
        <v>106399942</v>
      </c>
      <c r="E98" s="69">
        <v>829.35</v>
      </c>
      <c r="F98" s="67" t="s">
        <v>43</v>
      </c>
      <c r="G98" s="64">
        <v>42934</v>
      </c>
      <c r="H98" s="64">
        <v>42937</v>
      </c>
      <c r="I98" s="70" t="s">
        <v>1639</v>
      </c>
      <c r="J98" s="70" t="s">
        <v>1639</v>
      </c>
      <c r="K98" s="70"/>
      <c r="L98" s="63" t="str">
        <f>IFERROR(VLOOKUP(TableVersamenti[[#This Row],[Contraente]],Table1[[Nome/Ragione sociale]:[Checkbox selezionato]],2,FALSE),"-")</f>
        <v>CORTEOLONA</v>
      </c>
      <c r="M98" s="63">
        <f>IFERROR(VLOOKUP(TableVersamenti[[#This Row],[Contraente]],Table1[[Nome/Ragione sociale]:[Checkbox selezionato]],3,FALSE),"-")</f>
        <v>3452341918</v>
      </c>
      <c r="N98" s="63">
        <f>IFERROR(VLOOKUP(TableVersamenti[[#This Row],[Contraente]],Table1[[Nome/Ragione sociale]:[Checkbox selezionato]],4,FALSE),"-")</f>
        <v>0</v>
      </c>
      <c r="O98" s="63" t="str">
        <f>IFERROR(VLOOKUP(TableVersamenti[[#This Row],[Contraente]],Table1[[Nome/Ragione sociale]:[Checkbox selezionato]],5,FALSE),"-")</f>
        <v>VASILE</v>
      </c>
      <c r="P98" s="63">
        <f>IFERROR(VLOOKUP(TableVersamenti[[#This Row],[Contraente]],Table1[[Nome/Ragione sociale]:[Checkbox selezionato]],6,FALSE),"-")</f>
        <v>35488</v>
      </c>
      <c r="Q98" s="62" t="str">
        <f>IFERROR(VLOOKUP(TableVersamenti[[#This Row],[Contraente]],Table1[[Nome/Ragione sociale]:[Checkbox selezionato]],7,FALSE),"-")</f>
        <v>papies@libero.it</v>
      </c>
      <c r="R98" s="63">
        <f>IFERROR(VLOOKUP(TableVersamenti[[#This Row],[Contraente]],Table1[[Nome/Ragione sociale]:[Checkbox selezionato]],8,FALSE),"-")</f>
        <v>0</v>
      </c>
      <c r="S98" s="63" t="str">
        <f>IFERROR(VLOOKUP(TableVersamenti[[#This Row],[Contraente]],Table1[[Nome/Ragione sociale]:[Checkbox selezionato]],9,FALSE),"-")</f>
        <v>Casa</v>
      </c>
      <c r="T98" s="63" t="b">
        <f>NOT(AND(TableVersamenti[[#This Row],[Stato versamento]]="EFFETTUATO",TableVersamenti[[#This Row],[Pagato da cliente]]="PAGATO"))</f>
        <v>1</v>
      </c>
    </row>
    <row r="99" spans="1:20" ht="30" customHeight="1" x14ac:dyDescent="0.25">
      <c r="A99" s="60" t="str">
        <f>UPPER(LEFT(TableVersamenti[[#This Row],[Contraente]],1))</f>
        <v>G</v>
      </c>
      <c r="B99" s="111" t="s">
        <v>128</v>
      </c>
      <c r="C99" s="68" t="s">
        <v>37</v>
      </c>
      <c r="D99" s="68">
        <v>107127417</v>
      </c>
      <c r="E99" s="69">
        <v>3</v>
      </c>
      <c r="F99" s="67" t="s">
        <v>43</v>
      </c>
      <c r="G99" s="64">
        <v>42934</v>
      </c>
      <c r="H99" s="64">
        <v>42937</v>
      </c>
      <c r="I99" s="70" t="s">
        <v>1639</v>
      </c>
      <c r="J99" s="70" t="s">
        <v>1639</v>
      </c>
      <c r="K99" s="70"/>
      <c r="L99" s="63" t="str">
        <f>IFERROR(VLOOKUP(TableVersamenti[[#This Row],[Contraente]],Table1[[Nome/Ragione sociale]:[Checkbox selezionato]],2,FALSE),"-")</f>
        <v>BELGIOIOSO</v>
      </c>
      <c r="M99" s="63">
        <f>IFERROR(VLOOKUP(TableVersamenti[[#This Row],[Contraente]],Table1[[Nome/Ragione sociale]:[Checkbox selezionato]],3,FALSE),"-")</f>
        <v>3392905813</v>
      </c>
      <c r="N99" s="63">
        <f>IFERROR(VLOOKUP(TableVersamenti[[#This Row],[Contraente]],Table1[[Nome/Ragione sociale]:[Checkbox selezionato]],4,FALSE),"-")</f>
        <v>0</v>
      </c>
      <c r="O99" s="63" t="str">
        <f>IFERROR(VLOOKUP(TableVersamenti[[#This Row],[Contraente]],Table1[[Nome/Ragione sociale]:[Checkbox selezionato]],5,FALSE),"-")</f>
        <v>ITALO</v>
      </c>
      <c r="P99" s="63">
        <f>IFERROR(VLOOKUP(TableVersamenti[[#This Row],[Contraente]],Table1[[Nome/Ragione sociale]:[Checkbox selezionato]],6,FALSE),"-")</f>
        <v>13079</v>
      </c>
      <c r="Q99" s="62" t="str">
        <f>IFERROR(VLOOKUP(TableVersamenti[[#This Row],[Contraente]],Table1[[Nome/Ragione sociale]:[Checkbox selezionato]],7,FALSE),"-")</f>
        <v>papies@email.it</v>
      </c>
      <c r="R99" s="63">
        <f>IFERROR(VLOOKUP(TableVersamenti[[#This Row],[Contraente]],Table1[[Nome/Ragione sociale]:[Checkbox selezionato]],8,FALSE),"-")</f>
        <v>0</v>
      </c>
      <c r="S99" s="63" t="str">
        <f>IFERROR(VLOOKUP(TableVersamenti[[#This Row],[Contraente]],Table1[[Nome/Ragione sociale]:[Checkbox selezionato]],9,FALSE),"-")</f>
        <v>Casa</v>
      </c>
      <c r="T99" s="121" t="b">
        <f>NOT(AND(TableVersamenti[[#This Row],[Stato versamento]]="EFFETTUATO",TableVersamenti[[#This Row],[Pagato da cliente]]="PAGATO"))</f>
        <v>1</v>
      </c>
    </row>
    <row r="100" spans="1:20" ht="31.5" hidden="1" customHeight="1" x14ac:dyDescent="0.25">
      <c r="A100" s="60" t="str">
        <f>UPPER(LEFT(TableVersamenti[[#This Row],[Contraente]],1))</f>
        <v>S</v>
      </c>
      <c r="B100" s="111" t="s">
        <v>189</v>
      </c>
      <c r="C100" s="68" t="s">
        <v>37</v>
      </c>
      <c r="D100" s="68">
        <v>106385079</v>
      </c>
      <c r="E100" s="69">
        <v>250.2</v>
      </c>
      <c r="F100" s="67" t="s">
        <v>43</v>
      </c>
      <c r="G100" s="64">
        <v>42935</v>
      </c>
      <c r="H100" s="64">
        <v>42938</v>
      </c>
      <c r="I100" s="70" t="s">
        <v>1640</v>
      </c>
      <c r="J100" s="70" t="s">
        <v>1849</v>
      </c>
      <c r="K100" s="70"/>
      <c r="L100" s="63" t="str">
        <f>IFERROR(VLOOKUP(TableVersamenti[[#This Row],[Contraente]],Table1[[Nome/Ragione sociale]:[Checkbox selezionato]],2,FALSE),"-")</f>
        <v>ZIANO PIACENTINO</v>
      </c>
      <c r="M100" s="63">
        <f>IFERROR(VLOOKUP(TableVersamenti[[#This Row],[Contraente]],Table1[[Nome/Ragione sociale]:[Checkbox selezionato]],3,FALSE),"-")</f>
        <v>3292479022</v>
      </c>
      <c r="N100" s="63">
        <f>IFERROR(VLOOKUP(TableVersamenti[[#This Row],[Contraente]],Table1[[Nome/Ragione sociale]:[Checkbox selezionato]],4,FALSE),"-")</f>
        <v>0</v>
      </c>
      <c r="O100" s="63" t="str">
        <f>IFERROR(VLOOKUP(TableVersamenti[[#This Row],[Contraente]],Table1[[Nome/Ragione sociale]:[Checkbox selezionato]],5,FALSE),"-")</f>
        <v>SIMION (MARITO)</v>
      </c>
      <c r="P100" s="63" t="str">
        <f>IFERROR(VLOOKUP(TableVersamenti[[#This Row],[Contraente]],Table1[[Nome/Ragione sociale]:[Checkbox selezionato]],6,FALSE),"-")</f>
        <v>-</v>
      </c>
      <c r="Q100" s="62" t="str">
        <f>IFERROR(VLOOKUP(TableVersamenti[[#This Row],[Contraente]],Table1[[Nome/Ragione sociale]:[Checkbox selezionato]],7,FALSE),"-")</f>
        <v>papies@libero.it</v>
      </c>
      <c r="R100" s="63">
        <f>IFERROR(VLOOKUP(TableVersamenti[[#This Row],[Contraente]],Table1[[Nome/Ragione sociale]:[Checkbox selezionato]],8,FALSE),"-")</f>
        <v>0</v>
      </c>
      <c r="S100" s="63" t="str">
        <f>IFERROR(VLOOKUP(TableVersamenti[[#This Row],[Contraente]],Table1[[Nome/Ragione sociale]:[Checkbox selezionato]],9,FALSE),"-")</f>
        <v>Casa</v>
      </c>
      <c r="T100" s="63" t="b">
        <f>NOT(AND(TableVersamenti[[#This Row],[Stato versamento]]="EFFETTUATO",TableVersamenti[[#This Row],[Pagato da cliente]]="PAGATO"))</f>
        <v>0</v>
      </c>
    </row>
    <row r="102" spans="1:20" x14ac:dyDescent="0.25">
      <c r="E102" s="123">
        <f>SUBTOTAL(9,TableVersamenti[Importo rata])</f>
        <v>3627.0399999999995</v>
      </c>
    </row>
    <row r="104" spans="1:20" x14ac:dyDescent="0.25">
      <c r="B104" s="118"/>
      <c r="C104" s="118"/>
      <c r="D104" s="118"/>
      <c r="E104" s="108"/>
    </row>
    <row r="106" spans="1:20" x14ac:dyDescent="0.25">
      <c r="E106" s="108"/>
    </row>
  </sheetData>
  <conditionalFormatting sqref="A6:A100">
    <cfRule type="expression" dxfId="431" priority="1" stopIfTrue="1">
      <formula>IF($A6="Z",TRUE,FALSE)</formula>
    </cfRule>
    <cfRule type="expression" dxfId="430" priority="2" stopIfTrue="1">
      <formula>IF($A6="Y",TRUE,FALSE)</formula>
    </cfRule>
    <cfRule type="expression" dxfId="429" priority="3" stopIfTrue="1">
      <formula>IF($A6="X",TRUE,FALSE)</formula>
    </cfRule>
    <cfRule type="expression" dxfId="428" priority="4" stopIfTrue="1">
      <formula>IF($A6="W",TRUE,FALSE)</formula>
    </cfRule>
    <cfRule type="expression" dxfId="427" priority="5" stopIfTrue="1">
      <formula>IF($A6="V",TRUE,FALSE)</formula>
    </cfRule>
    <cfRule type="expression" dxfId="426" priority="6" stopIfTrue="1">
      <formula>IF($A6="U",TRUE,FALSE)</formula>
    </cfRule>
    <cfRule type="expression" dxfId="425" priority="7" stopIfTrue="1">
      <formula>IF($A6="T",TRUE,FALSE)</formula>
    </cfRule>
    <cfRule type="expression" dxfId="424" priority="8" stopIfTrue="1">
      <formula>IF($A6="S",TRUE,FALSE)</formula>
    </cfRule>
    <cfRule type="expression" dxfId="423" priority="9" stopIfTrue="1">
      <formula>IF($A6="R",TRUE,FALSE)</formula>
    </cfRule>
    <cfRule type="expression" dxfId="422" priority="10" stopIfTrue="1">
      <formula>IF($A6="Q",TRUE,FALSE)</formula>
    </cfRule>
    <cfRule type="expression" dxfId="421" priority="11" stopIfTrue="1">
      <formula>IF($A6="P",TRUE,FALSE)</formula>
    </cfRule>
    <cfRule type="expression" dxfId="420" priority="12" stopIfTrue="1">
      <formula>IF($A6="O",TRUE,FALSE)</formula>
    </cfRule>
    <cfRule type="expression" dxfId="419" priority="13" stopIfTrue="1">
      <formula>IF($A6="N",TRUE,FALSE)</formula>
    </cfRule>
    <cfRule type="expression" dxfId="418" priority="14" stopIfTrue="1">
      <formula>IF($A6="N",TRUE,FALSE)</formula>
    </cfRule>
    <cfRule type="expression" dxfId="417" priority="15" stopIfTrue="1">
      <formula>IF($A6="M",TRUE,FALSE)</formula>
    </cfRule>
    <cfRule type="expression" dxfId="416" priority="16" stopIfTrue="1">
      <formula>IF($A6="L",TRUE,FALSE)</formula>
    </cfRule>
    <cfRule type="expression" dxfId="415" priority="17" stopIfTrue="1">
      <formula>IF($A6="K",TRUE,FALSE)</formula>
    </cfRule>
    <cfRule type="expression" dxfId="414" priority="18" stopIfTrue="1">
      <formula>IF($A6="J",TRUE,FALSE)</formula>
    </cfRule>
    <cfRule type="expression" dxfId="413" priority="19" stopIfTrue="1">
      <formula>IF($A6="I",TRUE,FALSE)</formula>
    </cfRule>
    <cfRule type="expression" dxfId="412" priority="20" stopIfTrue="1">
      <formula>IF($A6="H",TRUE,FALSE)</formula>
    </cfRule>
    <cfRule type="expression" dxfId="411" priority="21" stopIfTrue="1">
      <formula>IF($A6="G",TRUE,FALSE)</formula>
    </cfRule>
    <cfRule type="expression" dxfId="410" priority="22" stopIfTrue="1">
      <formula>IF($A6="F",TRUE,FALSE)</formula>
    </cfRule>
    <cfRule type="expression" dxfId="409" priority="23" stopIfTrue="1">
      <formula>IF($A6="E",TRUE,FALSE)</formula>
    </cfRule>
    <cfRule type="expression" dxfId="408" priority="24" stopIfTrue="1">
      <formula>IF($A6="D",TRUE,FALSE)</formula>
    </cfRule>
    <cfRule type="expression" dxfId="407" priority="25" stopIfTrue="1">
      <formula>IF($A6="C",TRUE,FALSE)</formula>
    </cfRule>
    <cfRule type="expression" dxfId="406" priority="26" stopIfTrue="1">
      <formula>IF($A6="B",TRUE,FALSE)</formula>
    </cfRule>
    <cfRule type="expression" dxfId="405" priority="27" stopIfTrue="1">
      <formula>IF($A6="A",TRUE,FALSE)</formula>
    </cfRule>
  </conditionalFormatting>
  <dataValidations count="5">
    <dataValidation type="list" allowBlank="1" showInputMessage="1" showErrorMessage="1" sqref="B6:B100">
      <formula1>NOMI_CLIENTI</formula1>
    </dataValidation>
    <dataValidation type="list" allowBlank="1" showInputMessage="1" showErrorMessage="1" sqref="F6:F100">
      <formula1>NOMI_TIPOLOGIE_PAGAMENTO</formula1>
    </dataValidation>
    <dataValidation type="list" allowBlank="1" showInputMessage="1" showErrorMessage="1" sqref="I6:I100">
      <formula1>NOMI_STATI_VERSAMENTO</formula1>
    </dataValidation>
    <dataValidation type="list" allowBlank="1" showInputMessage="1" showErrorMessage="1" sqref="C6:C100">
      <formula1>NOMI_COMPAGNIE</formula1>
    </dataValidation>
    <dataValidation type="list" allowBlank="1" showInputMessage="1" showErrorMessage="1" sqref="J6:K100">
      <formula1>NOMI_STATO_PAGAMENTO_CLIENTE</formula1>
    </dataValidation>
  </dataValidations>
  <pageMargins left="0.7" right="0.7" top="0.75" bottom="0.75" header="0.3" footer="0.3"/>
  <pageSetup paperSize="9"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VisualizzaVersamentiDaEffettuare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4</xdr:col>
                    <xdr:colOff>609600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VisualizzaTuttiVersamenti">
                <anchor moveWithCells="1" sizeWithCells="1">
                  <from>
                    <xdr:col>5</xdr:col>
                    <xdr:colOff>28575</xdr:colOff>
                    <xdr:row>0</xdr:row>
                    <xdr:rowOff>161925</xdr:rowOff>
                  </from>
                  <to>
                    <xdr:col>7</xdr:col>
                    <xdr:colOff>495300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6:F17"/>
  <sheetViews>
    <sheetView workbookViewId="0">
      <selection activeCell="D12" sqref="D12"/>
    </sheetView>
  </sheetViews>
  <sheetFormatPr defaultRowHeight="15" x14ac:dyDescent="0.25"/>
  <cols>
    <col min="2" max="2" width="36.5703125" customWidth="1"/>
    <col min="3" max="4" width="11.85546875" customWidth="1"/>
    <col min="5" max="5" width="9.42578125" bestFit="1" customWidth="1"/>
    <col min="6" max="6" width="12.42578125" customWidth="1"/>
  </cols>
  <sheetData>
    <row r="6" spans="1:6" ht="30" customHeight="1" x14ac:dyDescent="0.25">
      <c r="A6" s="60"/>
      <c r="B6" s="41"/>
      <c r="C6" s="68"/>
      <c r="D6" s="68"/>
      <c r="E6" s="69"/>
      <c r="F6" s="61"/>
    </row>
    <row r="7" spans="1:6" ht="30" customHeight="1" x14ac:dyDescent="0.25">
      <c r="A7" s="60"/>
      <c r="B7" s="41"/>
      <c r="C7" s="68"/>
      <c r="D7" s="68"/>
      <c r="E7" s="69"/>
      <c r="F7" s="61"/>
    </row>
    <row r="8" spans="1:6" ht="30" customHeight="1" x14ac:dyDescent="0.25">
      <c r="A8" s="60"/>
      <c r="B8" s="41"/>
      <c r="C8" s="68"/>
      <c r="D8" s="68"/>
      <c r="E8" s="69"/>
      <c r="F8" s="61"/>
    </row>
    <row r="9" spans="1:6" ht="30" customHeight="1" x14ac:dyDescent="0.25">
      <c r="A9" s="60"/>
      <c r="B9" s="41"/>
      <c r="C9" s="68"/>
      <c r="D9" s="68"/>
      <c r="E9" s="69"/>
      <c r="F9" s="61"/>
    </row>
    <row r="10" spans="1:6" ht="30" customHeight="1" x14ac:dyDescent="0.25">
      <c r="A10" s="60"/>
      <c r="B10" s="41"/>
      <c r="C10" s="68"/>
      <c r="D10" s="68"/>
      <c r="E10" s="69"/>
      <c r="F10" s="61"/>
    </row>
    <row r="11" spans="1:6" ht="30" customHeight="1" x14ac:dyDescent="0.25">
      <c r="A11" s="60"/>
      <c r="B11" s="41"/>
      <c r="C11" s="68"/>
      <c r="D11" s="68"/>
      <c r="E11" s="69"/>
      <c r="F11" s="61"/>
    </row>
    <row r="12" spans="1:6" ht="30" customHeight="1" x14ac:dyDescent="0.25">
      <c r="A12" s="60"/>
      <c r="B12" s="41"/>
      <c r="C12" s="68"/>
      <c r="D12" s="68"/>
      <c r="E12" s="69"/>
      <c r="F12" s="61"/>
    </row>
    <row r="13" spans="1:6" ht="30" customHeight="1" x14ac:dyDescent="0.25">
      <c r="A13" s="60"/>
      <c r="B13" s="41"/>
      <c r="C13" s="68"/>
      <c r="D13" s="68"/>
      <c r="E13" s="69"/>
      <c r="F13" s="61"/>
    </row>
    <row r="14" spans="1:6" ht="30" customHeight="1" x14ac:dyDescent="0.25">
      <c r="A14" s="60"/>
      <c r="B14" s="41"/>
      <c r="C14" s="68"/>
      <c r="D14" s="68"/>
      <c r="E14" s="69"/>
      <c r="F14" s="61"/>
    </row>
    <row r="15" spans="1:6" ht="30" customHeight="1" x14ac:dyDescent="0.25">
      <c r="A15" s="60"/>
      <c r="B15" s="41"/>
      <c r="C15" s="68"/>
      <c r="D15" s="68"/>
      <c r="E15" s="69"/>
      <c r="F15" s="61"/>
    </row>
    <row r="16" spans="1:6" ht="30" customHeight="1" x14ac:dyDescent="0.25">
      <c r="A16" s="60"/>
      <c r="B16" s="41"/>
      <c r="C16" s="68"/>
      <c r="D16" s="68"/>
      <c r="E16" s="69"/>
      <c r="F16" s="61"/>
    </row>
    <row r="17" spans="1:6" ht="30" customHeight="1" x14ac:dyDescent="0.25">
      <c r="A17" s="60"/>
      <c r="B17" s="41"/>
      <c r="C17" s="68"/>
      <c r="D17" s="68"/>
      <c r="E17" s="69"/>
      <c r="F17" s="61"/>
    </row>
  </sheetData>
  <conditionalFormatting sqref="A6">
    <cfRule type="expression" dxfId="382" priority="271" stopIfTrue="1">
      <formula>IF($A6="Z",TRUE,FALSE)</formula>
    </cfRule>
    <cfRule type="expression" dxfId="381" priority="272" stopIfTrue="1">
      <formula>IF($A6="Y",TRUE,FALSE)</formula>
    </cfRule>
    <cfRule type="expression" dxfId="380" priority="273" stopIfTrue="1">
      <formula>IF($A6="X",TRUE,FALSE)</formula>
    </cfRule>
    <cfRule type="expression" dxfId="379" priority="274" stopIfTrue="1">
      <formula>IF($A6="W",TRUE,FALSE)</formula>
    </cfRule>
    <cfRule type="expression" dxfId="378" priority="275" stopIfTrue="1">
      <formula>IF($A6="V",TRUE,FALSE)</formula>
    </cfRule>
    <cfRule type="expression" dxfId="377" priority="276" stopIfTrue="1">
      <formula>IF($A6="U",TRUE,FALSE)</formula>
    </cfRule>
    <cfRule type="expression" dxfId="376" priority="277" stopIfTrue="1">
      <formula>IF($A6="T",TRUE,FALSE)</formula>
    </cfRule>
    <cfRule type="expression" dxfId="375" priority="278" stopIfTrue="1">
      <formula>IF($A6="S",TRUE,FALSE)</formula>
    </cfRule>
    <cfRule type="expression" dxfId="374" priority="279" stopIfTrue="1">
      <formula>IF($A6="R",TRUE,FALSE)</formula>
    </cfRule>
    <cfRule type="expression" dxfId="373" priority="280" stopIfTrue="1">
      <formula>IF($A6="Q",TRUE,FALSE)</formula>
    </cfRule>
    <cfRule type="expression" dxfId="372" priority="281" stopIfTrue="1">
      <formula>IF($A6="P",TRUE,FALSE)</formula>
    </cfRule>
    <cfRule type="expression" dxfId="371" priority="282" stopIfTrue="1">
      <formula>IF($A6="O",TRUE,FALSE)</formula>
    </cfRule>
    <cfRule type="expression" dxfId="370" priority="283" stopIfTrue="1">
      <formula>IF($A6="N",TRUE,FALSE)</formula>
    </cfRule>
    <cfRule type="expression" dxfId="369" priority="284" stopIfTrue="1">
      <formula>IF($A6="N",TRUE,FALSE)</formula>
    </cfRule>
    <cfRule type="expression" dxfId="368" priority="285" stopIfTrue="1">
      <formula>IF($A6="M",TRUE,FALSE)</formula>
    </cfRule>
    <cfRule type="expression" dxfId="367" priority="286" stopIfTrue="1">
      <formula>IF($A6="L",TRUE,FALSE)</formula>
    </cfRule>
    <cfRule type="expression" dxfId="366" priority="287" stopIfTrue="1">
      <formula>IF($A6="K",TRUE,FALSE)</formula>
    </cfRule>
    <cfRule type="expression" dxfId="365" priority="288" stopIfTrue="1">
      <formula>IF($A6="J",TRUE,FALSE)</formula>
    </cfRule>
    <cfRule type="expression" dxfId="364" priority="289" stopIfTrue="1">
      <formula>IF($A6="I",TRUE,FALSE)</formula>
    </cfRule>
    <cfRule type="expression" dxfId="363" priority="290" stopIfTrue="1">
      <formula>IF($A6="H",TRUE,FALSE)</formula>
    </cfRule>
    <cfRule type="expression" dxfId="362" priority="291" stopIfTrue="1">
      <formula>IF($A6="G",TRUE,FALSE)</formula>
    </cfRule>
    <cfRule type="expression" dxfId="361" priority="292" stopIfTrue="1">
      <formula>IF($A6="F",TRUE,FALSE)</formula>
    </cfRule>
    <cfRule type="expression" dxfId="360" priority="293" stopIfTrue="1">
      <formula>IF($A6="E",TRUE,FALSE)</formula>
    </cfRule>
    <cfRule type="expression" dxfId="359" priority="294" stopIfTrue="1">
      <formula>IF($A6="D",TRUE,FALSE)</formula>
    </cfRule>
    <cfRule type="expression" dxfId="358" priority="295" stopIfTrue="1">
      <formula>IF($A6="C",TRUE,FALSE)</formula>
    </cfRule>
    <cfRule type="expression" dxfId="357" priority="296" stopIfTrue="1">
      <formula>IF($A6="B",TRUE,FALSE)</formula>
    </cfRule>
    <cfRule type="expression" dxfId="356" priority="297" stopIfTrue="1">
      <formula>IF($A6="A",TRUE,FALSE)</formula>
    </cfRule>
  </conditionalFormatting>
  <conditionalFormatting sqref="A7">
    <cfRule type="expression" dxfId="355" priority="244" stopIfTrue="1">
      <formula>IF($A7="Z",TRUE,FALSE)</formula>
    </cfRule>
    <cfRule type="expression" dxfId="354" priority="245" stopIfTrue="1">
      <formula>IF($A7="Y",TRUE,FALSE)</formula>
    </cfRule>
    <cfRule type="expression" dxfId="353" priority="246" stopIfTrue="1">
      <formula>IF($A7="X",TRUE,FALSE)</formula>
    </cfRule>
    <cfRule type="expression" dxfId="352" priority="247" stopIfTrue="1">
      <formula>IF($A7="W",TRUE,FALSE)</formula>
    </cfRule>
    <cfRule type="expression" dxfId="351" priority="248" stopIfTrue="1">
      <formula>IF($A7="V",TRUE,FALSE)</formula>
    </cfRule>
    <cfRule type="expression" dxfId="350" priority="249" stopIfTrue="1">
      <formula>IF($A7="U",TRUE,FALSE)</formula>
    </cfRule>
    <cfRule type="expression" dxfId="349" priority="250" stopIfTrue="1">
      <formula>IF($A7="T",TRUE,FALSE)</formula>
    </cfRule>
    <cfRule type="expression" dxfId="348" priority="251" stopIfTrue="1">
      <formula>IF($A7="S",TRUE,FALSE)</formula>
    </cfRule>
    <cfRule type="expression" dxfId="347" priority="252" stopIfTrue="1">
      <formula>IF($A7="R",TRUE,FALSE)</formula>
    </cfRule>
    <cfRule type="expression" dxfId="346" priority="253" stopIfTrue="1">
      <formula>IF($A7="Q",TRUE,FALSE)</formula>
    </cfRule>
    <cfRule type="expression" dxfId="345" priority="254" stopIfTrue="1">
      <formula>IF($A7="P",TRUE,FALSE)</formula>
    </cfRule>
    <cfRule type="expression" dxfId="344" priority="255" stopIfTrue="1">
      <formula>IF($A7="O",TRUE,FALSE)</formula>
    </cfRule>
    <cfRule type="expression" dxfId="343" priority="256" stopIfTrue="1">
      <formula>IF($A7="N",TRUE,FALSE)</formula>
    </cfRule>
    <cfRule type="expression" dxfId="342" priority="257" stopIfTrue="1">
      <formula>IF($A7="N",TRUE,FALSE)</formula>
    </cfRule>
    <cfRule type="expression" dxfId="341" priority="258" stopIfTrue="1">
      <formula>IF($A7="M",TRUE,FALSE)</formula>
    </cfRule>
    <cfRule type="expression" dxfId="340" priority="259" stopIfTrue="1">
      <formula>IF($A7="L",TRUE,FALSE)</formula>
    </cfRule>
    <cfRule type="expression" dxfId="339" priority="260" stopIfTrue="1">
      <formula>IF($A7="K",TRUE,FALSE)</formula>
    </cfRule>
    <cfRule type="expression" dxfId="338" priority="261" stopIfTrue="1">
      <formula>IF($A7="J",TRUE,FALSE)</formula>
    </cfRule>
    <cfRule type="expression" dxfId="337" priority="262" stopIfTrue="1">
      <formula>IF($A7="I",TRUE,FALSE)</formula>
    </cfRule>
    <cfRule type="expression" dxfId="336" priority="263" stopIfTrue="1">
      <formula>IF($A7="H",TRUE,FALSE)</formula>
    </cfRule>
    <cfRule type="expression" dxfId="335" priority="264" stopIfTrue="1">
      <formula>IF($A7="G",TRUE,FALSE)</formula>
    </cfRule>
    <cfRule type="expression" dxfId="334" priority="265" stopIfTrue="1">
      <formula>IF($A7="F",TRUE,FALSE)</formula>
    </cfRule>
    <cfRule type="expression" dxfId="333" priority="266" stopIfTrue="1">
      <formula>IF($A7="E",TRUE,FALSE)</formula>
    </cfRule>
    <cfRule type="expression" dxfId="332" priority="267" stopIfTrue="1">
      <formula>IF($A7="D",TRUE,FALSE)</formula>
    </cfRule>
    <cfRule type="expression" dxfId="331" priority="268" stopIfTrue="1">
      <formula>IF($A7="C",TRUE,FALSE)</formula>
    </cfRule>
    <cfRule type="expression" dxfId="330" priority="269" stopIfTrue="1">
      <formula>IF($A7="B",TRUE,FALSE)</formula>
    </cfRule>
    <cfRule type="expression" dxfId="329" priority="270" stopIfTrue="1">
      <formula>IF($A7="A",TRUE,FALSE)</formula>
    </cfRule>
  </conditionalFormatting>
  <conditionalFormatting sqref="A8">
    <cfRule type="expression" dxfId="328" priority="217" stopIfTrue="1">
      <formula>IF($A8="Z",TRUE,FALSE)</formula>
    </cfRule>
    <cfRule type="expression" dxfId="327" priority="218" stopIfTrue="1">
      <formula>IF($A8="Y",TRUE,FALSE)</formula>
    </cfRule>
    <cfRule type="expression" dxfId="326" priority="219" stopIfTrue="1">
      <formula>IF($A8="X",TRUE,FALSE)</formula>
    </cfRule>
    <cfRule type="expression" dxfId="325" priority="220" stopIfTrue="1">
      <formula>IF($A8="W",TRUE,FALSE)</formula>
    </cfRule>
    <cfRule type="expression" dxfId="324" priority="221" stopIfTrue="1">
      <formula>IF($A8="V",TRUE,FALSE)</formula>
    </cfRule>
    <cfRule type="expression" dxfId="323" priority="222" stopIfTrue="1">
      <formula>IF($A8="U",TRUE,FALSE)</formula>
    </cfRule>
    <cfRule type="expression" dxfId="322" priority="223" stopIfTrue="1">
      <formula>IF($A8="T",TRUE,FALSE)</formula>
    </cfRule>
    <cfRule type="expression" dxfId="321" priority="224" stopIfTrue="1">
      <formula>IF($A8="S",TRUE,FALSE)</formula>
    </cfRule>
    <cfRule type="expression" dxfId="320" priority="225" stopIfTrue="1">
      <formula>IF($A8="R",TRUE,FALSE)</formula>
    </cfRule>
    <cfRule type="expression" dxfId="319" priority="226" stopIfTrue="1">
      <formula>IF($A8="Q",TRUE,FALSE)</formula>
    </cfRule>
    <cfRule type="expression" dxfId="318" priority="227" stopIfTrue="1">
      <formula>IF($A8="P",TRUE,FALSE)</formula>
    </cfRule>
    <cfRule type="expression" dxfId="317" priority="228" stopIfTrue="1">
      <formula>IF($A8="O",TRUE,FALSE)</formula>
    </cfRule>
    <cfRule type="expression" dxfId="316" priority="229" stopIfTrue="1">
      <formula>IF($A8="N",TRUE,FALSE)</formula>
    </cfRule>
    <cfRule type="expression" dxfId="315" priority="230" stopIfTrue="1">
      <formula>IF($A8="N",TRUE,FALSE)</formula>
    </cfRule>
    <cfRule type="expression" dxfId="314" priority="231" stopIfTrue="1">
      <formula>IF($A8="M",TRUE,FALSE)</formula>
    </cfRule>
    <cfRule type="expression" dxfId="313" priority="232" stopIfTrue="1">
      <formula>IF($A8="L",TRUE,FALSE)</formula>
    </cfRule>
    <cfRule type="expression" dxfId="312" priority="233" stopIfTrue="1">
      <formula>IF($A8="K",TRUE,FALSE)</formula>
    </cfRule>
    <cfRule type="expression" dxfId="311" priority="234" stopIfTrue="1">
      <formula>IF($A8="J",TRUE,FALSE)</formula>
    </cfRule>
    <cfRule type="expression" dxfId="310" priority="235" stopIfTrue="1">
      <formula>IF($A8="I",TRUE,FALSE)</formula>
    </cfRule>
    <cfRule type="expression" dxfId="309" priority="236" stopIfTrue="1">
      <formula>IF($A8="H",TRUE,FALSE)</formula>
    </cfRule>
    <cfRule type="expression" dxfId="308" priority="237" stopIfTrue="1">
      <formula>IF($A8="G",TRUE,FALSE)</formula>
    </cfRule>
    <cfRule type="expression" dxfId="307" priority="238" stopIfTrue="1">
      <formula>IF($A8="F",TRUE,FALSE)</formula>
    </cfRule>
    <cfRule type="expression" dxfId="306" priority="239" stopIfTrue="1">
      <formula>IF($A8="E",TRUE,FALSE)</formula>
    </cfRule>
    <cfRule type="expression" dxfId="305" priority="240" stopIfTrue="1">
      <formula>IF($A8="D",TRUE,FALSE)</formula>
    </cfRule>
    <cfRule type="expression" dxfId="304" priority="241" stopIfTrue="1">
      <formula>IF($A8="C",TRUE,FALSE)</formula>
    </cfRule>
    <cfRule type="expression" dxfId="303" priority="242" stopIfTrue="1">
      <formula>IF($A8="B",TRUE,FALSE)</formula>
    </cfRule>
    <cfRule type="expression" dxfId="302" priority="243" stopIfTrue="1">
      <formula>IF($A8="A",TRUE,FALSE)</formula>
    </cfRule>
  </conditionalFormatting>
  <conditionalFormatting sqref="A9">
    <cfRule type="expression" dxfId="301" priority="190" stopIfTrue="1">
      <formula>IF($A9="Z",TRUE,FALSE)</formula>
    </cfRule>
    <cfRule type="expression" dxfId="300" priority="191" stopIfTrue="1">
      <formula>IF($A9="Y",TRUE,FALSE)</formula>
    </cfRule>
    <cfRule type="expression" dxfId="299" priority="192" stopIfTrue="1">
      <formula>IF($A9="X",TRUE,FALSE)</formula>
    </cfRule>
    <cfRule type="expression" dxfId="298" priority="193" stopIfTrue="1">
      <formula>IF($A9="W",TRUE,FALSE)</formula>
    </cfRule>
    <cfRule type="expression" dxfId="297" priority="194" stopIfTrue="1">
      <formula>IF($A9="V",TRUE,FALSE)</formula>
    </cfRule>
    <cfRule type="expression" dxfId="296" priority="195" stopIfTrue="1">
      <formula>IF($A9="U",TRUE,FALSE)</formula>
    </cfRule>
    <cfRule type="expression" dxfId="295" priority="196" stopIfTrue="1">
      <formula>IF($A9="T",TRUE,FALSE)</formula>
    </cfRule>
    <cfRule type="expression" dxfId="294" priority="197" stopIfTrue="1">
      <formula>IF($A9="S",TRUE,FALSE)</formula>
    </cfRule>
    <cfRule type="expression" dxfId="293" priority="198" stopIfTrue="1">
      <formula>IF($A9="R",TRUE,FALSE)</formula>
    </cfRule>
    <cfRule type="expression" dxfId="292" priority="199" stopIfTrue="1">
      <formula>IF($A9="Q",TRUE,FALSE)</formula>
    </cfRule>
    <cfRule type="expression" dxfId="291" priority="200" stopIfTrue="1">
      <formula>IF($A9="P",TRUE,FALSE)</formula>
    </cfRule>
    <cfRule type="expression" dxfId="290" priority="201" stopIfTrue="1">
      <formula>IF($A9="O",TRUE,FALSE)</formula>
    </cfRule>
    <cfRule type="expression" dxfId="289" priority="202" stopIfTrue="1">
      <formula>IF($A9="N",TRUE,FALSE)</formula>
    </cfRule>
    <cfRule type="expression" dxfId="288" priority="203" stopIfTrue="1">
      <formula>IF($A9="N",TRUE,FALSE)</formula>
    </cfRule>
    <cfRule type="expression" dxfId="287" priority="204" stopIfTrue="1">
      <formula>IF($A9="M",TRUE,FALSE)</formula>
    </cfRule>
    <cfRule type="expression" dxfId="286" priority="205" stopIfTrue="1">
      <formula>IF($A9="L",TRUE,FALSE)</formula>
    </cfRule>
    <cfRule type="expression" dxfId="285" priority="206" stopIfTrue="1">
      <formula>IF($A9="K",TRUE,FALSE)</formula>
    </cfRule>
    <cfRule type="expression" dxfId="284" priority="207" stopIfTrue="1">
      <formula>IF($A9="J",TRUE,FALSE)</formula>
    </cfRule>
    <cfRule type="expression" dxfId="283" priority="208" stopIfTrue="1">
      <formula>IF($A9="I",TRUE,FALSE)</formula>
    </cfRule>
    <cfRule type="expression" dxfId="282" priority="209" stopIfTrue="1">
      <formula>IF($A9="H",TRUE,FALSE)</formula>
    </cfRule>
    <cfRule type="expression" dxfId="281" priority="210" stopIfTrue="1">
      <formula>IF($A9="G",TRUE,FALSE)</formula>
    </cfRule>
    <cfRule type="expression" dxfId="280" priority="211" stopIfTrue="1">
      <formula>IF($A9="F",TRUE,FALSE)</formula>
    </cfRule>
    <cfRule type="expression" dxfId="279" priority="212" stopIfTrue="1">
      <formula>IF($A9="E",TRUE,FALSE)</formula>
    </cfRule>
    <cfRule type="expression" dxfId="278" priority="213" stopIfTrue="1">
      <formula>IF($A9="D",TRUE,FALSE)</formula>
    </cfRule>
    <cfRule type="expression" dxfId="277" priority="214" stopIfTrue="1">
      <formula>IF($A9="C",TRUE,FALSE)</formula>
    </cfRule>
    <cfRule type="expression" dxfId="276" priority="215" stopIfTrue="1">
      <formula>IF($A9="B",TRUE,FALSE)</formula>
    </cfRule>
    <cfRule type="expression" dxfId="275" priority="216" stopIfTrue="1">
      <formula>IF($A9="A",TRUE,FALSE)</formula>
    </cfRule>
  </conditionalFormatting>
  <conditionalFormatting sqref="A10">
    <cfRule type="expression" dxfId="274" priority="163" stopIfTrue="1">
      <formula>IF($A10="Z",TRUE,FALSE)</formula>
    </cfRule>
    <cfRule type="expression" dxfId="273" priority="164" stopIfTrue="1">
      <formula>IF($A10="Y",TRUE,FALSE)</formula>
    </cfRule>
    <cfRule type="expression" dxfId="272" priority="165" stopIfTrue="1">
      <formula>IF($A10="X",TRUE,FALSE)</formula>
    </cfRule>
    <cfRule type="expression" dxfId="271" priority="166" stopIfTrue="1">
      <formula>IF($A10="W",TRUE,FALSE)</formula>
    </cfRule>
    <cfRule type="expression" dxfId="270" priority="167" stopIfTrue="1">
      <formula>IF($A10="V",TRUE,FALSE)</formula>
    </cfRule>
    <cfRule type="expression" dxfId="269" priority="168" stopIfTrue="1">
      <formula>IF($A10="U",TRUE,FALSE)</formula>
    </cfRule>
    <cfRule type="expression" dxfId="268" priority="169" stopIfTrue="1">
      <formula>IF($A10="T",TRUE,FALSE)</formula>
    </cfRule>
    <cfRule type="expression" dxfId="267" priority="170" stopIfTrue="1">
      <formula>IF($A10="S",TRUE,FALSE)</formula>
    </cfRule>
    <cfRule type="expression" dxfId="266" priority="171" stopIfTrue="1">
      <formula>IF($A10="R",TRUE,FALSE)</formula>
    </cfRule>
    <cfRule type="expression" dxfId="265" priority="172" stopIfTrue="1">
      <formula>IF($A10="Q",TRUE,FALSE)</formula>
    </cfRule>
    <cfRule type="expression" dxfId="264" priority="173" stopIfTrue="1">
      <formula>IF($A10="P",TRUE,FALSE)</formula>
    </cfRule>
    <cfRule type="expression" dxfId="263" priority="174" stopIfTrue="1">
      <formula>IF($A10="O",TRUE,FALSE)</formula>
    </cfRule>
    <cfRule type="expression" dxfId="262" priority="175" stopIfTrue="1">
      <formula>IF($A10="N",TRUE,FALSE)</formula>
    </cfRule>
    <cfRule type="expression" dxfId="261" priority="176" stopIfTrue="1">
      <formula>IF($A10="N",TRUE,FALSE)</formula>
    </cfRule>
    <cfRule type="expression" dxfId="260" priority="177" stopIfTrue="1">
      <formula>IF($A10="M",TRUE,FALSE)</formula>
    </cfRule>
    <cfRule type="expression" dxfId="259" priority="178" stopIfTrue="1">
      <formula>IF($A10="L",TRUE,FALSE)</formula>
    </cfRule>
    <cfRule type="expression" dxfId="258" priority="179" stopIfTrue="1">
      <formula>IF($A10="K",TRUE,FALSE)</formula>
    </cfRule>
    <cfRule type="expression" dxfId="257" priority="180" stopIfTrue="1">
      <formula>IF($A10="J",TRUE,FALSE)</formula>
    </cfRule>
    <cfRule type="expression" dxfId="256" priority="181" stopIfTrue="1">
      <formula>IF($A10="I",TRUE,FALSE)</formula>
    </cfRule>
    <cfRule type="expression" dxfId="255" priority="182" stopIfTrue="1">
      <formula>IF($A10="H",TRUE,FALSE)</formula>
    </cfRule>
    <cfRule type="expression" dxfId="254" priority="183" stopIfTrue="1">
      <formula>IF($A10="G",TRUE,FALSE)</formula>
    </cfRule>
    <cfRule type="expression" dxfId="253" priority="184" stopIfTrue="1">
      <formula>IF($A10="F",TRUE,FALSE)</formula>
    </cfRule>
    <cfRule type="expression" dxfId="252" priority="185" stopIfTrue="1">
      <formula>IF($A10="E",TRUE,FALSE)</formula>
    </cfRule>
    <cfRule type="expression" dxfId="251" priority="186" stopIfTrue="1">
      <formula>IF($A10="D",TRUE,FALSE)</formula>
    </cfRule>
    <cfRule type="expression" dxfId="250" priority="187" stopIfTrue="1">
      <formula>IF($A10="C",TRUE,FALSE)</formula>
    </cfRule>
    <cfRule type="expression" dxfId="249" priority="188" stopIfTrue="1">
      <formula>IF($A10="B",TRUE,FALSE)</formula>
    </cfRule>
    <cfRule type="expression" dxfId="248" priority="189" stopIfTrue="1">
      <formula>IF($A10="A",TRUE,FALSE)</formula>
    </cfRule>
  </conditionalFormatting>
  <conditionalFormatting sqref="A11">
    <cfRule type="expression" dxfId="247" priority="136" stopIfTrue="1">
      <formula>IF($A11="Z",TRUE,FALSE)</formula>
    </cfRule>
    <cfRule type="expression" dxfId="246" priority="137" stopIfTrue="1">
      <formula>IF($A11="Y",TRUE,FALSE)</formula>
    </cfRule>
    <cfRule type="expression" dxfId="245" priority="138" stopIfTrue="1">
      <formula>IF($A11="X",TRUE,FALSE)</formula>
    </cfRule>
    <cfRule type="expression" dxfId="244" priority="139" stopIfTrue="1">
      <formula>IF($A11="W",TRUE,FALSE)</formula>
    </cfRule>
    <cfRule type="expression" dxfId="243" priority="140" stopIfTrue="1">
      <formula>IF($A11="V",TRUE,FALSE)</formula>
    </cfRule>
    <cfRule type="expression" dxfId="242" priority="141" stopIfTrue="1">
      <formula>IF($A11="U",TRUE,FALSE)</formula>
    </cfRule>
    <cfRule type="expression" dxfId="241" priority="142" stopIfTrue="1">
      <formula>IF($A11="T",TRUE,FALSE)</formula>
    </cfRule>
    <cfRule type="expression" dxfId="240" priority="143" stopIfTrue="1">
      <formula>IF($A11="S",TRUE,FALSE)</formula>
    </cfRule>
    <cfRule type="expression" dxfId="239" priority="144" stopIfTrue="1">
      <formula>IF($A11="R",TRUE,FALSE)</formula>
    </cfRule>
    <cfRule type="expression" dxfId="238" priority="145" stopIfTrue="1">
      <formula>IF($A11="Q",TRUE,FALSE)</formula>
    </cfRule>
    <cfRule type="expression" dxfId="237" priority="146" stopIfTrue="1">
      <formula>IF($A11="P",TRUE,FALSE)</formula>
    </cfRule>
    <cfRule type="expression" dxfId="236" priority="147" stopIfTrue="1">
      <formula>IF($A11="O",TRUE,FALSE)</formula>
    </cfRule>
    <cfRule type="expression" dxfId="235" priority="148" stopIfTrue="1">
      <formula>IF($A11="N",TRUE,FALSE)</formula>
    </cfRule>
    <cfRule type="expression" dxfId="234" priority="149" stopIfTrue="1">
      <formula>IF($A11="N",TRUE,FALSE)</formula>
    </cfRule>
    <cfRule type="expression" dxfId="233" priority="150" stopIfTrue="1">
      <formula>IF($A11="M",TRUE,FALSE)</formula>
    </cfRule>
    <cfRule type="expression" dxfId="232" priority="151" stopIfTrue="1">
      <formula>IF($A11="L",TRUE,FALSE)</formula>
    </cfRule>
    <cfRule type="expression" dxfId="231" priority="152" stopIfTrue="1">
      <formula>IF($A11="K",TRUE,FALSE)</formula>
    </cfRule>
    <cfRule type="expression" dxfId="230" priority="153" stopIfTrue="1">
      <formula>IF($A11="J",TRUE,FALSE)</formula>
    </cfRule>
    <cfRule type="expression" dxfId="229" priority="154" stopIfTrue="1">
      <formula>IF($A11="I",TRUE,FALSE)</formula>
    </cfRule>
    <cfRule type="expression" dxfId="228" priority="155" stopIfTrue="1">
      <formula>IF($A11="H",TRUE,FALSE)</formula>
    </cfRule>
    <cfRule type="expression" dxfId="227" priority="156" stopIfTrue="1">
      <formula>IF($A11="G",TRUE,FALSE)</formula>
    </cfRule>
    <cfRule type="expression" dxfId="226" priority="157" stopIfTrue="1">
      <formula>IF($A11="F",TRUE,FALSE)</formula>
    </cfRule>
    <cfRule type="expression" dxfId="225" priority="158" stopIfTrue="1">
      <formula>IF($A11="E",TRUE,FALSE)</formula>
    </cfRule>
    <cfRule type="expression" dxfId="224" priority="159" stopIfTrue="1">
      <formula>IF($A11="D",TRUE,FALSE)</formula>
    </cfRule>
    <cfRule type="expression" dxfId="223" priority="160" stopIfTrue="1">
      <formula>IF($A11="C",TRUE,FALSE)</formula>
    </cfRule>
    <cfRule type="expression" dxfId="222" priority="161" stopIfTrue="1">
      <formula>IF($A11="B",TRUE,FALSE)</formula>
    </cfRule>
    <cfRule type="expression" dxfId="221" priority="162" stopIfTrue="1">
      <formula>IF($A11="A",TRUE,FALSE)</formula>
    </cfRule>
  </conditionalFormatting>
  <conditionalFormatting sqref="A12">
    <cfRule type="expression" dxfId="220" priority="109" stopIfTrue="1">
      <formula>IF($A12="Z",TRUE,FALSE)</formula>
    </cfRule>
    <cfRule type="expression" dxfId="219" priority="110" stopIfTrue="1">
      <formula>IF($A12="Y",TRUE,FALSE)</formula>
    </cfRule>
    <cfRule type="expression" dxfId="218" priority="111" stopIfTrue="1">
      <formula>IF($A12="X",TRUE,FALSE)</formula>
    </cfRule>
    <cfRule type="expression" dxfId="217" priority="112" stopIfTrue="1">
      <formula>IF($A12="W",TRUE,FALSE)</formula>
    </cfRule>
    <cfRule type="expression" dxfId="216" priority="113" stopIfTrue="1">
      <formula>IF($A12="V",TRUE,FALSE)</formula>
    </cfRule>
    <cfRule type="expression" dxfId="215" priority="114" stopIfTrue="1">
      <formula>IF($A12="U",TRUE,FALSE)</formula>
    </cfRule>
    <cfRule type="expression" dxfId="214" priority="115" stopIfTrue="1">
      <formula>IF($A12="T",TRUE,FALSE)</formula>
    </cfRule>
    <cfRule type="expression" dxfId="213" priority="116" stopIfTrue="1">
      <formula>IF($A12="S",TRUE,FALSE)</formula>
    </cfRule>
    <cfRule type="expression" dxfId="212" priority="117" stopIfTrue="1">
      <formula>IF($A12="R",TRUE,FALSE)</formula>
    </cfRule>
    <cfRule type="expression" dxfId="211" priority="118" stopIfTrue="1">
      <formula>IF($A12="Q",TRUE,FALSE)</formula>
    </cfRule>
    <cfRule type="expression" dxfId="210" priority="119" stopIfTrue="1">
      <formula>IF($A12="P",TRUE,FALSE)</formula>
    </cfRule>
    <cfRule type="expression" dxfId="209" priority="120" stopIfTrue="1">
      <formula>IF($A12="O",TRUE,FALSE)</formula>
    </cfRule>
    <cfRule type="expression" dxfId="208" priority="121" stopIfTrue="1">
      <formula>IF($A12="N",TRUE,FALSE)</formula>
    </cfRule>
    <cfRule type="expression" dxfId="207" priority="122" stopIfTrue="1">
      <formula>IF($A12="N",TRUE,FALSE)</formula>
    </cfRule>
    <cfRule type="expression" dxfId="206" priority="123" stopIfTrue="1">
      <formula>IF($A12="M",TRUE,FALSE)</formula>
    </cfRule>
    <cfRule type="expression" dxfId="205" priority="124" stopIfTrue="1">
      <formula>IF($A12="L",TRUE,FALSE)</formula>
    </cfRule>
    <cfRule type="expression" dxfId="204" priority="125" stopIfTrue="1">
      <formula>IF($A12="K",TRUE,FALSE)</formula>
    </cfRule>
    <cfRule type="expression" dxfId="203" priority="126" stopIfTrue="1">
      <formula>IF($A12="J",TRUE,FALSE)</formula>
    </cfRule>
    <cfRule type="expression" dxfId="202" priority="127" stopIfTrue="1">
      <formula>IF($A12="I",TRUE,FALSE)</formula>
    </cfRule>
    <cfRule type="expression" dxfId="201" priority="128" stopIfTrue="1">
      <formula>IF($A12="H",TRUE,FALSE)</formula>
    </cfRule>
    <cfRule type="expression" dxfId="200" priority="129" stopIfTrue="1">
      <formula>IF($A12="G",TRUE,FALSE)</formula>
    </cfRule>
    <cfRule type="expression" dxfId="199" priority="130" stopIfTrue="1">
      <formula>IF($A12="F",TRUE,FALSE)</formula>
    </cfRule>
    <cfRule type="expression" dxfId="198" priority="131" stopIfTrue="1">
      <formula>IF($A12="E",TRUE,FALSE)</formula>
    </cfRule>
    <cfRule type="expression" dxfId="197" priority="132" stopIfTrue="1">
      <formula>IF($A12="D",TRUE,FALSE)</formula>
    </cfRule>
    <cfRule type="expression" dxfId="196" priority="133" stopIfTrue="1">
      <formula>IF($A12="C",TRUE,FALSE)</formula>
    </cfRule>
    <cfRule type="expression" dxfId="195" priority="134" stopIfTrue="1">
      <formula>IF($A12="B",TRUE,FALSE)</formula>
    </cfRule>
    <cfRule type="expression" dxfId="194" priority="135" stopIfTrue="1">
      <formula>IF($A12="A",TRUE,FALSE)</formula>
    </cfRule>
  </conditionalFormatting>
  <conditionalFormatting sqref="A13:A14">
    <cfRule type="expression" dxfId="193" priority="82" stopIfTrue="1">
      <formula>IF($A13="Z",TRUE,FALSE)</formula>
    </cfRule>
    <cfRule type="expression" dxfId="192" priority="83" stopIfTrue="1">
      <formula>IF($A13="Y",TRUE,FALSE)</formula>
    </cfRule>
    <cfRule type="expression" dxfId="191" priority="84" stopIfTrue="1">
      <formula>IF($A13="X",TRUE,FALSE)</formula>
    </cfRule>
    <cfRule type="expression" dxfId="190" priority="85" stopIfTrue="1">
      <formula>IF($A13="W",TRUE,FALSE)</formula>
    </cfRule>
    <cfRule type="expression" dxfId="189" priority="86" stopIfTrue="1">
      <formula>IF($A13="V",TRUE,FALSE)</formula>
    </cfRule>
    <cfRule type="expression" dxfId="188" priority="87" stopIfTrue="1">
      <formula>IF($A13="U",TRUE,FALSE)</formula>
    </cfRule>
    <cfRule type="expression" dxfId="187" priority="88" stopIfTrue="1">
      <formula>IF($A13="T",TRUE,FALSE)</formula>
    </cfRule>
    <cfRule type="expression" dxfId="186" priority="89" stopIfTrue="1">
      <formula>IF($A13="S",TRUE,FALSE)</formula>
    </cfRule>
    <cfRule type="expression" dxfId="185" priority="90" stopIfTrue="1">
      <formula>IF($A13="R",TRUE,FALSE)</formula>
    </cfRule>
    <cfRule type="expression" dxfId="184" priority="91" stopIfTrue="1">
      <formula>IF($A13="Q",TRUE,FALSE)</formula>
    </cfRule>
    <cfRule type="expression" dxfId="183" priority="92" stopIfTrue="1">
      <formula>IF($A13="P",TRUE,FALSE)</formula>
    </cfRule>
    <cfRule type="expression" dxfId="182" priority="93" stopIfTrue="1">
      <formula>IF($A13="O",TRUE,FALSE)</formula>
    </cfRule>
    <cfRule type="expression" dxfId="181" priority="94" stopIfTrue="1">
      <formula>IF($A13="N",TRUE,FALSE)</formula>
    </cfRule>
    <cfRule type="expression" dxfId="180" priority="95" stopIfTrue="1">
      <formula>IF($A13="N",TRUE,FALSE)</formula>
    </cfRule>
    <cfRule type="expression" dxfId="179" priority="96" stopIfTrue="1">
      <formula>IF($A13="M",TRUE,FALSE)</formula>
    </cfRule>
    <cfRule type="expression" dxfId="178" priority="97" stopIfTrue="1">
      <formula>IF($A13="L",TRUE,FALSE)</formula>
    </cfRule>
    <cfRule type="expression" dxfId="177" priority="98" stopIfTrue="1">
      <formula>IF($A13="K",TRUE,FALSE)</formula>
    </cfRule>
    <cfRule type="expression" dxfId="176" priority="99" stopIfTrue="1">
      <formula>IF($A13="J",TRUE,FALSE)</formula>
    </cfRule>
    <cfRule type="expression" dxfId="175" priority="100" stopIfTrue="1">
      <formula>IF($A13="I",TRUE,FALSE)</formula>
    </cfRule>
    <cfRule type="expression" dxfId="174" priority="101" stopIfTrue="1">
      <formula>IF($A13="H",TRUE,FALSE)</formula>
    </cfRule>
    <cfRule type="expression" dxfId="173" priority="102" stopIfTrue="1">
      <formula>IF($A13="G",TRUE,FALSE)</formula>
    </cfRule>
    <cfRule type="expression" dxfId="172" priority="103" stopIfTrue="1">
      <formula>IF($A13="F",TRUE,FALSE)</formula>
    </cfRule>
    <cfRule type="expression" dxfId="171" priority="104" stopIfTrue="1">
      <formula>IF($A13="E",TRUE,FALSE)</formula>
    </cfRule>
    <cfRule type="expression" dxfId="170" priority="105" stopIfTrue="1">
      <formula>IF($A13="D",TRUE,FALSE)</formula>
    </cfRule>
    <cfRule type="expression" dxfId="169" priority="106" stopIfTrue="1">
      <formula>IF($A13="C",TRUE,FALSE)</formula>
    </cfRule>
    <cfRule type="expression" dxfId="168" priority="107" stopIfTrue="1">
      <formula>IF($A13="B",TRUE,FALSE)</formula>
    </cfRule>
    <cfRule type="expression" dxfId="167" priority="108" stopIfTrue="1">
      <formula>IF($A13="A",TRUE,FALSE)</formula>
    </cfRule>
  </conditionalFormatting>
  <conditionalFormatting sqref="A15">
    <cfRule type="expression" dxfId="166" priority="55" stopIfTrue="1">
      <formula>IF($A15="Z",TRUE,FALSE)</formula>
    </cfRule>
    <cfRule type="expression" dxfId="165" priority="56" stopIfTrue="1">
      <formula>IF($A15="Y",TRUE,FALSE)</formula>
    </cfRule>
    <cfRule type="expression" dxfId="164" priority="57" stopIfTrue="1">
      <formula>IF($A15="X",TRUE,FALSE)</formula>
    </cfRule>
    <cfRule type="expression" dxfId="163" priority="58" stopIfTrue="1">
      <formula>IF($A15="W",TRUE,FALSE)</formula>
    </cfRule>
    <cfRule type="expression" dxfId="162" priority="59" stopIfTrue="1">
      <formula>IF($A15="V",TRUE,FALSE)</formula>
    </cfRule>
    <cfRule type="expression" dxfId="161" priority="60" stopIfTrue="1">
      <formula>IF($A15="U",TRUE,FALSE)</formula>
    </cfRule>
    <cfRule type="expression" dxfId="160" priority="61" stopIfTrue="1">
      <formula>IF($A15="T",TRUE,FALSE)</formula>
    </cfRule>
    <cfRule type="expression" dxfId="159" priority="62" stopIfTrue="1">
      <formula>IF($A15="S",TRUE,FALSE)</formula>
    </cfRule>
    <cfRule type="expression" dxfId="158" priority="63" stopIfTrue="1">
      <formula>IF($A15="R",TRUE,FALSE)</formula>
    </cfRule>
    <cfRule type="expression" dxfId="157" priority="64" stopIfTrue="1">
      <formula>IF($A15="Q",TRUE,FALSE)</formula>
    </cfRule>
    <cfRule type="expression" dxfId="156" priority="65" stopIfTrue="1">
      <formula>IF($A15="P",TRUE,FALSE)</formula>
    </cfRule>
    <cfRule type="expression" dxfId="155" priority="66" stopIfTrue="1">
      <formula>IF($A15="O",TRUE,FALSE)</formula>
    </cfRule>
    <cfRule type="expression" dxfId="154" priority="67" stopIfTrue="1">
      <formula>IF($A15="N",TRUE,FALSE)</formula>
    </cfRule>
    <cfRule type="expression" dxfId="153" priority="68" stopIfTrue="1">
      <formula>IF($A15="N",TRUE,FALSE)</formula>
    </cfRule>
    <cfRule type="expression" dxfId="152" priority="69" stopIfTrue="1">
      <formula>IF($A15="M",TRUE,FALSE)</formula>
    </cfRule>
    <cfRule type="expression" dxfId="151" priority="70" stopIfTrue="1">
      <formula>IF($A15="L",TRUE,FALSE)</formula>
    </cfRule>
    <cfRule type="expression" dxfId="150" priority="71" stopIfTrue="1">
      <formula>IF($A15="K",TRUE,FALSE)</formula>
    </cfRule>
    <cfRule type="expression" dxfId="149" priority="72" stopIfTrue="1">
      <formula>IF($A15="J",TRUE,FALSE)</formula>
    </cfRule>
    <cfRule type="expression" dxfId="148" priority="73" stopIfTrue="1">
      <formula>IF($A15="I",TRUE,FALSE)</formula>
    </cfRule>
    <cfRule type="expression" dxfId="147" priority="74" stopIfTrue="1">
      <formula>IF($A15="H",TRUE,FALSE)</formula>
    </cfRule>
    <cfRule type="expression" dxfId="146" priority="75" stopIfTrue="1">
      <formula>IF($A15="G",TRUE,FALSE)</formula>
    </cfRule>
    <cfRule type="expression" dxfId="145" priority="76" stopIfTrue="1">
      <formula>IF($A15="F",TRUE,FALSE)</formula>
    </cfRule>
    <cfRule type="expression" dxfId="144" priority="77" stopIfTrue="1">
      <formula>IF($A15="E",TRUE,FALSE)</formula>
    </cfRule>
    <cfRule type="expression" dxfId="143" priority="78" stopIfTrue="1">
      <formula>IF($A15="D",TRUE,FALSE)</formula>
    </cfRule>
    <cfRule type="expression" dxfId="142" priority="79" stopIfTrue="1">
      <formula>IF($A15="C",TRUE,FALSE)</formula>
    </cfRule>
    <cfRule type="expression" dxfId="141" priority="80" stopIfTrue="1">
      <formula>IF($A15="B",TRUE,FALSE)</formula>
    </cfRule>
    <cfRule type="expression" dxfId="140" priority="81" stopIfTrue="1">
      <formula>IF($A15="A",TRUE,FALSE)</formula>
    </cfRule>
  </conditionalFormatting>
  <conditionalFormatting sqref="A16">
    <cfRule type="expression" dxfId="139" priority="28" stopIfTrue="1">
      <formula>IF($A16="Z",TRUE,FALSE)</formula>
    </cfRule>
    <cfRule type="expression" dxfId="138" priority="29" stopIfTrue="1">
      <formula>IF($A16="Y",TRUE,FALSE)</formula>
    </cfRule>
    <cfRule type="expression" dxfId="137" priority="30" stopIfTrue="1">
      <formula>IF($A16="X",TRUE,FALSE)</formula>
    </cfRule>
    <cfRule type="expression" dxfId="136" priority="31" stopIfTrue="1">
      <formula>IF($A16="W",TRUE,FALSE)</formula>
    </cfRule>
    <cfRule type="expression" dxfId="135" priority="32" stopIfTrue="1">
      <formula>IF($A16="V",TRUE,FALSE)</formula>
    </cfRule>
    <cfRule type="expression" dxfId="134" priority="33" stopIfTrue="1">
      <formula>IF($A16="U",TRUE,FALSE)</formula>
    </cfRule>
    <cfRule type="expression" dxfId="133" priority="34" stopIfTrue="1">
      <formula>IF($A16="T",TRUE,FALSE)</formula>
    </cfRule>
    <cfRule type="expression" dxfId="132" priority="35" stopIfTrue="1">
      <formula>IF($A16="S",TRUE,FALSE)</formula>
    </cfRule>
    <cfRule type="expression" dxfId="131" priority="36" stopIfTrue="1">
      <formula>IF($A16="R",TRUE,FALSE)</formula>
    </cfRule>
    <cfRule type="expression" dxfId="130" priority="37" stopIfTrue="1">
      <formula>IF($A16="Q",TRUE,FALSE)</formula>
    </cfRule>
    <cfRule type="expression" dxfId="129" priority="38" stopIfTrue="1">
      <formula>IF($A16="P",TRUE,FALSE)</formula>
    </cfRule>
    <cfRule type="expression" dxfId="128" priority="39" stopIfTrue="1">
      <formula>IF($A16="O",TRUE,FALSE)</formula>
    </cfRule>
    <cfRule type="expression" dxfId="127" priority="40" stopIfTrue="1">
      <formula>IF($A16="N",TRUE,FALSE)</formula>
    </cfRule>
    <cfRule type="expression" dxfId="126" priority="41" stopIfTrue="1">
      <formula>IF($A16="N",TRUE,FALSE)</formula>
    </cfRule>
    <cfRule type="expression" dxfId="125" priority="42" stopIfTrue="1">
      <formula>IF($A16="M",TRUE,FALSE)</formula>
    </cfRule>
    <cfRule type="expression" dxfId="124" priority="43" stopIfTrue="1">
      <formula>IF($A16="L",TRUE,FALSE)</formula>
    </cfRule>
    <cfRule type="expression" dxfId="123" priority="44" stopIfTrue="1">
      <formula>IF($A16="K",TRUE,FALSE)</formula>
    </cfRule>
    <cfRule type="expression" dxfId="122" priority="45" stopIfTrue="1">
      <formula>IF($A16="J",TRUE,FALSE)</formula>
    </cfRule>
    <cfRule type="expression" dxfId="121" priority="46" stopIfTrue="1">
      <formula>IF($A16="I",TRUE,FALSE)</formula>
    </cfRule>
    <cfRule type="expression" dxfId="120" priority="47" stopIfTrue="1">
      <formula>IF($A16="H",TRUE,FALSE)</formula>
    </cfRule>
    <cfRule type="expression" dxfId="119" priority="48" stopIfTrue="1">
      <formula>IF($A16="G",TRUE,FALSE)</formula>
    </cfRule>
    <cfRule type="expression" dxfId="118" priority="49" stopIfTrue="1">
      <formula>IF($A16="F",TRUE,FALSE)</formula>
    </cfRule>
    <cfRule type="expression" dxfId="117" priority="50" stopIfTrue="1">
      <formula>IF($A16="E",TRUE,FALSE)</formula>
    </cfRule>
    <cfRule type="expression" dxfId="116" priority="51" stopIfTrue="1">
      <formula>IF($A16="D",TRUE,FALSE)</formula>
    </cfRule>
    <cfRule type="expression" dxfId="115" priority="52" stopIfTrue="1">
      <formula>IF($A16="C",TRUE,FALSE)</formula>
    </cfRule>
    <cfRule type="expression" dxfId="114" priority="53" stopIfTrue="1">
      <formula>IF($A16="B",TRUE,FALSE)</formula>
    </cfRule>
    <cfRule type="expression" dxfId="113" priority="54" stopIfTrue="1">
      <formula>IF($A16="A",TRUE,FALSE)</formula>
    </cfRule>
  </conditionalFormatting>
  <conditionalFormatting sqref="A17">
    <cfRule type="expression" dxfId="112" priority="1" stopIfTrue="1">
      <formula>IF($A17="Z",TRUE,FALSE)</formula>
    </cfRule>
    <cfRule type="expression" dxfId="111" priority="2" stopIfTrue="1">
      <formula>IF($A17="Y",TRUE,FALSE)</formula>
    </cfRule>
    <cfRule type="expression" dxfId="110" priority="3" stopIfTrue="1">
      <formula>IF($A17="X",TRUE,FALSE)</formula>
    </cfRule>
    <cfRule type="expression" dxfId="109" priority="4" stopIfTrue="1">
      <formula>IF($A17="W",TRUE,FALSE)</formula>
    </cfRule>
    <cfRule type="expression" dxfId="108" priority="5" stopIfTrue="1">
      <formula>IF($A17="V",TRUE,FALSE)</formula>
    </cfRule>
    <cfRule type="expression" dxfId="107" priority="6" stopIfTrue="1">
      <formula>IF($A17="U",TRUE,FALSE)</formula>
    </cfRule>
    <cfRule type="expression" dxfId="106" priority="7" stopIfTrue="1">
      <formula>IF($A17="T",TRUE,FALSE)</formula>
    </cfRule>
    <cfRule type="expression" dxfId="105" priority="8" stopIfTrue="1">
      <formula>IF($A17="S",TRUE,FALSE)</formula>
    </cfRule>
    <cfRule type="expression" dxfId="104" priority="9" stopIfTrue="1">
      <formula>IF($A17="R",TRUE,FALSE)</formula>
    </cfRule>
    <cfRule type="expression" dxfId="103" priority="10" stopIfTrue="1">
      <formula>IF($A17="Q",TRUE,FALSE)</formula>
    </cfRule>
    <cfRule type="expression" dxfId="102" priority="11" stopIfTrue="1">
      <formula>IF($A17="P",TRUE,FALSE)</formula>
    </cfRule>
    <cfRule type="expression" dxfId="101" priority="12" stopIfTrue="1">
      <formula>IF($A17="O",TRUE,FALSE)</formula>
    </cfRule>
    <cfRule type="expression" dxfId="100" priority="13" stopIfTrue="1">
      <formula>IF($A17="N",TRUE,FALSE)</formula>
    </cfRule>
    <cfRule type="expression" dxfId="99" priority="14" stopIfTrue="1">
      <formula>IF($A17="N",TRUE,FALSE)</formula>
    </cfRule>
    <cfRule type="expression" dxfId="98" priority="15" stopIfTrue="1">
      <formula>IF($A17="M",TRUE,FALSE)</formula>
    </cfRule>
    <cfRule type="expression" dxfId="97" priority="16" stopIfTrue="1">
      <formula>IF($A17="L",TRUE,FALSE)</formula>
    </cfRule>
    <cfRule type="expression" dxfId="96" priority="17" stopIfTrue="1">
      <formula>IF($A17="K",TRUE,FALSE)</formula>
    </cfRule>
    <cfRule type="expression" dxfId="95" priority="18" stopIfTrue="1">
      <formula>IF($A17="J",TRUE,FALSE)</formula>
    </cfRule>
    <cfRule type="expression" dxfId="94" priority="19" stopIfTrue="1">
      <formula>IF($A17="I",TRUE,FALSE)</formula>
    </cfRule>
    <cfRule type="expression" dxfId="93" priority="20" stopIfTrue="1">
      <formula>IF($A17="H",TRUE,FALSE)</formula>
    </cfRule>
    <cfRule type="expression" dxfId="92" priority="21" stopIfTrue="1">
      <formula>IF($A17="G",TRUE,FALSE)</formula>
    </cfRule>
    <cfRule type="expression" dxfId="91" priority="22" stopIfTrue="1">
      <formula>IF($A17="F",TRUE,FALSE)</formula>
    </cfRule>
    <cfRule type="expression" dxfId="90" priority="23" stopIfTrue="1">
      <formula>IF($A17="E",TRUE,FALSE)</formula>
    </cfRule>
    <cfRule type="expression" dxfId="89" priority="24" stopIfTrue="1">
      <formula>IF($A17="D",TRUE,FALSE)</formula>
    </cfRule>
    <cfRule type="expression" dxfId="88" priority="25" stopIfTrue="1">
      <formula>IF($A17="C",TRUE,FALSE)</formula>
    </cfRule>
    <cfRule type="expression" dxfId="87" priority="26" stopIfTrue="1">
      <formula>IF($A17="B",TRUE,FALSE)</formula>
    </cfRule>
    <cfRule type="expression" dxfId="86" priority="27" stopIfTrue="1">
      <formula>IF($A17="A",TRUE,FALSE)</formula>
    </cfRule>
  </conditionalFormatting>
  <dataValidations count="3">
    <dataValidation type="list" allowBlank="1" showInputMessage="1" showErrorMessage="1" sqref="C6:C17">
      <formula1>NOMI_COMPAGNIE</formula1>
    </dataValidation>
    <dataValidation type="list" allowBlank="1" showInputMessage="1" showErrorMessage="1" sqref="F6:F17">
      <formula1>NOMI_TIPOLOGIE_PAGAMENTO</formula1>
    </dataValidation>
    <dataValidation type="list" allowBlank="1" showInputMessage="1" showErrorMessage="1" sqref="B6:B17">
      <formula1>NOMI_CLIENTI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M1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5" outlineLevelCol="1" x14ac:dyDescent="0.25"/>
  <cols>
    <col min="1" max="1" width="5" customWidth="1"/>
    <col min="2" max="2" width="41.28515625" customWidth="1"/>
    <col min="3" max="4" width="15.7109375" bestFit="1" customWidth="1"/>
    <col min="5" max="5" width="140.7109375" customWidth="1"/>
    <col min="6" max="9" width="9.140625" hidden="1" customWidth="1" outlineLevel="1"/>
    <col min="10" max="10" width="27.5703125" hidden="1" customWidth="1" outlineLevel="1"/>
    <col min="11" max="11" width="15.28515625" hidden="1" customWidth="1" outlineLevel="1"/>
    <col min="12" max="12" width="50.85546875" hidden="1" customWidth="1" outlineLevel="1"/>
    <col min="13" max="13" width="19.28515625" customWidth="1" collapsed="1"/>
    <col min="14" max="14" width="18" customWidth="1"/>
    <col min="15" max="15" width="21.85546875" customWidth="1"/>
    <col min="16" max="16" width="24.5703125" customWidth="1"/>
    <col min="17" max="17" width="16.42578125" customWidth="1"/>
    <col min="18" max="18" width="19.140625" customWidth="1"/>
    <col min="19" max="19" width="11.85546875" customWidth="1"/>
    <col min="20" max="20" width="10.5703125" customWidth="1"/>
  </cols>
  <sheetData>
    <row r="5" spans="1:12" ht="30" x14ac:dyDescent="0.25">
      <c r="A5" s="54" t="s">
        <v>64</v>
      </c>
      <c r="B5" s="54" t="s">
        <v>11</v>
      </c>
      <c r="C5" s="54" t="s">
        <v>1113</v>
      </c>
      <c r="D5" s="54" t="s">
        <v>1114</v>
      </c>
      <c r="E5" s="54" t="s">
        <v>1119</v>
      </c>
      <c r="F5" s="55" t="s">
        <v>5</v>
      </c>
      <c r="G5" s="55" t="s">
        <v>7</v>
      </c>
      <c r="H5" s="55" t="s">
        <v>6</v>
      </c>
      <c r="I5" s="55" t="s">
        <v>8</v>
      </c>
      <c r="J5" s="55" t="s">
        <v>1098</v>
      </c>
      <c r="K5" s="55" t="s">
        <v>1099</v>
      </c>
      <c r="L5" s="55" t="s">
        <v>1100</v>
      </c>
    </row>
    <row r="6" spans="1:12" ht="36" customHeight="1" x14ac:dyDescent="0.25">
      <c r="A6" s="60" t="str">
        <f>UPPER(LEFT(TablePromemoria[[#This Row],[Contraente]],1))</f>
        <v/>
      </c>
      <c r="B6" s="41"/>
      <c r="C6" s="61"/>
      <c r="D6" s="62"/>
      <c r="E6" s="78"/>
      <c r="F6" s="61" t="str">
        <f>IFERROR(VLOOKUP(TablePromemoria[[#This Row],[Contraente]],Table1[[Nome/Ragione sociale]:[Checkbox selezionato]],2,FALSE),"-")</f>
        <v>-</v>
      </c>
      <c r="G6" s="61" t="str">
        <f>IFERROR(VLOOKUP(TablePromemoria[[#This Row],[Contraente]],Table1[[Nome/Ragione sociale]:[Checkbox selezionato]],3,FALSE),"-")</f>
        <v>-</v>
      </c>
      <c r="H6" s="61" t="str">
        <f>IFERROR(VLOOKUP(TablePromemoria[[#This Row],[Contraente]],Table1[[Nome/Ragione sociale]:[Checkbox selezionato]],4,FALSE),"-")</f>
        <v>-</v>
      </c>
      <c r="I6" s="61" t="str">
        <f>IFERROR(VLOOKUP(TablePromemoria[[#This Row],[Contraente]],Table1[[Nome/Ragione sociale]:[Checkbox selezionato]],5,FALSE),"-")</f>
        <v>-</v>
      </c>
      <c r="J6" s="62" t="str">
        <f>IFERROR(VLOOKUP(TablePromemoria[[#This Row],[Contraente]],Table1[[Nome/Ragione sociale]:[Checkbox selezionato]],6,FALSE),"-")</f>
        <v>-</v>
      </c>
      <c r="K6" s="63" t="str">
        <f>IFERROR(VLOOKUP(TablePromemoria[[#This Row],[Contraente]],Table1[[Nome/Ragione sociale]:[Checkbox selezionato]],7,FALSE),"-")</f>
        <v>-</v>
      </c>
      <c r="L6" s="63" t="str">
        <f>IFERROR(VLOOKUP(TablePromemoria[[#This Row],[Contraente]],Table1[[Nome/Ragione sociale]:[Checkbox selezionato]],8,FALSE),"-")</f>
        <v>-</v>
      </c>
    </row>
    <row r="7" spans="1:12" ht="36" customHeight="1" x14ac:dyDescent="0.25">
      <c r="A7" s="60" t="str">
        <f>UPPER(LEFT(TablePromemoria[[#This Row],[Contraente]],1))</f>
        <v/>
      </c>
      <c r="B7" s="41"/>
      <c r="C7" s="61"/>
      <c r="D7" s="62"/>
      <c r="E7" s="78"/>
      <c r="F7" s="63" t="str">
        <f>IFERROR(VLOOKUP(TablePromemoria[[#This Row],[Contraente]],Table1[[Nome/Ragione sociale]:[Checkbox selezionato]],2,FALSE),"-")</f>
        <v>-</v>
      </c>
      <c r="G7" s="63" t="str">
        <f>IFERROR(VLOOKUP(TablePromemoria[[#This Row],[Contraente]],Table1[[Nome/Ragione sociale]:[Checkbox selezionato]],3,FALSE),"-")</f>
        <v>-</v>
      </c>
      <c r="H7" s="63" t="str">
        <f>IFERROR(VLOOKUP(TablePromemoria[[#This Row],[Contraente]],Table1[[Nome/Ragione sociale]:[Checkbox selezionato]],4,FALSE),"-")</f>
        <v>-</v>
      </c>
      <c r="I7" s="63" t="str">
        <f>IFERROR(VLOOKUP(TablePromemoria[[#This Row],[Contraente]],Table1[[Nome/Ragione sociale]:[Checkbox selezionato]],5,FALSE),"-")</f>
        <v>-</v>
      </c>
      <c r="J7" s="62" t="str">
        <f>IFERROR(VLOOKUP(TablePromemoria[[#This Row],[Contraente]],Table1[[Nome/Ragione sociale]:[Checkbox selezionato]],6,FALSE),"-")</f>
        <v>-</v>
      </c>
      <c r="K7" s="63" t="str">
        <f>IFERROR(VLOOKUP(TablePromemoria[[#This Row],[Contraente]],Table1[[Nome/Ragione sociale]:[Checkbox selezionato]],7,FALSE),"-")</f>
        <v>-</v>
      </c>
      <c r="L7" s="63" t="str">
        <f>IFERROR(VLOOKUP(TablePromemoria[[#This Row],[Contraente]],Table1[[Nome/Ragione sociale]:[Checkbox selezionato]],8,FALSE),"-")</f>
        <v>-</v>
      </c>
    </row>
    <row r="8" spans="1:12" ht="36" customHeight="1" x14ac:dyDescent="0.25">
      <c r="A8" s="60" t="str">
        <f>UPPER(LEFT(TablePromemoria[[#This Row],[Contraente]],1))</f>
        <v/>
      </c>
      <c r="B8" s="41"/>
      <c r="C8" s="61"/>
      <c r="D8" s="62"/>
      <c r="E8" s="78"/>
      <c r="F8" s="63" t="str">
        <f>IFERROR(VLOOKUP(TablePromemoria[[#This Row],[Contraente]],Table1[[Nome/Ragione sociale]:[Checkbox selezionato]],2,FALSE),"-")</f>
        <v>-</v>
      </c>
      <c r="G8" s="63" t="str">
        <f>IFERROR(VLOOKUP(TablePromemoria[[#This Row],[Contraente]],Table1[[Nome/Ragione sociale]:[Checkbox selezionato]],3,FALSE),"-")</f>
        <v>-</v>
      </c>
      <c r="H8" s="63" t="str">
        <f>IFERROR(VLOOKUP(TablePromemoria[[#This Row],[Contraente]],Table1[[Nome/Ragione sociale]:[Checkbox selezionato]],4,FALSE),"-")</f>
        <v>-</v>
      </c>
      <c r="I8" s="63" t="str">
        <f>IFERROR(VLOOKUP(TablePromemoria[[#This Row],[Contraente]],Table1[[Nome/Ragione sociale]:[Checkbox selezionato]],5,FALSE),"-")</f>
        <v>-</v>
      </c>
      <c r="J8" s="62" t="str">
        <f>IFERROR(VLOOKUP(TablePromemoria[[#This Row],[Contraente]],Table1[[Nome/Ragione sociale]:[Checkbox selezionato]],6,FALSE),"-")</f>
        <v>-</v>
      </c>
      <c r="K8" s="63" t="str">
        <f>IFERROR(VLOOKUP(TablePromemoria[[#This Row],[Contraente]],Table1[[Nome/Ragione sociale]:[Checkbox selezionato]],7,FALSE),"-")</f>
        <v>-</v>
      </c>
      <c r="L8" s="63" t="str">
        <f>IFERROR(VLOOKUP(TablePromemoria[[#This Row],[Contraente]],Table1[[Nome/Ragione sociale]:[Checkbox selezionato]],8,FALSE),"-")</f>
        <v>-</v>
      </c>
    </row>
    <row r="9" spans="1:12" ht="36" customHeight="1" x14ac:dyDescent="0.25">
      <c r="A9" s="60" t="str">
        <f>UPPER(LEFT(TablePromemoria[[#This Row],[Contraente]],1))</f>
        <v/>
      </c>
      <c r="B9" s="41"/>
      <c r="C9" s="61"/>
      <c r="D9" s="62"/>
      <c r="E9" s="78"/>
      <c r="F9" s="63" t="str">
        <f>IFERROR(VLOOKUP(TablePromemoria[[#This Row],[Contraente]],Table1[[Nome/Ragione sociale]:[Checkbox selezionato]],2,FALSE),"-")</f>
        <v>-</v>
      </c>
      <c r="G9" s="63" t="str">
        <f>IFERROR(VLOOKUP(TablePromemoria[[#This Row],[Contraente]],Table1[[Nome/Ragione sociale]:[Checkbox selezionato]],3,FALSE),"-")</f>
        <v>-</v>
      </c>
      <c r="H9" s="63" t="str">
        <f>IFERROR(VLOOKUP(TablePromemoria[[#This Row],[Contraente]],Table1[[Nome/Ragione sociale]:[Checkbox selezionato]],4,FALSE),"-")</f>
        <v>-</v>
      </c>
      <c r="I9" s="63" t="str">
        <f>IFERROR(VLOOKUP(TablePromemoria[[#This Row],[Contraente]],Table1[[Nome/Ragione sociale]:[Checkbox selezionato]],5,FALSE),"-")</f>
        <v>-</v>
      </c>
      <c r="J9" s="62" t="str">
        <f>IFERROR(VLOOKUP(TablePromemoria[[#This Row],[Contraente]],Table1[[Nome/Ragione sociale]:[Checkbox selezionato]],6,FALSE),"-")</f>
        <v>-</v>
      </c>
      <c r="K9" s="63" t="str">
        <f>IFERROR(VLOOKUP(TablePromemoria[[#This Row],[Contraente]],Table1[[Nome/Ragione sociale]:[Checkbox selezionato]],7,FALSE),"-")</f>
        <v>-</v>
      </c>
      <c r="L9" s="63" t="str">
        <f>IFERROR(VLOOKUP(TablePromemoria[[#This Row],[Contraente]],Table1[[Nome/Ragione sociale]:[Checkbox selezionato]],8,FALSE),"-")</f>
        <v>-</v>
      </c>
    </row>
    <row r="10" spans="1:12" ht="36" customHeight="1" x14ac:dyDescent="0.25">
      <c r="A10" s="60" t="str">
        <f>UPPER(LEFT(TablePromemoria[[#This Row],[Contraente]],1))</f>
        <v/>
      </c>
      <c r="B10" s="41"/>
      <c r="C10" s="61"/>
      <c r="D10" s="62"/>
      <c r="E10" s="78"/>
      <c r="F10" s="63" t="str">
        <f>IFERROR(VLOOKUP(TablePromemoria[[#This Row],[Contraente]],Table1[[Nome/Ragione sociale]:[Checkbox selezionato]],2,FALSE),"-")</f>
        <v>-</v>
      </c>
      <c r="G10" s="63" t="str">
        <f>IFERROR(VLOOKUP(TablePromemoria[[#This Row],[Contraente]],Table1[[Nome/Ragione sociale]:[Checkbox selezionato]],3,FALSE),"-")</f>
        <v>-</v>
      </c>
      <c r="H10" s="63" t="str">
        <f>IFERROR(VLOOKUP(TablePromemoria[[#This Row],[Contraente]],Table1[[Nome/Ragione sociale]:[Checkbox selezionato]],4,FALSE),"-")</f>
        <v>-</v>
      </c>
      <c r="I10" s="63" t="str">
        <f>IFERROR(VLOOKUP(TablePromemoria[[#This Row],[Contraente]],Table1[[Nome/Ragione sociale]:[Checkbox selezionato]],5,FALSE),"-")</f>
        <v>-</v>
      </c>
      <c r="J10" s="62" t="str">
        <f>IFERROR(VLOOKUP(TablePromemoria[[#This Row],[Contraente]],Table1[[Nome/Ragione sociale]:[Checkbox selezionato]],6,FALSE),"-")</f>
        <v>-</v>
      </c>
      <c r="K10" s="63" t="str">
        <f>IFERROR(VLOOKUP(TablePromemoria[[#This Row],[Contraente]],Table1[[Nome/Ragione sociale]:[Checkbox selezionato]],7,FALSE),"-")</f>
        <v>-</v>
      </c>
      <c r="L10" s="63" t="str">
        <f>IFERROR(VLOOKUP(TablePromemoria[[#This Row],[Contraente]],Table1[[Nome/Ragione sociale]:[Checkbox selezionato]],8,FALSE),"-")</f>
        <v>-</v>
      </c>
    </row>
    <row r="11" spans="1:12" ht="36" customHeight="1" x14ac:dyDescent="0.25">
      <c r="A11" s="60" t="str">
        <f>UPPER(LEFT(TablePromemoria[[#This Row],[Contraente]],1))</f>
        <v/>
      </c>
      <c r="B11" s="41"/>
      <c r="C11" s="61"/>
      <c r="D11" s="62"/>
      <c r="E11" s="78"/>
      <c r="F11" s="63" t="str">
        <f>IFERROR(VLOOKUP(TablePromemoria[[#This Row],[Contraente]],Table1[[Nome/Ragione sociale]:[Checkbox selezionato]],2,FALSE),"-")</f>
        <v>-</v>
      </c>
      <c r="G11" s="63" t="str">
        <f>IFERROR(VLOOKUP(TablePromemoria[[#This Row],[Contraente]],Table1[[Nome/Ragione sociale]:[Checkbox selezionato]],3,FALSE),"-")</f>
        <v>-</v>
      </c>
      <c r="H11" s="63" t="str">
        <f>IFERROR(VLOOKUP(TablePromemoria[[#This Row],[Contraente]],Table1[[Nome/Ragione sociale]:[Checkbox selezionato]],4,FALSE),"-")</f>
        <v>-</v>
      </c>
      <c r="I11" s="63" t="str">
        <f>IFERROR(VLOOKUP(TablePromemoria[[#This Row],[Contraente]],Table1[[Nome/Ragione sociale]:[Checkbox selezionato]],5,FALSE),"-")</f>
        <v>-</v>
      </c>
      <c r="J11" s="62" t="str">
        <f>IFERROR(VLOOKUP(TablePromemoria[[#This Row],[Contraente]],Table1[[Nome/Ragione sociale]:[Checkbox selezionato]],6,FALSE),"-")</f>
        <v>-</v>
      </c>
      <c r="K11" s="63" t="str">
        <f>IFERROR(VLOOKUP(TablePromemoria[[#This Row],[Contraente]],Table1[[Nome/Ragione sociale]:[Checkbox selezionato]],7,FALSE),"-")</f>
        <v>-</v>
      </c>
      <c r="L11" s="63" t="str">
        <f>IFERROR(VLOOKUP(TablePromemoria[[#This Row],[Contraente]],Table1[[Nome/Ragione sociale]:[Checkbox selezionato]],8,FALSE),"-")</f>
        <v>-</v>
      </c>
    </row>
    <row r="12" spans="1:12" ht="36" customHeight="1" x14ac:dyDescent="0.25">
      <c r="A12" s="60" t="str">
        <f>UPPER(LEFT(TablePromemoria[[#This Row],[Contraente]],1))</f>
        <v/>
      </c>
      <c r="B12" s="41"/>
      <c r="C12" s="61"/>
      <c r="D12" s="62"/>
      <c r="E12" s="78"/>
      <c r="F12" s="63" t="str">
        <f>IFERROR(VLOOKUP(TablePromemoria[[#This Row],[Contraente]],Table1[[Nome/Ragione sociale]:[Checkbox selezionato]],2,FALSE),"-")</f>
        <v>-</v>
      </c>
      <c r="G12" s="63" t="str">
        <f>IFERROR(VLOOKUP(TablePromemoria[[#This Row],[Contraente]],Table1[[Nome/Ragione sociale]:[Checkbox selezionato]],3,FALSE),"-")</f>
        <v>-</v>
      </c>
      <c r="H12" s="63" t="str">
        <f>IFERROR(VLOOKUP(TablePromemoria[[#This Row],[Contraente]],Table1[[Nome/Ragione sociale]:[Checkbox selezionato]],4,FALSE),"-")</f>
        <v>-</v>
      </c>
      <c r="I12" s="63" t="str">
        <f>IFERROR(VLOOKUP(TablePromemoria[[#This Row],[Contraente]],Table1[[Nome/Ragione sociale]:[Checkbox selezionato]],5,FALSE),"-")</f>
        <v>-</v>
      </c>
      <c r="J12" s="62" t="str">
        <f>IFERROR(VLOOKUP(TablePromemoria[[#This Row],[Contraente]],Table1[[Nome/Ragione sociale]:[Checkbox selezionato]],6,FALSE),"-")</f>
        <v>-</v>
      </c>
      <c r="K12" s="63" t="str">
        <f>IFERROR(VLOOKUP(TablePromemoria[[#This Row],[Contraente]],Table1[[Nome/Ragione sociale]:[Checkbox selezionato]],7,FALSE),"-")</f>
        <v>-</v>
      </c>
      <c r="L12" s="63" t="str">
        <f>IFERROR(VLOOKUP(TablePromemoria[[#This Row],[Contraente]],Table1[[Nome/Ragione sociale]:[Checkbox selezionato]],8,FALSE),"-")</f>
        <v>-</v>
      </c>
    </row>
    <row r="13" spans="1:12" ht="36" customHeight="1" x14ac:dyDescent="0.25">
      <c r="A13" s="60" t="str">
        <f>UPPER(LEFT(TablePromemoria[[#This Row],[Contraente]],1))</f>
        <v/>
      </c>
      <c r="B13" s="41"/>
      <c r="C13" s="61"/>
      <c r="D13" s="62"/>
      <c r="E13" s="78"/>
      <c r="F13" s="63" t="str">
        <f>IFERROR(VLOOKUP(TablePromemoria[[#This Row],[Contraente]],Table1[[Nome/Ragione sociale]:[Checkbox selezionato]],2,FALSE),"-")</f>
        <v>-</v>
      </c>
      <c r="G13" s="63" t="str">
        <f>IFERROR(VLOOKUP(TablePromemoria[[#This Row],[Contraente]],Table1[[Nome/Ragione sociale]:[Checkbox selezionato]],3,FALSE),"-")</f>
        <v>-</v>
      </c>
      <c r="H13" s="63" t="str">
        <f>IFERROR(VLOOKUP(TablePromemoria[[#This Row],[Contraente]],Table1[[Nome/Ragione sociale]:[Checkbox selezionato]],4,FALSE),"-")</f>
        <v>-</v>
      </c>
      <c r="I13" s="63" t="str">
        <f>IFERROR(VLOOKUP(TablePromemoria[[#This Row],[Contraente]],Table1[[Nome/Ragione sociale]:[Checkbox selezionato]],5,FALSE),"-")</f>
        <v>-</v>
      </c>
      <c r="J13" s="62" t="str">
        <f>IFERROR(VLOOKUP(TablePromemoria[[#This Row],[Contraente]],Table1[[Nome/Ragione sociale]:[Checkbox selezionato]],6,FALSE),"-")</f>
        <v>-</v>
      </c>
      <c r="K13" s="63" t="str">
        <f>IFERROR(VLOOKUP(TablePromemoria[[#This Row],[Contraente]],Table1[[Nome/Ragione sociale]:[Checkbox selezionato]],7,FALSE),"-")</f>
        <v>-</v>
      </c>
      <c r="L13" s="63" t="str">
        <f>IFERROR(VLOOKUP(TablePromemoria[[#This Row],[Contraente]],Table1[[Nome/Ragione sociale]:[Checkbox selezionato]],8,FALSE),"-")</f>
        <v>-</v>
      </c>
    </row>
    <row r="14" spans="1:12" ht="36" customHeight="1" x14ac:dyDescent="0.25">
      <c r="A14" s="60" t="str">
        <f>UPPER(LEFT(TablePromemoria[[#This Row],[Contraente]],1))</f>
        <v/>
      </c>
      <c r="B14" s="41"/>
      <c r="C14" s="61"/>
      <c r="D14" s="62"/>
      <c r="E14" s="78"/>
      <c r="F14" s="63" t="str">
        <f>IFERROR(VLOOKUP(TablePromemoria[[#This Row],[Contraente]],Table1[[Nome/Ragione sociale]:[Checkbox selezionato]],2,FALSE),"-")</f>
        <v>-</v>
      </c>
      <c r="G14" s="63" t="str">
        <f>IFERROR(VLOOKUP(TablePromemoria[[#This Row],[Contraente]],Table1[[Nome/Ragione sociale]:[Checkbox selezionato]],3,FALSE),"-")</f>
        <v>-</v>
      </c>
      <c r="H14" s="63" t="str">
        <f>IFERROR(VLOOKUP(TablePromemoria[[#This Row],[Contraente]],Table1[[Nome/Ragione sociale]:[Checkbox selezionato]],4,FALSE),"-")</f>
        <v>-</v>
      </c>
      <c r="I14" s="63" t="str">
        <f>IFERROR(VLOOKUP(TablePromemoria[[#This Row],[Contraente]],Table1[[Nome/Ragione sociale]:[Checkbox selezionato]],5,FALSE),"-")</f>
        <v>-</v>
      </c>
      <c r="J14" s="62" t="str">
        <f>IFERROR(VLOOKUP(TablePromemoria[[#This Row],[Contraente]],Table1[[Nome/Ragione sociale]:[Checkbox selezionato]],6,FALSE),"-")</f>
        <v>-</v>
      </c>
      <c r="K14" s="63" t="str">
        <f>IFERROR(VLOOKUP(TablePromemoria[[#This Row],[Contraente]],Table1[[Nome/Ragione sociale]:[Checkbox selezionato]],7,FALSE),"-")</f>
        <v>-</v>
      </c>
      <c r="L14" s="63" t="str">
        <f>IFERROR(VLOOKUP(TablePromemoria[[#This Row],[Contraente]],Table1[[Nome/Ragione sociale]:[Checkbox selezionato]],8,FALSE),"-")</f>
        <v>-</v>
      </c>
    </row>
    <row r="15" spans="1:12" ht="36" customHeight="1" x14ac:dyDescent="0.25">
      <c r="A15" s="60" t="str">
        <f>UPPER(LEFT(TablePromemoria[[#This Row],[Contraente]],1))</f>
        <v/>
      </c>
      <c r="B15" s="41"/>
      <c r="C15" s="61"/>
      <c r="D15" s="62"/>
      <c r="E15" s="78"/>
      <c r="F15" s="63" t="str">
        <f>IFERROR(VLOOKUP(TablePromemoria[[#This Row],[Contraente]],Table1[[Nome/Ragione sociale]:[Checkbox selezionato]],2,FALSE),"-")</f>
        <v>-</v>
      </c>
      <c r="G15" s="63" t="str">
        <f>IFERROR(VLOOKUP(TablePromemoria[[#This Row],[Contraente]],Table1[[Nome/Ragione sociale]:[Checkbox selezionato]],3,FALSE),"-")</f>
        <v>-</v>
      </c>
      <c r="H15" s="63" t="str">
        <f>IFERROR(VLOOKUP(TablePromemoria[[#This Row],[Contraente]],Table1[[Nome/Ragione sociale]:[Checkbox selezionato]],4,FALSE),"-")</f>
        <v>-</v>
      </c>
      <c r="I15" s="63" t="str">
        <f>IFERROR(VLOOKUP(TablePromemoria[[#This Row],[Contraente]],Table1[[Nome/Ragione sociale]:[Checkbox selezionato]],5,FALSE),"-")</f>
        <v>-</v>
      </c>
      <c r="J15" s="62" t="str">
        <f>IFERROR(VLOOKUP(TablePromemoria[[#This Row],[Contraente]],Table1[[Nome/Ragione sociale]:[Checkbox selezionato]],6,FALSE),"-")</f>
        <v>-</v>
      </c>
      <c r="K15" s="63" t="str">
        <f>IFERROR(VLOOKUP(TablePromemoria[[#This Row],[Contraente]],Table1[[Nome/Ragione sociale]:[Checkbox selezionato]],7,FALSE),"-")</f>
        <v>-</v>
      </c>
      <c r="L15" s="63" t="str">
        <f>IFERROR(VLOOKUP(TablePromemoria[[#This Row],[Contraente]],Table1[[Nome/Ragione sociale]:[Checkbox selezionato]],8,FALSE),"-")</f>
        <v>-</v>
      </c>
    </row>
    <row r="16" spans="1:12" ht="36" customHeight="1" x14ac:dyDescent="0.25">
      <c r="A16" s="60" t="str">
        <f>UPPER(LEFT(TablePromemoria[[#This Row],[Contraente]],1))</f>
        <v/>
      </c>
      <c r="B16" s="41"/>
      <c r="C16" s="61"/>
      <c r="D16" s="62"/>
      <c r="E16" s="78"/>
      <c r="F16" s="63" t="str">
        <f>IFERROR(VLOOKUP(TablePromemoria[[#This Row],[Contraente]],Table1[[Nome/Ragione sociale]:[Checkbox selezionato]],2,FALSE),"-")</f>
        <v>-</v>
      </c>
      <c r="G16" s="63" t="str">
        <f>IFERROR(VLOOKUP(TablePromemoria[[#This Row],[Contraente]],Table1[[Nome/Ragione sociale]:[Checkbox selezionato]],3,FALSE),"-")</f>
        <v>-</v>
      </c>
      <c r="H16" s="63" t="str">
        <f>IFERROR(VLOOKUP(TablePromemoria[[#This Row],[Contraente]],Table1[[Nome/Ragione sociale]:[Checkbox selezionato]],4,FALSE),"-")</f>
        <v>-</v>
      </c>
      <c r="I16" s="63" t="str">
        <f>IFERROR(VLOOKUP(TablePromemoria[[#This Row],[Contraente]],Table1[[Nome/Ragione sociale]:[Checkbox selezionato]],5,FALSE),"-")</f>
        <v>-</v>
      </c>
      <c r="J16" s="62" t="str">
        <f>IFERROR(VLOOKUP(TablePromemoria[[#This Row],[Contraente]],Table1[[Nome/Ragione sociale]:[Checkbox selezionato]],6,FALSE),"-")</f>
        <v>-</v>
      </c>
      <c r="K16" s="63" t="str">
        <f>IFERROR(VLOOKUP(TablePromemoria[[#This Row],[Contraente]],Table1[[Nome/Ragione sociale]:[Checkbox selezionato]],7,FALSE),"-")</f>
        <v>-</v>
      </c>
      <c r="L16" s="63" t="str">
        <f>IFERROR(VLOOKUP(TablePromemoria[[#This Row],[Contraente]],Table1[[Nome/Ragione sociale]:[Checkbox selezionato]],8,FALSE),"-")</f>
        <v>-</v>
      </c>
    </row>
    <row r="17" spans="1:12" ht="36" customHeight="1" x14ac:dyDescent="0.25">
      <c r="A17" s="60" t="str">
        <f>UPPER(LEFT(TablePromemoria[[#This Row],[Contraente]],1))</f>
        <v/>
      </c>
      <c r="B17" s="41"/>
      <c r="C17" s="61"/>
      <c r="D17" s="62"/>
      <c r="E17" s="78"/>
      <c r="F17" s="61" t="str">
        <f>IFERROR(VLOOKUP(TablePromemoria[[#This Row],[Contraente]],Table1[[Nome/Ragione sociale]:[Checkbox selezionato]],2,FALSE),"-")</f>
        <v>-</v>
      </c>
      <c r="G17" s="61" t="str">
        <f>IFERROR(VLOOKUP(TablePromemoria[[#This Row],[Contraente]],Table1[[Nome/Ragione sociale]:[Checkbox selezionato]],3,FALSE),"-")</f>
        <v>-</v>
      </c>
      <c r="H17" s="61" t="str">
        <f>IFERROR(VLOOKUP(TablePromemoria[[#This Row],[Contraente]],Table1[[Nome/Ragione sociale]:[Checkbox selezionato]],4,FALSE),"-")</f>
        <v>-</v>
      </c>
      <c r="I17" s="61" t="str">
        <f>IFERROR(VLOOKUP(TablePromemoria[[#This Row],[Contraente]],Table1[[Nome/Ragione sociale]:[Checkbox selezionato]],5,FALSE),"-")</f>
        <v>-</v>
      </c>
      <c r="J17" s="62" t="str">
        <f>IFERROR(VLOOKUP(TablePromemoria[[#This Row],[Contraente]],Table1[[Nome/Ragione sociale]:[Checkbox selezionato]],6,FALSE),"-")</f>
        <v>-</v>
      </c>
      <c r="K17" s="63" t="str">
        <f>IFERROR(VLOOKUP(TablePromemoria[[#This Row],[Contraente]],Table1[[Nome/Ragione sociale]:[Checkbox selezionato]],7,FALSE),"-")</f>
        <v>-</v>
      </c>
      <c r="L17" s="63" t="str">
        <f>IFERROR(VLOOKUP(TablePromemoria[[#This Row],[Contraente]],Table1[[Nome/Ragione sociale]:[Checkbox selezionato]],8,FALSE),"-")</f>
        <v>-</v>
      </c>
    </row>
  </sheetData>
  <conditionalFormatting sqref="A6:A17">
    <cfRule type="expression" dxfId="85" priority="1" stopIfTrue="1">
      <formula>IF($A6="Z",TRUE,FALSE)</formula>
    </cfRule>
    <cfRule type="expression" dxfId="84" priority="2" stopIfTrue="1">
      <formula>IF($A6="Y",TRUE,FALSE)</formula>
    </cfRule>
    <cfRule type="expression" dxfId="83" priority="3" stopIfTrue="1">
      <formula>IF($A6="X",TRUE,FALSE)</formula>
    </cfRule>
    <cfRule type="expression" dxfId="82" priority="4" stopIfTrue="1">
      <formula>IF($A6="W",TRUE,FALSE)</formula>
    </cfRule>
    <cfRule type="expression" dxfId="81" priority="5" stopIfTrue="1">
      <formula>IF($A6="V",TRUE,FALSE)</formula>
    </cfRule>
    <cfRule type="expression" dxfId="80" priority="6" stopIfTrue="1">
      <formula>IF($A6="U",TRUE,FALSE)</formula>
    </cfRule>
    <cfRule type="expression" dxfId="79" priority="7" stopIfTrue="1">
      <formula>IF($A6="T",TRUE,FALSE)</formula>
    </cfRule>
    <cfRule type="expression" dxfId="78" priority="8" stopIfTrue="1">
      <formula>IF($A6="S",TRUE,FALSE)</formula>
    </cfRule>
    <cfRule type="expression" dxfId="77" priority="9" stopIfTrue="1">
      <formula>IF($A6="R",TRUE,FALSE)</formula>
    </cfRule>
    <cfRule type="expression" dxfId="76" priority="10" stopIfTrue="1">
      <formula>IF($A6="Q",TRUE,FALSE)</formula>
    </cfRule>
    <cfRule type="expression" dxfId="75" priority="11" stopIfTrue="1">
      <formula>IF($A6="P",TRUE,FALSE)</formula>
    </cfRule>
    <cfRule type="expression" dxfId="74" priority="12" stopIfTrue="1">
      <formula>IF($A6="O",TRUE,FALSE)</formula>
    </cfRule>
    <cfRule type="expression" dxfId="73" priority="13" stopIfTrue="1">
      <formula>IF($A6="N",TRUE,FALSE)</formula>
    </cfRule>
    <cfRule type="expression" dxfId="72" priority="14" stopIfTrue="1">
      <formula>IF($A6="N",TRUE,FALSE)</formula>
    </cfRule>
    <cfRule type="expression" dxfId="71" priority="15" stopIfTrue="1">
      <formula>IF($A6="M",TRUE,FALSE)</formula>
    </cfRule>
    <cfRule type="expression" dxfId="70" priority="16" stopIfTrue="1">
      <formula>IF($A6="L",TRUE,FALSE)</formula>
    </cfRule>
    <cfRule type="expression" dxfId="69" priority="17" stopIfTrue="1">
      <formula>IF($A6="K",TRUE,FALSE)</formula>
    </cfRule>
    <cfRule type="expression" dxfId="68" priority="18" stopIfTrue="1">
      <formula>IF($A6="J",TRUE,FALSE)</formula>
    </cfRule>
    <cfRule type="expression" dxfId="67" priority="19" stopIfTrue="1">
      <formula>IF($A6="I",TRUE,FALSE)</formula>
    </cfRule>
    <cfRule type="expression" dxfId="66" priority="20" stopIfTrue="1">
      <formula>IF($A6="H",TRUE,FALSE)</formula>
    </cfRule>
    <cfRule type="expression" dxfId="65" priority="21" stopIfTrue="1">
      <formula>IF($A6="G",TRUE,FALSE)</formula>
    </cfRule>
    <cfRule type="expression" dxfId="64" priority="22" stopIfTrue="1">
      <formula>IF($A6="F",TRUE,FALSE)</formula>
    </cfRule>
    <cfRule type="expression" dxfId="63" priority="23" stopIfTrue="1">
      <formula>IF($A6="E",TRUE,FALSE)</formula>
    </cfRule>
    <cfRule type="expression" dxfId="62" priority="24" stopIfTrue="1">
      <formula>IF($A6="D",TRUE,FALSE)</formula>
    </cfRule>
    <cfRule type="expression" dxfId="61" priority="25" stopIfTrue="1">
      <formula>IF($A6="C",TRUE,FALSE)</formula>
    </cfRule>
    <cfRule type="expression" dxfId="60" priority="26" stopIfTrue="1">
      <formula>IF($A6="B",TRUE,FALSE)</formula>
    </cfRule>
    <cfRule type="expression" dxfId="59" priority="27" stopIfTrue="1">
      <formula>IF($A6="A",TRUE,FALSE)</formula>
    </cfRule>
  </conditionalFormatting>
  <dataValidations count="2">
    <dataValidation type="list" allowBlank="1" showInputMessage="1" showErrorMessage="1" sqref="B6:B17">
      <formula1>NOMI_CLIENTI</formula1>
    </dataValidation>
    <dataValidation type="list" allowBlank="1" showInputMessage="1" showErrorMessage="1" sqref="C6:C17">
      <formula1>NOMI_TIPOLOGIE_PROMEMORIA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22"/>
  <sheetViews>
    <sheetView zoomScale="70" zoomScaleNormal="70" workbookViewId="0">
      <selection activeCell="H9" sqref="H9"/>
    </sheetView>
  </sheetViews>
  <sheetFormatPr defaultRowHeight="15" x14ac:dyDescent="0.25"/>
  <cols>
    <col min="2" max="2" width="16.140625" customWidth="1"/>
    <col min="3" max="7" width="29.7109375" customWidth="1"/>
    <col min="8" max="8" width="32.85546875" customWidth="1"/>
    <col min="9" max="9" width="17.7109375" customWidth="1"/>
    <col min="11" max="11" width="13.140625" bestFit="1" customWidth="1"/>
    <col min="12" max="12" width="22.42578125" bestFit="1" customWidth="1"/>
    <col min="13" max="13" width="7.28515625" customWidth="1"/>
    <col min="14" max="14" width="18.42578125" bestFit="1" customWidth="1"/>
    <col min="15" max="15" width="7.28515625" customWidth="1"/>
    <col min="16" max="16" width="27.42578125" bestFit="1" customWidth="1"/>
    <col min="17" max="17" width="23.42578125" bestFit="1" customWidth="1"/>
  </cols>
  <sheetData>
    <row r="1" spans="2:17" ht="138" customHeight="1" x14ac:dyDescent="0.25"/>
    <row r="3" spans="2:17" x14ac:dyDescent="0.25">
      <c r="B3" s="17" t="s">
        <v>65</v>
      </c>
      <c r="F3" s="17" t="str">
        <f ca="1">CONCATENATE("Report versamenti ", YEAR(TODAY()))</f>
        <v>Report versamenti 2017</v>
      </c>
    </row>
    <row r="5" spans="2:17" x14ac:dyDescent="0.25">
      <c r="B5" s="19"/>
      <c r="C5" s="21" t="s">
        <v>69</v>
      </c>
      <c r="D5" s="21" t="s">
        <v>70</v>
      </c>
      <c r="F5" s="19"/>
      <c r="G5" s="110" t="s">
        <v>1807</v>
      </c>
      <c r="H5" s="110" t="s">
        <v>1808</v>
      </c>
    </row>
    <row r="6" spans="2:17" ht="21" x14ac:dyDescent="0.35">
      <c r="B6" s="20" t="s">
        <v>66</v>
      </c>
      <c r="C6" s="22">
        <f>SUM(Table2[Importo annuale])</f>
        <v>662834.65000000049</v>
      </c>
      <c r="D6" s="22">
        <f>SUBTOTAL(9,Table2[Importo annuale])</f>
        <v>1413</v>
      </c>
      <c r="F6" s="20" t="s">
        <v>43</v>
      </c>
      <c r="G6" s="22">
        <f ca="1">SUMIFS(TableVersamenti[Importo rata],TableVersamenti[Tipo pagamento],Report!$F6,TableVersamenti[Data prevista versamento],"&gt;"&amp;DATE(YEAR(TODAY()),1,1),TableVersamenti[Data prevista versamento],"&lt;"&amp;DATE(YEAR(TODAY()),12,31),TableVersamenti[Stato versamento],"IN ATTESA")</f>
        <v>1136.55</v>
      </c>
      <c r="H6" s="22">
        <f ca="1">SUMIFS(TableVersamenti[Importo rata],TableVersamenti[Tipo pagamento],Report!$F6,TableVersamenti[Data prevista versamento],"&gt;"&amp;DATE(YEAR(TODAY()),1,1),TableVersamenti[Data prevista versamento],"&lt;"&amp;DATE(YEAR(TODAY()),12,31),TableVersamenti[Stato versamento],"EFFETTUATO")</f>
        <v>9248.1700000000019</v>
      </c>
      <c r="K6" s="14"/>
      <c r="L6" s="16"/>
      <c r="M6" s="16"/>
      <c r="N6" s="16"/>
      <c r="O6" s="16"/>
      <c r="P6" s="16"/>
      <c r="Q6" s="16"/>
    </row>
    <row r="7" spans="2:17" ht="21" x14ac:dyDescent="0.35">
      <c r="B7" s="20" t="s">
        <v>67</v>
      </c>
      <c r="C7" s="22">
        <f>SUM(Table2[Incassato anno])</f>
        <v>353330.95000000036</v>
      </c>
      <c r="D7" s="22">
        <f>SUBTOTAL(9,Table2[Incassato anno])</f>
        <v>347</v>
      </c>
      <c r="F7" s="20" t="s">
        <v>44</v>
      </c>
      <c r="G7" s="22">
        <f ca="1">SUMIFS(TableVersamenti[Importo rata],TableVersamenti[Tipo pagamento],Report!$F7,TableVersamenti[Data prevista versamento],"&gt;"&amp;DATE(YEAR(TODAY()),1,1),TableVersamenti[Data prevista versamento],"&lt;"&amp;DATE(YEAR(TODAY()),12,31),TableVersamenti[Stato versamento],"IN ATTESA")</f>
        <v>2362.4899999999998</v>
      </c>
      <c r="H7" s="22">
        <f ca="1">SUMIFS(TableVersamenti[Importo rata],TableVersamenti[Tipo pagamento],Report!$F7,TableVersamenti[Data prevista versamento],"&gt;"&amp;DATE(YEAR(TODAY()),1,1),TableVersamenti[Data prevista versamento],"&lt;"&amp;DATE(YEAR(TODAY()),12,31),TableVersamenti[Stato versamento],"EFFETTUATO")</f>
        <v>10842.29</v>
      </c>
      <c r="K7" s="15"/>
      <c r="L7" s="16"/>
      <c r="M7" s="16"/>
      <c r="N7" s="16"/>
      <c r="O7" s="16"/>
      <c r="P7" s="16"/>
      <c r="Q7" s="16"/>
    </row>
    <row r="8" spans="2:17" ht="21" x14ac:dyDescent="0.35">
      <c r="B8" s="20" t="s">
        <v>68</v>
      </c>
      <c r="C8" s="22">
        <f>SUM(Table2[Provvigione])</f>
        <v>41669.83114000006</v>
      </c>
      <c r="D8" s="22">
        <f>SUBTOTAL(9,Table2[Provvigione])</f>
        <v>77.759999999999991</v>
      </c>
      <c r="F8" s="20" t="s">
        <v>45</v>
      </c>
      <c r="G8" s="22">
        <f ca="1">SUMIFS(TableVersamenti[Importo rata],TableVersamenti[Tipo pagamento],Report!$F8,TableVersamenti[Data prevista versamento],"&gt;"&amp;DATE(YEAR(TODAY()),1,1),TableVersamenti[Data prevista versamento],"&lt;"&amp;DATE(YEAR(TODAY()),12,31),TableVersamenti[Stato versamento],"IN ATTESA")</f>
        <v>128</v>
      </c>
      <c r="H8" s="22">
        <f ca="1">SUMIFS(TableVersamenti[Importo rata],TableVersamenti[Tipo pagamento],Report!$F8,TableVersamenti[Data prevista versamento],"&gt;"&amp;DATE(YEAR(TODAY()),1,1),TableVersamenti[Data prevista versamento],"&lt;"&amp;DATE(YEAR(TODAY()),12,31),TableVersamenti[Stato versamento],"EFFETTUATO")</f>
        <v>6957.08</v>
      </c>
      <c r="K8" s="14"/>
      <c r="L8" s="16"/>
      <c r="M8" s="16"/>
      <c r="N8" s="16"/>
      <c r="O8" s="16"/>
      <c r="P8" s="16"/>
      <c r="Q8" s="16"/>
    </row>
    <row r="9" spans="2:17" ht="21" x14ac:dyDescent="0.35">
      <c r="F9" s="20" t="s">
        <v>46</v>
      </c>
      <c r="G9" s="22">
        <f ca="1">SUMIFS(TableVersamenti[Importo rata],TableVersamenti[Tipo pagamento],Report!$F9,TableVersamenti[Data prevista versamento],"&gt;"&amp;DATE(YEAR(TODAY()),1,1),TableVersamenti[Data prevista versamento],"&lt;"&amp;DATE(YEAR(TODAY()),12,31),TableVersamenti[Stato versamento],"IN ATTESA")</f>
        <v>0</v>
      </c>
      <c r="H9" s="22">
        <f ca="1">SUMIFS(TableVersamenti[Importo rata],TableVersamenti[Tipo pagamento],Report!$F9,TableVersamenti[Data prevista versamento],"&gt;"&amp;DATE(YEAR(TODAY()),1,1),TableVersamenti[Data prevista versamento],"&lt;"&amp;DATE(YEAR(TODAY()),12,31),TableVersamenti[Stato versamento],"EFFETTUATO")</f>
        <v>0</v>
      </c>
    </row>
    <row r="11" spans="2:17" x14ac:dyDescent="0.25">
      <c r="B11" s="17" t="s">
        <v>71</v>
      </c>
    </row>
    <row r="13" spans="2:17" ht="15.75" thickBot="1" x14ac:dyDescent="0.3">
      <c r="C13" s="18"/>
      <c r="D13" s="126" t="s">
        <v>69</v>
      </c>
      <c r="E13" s="126"/>
      <c r="F13" s="127" t="s">
        <v>72</v>
      </c>
      <c r="G13" s="128"/>
      <c r="I13" s="25"/>
    </row>
    <row r="14" spans="2:17" ht="21" x14ac:dyDescent="0.35">
      <c r="B14" s="129" t="s">
        <v>73</v>
      </c>
      <c r="C14" s="23" t="s">
        <v>31</v>
      </c>
      <c r="D14" s="22">
        <f>SUMIF(Table2[Ramo],$C14,Table2[Importo annuale])</f>
        <v>344829.47000000009</v>
      </c>
      <c r="E14" s="24">
        <f>D14/$C$6</f>
        <v>0.52023452606166531</v>
      </c>
      <c r="F14" s="53">
        <f ca="1">SUMPRODUCT(SUBTOTAL(9,OFFSET(Polizze!$L$6,ROW(Polizze!$L$6:$L$1145)-ROW(Polizze!$L$6),0)),(Table2[Ramo]=$C14)+0)</f>
        <v>1345</v>
      </c>
      <c r="G14" s="24">
        <f ca="1">F14/$D$6</f>
        <v>0.95187544232130217</v>
      </c>
    </row>
    <row r="15" spans="2:17" ht="21" x14ac:dyDescent="0.35">
      <c r="B15" s="130"/>
      <c r="C15" s="23" t="s">
        <v>30</v>
      </c>
      <c r="D15" s="22">
        <f>SUMIF(Table2[Ramo],$C15,Table2[Importo annuale])</f>
        <v>202938.40999999995</v>
      </c>
      <c r="E15" s="24">
        <f>D15/$C$6</f>
        <v>0.30616747329066124</v>
      </c>
      <c r="F15" s="53">
        <f ca="1">SUMPRODUCT(SUBTOTAL(9,OFFSET(Polizze!$L$6,ROW(Polizze!$L$6:$L$1145)-ROW(Polizze!$L$6),0)),(Table2[Ramo]=$C15)+0)</f>
        <v>68</v>
      </c>
      <c r="G15" s="24">
        <f ca="1">F15/$D$6</f>
        <v>4.8124557678697805E-2</v>
      </c>
    </row>
    <row r="16" spans="2:17" ht="21.75" thickBot="1" x14ac:dyDescent="0.4">
      <c r="B16" s="131"/>
      <c r="C16" s="23" t="s">
        <v>32</v>
      </c>
      <c r="D16" s="22">
        <f>SUMIF(Table2[Ramo],$C16,Table2[Importo annuale])</f>
        <v>26718.76999999999</v>
      </c>
      <c r="E16" s="24">
        <f>D16/$C$6</f>
        <v>4.0309857066162684E-2</v>
      </c>
      <c r="F16" s="53">
        <f ca="1">SUMPRODUCT(SUBTOTAL(9,OFFSET(Polizze!$L$6,ROW(Polizze!$L$6:$L$1145)-ROW(Polizze!$L$6),0)),(Table2[Ramo]=$C16)+0)</f>
        <v>0</v>
      </c>
      <c r="G16" s="24">
        <f ca="1">F16/$D$6</f>
        <v>0</v>
      </c>
    </row>
    <row r="17" spans="2:7" ht="21" x14ac:dyDescent="0.35">
      <c r="B17" s="132" t="s">
        <v>75</v>
      </c>
      <c r="C17" s="23" t="s">
        <v>31</v>
      </c>
      <c r="D17" s="22">
        <f>SUMIF(Table2[Ramo],$C17,Table2[Incassato anno])</f>
        <v>154747.65000000002</v>
      </c>
      <c r="E17" s="24">
        <f>D17/$C$7</f>
        <v>0.43796800138793351</v>
      </c>
      <c r="F17" s="53">
        <f ca="1">SUMPRODUCT(SUBTOTAL(9,OFFSET(Polizze!$K$6,ROW(Polizze!$K$6:$K$1145)-ROW(Polizze!$K$6),0)),(Table2[Ramo]=$C17)+0)</f>
        <v>347</v>
      </c>
      <c r="G17" s="24">
        <f ca="1">F17/$D$7</f>
        <v>1</v>
      </c>
    </row>
    <row r="18" spans="2:7" ht="21" x14ac:dyDescent="0.35">
      <c r="B18" s="130"/>
      <c r="C18" s="23" t="s">
        <v>30</v>
      </c>
      <c r="D18" s="22">
        <f>SUMIF(Table2[Ramo],$C18,Table2[Incassato anno])</f>
        <v>112357.02</v>
      </c>
      <c r="E18" s="24">
        <f>D18/$C$7</f>
        <v>0.31799371099531443</v>
      </c>
      <c r="F18" s="53">
        <f ca="1">SUMPRODUCT(SUBTOTAL(9,OFFSET(Polizze!$K$6,ROW(Polizze!$K$6:$K$1145)-ROW(Polizze!$K$6),0)),(Table2[Ramo]=$C18)+0)</f>
        <v>0</v>
      </c>
      <c r="G18" s="24">
        <f ca="1">F18/$D$7</f>
        <v>0</v>
      </c>
    </row>
    <row r="19" spans="2:7" ht="21.75" thickBot="1" x14ac:dyDescent="0.4">
      <c r="B19" s="131"/>
      <c r="C19" s="23" t="s">
        <v>32</v>
      </c>
      <c r="D19" s="22">
        <f>SUMIF(Table2[Ramo],$C19,Table2[Incassato anno])</f>
        <v>8726.2799999999988</v>
      </c>
      <c r="E19" s="24">
        <f>D19/$C$7</f>
        <v>2.4697185457430181E-2</v>
      </c>
      <c r="F19" s="53">
        <f ca="1">SUMPRODUCT(SUBTOTAL(9,OFFSET(Polizze!$K$6,ROW(Polizze!$K$6:$K$1145)-ROW(Polizze!$K$6),0)),(Table2[Ramo]=$C19)+0)</f>
        <v>0</v>
      </c>
      <c r="G19" s="24">
        <f ca="1">F19/$D$7</f>
        <v>0</v>
      </c>
    </row>
    <row r="20" spans="2:7" ht="21" x14ac:dyDescent="0.35">
      <c r="B20" s="129" t="s">
        <v>74</v>
      </c>
      <c r="C20" s="23" t="s">
        <v>31</v>
      </c>
      <c r="D20" s="22">
        <f>SUMIF(Table2[Ramo],$C20,Table2[Provvigione])</f>
        <v>17931.132440000005</v>
      </c>
      <c r="E20" s="24">
        <f>D20/$C$8</f>
        <v>0.43031449730995908</v>
      </c>
      <c r="F20" s="53">
        <f ca="1">SUMPRODUCT(SUBTOTAL(9,OFFSET(Polizze!$AG$6,ROW(Polizze!$AG$6:$AG$1145)-ROW(Polizze!$AG$6),0)),(Table2[Ramo]=$C20)+0)</f>
        <v>69.94</v>
      </c>
      <c r="G20" s="24">
        <f ca="1">F20/$D$8</f>
        <v>0.89943415637860091</v>
      </c>
    </row>
    <row r="21" spans="2:7" ht="21" x14ac:dyDescent="0.35">
      <c r="B21" s="130"/>
      <c r="C21" s="23" t="s">
        <v>30</v>
      </c>
      <c r="D21" s="22">
        <f>SUMIF(Table2[Ramo],$C21,Table2[Provvigione])</f>
        <v>23337.917150000012</v>
      </c>
      <c r="E21" s="24">
        <f t="shared" ref="E21:E22" si="0">D21/$C$8</f>
        <v>0.56006747595377893</v>
      </c>
      <c r="F21" s="53">
        <f ca="1">SUMPRODUCT(SUBTOTAL(9,OFFSET(Polizze!$AG$6,ROW(Polizze!$AG$6:$AG$1145)-ROW(Polizze!$AG$6),0)),(Table2[Ramo]=$C21)+0)</f>
        <v>7.82</v>
      </c>
      <c r="G21" s="24">
        <f ca="1">F21/$D$8</f>
        <v>0.1005658436213992</v>
      </c>
    </row>
    <row r="22" spans="2:7" ht="21.75" thickBot="1" x14ac:dyDescent="0.4">
      <c r="B22" s="131"/>
      <c r="C22" s="23" t="s">
        <v>32</v>
      </c>
      <c r="D22" s="22">
        <f>SUMIF(Table2[Ramo],$C22,Table2[Provvigione])</f>
        <v>400.78154999999998</v>
      </c>
      <c r="E22" s="24">
        <f t="shared" si="0"/>
        <v>9.6180267362609567E-3</v>
      </c>
      <c r="F22" s="53">
        <f ca="1">SUMPRODUCT(SUBTOTAL(9,OFFSET(Polizze!$AG$6,ROW(Polizze!$AG$6:$AG$1145)-ROW(Polizze!$AG$6),0)),(Table2[Ramo]=$C22)+0)</f>
        <v>0</v>
      </c>
      <c r="G22" s="24">
        <f ca="1">F22/$D$8</f>
        <v>0</v>
      </c>
    </row>
  </sheetData>
  <mergeCells count="5">
    <mergeCell ref="D13:E13"/>
    <mergeCell ref="F13:G13"/>
    <mergeCell ref="B14:B16"/>
    <mergeCell ref="B17:B19"/>
    <mergeCell ref="B20:B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R84"/>
  <sheetViews>
    <sheetView topLeftCell="A25" workbookViewId="0">
      <selection activeCell="B37" sqref="B37:C38"/>
    </sheetView>
  </sheetViews>
  <sheetFormatPr defaultRowHeight="15" x14ac:dyDescent="0.25"/>
  <cols>
    <col min="2" max="2" width="22.140625" customWidth="1"/>
    <col min="3" max="3" width="13.7109375" customWidth="1"/>
    <col min="4" max="4" width="17" customWidth="1"/>
    <col min="5" max="5" width="19.28515625" bestFit="1" customWidth="1"/>
    <col min="6" max="6" width="20" customWidth="1"/>
    <col min="7" max="7" width="15.140625" customWidth="1"/>
    <col min="8" max="9" width="24.140625" customWidth="1"/>
    <col min="11" max="11" width="25.28515625" customWidth="1"/>
    <col min="13" max="13" width="25.28515625" customWidth="1"/>
    <col min="15" max="15" width="22.28515625" customWidth="1"/>
  </cols>
  <sheetData>
    <row r="2" spans="2:18" x14ac:dyDescent="0.25">
      <c r="B2" s="133" t="s">
        <v>15</v>
      </c>
      <c r="C2" s="133"/>
      <c r="D2" s="2"/>
    </row>
    <row r="3" spans="2:18" x14ac:dyDescent="0.25">
      <c r="B3" t="s">
        <v>16</v>
      </c>
      <c r="C3" t="s">
        <v>17</v>
      </c>
      <c r="Q3" t="s">
        <v>1642</v>
      </c>
      <c r="R3">
        <v>1</v>
      </c>
    </row>
    <row r="4" spans="2:18" x14ac:dyDescent="0.25">
      <c r="B4" t="s">
        <v>18</v>
      </c>
      <c r="C4">
        <v>1</v>
      </c>
      <c r="Q4" t="s">
        <v>1643</v>
      </c>
      <c r="R4">
        <v>2</v>
      </c>
    </row>
    <row r="5" spans="2:18" x14ac:dyDescent="0.25">
      <c r="B5" t="s">
        <v>19</v>
      </c>
      <c r="C5">
        <v>2</v>
      </c>
      <c r="Q5" t="s">
        <v>1644</v>
      </c>
      <c r="R5">
        <v>3</v>
      </c>
    </row>
    <row r="6" spans="2:18" x14ac:dyDescent="0.25">
      <c r="B6" t="s">
        <v>20</v>
      </c>
      <c r="C6">
        <v>3</v>
      </c>
      <c r="Q6" t="s">
        <v>1645</v>
      </c>
      <c r="R6">
        <v>4</v>
      </c>
    </row>
    <row r="7" spans="2:18" x14ac:dyDescent="0.25">
      <c r="B7" t="s">
        <v>21</v>
      </c>
      <c r="C7">
        <v>4</v>
      </c>
      <c r="Q7" t="s">
        <v>1646</v>
      </c>
      <c r="R7">
        <v>5</v>
      </c>
    </row>
    <row r="8" spans="2:18" x14ac:dyDescent="0.25">
      <c r="B8" t="s">
        <v>22</v>
      </c>
      <c r="C8">
        <v>6</v>
      </c>
      <c r="Q8" t="s">
        <v>1647</v>
      </c>
      <c r="R8">
        <v>6</v>
      </c>
    </row>
    <row r="9" spans="2:18" x14ac:dyDescent="0.25">
      <c r="B9" t="s">
        <v>23</v>
      </c>
      <c r="C9">
        <v>12</v>
      </c>
      <c r="Q9" t="s">
        <v>1648</v>
      </c>
      <c r="R9">
        <v>7</v>
      </c>
    </row>
    <row r="10" spans="2:18" x14ac:dyDescent="0.25">
      <c r="B10" t="s">
        <v>24</v>
      </c>
      <c r="C10">
        <v>0</v>
      </c>
      <c r="Q10" t="s">
        <v>1649</v>
      </c>
      <c r="R10">
        <v>8</v>
      </c>
    </row>
    <row r="11" spans="2:18" x14ac:dyDescent="0.25">
      <c r="Q11" t="s">
        <v>55</v>
      </c>
      <c r="R11">
        <v>9</v>
      </c>
    </row>
    <row r="12" spans="2:18" x14ac:dyDescent="0.25">
      <c r="B12" s="133" t="s">
        <v>77</v>
      </c>
      <c r="C12" s="133"/>
      <c r="J12" s="36"/>
      <c r="Q12" t="s">
        <v>1650</v>
      </c>
      <c r="R12">
        <v>10</v>
      </c>
    </row>
    <row r="13" spans="2:18" x14ac:dyDescent="0.25">
      <c r="B13" t="s">
        <v>79</v>
      </c>
      <c r="C13" t="s">
        <v>82</v>
      </c>
      <c r="D13" t="s">
        <v>78</v>
      </c>
      <c r="Q13" t="s">
        <v>1651</v>
      </c>
      <c r="R13">
        <v>11</v>
      </c>
    </row>
    <row r="14" spans="2:18" x14ac:dyDescent="0.25">
      <c r="B14">
        <v>0</v>
      </c>
      <c r="C14" s="26">
        <f ca="1">TODAY() -  Table11[[#This Row],[Soglia giorni min]]</f>
        <v>42982</v>
      </c>
      <c r="D14" t="s">
        <v>80</v>
      </c>
      <c r="Q14" t="s">
        <v>1652</v>
      </c>
      <c r="R14">
        <v>12</v>
      </c>
    </row>
    <row r="15" spans="2:18" x14ac:dyDescent="0.25">
      <c r="B15">
        <v>15</v>
      </c>
      <c r="C15" s="26">
        <f ca="1">TODAY() -  Table11[[#This Row],[Soglia giorni min]]</f>
        <v>42967</v>
      </c>
      <c r="D15" t="s">
        <v>81</v>
      </c>
      <c r="Q15" t="s">
        <v>1653</v>
      </c>
      <c r="R15">
        <v>13</v>
      </c>
    </row>
    <row r="16" spans="2:18" x14ac:dyDescent="0.25">
      <c r="Q16" t="s">
        <v>1654</v>
      </c>
      <c r="R16">
        <v>14</v>
      </c>
    </row>
    <row r="17" spans="2:18" x14ac:dyDescent="0.25">
      <c r="B17" s="36" t="s">
        <v>1115</v>
      </c>
      <c r="Q17" t="s">
        <v>1655</v>
      </c>
      <c r="R17">
        <v>15</v>
      </c>
    </row>
    <row r="18" spans="2:18" x14ac:dyDescent="0.25">
      <c r="B18" s="10" t="s">
        <v>1115</v>
      </c>
      <c r="Q18" t="s">
        <v>1656</v>
      </c>
      <c r="R18">
        <v>16</v>
      </c>
    </row>
    <row r="19" spans="2:18" x14ac:dyDescent="0.25">
      <c r="B19" s="10" t="s">
        <v>113</v>
      </c>
      <c r="Q19" t="s">
        <v>1657</v>
      </c>
      <c r="R19">
        <v>17</v>
      </c>
    </row>
    <row r="20" spans="2:18" x14ac:dyDescent="0.25">
      <c r="B20" s="5" t="s">
        <v>1116</v>
      </c>
      <c r="Q20" t="s">
        <v>1658</v>
      </c>
      <c r="R20">
        <v>18</v>
      </c>
    </row>
    <row r="21" spans="2:18" x14ac:dyDescent="0.25">
      <c r="B21" s="6" t="s">
        <v>1117</v>
      </c>
      <c r="Q21" t="s">
        <v>1659</v>
      </c>
      <c r="R21">
        <v>19</v>
      </c>
    </row>
    <row r="22" spans="2:18" x14ac:dyDescent="0.25">
      <c r="B22" s="11" t="s">
        <v>1118</v>
      </c>
      <c r="Q22" t="s">
        <v>1660</v>
      </c>
      <c r="R22">
        <v>20</v>
      </c>
    </row>
    <row r="23" spans="2:18" x14ac:dyDescent="0.25">
      <c r="Q23" t="s">
        <v>1661</v>
      </c>
      <c r="R23">
        <v>21</v>
      </c>
    </row>
    <row r="24" spans="2:18" x14ac:dyDescent="0.25">
      <c r="B24" s="8" t="s">
        <v>36</v>
      </c>
      <c r="Q24" t="s">
        <v>1662</v>
      </c>
      <c r="R24">
        <v>22</v>
      </c>
    </row>
    <row r="25" spans="2:18" x14ac:dyDescent="0.25">
      <c r="B25" s="9" t="s">
        <v>33</v>
      </c>
      <c r="Q25" t="s">
        <v>1664</v>
      </c>
      <c r="R25">
        <v>23</v>
      </c>
    </row>
    <row r="26" spans="2:18" x14ac:dyDescent="0.25">
      <c r="B26" s="3" t="s">
        <v>37</v>
      </c>
      <c r="Q26" t="s">
        <v>1665</v>
      </c>
      <c r="R26">
        <v>24</v>
      </c>
    </row>
    <row r="27" spans="2:18" x14ac:dyDescent="0.25">
      <c r="B27" s="4" t="s">
        <v>38</v>
      </c>
      <c r="Q27" t="s">
        <v>1666</v>
      </c>
      <c r="R27">
        <v>25</v>
      </c>
    </row>
    <row r="28" spans="2:18" x14ac:dyDescent="0.25">
      <c r="Q28" t="s">
        <v>1663</v>
      </c>
      <c r="R28">
        <v>26</v>
      </c>
    </row>
    <row r="29" spans="2:18" x14ac:dyDescent="0.25">
      <c r="B29" s="36" t="s">
        <v>1638</v>
      </c>
    </row>
    <row r="30" spans="2:18" x14ac:dyDescent="0.25">
      <c r="B30" s="10" t="s">
        <v>1638</v>
      </c>
    </row>
    <row r="31" spans="2:18" x14ac:dyDescent="0.25">
      <c r="B31" s="5" t="s">
        <v>1639</v>
      </c>
    </row>
    <row r="32" spans="2:18" x14ac:dyDescent="0.25">
      <c r="B32" s="6" t="s">
        <v>1640</v>
      </c>
    </row>
    <row r="33" spans="2:3" x14ac:dyDescent="0.25">
      <c r="B33" s="11" t="s">
        <v>1641</v>
      </c>
    </row>
    <row r="34" spans="2:3" x14ac:dyDescent="0.25">
      <c r="B34" s="120"/>
    </row>
    <row r="35" spans="2:3" x14ac:dyDescent="0.25">
      <c r="B35" s="119" t="s">
        <v>53</v>
      </c>
    </row>
    <row r="36" spans="2:3" x14ac:dyDescent="0.25">
      <c r="B36" s="9" t="s">
        <v>53</v>
      </c>
      <c r="C36" s="10" t="s">
        <v>1853</v>
      </c>
    </row>
    <row r="37" spans="2:3" x14ac:dyDescent="0.25">
      <c r="B37" s="3" t="s">
        <v>1631</v>
      </c>
      <c r="C37">
        <v>1</v>
      </c>
    </row>
    <row r="38" spans="2:3" x14ac:dyDescent="0.25">
      <c r="B38" s="4" t="s">
        <v>1632</v>
      </c>
      <c r="C38">
        <v>10</v>
      </c>
    </row>
    <row r="40" spans="2:3" x14ac:dyDescent="0.25">
      <c r="B40" s="36" t="s">
        <v>1850</v>
      </c>
    </row>
    <row r="41" spans="2:3" x14ac:dyDescent="0.25">
      <c r="B41" s="10" t="s">
        <v>1850</v>
      </c>
    </row>
    <row r="42" spans="2:3" x14ac:dyDescent="0.25">
      <c r="B42" s="5" t="s">
        <v>1639</v>
      </c>
    </row>
    <row r="43" spans="2:3" x14ac:dyDescent="0.25">
      <c r="B43" s="6" t="s">
        <v>1849</v>
      </c>
    </row>
    <row r="45" spans="2:3" x14ac:dyDescent="0.25">
      <c r="B45" s="133" t="s">
        <v>83</v>
      </c>
      <c r="C45" s="133"/>
    </row>
    <row r="46" spans="2:3" x14ac:dyDescent="0.25">
      <c r="B46" t="s">
        <v>84</v>
      </c>
      <c r="C46" t="s">
        <v>86</v>
      </c>
    </row>
    <row r="47" spans="2:3" x14ac:dyDescent="0.25">
      <c r="B47" t="s">
        <v>85</v>
      </c>
      <c r="C47" s="16">
        <v>1</v>
      </c>
    </row>
    <row r="48" spans="2:3" x14ac:dyDescent="0.25">
      <c r="B48" t="s">
        <v>87</v>
      </c>
      <c r="C48" s="16">
        <v>0</v>
      </c>
    </row>
    <row r="49" spans="2:3" x14ac:dyDescent="0.25">
      <c r="B49" t="s">
        <v>88</v>
      </c>
      <c r="C49" s="16">
        <v>0</v>
      </c>
    </row>
    <row r="51" spans="2:3" x14ac:dyDescent="0.25">
      <c r="B51" s="134" t="s">
        <v>29</v>
      </c>
      <c r="C51" s="134"/>
    </row>
    <row r="52" spans="2:3" x14ac:dyDescent="0.25">
      <c r="B52" s="10" t="s">
        <v>29</v>
      </c>
      <c r="C52" s="10" t="s">
        <v>63</v>
      </c>
    </row>
    <row r="53" spans="2:3" x14ac:dyDescent="0.25">
      <c r="B53" s="5" t="s">
        <v>30</v>
      </c>
      <c r="C53" s="13">
        <v>0.115</v>
      </c>
    </row>
    <row r="54" spans="2:3" x14ac:dyDescent="0.25">
      <c r="B54" s="6" t="s">
        <v>31</v>
      </c>
      <c r="C54" s="13">
        <v>5.1999999999999998E-2</v>
      </c>
    </row>
    <row r="55" spans="2:3" x14ac:dyDescent="0.25">
      <c r="B55" s="11" t="s">
        <v>32</v>
      </c>
      <c r="C55" s="13">
        <v>1.4999999999999999E-2</v>
      </c>
    </row>
    <row r="57" spans="2:3" x14ac:dyDescent="0.25">
      <c r="B57" s="36" t="s">
        <v>1103</v>
      </c>
    </row>
    <row r="58" spans="2:3" x14ac:dyDescent="0.25">
      <c r="B58" s="10" t="s">
        <v>1103</v>
      </c>
    </row>
    <row r="59" spans="2:3" x14ac:dyDescent="0.25">
      <c r="B59" s="10" t="s">
        <v>113</v>
      </c>
    </row>
    <row r="60" spans="2:3" x14ac:dyDescent="0.25">
      <c r="B60" s="5" t="s">
        <v>1104</v>
      </c>
    </row>
    <row r="61" spans="2:3" x14ac:dyDescent="0.25">
      <c r="B61" s="6" t="s">
        <v>1105</v>
      </c>
    </row>
    <row r="62" spans="2:3" x14ac:dyDescent="0.25">
      <c r="B62" s="11" t="s">
        <v>1106</v>
      </c>
    </row>
    <row r="64" spans="2:3" x14ac:dyDescent="0.25">
      <c r="B64" s="8" t="s">
        <v>33</v>
      </c>
    </row>
    <row r="65" spans="2:2" x14ac:dyDescent="0.25">
      <c r="B65" s="10" t="s">
        <v>33</v>
      </c>
    </row>
    <row r="66" spans="2:2" x14ac:dyDescent="0.25">
      <c r="B66" s="5" t="s">
        <v>31</v>
      </c>
    </row>
    <row r="67" spans="2:2" x14ac:dyDescent="0.25">
      <c r="B67" s="12" t="s">
        <v>34</v>
      </c>
    </row>
    <row r="69" spans="2:2" x14ac:dyDescent="0.25">
      <c r="B69" s="36" t="s">
        <v>1109</v>
      </c>
    </row>
    <row r="70" spans="2:2" x14ac:dyDescent="0.25">
      <c r="B70" s="10" t="s">
        <v>1109</v>
      </c>
    </row>
    <row r="71" spans="2:2" x14ac:dyDescent="0.25">
      <c r="B71" s="10" t="s">
        <v>113</v>
      </c>
    </row>
    <row r="72" spans="2:2" x14ac:dyDescent="0.25">
      <c r="B72" s="5" t="s">
        <v>1108</v>
      </c>
    </row>
    <row r="74" spans="2:2" x14ac:dyDescent="0.25">
      <c r="B74" s="8" t="s">
        <v>42</v>
      </c>
    </row>
    <row r="75" spans="2:2" x14ac:dyDescent="0.25">
      <c r="B75" s="10" t="s">
        <v>42</v>
      </c>
    </row>
    <row r="76" spans="2:2" x14ac:dyDescent="0.25">
      <c r="B76" s="5" t="s">
        <v>43</v>
      </c>
    </row>
    <row r="77" spans="2:2" x14ac:dyDescent="0.25">
      <c r="B77" s="12" t="s">
        <v>44</v>
      </c>
    </row>
    <row r="78" spans="2:2" x14ac:dyDescent="0.25">
      <c r="B78" t="s">
        <v>45</v>
      </c>
    </row>
    <row r="79" spans="2:2" x14ac:dyDescent="0.25">
      <c r="B79" t="s">
        <v>46</v>
      </c>
    </row>
    <row r="81" spans="2:2" x14ac:dyDescent="0.25">
      <c r="B81" s="8" t="s">
        <v>50</v>
      </c>
    </row>
    <row r="82" spans="2:2" x14ac:dyDescent="0.25">
      <c r="B82" s="10" t="s">
        <v>33</v>
      </c>
    </row>
    <row r="83" spans="2:2" x14ac:dyDescent="0.25">
      <c r="B83" s="5" t="s">
        <v>51</v>
      </c>
    </row>
    <row r="84" spans="2:2" x14ac:dyDescent="0.25">
      <c r="B84" s="12" t="s">
        <v>52</v>
      </c>
    </row>
  </sheetData>
  <mergeCells count="4">
    <mergeCell ref="B2:C2"/>
    <mergeCell ref="B51:C51"/>
    <mergeCell ref="B12:C12"/>
    <mergeCell ref="B45:C45"/>
  </mergeCells>
  <pageMargins left="0.7" right="0.7" top="0.75" bottom="0.75" header="0.3" footer="0.3"/>
  <pageSetup paperSize="9"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51</vt:i4>
      </vt:variant>
    </vt:vector>
  </HeadingPairs>
  <TitlesOfParts>
    <vt:vector size="59" baseType="lpstr">
      <vt:lpstr>Anagrafica clienti</vt:lpstr>
      <vt:lpstr>Polizze</vt:lpstr>
      <vt:lpstr>Preventivi</vt:lpstr>
      <vt:lpstr>Versamenti</vt:lpstr>
      <vt:lpstr>Foglio1</vt:lpstr>
      <vt:lpstr>Promemoria</vt:lpstr>
      <vt:lpstr>Report</vt:lpstr>
      <vt:lpstr>Configurazioni</vt:lpstr>
      <vt:lpstr>Preventivi!ANAGRAFICA_CLIENTI_COMPLETA</vt:lpstr>
      <vt:lpstr>Versamenti!ANAGRAFICA_CLIENTI_COMPLETA</vt:lpstr>
      <vt:lpstr>ANAGRAFICA_CLIENTI_COMPLETA</vt:lpstr>
      <vt:lpstr>Preventivi!CHECKBOX_ANAGRAFICA_CLIENTI</vt:lpstr>
      <vt:lpstr>Versamenti!CHECKBOX_ANAGRAFICA_CLIENTI</vt:lpstr>
      <vt:lpstr>CHECKBOX_ANAGRAFICA_CLIENTI</vt:lpstr>
      <vt:lpstr>DURATA</vt:lpstr>
      <vt:lpstr>Preventivi!NOMI_AZIONI_POLIZZA</vt:lpstr>
      <vt:lpstr>Versamenti!NOMI_AZIONI_POLIZZA</vt:lpstr>
      <vt:lpstr>NOMI_AZIONI_POLIZZA</vt:lpstr>
      <vt:lpstr>Versamenti!NOMI_AZIONI_PREVENTIVO</vt:lpstr>
      <vt:lpstr>NOMI_AZIONI_PREVENTIVO</vt:lpstr>
      <vt:lpstr>Preventivi!NOMI_CLIENTI</vt:lpstr>
      <vt:lpstr>Versamenti!NOMI_CLIENTI</vt:lpstr>
      <vt:lpstr>NOMI_CLIENTI</vt:lpstr>
      <vt:lpstr>Preventivi!NOMI_COMPAGNIE</vt:lpstr>
      <vt:lpstr>Versamenti!NOMI_COMPAGNIE</vt:lpstr>
      <vt:lpstr>NOMI_COMPAGNIE</vt:lpstr>
      <vt:lpstr>Preventivi!NOMI_RAMI_POLIZZA</vt:lpstr>
      <vt:lpstr>Versamenti!NOMI_RAMI_POLIZZA</vt:lpstr>
      <vt:lpstr>NOMI_RAMI_POLIZZA</vt:lpstr>
      <vt:lpstr>Preventivi!NOMI_STATI_POLIZZA</vt:lpstr>
      <vt:lpstr>Versamenti!NOMI_STATI_POLIZZA</vt:lpstr>
      <vt:lpstr>NOMI_STATI_POLIZZA</vt:lpstr>
      <vt:lpstr>NOMI_STATI_VERSAMENTO</vt:lpstr>
      <vt:lpstr>NOMI_STATO_PAGAMENTO_CLIENTE</vt:lpstr>
      <vt:lpstr>Preventivi!NOMI_TIPI_RATEIZZAZIONI</vt:lpstr>
      <vt:lpstr>Versamenti!NOMI_TIPI_RATEIZZAZIONI</vt:lpstr>
      <vt:lpstr>NOMI_TIPI_RATEIZZAZIONI</vt:lpstr>
      <vt:lpstr>Preventivi!NOMI_TIPOLOGIA_POLIZZA</vt:lpstr>
      <vt:lpstr>Versamenti!NOMI_TIPOLOGIA_POLIZZA</vt:lpstr>
      <vt:lpstr>NOMI_TIPOLOGIA_POLIZZA</vt:lpstr>
      <vt:lpstr>Preventivi!NOMI_TIPOLOGIE_PAGAMENTO</vt:lpstr>
      <vt:lpstr>Versamenti!NOMI_TIPOLOGIE_PAGAMENTO</vt:lpstr>
      <vt:lpstr>NOMI_TIPOLOGIE_PAGAMENTO</vt:lpstr>
      <vt:lpstr>Versamenti!NOMI_TIPOLOGIE_PROMEMORIA</vt:lpstr>
      <vt:lpstr>NOMI_TIPOLOGIE_PROMEMORIA</vt:lpstr>
      <vt:lpstr>Preventivi!OI_ON</vt:lpstr>
      <vt:lpstr>Versamenti!OI_ON</vt:lpstr>
      <vt:lpstr>OI_ON</vt:lpstr>
      <vt:lpstr>'Anagrafica clienti'!Print_Area</vt:lpstr>
      <vt:lpstr>Polizze!Print_Area</vt:lpstr>
      <vt:lpstr>Versamenti!Print_Area</vt:lpstr>
      <vt:lpstr>Polizze!Print_Titles</vt:lpstr>
      <vt:lpstr>Preventivi!RAMI_POLIZZA</vt:lpstr>
      <vt:lpstr>Versamenti!RAMI_POLIZZA</vt:lpstr>
      <vt:lpstr>RAMI_POLIZZA</vt:lpstr>
      <vt:lpstr>Preventivi!TIPI_RATEIZZAZIONI</vt:lpstr>
      <vt:lpstr>Versamenti!TIPI_RATEIZZAZIONI</vt:lpstr>
      <vt:lpstr>TIPI_RATEIZZAZIONI</vt:lpstr>
      <vt:lpstr>VALORE_DURATA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2017-03-17T15:51:50Z</dcterms:created>
  <dc:creator>Papetti, Marco, Vodafone Italy</dc:creator>
  <cp:lastModifiedBy>Papetti, Marco, Vodafone Italy</cp:lastModifiedBy>
  <cp:lastPrinted>2017-07-19T05:09:24Z</cp:lastPrinted>
  <dcterms:modified xsi:type="dcterms:W3CDTF">2017-09-04T15:26:33Z</dcterms:modified>
</cp:coreProperties>
</file>